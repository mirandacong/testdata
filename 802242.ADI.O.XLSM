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gif" Extension="gif"/>
  <Default ContentType="image/jpeg" Extension="jpeg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customXmlProperties+xml" PartName="/customXml/itemProps1.xml"/>
  <Override ContentType="application/vnd.openxmlformats-officedocument.customXmlProperties+xml" PartName="/customXml/itemProps2.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custom-properties+xml" PartName="/docProps/custom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spreadsheetml.comments+xml" PartName="/xl/comments1.xml"/>
  <Override ContentType="application/vnd.openxmlformats-officedocument.spreadsheetml.comments+xml" PartName="/xl/comments2.xml"/>
  <Override ContentType="application/vnd.openxmlformats-officedocument.spreadsheetml.comments+xml" PartName="/xl/comments3.xml"/>
  <Override ContentType="application/vnd.openxmlformats-officedocument.spreadsheetml.comments+xml" PartName="/xl/comments4.xml"/>
  <Override ContentType="application/vnd.openxmlformats-officedocument.spreadsheetml.comments+xml" PartName="/xl/comments5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drawing+xml" PartName="/xl/drawings/drawing5.xml"/>
  <Override ContentType="application/vnd.openxmlformats-officedocument.spreadsheetml.externalLink+xml" PartName="/xl/externalLinks/externalLink1.xml"/>
  <Override ContentType="application/vnd.openxmlformats-officedocument.spreadsheetml.externalLink+xml" PartName="/xl/externalLinks/externalLink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</Types>
</file>

<file path=_rels/.rels><?xml version="1.0" encoding="UTF-8" standalone="yes"?>
<Relationships xmlns="http://schemas.openxmlformats.org/package/2006/relationships">
<Relationship Id="rId1" Target="xl/workbook.xml" Type="http://schemas.openxmlformats.org/officeDocument/2006/relationships/officeDocument"/>
<Relationship Id="rId2" Target="docProps/core.xml" Type="http://schemas.openxmlformats.org/package/2006/relationships/metadata/core-properties"/>
<Relationship Id="rId3" Target="docProps/app.xml" Type="http://schemas.openxmlformats.org/officeDocument/2006/relationships/extended-properties"/>
<Relationship Id="rId4" Target="docProps/custom.xml" Type="http://schemas.openxmlformats.org/officeDocument/2006/relationships/custom-properties"/>
</Relationships>
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5245" yWindow="-15" windowWidth="12690" windowHeight="11550" tabRatio="931" firstSheet="2" activeTab="2"/>
  </bookViews>
  <sheets>
    <sheet name="__FDSCACHE__" sheetId="7" state="veryHidden" r:id="rId1"/>
    <sheet name="MW-Cache" sheetId="9" state="veryHidden" r:id="rId2"/>
    <sheet name="ImportantDisclosures" sheetId="95" r:id="rId3"/>
    <sheet name="IS" sheetId="1" r:id="rId4"/>
    <sheet name="BS" sheetId="2" r:id="rId5"/>
    <sheet name="CFS" sheetId="3" r:id="rId6"/>
    <sheet name="BU-Segment" sheetId="21" r:id="rId7"/>
    <sheet name="IndexInformation" sheetId="96" r:id="rId8"/>
    <sheet name="ModPubIndex" sheetId="97" r:id="rId9"/>
  </sheets>
  <externalReferences>
    <externalReference r:id="rId10"/>
    <externalReference r:id="rId11"/>
  </externalReferences>
  <definedNames>
    <definedName name="__FDS_HYPERLINK_TOGGLE_STATE__" hidden="1">"ON"</definedName>
    <definedName name="__FDS_UNIQUE_RANGE_ID_GENERATOR_COUNTER" hidden="1">1</definedName>
    <definedName name="_1__FDSAUDITLINK__" hidden="1">{"fdsup://Directions/FactSet Auditing Viewer?action=AUDIT_VALUE&amp;DB=129&amp;ID1=596233&amp;VALUEID=02001&amp;SDATE=201103&amp;PERIODTYPE=QTR_STD&amp;SCFT=3&amp;window=popup_no_bar&amp;width=385&amp;height=120&amp;START_MAXIMIZED=FALSE&amp;creator=factset&amp;display_string=Audit"}</definedName>
    <definedName name="_10__FDSAUDITLINK__" hidden="1">{"fdsup://Directions/FactSet Auditing Viewer?action=AUDIT_VALUE&amp;DB=129&amp;ID1=45814010&amp;VALUEID=02001&amp;SDATE=201103&amp;PERIODTYPE=QTR_STD&amp;SCFT=3&amp;window=popup_no_bar&amp;width=385&amp;height=120&amp;START_MAXIMIZED=FALSE&amp;creator=factset&amp;display_string=Audit"}</definedName>
    <definedName name="_100__FDSAUDITLINK__" hidden="1">{"fdsup://Directions/FactSet Auditing Viewer?action=AUDIT_VALUE&amp;DB=129&amp;ID1=45814010&amp;VALUEID=02001&amp;SDATE=201101&amp;PERIODTYPE=QTR_STD&amp;SCFT=3&amp;window=popup_no_bar&amp;width=385&amp;height=120&amp;START_MAXIMIZED=FALSE&amp;creator=factset&amp;display_string=Audit"}</definedName>
    <definedName name="_1000__FDSAUDITLINK__" hidden="1">{"fdsup://Directions/FactSet Auditing Viewer?action=AUDIT_VALUE&amp;DB=129&amp;ID1=25454310&amp;VALUEID=02001&amp;SDATE=200902&amp;PERIODTYPE=QTR_STD&amp;SCFT=3&amp;window=popup_no_bar&amp;width=385&amp;height=120&amp;START_MAXIMIZED=FALSE&amp;creator=factset&amp;display_string=Audit"}</definedName>
    <definedName name="_1001__FDSAUDITLINK__" hidden="1">{"fdsup://Directions/FactSet Auditing Viewer?action=AUDIT_VALUE&amp;DB=129&amp;ID1=24702R10&amp;VALUEID=02001&amp;SDATE=200902&amp;PERIODTYPE=QTR_STD&amp;SCFT=3&amp;window=popup_no_bar&amp;width=385&amp;height=120&amp;START_MAXIMIZED=FALSE&amp;creator=factset&amp;display_string=Audit"}</definedName>
    <definedName name="_1002__FDSAUDITLINK__" hidden="1">{"fdsup://Directions/FactSet Auditing Viewer?action=AUDIT_VALUE&amp;DB=129&amp;ID1=24702R10&amp;VALUEID=02001&amp;SDATE=200902&amp;PERIODTYPE=QTR_STD&amp;SCFT=3&amp;window=popup_no_bar&amp;width=385&amp;height=120&amp;START_MAXIMIZED=FALSE&amp;creator=factset&amp;display_string=Audit"}</definedName>
    <definedName name="_1003__FDSAUDITLINK__" hidden="1">{"fdsup://Directions/FactSet Auditing Viewer?action=AUDIT_VALUE&amp;DB=129&amp;ID1=23257210&amp;VALUEID=02001&amp;SDATE=200902&amp;PERIODTYPE=QTR_STD&amp;SCFT=3&amp;window=popup_no_bar&amp;width=385&amp;height=120&amp;START_MAXIMIZED=FALSE&amp;creator=factset&amp;display_string=Audit"}</definedName>
    <definedName name="_1004__FDSAUDITLINK__" hidden="1">{"fdsup://Directions/FactSet Auditing Viewer?action=AUDIT_VALUE&amp;DB=129&amp;ID1=23257210&amp;VALUEID=02001&amp;SDATE=200902&amp;PERIODTYPE=QTR_STD&amp;SCFT=3&amp;window=popup_no_bar&amp;width=385&amp;height=120&amp;START_MAXIMIZED=FALSE&amp;creator=factset&amp;display_string=Audit"}</definedName>
    <definedName name="_1005__FDSAUDITLINK__" hidden="1">{"fdsup://Directions/FactSet Auditing Viewer?action=AUDIT_VALUE&amp;DB=129&amp;ID1=23280610&amp;VALUEID=02001&amp;SDATE=200902&amp;PERIODTYPE=QTR_STD&amp;SCFT=3&amp;window=popup_no_bar&amp;width=385&amp;height=120&amp;START_MAXIMIZED=FALSE&amp;creator=factset&amp;display_string=Audit"}</definedName>
    <definedName name="_1006__FDSAUDITLINK__" hidden="1">{"fdsup://Directions/FactSet Auditing Viewer?action=AUDIT_VALUE&amp;DB=129&amp;ID1=23280610&amp;VALUEID=02001&amp;SDATE=200902&amp;PERIODTYPE=QTR_STD&amp;SCFT=3&amp;window=popup_no_bar&amp;width=385&amp;height=120&amp;START_MAXIMIZED=FALSE&amp;creator=factset&amp;display_string=Audit"}</definedName>
    <definedName name="_1007__FDSAUDITLINK__" hidden="1">{"fdsup://Directions/FactSet Auditing Viewer?action=AUDIT_VALUE&amp;DB=129&amp;ID1=20714230&amp;VALUEID=02001&amp;SDATE=200903&amp;PERIODTYPE=QTR_STD&amp;SCFT=3&amp;window=popup_no_bar&amp;width=385&amp;height=120&amp;START_MAXIMIZED=FALSE&amp;creator=factset&amp;display_string=Audit"}</definedName>
    <definedName name="_1008__FDSAUDITLINK__" hidden="1">{"fdsup://Directions/FactSet Auditing Viewer?action=AUDIT_VALUE&amp;DB=129&amp;ID1=20714230&amp;VALUEID=02001&amp;SDATE=200903&amp;PERIODTYPE=QTR_STD&amp;SCFT=3&amp;window=popup_no_bar&amp;width=385&amp;height=120&amp;START_MAXIMIZED=FALSE&amp;creator=factset&amp;display_string=Audit"}</definedName>
    <definedName name="_1009__FDSAUDITLINK__" hidden="1">{"fdsup://Directions/FactSet Auditing Viewer?action=AUDIT_VALUE&amp;DB=129&amp;ID1=12738710&amp;VALUEID=02001&amp;SDATE=200902&amp;PERIODTYPE=QTR_STD&amp;SCFT=3&amp;window=popup_no_bar&amp;width=385&amp;height=120&amp;START_MAXIMIZED=FALSE&amp;creator=factset&amp;display_string=Audit"}</definedName>
    <definedName name="_101__FDSAUDITLINK__" hidden="1">{"fdsup://Directions/FactSet Auditing Viewer?action=AUDIT_VALUE&amp;DB=129&amp;ID1=45811810&amp;VALUEID=02001&amp;SDATE=201004&amp;PERIODTYPE=QTR_STD&amp;SCFT=3&amp;window=popup_no_bar&amp;width=385&amp;height=120&amp;START_MAXIMIZED=FALSE&amp;creator=factset&amp;display_string=Audit"}</definedName>
    <definedName name="_1010__FDSAUDITLINK__" hidden="1">{"fdsup://Directions/FactSet Auditing Viewer?action=AUDIT_VALUE&amp;DB=129&amp;ID1=12738710&amp;VALUEID=02001&amp;SDATE=200902&amp;PERIODTYPE=QTR_STD&amp;SCFT=3&amp;window=popup_no_bar&amp;width=385&amp;height=120&amp;START_MAXIMIZED=FALSE&amp;creator=factset&amp;display_string=Audit"}</definedName>
    <definedName name="_1011__FDSAUDITLINK__" hidden="1">{"fdsup://Directions/FactSet Auditing Viewer?action=AUDIT_VALUE&amp;DB=129&amp;ID1=14964U10&amp;VALUEID=02001&amp;SDATE=200902&amp;PERIODTYPE=QTR_STD&amp;SCFT=3&amp;window=popup_no_bar&amp;width=385&amp;height=120&amp;START_MAXIMIZED=FALSE&amp;creator=factset&amp;display_string=Audit"}</definedName>
    <definedName name="_1012__FDSAUDITLINK__" hidden="1">{"fdsup://Directions/FactSet Auditing Viewer?action=AUDIT_VALUE&amp;DB=129&amp;ID1=14964U10&amp;VALUEID=02001&amp;SDATE=200902&amp;PERIODTYPE=QTR_STD&amp;SCFT=3&amp;window=popup_no_bar&amp;width=385&amp;height=120&amp;START_MAXIMIZED=FALSE&amp;creator=factset&amp;display_string=Audit"}</definedName>
    <definedName name="_1013__FDSAUDITLINK__" hidden="1">{"fdsup://Directions/FactSet Auditing Viewer?action=AUDIT_VALUE&amp;DB=129&amp;ID1=11162130&amp;VALUEID=02001&amp;SDATE=200903&amp;PERIODTYPE=QTR_STD&amp;SCFT=3&amp;window=popup_no_bar&amp;width=385&amp;height=120&amp;START_MAXIMIZED=FALSE&amp;creator=factset&amp;display_string=Audit"}</definedName>
    <definedName name="_1014__FDSAUDITLINK__" hidden="1">{"fdsup://Directions/FactSet Auditing Viewer?action=AUDIT_VALUE&amp;DB=129&amp;ID1=11162130&amp;VALUEID=02001&amp;SDATE=200903&amp;PERIODTYPE=QTR_STD&amp;SCFT=3&amp;window=popup_no_bar&amp;width=385&amp;height=120&amp;START_MAXIMIZED=FALSE&amp;creator=factset&amp;display_string=Audit"}</definedName>
    <definedName name="_1015__FDSAUDITLINK__" hidden="1">{"fdsup://Directions/FactSet Auditing Viewer?action=AUDIT_VALUE&amp;DB=129&amp;ID1=Y0486S10&amp;VALUEID=02001&amp;SDATE=200903&amp;PERIODTYPE=QTR_STD&amp;SCFT=3&amp;window=popup_no_bar&amp;width=385&amp;height=120&amp;START_MAXIMIZED=FALSE&amp;creator=factset&amp;display_string=Audit"}</definedName>
    <definedName name="_1016__FDSAUDITLINK__" hidden="1">{"fdsup://Directions/FactSet Auditing Viewer?action=AUDIT_VALUE&amp;DB=129&amp;ID1=Y0486S10&amp;VALUEID=02001&amp;SDATE=200903&amp;PERIODTYPE=QTR_STD&amp;SCFT=3&amp;window=popup_no_bar&amp;width=385&amp;height=120&amp;START_MAXIMIZED=FALSE&amp;creator=factset&amp;display_string=Audit"}</definedName>
    <definedName name="_1017__FDSAUDITLINK__" hidden="1">{"fdsup://Directions/FactSet Auditing Viewer?action=AUDIT_VALUE&amp;DB=129&amp;ID1=04743P10&amp;VALUEID=02001&amp;SDATE=200902&amp;PERIODTYPE=QTR_STD&amp;SCFT=3&amp;window=popup_no_bar&amp;width=385&amp;height=120&amp;START_MAXIMIZED=FALSE&amp;creator=factset&amp;display_string=Audit"}</definedName>
    <definedName name="_1018__FDSAUDITLINK__" hidden="1">{"fdsup://Directions/FactSet Auditing Viewer?action=AUDIT_VALUE&amp;DB=129&amp;ID1=04743P10&amp;VALUEID=02001&amp;SDATE=200902&amp;PERIODTYPE=QTR_STD&amp;SCFT=3&amp;window=popup_no_bar&amp;width=385&amp;height=120&amp;START_MAXIMIZED=FALSE&amp;creator=factset&amp;display_string=Audit"}</definedName>
    <definedName name="_1019__FDSAUDITLINK__" hidden="1">{"fdsup://Directions/FactSet Auditing Viewer?action=AUDIT_VALUE&amp;DB=129&amp;ID1=03251510&amp;VALUEID=02001&amp;SDATE=200902&amp;PERIODTYPE=QTR_STD&amp;SCFT=3&amp;window=popup_no_bar&amp;width=385&amp;height=120&amp;START_MAXIMIZED=FALSE&amp;creator=factset&amp;display_string=Audit"}</definedName>
    <definedName name="_102__FDSAUDITLINK__" hidden="1">{"fdsup://Directions/FactSet Auditing Viewer?action=AUDIT_VALUE&amp;DB=129&amp;ID1=45811810&amp;VALUEID=02001&amp;SDATE=201004&amp;PERIODTYPE=QTR_STD&amp;SCFT=3&amp;window=popup_no_bar&amp;width=385&amp;height=120&amp;START_MAXIMIZED=FALSE&amp;creator=factset&amp;display_string=Audit"}</definedName>
    <definedName name="_1020__FDSAUDITLINK__" hidden="1">{"fdsup://Directions/FactSet Auditing Viewer?action=AUDIT_VALUE&amp;DB=129&amp;ID1=03251510&amp;VALUEID=02001&amp;SDATE=200902&amp;PERIODTYPE=QTR_STD&amp;SCFT=3&amp;window=popup_no_bar&amp;width=385&amp;height=120&amp;START_MAXIMIZED=FALSE&amp;creator=factset&amp;display_string=Audit"}</definedName>
    <definedName name="_1021__FDSAUDITLINK__" hidden="1">{"fdsup://Directions/FactSet Auditing Viewer?action=AUDIT_VALUE&amp;DB=129&amp;ID1=00790310&amp;VALUEID=02001&amp;SDATE=200902&amp;PERIODTYPE=QTR_STD&amp;SCFT=3&amp;window=popup_no_bar&amp;width=385&amp;height=120&amp;START_MAXIMIZED=FALSE&amp;creator=factset&amp;display_string=Audit"}</definedName>
    <definedName name="_1022__FDSAUDITLINK__" hidden="1">{"fdsup://Directions/FactSet Auditing Viewer?action=AUDIT_VALUE&amp;DB=129&amp;ID1=00790310&amp;VALUEID=02001&amp;SDATE=200902&amp;PERIODTYPE=QTR_STD&amp;SCFT=3&amp;window=popup_no_bar&amp;width=385&amp;height=120&amp;START_MAXIMIZED=FALSE&amp;creator=factset&amp;display_string=Audit"}</definedName>
    <definedName name="_1023__FDSAUDITLINK__" hidden="1">{"fdsup://Directions/FactSet Auditing Viewer?action=AUDIT_VALUE&amp;DB=129&amp;ID1=03822W40&amp;VALUEID=02001&amp;SDATE=200901&amp;PERIODTYPE=QTR_STD&amp;SCFT=3&amp;window=popup_no_bar&amp;width=385&amp;height=120&amp;START_MAXIMIZED=FALSE&amp;creator=factset&amp;display_string=Audit"}</definedName>
    <definedName name="_1024__FDSAUDITLINK__" hidden="1">{"fdsup://Directions/FactSet Auditing Viewer?action=AUDIT_VALUE&amp;DB=129&amp;ID1=03822W40&amp;VALUEID=02001&amp;SDATE=200901&amp;PERIODTYPE=QTR_STD&amp;SCFT=3&amp;window=popup_no_bar&amp;width=385&amp;height=120&amp;START_MAXIMIZED=FALSE&amp;creator=factset&amp;display_string=Audit"}</definedName>
    <definedName name="_1025__FDSAUDITLINK__" hidden="1">{"fdsup://Directions/FactSet Auditing Viewer?action=AUDIT_VALUE&amp;DB=129&amp;ID1=03822210&amp;VALUEID=02001&amp;SDATE=200903&amp;PERIODTYPE=QTR_STD&amp;SCFT=3&amp;window=popup_no_bar&amp;width=385&amp;height=120&amp;START_MAXIMIZED=FALSE&amp;creator=factset&amp;display_string=Audit"}</definedName>
    <definedName name="_1026__FDSAUDITLINK__" hidden="1">{"fdsup://Directions/FactSet Auditing Viewer?action=AUDIT_VALUE&amp;DB=129&amp;ID1=03822210&amp;VALUEID=02001&amp;SDATE=200903&amp;PERIODTYPE=QTR_STD&amp;SCFT=3&amp;window=popup_no_bar&amp;width=385&amp;height=120&amp;START_MAXIMIZED=FALSE&amp;creator=factset&amp;display_string=Audit"}</definedName>
    <definedName name="_1027__FDSAUDITLINK__" hidden="1">{"fdsup://Directions/FactSet Auditing Viewer?action=AUDIT_VALUE&amp;DB=129&amp;ID1=02144110&amp;VALUEID=02001&amp;SDATE=200902&amp;PERIODTYPE=QTR_STD&amp;SCFT=3&amp;window=popup_no_bar&amp;width=385&amp;height=120&amp;START_MAXIMIZED=FALSE&amp;creator=factset&amp;display_string=Audit"}</definedName>
    <definedName name="_1028__FDSAUDITLINK__" hidden="1">{"fdsup://Directions/FactSet Auditing Viewer?action=AUDIT_VALUE&amp;DB=129&amp;ID1=02144110&amp;VALUEID=02001&amp;SDATE=200902&amp;PERIODTYPE=QTR_STD&amp;SCFT=3&amp;window=popup_no_bar&amp;width=385&amp;height=120&amp;START_MAXIMIZED=FALSE&amp;creator=factset&amp;display_string=Audit"}</definedName>
    <definedName name="_1029__FDSAUDITLINK__" hidden="1">{"fdsup://Directions/FactSet Auditing Viewer?action=AUDIT_VALUE&amp;DB=129&amp;ID1=03265410&amp;VALUEID=02001&amp;SDATE=200903&amp;PERIODTYPE=QTR_STD&amp;SCFT=3&amp;window=popup_no_bar&amp;width=385&amp;height=120&amp;START_MAXIMIZED=FALSE&amp;creator=factset&amp;display_string=Audit"}</definedName>
    <definedName name="_103__FDSAUDITLINK__" hidden="1">{"fdsup://Directions/FactSet Auditing Viewer?action=AUDIT_VALUE&amp;DB=129&amp;ID1=42823610&amp;VALUEID=02001&amp;SDATE=201102&amp;PERIODTYPE=QTR_STD&amp;SCFT=3&amp;window=popup_no_bar&amp;width=385&amp;height=120&amp;START_MAXIMIZED=FALSE&amp;creator=factset&amp;display_string=Audit"}</definedName>
    <definedName name="_1030__FDSAUDITLINK__" hidden="1">{"fdsup://Directions/FactSet Auditing Viewer?action=AUDIT_VALUE&amp;DB=129&amp;ID1=03265410&amp;VALUEID=02001&amp;SDATE=200903&amp;PERIODTYPE=QTR_STD&amp;SCFT=3&amp;window=popup_no_bar&amp;width=385&amp;height=120&amp;START_MAXIMIZED=FALSE&amp;creator=factset&amp;display_string=Audit"}</definedName>
    <definedName name="_1031__FDSAUDITLINK__" hidden="1">{"fdsup://Directions/FactSet Auditing Viewer?action=AUDIT_VALUE&amp;DB=129&amp;ID1=00752J10&amp;VALUEID=02001&amp;SDATE=200902&amp;PERIODTYPE=QTR_STD&amp;SCFT=3&amp;window=popup_no_bar&amp;width=385&amp;height=120&amp;START_MAXIMIZED=FALSE&amp;creator=factset&amp;display_string=Audit"}</definedName>
    <definedName name="_1032__FDSAUDITLINK__" hidden="1">{"fdsup://Directions/FactSet Auditing Viewer?action=AUDIT_VALUE&amp;DB=129&amp;ID1=00752J10&amp;VALUEID=02001&amp;SDATE=200902&amp;PERIODTYPE=QTR_STD&amp;SCFT=3&amp;window=popup_no_bar&amp;width=385&amp;height=120&amp;START_MAXIMIZED=FALSE&amp;creator=factset&amp;display_string=Audit"}</definedName>
    <definedName name="_1033__FDSAUDITLINK__" hidden="1">{"fdsup://Directions/FactSet Auditing Viewer?action=AUDIT_VALUE&amp;DB=129&amp;ID1=98975F10&amp;VALUEID=02001&amp;SDATE=200901&amp;PERIODTYPE=QTR_STD&amp;SCFT=3&amp;window=popup_no_bar&amp;width=385&amp;height=120&amp;START_MAXIMIZED=FALSE&amp;creator=factset&amp;display_string=Audit"}</definedName>
    <definedName name="_1034__FDSAUDITLINK__" hidden="1">{"fdsup://Directions/FactSet Auditing Viewer?action=AUDIT_VALUE&amp;DB=129&amp;ID1=98975F10&amp;VALUEID=02001&amp;SDATE=200901&amp;PERIODTYPE=QTR_STD&amp;SCFT=3&amp;window=popup_no_bar&amp;width=385&amp;height=120&amp;START_MAXIMIZED=FALSE&amp;creator=factset&amp;display_string=Audit"}</definedName>
    <definedName name="_1035__FDSAUDITLINK__" hidden="1">{"fdsup://Directions/FactSet Auditing Viewer?action=AUDIT_VALUE&amp;DB=129&amp;ID1=95810210&amp;VALUEID=02001&amp;SDATE=200903&amp;PERIODTYPE=QTR_STD&amp;SCFT=3&amp;window=popup_no_bar&amp;width=385&amp;height=120&amp;START_MAXIMIZED=FALSE&amp;creator=factset&amp;display_string=Audit"}</definedName>
    <definedName name="_1036__FDSAUDITLINK__" hidden="1">{"fdsup://Directions/FactSet Auditing Viewer?action=AUDIT_VALUE&amp;DB=129&amp;ID1=95810210&amp;VALUEID=02001&amp;SDATE=200903&amp;PERIODTYPE=QTR_STD&amp;SCFT=3&amp;window=popup_no_bar&amp;width=385&amp;height=120&amp;START_MAXIMIZED=FALSE&amp;creator=factset&amp;display_string=Audit"}</definedName>
    <definedName name="_1037__FDSAUDITLINK__" hidden="1">{"fdsup://Directions/FactSet Auditing Viewer?action=AUDIT_VALUE&amp;DB=129&amp;ID1=92849730&amp;VALUEID=02001&amp;SDATE=200902&amp;PERIODTYPE=QTR_STD&amp;SCFT=3&amp;window=popup_no_bar&amp;width=385&amp;height=120&amp;START_MAXIMIZED=FALSE&amp;creator=factset&amp;display_string=Audit"}</definedName>
    <definedName name="_1038__FDSAUDITLINK__" hidden="1">{"fdsup://Directions/FactSet Auditing Viewer?action=AUDIT_VALUE&amp;DB=129&amp;ID1=92849730&amp;VALUEID=02001&amp;SDATE=200902&amp;PERIODTYPE=QTR_STD&amp;SCFT=3&amp;window=popup_no_bar&amp;width=385&amp;height=120&amp;START_MAXIMIZED=FALSE&amp;creator=factset&amp;display_string=Audit"}</definedName>
    <definedName name="_1039__FDSAUDITLINK__" hidden="1">{"fdsup://Directions/FactSet Auditing Viewer?action=AUDIT_VALUE&amp;DB=129&amp;ID1=92829810&amp;VALUEID=02001&amp;SDATE=200901&amp;PERIODTYPE=QTR_STD&amp;SCFT=3&amp;window=popup_no_bar&amp;width=385&amp;height=120&amp;START_MAXIMIZED=FALSE&amp;creator=factset&amp;display_string=Audit"}</definedName>
    <definedName name="_104__FDSAUDITLINK__" hidden="1">{"fdsup://Directions/FactSet Auditing Viewer?action=AUDIT_VALUE&amp;DB=129&amp;ID1=42823610&amp;VALUEID=02001&amp;SDATE=201102&amp;PERIODTYPE=QTR_STD&amp;SCFT=3&amp;window=popup_no_bar&amp;width=385&amp;height=120&amp;START_MAXIMIZED=FALSE&amp;creator=factset&amp;display_string=Audit"}</definedName>
    <definedName name="_1040__FDSAUDITLINK__" hidden="1">{"fdsup://Directions/FactSet Auditing Viewer?action=AUDIT_VALUE&amp;DB=129&amp;ID1=92829810&amp;VALUEID=02001&amp;SDATE=200901&amp;PERIODTYPE=QTR_STD&amp;SCFT=3&amp;window=popup_no_bar&amp;width=385&amp;height=120&amp;START_MAXIMIZED=FALSE&amp;creator=factset&amp;display_string=Audit"}</definedName>
    <definedName name="_1041__FDSAUDITLINK__" hidden="1">{"fdsup://Directions/FactSet Auditing Viewer?action=AUDIT_VALUE&amp;DB=129&amp;ID1=88250810&amp;VALUEID=02001&amp;SDATE=200901&amp;PERIODTYPE=QTR_STD&amp;SCFT=3&amp;window=popup_no_bar&amp;width=385&amp;height=120&amp;START_MAXIMIZED=FALSE&amp;creator=factset&amp;display_string=Audit"}</definedName>
    <definedName name="_1042__FDSAUDITLINK__" hidden="1">{"fdsup://Directions/FactSet Auditing Viewer?action=AUDIT_VALUE&amp;DB=129&amp;ID1=88250810&amp;VALUEID=02001&amp;SDATE=200901&amp;PERIODTYPE=QTR_STD&amp;SCFT=3&amp;window=popup_no_bar&amp;width=385&amp;height=120&amp;START_MAXIMIZED=FALSE&amp;creator=factset&amp;display_string=Audit"}</definedName>
    <definedName name="_1043__FDSAUDITLINK__" hidden="1">{"fdsup://Directions/FactSet Auditing Viewer?action=AUDIT_VALUE&amp;DB=129&amp;ID1=89674K10&amp;VALUEID=02001&amp;SDATE=200901&amp;PERIODTYPE=QTR_STD&amp;SCFT=3&amp;window=popup_no_bar&amp;width=385&amp;height=120&amp;START_MAXIMIZED=FALSE&amp;creator=factset&amp;display_string=Audit"}</definedName>
    <definedName name="_1044__FDSAUDITLINK__" hidden="1">{"fdsup://Directions/FactSet Auditing Viewer?action=AUDIT_VALUE&amp;DB=129&amp;ID1=89674K10&amp;VALUEID=02001&amp;SDATE=200901&amp;PERIODTYPE=QTR_STD&amp;SCFT=3&amp;window=popup_no_bar&amp;width=385&amp;height=120&amp;START_MAXIMIZED=FALSE&amp;creator=factset&amp;display_string=Audit"}</definedName>
    <definedName name="_1045__FDSAUDITLINK__" hidden="1">{"fdsup://Directions/FactSet Auditing Viewer?action=AUDIT_VALUE&amp;DB=129&amp;ID1=83088M10&amp;VALUEID=02001&amp;SDATE=200902&amp;PERIODTYPE=QTR_STD&amp;SCFT=3&amp;window=popup_no_bar&amp;width=385&amp;height=120&amp;START_MAXIMIZED=FALSE&amp;creator=factset&amp;display_string=Audit"}</definedName>
    <definedName name="_1046__FDSAUDITLINK__" hidden="1">{"fdsup://Directions/FactSet Auditing Viewer?action=AUDIT_VALUE&amp;DB=129&amp;ID1=83088M10&amp;VALUEID=02001&amp;SDATE=200902&amp;PERIODTYPE=QTR_STD&amp;SCFT=3&amp;window=popup_no_bar&amp;width=385&amp;height=120&amp;START_MAXIMIZED=FALSE&amp;creator=factset&amp;display_string=Audit"}</definedName>
    <definedName name="_1047__FDSAUDITLINK__" hidden="1">{"fdsup://Directions/FactSet Auditing Viewer?action=AUDIT_VALUE&amp;DB=129&amp;ID1=G7945M10&amp;VALUEID=02001&amp;SDATE=200903&amp;PERIODTYPE=QTR_STD&amp;SCFT=3&amp;window=popup_no_bar&amp;width=385&amp;height=120&amp;START_MAXIMIZED=FALSE&amp;creator=factset&amp;display_string=Audit"}</definedName>
    <definedName name="_1048__FDSAUDITLINK__" hidden="1">{"fdsup://Directions/FactSet Auditing Viewer?action=AUDIT_VALUE&amp;DB=129&amp;ID1=G7945M10&amp;VALUEID=02001&amp;SDATE=200903&amp;PERIODTYPE=QTR_STD&amp;SCFT=3&amp;window=popup_no_bar&amp;width=385&amp;height=120&amp;START_MAXIMIZED=FALSE&amp;creator=factset&amp;display_string=Audit"}</definedName>
    <definedName name="_1049__FDSAUDITLINK__" hidden="1">{"fdsup://Directions/FactSet Auditing Viewer?action=AUDIT_VALUE&amp;DB=129&amp;ID1=78477410&amp;VALUEID=02001&amp;SDATE=200901&amp;PERIODTYPE=QTR_STD&amp;SCFT=3&amp;window=popup_no_bar&amp;width=385&amp;height=120&amp;START_MAXIMIZED=FALSE&amp;creator=factset&amp;display_string=Audit"}</definedName>
    <definedName name="_105__FDSAUDITLINK__" hidden="1">{"fdsup://Directions/FactSet Auditing Viewer?action=AUDIT_VALUE&amp;DB=129&amp;ID1=H2906T10&amp;VALUEID=02001&amp;SDATE=201101&amp;PERIODTYPE=QTR_STD&amp;SCFT=3&amp;window=popup_no_bar&amp;width=385&amp;height=120&amp;START_MAXIMIZED=FALSE&amp;creator=factset&amp;display_string=Audit"}</definedName>
    <definedName name="_1050__FDSAUDITLINK__" hidden="1">{"fdsup://Directions/FactSet Auditing Viewer?action=AUDIT_VALUE&amp;DB=129&amp;ID1=78477410&amp;VALUEID=02001&amp;SDATE=200901&amp;PERIODTYPE=QTR_STD&amp;SCFT=3&amp;window=popup_no_bar&amp;width=385&amp;height=120&amp;START_MAXIMIZED=FALSE&amp;creator=factset&amp;display_string=Audit"}</definedName>
    <definedName name="_1051__FDSAUDITLINK__" hidden="1">{"fdsup://Directions/FactSet Auditing Viewer?action=AUDIT_VALUE&amp;DB=129&amp;ID1=82705710&amp;VALUEID=02001&amp;SDATE=200901&amp;PERIODTYPE=QTR_STD&amp;SCFT=3&amp;window=popup_no_bar&amp;width=385&amp;height=120&amp;START_MAXIMIZED=FALSE&amp;creator=factset&amp;display_string=Audit"}</definedName>
    <definedName name="_1052__FDSAUDITLINK__" hidden="1">{"fdsup://Directions/FactSet Auditing Viewer?action=AUDIT_VALUE&amp;DB=129&amp;ID1=82705710&amp;VALUEID=02001&amp;SDATE=200901&amp;PERIODTYPE=QTR_STD&amp;SCFT=3&amp;window=popup_no_bar&amp;width=385&amp;height=120&amp;START_MAXIMIZED=FALSE&amp;creator=factset&amp;display_string=Audit"}</definedName>
    <definedName name="_1053__FDSAUDITLINK__" hidden="1">{"fdsup://Directions/FactSet Auditing Viewer?action=AUDIT_VALUE&amp;DB=129&amp;ID1=83547010&amp;VALUEID=02001&amp;SDATE=200901&amp;PERIODTYPE=QTR_STD&amp;SCFT=3&amp;window=popup_no_bar&amp;width=385&amp;height=120&amp;START_MAXIMIZED=FALSE&amp;creator=factset&amp;display_string=Audit"}</definedName>
    <definedName name="_1054__FDSAUDITLINK__" hidden="1">{"fdsup://Directions/FactSet Auditing Viewer?action=AUDIT_VALUE&amp;DB=129&amp;ID1=83547010&amp;VALUEID=02001&amp;SDATE=200901&amp;PERIODTYPE=QTR_STD&amp;SCFT=3&amp;window=popup_no_bar&amp;width=385&amp;height=120&amp;START_MAXIMIZED=FALSE&amp;creator=factset&amp;display_string=Audit"}</definedName>
    <definedName name="_1055__FDSAUDITLINK__" hidden="1">{"fdsup://Directions/FactSet Auditing Viewer?action=AUDIT_VALUE&amp;DB=129&amp;ID1=80004C10&amp;VALUEID=02001&amp;SDATE=200901&amp;PERIODTYPE=QTR_STD&amp;SCFT=3&amp;window=popup_no_bar&amp;width=385&amp;height=120&amp;START_MAXIMIZED=FALSE&amp;creator=factset&amp;display_string=Audit"}</definedName>
    <definedName name="_1056__FDSAUDITLINK__" hidden="1">{"fdsup://Directions/FactSet Auditing Viewer?action=AUDIT_VALUE&amp;DB=129&amp;ID1=80004C10&amp;VALUEID=02001&amp;SDATE=200901&amp;PERIODTYPE=QTR_STD&amp;SCFT=3&amp;window=popup_no_bar&amp;width=385&amp;height=120&amp;START_MAXIMIZED=FALSE&amp;creator=factset&amp;display_string=Audit"}</definedName>
    <definedName name="_1057__FDSAUDITLINK__" hidden="1">{"fdsup://Directions/FactSet Auditing Viewer?action=AUDIT_VALUE&amp;DB=129&amp;ID1=82691910&amp;VALUEID=02001&amp;SDATE=200901&amp;PERIODTYPE=QTR_STD&amp;SCFT=3&amp;window=popup_no_bar&amp;width=385&amp;height=120&amp;START_MAXIMIZED=FALSE&amp;creator=factset&amp;display_string=Audit"}</definedName>
    <definedName name="_1058__FDSAUDITLINK__" hidden="1">{"fdsup://Directions/FactSet Auditing Viewer?action=AUDIT_VALUE&amp;DB=129&amp;ID1=82691910&amp;VALUEID=02001&amp;SDATE=200901&amp;PERIODTYPE=QTR_STD&amp;SCFT=3&amp;window=popup_no_bar&amp;width=385&amp;height=120&amp;START_MAXIMIZED=FALSE&amp;creator=factset&amp;display_string=Audit"}</definedName>
    <definedName name="_1059__FDSAUDITLINK__" hidden="1">{"fdsup://Directions/FactSet Auditing Viewer?action=AUDIT_VALUE&amp;DB=129&amp;ID1=82705T10&amp;VALUEID=02001&amp;SDATE=200901&amp;PERIODTYPE=QTR_STD&amp;SCFT=3&amp;window=popup_no_bar&amp;width=385&amp;height=120&amp;START_MAXIMIZED=FALSE&amp;creator=factset&amp;display_string=Audit"}</definedName>
    <definedName name="_106__FDSAUDITLINK__" hidden="1">{"fdsup://Directions/FactSet Auditing Viewer?action=AUDIT_VALUE&amp;DB=129&amp;ID1=H2906T10&amp;VALUEID=02001&amp;SDATE=201101&amp;PERIODTYPE=QTR_STD&amp;SCFT=3&amp;window=popup_no_bar&amp;width=385&amp;height=120&amp;START_MAXIMIZED=FALSE&amp;creator=factset&amp;display_string=Audit"}</definedName>
    <definedName name="_1060__FDSAUDITLINK__" hidden="1">{"fdsup://Directions/FactSet Auditing Viewer?action=AUDIT_VALUE&amp;DB=129&amp;ID1=82705T10&amp;VALUEID=02001&amp;SDATE=200901&amp;PERIODTYPE=QTR_STD&amp;SCFT=3&amp;window=popup_no_bar&amp;width=385&amp;height=120&amp;START_MAXIMIZED=FALSE&amp;creator=factset&amp;display_string=Audit"}</definedName>
    <definedName name="_1061__FDSAUDITLINK__" hidden="1">{"fdsup://Directions/FactSet Auditing Viewer?action=AUDIT_VALUE&amp;DB=129&amp;ID1=75091710&amp;VALUEID=02001&amp;SDATE=200901&amp;PERIODTYPE=QTR_STD&amp;SCFT=3&amp;window=popup_no_bar&amp;width=385&amp;height=120&amp;START_MAXIMIZED=FALSE&amp;creator=factset&amp;display_string=Audit"}</definedName>
    <definedName name="_1062__FDSAUDITLINK__" hidden="1">{"fdsup://Directions/FactSet Auditing Viewer?action=AUDIT_VALUE&amp;DB=129&amp;ID1=75091710&amp;VALUEID=02001&amp;SDATE=200901&amp;PERIODTYPE=QTR_STD&amp;SCFT=3&amp;window=popup_no_bar&amp;width=385&amp;height=120&amp;START_MAXIMIZED=FALSE&amp;creator=factset&amp;display_string=Audit"}</definedName>
    <definedName name="_1063__FDSAUDITLINK__" hidden="1">{"fdsup://Directions/FactSet Auditing Viewer?action=AUDIT_VALUE&amp;DB=129&amp;ID1=74752510&amp;VALUEID=02001&amp;SDATE=200902&amp;PERIODTYPE=QTR_STD&amp;SCFT=3&amp;window=popup_no_bar&amp;width=385&amp;height=120&amp;START_MAXIMIZED=FALSE&amp;creator=factset&amp;display_string=Audit"}</definedName>
    <definedName name="_1064__FDSAUDITLINK__" hidden="1">{"fdsup://Directions/FactSet Auditing Viewer?action=AUDIT_VALUE&amp;DB=129&amp;ID1=74752510&amp;VALUEID=02001&amp;SDATE=200902&amp;PERIODTYPE=QTR_STD&amp;SCFT=3&amp;window=popup_no_bar&amp;width=385&amp;height=120&amp;START_MAXIMIZED=FALSE&amp;creator=factset&amp;display_string=Audit"}</definedName>
    <definedName name="_1065__FDSAUDITLINK__" hidden="1">{"fdsup://Directions/FactSet Auditing Viewer?action=AUDIT_VALUE&amp;DB=129&amp;ID1=72581M30&amp;VALUEID=02001&amp;SDATE=200901&amp;PERIODTYPE=QTR_STD&amp;SCFT=3&amp;window=popup_no_bar&amp;width=385&amp;height=120&amp;START_MAXIMIZED=FALSE&amp;creator=factset&amp;display_string=Audit"}</definedName>
    <definedName name="_1066__FDSAUDITLINK__" hidden="1">{"fdsup://Directions/FactSet Auditing Viewer?action=AUDIT_VALUE&amp;DB=129&amp;ID1=72581M30&amp;VALUEID=02001&amp;SDATE=200901&amp;PERIODTYPE=QTR_STD&amp;SCFT=3&amp;window=popup_no_bar&amp;width=385&amp;height=120&amp;START_MAXIMIZED=FALSE&amp;creator=factset&amp;display_string=Audit"}</definedName>
    <definedName name="_1067__FDSAUDITLINK__" hidden="1">{"fdsup://Directions/FactSet Auditing Viewer?action=AUDIT_VALUE&amp;DB=129&amp;ID1=73927610&amp;VALUEID=02001&amp;SDATE=200901&amp;PERIODTYPE=QTR_STD&amp;SCFT=3&amp;window=popup_no_bar&amp;width=385&amp;height=120&amp;START_MAXIMIZED=FALSE&amp;creator=factset&amp;display_string=Audit"}</definedName>
    <definedName name="_1068__FDSAUDITLINK__" hidden="1">{"fdsup://Directions/FactSet Auditing Viewer?action=AUDIT_VALUE&amp;DB=129&amp;ID1=73927610&amp;VALUEID=02001&amp;SDATE=200901&amp;PERIODTYPE=QTR_STD&amp;SCFT=3&amp;window=popup_no_bar&amp;width=385&amp;height=120&amp;START_MAXIMIZED=FALSE&amp;creator=factset&amp;display_string=Audit"}</definedName>
    <definedName name="_1069__FDSAUDITLINK__" hidden="1">{"fdsup://Directions/FactSet Auditing Viewer?action=AUDIT_VALUE&amp;DB=129&amp;ID1=69344F10&amp;VALUEID=02001&amp;SDATE=200901&amp;PERIODTYPE=QTR_STD&amp;SCFT=3&amp;window=popup_no_bar&amp;width=385&amp;height=120&amp;START_MAXIMIZED=FALSE&amp;creator=factset&amp;display_string=Audit"}</definedName>
    <definedName name="_107__FDSAUDITLINK__" hidden="1">{"fdsup://Directions/FactSet Auditing Viewer?action=AUDIT_VALUE&amp;DB=129&amp;ID1=34637510&amp;VALUEID=02001&amp;SDATE=201101&amp;PERIODTYPE=QTR_STD&amp;SCFT=3&amp;window=popup_no_bar&amp;width=385&amp;height=120&amp;START_MAXIMIZED=FALSE&amp;creator=factset&amp;display_string=Audit"}</definedName>
    <definedName name="_1070__FDSAUDITLINK__" hidden="1">{"fdsup://Directions/FactSet Auditing Viewer?action=AUDIT_VALUE&amp;DB=129&amp;ID1=69344F10&amp;VALUEID=02001&amp;SDATE=200901&amp;PERIODTYPE=QTR_STD&amp;SCFT=3&amp;window=popup_no_bar&amp;width=385&amp;height=120&amp;START_MAXIMIZED=FALSE&amp;creator=factset&amp;display_string=Audit"}</definedName>
    <definedName name="_1071__FDSAUDITLINK__" hidden="1">{"fdsup://Directions/FactSet Auditing Viewer?action=AUDIT_VALUE&amp;DB=129&amp;ID1=69341710&amp;VALUEID=02001&amp;SDATE=200901&amp;PERIODTYPE=QTR_STD&amp;SCFT=3&amp;window=popup_no_bar&amp;width=385&amp;height=120&amp;START_MAXIMIZED=FALSE&amp;creator=factset&amp;display_string=Audit"}</definedName>
    <definedName name="_1072__FDSAUDITLINK__" hidden="1">{"fdsup://Directions/FactSet Auditing Viewer?action=AUDIT_VALUE&amp;DB=129&amp;ID1=69341710&amp;VALUEID=02001&amp;SDATE=200901&amp;PERIODTYPE=QTR_STD&amp;SCFT=3&amp;window=popup_no_bar&amp;width=385&amp;height=120&amp;START_MAXIMIZED=FALSE&amp;creator=factset&amp;display_string=Audit"}</definedName>
    <definedName name="_1073__FDSAUDITLINK__" hidden="1">{"fdsup://Directions/FactSet Auditing Viewer?action=AUDIT_VALUE&amp;DB=129&amp;ID1=68218910&amp;VALUEID=02001&amp;SDATE=200901&amp;PERIODTYPE=QTR_STD&amp;SCFT=3&amp;window=popup_no_bar&amp;width=385&amp;height=120&amp;START_MAXIMIZED=FALSE&amp;creator=factset&amp;display_string=Audit"}</definedName>
    <definedName name="_1074__FDSAUDITLINK__" hidden="1">{"fdsup://Directions/FactSet Auditing Viewer?action=AUDIT_VALUE&amp;DB=129&amp;ID1=68218910&amp;VALUEID=02001&amp;SDATE=200901&amp;PERIODTYPE=QTR_STD&amp;SCFT=3&amp;window=popup_no_bar&amp;width=385&amp;height=120&amp;START_MAXIMIZED=FALSE&amp;creator=factset&amp;display_string=Audit"}</definedName>
    <definedName name="_1075__FDSAUDITLINK__" hidden="1">{"fdsup://Directions/FactSet Auditing Viewer?action=AUDIT_VALUE&amp;DB=129&amp;ID1=B505PN&amp;VALUEID=02001&amp;SDATE=200901&amp;PERIODTYPE=QTR_STD&amp;SCFT=3&amp;window=popup_no_bar&amp;width=385&amp;height=120&amp;START_MAXIMIZED=FALSE&amp;creator=factset&amp;display_string=Audit"}</definedName>
    <definedName name="_1076__FDSAUDITLINK__" hidden="1">{"fdsup://Directions/FactSet Auditing Viewer?action=AUDIT_VALUE&amp;DB=129&amp;ID1=B505PN&amp;VALUEID=02001&amp;SDATE=200901&amp;PERIODTYPE=QTR_STD&amp;SCFT=3&amp;window=popup_no_bar&amp;width=385&amp;height=120&amp;START_MAXIMIZED=FALSE&amp;creator=factset&amp;display_string=Audit"}</definedName>
    <definedName name="_1077__FDSAUDITLINK__" hidden="1">{"fdsup://Directions/FactSet Auditing Viewer?action=AUDIT_VALUE&amp;DB=129&amp;ID1=67000810&amp;VALUEID=02001&amp;SDATE=200901&amp;PERIODTYPE=QTR_STD&amp;SCFT=3&amp;window=popup_no_bar&amp;width=385&amp;height=120&amp;START_MAXIMIZED=FALSE&amp;creator=factset&amp;display_string=Audit"}</definedName>
    <definedName name="_1078__FDSAUDITLINK__" hidden="1">{"fdsup://Directions/FactSet Auditing Viewer?action=AUDIT_VALUE&amp;DB=129&amp;ID1=67000810&amp;VALUEID=02001&amp;SDATE=200901&amp;PERIODTYPE=QTR_STD&amp;SCFT=3&amp;window=popup_no_bar&amp;width=385&amp;height=120&amp;START_MAXIMIZED=FALSE&amp;creator=factset&amp;display_string=Audit"}</definedName>
    <definedName name="_1079__FDSAUDITLINK__" hidden="1">{"fdsup://Directions/FactSet Auditing Viewer?action=AUDIT_VALUE&amp;DB=129&amp;ID1=63764010&amp;VALUEID=02001&amp;SDATE=200803&amp;PERIODTYPE=QTR_STD&amp;SCFT=3&amp;window=popup_no_bar&amp;width=385&amp;height=120&amp;START_MAXIMIZED=FALSE&amp;creator=factset&amp;display_string=Audit"}</definedName>
    <definedName name="_108__FDSAUDITLINK__" hidden="1">{"fdsup://Directions/FactSet Auditing Viewer?action=AUDIT_VALUE&amp;DB=129&amp;ID1=34637510&amp;VALUEID=02001&amp;SDATE=201101&amp;PERIODTYPE=QTR_STD&amp;SCFT=3&amp;window=popup_no_bar&amp;width=385&amp;height=120&amp;START_MAXIMIZED=FALSE&amp;creator=factset&amp;display_string=Audit"}</definedName>
    <definedName name="_1080__FDSAUDITLINK__" hidden="1">{"fdsup://Directions/FactSet Auditing Viewer?action=AUDIT_VALUE&amp;DB=129&amp;ID1=63764010&amp;VALUEID=02001&amp;SDATE=200803&amp;PERIODTYPE=QTR_STD&amp;SCFT=3&amp;window=popup_no_bar&amp;width=385&amp;height=120&amp;START_MAXIMIZED=FALSE&amp;creator=factset&amp;display_string=Audit"}</definedName>
    <definedName name="_1081__FDSAUDITLINK__" hidden="1">{"fdsup://Directions/FactSet Auditing Viewer?action=AUDIT_VALUE&amp;DB=129&amp;ID1=64118B10&amp;VALUEID=02001&amp;SDATE=200901&amp;PERIODTYPE=QTR_STD&amp;SCFT=3&amp;window=popup_no_bar&amp;width=385&amp;height=120&amp;START_MAXIMIZED=FALSE&amp;creator=factset&amp;display_string=Audit"}</definedName>
    <definedName name="_1082__FDSAUDITLINK__" hidden="1">{"fdsup://Directions/FactSet Auditing Viewer?action=AUDIT_VALUE&amp;DB=129&amp;ID1=64118B10&amp;VALUEID=02001&amp;SDATE=200901&amp;PERIODTYPE=QTR_STD&amp;SCFT=3&amp;window=popup_no_bar&amp;width=385&amp;height=120&amp;START_MAXIMIZED=FALSE&amp;creator=factset&amp;display_string=Audit"}</definedName>
    <definedName name="_1083__FDSAUDITLINK__" hidden="1">{"fdsup://Directions/FactSet Auditing Viewer?action=AUDIT_VALUE&amp;DB=129&amp;ID1=57772K10&amp;VALUEID=02001&amp;SDATE=200903&amp;PERIODTYPE=QTR_STD&amp;SCFT=3&amp;window=popup_no_bar&amp;width=385&amp;height=120&amp;START_MAXIMIZED=FALSE&amp;creator=factset&amp;display_string=Audit"}</definedName>
    <definedName name="_1084__FDSAUDITLINK__" hidden="1">{"fdsup://Directions/FactSet Auditing Viewer?action=AUDIT_VALUE&amp;DB=129&amp;ID1=57772K10&amp;VALUEID=02001&amp;SDATE=200903&amp;PERIODTYPE=QTR_STD&amp;SCFT=3&amp;window=popup_no_bar&amp;width=385&amp;height=120&amp;START_MAXIMIZED=FALSE&amp;creator=factset&amp;display_string=Audit"}</definedName>
    <definedName name="_1085__FDSAUDITLINK__" hidden="1">{"fdsup://Directions/FactSet Auditing Viewer?action=AUDIT_VALUE&amp;DB=129&amp;ID1=59511210&amp;VALUEID=02001&amp;SDATE=200902&amp;PERIODTYPE=QTR_STD&amp;SCFT=3&amp;window=popup_no_bar&amp;width=385&amp;height=120&amp;START_MAXIMIZED=FALSE&amp;creator=factset&amp;display_string=Audit"}</definedName>
    <definedName name="_1086__FDSAUDITLINK__" hidden="1">{"fdsup://Directions/FactSet Auditing Viewer?action=AUDIT_VALUE&amp;DB=129&amp;ID1=59511210&amp;VALUEID=02001&amp;SDATE=200902&amp;PERIODTYPE=QTR_STD&amp;SCFT=3&amp;window=popup_no_bar&amp;width=385&amp;height=120&amp;START_MAXIMIZED=FALSE&amp;creator=factset&amp;display_string=Audit"}</definedName>
    <definedName name="_1087__FDSAUDITLINK__" hidden="1">{"fdsup://Directions/FactSet Auditing Viewer?action=AUDIT_VALUE&amp;DB=129&amp;ID1=59513710&amp;VALUEID=02001&amp;SDATE=200902&amp;PERIODTYPE=QTR_STD&amp;SCFT=3&amp;window=popup_no_bar&amp;width=385&amp;height=120&amp;START_MAXIMIZED=FALSE&amp;creator=factset&amp;display_string=Audit"}</definedName>
    <definedName name="_1088__FDSAUDITLINK__" hidden="1">{"fdsup://Directions/FactSet Auditing Viewer?action=AUDIT_VALUE&amp;DB=129&amp;ID1=59513710&amp;VALUEID=02001&amp;SDATE=200902&amp;PERIODTYPE=QTR_STD&amp;SCFT=3&amp;window=popup_no_bar&amp;width=385&amp;height=120&amp;START_MAXIMIZED=FALSE&amp;creator=factset&amp;display_string=Audit"}</definedName>
    <definedName name="_1089__FDSAUDITLINK__" hidden="1">{"fdsup://Directions/FactSet Auditing Viewer?action=AUDIT_VALUE&amp;DB=129&amp;ID1=62007630&amp;VALUEID=02001&amp;SDATE=200901&amp;PERIODTYPE=QTR_STD&amp;SCFT=3&amp;window=popup_no_bar&amp;width=385&amp;height=120&amp;START_MAXIMIZED=FALSE&amp;creator=factset&amp;display_string=Audit"}</definedName>
    <definedName name="_109__FDSAUDITLINK__" hidden="1">{"fdsup://Directions/FactSet Auditing Viewer?action=AUDIT_VALUE&amp;DB=129&amp;ID1=31561610&amp;VALUEID=02001&amp;SDATE=201102&amp;PERIODTYPE=QTR_STD&amp;SCFT=3&amp;window=popup_no_bar&amp;width=385&amp;height=120&amp;START_MAXIMIZED=FALSE&amp;creator=factset&amp;display_string=Audit"}</definedName>
    <definedName name="_1090__FDSAUDITLINK__" hidden="1">{"fdsup://Directions/FactSet Auditing Viewer?action=AUDIT_VALUE&amp;DB=129&amp;ID1=62007630&amp;VALUEID=02001&amp;SDATE=200901&amp;PERIODTYPE=QTR_STD&amp;SCFT=3&amp;window=popup_no_bar&amp;width=385&amp;height=120&amp;START_MAXIMIZED=FALSE&amp;creator=factset&amp;display_string=Audit"}</definedName>
    <definedName name="_1091__FDSAUDITLINK__" hidden="1">{"fdsup://Directions/FactSet Auditing Viewer?action=AUDIT_VALUE&amp;DB=129&amp;ID1=59479310&amp;VALUEID=02001&amp;SDATE=200901&amp;PERIODTYPE=QTR_STD&amp;SCFT=3&amp;window=popup_no_bar&amp;width=385&amp;height=120&amp;START_MAXIMIZED=FALSE&amp;creator=factset&amp;display_string=Audit"}</definedName>
    <definedName name="_1092__FDSAUDITLINK__" hidden="1">{"fdsup://Directions/FactSet Auditing Viewer?action=AUDIT_VALUE&amp;DB=129&amp;ID1=59479310&amp;VALUEID=02001&amp;SDATE=200901&amp;PERIODTYPE=QTR_STD&amp;SCFT=3&amp;window=popup_no_bar&amp;width=385&amp;height=120&amp;START_MAXIMIZED=FALSE&amp;creator=factset&amp;display_string=Audit"}</definedName>
    <definedName name="_1093__FDSAUDITLINK__" hidden="1">{"fdsup://Directions/FactSet Auditing Viewer?action=AUDIT_VALUE&amp;DB=129&amp;ID1=50216110&amp;VALUEID=02001&amp;SDATE=200901&amp;PERIODTYPE=QTR_STD&amp;SCFT=3&amp;window=popup_no_bar&amp;width=385&amp;height=120&amp;START_MAXIMIZED=FALSE&amp;creator=factset&amp;display_string=Audit"}</definedName>
    <definedName name="_1094__FDSAUDITLINK__" hidden="1">{"fdsup://Directions/FactSet Auditing Viewer?action=AUDIT_VALUE&amp;DB=129&amp;ID1=50216110&amp;VALUEID=02001&amp;SDATE=200901&amp;PERIODTYPE=QTR_STD&amp;SCFT=3&amp;window=popup_no_bar&amp;width=385&amp;height=120&amp;START_MAXIMIZED=FALSE&amp;creator=factset&amp;display_string=Audit"}</definedName>
    <definedName name="_1095__FDSAUDITLINK__" hidden="1">{"fdsup://Directions/FactSet Auditing Viewer?action=AUDIT_VALUE&amp;DB=129&amp;ID1=51841510&amp;VALUEID=02001&amp;SDATE=200901&amp;PERIODTYPE=QTR_STD&amp;SCFT=3&amp;window=popup_no_bar&amp;width=385&amp;height=120&amp;START_MAXIMIZED=FALSE&amp;creator=factset&amp;display_string=Audit"}</definedName>
    <definedName name="_1096__FDSAUDITLINK__" hidden="1">{"fdsup://Directions/FactSet Auditing Viewer?action=AUDIT_VALUE&amp;DB=129&amp;ID1=51841510&amp;VALUEID=02001&amp;SDATE=200901&amp;PERIODTYPE=QTR_STD&amp;SCFT=3&amp;window=popup_no_bar&amp;width=385&amp;height=120&amp;START_MAXIMIZED=FALSE&amp;creator=factset&amp;display_string=Audit"}</definedName>
    <definedName name="_1097__FDSAUDITLINK__" hidden="1">{"fdsup://Directions/FactSet Auditing Viewer?action=AUDIT_VALUE&amp;DB=129&amp;ID1=51280710&amp;VALUEID=02001&amp;SDATE=200903&amp;PERIODTYPE=QTR_STD&amp;SCFT=3&amp;window=popup_no_bar&amp;width=385&amp;height=120&amp;START_MAXIMIZED=FALSE&amp;creator=factset&amp;display_string=Audit"}</definedName>
    <definedName name="_1098__FDSAUDITLINK__" hidden="1">{"fdsup://Directions/FactSet Auditing Viewer?action=AUDIT_VALUE&amp;DB=129&amp;ID1=51280710&amp;VALUEID=02001&amp;SDATE=200903&amp;PERIODTYPE=QTR_STD&amp;SCFT=3&amp;window=popup_no_bar&amp;width=385&amp;height=120&amp;START_MAXIMIZED=FALSE&amp;creator=factset&amp;display_string=Audit"}</definedName>
    <definedName name="_1099__FDSAUDITLINK__" hidden="1">{"fdsup://Directions/FactSet Auditing Viewer?action=AUDIT_VALUE&amp;DB=129&amp;ID1=53567810&amp;VALUEID=02001&amp;SDATE=200903&amp;PERIODTYPE=QTR_STD&amp;SCFT=3&amp;window=popup_no_bar&amp;width=385&amp;height=120&amp;START_MAXIMIZED=FALSE&amp;creator=factset&amp;display_string=Audit"}</definedName>
    <definedName name="_11__FDSAUDITLINK__" hidden="1">{"fdsup://Directions/FactSet Auditing Viewer?action=AUDIT_VALUE&amp;DB=129&amp;ID1=45814010&amp;VALUEID=05194&amp;SDATE=201103&amp;PERIODTYPE=QTR_STD&amp;SCFT=3&amp;window=popup_no_bar&amp;width=385&amp;height=120&amp;START_MAXIMIZED=FALSE&amp;creator=factset&amp;display_string=Audit"}</definedName>
    <definedName name="_110__FDSAUDITLINK__" hidden="1">{"fdsup://Directions/FactSet Auditing Viewer?action=AUDIT_VALUE&amp;DB=129&amp;ID1=31561610&amp;VALUEID=02001&amp;SDATE=201102&amp;PERIODTYPE=QTR_STD&amp;SCFT=3&amp;window=popup_no_bar&amp;width=385&amp;height=120&amp;START_MAXIMIZED=FALSE&amp;creator=factset&amp;display_string=Audit"}</definedName>
    <definedName name="_1100__FDSAUDITLINK__" hidden="1">{"fdsup://Directions/FactSet Auditing Viewer?action=AUDIT_VALUE&amp;DB=129&amp;ID1=53567810&amp;VALUEID=02001&amp;SDATE=200903&amp;PERIODTYPE=QTR_STD&amp;SCFT=3&amp;window=popup_no_bar&amp;width=385&amp;height=120&amp;START_MAXIMIZED=FALSE&amp;creator=factset&amp;display_string=Audit"}</definedName>
    <definedName name="_1101__FDSAUDITLINK__" hidden="1">{"fdsup://Directions/FactSet Auditing Viewer?action=AUDIT_VALUE&amp;DB=129&amp;ID1=48248010&amp;VALUEID=02001&amp;SDATE=200903&amp;PERIODTYPE=QTR_STD&amp;SCFT=3&amp;window=popup_no_bar&amp;width=385&amp;height=120&amp;START_MAXIMIZED=FALSE&amp;creator=factset&amp;display_string=Audit"}</definedName>
    <definedName name="_1102__FDSAUDITLINK__" hidden="1">{"fdsup://Directions/FactSet Auditing Viewer?action=AUDIT_VALUE&amp;DB=129&amp;ID1=48248010&amp;VALUEID=02001&amp;SDATE=200903&amp;PERIODTYPE=QTR_STD&amp;SCFT=3&amp;window=popup_no_bar&amp;width=385&amp;height=120&amp;START_MAXIMIZED=FALSE&amp;creator=factset&amp;display_string=Audit"}</definedName>
    <definedName name="_1103__FDSAUDITLINK__" hidden="1">{"fdsup://Directions/FactSet Auditing Viewer?action=AUDIT_VALUE&amp;DB=129&amp;ID1=48203R10&amp;VALUEID=02001&amp;SDATE=200901&amp;PERIODTYPE=QTR_STD&amp;SCFT=3&amp;window=popup_no_bar&amp;width=385&amp;height=120&amp;START_MAXIMIZED=FALSE&amp;creator=factset&amp;display_string=Audit"}</definedName>
    <definedName name="_1104__FDSAUDITLINK__" hidden="1">{"fdsup://Directions/FactSet Auditing Viewer?action=AUDIT_VALUE&amp;DB=129&amp;ID1=48203R10&amp;VALUEID=02001&amp;SDATE=200901&amp;PERIODTYPE=QTR_STD&amp;SCFT=3&amp;window=popup_no_bar&amp;width=385&amp;height=120&amp;START_MAXIMIZED=FALSE&amp;creator=factset&amp;display_string=Audit"}</definedName>
    <definedName name="_1105__FDSAUDITLINK__" hidden="1">{"fdsup://Directions/FactSet Auditing Viewer?action=AUDIT_VALUE&amp;DB=129&amp;ID1=86681020&amp;VALUEID=02001&amp;SDATE=200903&amp;PERIODTYPE=QTR_STD&amp;SCFT=3&amp;window=popup_no_bar&amp;width=385&amp;height=120&amp;START_MAXIMIZED=FALSE&amp;creator=factset&amp;display_string=Audit"}</definedName>
    <definedName name="_1106__FDSAUDITLINK__" hidden="1">{"fdsup://Directions/FactSet Auditing Viewer?action=AUDIT_VALUE&amp;DB=129&amp;ID1=86681020&amp;VALUEID=02001&amp;SDATE=200903&amp;PERIODTYPE=QTR_STD&amp;SCFT=3&amp;window=popup_no_bar&amp;width=385&amp;height=120&amp;START_MAXIMIZED=FALSE&amp;creator=factset&amp;display_string=Audit"}</definedName>
    <definedName name="_1107__FDSAUDITLINK__" hidden="1">{"fdsup://Directions/FactSet Auditing Viewer?action=AUDIT_VALUE&amp;DB=129&amp;ID1=46069S10&amp;VALUEID=02001&amp;SDATE=200901&amp;PERIODTYPE=QTR_STD&amp;SCFT=3&amp;window=popup_no_bar&amp;width=385&amp;height=120&amp;START_MAXIMIZED=FALSE&amp;creator=factset&amp;display_string=Audit"}</definedName>
    <definedName name="_1108__FDSAUDITLINK__" hidden="1">{"fdsup://Directions/FactSet Auditing Viewer?action=AUDIT_VALUE&amp;DB=129&amp;ID1=46069S10&amp;VALUEID=02001&amp;SDATE=200901&amp;PERIODTYPE=QTR_STD&amp;SCFT=3&amp;window=popup_no_bar&amp;width=385&amp;height=120&amp;START_MAXIMIZED=FALSE&amp;creator=factset&amp;display_string=Audit"}</definedName>
    <definedName name="_1109__FDSAUDITLINK__" hidden="1">{"fdsup://Directions/FactSet Auditing Viewer?action=AUDIT_VALUE&amp;DB=129&amp;ID1=46025410&amp;VALUEID=02001&amp;SDATE=200903&amp;PERIODTYPE=QTR_STD&amp;SCFT=3&amp;window=popup_no_bar&amp;width=385&amp;height=120&amp;START_MAXIMIZED=FALSE&amp;creator=factset&amp;display_string=Audit"}</definedName>
    <definedName name="_111__FDSAUDITLINK__" hidden="1">{"fdsup://Directions/FactSet Auditing Viewer?action=AUDIT_VALUE&amp;DB=129&amp;ID1=29247520&amp;VALUEID=02001&amp;SDATE=201103&amp;PERIODTYPE=QTR_STD&amp;SCFT=3&amp;window=popup_no_bar&amp;width=385&amp;height=120&amp;START_MAXIMIZED=FALSE&amp;creator=factset&amp;display_string=Audit"}</definedName>
    <definedName name="_1110__FDSAUDITLINK__" hidden="1">{"fdsup://Directions/FactSet Auditing Viewer?action=AUDIT_VALUE&amp;DB=129&amp;ID1=46025410&amp;VALUEID=02001&amp;SDATE=200903&amp;PERIODTYPE=QTR_STD&amp;SCFT=3&amp;window=popup_no_bar&amp;width=385&amp;height=120&amp;START_MAXIMIZED=FALSE&amp;creator=factset&amp;display_string=Audit"}</definedName>
    <definedName name="_1111__FDSAUDITLINK__" hidden="1">{"fdsup://Directions/FactSet Auditing Viewer?action=AUDIT_VALUE&amp;DB=129&amp;ID1=45814010&amp;VALUEID=02001&amp;SDATE=200901&amp;PERIODTYPE=QTR_STD&amp;SCFT=3&amp;window=popup_no_bar&amp;width=385&amp;height=120&amp;START_MAXIMIZED=FALSE&amp;creator=factset&amp;display_string=Audit"}</definedName>
    <definedName name="_1112__FDSAUDITLINK__" hidden="1">{"fdsup://Directions/FactSet Auditing Viewer?action=AUDIT_VALUE&amp;DB=129&amp;ID1=45814010&amp;VALUEID=02001&amp;SDATE=200901&amp;PERIODTYPE=QTR_STD&amp;SCFT=3&amp;window=popup_no_bar&amp;width=385&amp;height=120&amp;START_MAXIMIZED=FALSE&amp;creator=factset&amp;display_string=Audit"}</definedName>
    <definedName name="_1113__FDSAUDITLINK__" hidden="1">{"fdsup://Directions/FactSet Auditing Viewer?action=AUDIT_VALUE&amp;DB=129&amp;ID1=42823610&amp;VALUEID=02001&amp;SDATE=200902&amp;PERIODTYPE=QTR_STD&amp;SCFT=3&amp;window=popup_no_bar&amp;width=385&amp;height=120&amp;START_MAXIMIZED=FALSE&amp;creator=factset&amp;display_string=Audit"}</definedName>
    <definedName name="_1114__FDSAUDITLINK__" hidden="1">{"fdsup://Directions/FactSet Auditing Viewer?action=AUDIT_VALUE&amp;DB=129&amp;ID1=42823610&amp;VALUEID=02001&amp;SDATE=200902&amp;PERIODTYPE=QTR_STD&amp;SCFT=3&amp;window=popup_no_bar&amp;width=385&amp;height=120&amp;START_MAXIMIZED=FALSE&amp;creator=factset&amp;display_string=Audit"}</definedName>
    <definedName name="_1115__FDSAUDITLINK__" hidden="1">{"fdsup://Directions/FactSet Auditing Viewer?action=AUDIT_VALUE&amp;DB=129&amp;ID1=H2906T10&amp;VALUEID=02001&amp;SDATE=200901&amp;PERIODTYPE=QTR_STD&amp;SCFT=3&amp;window=popup_no_bar&amp;width=385&amp;height=120&amp;START_MAXIMIZED=FALSE&amp;creator=factset&amp;display_string=Audit"}</definedName>
    <definedName name="_1116__FDSAUDITLINK__" hidden="1">{"fdsup://Directions/FactSet Auditing Viewer?action=AUDIT_VALUE&amp;DB=129&amp;ID1=H2906T10&amp;VALUEID=02001&amp;SDATE=200901&amp;PERIODTYPE=QTR_STD&amp;SCFT=3&amp;window=popup_no_bar&amp;width=385&amp;height=120&amp;START_MAXIMIZED=FALSE&amp;creator=factset&amp;display_string=Audit"}</definedName>
    <definedName name="_1117__FDSAUDITLINK__" hidden="1">{"fdsup://Directions/FactSet Auditing Viewer?action=AUDIT_VALUE&amp;DB=129&amp;ID1=34637510&amp;VALUEID=02001&amp;SDATE=200901&amp;PERIODTYPE=QTR_STD&amp;SCFT=3&amp;window=popup_no_bar&amp;width=385&amp;height=120&amp;START_MAXIMIZED=FALSE&amp;creator=factset&amp;display_string=Audit"}</definedName>
    <definedName name="_1118__FDSAUDITLINK__" hidden="1">{"fdsup://Directions/FactSet Auditing Viewer?action=AUDIT_VALUE&amp;DB=129&amp;ID1=34637510&amp;VALUEID=02001&amp;SDATE=200901&amp;PERIODTYPE=QTR_STD&amp;SCFT=3&amp;window=popup_no_bar&amp;width=385&amp;height=120&amp;START_MAXIMIZED=FALSE&amp;creator=factset&amp;display_string=Audit"}</definedName>
    <definedName name="_1119__FDSAUDITLINK__" hidden="1">{"fdsup://Directions/FactSet Auditing Viewer?action=AUDIT_VALUE&amp;DB=129&amp;ID1=31561610&amp;VALUEID=02001&amp;SDATE=200902&amp;PERIODTYPE=QTR_STD&amp;SCFT=3&amp;window=popup_no_bar&amp;width=385&amp;height=120&amp;START_MAXIMIZED=FALSE&amp;creator=factset&amp;display_string=Audit"}</definedName>
    <definedName name="_112__FDSAUDITLINK__" hidden="1">{"fdsup://Directions/FactSet Auditing Viewer?action=AUDIT_VALUE&amp;DB=129&amp;ID1=29247520&amp;VALUEID=02001&amp;SDATE=201103&amp;PERIODTYPE=QTR_STD&amp;SCFT=3&amp;window=popup_no_bar&amp;width=385&amp;height=120&amp;START_MAXIMIZED=FALSE&amp;creator=factset&amp;display_string=Audit"}</definedName>
    <definedName name="_1120__FDSAUDITLINK__" hidden="1">{"fdsup://Directions/FactSet Auditing Viewer?action=AUDIT_VALUE&amp;DB=129&amp;ID1=31561610&amp;VALUEID=02001&amp;SDATE=200902&amp;PERIODTYPE=QTR_STD&amp;SCFT=3&amp;window=popup_no_bar&amp;width=385&amp;height=120&amp;START_MAXIMIZED=FALSE&amp;creator=factset&amp;display_string=Audit"}</definedName>
    <definedName name="_1121__FDSAUDITLINK__" hidden="1">{"fdsup://Directions/FactSet Auditing Viewer?action=AUDIT_VALUE&amp;DB=129&amp;ID1=29247520&amp;VALUEID=02001&amp;SDATE=200903&amp;PERIODTYPE=QTR_STD&amp;SCFT=3&amp;window=popup_no_bar&amp;width=385&amp;height=120&amp;START_MAXIMIZED=FALSE&amp;creator=factset&amp;display_string=Audit"}</definedName>
    <definedName name="_1122__FDSAUDITLINK__" hidden="1">{"fdsup://Directions/FactSet Auditing Viewer?action=AUDIT_VALUE&amp;DB=129&amp;ID1=29247520&amp;VALUEID=02001&amp;SDATE=200903&amp;PERIODTYPE=QTR_STD&amp;SCFT=3&amp;window=popup_no_bar&amp;width=385&amp;height=120&amp;START_MAXIMIZED=FALSE&amp;creator=factset&amp;display_string=Audit"}</definedName>
    <definedName name="_1123__FDSAUDITLINK__" hidden="1">{"fdsup://Directions/FactSet Auditing Viewer?action=AUDIT_VALUE&amp;DB=129&amp;ID1=25454310&amp;VALUEID=02001&amp;SDATE=200901&amp;PERIODTYPE=QTR_STD&amp;SCFT=3&amp;window=popup_no_bar&amp;width=385&amp;height=120&amp;START_MAXIMIZED=FALSE&amp;creator=factset&amp;display_string=Audit"}</definedName>
    <definedName name="_1124__FDSAUDITLINK__" hidden="1">{"fdsup://Directions/FactSet Auditing Viewer?action=AUDIT_VALUE&amp;DB=129&amp;ID1=25454310&amp;VALUEID=02001&amp;SDATE=200901&amp;PERIODTYPE=QTR_STD&amp;SCFT=3&amp;window=popup_no_bar&amp;width=385&amp;height=120&amp;START_MAXIMIZED=FALSE&amp;creator=factset&amp;display_string=Audit"}</definedName>
    <definedName name="_1125__FDSAUDITLINK__" hidden="1">{"fdsup://Directions/FactSet Auditing Viewer?action=AUDIT_VALUE&amp;DB=129&amp;ID1=23257210&amp;VALUEID=02001&amp;SDATE=200901&amp;PERIODTYPE=QTR_STD&amp;SCFT=3&amp;window=popup_no_bar&amp;width=385&amp;height=120&amp;START_MAXIMIZED=FALSE&amp;creator=factset&amp;display_string=Audit"}</definedName>
    <definedName name="_1126__FDSAUDITLINK__" hidden="1">{"fdsup://Directions/FactSet Auditing Viewer?action=AUDIT_VALUE&amp;DB=129&amp;ID1=23257210&amp;VALUEID=02001&amp;SDATE=200901&amp;PERIODTYPE=QTR_STD&amp;SCFT=3&amp;window=popup_no_bar&amp;width=385&amp;height=120&amp;START_MAXIMIZED=FALSE&amp;creator=factset&amp;display_string=Audit"}</definedName>
    <definedName name="_1127__FDSAUDITLINK__" hidden="1">{"fdsup://Directions/FactSet Auditing Viewer?action=AUDIT_VALUE&amp;DB=129&amp;ID1=23280610&amp;VALUEID=02001&amp;SDATE=200901&amp;PERIODTYPE=QTR_STD&amp;SCFT=3&amp;window=popup_no_bar&amp;width=385&amp;height=120&amp;START_MAXIMIZED=FALSE&amp;creator=factset&amp;display_string=Audit"}</definedName>
    <definedName name="_1128__FDSAUDITLINK__" hidden="1">{"fdsup://Directions/FactSet Auditing Viewer?action=AUDIT_VALUE&amp;DB=129&amp;ID1=23280610&amp;VALUEID=02001&amp;SDATE=200901&amp;PERIODTYPE=QTR_STD&amp;SCFT=3&amp;window=popup_no_bar&amp;width=385&amp;height=120&amp;START_MAXIMIZED=FALSE&amp;creator=factset&amp;display_string=Audit"}</definedName>
    <definedName name="_1129__FDSAUDITLINK__" hidden="1">{"fdsup://Directions/FactSet Auditing Viewer?action=AUDIT_VALUE&amp;DB=129&amp;ID1=17275R10&amp;VALUEID=02001&amp;SDATE=200903&amp;PERIODTYPE=QTR_STD&amp;SCFT=3&amp;window=popup_no_bar&amp;width=385&amp;height=120&amp;START_MAXIMIZED=FALSE&amp;creator=factset&amp;display_string=Audit"}</definedName>
    <definedName name="_113__FDSAUDITLINK__" hidden="1">{"fdsup://Directions/FactSet Auditing Viewer?action=AUDIT_VALUE&amp;DB=129&amp;ID1=25454310&amp;VALUEID=02001&amp;SDATE=201101&amp;PERIODTYPE=QTR_STD&amp;SCFT=3&amp;window=popup_no_bar&amp;width=385&amp;height=120&amp;START_MAXIMIZED=FALSE&amp;creator=factset&amp;display_string=Audit"}</definedName>
    <definedName name="_1130__FDSAUDITLINK__" hidden="1">{"fdsup://Directions/FactSet Auditing Viewer?action=AUDIT_VALUE&amp;DB=129&amp;ID1=17275R10&amp;VALUEID=02001&amp;SDATE=200903&amp;PERIODTYPE=QTR_STD&amp;SCFT=3&amp;window=popup_no_bar&amp;width=385&amp;height=120&amp;START_MAXIMIZED=FALSE&amp;creator=factset&amp;display_string=Audit"}</definedName>
    <definedName name="_1131__FDSAUDITLINK__" hidden="1">{"fdsup://Directions/FactSet Auditing Viewer?action=AUDIT_VALUE&amp;DB=129&amp;ID1=22544710&amp;VALUEID=02001&amp;SDATE=200903&amp;PERIODTYPE=QTR_STD&amp;SCFT=3&amp;window=popup_no_bar&amp;width=385&amp;height=120&amp;START_MAXIMIZED=FALSE&amp;creator=factset&amp;display_string=Audit"}</definedName>
    <definedName name="_1132__FDSAUDITLINK__" hidden="1">{"fdsup://Directions/FactSet Auditing Viewer?action=AUDIT_VALUE&amp;DB=129&amp;ID1=22544710&amp;VALUEID=02001&amp;SDATE=200903&amp;PERIODTYPE=QTR_STD&amp;SCFT=3&amp;window=popup_no_bar&amp;width=385&amp;height=120&amp;START_MAXIMIZED=FALSE&amp;creator=factset&amp;display_string=Audit"}</definedName>
    <definedName name="_1133__FDSAUDITLINK__" hidden="1">{"fdsup://Directions/FactSet Auditing Viewer?action=AUDIT_VALUE&amp;DB=129&amp;ID1=20714230&amp;VALUEID=02001&amp;SDATE=200902&amp;PERIODTYPE=QTR_STD&amp;SCFT=3&amp;window=popup_no_bar&amp;width=385&amp;height=120&amp;START_MAXIMIZED=FALSE&amp;creator=factset&amp;display_string=Audit"}</definedName>
    <definedName name="_1134__FDSAUDITLINK__" hidden="1">{"fdsup://Directions/FactSet Auditing Viewer?action=AUDIT_VALUE&amp;DB=129&amp;ID1=20714230&amp;VALUEID=02001&amp;SDATE=200902&amp;PERIODTYPE=QTR_STD&amp;SCFT=3&amp;window=popup_no_bar&amp;width=385&amp;height=120&amp;START_MAXIMIZED=FALSE&amp;creator=factset&amp;display_string=Audit"}</definedName>
    <definedName name="_1135__FDSAUDITLINK__" hidden="1">{"fdsup://Directions/FactSet Auditing Viewer?action=AUDIT_VALUE&amp;DB=129&amp;ID1=12738710&amp;VALUEID=02001&amp;SDATE=200901&amp;PERIODTYPE=QTR_STD&amp;SCFT=3&amp;window=popup_no_bar&amp;width=385&amp;height=120&amp;START_MAXIMIZED=FALSE&amp;creator=factset&amp;display_string=Audit"}</definedName>
    <definedName name="_1136__FDSAUDITLINK__" hidden="1">{"fdsup://Directions/FactSet Auditing Viewer?action=AUDIT_VALUE&amp;DB=129&amp;ID1=12738710&amp;VALUEID=02001&amp;SDATE=200901&amp;PERIODTYPE=QTR_STD&amp;SCFT=3&amp;window=popup_no_bar&amp;width=385&amp;height=120&amp;START_MAXIMIZED=FALSE&amp;creator=factset&amp;display_string=Audit"}</definedName>
    <definedName name="_1137__FDSAUDITLINK__" hidden="1">{"fdsup://Directions/FactSet Auditing Viewer?action=AUDIT_VALUE&amp;DB=129&amp;ID1=14964U10&amp;VALUEID=02001&amp;SDATE=200901&amp;PERIODTYPE=QTR_STD&amp;SCFT=3&amp;window=popup_no_bar&amp;width=385&amp;height=120&amp;START_MAXIMIZED=FALSE&amp;creator=factset&amp;display_string=Audit"}</definedName>
    <definedName name="_1138__FDSAUDITLINK__" hidden="1">{"fdsup://Directions/FactSet Auditing Viewer?action=AUDIT_VALUE&amp;DB=129&amp;ID1=14964U10&amp;VALUEID=02001&amp;SDATE=200901&amp;PERIODTYPE=QTR_STD&amp;SCFT=3&amp;window=popup_no_bar&amp;width=385&amp;height=120&amp;START_MAXIMIZED=FALSE&amp;creator=factset&amp;display_string=Audit"}</definedName>
    <definedName name="_1139__FDSAUDITLINK__" hidden="1">{"fdsup://Directions/FactSet Auditing Viewer?action=AUDIT_VALUE&amp;DB=129&amp;ID1=11162130&amp;VALUEID=02001&amp;SDATE=200902&amp;PERIODTYPE=QTR_STD&amp;SCFT=3&amp;window=popup_no_bar&amp;width=385&amp;height=120&amp;START_MAXIMIZED=FALSE&amp;creator=factset&amp;display_string=Audit"}</definedName>
    <definedName name="_114__FDSAUDITLINK__" hidden="1">{"fdsup://Directions/FactSet Auditing Viewer?action=AUDIT_VALUE&amp;DB=129&amp;ID1=25454310&amp;VALUEID=02001&amp;SDATE=201101&amp;PERIODTYPE=QTR_STD&amp;SCFT=3&amp;window=popup_no_bar&amp;width=385&amp;height=120&amp;START_MAXIMIZED=FALSE&amp;creator=factset&amp;display_string=Audit"}</definedName>
    <definedName name="_1140__FDSAUDITLINK__" hidden="1">{"fdsup://Directions/FactSet Auditing Viewer?action=AUDIT_VALUE&amp;DB=129&amp;ID1=11162130&amp;VALUEID=02001&amp;SDATE=200902&amp;PERIODTYPE=QTR_STD&amp;SCFT=3&amp;window=popup_no_bar&amp;width=385&amp;height=120&amp;START_MAXIMIZED=FALSE&amp;creator=factset&amp;display_string=Audit"}</definedName>
    <definedName name="_1141__FDSAUDITLINK__" hidden="1">{"fdsup://Directions/FactSet Auditing Viewer?action=AUDIT_VALUE&amp;DB=129&amp;ID1=Y0486S10&amp;VALUEID=02001&amp;SDATE=200902&amp;PERIODTYPE=QTR_STD&amp;SCFT=3&amp;window=popup_no_bar&amp;width=385&amp;height=120&amp;START_MAXIMIZED=FALSE&amp;creator=factset&amp;display_string=Audit"}</definedName>
    <definedName name="_1142__FDSAUDITLINK__" hidden="1">{"fdsup://Directions/FactSet Auditing Viewer?action=AUDIT_VALUE&amp;DB=129&amp;ID1=Y0486S10&amp;VALUEID=02001&amp;SDATE=200902&amp;PERIODTYPE=QTR_STD&amp;SCFT=3&amp;window=popup_no_bar&amp;width=385&amp;height=120&amp;START_MAXIMIZED=FALSE&amp;creator=factset&amp;display_string=Audit"}</definedName>
    <definedName name="_1143__FDSAUDITLINK__" hidden="1">{"fdsup://Directions/FactSet Auditing Viewer?action=AUDIT_VALUE&amp;DB=129&amp;ID1=04743P10&amp;VALUEID=02001&amp;SDATE=200901&amp;PERIODTYPE=QTR_STD&amp;SCFT=3&amp;window=popup_no_bar&amp;width=385&amp;height=120&amp;START_MAXIMIZED=FALSE&amp;creator=factset&amp;display_string=Audit"}</definedName>
    <definedName name="_1144__FDSAUDITLINK__" hidden="1">{"fdsup://Directions/FactSet Auditing Viewer?action=AUDIT_VALUE&amp;DB=129&amp;ID1=04743P10&amp;VALUEID=02001&amp;SDATE=200901&amp;PERIODTYPE=QTR_STD&amp;SCFT=3&amp;window=popup_no_bar&amp;width=385&amp;height=120&amp;START_MAXIMIZED=FALSE&amp;creator=factset&amp;display_string=Audit"}</definedName>
    <definedName name="_1145__FDSAUDITLINK__" hidden="1">{"fdsup://Directions/FactSet Auditing Viewer?action=AUDIT_VALUE&amp;DB=129&amp;ID1=03251510&amp;VALUEID=02001&amp;SDATE=200901&amp;PERIODTYPE=QTR_STD&amp;SCFT=3&amp;window=popup_no_bar&amp;width=385&amp;height=120&amp;START_MAXIMIZED=FALSE&amp;creator=factset&amp;display_string=Audit"}</definedName>
    <definedName name="_1146__FDSAUDITLINK__" hidden="1">{"fdsup://Directions/FactSet Auditing Viewer?action=AUDIT_VALUE&amp;DB=129&amp;ID1=03251510&amp;VALUEID=02001&amp;SDATE=200901&amp;PERIODTYPE=QTR_STD&amp;SCFT=3&amp;window=popup_no_bar&amp;width=385&amp;height=120&amp;START_MAXIMIZED=FALSE&amp;creator=factset&amp;display_string=Audit"}</definedName>
    <definedName name="_1147__FDSAUDITLINK__" hidden="1">{"fdsup://Directions/FactSet Auditing Viewer?action=AUDIT_VALUE&amp;DB=129&amp;ID1=00790310&amp;VALUEID=02001&amp;SDATE=200901&amp;PERIODTYPE=QTR_STD&amp;SCFT=3&amp;window=popup_no_bar&amp;width=385&amp;height=120&amp;START_MAXIMIZED=FALSE&amp;creator=factset&amp;display_string=Audit"}</definedName>
    <definedName name="_1148__FDSAUDITLINK__" hidden="1">{"fdsup://Directions/FactSet Auditing Viewer?action=AUDIT_VALUE&amp;DB=129&amp;ID1=00790310&amp;VALUEID=02001&amp;SDATE=200901&amp;PERIODTYPE=QTR_STD&amp;SCFT=3&amp;window=popup_no_bar&amp;width=385&amp;height=120&amp;START_MAXIMIZED=FALSE&amp;creator=factset&amp;display_string=Audit"}</definedName>
    <definedName name="_1149__FDSAUDITLINK__" hidden="1">{"fdsup://Directions/FactSet Auditing Viewer?action=AUDIT_VALUE&amp;DB=129&amp;ID1=02144110&amp;VALUEID=02001&amp;SDATE=200901&amp;PERIODTYPE=QTR_STD&amp;SCFT=3&amp;window=popup_no_bar&amp;width=385&amp;height=120&amp;START_MAXIMIZED=FALSE&amp;creator=factset&amp;display_string=Audit"}</definedName>
    <definedName name="_115__FDSAUDITLINK__" hidden="1">{"fdsup://Directions/FactSet Auditing Viewer?action=AUDIT_VALUE&amp;DB=129&amp;ID1=24702R10&amp;VALUEID=02001&amp;SDATE=201101&amp;PERIODTYPE=QTR_STD&amp;SCFT=3&amp;window=popup_no_bar&amp;width=385&amp;height=120&amp;START_MAXIMIZED=FALSE&amp;creator=factset&amp;display_string=Audit"}</definedName>
    <definedName name="_1150__FDSAUDITLINK__" hidden="1">{"fdsup://Directions/FactSet Auditing Viewer?action=AUDIT_VALUE&amp;DB=129&amp;ID1=02144110&amp;VALUEID=02001&amp;SDATE=200901&amp;PERIODTYPE=QTR_STD&amp;SCFT=3&amp;window=popup_no_bar&amp;width=385&amp;height=120&amp;START_MAXIMIZED=FALSE&amp;creator=factset&amp;display_string=Audit"}</definedName>
    <definedName name="_1151__FDSAUDITLINK__" hidden="1">{"fdsup://Directions/FactSet Auditing Viewer?action=AUDIT_VALUE&amp;DB=129&amp;ID1=00752J10&amp;VALUEID=02001&amp;SDATE=200901&amp;PERIODTYPE=QTR_STD&amp;SCFT=3&amp;window=popup_no_bar&amp;width=385&amp;height=120&amp;START_MAXIMIZED=FALSE&amp;creator=factset&amp;display_string=Audit"}</definedName>
    <definedName name="_1152__FDSAUDITLINK__" hidden="1">{"fdsup://Directions/FactSet Auditing Viewer?action=AUDIT_VALUE&amp;DB=129&amp;ID1=00752J10&amp;VALUEID=02001&amp;SDATE=200901&amp;PERIODTYPE=QTR_STD&amp;SCFT=3&amp;window=popup_no_bar&amp;width=385&amp;height=120&amp;START_MAXIMIZED=FALSE&amp;creator=factset&amp;display_string=Audit"}</definedName>
    <definedName name="_1153__FDSAUDITLINK__" hidden="1">{"fdsup://Directions/FactSet Auditing Viewer?action=AUDIT_VALUE&amp;DB=129&amp;ID1=98391910&amp;VALUEID=02001&amp;SDATE=200803&amp;PERIODTYPE=QTR_STD&amp;SCFT=3&amp;window=popup_no_bar&amp;width=385&amp;height=120&amp;START_MAXIMIZED=FALSE&amp;creator=factset&amp;display_string=Audit"}</definedName>
    <definedName name="_1154__FDSAUDITLINK__" hidden="1">{"fdsup://Directions/FactSet Auditing Viewer?action=AUDIT_VALUE&amp;DB=129&amp;ID1=98391910&amp;VALUEID=02001&amp;SDATE=200803&amp;PERIODTYPE=QTR_STD&amp;SCFT=3&amp;window=popup_no_bar&amp;width=385&amp;height=120&amp;START_MAXIMIZED=FALSE&amp;creator=factset&amp;display_string=Audit"}</definedName>
    <definedName name="_1155__FDSAUDITLINK__" hidden="1">{"fdsup://Directions/FactSet Auditing Viewer?action=AUDIT_VALUE&amp;DB=129&amp;ID1=95810210&amp;VALUEID=02001&amp;SDATE=200902&amp;PERIODTYPE=QTR_STD&amp;SCFT=3&amp;window=popup_no_bar&amp;width=385&amp;height=120&amp;START_MAXIMIZED=FALSE&amp;creator=factset&amp;display_string=Audit"}</definedName>
    <definedName name="_1156__FDSAUDITLINK__" hidden="1">{"fdsup://Directions/FactSet Auditing Viewer?action=AUDIT_VALUE&amp;DB=129&amp;ID1=95810210&amp;VALUEID=02001&amp;SDATE=200902&amp;PERIODTYPE=QTR_STD&amp;SCFT=3&amp;window=popup_no_bar&amp;width=385&amp;height=120&amp;START_MAXIMIZED=FALSE&amp;creator=factset&amp;display_string=Audit"}</definedName>
    <definedName name="_1157__FDSAUDITLINK__" hidden="1">{"fdsup://Directions/FactSet Auditing Viewer?action=AUDIT_VALUE&amp;DB=129&amp;ID1=92849730&amp;VALUEID=02001&amp;SDATE=200901&amp;PERIODTYPE=QTR_STD&amp;SCFT=3&amp;window=popup_no_bar&amp;width=385&amp;height=120&amp;START_MAXIMIZED=FALSE&amp;creator=factset&amp;display_string=Audit"}</definedName>
    <definedName name="_1158__FDSAUDITLINK__" hidden="1">{"fdsup://Directions/FactSet Auditing Viewer?action=AUDIT_VALUE&amp;DB=129&amp;ID1=92849730&amp;VALUEID=02001&amp;SDATE=200901&amp;PERIODTYPE=QTR_STD&amp;SCFT=3&amp;window=popup_no_bar&amp;width=385&amp;height=120&amp;START_MAXIMIZED=FALSE&amp;creator=factset&amp;display_string=Audit"}</definedName>
    <definedName name="_1159__FDSAUDITLINK__" hidden="1">{"fdsup://Directions/FactSet Auditing Viewer?action=AUDIT_VALUE&amp;DB=129&amp;ID1=83088M10&amp;VALUEID=02001&amp;SDATE=200901&amp;PERIODTYPE=QTR_STD&amp;SCFT=3&amp;window=popup_no_bar&amp;width=385&amp;height=120&amp;START_MAXIMIZED=FALSE&amp;creator=factset&amp;display_string=Audit"}</definedName>
    <definedName name="_116__FDSAUDITLINK__" hidden="1">{"fdsup://Directions/FactSet Auditing Viewer?action=AUDIT_VALUE&amp;DB=129&amp;ID1=24702R10&amp;VALUEID=02001&amp;SDATE=201101&amp;PERIODTYPE=QTR_STD&amp;SCFT=3&amp;window=popup_no_bar&amp;width=385&amp;height=120&amp;START_MAXIMIZED=FALSE&amp;creator=factset&amp;display_string=Audit"}</definedName>
    <definedName name="_1160__FDSAUDITLINK__" hidden="1">{"fdsup://Directions/FactSet Auditing Viewer?action=AUDIT_VALUE&amp;DB=129&amp;ID1=83088M10&amp;VALUEID=02001&amp;SDATE=200901&amp;PERIODTYPE=QTR_STD&amp;SCFT=3&amp;window=popup_no_bar&amp;width=385&amp;height=120&amp;START_MAXIMIZED=FALSE&amp;creator=factset&amp;display_string=Audit"}</definedName>
    <definedName name="_1161__FDSAUDITLINK__" hidden="1">{"fdsup://Directions/FactSet Auditing Viewer?action=AUDIT_VALUE&amp;DB=129&amp;ID1=G7945M10&amp;VALUEID=02001&amp;SDATE=200902&amp;PERIODTYPE=QTR_STD&amp;SCFT=3&amp;window=popup_no_bar&amp;width=385&amp;height=120&amp;START_MAXIMIZED=FALSE&amp;creator=factset&amp;display_string=Audit"}</definedName>
    <definedName name="_1162__FDSAUDITLINK__" hidden="1">{"fdsup://Directions/FactSet Auditing Viewer?action=AUDIT_VALUE&amp;DB=129&amp;ID1=G7945M10&amp;VALUEID=02001&amp;SDATE=200902&amp;PERIODTYPE=QTR_STD&amp;SCFT=3&amp;window=popup_no_bar&amp;width=385&amp;height=120&amp;START_MAXIMIZED=FALSE&amp;creator=factset&amp;display_string=Audit"}</definedName>
    <definedName name="_1163__FDSAUDITLINK__" hidden="1">{"fdsup://Directions/FactSet Auditing Viewer?action=AUDIT_VALUE&amp;DB=129&amp;ID1=87160710&amp;VALUEID=02001&amp;SDATE=200901&amp;PERIODTYPE=QTR_STD&amp;SCFT=3&amp;window=popup_no_bar&amp;width=385&amp;height=120&amp;START_MAXIMIZED=FALSE&amp;creator=factset&amp;display_string=Audit"}</definedName>
    <definedName name="_1164__FDSAUDITLINK__" hidden="1">{"fdsup://Directions/FactSet Auditing Viewer?action=AUDIT_VALUE&amp;DB=129&amp;ID1=87160710&amp;VALUEID=02001&amp;SDATE=200901&amp;PERIODTYPE=QTR_STD&amp;SCFT=3&amp;window=popup_no_bar&amp;width=385&amp;height=120&amp;START_MAXIMIZED=FALSE&amp;creator=factset&amp;display_string=Audit"}</definedName>
    <definedName name="_1165__FDSAUDITLINK__" hidden="1">{"fdsup://Directions/FactSet Auditing Viewer?action=AUDIT_VALUE&amp;DB=129&amp;ID1=74994110&amp;VALUEID=02001&amp;SDATE=200803&amp;PERIODTYPE=QTR_STD&amp;SCFT=3&amp;window=popup_no_bar&amp;width=385&amp;height=120&amp;START_MAXIMIZED=FALSE&amp;creator=factset&amp;display_string=Audit"}</definedName>
    <definedName name="_1166__FDSAUDITLINK__" hidden="1">{"fdsup://Directions/FactSet Auditing Viewer?action=AUDIT_VALUE&amp;DB=129&amp;ID1=74994110&amp;VALUEID=02001&amp;SDATE=200803&amp;PERIODTYPE=QTR_STD&amp;SCFT=3&amp;window=popup_no_bar&amp;width=385&amp;height=120&amp;START_MAXIMIZED=FALSE&amp;creator=factset&amp;display_string=Audit"}</definedName>
    <definedName name="_1167__FDSAUDITLINK__" hidden="1">{"fdsup://Directions/FactSet Auditing Viewer?action=AUDIT_VALUE&amp;DB=129&amp;ID1=74727710&amp;VALUEID=02001&amp;SDATE=200803&amp;PERIODTYPE=QTR_STD&amp;SCFT=3&amp;window=popup_no_bar&amp;width=385&amp;height=120&amp;START_MAXIMIZED=FALSE&amp;creator=factset&amp;display_string=Audit"}</definedName>
    <definedName name="_1168__FDSAUDITLINK__" hidden="1">{"fdsup://Directions/FactSet Auditing Viewer?action=AUDIT_VALUE&amp;DB=129&amp;ID1=74727710&amp;VALUEID=02001&amp;SDATE=200803&amp;PERIODTYPE=QTR_STD&amp;SCFT=3&amp;window=popup_no_bar&amp;width=385&amp;height=120&amp;START_MAXIMIZED=FALSE&amp;creator=factset&amp;display_string=Audit"}</definedName>
    <definedName name="_1169__FDSAUDITLINK__" hidden="1">{"fdsup://Directions/FactSet Auditing Viewer?action=AUDIT_VALUE&amp;DB=129&amp;ID1=74752510&amp;VALUEID=02001&amp;SDATE=200901&amp;PERIODTYPE=QTR_STD&amp;SCFT=3&amp;window=popup_no_bar&amp;width=385&amp;height=120&amp;START_MAXIMIZED=FALSE&amp;creator=factset&amp;display_string=Audit"}</definedName>
    <definedName name="_117__FDSAUDITLINK__" hidden="1">{"fdsup://Directions/FactSet Auditing Viewer?action=AUDIT_VALUE&amp;DB=129&amp;ID1=23257210&amp;VALUEID=02001&amp;SDATE=201101&amp;PERIODTYPE=QTR_STD&amp;SCFT=3&amp;window=popup_no_bar&amp;width=385&amp;height=120&amp;START_MAXIMIZED=FALSE&amp;creator=factset&amp;display_string=Audit"}</definedName>
    <definedName name="_1170__FDSAUDITLINK__" hidden="1">{"fdsup://Directions/FactSet Auditing Viewer?action=AUDIT_VALUE&amp;DB=129&amp;ID1=74752510&amp;VALUEID=02001&amp;SDATE=200901&amp;PERIODTYPE=QTR_STD&amp;SCFT=3&amp;window=popup_no_bar&amp;width=385&amp;height=120&amp;START_MAXIMIZED=FALSE&amp;creator=factset&amp;display_string=Audit"}</definedName>
    <definedName name="_1171__FDSAUDITLINK__" hidden="1">{"fdsup://Directions/FactSet Auditing Viewer?action=AUDIT_VALUE&amp;DB=129&amp;ID1=B505PN&amp;VALUEID=02001&amp;SDATE=200804&amp;PERIODTYPE=QTR_STD&amp;SCFT=3&amp;window=popup_no_bar&amp;width=385&amp;height=120&amp;START_MAXIMIZED=FALSE&amp;creator=factset&amp;display_string=Audit"}</definedName>
    <definedName name="_1172__FDSAUDITLINK__" hidden="1">{"fdsup://Directions/FactSet Auditing Viewer?action=AUDIT_VALUE&amp;DB=129&amp;ID1=B505PN&amp;VALUEID=02001&amp;SDATE=200804&amp;PERIODTYPE=QTR_STD&amp;SCFT=3&amp;window=popup_no_bar&amp;width=385&amp;height=120&amp;START_MAXIMIZED=FALSE&amp;creator=factset&amp;display_string=Audit"}</definedName>
    <definedName name="_1173__FDSAUDITLINK__" hidden="1">{"fdsup://Directions/FactSet Auditing Viewer?action=AUDIT_VALUE&amp;DB=129&amp;ID1=63764010&amp;VALUEID=02001&amp;SDATE=200802&amp;PERIODTYPE=QTR_STD&amp;SCFT=3&amp;window=popup_no_bar&amp;width=385&amp;height=120&amp;START_MAXIMIZED=FALSE&amp;creator=factset&amp;display_string=Audit"}</definedName>
    <definedName name="_1174__FDSAUDITLINK__" hidden="1">{"fdsup://Directions/FactSet Auditing Viewer?action=AUDIT_VALUE&amp;DB=129&amp;ID1=63764010&amp;VALUEID=02001&amp;SDATE=200802&amp;PERIODTYPE=QTR_STD&amp;SCFT=3&amp;window=popup_no_bar&amp;width=385&amp;height=120&amp;START_MAXIMIZED=FALSE&amp;creator=factset&amp;display_string=Audit"}</definedName>
    <definedName name="_1175__FDSAUDITLINK__" hidden="1">{"fdsup://Directions/FactSet Auditing Viewer?action=AUDIT_VALUE&amp;DB=129&amp;ID1=57772K10&amp;VALUEID=02001&amp;SDATE=200902&amp;PERIODTYPE=QTR_STD&amp;SCFT=3&amp;window=popup_no_bar&amp;width=385&amp;height=120&amp;START_MAXIMIZED=FALSE&amp;creator=factset&amp;display_string=Audit"}</definedName>
    <definedName name="_1176__FDSAUDITLINK__" hidden="1">{"fdsup://Directions/FactSet Auditing Viewer?action=AUDIT_VALUE&amp;DB=129&amp;ID1=57772K10&amp;VALUEID=02001&amp;SDATE=200902&amp;PERIODTYPE=QTR_STD&amp;SCFT=3&amp;window=popup_no_bar&amp;width=385&amp;height=120&amp;START_MAXIMIZED=FALSE&amp;creator=factset&amp;display_string=Audit"}</definedName>
    <definedName name="_1177__FDSAUDITLINK__" hidden="1">{"fdsup://Directions/FactSet Auditing Viewer?action=AUDIT_VALUE&amp;DB=129&amp;ID1=59511210&amp;VALUEID=02001&amp;SDATE=200901&amp;PERIODTYPE=QTR_STD&amp;SCFT=3&amp;window=popup_no_bar&amp;width=385&amp;height=120&amp;START_MAXIMIZED=FALSE&amp;creator=factset&amp;display_string=Audit"}</definedName>
    <definedName name="_1178__FDSAUDITLINK__" hidden="1">{"fdsup://Directions/FactSet Auditing Viewer?action=AUDIT_VALUE&amp;DB=129&amp;ID1=59511210&amp;VALUEID=02001&amp;SDATE=200901&amp;PERIODTYPE=QTR_STD&amp;SCFT=3&amp;window=popup_no_bar&amp;width=385&amp;height=120&amp;START_MAXIMIZED=FALSE&amp;creator=factset&amp;display_string=Audit"}</definedName>
    <definedName name="_1179__FDSAUDITLINK__" hidden="1">{"fdsup://Directions/FactSet Auditing Viewer?action=AUDIT_VALUE&amp;DB=129&amp;ID1=59513710&amp;VALUEID=02001&amp;SDATE=200901&amp;PERIODTYPE=QTR_STD&amp;SCFT=3&amp;window=popup_no_bar&amp;width=385&amp;height=120&amp;START_MAXIMIZED=FALSE&amp;creator=factset&amp;display_string=Audit"}</definedName>
    <definedName name="_118__FDSAUDITLINK__" hidden="1">{"fdsup://Directions/FactSet Auditing Viewer?action=AUDIT_VALUE&amp;DB=129&amp;ID1=23257210&amp;VALUEID=02001&amp;SDATE=201101&amp;PERIODTYPE=QTR_STD&amp;SCFT=3&amp;window=popup_no_bar&amp;width=385&amp;height=120&amp;START_MAXIMIZED=FALSE&amp;creator=factset&amp;display_string=Audit"}</definedName>
    <definedName name="_1180__FDSAUDITLINK__" hidden="1">{"fdsup://Directions/FactSet Auditing Viewer?action=AUDIT_VALUE&amp;DB=129&amp;ID1=59513710&amp;VALUEID=02001&amp;SDATE=200901&amp;PERIODTYPE=QTR_STD&amp;SCFT=3&amp;window=popup_no_bar&amp;width=385&amp;height=120&amp;START_MAXIMIZED=FALSE&amp;creator=factset&amp;display_string=Audit"}</definedName>
    <definedName name="_1181__FDSAUDITLINK__" hidden="1">{"fdsup://Directions/FactSet Auditing Viewer?action=AUDIT_VALUE&amp;DB=129&amp;ID1=59501710&amp;VALUEID=02001&amp;SDATE=200803&amp;PERIODTYPE=QTR_STD&amp;SCFT=3&amp;window=popup_no_bar&amp;width=385&amp;height=120&amp;START_MAXIMIZED=FALSE&amp;creator=factset&amp;display_string=Audit"}</definedName>
    <definedName name="_1182__FDSAUDITLINK__" hidden="1">{"fdsup://Directions/FactSet Auditing Viewer?action=AUDIT_VALUE&amp;DB=129&amp;ID1=59501710&amp;VALUEID=02001&amp;SDATE=200803&amp;PERIODTYPE=QTR_STD&amp;SCFT=3&amp;window=popup_no_bar&amp;width=385&amp;height=120&amp;START_MAXIMIZED=FALSE&amp;creator=factset&amp;display_string=Audit"}</definedName>
    <definedName name="_1183__FDSAUDITLINK__" hidden="1">{"fdsup://Directions/FactSet Auditing Viewer?action=AUDIT_VALUE&amp;DB=129&amp;ID1=51280710&amp;VALUEID=02001&amp;SDATE=200902&amp;PERIODTYPE=QTR_STD&amp;SCFT=3&amp;window=popup_no_bar&amp;width=385&amp;height=120&amp;START_MAXIMIZED=FALSE&amp;creator=factset&amp;display_string=Audit"}</definedName>
    <definedName name="_1184__FDSAUDITLINK__" hidden="1">{"fdsup://Directions/FactSet Auditing Viewer?action=AUDIT_VALUE&amp;DB=129&amp;ID1=51280710&amp;VALUEID=02001&amp;SDATE=200902&amp;PERIODTYPE=QTR_STD&amp;SCFT=3&amp;window=popup_no_bar&amp;width=385&amp;height=120&amp;START_MAXIMIZED=FALSE&amp;creator=factset&amp;display_string=Audit"}</definedName>
    <definedName name="_1185__FDSAUDITLINK__" hidden="1">{"fdsup://Directions/FactSet Auditing Viewer?action=AUDIT_VALUE&amp;DB=129&amp;ID1=53567810&amp;VALUEID=02001&amp;SDATE=200902&amp;PERIODTYPE=QTR_STD&amp;SCFT=3&amp;window=popup_no_bar&amp;width=385&amp;height=120&amp;START_MAXIMIZED=FALSE&amp;creator=factset&amp;display_string=Audit"}</definedName>
    <definedName name="_1186__FDSAUDITLINK__" hidden="1">{"fdsup://Directions/FactSet Auditing Viewer?action=AUDIT_VALUE&amp;DB=129&amp;ID1=53567810&amp;VALUEID=02001&amp;SDATE=200902&amp;PERIODTYPE=QTR_STD&amp;SCFT=3&amp;window=popup_no_bar&amp;width=385&amp;height=120&amp;START_MAXIMIZED=FALSE&amp;creator=factset&amp;display_string=Audit"}</definedName>
    <definedName name="_1187__FDSAUDITLINK__" hidden="1">{"fdsup://Directions/FactSet Auditing Viewer?action=AUDIT_VALUE&amp;DB=129&amp;ID1=48248010&amp;VALUEID=02001&amp;SDATE=200902&amp;PERIODTYPE=QTR_STD&amp;SCFT=3&amp;window=popup_no_bar&amp;width=385&amp;height=120&amp;START_MAXIMIZED=FALSE&amp;creator=factset&amp;display_string=Audit"}</definedName>
    <definedName name="_1188__FDSAUDITLINK__" hidden="1">{"fdsup://Directions/FactSet Auditing Viewer?action=AUDIT_VALUE&amp;DB=129&amp;ID1=48248010&amp;VALUEID=02001&amp;SDATE=200902&amp;PERIODTYPE=QTR_STD&amp;SCFT=3&amp;window=popup_no_bar&amp;width=385&amp;height=120&amp;START_MAXIMIZED=FALSE&amp;creator=factset&amp;display_string=Audit"}</definedName>
    <definedName name="_1189__FDSAUDITLINK__" hidden="1">{"fdsup://Directions/FactSet Auditing Viewer?action=AUDIT_VALUE&amp;DB=129&amp;ID1=48836020&amp;VALUEID=02001&amp;SDATE=200803&amp;PERIODTYPE=QTR_STD&amp;SCFT=3&amp;window=popup_no_bar&amp;width=385&amp;height=120&amp;START_MAXIMIZED=FALSE&amp;creator=factset&amp;display_string=Audit"}</definedName>
    <definedName name="_119__FDSAUDITLINK__" hidden="1">{"fdsup://Directions/FactSet Auditing Viewer?action=AUDIT_VALUE&amp;DB=129&amp;ID1=23280610&amp;VALUEID=02001&amp;SDATE=201101&amp;PERIODTYPE=QTR_STD&amp;SCFT=3&amp;window=popup_no_bar&amp;width=385&amp;height=120&amp;START_MAXIMIZED=FALSE&amp;creator=factset&amp;display_string=Audit"}</definedName>
    <definedName name="_1190__FDSAUDITLINK__" hidden="1">{"fdsup://Directions/FactSet Auditing Viewer?action=AUDIT_VALUE&amp;DB=129&amp;ID1=48836020&amp;VALUEID=02001&amp;SDATE=200803&amp;PERIODTYPE=QTR_STD&amp;SCFT=3&amp;window=popup_no_bar&amp;width=385&amp;height=120&amp;START_MAXIMIZED=FALSE&amp;creator=factset&amp;display_string=Audit"}</definedName>
    <definedName name="_1191__FDSAUDITLINK__" hidden="1">{"fdsup://Directions/FactSet Auditing Viewer?action=AUDIT_VALUE&amp;DB=129&amp;ID1=86681020&amp;VALUEID=02001&amp;SDATE=200902&amp;PERIODTYPE=QTR_STD&amp;SCFT=3&amp;window=popup_no_bar&amp;width=385&amp;height=120&amp;START_MAXIMIZED=FALSE&amp;creator=factset&amp;display_string=Audit"}</definedName>
    <definedName name="_1192__FDSAUDITLINK__" hidden="1">{"fdsup://Directions/FactSet Auditing Viewer?action=AUDIT_VALUE&amp;DB=129&amp;ID1=86681020&amp;VALUEID=02001&amp;SDATE=200902&amp;PERIODTYPE=QTR_STD&amp;SCFT=3&amp;window=popup_no_bar&amp;width=385&amp;height=120&amp;START_MAXIMIZED=FALSE&amp;creator=factset&amp;display_string=Audit"}</definedName>
    <definedName name="_1193__FDSAUDITLINK__" hidden="1">{"fdsup://Directions/FactSet Auditing Viewer?action=AUDIT_VALUE&amp;DB=129&amp;ID1=46025410&amp;VALUEID=02001&amp;SDATE=200902&amp;PERIODTYPE=QTR_STD&amp;SCFT=3&amp;window=popup_no_bar&amp;width=385&amp;height=120&amp;START_MAXIMIZED=FALSE&amp;creator=factset&amp;display_string=Audit"}</definedName>
    <definedName name="_1194__FDSAUDITLINK__" hidden="1">{"fdsup://Directions/FactSet Auditing Viewer?action=AUDIT_VALUE&amp;DB=129&amp;ID1=46025410&amp;VALUEID=02001&amp;SDATE=200902&amp;PERIODTYPE=QTR_STD&amp;SCFT=3&amp;window=popup_no_bar&amp;width=385&amp;height=120&amp;START_MAXIMIZED=FALSE&amp;creator=factset&amp;display_string=Audit"}</definedName>
    <definedName name="_1195__FDSAUDITLINK__" hidden="1">{"fdsup://Directions/FactSet Auditing Viewer?action=AUDIT_VALUE&amp;DB=129&amp;ID1=45811810&amp;VALUEID=02001&amp;SDATE=200803&amp;PERIODTYPE=QTR_STD&amp;SCFT=3&amp;window=popup_no_bar&amp;width=385&amp;height=120&amp;START_MAXIMIZED=FALSE&amp;creator=factset&amp;display_string=Audit"}</definedName>
    <definedName name="_1196__FDSAUDITLINK__" hidden="1">{"fdsup://Directions/FactSet Auditing Viewer?action=AUDIT_VALUE&amp;DB=129&amp;ID1=45811810&amp;VALUEID=02001&amp;SDATE=200803&amp;PERIODTYPE=QTR_STD&amp;SCFT=3&amp;window=popup_no_bar&amp;width=385&amp;height=120&amp;START_MAXIMIZED=FALSE&amp;creator=factset&amp;display_string=Audit"}</definedName>
    <definedName name="_1197__FDSAUDITLINK__" hidden="1">{"fdsup://Directions/FactSet Auditing Viewer?action=AUDIT_VALUE&amp;DB=129&amp;ID1=42823610&amp;VALUEID=02001&amp;SDATE=200901&amp;PERIODTYPE=QTR_STD&amp;SCFT=3&amp;window=popup_no_bar&amp;width=385&amp;height=120&amp;START_MAXIMIZED=FALSE&amp;creator=factset&amp;display_string=Audit"}</definedName>
    <definedName name="_1198__FDSAUDITLINK__" hidden="1">{"fdsup://Directions/FactSet Auditing Viewer?action=AUDIT_VALUE&amp;DB=129&amp;ID1=42823610&amp;VALUEID=02001&amp;SDATE=200901&amp;PERIODTYPE=QTR_STD&amp;SCFT=3&amp;window=popup_no_bar&amp;width=385&amp;height=120&amp;START_MAXIMIZED=FALSE&amp;creator=factset&amp;display_string=Audit"}</definedName>
    <definedName name="_1199__FDSAUDITLINK__" hidden="1">{"fdsup://Directions/FactSet Auditing Viewer?action=AUDIT_VALUE&amp;DB=129&amp;ID1=31561610&amp;VALUEID=02001&amp;SDATE=200901&amp;PERIODTYPE=QTR_STD&amp;SCFT=3&amp;window=popup_no_bar&amp;width=385&amp;height=120&amp;START_MAXIMIZED=FALSE&amp;creator=factset&amp;display_string=Audit"}</definedName>
    <definedName name="_12__FDSAUDITLINK__" hidden="1">{"fdsup://Directions/FactSet Auditing Viewer?action=AUDIT_VALUE&amp;DB=129&amp;ID1=74752510&amp;VALUEID=02001&amp;SDATE=201104&amp;PERIODTYPE=QTR_STD&amp;SCFT=3&amp;window=popup_no_bar&amp;width=385&amp;height=120&amp;START_MAXIMIZED=FALSE&amp;creator=factset&amp;display_string=Audit"}</definedName>
    <definedName name="_120__FDSAUDITLINK__" hidden="1">{"fdsup://Directions/FactSet Auditing Viewer?action=AUDIT_VALUE&amp;DB=129&amp;ID1=23280610&amp;VALUEID=02001&amp;SDATE=201101&amp;PERIODTYPE=QTR_STD&amp;SCFT=3&amp;window=popup_no_bar&amp;width=385&amp;height=120&amp;START_MAXIMIZED=FALSE&amp;creator=factset&amp;display_string=Audit"}</definedName>
    <definedName name="_1200__FDSAUDITLINK__" hidden="1">{"fdsup://Directions/FactSet Auditing Viewer?action=AUDIT_VALUE&amp;DB=129&amp;ID1=31561610&amp;VALUEID=02001&amp;SDATE=200901&amp;PERIODTYPE=QTR_STD&amp;SCFT=3&amp;window=popup_no_bar&amp;width=385&amp;height=120&amp;START_MAXIMIZED=FALSE&amp;creator=factset&amp;display_string=Audit"}</definedName>
    <definedName name="_1201__FDSAUDITLINK__" hidden="1">{"fdsup://Directions/FactSet Auditing Viewer?action=AUDIT_VALUE&amp;DB=129&amp;ID1=29247520&amp;VALUEID=02001&amp;SDATE=200902&amp;PERIODTYPE=QTR_STD&amp;SCFT=3&amp;window=popup_no_bar&amp;width=385&amp;height=120&amp;START_MAXIMIZED=FALSE&amp;creator=factset&amp;display_string=Audit"}</definedName>
    <definedName name="_1202__FDSAUDITLINK__" hidden="1">{"fdsup://Directions/FactSet Auditing Viewer?action=AUDIT_VALUE&amp;DB=129&amp;ID1=29247520&amp;VALUEID=02001&amp;SDATE=200902&amp;PERIODTYPE=QTR_STD&amp;SCFT=3&amp;window=popup_no_bar&amp;width=385&amp;height=120&amp;START_MAXIMIZED=FALSE&amp;creator=factset&amp;display_string=Audit"}</definedName>
    <definedName name="_1203__FDSAUDITLINK__" hidden="1">{"fdsup://Directions/FactSet Auditing Viewer?action=AUDIT_VALUE&amp;DB=129&amp;ID1=17275R10&amp;VALUEID=02001&amp;SDATE=200902&amp;PERIODTYPE=QTR_STD&amp;SCFT=3&amp;window=popup_no_bar&amp;width=385&amp;height=120&amp;START_MAXIMIZED=FALSE&amp;creator=factset&amp;display_string=Audit"}</definedName>
    <definedName name="_1204__FDSAUDITLINK__" hidden="1">{"fdsup://Directions/FactSet Auditing Viewer?action=AUDIT_VALUE&amp;DB=129&amp;ID1=17275R10&amp;VALUEID=02001&amp;SDATE=200902&amp;PERIODTYPE=QTR_STD&amp;SCFT=3&amp;window=popup_no_bar&amp;width=385&amp;height=120&amp;START_MAXIMIZED=FALSE&amp;creator=factset&amp;display_string=Audit"}</definedName>
    <definedName name="_1205__FDSAUDITLINK__" hidden="1">{"fdsup://Directions/FactSet Auditing Viewer?action=AUDIT_VALUE&amp;DB=129&amp;ID1=22544710&amp;VALUEID=02001&amp;SDATE=200902&amp;PERIODTYPE=QTR_STD&amp;SCFT=3&amp;window=popup_no_bar&amp;width=385&amp;height=120&amp;START_MAXIMIZED=FALSE&amp;creator=factset&amp;display_string=Audit"}</definedName>
    <definedName name="_1206__FDSAUDITLINK__" hidden="1">{"fdsup://Directions/FactSet Auditing Viewer?action=AUDIT_VALUE&amp;DB=129&amp;ID1=22544710&amp;VALUEID=02001&amp;SDATE=200902&amp;PERIODTYPE=QTR_STD&amp;SCFT=3&amp;window=popup_no_bar&amp;width=385&amp;height=120&amp;START_MAXIMIZED=FALSE&amp;creator=factset&amp;display_string=Audit"}</definedName>
    <definedName name="_1207__FDSAUDITLINK__" hidden="1">{"fdsup://Directions/FactSet Auditing Viewer?action=AUDIT_VALUE&amp;DB=129&amp;ID1=20714230&amp;VALUEID=02001&amp;SDATE=200901&amp;PERIODTYPE=QTR_STD&amp;SCFT=3&amp;window=popup_no_bar&amp;width=385&amp;height=120&amp;START_MAXIMIZED=FALSE&amp;creator=factset&amp;display_string=Audit"}</definedName>
    <definedName name="_1208__FDSAUDITLINK__" hidden="1">{"fdsup://Directions/FactSet Auditing Viewer?action=AUDIT_VALUE&amp;DB=129&amp;ID1=20714230&amp;VALUEID=02001&amp;SDATE=200901&amp;PERIODTYPE=QTR_STD&amp;SCFT=3&amp;window=popup_no_bar&amp;width=385&amp;height=120&amp;START_MAXIMIZED=FALSE&amp;creator=factset&amp;display_string=Audit"}</definedName>
    <definedName name="_1209__FDSAUDITLINK__" hidden="1">{"fdsup://Directions/FactSet Auditing Viewer?action=AUDIT_VALUE&amp;DB=129&amp;ID1=11162130&amp;VALUEID=02001&amp;SDATE=200901&amp;PERIODTYPE=QTR_STD&amp;SCFT=3&amp;window=popup_no_bar&amp;width=385&amp;height=120&amp;START_MAXIMIZED=FALSE&amp;creator=factset&amp;display_string=Audit"}</definedName>
    <definedName name="_121__FDSAUDITLINK__" hidden="1">{"fdsup://Directions/FactSet Auditing Viewer?action=AUDIT_VALUE&amp;DB=129&amp;ID1=17275R10&amp;VALUEID=02001&amp;SDATE=201103&amp;PERIODTYPE=QTR_STD&amp;SCFT=3&amp;window=popup_no_bar&amp;width=385&amp;height=120&amp;START_MAXIMIZED=FALSE&amp;creator=factset&amp;display_string=Audit"}</definedName>
    <definedName name="_1210__FDSAUDITLINK__" hidden="1">{"fdsup://Directions/FactSet Auditing Viewer?action=AUDIT_VALUE&amp;DB=129&amp;ID1=11162130&amp;VALUEID=02001&amp;SDATE=200901&amp;PERIODTYPE=QTR_STD&amp;SCFT=3&amp;window=popup_no_bar&amp;width=385&amp;height=120&amp;START_MAXIMIZED=FALSE&amp;creator=factset&amp;display_string=Audit"}</definedName>
    <definedName name="_1211__FDSAUDITLINK__" hidden="1">{"fdsup://Directions/FactSet Auditing Viewer?action=AUDIT_VALUE&amp;DB=129&amp;ID1=Y0486S10&amp;VALUEID=02001&amp;SDATE=200901&amp;PERIODTYPE=QTR_STD&amp;SCFT=3&amp;window=popup_no_bar&amp;width=385&amp;height=120&amp;START_MAXIMIZED=FALSE&amp;creator=factset&amp;display_string=Audit"}</definedName>
    <definedName name="_1212__FDSAUDITLINK__" hidden="1">{"fdsup://Directions/FactSet Auditing Viewer?action=AUDIT_VALUE&amp;DB=129&amp;ID1=Y0486S10&amp;VALUEID=02001&amp;SDATE=200901&amp;PERIODTYPE=QTR_STD&amp;SCFT=3&amp;window=popup_no_bar&amp;width=385&amp;height=120&amp;START_MAXIMIZED=FALSE&amp;creator=factset&amp;display_string=Audit"}</definedName>
    <definedName name="_1213__FDSAUDITLINK__" hidden="1">{"fdsup://Directions/FactSet Auditing Viewer?action=AUDIT_VALUE&amp;DB=129&amp;ID1=03822W40&amp;VALUEID=02001&amp;SDATE=200803&amp;PERIODTYPE=QTR_STD&amp;SCFT=3&amp;window=popup_no_bar&amp;width=385&amp;height=120&amp;START_MAXIMIZED=FALSE&amp;creator=factset&amp;display_string=Audit"}</definedName>
    <definedName name="_1214__FDSAUDITLINK__" hidden="1">{"fdsup://Directions/FactSet Auditing Viewer?action=AUDIT_VALUE&amp;DB=129&amp;ID1=03822W40&amp;VALUEID=02001&amp;SDATE=200803&amp;PERIODTYPE=QTR_STD&amp;SCFT=3&amp;window=popup_no_bar&amp;width=385&amp;height=120&amp;START_MAXIMIZED=FALSE&amp;creator=factset&amp;display_string=Audit"}</definedName>
    <definedName name="_1215__FDSAUDITLINK__" hidden="1">{"fdsup://Directions/FactSet Auditing Viewer?action=AUDIT_VALUE&amp;DB=129&amp;ID1=03822210&amp;VALUEID=02001&amp;SDATE=200901&amp;PERIODTYPE=QTR_STD&amp;SCFT=3&amp;window=popup_no_bar&amp;width=385&amp;height=120&amp;START_MAXIMIZED=FALSE&amp;creator=factset&amp;display_string=Audit"}</definedName>
    <definedName name="_1216__FDSAUDITLINK__" hidden="1">{"fdsup://Directions/FactSet Auditing Viewer?action=AUDIT_VALUE&amp;DB=129&amp;ID1=03822210&amp;VALUEID=02001&amp;SDATE=200901&amp;PERIODTYPE=QTR_STD&amp;SCFT=3&amp;window=popup_no_bar&amp;width=385&amp;height=120&amp;START_MAXIMIZED=FALSE&amp;creator=factset&amp;display_string=Audit"}</definedName>
    <definedName name="_1217__FDSAUDITLINK__" hidden="1">{"fdsup://Directions/FactSet Auditing Viewer?action=AUDIT_VALUE&amp;DB=129&amp;ID1=03265410&amp;VALUEID=02001&amp;SDATE=200901&amp;PERIODTYPE=QTR_STD&amp;SCFT=3&amp;window=popup_no_bar&amp;width=385&amp;height=120&amp;START_MAXIMIZED=FALSE&amp;creator=factset&amp;display_string=Audit"}</definedName>
    <definedName name="_1218__FDSAUDITLINK__" hidden="1">{"fdsup://Directions/FactSet Auditing Viewer?action=AUDIT_VALUE&amp;DB=129&amp;ID1=03265410&amp;VALUEID=02001&amp;SDATE=200901&amp;PERIODTYPE=QTR_STD&amp;SCFT=3&amp;window=popup_no_bar&amp;width=385&amp;height=120&amp;START_MAXIMIZED=FALSE&amp;creator=factset&amp;display_string=Audit"}</definedName>
    <definedName name="_1219__FDSAUDITLINK__" hidden="1">{"fdsup://Directions/FactSet Auditing Viewer?action=AUDIT_VALUE&amp;DB=129&amp;ID1=98975F10&amp;VALUEID=02001&amp;SDATE=200803&amp;PERIODTYPE=QTR_STD&amp;SCFT=3&amp;window=popup_no_bar&amp;width=385&amp;height=120&amp;START_MAXIMIZED=FALSE&amp;creator=factset&amp;display_string=Audit"}</definedName>
    <definedName name="_122__FDSAUDITLINK__" hidden="1">{"fdsup://Directions/FactSet Auditing Viewer?action=AUDIT_VALUE&amp;DB=129&amp;ID1=17275R10&amp;VALUEID=02001&amp;SDATE=201103&amp;PERIODTYPE=QTR_STD&amp;SCFT=3&amp;window=popup_no_bar&amp;width=385&amp;height=120&amp;START_MAXIMIZED=FALSE&amp;creator=factset&amp;display_string=Audit"}</definedName>
    <definedName name="_1220__FDSAUDITLINK__" hidden="1">{"fdsup://Directions/FactSet Auditing Viewer?action=AUDIT_VALUE&amp;DB=129&amp;ID1=98975F10&amp;VALUEID=02001&amp;SDATE=200803&amp;PERIODTYPE=QTR_STD&amp;SCFT=3&amp;window=popup_no_bar&amp;width=385&amp;height=120&amp;START_MAXIMIZED=FALSE&amp;creator=factset&amp;display_string=Audit"}</definedName>
    <definedName name="_1221__FDSAUDITLINK__" hidden="1">{"fdsup://Directions/FactSet Auditing Viewer?action=AUDIT_VALUE&amp;DB=129&amp;ID1=98391910&amp;VALUEID=02001&amp;SDATE=200802&amp;PERIODTYPE=QTR_STD&amp;SCFT=3&amp;window=popup_no_bar&amp;width=385&amp;height=120&amp;START_MAXIMIZED=FALSE&amp;creator=factset&amp;display_string=Audit"}</definedName>
    <definedName name="_1222__FDSAUDITLINK__" hidden="1">{"fdsup://Directions/FactSet Auditing Viewer?action=AUDIT_VALUE&amp;DB=129&amp;ID1=98391910&amp;VALUEID=02001&amp;SDATE=200802&amp;PERIODTYPE=QTR_STD&amp;SCFT=3&amp;window=popup_no_bar&amp;width=385&amp;height=120&amp;START_MAXIMIZED=FALSE&amp;creator=factset&amp;display_string=Audit"}</definedName>
    <definedName name="_1223__FDSAUDITLINK__" hidden="1">{"fdsup://Directions/FactSet Auditing Viewer?action=AUDIT_VALUE&amp;DB=129&amp;ID1=95810210&amp;VALUEID=02001&amp;SDATE=200901&amp;PERIODTYPE=QTR_STD&amp;SCFT=3&amp;window=popup_no_bar&amp;width=385&amp;height=120&amp;START_MAXIMIZED=FALSE&amp;creator=factset&amp;display_string=Audit"}</definedName>
    <definedName name="_1224__FDSAUDITLINK__" hidden="1">{"fdsup://Directions/FactSet Auditing Viewer?action=AUDIT_VALUE&amp;DB=129&amp;ID1=95810210&amp;VALUEID=02001&amp;SDATE=200901&amp;PERIODTYPE=QTR_STD&amp;SCFT=3&amp;window=popup_no_bar&amp;width=385&amp;height=120&amp;START_MAXIMIZED=FALSE&amp;creator=factset&amp;display_string=Audit"}</definedName>
    <definedName name="_1225__FDSAUDITLINK__" hidden="1">{"fdsup://Directions/FactSet Auditing Viewer?action=AUDIT_VALUE&amp;DB=129&amp;ID1=92829810&amp;VALUEID=02001&amp;SDATE=200803&amp;PERIODTYPE=QTR_STD&amp;SCFT=3&amp;window=popup_no_bar&amp;width=385&amp;height=120&amp;START_MAXIMIZED=FALSE&amp;creator=factset&amp;display_string=Audit"}</definedName>
    <definedName name="_1226__FDSAUDITLINK__" hidden="1">{"fdsup://Directions/FactSet Auditing Viewer?action=AUDIT_VALUE&amp;DB=129&amp;ID1=92829810&amp;VALUEID=02001&amp;SDATE=200803&amp;PERIODTYPE=QTR_STD&amp;SCFT=3&amp;window=popup_no_bar&amp;width=385&amp;height=120&amp;START_MAXIMIZED=FALSE&amp;creator=factset&amp;display_string=Audit"}</definedName>
    <definedName name="_1227__FDSAUDITLINK__" hidden="1">{"fdsup://Directions/FactSet Auditing Viewer?action=AUDIT_VALUE&amp;DB=129&amp;ID1=88250810&amp;VALUEID=02001&amp;SDATE=200803&amp;PERIODTYPE=QTR_STD&amp;SCFT=3&amp;window=popup_no_bar&amp;width=385&amp;height=120&amp;START_MAXIMIZED=FALSE&amp;creator=factset&amp;display_string=Audit"}</definedName>
    <definedName name="_1228__FDSAUDITLINK__" hidden="1">{"fdsup://Directions/FactSet Auditing Viewer?action=AUDIT_VALUE&amp;DB=129&amp;ID1=88250810&amp;VALUEID=02001&amp;SDATE=200803&amp;PERIODTYPE=QTR_STD&amp;SCFT=3&amp;window=popup_no_bar&amp;width=385&amp;height=120&amp;START_MAXIMIZED=FALSE&amp;creator=factset&amp;display_string=Audit"}</definedName>
    <definedName name="_1229__FDSAUDITLINK__" hidden="1">{"fdsup://Directions/FactSet Auditing Viewer?action=AUDIT_VALUE&amp;DB=129&amp;ID1=89674K10&amp;VALUEID=02001&amp;SDATE=200803&amp;PERIODTYPE=QTR_STD&amp;SCFT=3&amp;window=popup_no_bar&amp;width=385&amp;height=120&amp;START_MAXIMIZED=FALSE&amp;creator=factset&amp;display_string=Audit"}</definedName>
    <definedName name="_123__FDSAUDITLINK__" hidden="1">{"fdsup://Directions/FactSet Auditing Viewer?action=AUDIT_VALUE&amp;DB=129&amp;ID1=22544710&amp;VALUEID=02001&amp;SDATE=201103&amp;PERIODTYPE=QTR_STD&amp;SCFT=3&amp;window=popup_no_bar&amp;width=385&amp;height=120&amp;START_MAXIMIZED=FALSE&amp;creator=factset&amp;display_string=Audit"}</definedName>
    <definedName name="_1230__FDSAUDITLINK__" hidden="1">{"fdsup://Directions/FactSet Auditing Viewer?action=AUDIT_VALUE&amp;DB=129&amp;ID1=89674K10&amp;VALUEID=02001&amp;SDATE=200803&amp;PERIODTYPE=QTR_STD&amp;SCFT=3&amp;window=popup_no_bar&amp;width=385&amp;height=120&amp;START_MAXIMIZED=FALSE&amp;creator=factset&amp;display_string=Audit"}</definedName>
    <definedName name="_1231__FDSAUDITLINK__" hidden="1">{"fdsup://Directions/FactSet Auditing Viewer?action=AUDIT_VALUE&amp;DB=129&amp;ID1=G7945M10&amp;VALUEID=02001&amp;SDATE=200901&amp;PERIODTYPE=QTR_STD&amp;SCFT=3&amp;window=popup_no_bar&amp;width=385&amp;height=120&amp;START_MAXIMIZED=FALSE&amp;creator=factset&amp;display_string=Audit"}</definedName>
    <definedName name="_1232__FDSAUDITLINK__" hidden="1">{"fdsup://Directions/FactSet Auditing Viewer?action=AUDIT_VALUE&amp;DB=129&amp;ID1=G7945M10&amp;VALUEID=02001&amp;SDATE=200901&amp;PERIODTYPE=QTR_STD&amp;SCFT=3&amp;window=popup_no_bar&amp;width=385&amp;height=120&amp;START_MAXIMIZED=FALSE&amp;creator=factset&amp;display_string=Audit"}</definedName>
    <definedName name="_1233__FDSAUDITLINK__" hidden="1">{"fdsup://Directions/FactSet Auditing Viewer?action=AUDIT_VALUE&amp;DB=129&amp;ID1=78477410&amp;VALUEID=02001&amp;SDATE=200803&amp;PERIODTYPE=QTR_STD&amp;SCFT=3&amp;window=popup_no_bar&amp;width=385&amp;height=120&amp;START_MAXIMIZED=FALSE&amp;creator=factset&amp;display_string=Audit"}</definedName>
    <definedName name="_1234__FDSAUDITLINK__" hidden="1">{"fdsup://Directions/FactSet Auditing Viewer?action=AUDIT_VALUE&amp;DB=129&amp;ID1=78477410&amp;VALUEID=02001&amp;SDATE=200803&amp;PERIODTYPE=QTR_STD&amp;SCFT=3&amp;window=popup_no_bar&amp;width=385&amp;height=120&amp;START_MAXIMIZED=FALSE&amp;creator=factset&amp;display_string=Audit"}</definedName>
    <definedName name="_1235__FDSAUDITLINK__" hidden="1">{"fdsup://Directions/FactSet Auditing Viewer?action=AUDIT_VALUE&amp;DB=129&amp;ID1=82705710&amp;VALUEID=02001&amp;SDATE=200803&amp;PERIODTYPE=QTR_STD&amp;SCFT=3&amp;window=popup_no_bar&amp;width=385&amp;height=120&amp;START_MAXIMIZED=FALSE&amp;creator=factset&amp;display_string=Audit"}</definedName>
    <definedName name="_1236__FDSAUDITLINK__" hidden="1">{"fdsup://Directions/FactSet Auditing Viewer?action=AUDIT_VALUE&amp;DB=129&amp;ID1=82705710&amp;VALUEID=02001&amp;SDATE=200803&amp;PERIODTYPE=QTR_STD&amp;SCFT=3&amp;window=popup_no_bar&amp;width=385&amp;height=120&amp;START_MAXIMIZED=FALSE&amp;creator=factset&amp;display_string=Audit"}</definedName>
    <definedName name="_1237__FDSAUDITLINK__" hidden="1">{"fdsup://Directions/FactSet Auditing Viewer?action=AUDIT_VALUE&amp;DB=129&amp;ID1=83547010&amp;VALUEID=02001&amp;SDATE=200803&amp;PERIODTYPE=QTR_STD&amp;SCFT=3&amp;window=popup_no_bar&amp;width=385&amp;height=120&amp;START_MAXIMIZED=FALSE&amp;creator=factset&amp;display_string=Audit"}</definedName>
    <definedName name="_1238__FDSAUDITLINK__" hidden="1">{"fdsup://Directions/FactSet Auditing Viewer?action=AUDIT_VALUE&amp;DB=129&amp;ID1=83547010&amp;VALUEID=02001&amp;SDATE=200803&amp;PERIODTYPE=QTR_STD&amp;SCFT=3&amp;window=popup_no_bar&amp;width=385&amp;height=120&amp;START_MAXIMIZED=FALSE&amp;creator=factset&amp;display_string=Audit"}</definedName>
    <definedName name="_1239__FDSAUDITLINK__" hidden="1">{"fdsup://Directions/FactSet Auditing Viewer?action=AUDIT_VALUE&amp;DB=129&amp;ID1=80004C10&amp;VALUEID=02001&amp;SDATE=200803&amp;PERIODTYPE=QTR_STD&amp;SCFT=3&amp;window=popup_no_bar&amp;width=385&amp;height=120&amp;START_MAXIMIZED=FALSE&amp;creator=factset&amp;display_string=Audit"}</definedName>
    <definedName name="_124__FDSAUDITLINK__" hidden="1">{"fdsup://Directions/FactSet Auditing Viewer?action=AUDIT_VALUE&amp;DB=129&amp;ID1=22544710&amp;VALUEID=02001&amp;SDATE=201103&amp;PERIODTYPE=QTR_STD&amp;SCFT=3&amp;window=popup_no_bar&amp;width=385&amp;height=120&amp;START_MAXIMIZED=FALSE&amp;creator=factset&amp;display_string=Audit"}</definedName>
    <definedName name="_1240__FDSAUDITLINK__" hidden="1">{"fdsup://Directions/FactSet Auditing Viewer?action=AUDIT_VALUE&amp;DB=129&amp;ID1=80004C10&amp;VALUEID=02001&amp;SDATE=200803&amp;PERIODTYPE=QTR_STD&amp;SCFT=3&amp;window=popup_no_bar&amp;width=385&amp;height=120&amp;START_MAXIMIZED=FALSE&amp;creator=factset&amp;display_string=Audit"}</definedName>
    <definedName name="_1241__FDSAUDITLINK__" hidden="1">{"fdsup://Directions/FactSet Auditing Viewer?action=AUDIT_VALUE&amp;DB=129&amp;ID1=81685010&amp;VALUEID=02001&amp;SDATE=200803&amp;PERIODTYPE=QTR_STD&amp;SCFT=3&amp;window=popup_no_bar&amp;width=385&amp;height=120&amp;START_MAXIMIZED=FALSE&amp;creator=factset&amp;display_string=Audit"}</definedName>
    <definedName name="_1242__FDSAUDITLINK__" hidden="1">{"fdsup://Directions/FactSet Auditing Viewer?action=AUDIT_VALUE&amp;DB=129&amp;ID1=81685010&amp;VALUEID=02001&amp;SDATE=200803&amp;PERIODTYPE=QTR_STD&amp;SCFT=3&amp;window=popup_no_bar&amp;width=385&amp;height=120&amp;START_MAXIMIZED=FALSE&amp;creator=factset&amp;display_string=Audit"}</definedName>
    <definedName name="_1243__FDSAUDITLINK__" hidden="1">{"fdsup://Directions/FactSet Auditing Viewer?action=AUDIT_VALUE&amp;DB=129&amp;ID1=82691910&amp;VALUEID=02001&amp;SDATE=200803&amp;PERIODTYPE=QTR_STD&amp;SCFT=3&amp;window=popup_no_bar&amp;width=385&amp;height=120&amp;START_MAXIMIZED=FALSE&amp;creator=factset&amp;display_string=Audit"}</definedName>
    <definedName name="_1244__FDSAUDITLINK__" hidden="1">{"fdsup://Directions/FactSet Auditing Viewer?action=AUDIT_VALUE&amp;DB=129&amp;ID1=82691910&amp;VALUEID=02001&amp;SDATE=200803&amp;PERIODTYPE=QTR_STD&amp;SCFT=3&amp;window=popup_no_bar&amp;width=385&amp;height=120&amp;START_MAXIMIZED=FALSE&amp;creator=factset&amp;display_string=Audit"}</definedName>
    <definedName name="_1245__FDSAUDITLINK__" hidden="1">{"fdsup://Directions/FactSet Auditing Viewer?action=AUDIT_VALUE&amp;DB=129&amp;ID1=82705T10&amp;VALUEID=02001&amp;SDATE=200803&amp;PERIODTYPE=QTR_STD&amp;SCFT=3&amp;window=popup_no_bar&amp;width=385&amp;height=120&amp;START_MAXIMIZED=FALSE&amp;creator=factset&amp;display_string=Audit"}</definedName>
    <definedName name="_1246__FDSAUDITLINK__" hidden="1">{"fdsup://Directions/FactSet Auditing Viewer?action=AUDIT_VALUE&amp;DB=129&amp;ID1=82705T10&amp;VALUEID=02001&amp;SDATE=200803&amp;PERIODTYPE=QTR_STD&amp;SCFT=3&amp;window=popup_no_bar&amp;width=385&amp;height=120&amp;START_MAXIMIZED=FALSE&amp;creator=factset&amp;display_string=Audit"}</definedName>
    <definedName name="_1247__FDSAUDITLINK__" hidden="1">{"fdsup://Directions/FactSet Auditing Viewer?action=AUDIT_VALUE&amp;DB=129&amp;ID1=75091710&amp;VALUEID=02001&amp;SDATE=200803&amp;PERIODTYPE=QTR_STD&amp;SCFT=3&amp;window=popup_no_bar&amp;width=385&amp;height=120&amp;START_MAXIMIZED=FALSE&amp;creator=factset&amp;display_string=Audit"}</definedName>
    <definedName name="_1248__FDSAUDITLINK__" hidden="1">{"fdsup://Directions/FactSet Auditing Viewer?action=AUDIT_VALUE&amp;DB=129&amp;ID1=75091710&amp;VALUEID=02001&amp;SDATE=200803&amp;PERIODTYPE=QTR_STD&amp;SCFT=3&amp;window=popup_no_bar&amp;width=385&amp;height=120&amp;START_MAXIMIZED=FALSE&amp;creator=factset&amp;display_string=Audit"}</definedName>
    <definedName name="_1249__FDSAUDITLINK__" hidden="1">{"fdsup://Directions/FactSet Auditing Viewer?action=AUDIT_VALUE&amp;DB=129&amp;ID1=74994110&amp;VALUEID=02001&amp;SDATE=200802&amp;PERIODTYPE=QTR_STD&amp;SCFT=3&amp;window=popup_no_bar&amp;width=385&amp;height=120&amp;START_MAXIMIZED=FALSE&amp;creator=factset&amp;display_string=Audit"}</definedName>
    <definedName name="_125__FDSAUDITLINK__" hidden="1">{"fdsup://Directions/FactSet Auditing Viewer?action=AUDIT_VALUE&amp;DB=129&amp;ID1=20714230&amp;VALUEID=02001&amp;SDATE=201102&amp;PERIODTYPE=QTR_STD&amp;SCFT=3&amp;window=popup_no_bar&amp;width=385&amp;height=120&amp;START_MAXIMIZED=FALSE&amp;creator=factset&amp;display_string=Audit"}</definedName>
    <definedName name="_1250__FDSAUDITLINK__" hidden="1">{"fdsup://Directions/FactSet Auditing Viewer?action=AUDIT_VALUE&amp;DB=129&amp;ID1=74994110&amp;VALUEID=02001&amp;SDATE=200802&amp;PERIODTYPE=QTR_STD&amp;SCFT=3&amp;window=popup_no_bar&amp;width=385&amp;height=120&amp;START_MAXIMIZED=FALSE&amp;creator=factset&amp;display_string=Audit"}</definedName>
    <definedName name="_1251__FDSAUDITLINK__" hidden="1">{"fdsup://Directions/FactSet Auditing Viewer?action=AUDIT_VALUE&amp;DB=129&amp;ID1=74727710&amp;VALUEID=02001&amp;SDATE=200802&amp;PERIODTYPE=QTR_STD&amp;SCFT=3&amp;window=popup_no_bar&amp;width=385&amp;height=120&amp;START_MAXIMIZED=FALSE&amp;creator=factset&amp;display_string=Audit"}</definedName>
    <definedName name="_1252__FDSAUDITLINK__" hidden="1">{"fdsup://Directions/FactSet Auditing Viewer?action=AUDIT_VALUE&amp;DB=129&amp;ID1=74727710&amp;VALUEID=02001&amp;SDATE=200802&amp;PERIODTYPE=QTR_STD&amp;SCFT=3&amp;window=popup_no_bar&amp;width=385&amp;height=120&amp;START_MAXIMIZED=FALSE&amp;creator=factset&amp;display_string=Audit"}</definedName>
    <definedName name="_1253__FDSAUDITLINK__" hidden="1">{"fdsup://Directions/FactSet Auditing Viewer?action=AUDIT_VALUE&amp;DB=129&amp;ID1=72581M30&amp;VALUEID=02001&amp;SDATE=200803&amp;PERIODTYPE=QTR_STD&amp;SCFT=3&amp;window=popup_no_bar&amp;width=385&amp;height=120&amp;START_MAXIMIZED=FALSE&amp;creator=factset&amp;display_string=Audit"}</definedName>
    <definedName name="_1254__FDSAUDITLINK__" hidden="1">{"fdsup://Directions/FactSet Auditing Viewer?action=AUDIT_VALUE&amp;DB=129&amp;ID1=72581M30&amp;VALUEID=02001&amp;SDATE=200803&amp;PERIODTYPE=QTR_STD&amp;SCFT=3&amp;window=popup_no_bar&amp;width=385&amp;height=120&amp;START_MAXIMIZED=FALSE&amp;creator=factset&amp;display_string=Audit"}</definedName>
    <definedName name="_1255__FDSAUDITLINK__" hidden="1">{"fdsup://Directions/FactSet Auditing Viewer?action=AUDIT_VALUE&amp;DB=129&amp;ID1=73927610&amp;VALUEID=02001&amp;SDATE=200803&amp;PERIODTYPE=QTR_STD&amp;SCFT=3&amp;window=popup_no_bar&amp;width=385&amp;height=120&amp;START_MAXIMIZED=FALSE&amp;creator=factset&amp;display_string=Audit"}</definedName>
    <definedName name="_1256__FDSAUDITLINK__" hidden="1">{"fdsup://Directions/FactSet Auditing Viewer?action=AUDIT_VALUE&amp;DB=129&amp;ID1=73927610&amp;VALUEID=02001&amp;SDATE=200803&amp;PERIODTYPE=QTR_STD&amp;SCFT=3&amp;window=popup_no_bar&amp;width=385&amp;height=120&amp;START_MAXIMIZED=FALSE&amp;creator=factset&amp;display_string=Audit"}</definedName>
    <definedName name="_1257__FDSAUDITLINK__" hidden="1">{"fdsup://Directions/FactSet Auditing Viewer?action=AUDIT_VALUE&amp;DB=129&amp;ID1=69344F10&amp;VALUEID=02001&amp;SDATE=200803&amp;PERIODTYPE=QTR_STD&amp;SCFT=3&amp;window=popup_no_bar&amp;width=385&amp;height=120&amp;START_MAXIMIZED=FALSE&amp;creator=factset&amp;display_string=Audit"}</definedName>
    <definedName name="_1258__FDSAUDITLINK__" hidden="1">{"fdsup://Directions/FactSet Auditing Viewer?action=AUDIT_VALUE&amp;DB=129&amp;ID1=69344F10&amp;VALUEID=02001&amp;SDATE=200803&amp;PERIODTYPE=QTR_STD&amp;SCFT=3&amp;window=popup_no_bar&amp;width=385&amp;height=120&amp;START_MAXIMIZED=FALSE&amp;creator=factset&amp;display_string=Audit"}</definedName>
    <definedName name="_1259__FDSAUDITLINK__" hidden="1">{"fdsup://Directions/FactSet Auditing Viewer?action=AUDIT_VALUE&amp;DB=129&amp;ID1=69341710&amp;VALUEID=02001&amp;SDATE=200803&amp;PERIODTYPE=QTR_STD&amp;SCFT=3&amp;window=popup_no_bar&amp;width=385&amp;height=120&amp;START_MAXIMIZED=FALSE&amp;creator=factset&amp;display_string=Audit"}</definedName>
    <definedName name="_126__FDSAUDITLINK__" hidden="1">{"fdsup://Directions/FactSet Auditing Viewer?action=AUDIT_VALUE&amp;DB=129&amp;ID1=20714230&amp;VALUEID=02001&amp;SDATE=201102&amp;PERIODTYPE=QTR_STD&amp;SCFT=3&amp;window=popup_no_bar&amp;width=385&amp;height=120&amp;START_MAXIMIZED=FALSE&amp;creator=factset&amp;display_string=Audit"}</definedName>
    <definedName name="_1260__FDSAUDITLINK__" hidden="1">{"fdsup://Directions/FactSet Auditing Viewer?action=AUDIT_VALUE&amp;DB=129&amp;ID1=69341710&amp;VALUEID=02001&amp;SDATE=200803&amp;PERIODTYPE=QTR_STD&amp;SCFT=3&amp;window=popup_no_bar&amp;width=385&amp;height=120&amp;START_MAXIMIZED=FALSE&amp;creator=factset&amp;display_string=Audit"}</definedName>
    <definedName name="_1261__FDSAUDITLINK__" hidden="1">{"fdsup://Directions/FactSet Auditing Viewer?action=AUDIT_VALUE&amp;DB=129&amp;ID1=68218910&amp;VALUEID=02001&amp;SDATE=200803&amp;PERIODTYPE=QTR_STD&amp;SCFT=3&amp;window=popup_no_bar&amp;width=385&amp;height=120&amp;START_MAXIMIZED=FALSE&amp;creator=factset&amp;display_string=Audit"}</definedName>
    <definedName name="_1262__FDSAUDITLINK__" hidden="1">{"fdsup://Directions/FactSet Auditing Viewer?action=AUDIT_VALUE&amp;DB=129&amp;ID1=68218910&amp;VALUEID=02001&amp;SDATE=200803&amp;PERIODTYPE=QTR_STD&amp;SCFT=3&amp;window=popup_no_bar&amp;width=385&amp;height=120&amp;START_MAXIMIZED=FALSE&amp;creator=factset&amp;display_string=Audit"}</definedName>
    <definedName name="_1263__FDSAUDITLINK__" hidden="1">{"fdsup://Directions/FactSet Auditing Viewer?action=AUDIT_VALUE&amp;DB=129&amp;ID1=B505PN&amp;VALUEID=02001&amp;SDATE=200803&amp;PERIODTYPE=QTR_STD&amp;SCFT=3&amp;window=popup_no_bar&amp;width=385&amp;height=120&amp;START_MAXIMIZED=FALSE&amp;creator=factset&amp;display_string=Audit"}</definedName>
    <definedName name="_1264__FDSAUDITLINK__" hidden="1">{"fdsup://Directions/FactSet Auditing Viewer?action=AUDIT_VALUE&amp;DB=129&amp;ID1=B505PN&amp;VALUEID=02001&amp;SDATE=200803&amp;PERIODTYPE=QTR_STD&amp;SCFT=3&amp;window=popup_no_bar&amp;width=385&amp;height=120&amp;START_MAXIMIZED=FALSE&amp;creator=factset&amp;display_string=Audit"}</definedName>
    <definedName name="_1265__FDSAUDITLINK__" hidden="1">{"fdsup://Directions/FactSet Auditing Viewer?action=AUDIT_VALUE&amp;DB=129&amp;ID1=67000810&amp;VALUEID=02001&amp;SDATE=200803&amp;PERIODTYPE=QTR_STD&amp;SCFT=3&amp;window=popup_no_bar&amp;width=385&amp;height=120&amp;START_MAXIMIZED=FALSE&amp;creator=factset&amp;display_string=Audit"}</definedName>
    <definedName name="_1266__FDSAUDITLINK__" hidden="1">{"fdsup://Directions/FactSet Auditing Viewer?action=AUDIT_VALUE&amp;DB=129&amp;ID1=67000810&amp;VALUEID=02001&amp;SDATE=200803&amp;PERIODTYPE=QTR_STD&amp;SCFT=3&amp;window=popup_no_bar&amp;width=385&amp;height=120&amp;START_MAXIMIZED=FALSE&amp;creator=factset&amp;display_string=Audit"}</definedName>
    <definedName name="_1267__FDSAUDITLINK__" hidden="1">{"fdsup://Directions/FactSet Auditing Viewer?action=AUDIT_VALUE&amp;DB=129&amp;ID1=67066G10&amp;VALUEID=02001&amp;SDATE=200803&amp;PERIODTYPE=QTR_STD&amp;SCFT=3&amp;window=popup_no_bar&amp;width=385&amp;height=120&amp;START_MAXIMIZED=FALSE&amp;creator=factset&amp;display_string=Audit"}</definedName>
    <definedName name="_1268__FDSAUDITLINK__" hidden="1">{"fdsup://Directions/FactSet Auditing Viewer?action=AUDIT_VALUE&amp;DB=129&amp;ID1=67066G10&amp;VALUEID=02001&amp;SDATE=200803&amp;PERIODTYPE=QTR_STD&amp;SCFT=3&amp;window=popup_no_bar&amp;width=385&amp;height=120&amp;START_MAXIMIZED=FALSE&amp;creator=factset&amp;display_string=Audit"}</definedName>
    <definedName name="_1269__FDSAUDITLINK__" hidden="1">{"fdsup://Directions/FactSet Auditing Viewer?action=AUDIT_VALUE&amp;DB=129&amp;ID1=63764010&amp;VALUEID=02001&amp;SDATE=200801&amp;PERIODTYPE=QTR_STD&amp;SCFT=3&amp;window=popup_no_bar&amp;width=385&amp;height=120&amp;START_MAXIMIZED=FALSE&amp;creator=factset&amp;display_string=Audit"}</definedName>
    <definedName name="_127__FDSAUDITLINK__" hidden="1">{"fdsup://Directions/FactSet Auditing Viewer?action=AUDIT_VALUE&amp;DB=129&amp;ID1=12738710&amp;VALUEID=02001&amp;SDATE=201101&amp;PERIODTYPE=QTR_STD&amp;SCFT=3&amp;window=popup_no_bar&amp;width=385&amp;height=120&amp;START_MAXIMIZED=FALSE&amp;creator=factset&amp;display_string=Audit"}</definedName>
    <definedName name="_1270__FDSAUDITLINK__" hidden="1">{"fdsup://Directions/FactSet Auditing Viewer?action=AUDIT_VALUE&amp;DB=129&amp;ID1=63764010&amp;VALUEID=02001&amp;SDATE=200801&amp;PERIODTYPE=QTR_STD&amp;SCFT=3&amp;window=popup_no_bar&amp;width=385&amp;height=120&amp;START_MAXIMIZED=FALSE&amp;creator=factset&amp;display_string=Audit"}</definedName>
    <definedName name="_1271__FDSAUDITLINK__" hidden="1">{"fdsup://Directions/FactSet Auditing Viewer?action=AUDIT_VALUE&amp;DB=129&amp;ID1=64118B10&amp;VALUEID=02001&amp;SDATE=200803&amp;PERIODTYPE=QTR_STD&amp;SCFT=3&amp;window=popup_no_bar&amp;width=385&amp;height=120&amp;START_MAXIMIZED=FALSE&amp;creator=factset&amp;display_string=Audit"}</definedName>
    <definedName name="_1272__FDSAUDITLINK__" hidden="1">{"fdsup://Directions/FactSet Auditing Viewer?action=AUDIT_VALUE&amp;DB=129&amp;ID1=64118B10&amp;VALUEID=02001&amp;SDATE=200803&amp;PERIODTYPE=QTR_STD&amp;SCFT=3&amp;window=popup_no_bar&amp;width=385&amp;height=120&amp;START_MAXIMIZED=FALSE&amp;creator=factset&amp;display_string=Audit"}</definedName>
    <definedName name="_1273__FDSAUDITLINK__" hidden="1">{"fdsup://Directions/FactSet Auditing Viewer?action=AUDIT_VALUE&amp;DB=129&amp;ID1=G5876H10&amp;VALUEID=02001&amp;SDATE=200803&amp;PERIODTYPE=QTR_STD&amp;SCFT=3&amp;window=popup_no_bar&amp;width=385&amp;height=120&amp;START_MAXIMIZED=FALSE&amp;creator=factset&amp;display_string=Audit"}</definedName>
    <definedName name="_1274__FDSAUDITLINK__" hidden="1">{"fdsup://Directions/FactSet Auditing Viewer?action=AUDIT_VALUE&amp;DB=129&amp;ID1=G5876H10&amp;VALUEID=02001&amp;SDATE=200803&amp;PERIODTYPE=QTR_STD&amp;SCFT=3&amp;window=popup_no_bar&amp;width=385&amp;height=120&amp;START_MAXIMIZED=FALSE&amp;creator=factset&amp;display_string=Audit"}</definedName>
    <definedName name="_1275__FDSAUDITLINK__" hidden="1">{"fdsup://Directions/FactSet Auditing Viewer?action=AUDIT_VALUE&amp;DB=129&amp;ID1=62007630&amp;VALUEID=02001&amp;SDATE=200803&amp;PERIODTYPE=QTR_STD&amp;SCFT=3&amp;window=popup_no_bar&amp;width=385&amp;height=120&amp;START_MAXIMIZED=FALSE&amp;creator=factset&amp;display_string=Audit"}</definedName>
    <definedName name="_1276__FDSAUDITLINK__" hidden="1">{"fdsup://Directions/FactSet Auditing Viewer?action=AUDIT_VALUE&amp;DB=129&amp;ID1=62007630&amp;VALUEID=02001&amp;SDATE=200803&amp;PERIODTYPE=QTR_STD&amp;SCFT=3&amp;window=popup_no_bar&amp;width=385&amp;height=120&amp;START_MAXIMIZED=FALSE&amp;creator=factset&amp;display_string=Audit"}</definedName>
    <definedName name="_1277__FDSAUDITLINK__" hidden="1">{"fdsup://Directions/FactSet Auditing Viewer?action=AUDIT_VALUE&amp;DB=129&amp;ID1=60456710&amp;VALUEID=02001&amp;SDATE=200901&amp;PERIODTYPE=QTR_STD&amp;SCFT=3&amp;window=popup_no_bar&amp;width=385&amp;height=120&amp;START_MAXIMIZED=FALSE&amp;creator=factset&amp;display_string=Audit"}</definedName>
    <definedName name="_1278__FDSAUDITLINK__" hidden="1">{"fdsup://Directions/FactSet Auditing Viewer?action=AUDIT_VALUE&amp;DB=129&amp;ID1=60456710&amp;VALUEID=02001&amp;SDATE=200901&amp;PERIODTYPE=QTR_STD&amp;SCFT=3&amp;window=popup_no_bar&amp;width=385&amp;height=120&amp;START_MAXIMIZED=FALSE&amp;creator=factset&amp;display_string=Audit"}</definedName>
    <definedName name="_1279__FDSAUDITLINK__" hidden="1">{"fdsup://Directions/FactSet Auditing Viewer?action=AUDIT_VALUE&amp;DB=129&amp;ID1=59479310&amp;VALUEID=02001&amp;SDATE=200803&amp;PERIODTYPE=QTR_STD&amp;SCFT=3&amp;window=popup_no_bar&amp;width=385&amp;height=120&amp;START_MAXIMIZED=FALSE&amp;creator=factset&amp;display_string=Audit"}</definedName>
    <definedName name="_128__FDSAUDITLINK__" hidden="1">{"fdsup://Directions/FactSet Auditing Viewer?action=AUDIT_VALUE&amp;DB=129&amp;ID1=12738710&amp;VALUEID=02001&amp;SDATE=201101&amp;PERIODTYPE=QTR_STD&amp;SCFT=3&amp;window=popup_no_bar&amp;width=385&amp;height=120&amp;START_MAXIMIZED=FALSE&amp;creator=factset&amp;display_string=Audit"}</definedName>
    <definedName name="_1280__FDSAUDITLINK__" hidden="1">{"fdsup://Directions/FactSet Auditing Viewer?action=AUDIT_VALUE&amp;DB=129&amp;ID1=59479310&amp;VALUEID=02001&amp;SDATE=200803&amp;PERIODTYPE=QTR_STD&amp;SCFT=3&amp;window=popup_no_bar&amp;width=385&amp;height=120&amp;START_MAXIMIZED=FALSE&amp;creator=factset&amp;display_string=Audit"}</definedName>
    <definedName name="_1281__FDSAUDITLINK__" hidden="1">{"fdsup://Directions/FactSet Auditing Viewer?action=AUDIT_VALUE&amp;DB=129&amp;ID1=59501710&amp;VALUEID=02001&amp;SDATE=200802&amp;PERIODTYPE=QTR_STD&amp;SCFT=3&amp;window=popup_no_bar&amp;width=385&amp;height=120&amp;START_MAXIMIZED=FALSE&amp;creator=factset&amp;display_string=Audit"}</definedName>
    <definedName name="_1282__FDSAUDITLINK__" hidden="1">{"fdsup://Directions/FactSet Auditing Viewer?action=AUDIT_VALUE&amp;DB=129&amp;ID1=59501710&amp;VALUEID=02001&amp;SDATE=200802&amp;PERIODTYPE=QTR_STD&amp;SCFT=3&amp;window=popup_no_bar&amp;width=385&amp;height=120&amp;START_MAXIMIZED=FALSE&amp;creator=factset&amp;display_string=Audit"}</definedName>
    <definedName name="_1283__FDSAUDITLINK__" hidden="1">{"fdsup://Directions/FactSet Auditing Viewer?action=AUDIT_VALUE&amp;DB=129&amp;ID1=50216110&amp;VALUEID=02001&amp;SDATE=200803&amp;PERIODTYPE=QTR_STD&amp;SCFT=3&amp;window=popup_no_bar&amp;width=385&amp;height=120&amp;START_MAXIMIZED=FALSE&amp;creator=factset&amp;display_string=Audit"}</definedName>
    <definedName name="_1284__FDSAUDITLINK__" hidden="1">{"fdsup://Directions/FactSet Auditing Viewer?action=AUDIT_VALUE&amp;DB=129&amp;ID1=50216110&amp;VALUEID=02001&amp;SDATE=200803&amp;PERIODTYPE=QTR_STD&amp;SCFT=3&amp;window=popup_no_bar&amp;width=385&amp;height=120&amp;START_MAXIMIZED=FALSE&amp;creator=factset&amp;display_string=Audit"}</definedName>
    <definedName name="_1285__FDSAUDITLINK__" hidden="1">{"fdsup://Directions/FactSet Auditing Viewer?action=AUDIT_VALUE&amp;DB=129&amp;ID1=51841510&amp;VALUEID=02001&amp;SDATE=200803&amp;PERIODTYPE=QTR_STD&amp;SCFT=3&amp;window=popup_no_bar&amp;width=385&amp;height=120&amp;START_MAXIMIZED=FALSE&amp;creator=factset&amp;display_string=Audit"}</definedName>
    <definedName name="_1286__FDSAUDITLINK__" hidden="1">{"fdsup://Directions/FactSet Auditing Viewer?action=AUDIT_VALUE&amp;DB=129&amp;ID1=51841510&amp;VALUEID=02001&amp;SDATE=200803&amp;PERIODTYPE=QTR_STD&amp;SCFT=3&amp;window=popup_no_bar&amp;width=385&amp;height=120&amp;START_MAXIMIZED=FALSE&amp;creator=factset&amp;display_string=Audit"}</definedName>
    <definedName name="_1287__FDSAUDITLINK__" hidden="1">{"fdsup://Directions/FactSet Auditing Viewer?action=AUDIT_VALUE&amp;DB=129&amp;ID1=51280710&amp;VALUEID=02001&amp;SDATE=200901&amp;PERIODTYPE=QTR_STD&amp;SCFT=3&amp;window=popup_no_bar&amp;width=385&amp;height=120&amp;START_MAXIMIZED=FALSE&amp;creator=factset&amp;display_string=Audit"}</definedName>
    <definedName name="_1288__FDSAUDITLINK__" hidden="1">{"fdsup://Directions/FactSet Auditing Viewer?action=AUDIT_VALUE&amp;DB=129&amp;ID1=51280710&amp;VALUEID=02001&amp;SDATE=200901&amp;PERIODTYPE=QTR_STD&amp;SCFT=3&amp;window=popup_no_bar&amp;width=385&amp;height=120&amp;START_MAXIMIZED=FALSE&amp;creator=factset&amp;display_string=Audit"}</definedName>
    <definedName name="_1289__FDSAUDITLINK__" hidden="1">{"fdsup://Directions/FactSet Auditing Viewer?action=AUDIT_VALUE&amp;DB=129&amp;ID1=53567810&amp;VALUEID=02001&amp;SDATE=200901&amp;PERIODTYPE=QTR_STD&amp;SCFT=3&amp;window=popup_no_bar&amp;width=385&amp;height=120&amp;START_MAXIMIZED=FALSE&amp;creator=factset&amp;display_string=Audit"}</definedName>
    <definedName name="_129__FDSAUDITLINK__" hidden="1">{"fdsup://Directions/FactSet Auditing Viewer?action=AUDIT_VALUE&amp;DB=129&amp;ID1=14964U10&amp;VALUEID=02001&amp;SDATE=201101&amp;PERIODTYPE=QTR_STD&amp;SCFT=3&amp;window=popup_no_bar&amp;width=385&amp;height=120&amp;START_MAXIMIZED=FALSE&amp;creator=factset&amp;display_string=Audit"}</definedName>
    <definedName name="_1290__FDSAUDITLINK__" hidden="1">{"fdsup://Directions/FactSet Auditing Viewer?action=AUDIT_VALUE&amp;DB=129&amp;ID1=53567810&amp;VALUEID=02001&amp;SDATE=200901&amp;PERIODTYPE=QTR_STD&amp;SCFT=3&amp;window=popup_no_bar&amp;width=385&amp;height=120&amp;START_MAXIMIZED=FALSE&amp;creator=factset&amp;display_string=Audit"}</definedName>
    <definedName name="_1291__FDSAUDITLINK__" hidden="1">{"fdsup://Directions/FactSet Auditing Viewer?action=AUDIT_VALUE&amp;DB=129&amp;ID1=48248010&amp;VALUEID=02001&amp;SDATE=200901&amp;PERIODTYPE=QTR_STD&amp;SCFT=3&amp;window=popup_no_bar&amp;width=385&amp;height=120&amp;START_MAXIMIZED=FALSE&amp;creator=factset&amp;display_string=Audit"}</definedName>
    <definedName name="_1292__FDSAUDITLINK__" hidden="1">{"fdsup://Directions/FactSet Auditing Viewer?action=AUDIT_VALUE&amp;DB=129&amp;ID1=48248010&amp;VALUEID=02001&amp;SDATE=200901&amp;PERIODTYPE=QTR_STD&amp;SCFT=3&amp;window=popup_no_bar&amp;width=385&amp;height=120&amp;START_MAXIMIZED=FALSE&amp;creator=factset&amp;display_string=Audit"}</definedName>
    <definedName name="_1293__FDSAUDITLINK__" hidden="1">{"fdsup://Directions/FactSet Auditing Viewer?action=AUDIT_VALUE&amp;DB=129&amp;ID1=48836020&amp;VALUEID=02001&amp;SDATE=200802&amp;PERIODTYPE=QTR_STD&amp;SCFT=3&amp;window=popup_no_bar&amp;width=385&amp;height=120&amp;START_MAXIMIZED=FALSE&amp;creator=factset&amp;display_string=Audit"}</definedName>
    <definedName name="_1294__FDSAUDITLINK__" hidden="1">{"fdsup://Directions/FactSet Auditing Viewer?action=AUDIT_VALUE&amp;DB=129&amp;ID1=48836020&amp;VALUEID=02001&amp;SDATE=200802&amp;PERIODTYPE=QTR_STD&amp;SCFT=3&amp;window=popup_no_bar&amp;width=385&amp;height=120&amp;START_MAXIMIZED=FALSE&amp;creator=factset&amp;display_string=Audit"}</definedName>
    <definedName name="_1295__FDSAUDITLINK__" hidden="1">{"fdsup://Directions/FactSet Auditing Viewer?action=AUDIT_VALUE&amp;DB=129&amp;ID1=48203R10&amp;VALUEID=02001&amp;SDATE=200803&amp;PERIODTYPE=QTR_STD&amp;SCFT=3&amp;window=popup_no_bar&amp;width=385&amp;height=120&amp;START_MAXIMIZED=FALSE&amp;creator=factset&amp;display_string=Audit"}</definedName>
    <definedName name="_1296__FDSAUDITLINK__" hidden="1">{"fdsup://Directions/FactSet Auditing Viewer?action=AUDIT_VALUE&amp;DB=129&amp;ID1=48203R10&amp;VALUEID=02001&amp;SDATE=200803&amp;PERIODTYPE=QTR_STD&amp;SCFT=3&amp;window=popup_no_bar&amp;width=385&amp;height=120&amp;START_MAXIMIZED=FALSE&amp;creator=factset&amp;display_string=Audit"}</definedName>
    <definedName name="_1297__FDSAUDITLINK__" hidden="1">{"fdsup://Directions/FactSet Auditing Viewer?action=AUDIT_VALUE&amp;DB=129&amp;ID1=86681020&amp;VALUEID=02001&amp;SDATE=200901&amp;PERIODTYPE=QTR_STD&amp;SCFT=3&amp;window=popup_no_bar&amp;width=385&amp;height=120&amp;START_MAXIMIZED=FALSE&amp;creator=factset&amp;display_string=Audit"}</definedName>
    <definedName name="_1298__FDSAUDITLINK__" hidden="1">{"fdsup://Directions/FactSet Auditing Viewer?action=AUDIT_VALUE&amp;DB=129&amp;ID1=86681020&amp;VALUEID=02001&amp;SDATE=200901&amp;PERIODTYPE=QTR_STD&amp;SCFT=3&amp;window=popup_no_bar&amp;width=385&amp;height=120&amp;START_MAXIMIZED=FALSE&amp;creator=factset&amp;display_string=Audit"}</definedName>
    <definedName name="_1299__FDSAUDITLINK__" hidden="1">{"fdsup://Directions/FactSet Auditing Viewer?action=AUDIT_VALUE&amp;DB=129&amp;ID1=46069S10&amp;VALUEID=02001&amp;SDATE=200803&amp;PERIODTYPE=QTR_STD&amp;SCFT=3&amp;window=popup_no_bar&amp;width=385&amp;height=120&amp;START_MAXIMIZED=FALSE&amp;creator=factset&amp;display_string=Audit"}</definedName>
    <definedName name="_13__FDSAUDITLINK__" hidden="1">{"fdsup://Directions/FactSet Auditing Viewer?action=AUDIT_VALUE&amp;DB=129&amp;ID1=74752510&amp;VALUEID=05194&amp;SDATE=201104&amp;PERIODTYPE=QTR_STD&amp;SCFT=3&amp;window=popup_no_bar&amp;width=385&amp;height=120&amp;START_MAXIMIZED=FALSE&amp;creator=factset&amp;display_string=Audit"}</definedName>
    <definedName name="_130__FDSAUDITLINK__" hidden="1">{"fdsup://Directions/FactSet Auditing Viewer?action=AUDIT_VALUE&amp;DB=129&amp;ID1=14964U10&amp;VALUEID=02001&amp;SDATE=201101&amp;PERIODTYPE=QTR_STD&amp;SCFT=3&amp;window=popup_no_bar&amp;width=385&amp;height=120&amp;START_MAXIMIZED=FALSE&amp;creator=factset&amp;display_string=Audit"}</definedName>
    <definedName name="_1300__FDSAUDITLINK__" hidden="1">{"fdsup://Directions/FactSet Auditing Viewer?action=AUDIT_VALUE&amp;DB=129&amp;ID1=46069S10&amp;VALUEID=02001&amp;SDATE=200803&amp;PERIODTYPE=QTR_STD&amp;SCFT=3&amp;window=popup_no_bar&amp;width=385&amp;height=120&amp;START_MAXIMIZED=FALSE&amp;creator=factset&amp;display_string=Audit"}</definedName>
    <definedName name="_1301__FDSAUDITLINK__" hidden="1">{"fdsup://Directions/FactSet Auditing Viewer?action=AUDIT_VALUE&amp;DB=129&amp;ID1=46025410&amp;VALUEID=02001&amp;SDATE=200901&amp;PERIODTYPE=QTR_STD&amp;SCFT=3&amp;window=popup_no_bar&amp;width=385&amp;height=120&amp;START_MAXIMIZED=FALSE&amp;creator=factset&amp;display_string=Audit"}</definedName>
    <definedName name="_1302__FDSAUDITLINK__" hidden="1">{"fdsup://Directions/FactSet Auditing Viewer?action=AUDIT_VALUE&amp;DB=129&amp;ID1=46025410&amp;VALUEID=02001&amp;SDATE=200901&amp;PERIODTYPE=QTR_STD&amp;SCFT=3&amp;window=popup_no_bar&amp;width=385&amp;height=120&amp;START_MAXIMIZED=FALSE&amp;creator=factset&amp;display_string=Audit"}</definedName>
    <definedName name="_1303__FDSAUDITLINK__" hidden="1">{"fdsup://Directions/FactSet Auditing Viewer?action=AUDIT_VALUE&amp;DB=129&amp;ID1=45814010&amp;VALUEID=02001&amp;SDATE=200803&amp;PERIODTYPE=QTR_STD&amp;SCFT=3&amp;window=popup_no_bar&amp;width=385&amp;height=120&amp;START_MAXIMIZED=FALSE&amp;creator=factset&amp;display_string=Audit"}</definedName>
    <definedName name="_1304__FDSAUDITLINK__" hidden="1">{"fdsup://Directions/FactSet Auditing Viewer?action=AUDIT_VALUE&amp;DB=129&amp;ID1=45814010&amp;VALUEID=02001&amp;SDATE=200803&amp;PERIODTYPE=QTR_STD&amp;SCFT=3&amp;window=popup_no_bar&amp;width=385&amp;height=120&amp;START_MAXIMIZED=FALSE&amp;creator=factset&amp;display_string=Audit"}</definedName>
    <definedName name="_1305__FDSAUDITLINK__" hidden="1">{"fdsup://Directions/FactSet Auditing Viewer?action=AUDIT_VALUE&amp;DB=129&amp;ID1=45811810&amp;VALUEID=02001&amp;SDATE=200802&amp;PERIODTYPE=QTR_STD&amp;SCFT=3&amp;window=popup_no_bar&amp;width=385&amp;height=120&amp;START_MAXIMIZED=FALSE&amp;creator=factset&amp;display_string=Audit"}</definedName>
    <definedName name="_1306__FDSAUDITLINK__" hidden="1">{"fdsup://Directions/FactSet Auditing Viewer?action=AUDIT_VALUE&amp;DB=129&amp;ID1=45811810&amp;VALUEID=02001&amp;SDATE=200802&amp;PERIODTYPE=QTR_STD&amp;SCFT=3&amp;window=popup_no_bar&amp;width=385&amp;height=120&amp;START_MAXIMIZED=FALSE&amp;creator=factset&amp;display_string=Audit"}</definedName>
    <definedName name="_1307__FDSAUDITLINK__" hidden="1">{"fdsup://Directions/FactSet Auditing Viewer?action=AUDIT_VALUE&amp;DB=129&amp;ID1=H2906T10&amp;VALUEID=02001&amp;SDATE=200803&amp;PERIODTYPE=QTR_STD&amp;SCFT=3&amp;window=popup_no_bar&amp;width=385&amp;height=120&amp;START_MAXIMIZED=FALSE&amp;creator=factset&amp;display_string=Audit"}</definedName>
    <definedName name="_1308__FDSAUDITLINK__" hidden="1">{"fdsup://Directions/FactSet Auditing Viewer?action=AUDIT_VALUE&amp;DB=129&amp;ID1=H2906T10&amp;VALUEID=02001&amp;SDATE=200803&amp;PERIODTYPE=QTR_STD&amp;SCFT=3&amp;window=popup_no_bar&amp;width=385&amp;height=120&amp;START_MAXIMIZED=FALSE&amp;creator=factset&amp;display_string=Audit"}</definedName>
    <definedName name="_1309__FDSAUDITLINK__" hidden="1">{"fdsup://Directions/FactSet Auditing Viewer?action=AUDIT_VALUE&amp;DB=129&amp;ID1=34637510&amp;VALUEID=02001&amp;SDATE=200803&amp;PERIODTYPE=QTR_STD&amp;SCFT=3&amp;window=popup_no_bar&amp;width=385&amp;height=120&amp;START_MAXIMIZED=FALSE&amp;creator=factset&amp;display_string=Audit"}</definedName>
    <definedName name="_131__FDSAUDITLINK__" hidden="1">{"fdsup://Directions/FactSet Auditing Viewer?action=AUDIT_VALUE&amp;DB=129&amp;ID1=11162130&amp;VALUEID=02001&amp;SDATE=201102&amp;PERIODTYPE=QTR_STD&amp;SCFT=3&amp;window=popup_no_bar&amp;width=385&amp;height=120&amp;START_MAXIMIZED=FALSE&amp;creator=factset&amp;display_string=Audit"}</definedName>
    <definedName name="_1310__FDSAUDITLINK__" hidden="1">{"fdsup://Directions/FactSet Auditing Viewer?action=AUDIT_VALUE&amp;DB=129&amp;ID1=34637510&amp;VALUEID=02001&amp;SDATE=200803&amp;PERIODTYPE=QTR_STD&amp;SCFT=3&amp;window=popup_no_bar&amp;width=385&amp;height=120&amp;START_MAXIMIZED=FALSE&amp;creator=factset&amp;display_string=Audit"}</definedName>
    <definedName name="_1311__FDSAUDITLINK__" hidden="1">{"fdsup://Directions/FactSet Auditing Viewer?action=AUDIT_VALUE&amp;DB=129&amp;ID1=29247520&amp;VALUEID=02001&amp;SDATE=200901&amp;PERIODTYPE=QTR_STD&amp;SCFT=3&amp;window=popup_no_bar&amp;width=385&amp;height=120&amp;START_MAXIMIZED=FALSE&amp;creator=factset&amp;display_string=Audit"}</definedName>
    <definedName name="_1312__FDSAUDITLINK__" hidden="1">{"fdsup://Directions/FactSet Auditing Viewer?action=AUDIT_VALUE&amp;DB=129&amp;ID1=29247520&amp;VALUEID=02001&amp;SDATE=200901&amp;PERIODTYPE=QTR_STD&amp;SCFT=3&amp;window=popup_no_bar&amp;width=385&amp;height=120&amp;START_MAXIMIZED=FALSE&amp;creator=factset&amp;display_string=Audit"}</definedName>
    <definedName name="_1313__FDSAUDITLINK__" hidden="1">{"fdsup://Directions/FactSet Auditing Viewer?action=AUDIT_VALUE&amp;DB=129&amp;ID1=25454310&amp;VALUEID=02001&amp;SDATE=200803&amp;PERIODTYPE=QTR_STD&amp;SCFT=3&amp;window=popup_no_bar&amp;width=385&amp;height=120&amp;START_MAXIMIZED=FALSE&amp;creator=factset&amp;display_string=Audit"}</definedName>
    <definedName name="_1314__FDSAUDITLINK__" hidden="1">{"fdsup://Directions/FactSet Auditing Viewer?action=AUDIT_VALUE&amp;DB=129&amp;ID1=25454310&amp;VALUEID=02001&amp;SDATE=200803&amp;PERIODTYPE=QTR_STD&amp;SCFT=3&amp;window=popup_no_bar&amp;width=385&amp;height=120&amp;START_MAXIMIZED=FALSE&amp;creator=factset&amp;display_string=Audit"}</definedName>
    <definedName name="_1315__FDSAUDITLINK__" hidden="1">{"fdsup://Directions/FactSet Auditing Viewer?action=AUDIT_VALUE&amp;DB=129&amp;ID1=24702R10&amp;VALUEID=02001&amp;SDATE=200803&amp;PERIODTYPE=QTR_STD&amp;SCFT=3&amp;window=popup_no_bar&amp;width=385&amp;height=120&amp;START_MAXIMIZED=FALSE&amp;creator=factset&amp;display_string=Audit"}</definedName>
    <definedName name="_1316__FDSAUDITLINK__" hidden="1">{"fdsup://Directions/FactSet Auditing Viewer?action=AUDIT_VALUE&amp;DB=129&amp;ID1=24702R10&amp;VALUEID=02001&amp;SDATE=200803&amp;PERIODTYPE=QTR_STD&amp;SCFT=3&amp;window=popup_no_bar&amp;width=385&amp;height=120&amp;START_MAXIMIZED=FALSE&amp;creator=factset&amp;display_string=Audit"}</definedName>
    <definedName name="_1317__FDSAUDITLINK__" hidden="1">{"fdsup://Directions/FactSet Auditing Viewer?action=AUDIT_VALUE&amp;DB=129&amp;ID1=23257210&amp;VALUEID=02001&amp;SDATE=200803&amp;PERIODTYPE=QTR_STD&amp;SCFT=3&amp;window=popup_no_bar&amp;width=385&amp;height=120&amp;START_MAXIMIZED=FALSE&amp;creator=factset&amp;display_string=Audit"}</definedName>
    <definedName name="_1318__FDSAUDITLINK__" hidden="1">{"fdsup://Directions/FactSet Auditing Viewer?action=AUDIT_VALUE&amp;DB=129&amp;ID1=23257210&amp;VALUEID=02001&amp;SDATE=200803&amp;PERIODTYPE=QTR_STD&amp;SCFT=3&amp;window=popup_no_bar&amp;width=385&amp;height=120&amp;START_MAXIMIZED=FALSE&amp;creator=factset&amp;display_string=Audit"}</definedName>
    <definedName name="_1319__FDSAUDITLINK__" hidden="1">{"fdsup://Directions/FactSet Auditing Viewer?action=AUDIT_VALUE&amp;DB=129&amp;ID1=23280610&amp;VALUEID=02001&amp;SDATE=200803&amp;PERIODTYPE=QTR_STD&amp;SCFT=3&amp;window=popup_no_bar&amp;width=385&amp;height=120&amp;START_MAXIMIZED=FALSE&amp;creator=factset&amp;display_string=Audit"}</definedName>
    <definedName name="_132__FDSAUDITLINK__" hidden="1">{"fdsup://Directions/FactSet Auditing Viewer?action=AUDIT_VALUE&amp;DB=129&amp;ID1=11162130&amp;VALUEID=02001&amp;SDATE=201102&amp;PERIODTYPE=QTR_STD&amp;SCFT=3&amp;window=popup_no_bar&amp;width=385&amp;height=120&amp;START_MAXIMIZED=FALSE&amp;creator=factset&amp;display_string=Audit"}</definedName>
    <definedName name="_1320__FDSAUDITLINK__" hidden="1">{"fdsup://Directions/FactSet Auditing Viewer?action=AUDIT_VALUE&amp;DB=129&amp;ID1=23280610&amp;VALUEID=02001&amp;SDATE=200803&amp;PERIODTYPE=QTR_STD&amp;SCFT=3&amp;window=popup_no_bar&amp;width=385&amp;height=120&amp;START_MAXIMIZED=FALSE&amp;creator=factset&amp;display_string=Audit"}</definedName>
    <definedName name="_1321__FDSAUDITLINK__" hidden="1">{"fdsup://Directions/FactSet Auditing Viewer?action=AUDIT_VALUE&amp;DB=129&amp;ID1=17275R10&amp;VALUEID=02001&amp;SDATE=200901&amp;PERIODTYPE=QTR_STD&amp;SCFT=3&amp;window=popup_no_bar&amp;width=385&amp;height=120&amp;START_MAXIMIZED=FALSE&amp;creator=factset&amp;display_string=Audit"}</definedName>
    <definedName name="_1322__FDSAUDITLINK__" hidden="1">{"fdsup://Directions/FactSet Auditing Viewer?action=AUDIT_VALUE&amp;DB=129&amp;ID1=17275R10&amp;VALUEID=02001&amp;SDATE=200901&amp;PERIODTYPE=QTR_STD&amp;SCFT=3&amp;window=popup_no_bar&amp;width=385&amp;height=120&amp;START_MAXIMIZED=FALSE&amp;creator=factset&amp;display_string=Audit"}</definedName>
    <definedName name="_1323__FDSAUDITLINK__" hidden="1">{"fdsup://Directions/FactSet Auditing Viewer?action=AUDIT_VALUE&amp;DB=129&amp;ID1=22544710&amp;VALUEID=02001&amp;SDATE=200901&amp;PERIODTYPE=QTR_STD&amp;SCFT=3&amp;window=popup_no_bar&amp;width=385&amp;height=120&amp;START_MAXIMIZED=FALSE&amp;creator=factset&amp;display_string=Audit"}</definedName>
    <definedName name="_1324__FDSAUDITLINK__" hidden="1">{"fdsup://Directions/FactSet Auditing Viewer?action=AUDIT_VALUE&amp;DB=129&amp;ID1=22544710&amp;VALUEID=02001&amp;SDATE=200901&amp;PERIODTYPE=QTR_STD&amp;SCFT=3&amp;window=popup_no_bar&amp;width=385&amp;height=120&amp;START_MAXIMIZED=FALSE&amp;creator=factset&amp;display_string=Audit"}</definedName>
    <definedName name="_1325__FDSAUDITLINK__" hidden="1">{"fdsup://Directions/FactSet Auditing Viewer?action=AUDIT_VALUE&amp;DB=129&amp;ID1=12738710&amp;VALUEID=02001&amp;SDATE=200803&amp;PERIODTYPE=QTR_STD&amp;SCFT=3&amp;window=popup_no_bar&amp;width=385&amp;height=120&amp;START_MAXIMIZED=FALSE&amp;creator=factset&amp;display_string=Audit"}</definedName>
    <definedName name="_1326__FDSAUDITLINK__" hidden="1">{"fdsup://Directions/FactSet Auditing Viewer?action=AUDIT_VALUE&amp;DB=129&amp;ID1=12738710&amp;VALUEID=02001&amp;SDATE=200803&amp;PERIODTYPE=QTR_STD&amp;SCFT=3&amp;window=popup_no_bar&amp;width=385&amp;height=120&amp;START_MAXIMIZED=FALSE&amp;creator=factset&amp;display_string=Audit"}</definedName>
    <definedName name="_1327__FDSAUDITLINK__" hidden="1">{"fdsup://Directions/FactSet Auditing Viewer?action=AUDIT_VALUE&amp;DB=129&amp;ID1=14964U10&amp;VALUEID=02001&amp;SDATE=200803&amp;PERIODTYPE=QTR_STD&amp;SCFT=3&amp;window=popup_no_bar&amp;width=385&amp;height=120&amp;START_MAXIMIZED=FALSE&amp;creator=factset&amp;display_string=Audit"}</definedName>
    <definedName name="_1328__FDSAUDITLINK__" hidden="1">{"fdsup://Directions/FactSet Auditing Viewer?action=AUDIT_VALUE&amp;DB=129&amp;ID1=14964U10&amp;VALUEID=02001&amp;SDATE=200803&amp;PERIODTYPE=QTR_STD&amp;SCFT=3&amp;window=popup_no_bar&amp;width=385&amp;height=120&amp;START_MAXIMIZED=FALSE&amp;creator=factset&amp;display_string=Audit"}</definedName>
    <definedName name="_1329__FDSAUDITLINK__" hidden="1">{"fdsup://Directions/FactSet Auditing Viewer?action=AUDIT_VALUE&amp;DB=129&amp;ID1=04743P10&amp;VALUEID=02001&amp;SDATE=200803&amp;PERIODTYPE=QTR_STD&amp;SCFT=3&amp;window=popup_no_bar&amp;width=385&amp;height=120&amp;START_MAXIMIZED=FALSE&amp;creator=factset&amp;display_string=Audit"}</definedName>
    <definedName name="_133__FDSAUDITLINK__" hidden="1">{"fdsup://Directions/FactSet Auditing Viewer?action=AUDIT_VALUE&amp;DB=129&amp;ID1=Y0486S10&amp;VALUEID=02001&amp;SDATE=201102&amp;PERIODTYPE=QTR_STD&amp;SCFT=3&amp;window=popup_no_bar&amp;width=385&amp;height=120&amp;START_MAXIMIZED=FALSE&amp;creator=factset&amp;display_string=Audit"}</definedName>
    <definedName name="_1330__FDSAUDITLINK__" hidden="1">{"fdsup://Directions/FactSet Auditing Viewer?action=AUDIT_VALUE&amp;DB=129&amp;ID1=04743P10&amp;VALUEID=02001&amp;SDATE=200803&amp;PERIODTYPE=QTR_STD&amp;SCFT=3&amp;window=popup_no_bar&amp;width=385&amp;height=120&amp;START_MAXIMIZED=FALSE&amp;creator=factset&amp;display_string=Audit"}</definedName>
    <definedName name="_1331__FDSAUDITLINK__" hidden="1">{"fdsup://Directions/FactSet Auditing Viewer?action=AUDIT_VALUE&amp;DB=129&amp;ID1=03251510&amp;VALUEID=02001&amp;SDATE=200803&amp;PERIODTYPE=QTR_STD&amp;SCFT=3&amp;window=popup_no_bar&amp;width=385&amp;height=120&amp;START_MAXIMIZED=FALSE&amp;creator=factset&amp;display_string=Audit"}</definedName>
    <definedName name="_1332__FDSAUDITLINK__" hidden="1">{"fdsup://Directions/FactSet Auditing Viewer?action=AUDIT_VALUE&amp;DB=129&amp;ID1=03251510&amp;VALUEID=02001&amp;SDATE=200803&amp;PERIODTYPE=QTR_STD&amp;SCFT=3&amp;window=popup_no_bar&amp;width=385&amp;height=120&amp;START_MAXIMIZED=FALSE&amp;creator=factset&amp;display_string=Audit"}</definedName>
    <definedName name="_1333__FDSAUDITLINK__" hidden="1">{"fdsup://Directions/FactSet Auditing Viewer?action=AUDIT_VALUE&amp;DB=129&amp;ID1=00790310&amp;VALUEID=02001&amp;SDATE=200803&amp;PERIODTYPE=QTR_STD&amp;SCFT=3&amp;window=popup_no_bar&amp;width=385&amp;height=120&amp;START_MAXIMIZED=FALSE&amp;creator=factset&amp;display_string=Audit"}</definedName>
    <definedName name="_1334__FDSAUDITLINK__" hidden="1">{"fdsup://Directions/FactSet Auditing Viewer?action=AUDIT_VALUE&amp;DB=129&amp;ID1=00790310&amp;VALUEID=02001&amp;SDATE=200803&amp;PERIODTYPE=QTR_STD&amp;SCFT=3&amp;window=popup_no_bar&amp;width=385&amp;height=120&amp;START_MAXIMIZED=FALSE&amp;creator=factset&amp;display_string=Audit"}</definedName>
    <definedName name="_1335__FDSAUDITLINK__" hidden="1">{"fdsup://Directions/FactSet Auditing Viewer?action=AUDIT_VALUE&amp;DB=129&amp;ID1=03822W40&amp;VALUEID=02001&amp;SDATE=200802&amp;PERIODTYPE=QTR_STD&amp;SCFT=3&amp;window=popup_no_bar&amp;width=385&amp;height=120&amp;START_MAXIMIZED=FALSE&amp;creator=factset&amp;display_string=Audit"}</definedName>
    <definedName name="_1336__FDSAUDITLINK__" hidden="1">{"fdsup://Directions/FactSet Auditing Viewer?action=AUDIT_VALUE&amp;DB=129&amp;ID1=03822W40&amp;VALUEID=02001&amp;SDATE=200802&amp;PERIODTYPE=QTR_STD&amp;SCFT=3&amp;window=popup_no_bar&amp;width=385&amp;height=120&amp;START_MAXIMIZED=FALSE&amp;creator=factset&amp;display_string=Audit"}</definedName>
    <definedName name="_1337__FDSAUDITLINK__" hidden="1">{"fdsup://Directions/FactSet Auditing Viewer?action=AUDIT_VALUE&amp;DB=129&amp;ID1=02144110&amp;VALUEID=02001&amp;SDATE=200803&amp;PERIODTYPE=QTR_STD&amp;SCFT=3&amp;window=popup_no_bar&amp;width=385&amp;height=120&amp;START_MAXIMIZED=FALSE&amp;creator=factset&amp;display_string=Audit"}</definedName>
    <definedName name="_1338__FDSAUDITLINK__" hidden="1">{"fdsup://Directions/FactSet Auditing Viewer?action=AUDIT_VALUE&amp;DB=129&amp;ID1=02144110&amp;VALUEID=02001&amp;SDATE=200803&amp;PERIODTYPE=QTR_STD&amp;SCFT=3&amp;window=popup_no_bar&amp;width=385&amp;height=120&amp;START_MAXIMIZED=FALSE&amp;creator=factset&amp;display_string=Audit"}</definedName>
    <definedName name="_1339__FDSAUDITLINK__" hidden="1">{"fdsup://Directions/FactSet Auditing Viewer?action=AUDIT_VALUE&amp;DB=129&amp;ID1=00752J10&amp;VALUEID=02001&amp;SDATE=200803&amp;PERIODTYPE=QTR_STD&amp;SCFT=3&amp;window=popup_no_bar&amp;width=385&amp;height=120&amp;START_MAXIMIZED=FALSE&amp;creator=factset&amp;display_string=Audit"}</definedName>
    <definedName name="_134__FDSAUDITLINK__" hidden="1">{"fdsup://Directions/FactSet Auditing Viewer?action=AUDIT_VALUE&amp;DB=129&amp;ID1=Y0486S10&amp;VALUEID=02001&amp;SDATE=201102&amp;PERIODTYPE=QTR_STD&amp;SCFT=3&amp;window=popup_no_bar&amp;width=385&amp;height=120&amp;START_MAXIMIZED=FALSE&amp;creator=factset&amp;display_string=Audit"}</definedName>
    <definedName name="_1340__FDSAUDITLINK__" hidden="1">{"fdsup://Directions/FactSet Auditing Viewer?action=AUDIT_VALUE&amp;DB=129&amp;ID1=00752J10&amp;VALUEID=02001&amp;SDATE=200803&amp;PERIODTYPE=QTR_STD&amp;SCFT=3&amp;window=popup_no_bar&amp;width=385&amp;height=120&amp;START_MAXIMIZED=FALSE&amp;creator=factset&amp;display_string=Audit"}</definedName>
    <definedName name="_1341__FDSAUDITLINK__" hidden="1">{"fdsup://Directions/FactSet Auditing Viewer?action=AUDIT_VALUE&amp;DB=129&amp;ID1=98975F10&amp;VALUEID=02001&amp;SDATE=200802&amp;PERIODTYPE=QTR_STD&amp;SCFT=3&amp;window=popup_no_bar&amp;width=385&amp;height=120&amp;START_MAXIMIZED=FALSE&amp;creator=factset&amp;display_string=Audit"}</definedName>
    <definedName name="_1342__FDSAUDITLINK__" hidden="1">{"fdsup://Directions/FactSet Auditing Viewer?action=AUDIT_VALUE&amp;DB=129&amp;ID1=98975F10&amp;VALUEID=02001&amp;SDATE=200802&amp;PERIODTYPE=QTR_STD&amp;SCFT=3&amp;window=popup_no_bar&amp;width=385&amp;height=120&amp;START_MAXIMIZED=FALSE&amp;creator=factset&amp;display_string=Audit"}</definedName>
    <definedName name="_1343__FDSAUDITLINK__" hidden="1">{"fdsup://Directions/FactSet Auditing Viewer?action=AUDIT_VALUE&amp;DB=129&amp;ID1=98391910&amp;VALUEID=02001&amp;SDATE=200801&amp;PERIODTYPE=QTR_STD&amp;SCFT=3&amp;window=popup_no_bar&amp;width=385&amp;height=120&amp;START_MAXIMIZED=FALSE&amp;creator=factset&amp;display_string=Audit"}</definedName>
    <definedName name="_1344__FDSAUDITLINK__" hidden="1">{"fdsup://Directions/FactSet Auditing Viewer?action=AUDIT_VALUE&amp;DB=129&amp;ID1=98391910&amp;VALUEID=02001&amp;SDATE=200801&amp;PERIODTYPE=QTR_STD&amp;SCFT=3&amp;window=popup_no_bar&amp;width=385&amp;height=120&amp;START_MAXIMIZED=FALSE&amp;creator=factset&amp;display_string=Audit"}</definedName>
    <definedName name="_1345__FDSAUDITLINK__" hidden="1">{"fdsup://Directions/FactSet Auditing Viewer?action=AUDIT_VALUE&amp;DB=129&amp;ID1=92849730&amp;VALUEID=02001&amp;SDATE=200803&amp;PERIODTYPE=QTR_STD&amp;SCFT=3&amp;window=popup_no_bar&amp;width=385&amp;height=120&amp;START_MAXIMIZED=FALSE&amp;creator=factset&amp;display_string=Audit"}</definedName>
    <definedName name="_1346__FDSAUDITLINK__" hidden="1">{"fdsup://Directions/FactSet Auditing Viewer?action=AUDIT_VALUE&amp;DB=129&amp;ID1=92849730&amp;VALUEID=02001&amp;SDATE=200803&amp;PERIODTYPE=QTR_STD&amp;SCFT=3&amp;window=popup_no_bar&amp;width=385&amp;height=120&amp;START_MAXIMIZED=FALSE&amp;creator=factset&amp;display_string=Audit"}</definedName>
    <definedName name="_1347__FDSAUDITLINK__" hidden="1">{"fdsup://Directions/FactSet Auditing Viewer?action=AUDIT_VALUE&amp;DB=129&amp;ID1=92829810&amp;VALUEID=02001&amp;SDATE=200802&amp;PERIODTYPE=QTR_STD&amp;SCFT=3&amp;window=popup_no_bar&amp;width=385&amp;height=120&amp;START_MAXIMIZED=FALSE&amp;creator=factset&amp;display_string=Audit"}</definedName>
    <definedName name="_1348__FDSAUDITLINK__" hidden="1">{"fdsup://Directions/FactSet Auditing Viewer?action=AUDIT_VALUE&amp;DB=129&amp;ID1=92829810&amp;VALUEID=02001&amp;SDATE=200802&amp;PERIODTYPE=QTR_STD&amp;SCFT=3&amp;window=popup_no_bar&amp;width=385&amp;height=120&amp;START_MAXIMIZED=FALSE&amp;creator=factset&amp;display_string=Audit"}</definedName>
    <definedName name="_1349__FDSAUDITLINK__" hidden="1">{"fdsup://Directions/FactSet Auditing Viewer?action=AUDIT_VALUE&amp;DB=129&amp;ID1=88250810&amp;VALUEID=02001&amp;SDATE=200802&amp;PERIODTYPE=QTR_STD&amp;SCFT=3&amp;window=popup_no_bar&amp;width=385&amp;height=120&amp;START_MAXIMIZED=FALSE&amp;creator=factset&amp;display_string=Audit"}</definedName>
    <definedName name="_135__FDSAUDITLINK__" hidden="1">{"fdsup://Directions/FactSet Auditing Viewer?action=AUDIT_VALUE&amp;DB=129&amp;ID1=04743P10&amp;VALUEID=02001&amp;SDATE=201101&amp;PERIODTYPE=QTR_STD&amp;SCFT=3&amp;window=popup_no_bar&amp;width=385&amp;height=120&amp;START_MAXIMIZED=FALSE&amp;creator=factset&amp;display_string=Audit"}</definedName>
    <definedName name="_1350__FDSAUDITLINK__" hidden="1">{"fdsup://Directions/FactSet Auditing Viewer?action=AUDIT_VALUE&amp;DB=129&amp;ID1=88250810&amp;VALUEID=02001&amp;SDATE=200802&amp;PERIODTYPE=QTR_STD&amp;SCFT=3&amp;window=popup_no_bar&amp;width=385&amp;height=120&amp;START_MAXIMIZED=FALSE&amp;creator=factset&amp;display_string=Audit"}</definedName>
    <definedName name="_1351__FDSAUDITLINK__" hidden="1">{"fdsup://Directions/FactSet Auditing Viewer?action=AUDIT_VALUE&amp;DB=129&amp;ID1=89674K10&amp;VALUEID=02001&amp;SDATE=200802&amp;PERIODTYPE=QTR_STD&amp;SCFT=3&amp;window=popup_no_bar&amp;width=385&amp;height=120&amp;START_MAXIMIZED=FALSE&amp;creator=factset&amp;display_string=Audit"}</definedName>
    <definedName name="_1352__FDSAUDITLINK__" hidden="1">{"fdsup://Directions/FactSet Auditing Viewer?action=AUDIT_VALUE&amp;DB=129&amp;ID1=89674K10&amp;VALUEID=02001&amp;SDATE=200802&amp;PERIODTYPE=QTR_STD&amp;SCFT=3&amp;window=popup_no_bar&amp;width=385&amp;height=120&amp;START_MAXIMIZED=FALSE&amp;creator=factset&amp;display_string=Audit"}</definedName>
    <definedName name="_1353__FDSAUDITLINK__" hidden="1">{"fdsup://Directions/FactSet Auditing Viewer?action=AUDIT_VALUE&amp;DB=129&amp;ID1=83088M10&amp;VALUEID=02001&amp;SDATE=200803&amp;PERIODTYPE=QTR_STD&amp;SCFT=3&amp;window=popup_no_bar&amp;width=385&amp;height=120&amp;START_MAXIMIZED=FALSE&amp;creator=factset&amp;display_string=Audit"}</definedName>
    <definedName name="_1354__FDSAUDITLINK__" hidden="1">{"fdsup://Directions/FactSet Auditing Viewer?action=AUDIT_VALUE&amp;DB=129&amp;ID1=83088M10&amp;VALUEID=02001&amp;SDATE=200803&amp;PERIODTYPE=QTR_STD&amp;SCFT=3&amp;window=popup_no_bar&amp;width=385&amp;height=120&amp;START_MAXIMIZED=FALSE&amp;creator=factset&amp;display_string=Audit"}</definedName>
    <definedName name="_1355__FDSAUDITLINK__" hidden="1">{"fdsup://Directions/FactSet Auditing Viewer?action=AUDIT_VALUE&amp;DB=129&amp;ID1=78477410&amp;VALUEID=02001&amp;SDATE=200802&amp;PERIODTYPE=QTR_STD&amp;SCFT=3&amp;window=popup_no_bar&amp;width=385&amp;height=120&amp;START_MAXIMIZED=FALSE&amp;creator=factset&amp;display_string=Audit"}</definedName>
    <definedName name="_1356__FDSAUDITLINK__" hidden="1">{"fdsup://Directions/FactSet Auditing Viewer?action=AUDIT_VALUE&amp;DB=129&amp;ID1=78477410&amp;VALUEID=02001&amp;SDATE=200802&amp;PERIODTYPE=QTR_STD&amp;SCFT=3&amp;window=popup_no_bar&amp;width=385&amp;height=120&amp;START_MAXIMIZED=FALSE&amp;creator=factset&amp;display_string=Audit"}</definedName>
    <definedName name="_1357__FDSAUDITLINK__" hidden="1">{"fdsup://Directions/FactSet Auditing Viewer?action=AUDIT_VALUE&amp;DB=129&amp;ID1=82705710&amp;VALUEID=02001&amp;SDATE=200802&amp;PERIODTYPE=QTR_STD&amp;SCFT=3&amp;window=popup_no_bar&amp;width=385&amp;height=120&amp;START_MAXIMIZED=FALSE&amp;creator=factset&amp;display_string=Audit"}</definedName>
    <definedName name="_1358__FDSAUDITLINK__" hidden="1">{"fdsup://Directions/FactSet Auditing Viewer?action=AUDIT_VALUE&amp;DB=129&amp;ID1=82705710&amp;VALUEID=02001&amp;SDATE=200802&amp;PERIODTYPE=QTR_STD&amp;SCFT=3&amp;window=popup_no_bar&amp;width=385&amp;height=120&amp;START_MAXIMIZED=FALSE&amp;creator=factset&amp;display_string=Audit"}</definedName>
    <definedName name="_1359__FDSAUDITLINK__" hidden="1">{"fdsup://Directions/FactSet Auditing Viewer?action=AUDIT_VALUE&amp;DB=129&amp;ID1=83547010&amp;VALUEID=02001&amp;SDATE=200802&amp;PERIODTYPE=QTR_STD&amp;SCFT=3&amp;window=popup_no_bar&amp;width=385&amp;height=120&amp;START_MAXIMIZED=FALSE&amp;creator=factset&amp;display_string=Audit"}</definedName>
    <definedName name="_136__FDSAUDITLINK__" hidden="1">{"fdsup://Directions/FactSet Auditing Viewer?action=AUDIT_VALUE&amp;DB=129&amp;ID1=04743P10&amp;VALUEID=02001&amp;SDATE=201101&amp;PERIODTYPE=QTR_STD&amp;SCFT=3&amp;window=popup_no_bar&amp;width=385&amp;height=120&amp;START_MAXIMIZED=FALSE&amp;creator=factset&amp;display_string=Audit"}</definedName>
    <definedName name="_1360__FDSAUDITLINK__" hidden="1">{"fdsup://Directions/FactSet Auditing Viewer?action=AUDIT_VALUE&amp;DB=129&amp;ID1=83547010&amp;VALUEID=02001&amp;SDATE=200802&amp;PERIODTYPE=QTR_STD&amp;SCFT=3&amp;window=popup_no_bar&amp;width=385&amp;height=120&amp;START_MAXIMIZED=FALSE&amp;creator=factset&amp;display_string=Audit"}</definedName>
    <definedName name="_1361__FDSAUDITLINK__" hidden="1">{"fdsup://Directions/FactSet Auditing Viewer?action=AUDIT_VALUE&amp;DB=129&amp;ID1=87160710&amp;VALUEID=02001&amp;SDATE=200803&amp;PERIODTYPE=QTR_STD&amp;SCFT=3&amp;window=popup_no_bar&amp;width=385&amp;height=120&amp;START_MAXIMIZED=FALSE&amp;creator=factset&amp;display_string=Audit"}</definedName>
    <definedName name="_1362__FDSAUDITLINK__" hidden="1">{"fdsup://Directions/FactSet Auditing Viewer?action=AUDIT_VALUE&amp;DB=129&amp;ID1=87160710&amp;VALUEID=02001&amp;SDATE=200803&amp;PERIODTYPE=QTR_STD&amp;SCFT=3&amp;window=popup_no_bar&amp;width=385&amp;height=120&amp;START_MAXIMIZED=FALSE&amp;creator=factset&amp;display_string=Audit"}</definedName>
    <definedName name="_1363__FDSAUDITLINK__" hidden="1">{"fdsup://Directions/FactSet Auditing Viewer?action=AUDIT_VALUE&amp;DB=129&amp;ID1=80004C10&amp;VALUEID=02001&amp;SDATE=200802&amp;PERIODTYPE=QTR_STD&amp;SCFT=3&amp;window=popup_no_bar&amp;width=385&amp;height=120&amp;START_MAXIMIZED=FALSE&amp;creator=factset&amp;display_string=Audit"}</definedName>
    <definedName name="_1364__FDSAUDITLINK__" hidden="1">{"fdsup://Directions/FactSet Auditing Viewer?action=AUDIT_VALUE&amp;DB=129&amp;ID1=80004C10&amp;VALUEID=02001&amp;SDATE=200802&amp;PERIODTYPE=QTR_STD&amp;SCFT=3&amp;window=popup_no_bar&amp;width=385&amp;height=120&amp;START_MAXIMIZED=FALSE&amp;creator=factset&amp;display_string=Audit"}</definedName>
    <definedName name="_1365__FDSAUDITLINK__" hidden="1">{"fdsup://Directions/FactSet Auditing Viewer?action=AUDIT_VALUE&amp;DB=129&amp;ID1=81685010&amp;VALUEID=02001&amp;SDATE=200802&amp;PERIODTYPE=QTR_STD&amp;SCFT=3&amp;window=popup_no_bar&amp;width=385&amp;height=120&amp;START_MAXIMIZED=FALSE&amp;creator=factset&amp;display_string=Audit"}</definedName>
    <definedName name="_1366__FDSAUDITLINK__" hidden="1">{"fdsup://Directions/FactSet Auditing Viewer?action=AUDIT_VALUE&amp;DB=129&amp;ID1=81685010&amp;VALUEID=02001&amp;SDATE=200802&amp;PERIODTYPE=QTR_STD&amp;SCFT=3&amp;window=popup_no_bar&amp;width=385&amp;height=120&amp;START_MAXIMIZED=FALSE&amp;creator=factset&amp;display_string=Audit"}</definedName>
    <definedName name="_1367__FDSAUDITLINK__" hidden="1">{"fdsup://Directions/FactSet Auditing Viewer?action=AUDIT_VALUE&amp;DB=129&amp;ID1=82691910&amp;VALUEID=02001&amp;SDATE=200802&amp;PERIODTYPE=QTR_STD&amp;SCFT=3&amp;window=popup_no_bar&amp;width=385&amp;height=120&amp;START_MAXIMIZED=FALSE&amp;creator=factset&amp;display_string=Audit"}</definedName>
    <definedName name="_1368__FDSAUDITLINK__" hidden="1">{"fdsup://Directions/FactSet Auditing Viewer?action=AUDIT_VALUE&amp;DB=129&amp;ID1=82691910&amp;VALUEID=02001&amp;SDATE=200802&amp;PERIODTYPE=QTR_STD&amp;SCFT=3&amp;window=popup_no_bar&amp;width=385&amp;height=120&amp;START_MAXIMIZED=FALSE&amp;creator=factset&amp;display_string=Audit"}</definedName>
    <definedName name="_1369__FDSAUDITLINK__" hidden="1">{"fdsup://Directions/FactSet Auditing Viewer?action=AUDIT_VALUE&amp;DB=129&amp;ID1=82705T10&amp;VALUEID=02001&amp;SDATE=200802&amp;PERIODTYPE=QTR_STD&amp;SCFT=3&amp;window=popup_no_bar&amp;width=385&amp;height=120&amp;START_MAXIMIZED=FALSE&amp;creator=factset&amp;display_string=Audit"}</definedName>
    <definedName name="_137__FDSAUDITLINK__" hidden="1">{"fdsup://Directions/FactSet Auditing Viewer?action=AUDIT_VALUE&amp;DB=129&amp;ID1=03251510&amp;VALUEID=02001&amp;SDATE=201101&amp;PERIODTYPE=QTR_STD&amp;SCFT=3&amp;window=popup_no_bar&amp;width=385&amp;height=120&amp;START_MAXIMIZED=FALSE&amp;creator=factset&amp;display_string=Audit"}</definedName>
    <definedName name="_1370__FDSAUDITLINK__" hidden="1">{"fdsup://Directions/FactSet Auditing Viewer?action=AUDIT_VALUE&amp;DB=129&amp;ID1=82705T10&amp;VALUEID=02001&amp;SDATE=200802&amp;PERIODTYPE=QTR_STD&amp;SCFT=3&amp;window=popup_no_bar&amp;width=385&amp;height=120&amp;START_MAXIMIZED=FALSE&amp;creator=factset&amp;display_string=Audit"}</definedName>
    <definedName name="_1371__FDSAUDITLINK__" hidden="1">{"fdsup://Directions/FactSet Auditing Viewer?action=AUDIT_VALUE&amp;DB=129&amp;ID1=75091710&amp;VALUEID=02001&amp;SDATE=200802&amp;PERIODTYPE=QTR_STD&amp;SCFT=3&amp;window=popup_no_bar&amp;width=385&amp;height=120&amp;START_MAXIMIZED=FALSE&amp;creator=factset&amp;display_string=Audit"}</definedName>
    <definedName name="_1372__FDSAUDITLINK__" hidden="1">{"fdsup://Directions/FactSet Auditing Viewer?action=AUDIT_VALUE&amp;DB=129&amp;ID1=75091710&amp;VALUEID=02001&amp;SDATE=200802&amp;PERIODTYPE=QTR_STD&amp;SCFT=3&amp;window=popup_no_bar&amp;width=385&amp;height=120&amp;START_MAXIMIZED=FALSE&amp;creator=factset&amp;display_string=Audit"}</definedName>
    <definedName name="_1373__FDSAUDITLINK__" hidden="1">{"fdsup://Directions/FactSet Auditing Viewer?action=AUDIT_VALUE&amp;DB=129&amp;ID1=74994110&amp;VALUEID=02001&amp;SDATE=200801&amp;PERIODTYPE=QTR_STD&amp;SCFT=3&amp;window=popup_no_bar&amp;width=385&amp;height=120&amp;START_MAXIMIZED=FALSE&amp;creator=factset&amp;display_string=Audit"}</definedName>
    <definedName name="_1374__FDSAUDITLINK__" hidden="1">{"fdsup://Directions/FactSet Auditing Viewer?action=AUDIT_VALUE&amp;DB=129&amp;ID1=74994110&amp;VALUEID=02001&amp;SDATE=200801&amp;PERIODTYPE=QTR_STD&amp;SCFT=3&amp;window=popup_no_bar&amp;width=385&amp;height=120&amp;START_MAXIMIZED=FALSE&amp;creator=factset&amp;display_string=Audit"}</definedName>
    <definedName name="_1375__FDSAUDITLINK__" hidden="1">{"fdsup://Directions/FactSet Auditing Viewer?action=AUDIT_VALUE&amp;DB=129&amp;ID1=74727710&amp;VALUEID=02001&amp;SDATE=200801&amp;PERIODTYPE=QTR_STD&amp;SCFT=3&amp;window=popup_no_bar&amp;width=385&amp;height=120&amp;START_MAXIMIZED=FALSE&amp;creator=factset&amp;display_string=Audit"}</definedName>
    <definedName name="_1376__FDSAUDITLINK__" hidden="1">{"fdsup://Directions/FactSet Auditing Viewer?action=AUDIT_VALUE&amp;DB=129&amp;ID1=74727710&amp;VALUEID=02001&amp;SDATE=200801&amp;PERIODTYPE=QTR_STD&amp;SCFT=3&amp;window=popup_no_bar&amp;width=385&amp;height=120&amp;START_MAXIMIZED=FALSE&amp;creator=factset&amp;display_string=Audit"}</definedName>
    <definedName name="_1377__FDSAUDITLINK__" hidden="1">{"fdsup://Directions/FactSet Auditing Viewer?action=AUDIT_VALUE&amp;DB=129&amp;ID1=74752510&amp;VALUEID=02001&amp;SDATE=200803&amp;PERIODTYPE=QTR_STD&amp;SCFT=3&amp;window=popup_no_bar&amp;width=385&amp;height=120&amp;START_MAXIMIZED=FALSE&amp;creator=factset&amp;display_string=Audit"}</definedName>
    <definedName name="_1378__FDSAUDITLINK__" hidden="1">{"fdsup://Directions/FactSet Auditing Viewer?action=AUDIT_VALUE&amp;DB=129&amp;ID1=74752510&amp;VALUEID=02001&amp;SDATE=200803&amp;PERIODTYPE=QTR_STD&amp;SCFT=3&amp;window=popup_no_bar&amp;width=385&amp;height=120&amp;START_MAXIMIZED=FALSE&amp;creator=factset&amp;display_string=Audit"}</definedName>
    <definedName name="_1379__FDSAUDITLINK__" hidden="1">{"fdsup://Directions/FactSet Auditing Viewer?action=AUDIT_VALUE&amp;DB=129&amp;ID1=72581M30&amp;VALUEID=02001&amp;SDATE=200802&amp;PERIODTYPE=QTR_STD&amp;SCFT=3&amp;window=popup_no_bar&amp;width=385&amp;height=120&amp;START_MAXIMIZED=FALSE&amp;creator=factset&amp;display_string=Audit"}</definedName>
    <definedName name="_138__FDSAUDITLINK__" hidden="1">{"fdsup://Directions/FactSet Auditing Viewer?action=AUDIT_VALUE&amp;DB=129&amp;ID1=03251510&amp;VALUEID=02001&amp;SDATE=201101&amp;PERIODTYPE=QTR_STD&amp;SCFT=3&amp;window=popup_no_bar&amp;width=385&amp;height=120&amp;START_MAXIMIZED=FALSE&amp;creator=factset&amp;display_string=Audit"}</definedName>
    <definedName name="_1380__FDSAUDITLINK__" hidden="1">{"fdsup://Directions/FactSet Auditing Viewer?action=AUDIT_VALUE&amp;DB=129&amp;ID1=72581M30&amp;VALUEID=02001&amp;SDATE=200802&amp;PERIODTYPE=QTR_STD&amp;SCFT=3&amp;window=popup_no_bar&amp;width=385&amp;height=120&amp;START_MAXIMIZED=FALSE&amp;creator=factset&amp;display_string=Audit"}</definedName>
    <definedName name="_1381__FDSAUDITLINK__" hidden="1">{"fdsup://Directions/FactSet Auditing Viewer?action=AUDIT_VALUE&amp;DB=129&amp;ID1=73927610&amp;VALUEID=02001&amp;SDATE=200802&amp;PERIODTYPE=QTR_STD&amp;SCFT=3&amp;window=popup_no_bar&amp;width=385&amp;height=120&amp;START_MAXIMIZED=FALSE&amp;creator=factset&amp;display_string=Audit"}</definedName>
    <definedName name="_1382__FDSAUDITLINK__" hidden="1">{"fdsup://Directions/FactSet Auditing Viewer?action=AUDIT_VALUE&amp;DB=129&amp;ID1=73927610&amp;VALUEID=02001&amp;SDATE=200802&amp;PERIODTYPE=QTR_STD&amp;SCFT=3&amp;window=popup_no_bar&amp;width=385&amp;height=120&amp;START_MAXIMIZED=FALSE&amp;creator=factset&amp;display_string=Audit"}</definedName>
    <definedName name="_1383__FDSAUDITLINK__" hidden="1">{"fdsup://Directions/FactSet Auditing Viewer?action=AUDIT_VALUE&amp;DB=129&amp;ID1=69344F10&amp;VALUEID=02001&amp;SDATE=200802&amp;PERIODTYPE=QTR_STD&amp;SCFT=3&amp;window=popup_no_bar&amp;width=385&amp;height=120&amp;START_MAXIMIZED=FALSE&amp;creator=factset&amp;display_string=Audit"}</definedName>
    <definedName name="_1384__FDSAUDITLINK__" hidden="1">{"fdsup://Directions/FactSet Auditing Viewer?action=AUDIT_VALUE&amp;DB=129&amp;ID1=69344F10&amp;VALUEID=02001&amp;SDATE=200802&amp;PERIODTYPE=QTR_STD&amp;SCFT=3&amp;window=popup_no_bar&amp;width=385&amp;height=120&amp;START_MAXIMIZED=FALSE&amp;creator=factset&amp;display_string=Audit"}</definedName>
    <definedName name="_1385__FDSAUDITLINK__" hidden="1">{"fdsup://Directions/FactSet Auditing Viewer?action=AUDIT_VALUE&amp;DB=129&amp;ID1=69341710&amp;VALUEID=02001&amp;SDATE=200802&amp;PERIODTYPE=QTR_STD&amp;SCFT=3&amp;window=popup_no_bar&amp;width=385&amp;height=120&amp;START_MAXIMIZED=FALSE&amp;creator=factset&amp;display_string=Audit"}</definedName>
    <definedName name="_1386__FDSAUDITLINK__" hidden="1">{"fdsup://Directions/FactSet Auditing Viewer?action=AUDIT_VALUE&amp;DB=129&amp;ID1=69341710&amp;VALUEID=02001&amp;SDATE=200802&amp;PERIODTYPE=QTR_STD&amp;SCFT=3&amp;window=popup_no_bar&amp;width=385&amp;height=120&amp;START_MAXIMIZED=FALSE&amp;creator=factset&amp;display_string=Audit"}</definedName>
    <definedName name="_1387__FDSAUDITLINK__" hidden="1">{"fdsup://Directions/FactSet Auditing Viewer?action=AUDIT_VALUE&amp;DB=129&amp;ID1=68218910&amp;VALUEID=02001&amp;SDATE=200802&amp;PERIODTYPE=QTR_STD&amp;SCFT=3&amp;window=popup_no_bar&amp;width=385&amp;height=120&amp;START_MAXIMIZED=FALSE&amp;creator=factset&amp;display_string=Audit"}</definedName>
    <definedName name="_1388__FDSAUDITLINK__" hidden="1">{"fdsup://Directions/FactSet Auditing Viewer?action=AUDIT_VALUE&amp;DB=129&amp;ID1=68218910&amp;VALUEID=02001&amp;SDATE=200802&amp;PERIODTYPE=QTR_STD&amp;SCFT=3&amp;window=popup_no_bar&amp;width=385&amp;height=120&amp;START_MAXIMIZED=FALSE&amp;creator=factset&amp;display_string=Audit"}</definedName>
    <definedName name="_1389__FDSAUDITLINK__" hidden="1">{"fdsup://Directions/FactSet Auditing Viewer?action=AUDIT_VALUE&amp;DB=129&amp;ID1=B505PN&amp;VALUEID=02001&amp;SDATE=200802&amp;PERIODTYPE=QTR_STD&amp;SCFT=3&amp;window=popup_no_bar&amp;width=385&amp;height=120&amp;START_MAXIMIZED=FALSE&amp;creator=factset&amp;display_string=Audit"}</definedName>
    <definedName name="_139__FDSAUDITLINK__" hidden="1">{"fdsup://Directions/FactSet Auditing Viewer?action=AUDIT_VALUE&amp;DB=129&amp;ID1=00790310&amp;VALUEID=02001&amp;SDATE=201101&amp;PERIODTYPE=QTR_STD&amp;SCFT=3&amp;window=popup_no_bar&amp;width=385&amp;height=120&amp;START_MAXIMIZED=FALSE&amp;creator=factset&amp;display_string=Audit"}</definedName>
    <definedName name="_1390__FDSAUDITLINK__" hidden="1">{"fdsup://Directions/FactSet Auditing Viewer?action=AUDIT_VALUE&amp;DB=129&amp;ID1=B505PN&amp;VALUEID=02001&amp;SDATE=200802&amp;PERIODTYPE=QTR_STD&amp;SCFT=3&amp;window=popup_no_bar&amp;width=385&amp;height=120&amp;START_MAXIMIZED=FALSE&amp;creator=factset&amp;display_string=Audit"}</definedName>
    <definedName name="_1391__FDSAUDITLINK__" hidden="1">{"fdsup://Directions/FactSet Auditing Viewer?action=AUDIT_VALUE&amp;DB=129&amp;ID1=67000810&amp;VALUEID=02001&amp;SDATE=200802&amp;PERIODTYPE=QTR_STD&amp;SCFT=3&amp;window=popup_no_bar&amp;width=385&amp;height=120&amp;START_MAXIMIZED=FALSE&amp;creator=factset&amp;display_string=Audit"}</definedName>
    <definedName name="_1392__FDSAUDITLINK__" hidden="1">{"fdsup://Directions/FactSet Auditing Viewer?action=AUDIT_VALUE&amp;DB=129&amp;ID1=67000810&amp;VALUEID=02001&amp;SDATE=200802&amp;PERIODTYPE=QTR_STD&amp;SCFT=3&amp;window=popup_no_bar&amp;width=385&amp;height=120&amp;START_MAXIMIZED=FALSE&amp;creator=factset&amp;display_string=Audit"}</definedName>
    <definedName name="_1393__FDSAUDITLINK__" hidden="1">{"fdsup://Directions/FactSet Auditing Viewer?action=AUDIT_VALUE&amp;DB=129&amp;ID1=67066G10&amp;VALUEID=02001&amp;SDATE=200802&amp;PERIODTYPE=QTR_STD&amp;SCFT=3&amp;window=popup_no_bar&amp;width=385&amp;height=120&amp;START_MAXIMIZED=FALSE&amp;creator=factset&amp;display_string=Audit"}</definedName>
    <definedName name="_1394__FDSAUDITLINK__" hidden="1">{"fdsup://Directions/FactSet Auditing Viewer?action=AUDIT_VALUE&amp;DB=129&amp;ID1=67066G10&amp;VALUEID=02001&amp;SDATE=200802&amp;PERIODTYPE=QTR_STD&amp;SCFT=3&amp;window=popup_no_bar&amp;width=385&amp;height=120&amp;START_MAXIMIZED=FALSE&amp;creator=factset&amp;display_string=Audit"}</definedName>
    <definedName name="_1395__FDSAUDITLINK__" hidden="1">{"fdsup://Directions/FactSet Auditing Viewer?action=AUDIT_VALUE&amp;DB=129&amp;ID1=64118B10&amp;VALUEID=02001&amp;SDATE=200802&amp;PERIODTYPE=QTR_STD&amp;SCFT=3&amp;window=popup_no_bar&amp;width=385&amp;height=120&amp;START_MAXIMIZED=FALSE&amp;creator=factset&amp;display_string=Audit"}</definedName>
    <definedName name="_1396__FDSAUDITLINK__" hidden="1">{"fdsup://Directions/FactSet Auditing Viewer?action=AUDIT_VALUE&amp;DB=129&amp;ID1=64118B10&amp;VALUEID=02001&amp;SDATE=200802&amp;PERIODTYPE=QTR_STD&amp;SCFT=3&amp;window=popup_no_bar&amp;width=385&amp;height=120&amp;START_MAXIMIZED=FALSE&amp;creator=factset&amp;display_string=Audit"}</definedName>
    <definedName name="_1397__FDSAUDITLINK__" hidden="1">{"fdsup://Directions/FactSet Auditing Viewer?action=AUDIT_VALUE&amp;DB=129&amp;ID1=59511210&amp;VALUEID=02001&amp;SDATE=200803&amp;PERIODTYPE=QTR_STD&amp;SCFT=3&amp;window=popup_no_bar&amp;width=385&amp;height=120&amp;START_MAXIMIZED=FALSE&amp;creator=factset&amp;display_string=Audit"}</definedName>
    <definedName name="_1398__FDSAUDITLINK__" hidden="1">{"fdsup://Directions/FactSet Auditing Viewer?action=AUDIT_VALUE&amp;DB=129&amp;ID1=59511210&amp;VALUEID=02001&amp;SDATE=200803&amp;PERIODTYPE=QTR_STD&amp;SCFT=3&amp;window=popup_no_bar&amp;width=385&amp;height=120&amp;START_MAXIMIZED=FALSE&amp;creator=factset&amp;display_string=Audit"}</definedName>
    <definedName name="_1399__FDSAUDITLINK__" hidden="1">{"fdsup://Directions/FactSet Auditing Viewer?action=AUDIT_VALUE&amp;DB=129&amp;ID1=59513710&amp;VALUEID=02001&amp;SDATE=200803&amp;PERIODTYPE=QTR_STD&amp;SCFT=3&amp;window=popup_no_bar&amp;width=385&amp;height=120&amp;START_MAXIMIZED=FALSE&amp;creator=factset&amp;display_string=Audit"}</definedName>
    <definedName name="_14__FDSAUDITLINK__" hidden="1">{"fdsup://Directions/FactSet Auditing Viewer?action=AUDIT_VALUE&amp;DB=129&amp;ID1=67066G10&amp;VALUEID=02001&amp;SDATE=201103&amp;PERIODTYPE=QTR_STD&amp;SCFT=3&amp;window=popup_no_bar&amp;width=385&amp;height=120&amp;START_MAXIMIZED=FALSE&amp;creator=factset&amp;display_string=Audit"}</definedName>
    <definedName name="_140__FDSAUDITLINK__" hidden="1">{"fdsup://Directions/FactSet Auditing Viewer?action=AUDIT_VALUE&amp;DB=129&amp;ID1=00790310&amp;VALUEID=02001&amp;SDATE=201101&amp;PERIODTYPE=QTR_STD&amp;SCFT=3&amp;window=popup_no_bar&amp;width=385&amp;height=120&amp;START_MAXIMIZED=FALSE&amp;creator=factset&amp;display_string=Audit"}</definedName>
    <definedName name="_1400__FDSAUDITLINK__" hidden="1">{"fdsup://Directions/FactSet Auditing Viewer?action=AUDIT_VALUE&amp;DB=129&amp;ID1=59513710&amp;VALUEID=02001&amp;SDATE=200803&amp;PERIODTYPE=QTR_STD&amp;SCFT=3&amp;window=popup_no_bar&amp;width=385&amp;height=120&amp;START_MAXIMIZED=FALSE&amp;creator=factset&amp;display_string=Audit"}</definedName>
    <definedName name="_1401__FDSAUDITLINK__" hidden="1">{"fdsup://Directions/FactSet Auditing Viewer?action=AUDIT_VALUE&amp;DB=129&amp;ID1=G5876H10&amp;VALUEID=02001&amp;SDATE=200802&amp;PERIODTYPE=QTR_STD&amp;SCFT=3&amp;window=popup_no_bar&amp;width=385&amp;height=120&amp;START_MAXIMIZED=FALSE&amp;creator=factset&amp;display_string=Audit"}</definedName>
    <definedName name="_1402__FDSAUDITLINK__" hidden="1">{"fdsup://Directions/FactSet Auditing Viewer?action=AUDIT_VALUE&amp;DB=129&amp;ID1=G5876H10&amp;VALUEID=02001&amp;SDATE=200802&amp;PERIODTYPE=QTR_STD&amp;SCFT=3&amp;window=popup_no_bar&amp;width=385&amp;height=120&amp;START_MAXIMIZED=FALSE&amp;creator=factset&amp;display_string=Audit"}</definedName>
    <definedName name="_1403__FDSAUDITLINK__" hidden="1">{"fdsup://Directions/FactSet Auditing Viewer?action=AUDIT_VALUE&amp;DB=129&amp;ID1=62007630&amp;VALUEID=02001&amp;SDATE=200802&amp;PERIODTYPE=QTR_STD&amp;SCFT=3&amp;window=popup_no_bar&amp;width=385&amp;height=120&amp;START_MAXIMIZED=FALSE&amp;creator=factset&amp;display_string=Audit"}</definedName>
    <definedName name="_1404__FDSAUDITLINK__" hidden="1">{"fdsup://Directions/FactSet Auditing Viewer?action=AUDIT_VALUE&amp;DB=129&amp;ID1=62007630&amp;VALUEID=02001&amp;SDATE=200802&amp;PERIODTYPE=QTR_STD&amp;SCFT=3&amp;window=popup_no_bar&amp;width=385&amp;height=120&amp;START_MAXIMIZED=FALSE&amp;creator=factset&amp;display_string=Audit"}</definedName>
    <definedName name="_1405__FDSAUDITLINK__" hidden="1">{"fdsup://Directions/FactSet Auditing Viewer?action=AUDIT_VALUE&amp;DB=129&amp;ID1=59479310&amp;VALUEID=02001&amp;SDATE=200802&amp;PERIODTYPE=QTR_STD&amp;SCFT=3&amp;window=popup_no_bar&amp;width=385&amp;height=120&amp;START_MAXIMIZED=FALSE&amp;creator=factset&amp;display_string=Audit"}</definedName>
    <definedName name="_1406__FDSAUDITLINK__" hidden="1">{"fdsup://Directions/FactSet Auditing Viewer?action=AUDIT_VALUE&amp;DB=129&amp;ID1=59479310&amp;VALUEID=02001&amp;SDATE=200802&amp;PERIODTYPE=QTR_STD&amp;SCFT=3&amp;window=popup_no_bar&amp;width=385&amp;height=120&amp;START_MAXIMIZED=FALSE&amp;creator=factset&amp;display_string=Audit"}</definedName>
    <definedName name="_1407__FDSAUDITLINK__" hidden="1">{"fdsup://Directions/FactSet Auditing Viewer?action=AUDIT_VALUE&amp;DB=129&amp;ID1=59501710&amp;VALUEID=02001&amp;SDATE=200801&amp;PERIODTYPE=QTR_STD&amp;SCFT=3&amp;window=popup_no_bar&amp;width=385&amp;height=120&amp;START_MAXIMIZED=FALSE&amp;creator=factset&amp;display_string=Audit"}</definedName>
    <definedName name="_1408__FDSAUDITLINK__" hidden="1">{"fdsup://Directions/FactSet Auditing Viewer?action=AUDIT_VALUE&amp;DB=129&amp;ID1=59501710&amp;VALUEID=02001&amp;SDATE=200801&amp;PERIODTYPE=QTR_STD&amp;SCFT=3&amp;window=popup_no_bar&amp;width=385&amp;height=120&amp;START_MAXIMIZED=FALSE&amp;creator=factset&amp;display_string=Audit"}</definedName>
    <definedName name="_1409__FDSAUDITLINK__" hidden="1">{"fdsup://Directions/FactSet Auditing Viewer?action=AUDIT_VALUE&amp;DB=129&amp;ID1=50216110&amp;VALUEID=02001&amp;SDATE=200802&amp;PERIODTYPE=QTR_STD&amp;SCFT=3&amp;window=popup_no_bar&amp;width=385&amp;height=120&amp;START_MAXIMIZED=FALSE&amp;creator=factset&amp;display_string=Audit"}</definedName>
    <definedName name="_141__FDSAUDITLINK__" hidden="1">{"fdsup://Directions/FactSet Auditing Viewer?action=AUDIT_VALUE&amp;DB=129&amp;ID1=03822W40&amp;VALUEID=02001&amp;SDATE=201004&amp;PERIODTYPE=QTR_STD&amp;SCFT=3&amp;window=popup_no_bar&amp;width=385&amp;height=120&amp;START_MAXIMIZED=FALSE&amp;creator=factset&amp;display_string=Audit"}</definedName>
    <definedName name="_1410__FDSAUDITLINK__" hidden="1">{"fdsup://Directions/FactSet Auditing Viewer?action=AUDIT_VALUE&amp;DB=129&amp;ID1=50216110&amp;VALUEID=02001&amp;SDATE=200802&amp;PERIODTYPE=QTR_STD&amp;SCFT=3&amp;window=popup_no_bar&amp;width=385&amp;height=120&amp;START_MAXIMIZED=FALSE&amp;creator=factset&amp;display_string=Audit"}</definedName>
    <definedName name="_1411__FDSAUDITLINK__" hidden="1">{"fdsup://Directions/FactSet Auditing Viewer?action=AUDIT_VALUE&amp;DB=129&amp;ID1=51841510&amp;VALUEID=02001&amp;SDATE=200802&amp;PERIODTYPE=QTR_STD&amp;SCFT=3&amp;window=popup_no_bar&amp;width=385&amp;height=120&amp;START_MAXIMIZED=FALSE&amp;creator=factset&amp;display_string=Audit"}</definedName>
    <definedName name="_1412__FDSAUDITLINK__" hidden="1">{"fdsup://Directions/FactSet Auditing Viewer?action=AUDIT_VALUE&amp;DB=129&amp;ID1=51841510&amp;VALUEID=02001&amp;SDATE=200802&amp;PERIODTYPE=QTR_STD&amp;SCFT=3&amp;window=popup_no_bar&amp;width=385&amp;height=120&amp;START_MAXIMIZED=FALSE&amp;creator=factset&amp;display_string=Audit"}</definedName>
    <definedName name="_1413__FDSAUDITLINK__" hidden="1">{"fdsup://Directions/FactSet Auditing Viewer?action=AUDIT_VALUE&amp;DB=129&amp;ID1=48836020&amp;VALUEID=02001&amp;SDATE=200801&amp;PERIODTYPE=QTR_STD&amp;SCFT=3&amp;window=popup_no_bar&amp;width=385&amp;height=120&amp;START_MAXIMIZED=FALSE&amp;creator=factset&amp;display_string=Audit"}</definedName>
    <definedName name="_1414__FDSAUDITLINK__" hidden="1">{"fdsup://Directions/FactSet Auditing Viewer?action=AUDIT_VALUE&amp;DB=129&amp;ID1=48836020&amp;VALUEID=02001&amp;SDATE=200801&amp;PERIODTYPE=QTR_STD&amp;SCFT=3&amp;window=popup_no_bar&amp;width=385&amp;height=120&amp;START_MAXIMIZED=FALSE&amp;creator=factset&amp;display_string=Audit"}</definedName>
    <definedName name="_1415__FDSAUDITLINK__" hidden="1">{"fdsup://Directions/FactSet Auditing Viewer?action=AUDIT_VALUE&amp;DB=129&amp;ID1=48203R10&amp;VALUEID=02001&amp;SDATE=200802&amp;PERIODTYPE=QTR_STD&amp;SCFT=3&amp;window=popup_no_bar&amp;width=385&amp;height=120&amp;START_MAXIMIZED=FALSE&amp;creator=factset&amp;display_string=Audit"}</definedName>
    <definedName name="_1416__FDSAUDITLINK__" hidden="1">{"fdsup://Directions/FactSet Auditing Viewer?action=AUDIT_VALUE&amp;DB=129&amp;ID1=48203R10&amp;VALUEID=02001&amp;SDATE=200802&amp;PERIODTYPE=QTR_STD&amp;SCFT=3&amp;window=popup_no_bar&amp;width=385&amp;height=120&amp;START_MAXIMIZED=FALSE&amp;creator=factset&amp;display_string=Audit"}</definedName>
    <definedName name="_1417__FDSAUDITLINK__" hidden="1">{"fdsup://Directions/FactSet Auditing Viewer?action=AUDIT_VALUE&amp;DB=129&amp;ID1=46069S10&amp;VALUEID=02001&amp;SDATE=200802&amp;PERIODTYPE=QTR_STD&amp;SCFT=3&amp;window=popup_no_bar&amp;width=385&amp;height=120&amp;START_MAXIMIZED=FALSE&amp;creator=factset&amp;display_string=Audit"}</definedName>
    <definedName name="_1418__FDSAUDITLINK__" hidden="1">{"fdsup://Directions/FactSet Auditing Viewer?action=AUDIT_VALUE&amp;DB=129&amp;ID1=46069S10&amp;VALUEID=02001&amp;SDATE=200802&amp;PERIODTYPE=QTR_STD&amp;SCFT=3&amp;window=popup_no_bar&amp;width=385&amp;height=120&amp;START_MAXIMIZED=FALSE&amp;creator=factset&amp;display_string=Audit"}</definedName>
    <definedName name="_1419__FDSAUDITLINK__" hidden="1">{"fdsup://Directions/FactSet Auditing Viewer?action=AUDIT_VALUE&amp;DB=129&amp;ID1=45814010&amp;VALUEID=02001&amp;SDATE=200802&amp;PERIODTYPE=QTR_STD&amp;SCFT=3&amp;window=popup_no_bar&amp;width=385&amp;height=120&amp;START_MAXIMIZED=FALSE&amp;creator=factset&amp;display_string=Audit"}</definedName>
    <definedName name="_142__FDSAUDITLINK__" hidden="1">{"fdsup://Directions/FactSet Auditing Viewer?action=AUDIT_VALUE&amp;DB=129&amp;ID1=03822W40&amp;VALUEID=02001&amp;SDATE=201004&amp;PERIODTYPE=QTR_STD&amp;SCFT=3&amp;window=popup_no_bar&amp;width=385&amp;height=120&amp;START_MAXIMIZED=FALSE&amp;creator=factset&amp;display_string=Audit"}</definedName>
    <definedName name="_1420__FDSAUDITLINK__" hidden="1">{"fdsup://Directions/FactSet Auditing Viewer?action=AUDIT_VALUE&amp;DB=129&amp;ID1=45814010&amp;VALUEID=02001&amp;SDATE=200802&amp;PERIODTYPE=QTR_STD&amp;SCFT=3&amp;window=popup_no_bar&amp;width=385&amp;height=120&amp;START_MAXIMIZED=FALSE&amp;creator=factset&amp;display_string=Audit"}</definedName>
    <definedName name="_1421__FDSAUDITLINK__" hidden="1">{"fdsup://Directions/FactSet Auditing Viewer?action=AUDIT_VALUE&amp;DB=129&amp;ID1=45811810&amp;VALUEID=02001&amp;SDATE=200801&amp;PERIODTYPE=QTR_STD&amp;SCFT=3&amp;window=popup_no_bar&amp;width=385&amp;height=120&amp;START_MAXIMIZED=FALSE&amp;creator=factset&amp;display_string=Audit"}</definedName>
    <definedName name="_1422__FDSAUDITLINK__" hidden="1">{"fdsup://Directions/FactSet Auditing Viewer?action=AUDIT_VALUE&amp;DB=129&amp;ID1=45811810&amp;VALUEID=02001&amp;SDATE=200801&amp;PERIODTYPE=QTR_STD&amp;SCFT=3&amp;window=popup_no_bar&amp;width=385&amp;height=120&amp;START_MAXIMIZED=FALSE&amp;creator=factset&amp;display_string=Audit"}</definedName>
    <definedName name="_1423__FDSAUDITLINK__" hidden="1">{"fdsup://Directions/FactSet Auditing Viewer?action=AUDIT_VALUE&amp;DB=129&amp;ID1=42823610&amp;VALUEID=02001&amp;SDATE=200803&amp;PERIODTYPE=QTR_STD&amp;SCFT=3&amp;window=popup_no_bar&amp;width=385&amp;height=120&amp;START_MAXIMIZED=FALSE&amp;creator=factset&amp;display_string=Audit"}</definedName>
    <definedName name="_1424__FDSAUDITLINK__" hidden="1">{"fdsup://Directions/FactSet Auditing Viewer?action=AUDIT_VALUE&amp;DB=129&amp;ID1=42823610&amp;VALUEID=02001&amp;SDATE=200803&amp;PERIODTYPE=QTR_STD&amp;SCFT=3&amp;window=popup_no_bar&amp;width=385&amp;height=120&amp;START_MAXIMIZED=FALSE&amp;creator=factset&amp;display_string=Audit"}</definedName>
    <definedName name="_1425__FDSAUDITLINK__" hidden="1">{"fdsup://Directions/FactSet Auditing Viewer?action=AUDIT_VALUE&amp;DB=129&amp;ID1=H2906T10&amp;VALUEID=02001&amp;SDATE=200802&amp;PERIODTYPE=QTR_STD&amp;SCFT=3&amp;window=popup_no_bar&amp;width=385&amp;height=120&amp;START_MAXIMIZED=FALSE&amp;creator=factset&amp;display_string=Audit"}</definedName>
    <definedName name="_1426__FDSAUDITLINK__" hidden="1">{"fdsup://Directions/FactSet Auditing Viewer?action=AUDIT_VALUE&amp;DB=129&amp;ID1=H2906T10&amp;VALUEID=02001&amp;SDATE=200802&amp;PERIODTYPE=QTR_STD&amp;SCFT=3&amp;window=popup_no_bar&amp;width=385&amp;height=120&amp;START_MAXIMIZED=FALSE&amp;creator=factset&amp;display_string=Audit"}</definedName>
    <definedName name="_1427__FDSAUDITLINK__" hidden="1">{"fdsup://Directions/FactSet Auditing Viewer?action=AUDIT_VALUE&amp;DB=129&amp;ID1=34637510&amp;VALUEID=02001&amp;SDATE=200802&amp;PERIODTYPE=QTR_STD&amp;SCFT=3&amp;window=popup_no_bar&amp;width=385&amp;height=120&amp;START_MAXIMIZED=FALSE&amp;creator=factset&amp;display_string=Audit"}</definedName>
    <definedName name="_1428__FDSAUDITLINK__" hidden="1">{"fdsup://Directions/FactSet Auditing Viewer?action=AUDIT_VALUE&amp;DB=129&amp;ID1=34637510&amp;VALUEID=02001&amp;SDATE=200802&amp;PERIODTYPE=QTR_STD&amp;SCFT=3&amp;window=popup_no_bar&amp;width=385&amp;height=120&amp;START_MAXIMIZED=FALSE&amp;creator=factset&amp;display_string=Audit"}</definedName>
    <definedName name="_1429__FDSAUDITLINK__" hidden="1">{"fdsup://Directions/FactSet Auditing Viewer?action=AUDIT_VALUE&amp;DB=129&amp;ID1=31561610&amp;VALUEID=02001&amp;SDATE=200803&amp;PERIODTYPE=QTR_STD&amp;SCFT=3&amp;window=popup_no_bar&amp;width=385&amp;height=120&amp;START_MAXIMIZED=FALSE&amp;creator=factset&amp;display_string=Audit"}</definedName>
    <definedName name="_143__FDSAUDITLINK__" hidden="1">{"fdsup://Directions/FactSet Auditing Viewer?action=AUDIT_VALUE&amp;DB=129&amp;ID1=03822210&amp;VALUEID=02001&amp;SDATE=201102&amp;PERIODTYPE=QTR_STD&amp;SCFT=3&amp;window=popup_no_bar&amp;width=385&amp;height=120&amp;START_MAXIMIZED=FALSE&amp;creator=factset&amp;display_string=Audit"}</definedName>
    <definedName name="_1430__FDSAUDITLINK__" hidden="1">{"fdsup://Directions/FactSet Auditing Viewer?action=AUDIT_VALUE&amp;DB=129&amp;ID1=31561610&amp;VALUEID=02001&amp;SDATE=200803&amp;PERIODTYPE=QTR_STD&amp;SCFT=3&amp;window=popup_no_bar&amp;width=385&amp;height=120&amp;START_MAXIMIZED=FALSE&amp;creator=factset&amp;display_string=Audit"}</definedName>
    <definedName name="_1431__FDSAUDITLINK__" hidden="1">{"fdsup://Directions/FactSet Auditing Viewer?action=AUDIT_VALUE&amp;DB=129&amp;ID1=25454310&amp;VALUEID=02001&amp;SDATE=200802&amp;PERIODTYPE=QTR_STD&amp;SCFT=3&amp;window=popup_no_bar&amp;width=385&amp;height=120&amp;START_MAXIMIZED=FALSE&amp;creator=factset&amp;display_string=Audit"}</definedName>
    <definedName name="_1432__FDSAUDITLINK__" hidden="1">{"fdsup://Directions/FactSet Auditing Viewer?action=AUDIT_VALUE&amp;DB=129&amp;ID1=25454310&amp;VALUEID=02001&amp;SDATE=200802&amp;PERIODTYPE=QTR_STD&amp;SCFT=3&amp;window=popup_no_bar&amp;width=385&amp;height=120&amp;START_MAXIMIZED=FALSE&amp;creator=factset&amp;display_string=Audit"}</definedName>
    <definedName name="_1433__FDSAUDITLINK__" hidden="1">{"fdsup://Directions/FactSet Auditing Viewer?action=AUDIT_VALUE&amp;DB=129&amp;ID1=24702R10&amp;VALUEID=02001&amp;SDATE=200802&amp;PERIODTYPE=QTR_STD&amp;SCFT=3&amp;window=popup_no_bar&amp;width=385&amp;height=120&amp;START_MAXIMIZED=FALSE&amp;creator=factset&amp;display_string=Audit"}</definedName>
    <definedName name="_1434__FDSAUDITLINK__" hidden="1">{"fdsup://Directions/FactSet Auditing Viewer?action=AUDIT_VALUE&amp;DB=129&amp;ID1=24702R10&amp;VALUEID=02001&amp;SDATE=200802&amp;PERIODTYPE=QTR_STD&amp;SCFT=3&amp;window=popup_no_bar&amp;width=385&amp;height=120&amp;START_MAXIMIZED=FALSE&amp;creator=factset&amp;display_string=Audit"}</definedName>
    <definedName name="_1435__FDSAUDITLINK__" hidden="1">{"fdsup://Directions/FactSet Auditing Viewer?action=AUDIT_VALUE&amp;DB=129&amp;ID1=23257210&amp;VALUEID=02001&amp;SDATE=200802&amp;PERIODTYPE=QTR_STD&amp;SCFT=3&amp;window=popup_no_bar&amp;width=385&amp;height=120&amp;START_MAXIMIZED=FALSE&amp;creator=factset&amp;display_string=Audit"}</definedName>
    <definedName name="_1436__FDSAUDITLINK__" hidden="1">{"fdsup://Directions/FactSet Auditing Viewer?action=AUDIT_VALUE&amp;DB=129&amp;ID1=23257210&amp;VALUEID=02001&amp;SDATE=200802&amp;PERIODTYPE=QTR_STD&amp;SCFT=3&amp;window=popup_no_bar&amp;width=385&amp;height=120&amp;START_MAXIMIZED=FALSE&amp;creator=factset&amp;display_string=Audit"}</definedName>
    <definedName name="_1437__FDSAUDITLINK__" hidden="1">{"fdsup://Directions/FactSet Auditing Viewer?action=AUDIT_VALUE&amp;DB=129&amp;ID1=23280610&amp;VALUEID=02001&amp;SDATE=200802&amp;PERIODTYPE=QTR_STD&amp;SCFT=3&amp;window=popup_no_bar&amp;width=385&amp;height=120&amp;START_MAXIMIZED=FALSE&amp;creator=factset&amp;display_string=Audit"}</definedName>
    <definedName name="_1438__FDSAUDITLINK__" hidden="1">{"fdsup://Directions/FactSet Auditing Viewer?action=AUDIT_VALUE&amp;DB=129&amp;ID1=23280610&amp;VALUEID=02001&amp;SDATE=200802&amp;PERIODTYPE=QTR_STD&amp;SCFT=3&amp;window=popup_no_bar&amp;width=385&amp;height=120&amp;START_MAXIMIZED=FALSE&amp;creator=factset&amp;display_string=Audit"}</definedName>
    <definedName name="_1439__FDSAUDITLINK__" hidden="1">{"fdsup://Directions/FactSet Auditing Viewer?action=AUDIT_VALUE&amp;DB=129&amp;ID1=20714230&amp;VALUEID=02001&amp;SDATE=200803&amp;PERIODTYPE=QTR_STD&amp;SCFT=3&amp;window=popup_no_bar&amp;width=385&amp;height=120&amp;START_MAXIMIZED=FALSE&amp;creator=factset&amp;display_string=Audit"}</definedName>
    <definedName name="_144__FDSAUDITLINK__" hidden="1">{"fdsup://Directions/FactSet Auditing Viewer?action=AUDIT_VALUE&amp;DB=129&amp;ID1=03822210&amp;VALUEID=02001&amp;SDATE=201102&amp;PERIODTYPE=QTR_STD&amp;SCFT=3&amp;window=popup_no_bar&amp;width=385&amp;height=120&amp;START_MAXIMIZED=FALSE&amp;creator=factset&amp;display_string=Audit"}</definedName>
    <definedName name="_1440__FDSAUDITLINK__" hidden="1">{"fdsup://Directions/FactSet Auditing Viewer?action=AUDIT_VALUE&amp;DB=129&amp;ID1=20714230&amp;VALUEID=02001&amp;SDATE=200803&amp;PERIODTYPE=QTR_STD&amp;SCFT=3&amp;window=popup_no_bar&amp;width=385&amp;height=120&amp;START_MAXIMIZED=FALSE&amp;creator=factset&amp;display_string=Audit"}</definedName>
    <definedName name="_1441__FDSAUDITLINK__" hidden="1">{"fdsup://Directions/FactSet Auditing Viewer?action=AUDIT_VALUE&amp;DB=129&amp;ID1=12738710&amp;VALUEID=02001&amp;SDATE=200802&amp;PERIODTYPE=QTR_STD&amp;SCFT=3&amp;window=popup_no_bar&amp;width=385&amp;height=120&amp;START_MAXIMIZED=FALSE&amp;creator=factset&amp;display_string=Audit"}</definedName>
    <definedName name="_1442__FDSAUDITLINK__" hidden="1">{"fdsup://Directions/FactSet Auditing Viewer?action=AUDIT_VALUE&amp;DB=129&amp;ID1=12738710&amp;VALUEID=02001&amp;SDATE=200802&amp;PERIODTYPE=QTR_STD&amp;SCFT=3&amp;window=popup_no_bar&amp;width=385&amp;height=120&amp;START_MAXIMIZED=FALSE&amp;creator=factset&amp;display_string=Audit"}</definedName>
    <definedName name="_1443__FDSAUDITLINK__" hidden="1">{"fdsup://Directions/FactSet Auditing Viewer?action=AUDIT_VALUE&amp;DB=129&amp;ID1=14964U10&amp;VALUEID=02001&amp;SDATE=200802&amp;PERIODTYPE=QTR_STD&amp;SCFT=3&amp;window=popup_no_bar&amp;width=385&amp;height=120&amp;START_MAXIMIZED=FALSE&amp;creator=factset&amp;display_string=Audit"}</definedName>
    <definedName name="_1444__FDSAUDITLINK__" hidden="1">{"fdsup://Directions/FactSet Auditing Viewer?action=AUDIT_VALUE&amp;DB=129&amp;ID1=14964U10&amp;VALUEID=02001&amp;SDATE=200802&amp;PERIODTYPE=QTR_STD&amp;SCFT=3&amp;window=popup_no_bar&amp;width=385&amp;height=120&amp;START_MAXIMIZED=FALSE&amp;creator=factset&amp;display_string=Audit"}</definedName>
    <definedName name="_1445__FDSAUDITLINK__" hidden="1">{"fdsup://Directions/FactSet Auditing Viewer?action=AUDIT_VALUE&amp;DB=129&amp;ID1=11162130&amp;VALUEID=02001&amp;SDATE=200803&amp;PERIODTYPE=QTR_STD&amp;SCFT=3&amp;window=popup_no_bar&amp;width=385&amp;height=120&amp;START_MAXIMIZED=FALSE&amp;creator=factset&amp;display_string=Audit"}</definedName>
    <definedName name="_1446__FDSAUDITLINK__" hidden="1">{"fdsup://Directions/FactSet Auditing Viewer?action=AUDIT_VALUE&amp;DB=129&amp;ID1=11162130&amp;VALUEID=02001&amp;SDATE=200803&amp;PERIODTYPE=QTR_STD&amp;SCFT=3&amp;window=popup_no_bar&amp;width=385&amp;height=120&amp;START_MAXIMIZED=FALSE&amp;creator=factset&amp;display_string=Audit"}</definedName>
    <definedName name="_1447__FDSAUDITLINK__" hidden="1">{"fdsup://Directions/FactSet Auditing Viewer?action=AUDIT_VALUE&amp;DB=129&amp;ID1=04743P10&amp;VALUEID=02001&amp;SDATE=200802&amp;PERIODTYPE=QTR_STD&amp;SCFT=3&amp;window=popup_no_bar&amp;width=385&amp;height=120&amp;START_MAXIMIZED=FALSE&amp;creator=factset&amp;display_string=Audit"}</definedName>
    <definedName name="_1448__FDSAUDITLINK__" hidden="1">{"fdsup://Directions/FactSet Auditing Viewer?action=AUDIT_VALUE&amp;DB=129&amp;ID1=04743P10&amp;VALUEID=02001&amp;SDATE=200802&amp;PERIODTYPE=QTR_STD&amp;SCFT=3&amp;window=popup_no_bar&amp;width=385&amp;height=120&amp;START_MAXIMIZED=FALSE&amp;creator=factset&amp;display_string=Audit"}</definedName>
    <definedName name="_1449__FDSAUDITLINK__" hidden="1">{"fdsup://Directions/FactSet Auditing Viewer?action=AUDIT_VALUE&amp;DB=129&amp;ID1=03251510&amp;VALUEID=02001&amp;SDATE=200802&amp;PERIODTYPE=QTR_STD&amp;SCFT=3&amp;window=popup_no_bar&amp;width=385&amp;height=120&amp;START_MAXIMIZED=FALSE&amp;creator=factset&amp;display_string=Audit"}</definedName>
    <definedName name="_145__FDSAUDITLINK__" hidden="1">{"fdsup://Directions/FactSet Auditing Viewer?action=AUDIT_VALUE&amp;DB=129&amp;ID1=02144110&amp;VALUEID=02001&amp;SDATE=201101&amp;PERIODTYPE=QTR_STD&amp;SCFT=3&amp;window=popup_no_bar&amp;width=385&amp;height=120&amp;START_MAXIMIZED=FALSE&amp;creator=factset&amp;display_string=Audit"}</definedName>
    <definedName name="_1450__FDSAUDITLINK__" hidden="1">{"fdsup://Directions/FactSet Auditing Viewer?action=AUDIT_VALUE&amp;DB=129&amp;ID1=03251510&amp;VALUEID=02001&amp;SDATE=200802&amp;PERIODTYPE=QTR_STD&amp;SCFT=3&amp;window=popup_no_bar&amp;width=385&amp;height=120&amp;START_MAXIMIZED=FALSE&amp;creator=factset&amp;display_string=Audit"}</definedName>
    <definedName name="_1451__FDSAUDITLINK__" hidden="1">{"fdsup://Directions/FactSet Auditing Viewer?action=AUDIT_VALUE&amp;DB=129&amp;ID1=00790310&amp;VALUEID=02001&amp;SDATE=200802&amp;PERIODTYPE=QTR_STD&amp;SCFT=3&amp;window=popup_no_bar&amp;width=385&amp;height=120&amp;START_MAXIMIZED=FALSE&amp;creator=factset&amp;display_string=Audit"}</definedName>
    <definedName name="_1452__FDSAUDITLINK__" hidden="1">{"fdsup://Directions/FactSet Auditing Viewer?action=AUDIT_VALUE&amp;DB=129&amp;ID1=00790310&amp;VALUEID=02001&amp;SDATE=200802&amp;PERIODTYPE=QTR_STD&amp;SCFT=3&amp;window=popup_no_bar&amp;width=385&amp;height=120&amp;START_MAXIMIZED=FALSE&amp;creator=factset&amp;display_string=Audit"}</definedName>
    <definedName name="_1453__FDSAUDITLINK__" hidden="1">{"fdsup://Directions/FactSet Auditing Viewer?action=AUDIT_VALUE&amp;DB=129&amp;ID1=03822W40&amp;VALUEID=02001&amp;SDATE=200801&amp;PERIODTYPE=QTR_STD&amp;SCFT=3&amp;window=popup_no_bar&amp;width=385&amp;height=120&amp;START_MAXIMIZED=FALSE&amp;creator=factset&amp;display_string=Audit"}</definedName>
    <definedName name="_1454__FDSAUDITLINK__" hidden="1">{"fdsup://Directions/FactSet Auditing Viewer?action=AUDIT_VALUE&amp;DB=129&amp;ID1=03822W40&amp;VALUEID=02001&amp;SDATE=200801&amp;PERIODTYPE=QTR_STD&amp;SCFT=3&amp;window=popup_no_bar&amp;width=385&amp;height=120&amp;START_MAXIMIZED=FALSE&amp;creator=factset&amp;display_string=Audit"}</definedName>
    <definedName name="_1455__FDSAUDITLINK__" hidden="1">{"fdsup://Directions/FactSet Auditing Viewer?action=AUDIT_VALUE&amp;DB=129&amp;ID1=03822210&amp;VALUEID=02001&amp;SDATE=200803&amp;PERIODTYPE=QTR_STD&amp;SCFT=3&amp;window=popup_no_bar&amp;width=385&amp;height=120&amp;START_MAXIMIZED=FALSE&amp;creator=factset&amp;display_string=Audit"}</definedName>
    <definedName name="_1456__FDSAUDITLINK__" hidden="1">{"fdsup://Directions/FactSet Auditing Viewer?action=AUDIT_VALUE&amp;DB=129&amp;ID1=03822210&amp;VALUEID=02001&amp;SDATE=200803&amp;PERIODTYPE=QTR_STD&amp;SCFT=3&amp;window=popup_no_bar&amp;width=385&amp;height=120&amp;START_MAXIMIZED=FALSE&amp;creator=factset&amp;display_string=Audit"}</definedName>
    <definedName name="_1457__FDSAUDITLINK__" hidden="1">{"fdsup://Directions/FactSet Auditing Viewer?action=AUDIT_VALUE&amp;DB=129&amp;ID1=02144110&amp;VALUEID=02001&amp;SDATE=200802&amp;PERIODTYPE=QTR_STD&amp;SCFT=3&amp;window=popup_no_bar&amp;width=385&amp;height=120&amp;START_MAXIMIZED=FALSE&amp;creator=factset&amp;display_string=Audit"}</definedName>
    <definedName name="_1458__FDSAUDITLINK__" hidden="1">{"fdsup://Directions/FactSet Auditing Viewer?action=AUDIT_VALUE&amp;DB=129&amp;ID1=02144110&amp;VALUEID=02001&amp;SDATE=200802&amp;PERIODTYPE=QTR_STD&amp;SCFT=3&amp;window=popup_no_bar&amp;width=385&amp;height=120&amp;START_MAXIMIZED=FALSE&amp;creator=factset&amp;display_string=Audit"}</definedName>
    <definedName name="_1459__FDSAUDITLINK__" hidden="1">{"fdsup://Directions/FactSet Auditing Viewer?action=AUDIT_VALUE&amp;DB=129&amp;ID1=03265410&amp;VALUEID=02001&amp;SDATE=200803&amp;PERIODTYPE=QTR_STD&amp;SCFT=3&amp;window=popup_no_bar&amp;width=385&amp;height=120&amp;START_MAXIMIZED=FALSE&amp;creator=factset&amp;display_string=Audit"}</definedName>
    <definedName name="_146__FDSAUDITLINK__" hidden="1">{"fdsup://Directions/FactSet Auditing Viewer?action=AUDIT_VALUE&amp;DB=129&amp;ID1=02144110&amp;VALUEID=02001&amp;SDATE=201101&amp;PERIODTYPE=QTR_STD&amp;SCFT=3&amp;window=popup_no_bar&amp;width=385&amp;height=120&amp;START_MAXIMIZED=FALSE&amp;creator=factset&amp;display_string=Audit"}</definedName>
    <definedName name="_1460__FDSAUDITLINK__" hidden="1">{"fdsup://Directions/FactSet Auditing Viewer?action=AUDIT_VALUE&amp;DB=129&amp;ID1=03265410&amp;VALUEID=02001&amp;SDATE=200803&amp;PERIODTYPE=QTR_STD&amp;SCFT=3&amp;window=popup_no_bar&amp;width=385&amp;height=120&amp;START_MAXIMIZED=FALSE&amp;creator=factset&amp;display_string=Audit"}</definedName>
    <definedName name="_1461__FDSAUDITLINK__" hidden="1">{"fdsup://Directions/FactSet Auditing Viewer?action=AUDIT_VALUE&amp;DB=129&amp;ID1=00752J10&amp;VALUEID=02001&amp;SDATE=200802&amp;PERIODTYPE=QTR_STD&amp;SCFT=3&amp;window=popup_no_bar&amp;width=385&amp;height=120&amp;START_MAXIMIZED=FALSE&amp;creator=factset&amp;display_string=Audit"}</definedName>
    <definedName name="_1462__FDSAUDITLINK__" hidden="1">{"fdsup://Directions/FactSet Auditing Viewer?action=AUDIT_VALUE&amp;DB=129&amp;ID1=00752J10&amp;VALUEID=02001&amp;SDATE=200802&amp;PERIODTYPE=QTR_STD&amp;SCFT=3&amp;window=popup_no_bar&amp;width=385&amp;height=120&amp;START_MAXIMIZED=FALSE&amp;creator=factset&amp;display_string=Audit"}</definedName>
    <definedName name="_1463__FDSAUDITLINK__" hidden="1">{"fdsup://Directions/FactSet Auditing Viewer?action=AUDIT_VALUE&amp;DB=129&amp;ID1=98975F10&amp;VALUEID=02001&amp;SDATE=200801&amp;PERIODTYPE=QTR_STD&amp;SCFT=3&amp;window=popup_no_bar&amp;width=385&amp;height=120&amp;START_MAXIMIZED=FALSE&amp;creator=factset&amp;display_string=Audit"}</definedName>
    <definedName name="_1464__FDSAUDITLINK__" hidden="1">{"fdsup://Directions/FactSet Auditing Viewer?action=AUDIT_VALUE&amp;DB=129&amp;ID1=98975F10&amp;VALUEID=02001&amp;SDATE=200801&amp;PERIODTYPE=QTR_STD&amp;SCFT=3&amp;window=popup_no_bar&amp;width=385&amp;height=120&amp;START_MAXIMIZED=FALSE&amp;creator=factset&amp;display_string=Audit"}</definedName>
    <definedName name="_1465__FDSAUDITLINK__" hidden="1">{"fdsup://Directions/FactSet Auditing Viewer?action=AUDIT_VALUE&amp;DB=129&amp;ID1=98391910&amp;VALUEID=02001&amp;SDATE=200704&amp;PERIODTYPE=QTR_STD&amp;SCFT=3&amp;window=popup_no_bar&amp;width=385&amp;height=120&amp;START_MAXIMIZED=FALSE&amp;creator=factset&amp;display_string=Audit"}</definedName>
    <definedName name="_1466__FDSAUDITLINK__" hidden="1">{"fdsup://Directions/FactSet Auditing Viewer?action=AUDIT_VALUE&amp;DB=129&amp;ID1=98391910&amp;VALUEID=02001&amp;SDATE=200704&amp;PERIODTYPE=QTR_STD&amp;SCFT=3&amp;window=popup_no_bar&amp;width=385&amp;height=120&amp;START_MAXIMIZED=FALSE&amp;creator=factset&amp;display_string=Audit"}</definedName>
    <definedName name="_1467__FDSAUDITLINK__" hidden="1">{"fdsup://Directions/FactSet Auditing Viewer?action=AUDIT_VALUE&amp;DB=129&amp;ID1=95810210&amp;VALUEID=02001&amp;SDATE=200803&amp;PERIODTYPE=QTR_STD&amp;SCFT=3&amp;window=popup_no_bar&amp;width=385&amp;height=120&amp;START_MAXIMIZED=FALSE&amp;creator=factset&amp;display_string=Audit"}</definedName>
    <definedName name="_1468__FDSAUDITLINK__" hidden="1">{"fdsup://Directions/FactSet Auditing Viewer?action=AUDIT_VALUE&amp;DB=129&amp;ID1=95810210&amp;VALUEID=02001&amp;SDATE=200803&amp;PERIODTYPE=QTR_STD&amp;SCFT=3&amp;window=popup_no_bar&amp;width=385&amp;height=120&amp;START_MAXIMIZED=FALSE&amp;creator=factset&amp;display_string=Audit"}</definedName>
    <definedName name="_1469__FDSAUDITLINK__" hidden="1">{"fdsup://Directions/FactSet Auditing Viewer?action=AUDIT_VALUE&amp;DB=129&amp;ID1=92849730&amp;VALUEID=02001&amp;SDATE=200802&amp;PERIODTYPE=QTR_STD&amp;SCFT=3&amp;window=popup_no_bar&amp;width=385&amp;height=120&amp;START_MAXIMIZED=FALSE&amp;creator=factset&amp;display_string=Audit"}</definedName>
    <definedName name="_147__FDSAUDITLINK__" hidden="1">{"fdsup://Directions/FactSet Auditing Viewer?action=AUDIT_VALUE&amp;DB=129&amp;ID1=03265410&amp;VALUEID=02001&amp;SDATE=201102&amp;PERIODTYPE=QTR_STD&amp;SCFT=3&amp;window=popup_no_bar&amp;width=385&amp;height=120&amp;START_MAXIMIZED=FALSE&amp;creator=factset&amp;display_string=Audit"}</definedName>
    <definedName name="_1470__FDSAUDITLINK__" hidden="1">{"fdsup://Directions/FactSet Auditing Viewer?action=AUDIT_VALUE&amp;DB=129&amp;ID1=92849730&amp;VALUEID=02001&amp;SDATE=200802&amp;PERIODTYPE=QTR_STD&amp;SCFT=3&amp;window=popup_no_bar&amp;width=385&amp;height=120&amp;START_MAXIMIZED=FALSE&amp;creator=factset&amp;display_string=Audit"}</definedName>
    <definedName name="_1471__FDSAUDITLINK__" hidden="1">{"fdsup://Directions/FactSet Auditing Viewer?action=AUDIT_VALUE&amp;DB=129&amp;ID1=92829810&amp;VALUEID=02001&amp;SDATE=200801&amp;PERIODTYPE=QTR_STD&amp;SCFT=3&amp;window=popup_no_bar&amp;width=385&amp;height=120&amp;START_MAXIMIZED=FALSE&amp;creator=factset&amp;display_string=Audit"}</definedName>
    <definedName name="_1472__FDSAUDITLINK__" hidden="1">{"fdsup://Directions/FactSet Auditing Viewer?action=AUDIT_VALUE&amp;DB=129&amp;ID1=92829810&amp;VALUEID=02001&amp;SDATE=200801&amp;PERIODTYPE=QTR_STD&amp;SCFT=3&amp;window=popup_no_bar&amp;width=385&amp;height=120&amp;START_MAXIMIZED=FALSE&amp;creator=factset&amp;display_string=Audit"}</definedName>
    <definedName name="_1473__FDSAUDITLINK__" hidden="1">{"fdsup://Directions/FactSet Auditing Viewer?action=AUDIT_VALUE&amp;DB=129&amp;ID1=88250810&amp;VALUEID=02001&amp;SDATE=200801&amp;PERIODTYPE=QTR_STD&amp;SCFT=3&amp;window=popup_no_bar&amp;width=385&amp;height=120&amp;START_MAXIMIZED=FALSE&amp;creator=factset&amp;display_string=Audit"}</definedName>
    <definedName name="_1474__FDSAUDITLINK__" hidden="1">{"fdsup://Directions/FactSet Auditing Viewer?action=AUDIT_VALUE&amp;DB=129&amp;ID1=88250810&amp;VALUEID=02001&amp;SDATE=200801&amp;PERIODTYPE=QTR_STD&amp;SCFT=3&amp;window=popup_no_bar&amp;width=385&amp;height=120&amp;START_MAXIMIZED=FALSE&amp;creator=factset&amp;display_string=Audit"}</definedName>
    <definedName name="_1475__FDSAUDITLINK__" hidden="1">{"fdsup://Directions/FactSet Auditing Viewer?action=AUDIT_VALUE&amp;DB=129&amp;ID1=89674K10&amp;VALUEID=02001&amp;SDATE=200801&amp;PERIODTYPE=QTR_STD&amp;SCFT=3&amp;window=popup_no_bar&amp;width=385&amp;height=120&amp;START_MAXIMIZED=FALSE&amp;creator=factset&amp;display_string=Audit"}</definedName>
    <definedName name="_1476__FDSAUDITLINK__" hidden="1">{"fdsup://Directions/FactSet Auditing Viewer?action=AUDIT_VALUE&amp;DB=129&amp;ID1=89674K10&amp;VALUEID=02001&amp;SDATE=200801&amp;PERIODTYPE=QTR_STD&amp;SCFT=3&amp;window=popup_no_bar&amp;width=385&amp;height=120&amp;START_MAXIMIZED=FALSE&amp;creator=factset&amp;display_string=Audit"}</definedName>
    <definedName name="_1477__FDSAUDITLINK__" hidden="1">{"fdsup://Directions/FactSet Auditing Viewer?action=AUDIT_VALUE&amp;DB=129&amp;ID1=83088M10&amp;VALUEID=02001&amp;SDATE=200802&amp;PERIODTYPE=QTR_STD&amp;SCFT=3&amp;window=popup_no_bar&amp;width=385&amp;height=120&amp;START_MAXIMIZED=FALSE&amp;creator=factset&amp;display_string=Audit"}</definedName>
    <definedName name="_1478__FDSAUDITLINK__" hidden="1">{"fdsup://Directions/FactSet Auditing Viewer?action=AUDIT_VALUE&amp;DB=129&amp;ID1=83088M10&amp;VALUEID=02001&amp;SDATE=200802&amp;PERIODTYPE=QTR_STD&amp;SCFT=3&amp;window=popup_no_bar&amp;width=385&amp;height=120&amp;START_MAXIMIZED=FALSE&amp;creator=factset&amp;display_string=Audit"}</definedName>
    <definedName name="_1479__FDSAUDITLINK__" hidden="1">{"fdsup://Directions/FactSet Auditing Viewer?action=AUDIT_VALUE&amp;DB=129&amp;ID1=G7945M10&amp;VALUEID=02001&amp;SDATE=200803&amp;PERIODTYPE=QTR_STD&amp;SCFT=3&amp;window=popup_no_bar&amp;width=385&amp;height=120&amp;START_MAXIMIZED=FALSE&amp;creator=factset&amp;display_string=Audit"}</definedName>
    <definedName name="_148__FDSAUDITLINK__" hidden="1">{"fdsup://Directions/FactSet Auditing Viewer?action=AUDIT_VALUE&amp;DB=129&amp;ID1=03265410&amp;VALUEID=02001&amp;SDATE=201102&amp;PERIODTYPE=QTR_STD&amp;SCFT=3&amp;window=popup_no_bar&amp;width=385&amp;height=120&amp;START_MAXIMIZED=FALSE&amp;creator=factset&amp;display_string=Audit"}</definedName>
    <definedName name="_1480__FDSAUDITLINK__" hidden="1">{"fdsup://Directions/FactSet Auditing Viewer?action=AUDIT_VALUE&amp;DB=129&amp;ID1=G7945M10&amp;VALUEID=02001&amp;SDATE=200803&amp;PERIODTYPE=QTR_STD&amp;SCFT=3&amp;window=popup_no_bar&amp;width=385&amp;height=120&amp;START_MAXIMIZED=FALSE&amp;creator=factset&amp;display_string=Audit"}</definedName>
    <definedName name="_1481__FDSAUDITLINK__" hidden="1">{"fdsup://Directions/FactSet Auditing Viewer?action=AUDIT_VALUE&amp;DB=129&amp;ID1=78477410&amp;VALUEID=02001&amp;SDATE=200801&amp;PERIODTYPE=QTR_STD&amp;SCFT=3&amp;window=popup_no_bar&amp;width=385&amp;height=120&amp;START_MAXIMIZED=FALSE&amp;creator=factset&amp;display_string=Audit"}</definedName>
    <definedName name="_1482__FDSAUDITLINK__" hidden="1">{"fdsup://Directions/FactSet Auditing Viewer?action=AUDIT_VALUE&amp;DB=129&amp;ID1=78477410&amp;VALUEID=02001&amp;SDATE=200801&amp;PERIODTYPE=QTR_STD&amp;SCFT=3&amp;window=popup_no_bar&amp;width=385&amp;height=120&amp;START_MAXIMIZED=FALSE&amp;creator=factset&amp;display_string=Audit"}</definedName>
    <definedName name="_1483__FDSAUDITLINK__" hidden="1">{"fdsup://Directions/FactSet Auditing Viewer?action=AUDIT_VALUE&amp;DB=129&amp;ID1=82705710&amp;VALUEID=02001&amp;SDATE=200801&amp;PERIODTYPE=QTR_STD&amp;SCFT=3&amp;window=popup_no_bar&amp;width=385&amp;height=120&amp;START_MAXIMIZED=FALSE&amp;creator=factset&amp;display_string=Audit"}</definedName>
    <definedName name="_1484__FDSAUDITLINK__" hidden="1">{"fdsup://Directions/FactSet Auditing Viewer?action=AUDIT_VALUE&amp;DB=129&amp;ID1=82705710&amp;VALUEID=02001&amp;SDATE=200801&amp;PERIODTYPE=QTR_STD&amp;SCFT=3&amp;window=popup_no_bar&amp;width=385&amp;height=120&amp;START_MAXIMIZED=FALSE&amp;creator=factset&amp;display_string=Audit"}</definedName>
    <definedName name="_1485__FDSAUDITLINK__" hidden="1">{"fdsup://Directions/FactSet Auditing Viewer?action=AUDIT_VALUE&amp;DB=129&amp;ID1=83547010&amp;VALUEID=02001&amp;SDATE=200801&amp;PERIODTYPE=QTR_STD&amp;SCFT=3&amp;window=popup_no_bar&amp;width=385&amp;height=120&amp;START_MAXIMIZED=FALSE&amp;creator=factset&amp;display_string=Audit"}</definedName>
    <definedName name="_1486__FDSAUDITLINK__" hidden="1">{"fdsup://Directions/FactSet Auditing Viewer?action=AUDIT_VALUE&amp;DB=129&amp;ID1=83547010&amp;VALUEID=02001&amp;SDATE=200801&amp;PERIODTYPE=QTR_STD&amp;SCFT=3&amp;window=popup_no_bar&amp;width=385&amp;height=120&amp;START_MAXIMIZED=FALSE&amp;creator=factset&amp;display_string=Audit"}</definedName>
    <definedName name="_1487__FDSAUDITLINK__" hidden="1">{"fdsup://Directions/FactSet Auditing Viewer?action=AUDIT_VALUE&amp;DB=129&amp;ID1=87160710&amp;VALUEID=02001&amp;SDATE=200802&amp;PERIODTYPE=QTR_STD&amp;SCFT=3&amp;window=popup_no_bar&amp;width=385&amp;height=120&amp;START_MAXIMIZED=FALSE&amp;creator=factset&amp;display_string=Audit"}</definedName>
    <definedName name="_1488__FDSAUDITLINK__" hidden="1">{"fdsup://Directions/FactSet Auditing Viewer?action=AUDIT_VALUE&amp;DB=129&amp;ID1=87160710&amp;VALUEID=02001&amp;SDATE=200802&amp;PERIODTYPE=QTR_STD&amp;SCFT=3&amp;window=popup_no_bar&amp;width=385&amp;height=120&amp;START_MAXIMIZED=FALSE&amp;creator=factset&amp;display_string=Audit"}</definedName>
    <definedName name="_1489__FDSAUDITLINK__" hidden="1">{"fdsup://Directions/FactSet Auditing Viewer?action=AUDIT_VALUE&amp;DB=129&amp;ID1=80004C10&amp;VALUEID=02001&amp;SDATE=200801&amp;PERIODTYPE=QTR_STD&amp;SCFT=3&amp;window=popup_no_bar&amp;width=385&amp;height=120&amp;START_MAXIMIZED=FALSE&amp;creator=factset&amp;display_string=Audit"}</definedName>
    <definedName name="_149__FDSAUDITLINK__" hidden="1">{"fdsup://Directions/FactSet Auditing Viewer?action=AUDIT_VALUE&amp;DB=129&amp;ID1=00752J10&amp;VALUEID=02001&amp;SDATE=201101&amp;PERIODTYPE=QTR_STD&amp;SCFT=3&amp;window=popup_no_bar&amp;width=385&amp;height=120&amp;START_MAXIMIZED=FALSE&amp;creator=factset&amp;display_string=Audit"}</definedName>
    <definedName name="_1490__FDSAUDITLINK__" hidden="1">{"fdsup://Directions/FactSet Auditing Viewer?action=AUDIT_VALUE&amp;DB=129&amp;ID1=80004C10&amp;VALUEID=02001&amp;SDATE=200801&amp;PERIODTYPE=QTR_STD&amp;SCFT=3&amp;window=popup_no_bar&amp;width=385&amp;height=120&amp;START_MAXIMIZED=FALSE&amp;creator=factset&amp;display_string=Audit"}</definedName>
    <definedName name="_1491__FDSAUDITLINK__" hidden="1">{"fdsup://Directions/FactSet Auditing Viewer?action=AUDIT_VALUE&amp;DB=129&amp;ID1=81685010&amp;VALUEID=02001&amp;SDATE=200801&amp;PERIODTYPE=QTR_STD&amp;SCFT=3&amp;window=popup_no_bar&amp;width=385&amp;height=120&amp;START_MAXIMIZED=FALSE&amp;creator=factset&amp;display_string=Audit"}</definedName>
    <definedName name="_1492__FDSAUDITLINK__" hidden="1">{"fdsup://Directions/FactSet Auditing Viewer?action=AUDIT_VALUE&amp;DB=129&amp;ID1=81685010&amp;VALUEID=02001&amp;SDATE=200801&amp;PERIODTYPE=QTR_STD&amp;SCFT=3&amp;window=popup_no_bar&amp;width=385&amp;height=120&amp;START_MAXIMIZED=FALSE&amp;creator=factset&amp;display_string=Audit"}</definedName>
    <definedName name="_1493__FDSAUDITLINK__" hidden="1">{"fdsup://Directions/FactSet Auditing Viewer?action=AUDIT_VALUE&amp;DB=129&amp;ID1=82691910&amp;VALUEID=02001&amp;SDATE=200801&amp;PERIODTYPE=QTR_STD&amp;SCFT=3&amp;window=popup_no_bar&amp;width=385&amp;height=120&amp;START_MAXIMIZED=FALSE&amp;creator=factset&amp;display_string=Audit"}</definedName>
    <definedName name="_1494__FDSAUDITLINK__" hidden="1">{"fdsup://Directions/FactSet Auditing Viewer?action=AUDIT_VALUE&amp;DB=129&amp;ID1=82691910&amp;VALUEID=02001&amp;SDATE=200801&amp;PERIODTYPE=QTR_STD&amp;SCFT=3&amp;window=popup_no_bar&amp;width=385&amp;height=120&amp;START_MAXIMIZED=FALSE&amp;creator=factset&amp;display_string=Audit"}</definedName>
    <definedName name="_1495__FDSAUDITLINK__" hidden="1">{"fdsup://Directions/FactSet Auditing Viewer?action=AUDIT_VALUE&amp;DB=129&amp;ID1=82705T10&amp;VALUEID=02001&amp;SDATE=200801&amp;PERIODTYPE=QTR_STD&amp;SCFT=3&amp;window=popup_no_bar&amp;width=385&amp;height=120&amp;START_MAXIMIZED=FALSE&amp;creator=factset&amp;display_string=Audit"}</definedName>
    <definedName name="_1496__FDSAUDITLINK__" hidden="1">{"fdsup://Directions/FactSet Auditing Viewer?action=AUDIT_VALUE&amp;DB=129&amp;ID1=82705T10&amp;VALUEID=02001&amp;SDATE=200801&amp;PERIODTYPE=QTR_STD&amp;SCFT=3&amp;window=popup_no_bar&amp;width=385&amp;height=120&amp;START_MAXIMIZED=FALSE&amp;creator=factset&amp;display_string=Audit"}</definedName>
    <definedName name="_1497__FDSAUDITLINK__" hidden="1">{"fdsup://Directions/FactSet Auditing Viewer?action=AUDIT_VALUE&amp;DB=129&amp;ID1=75091710&amp;VALUEID=02001&amp;SDATE=200801&amp;PERIODTYPE=QTR_STD&amp;SCFT=3&amp;window=popup_no_bar&amp;width=385&amp;height=120&amp;START_MAXIMIZED=FALSE&amp;creator=factset&amp;display_string=Audit"}</definedName>
    <definedName name="_1498__FDSAUDITLINK__" hidden="1">{"fdsup://Directions/FactSet Auditing Viewer?action=AUDIT_VALUE&amp;DB=129&amp;ID1=75091710&amp;VALUEID=02001&amp;SDATE=200801&amp;PERIODTYPE=QTR_STD&amp;SCFT=3&amp;window=popup_no_bar&amp;width=385&amp;height=120&amp;START_MAXIMIZED=FALSE&amp;creator=factset&amp;display_string=Audit"}</definedName>
    <definedName name="_1499__FDSAUDITLINK__" hidden="1">{"fdsup://Directions/FactSet Auditing Viewer?action=AUDIT_VALUE&amp;DB=129&amp;ID1=74727710&amp;VALUEID=02001&amp;SDATE=200704&amp;PERIODTYPE=QTR_STD&amp;SCFT=3&amp;window=popup_no_bar&amp;width=385&amp;height=120&amp;START_MAXIMIZED=FALSE&amp;creator=factset&amp;display_string=Audit"}</definedName>
    <definedName name="_15__FDSAUDITLINK__" hidden="1">{"fdsup://Directions/FactSet Auditing Viewer?action=AUDIT_VALUE&amp;DB=129&amp;ID1=67066G10&amp;VALUEID=05194&amp;SDATE=201103&amp;PERIODTYPE=QTR_STD&amp;SCFT=3&amp;window=popup_no_bar&amp;width=385&amp;height=120&amp;START_MAXIMIZED=FALSE&amp;creator=factset&amp;display_string=Audit"}</definedName>
    <definedName name="_150__FDSAUDITLINK__" hidden="1">{"fdsup://Directions/FactSet Auditing Viewer?action=AUDIT_VALUE&amp;DB=129&amp;ID1=00752J10&amp;VALUEID=02001&amp;SDATE=201101&amp;PERIODTYPE=QTR_STD&amp;SCFT=3&amp;window=popup_no_bar&amp;width=385&amp;height=120&amp;START_MAXIMIZED=FALSE&amp;creator=factset&amp;display_string=Audit"}</definedName>
    <definedName name="_1500__FDSAUDITLINK__" hidden="1">{"fdsup://Directions/FactSet Auditing Viewer?action=AUDIT_VALUE&amp;DB=129&amp;ID1=74727710&amp;VALUEID=02001&amp;SDATE=200704&amp;PERIODTYPE=QTR_STD&amp;SCFT=3&amp;window=popup_no_bar&amp;width=385&amp;height=120&amp;START_MAXIMIZED=FALSE&amp;creator=factset&amp;display_string=Audit"}</definedName>
    <definedName name="_1501__FDSAUDITLINK__" hidden="1">{"fdsup://Directions/FactSet Auditing Viewer?action=AUDIT_VALUE&amp;DB=129&amp;ID1=74752510&amp;VALUEID=02001&amp;SDATE=200802&amp;PERIODTYPE=QTR_STD&amp;SCFT=3&amp;window=popup_no_bar&amp;width=385&amp;height=120&amp;START_MAXIMIZED=FALSE&amp;creator=factset&amp;display_string=Audit"}</definedName>
    <definedName name="_1502__FDSAUDITLINK__" hidden="1">{"fdsup://Directions/FactSet Auditing Viewer?action=AUDIT_VALUE&amp;DB=129&amp;ID1=74752510&amp;VALUEID=02001&amp;SDATE=200802&amp;PERIODTYPE=QTR_STD&amp;SCFT=3&amp;window=popup_no_bar&amp;width=385&amp;height=120&amp;START_MAXIMIZED=FALSE&amp;creator=factset&amp;display_string=Audit"}</definedName>
    <definedName name="_1503__FDSAUDITLINK__" hidden="1">{"fdsup://Directions/FactSet Auditing Viewer?action=AUDIT_VALUE&amp;DB=129&amp;ID1=72581M30&amp;VALUEID=02001&amp;SDATE=200801&amp;PERIODTYPE=QTR_STD&amp;SCFT=3&amp;window=popup_no_bar&amp;width=385&amp;height=120&amp;START_MAXIMIZED=FALSE&amp;creator=factset&amp;display_string=Audit"}</definedName>
    <definedName name="_1504__FDSAUDITLINK__" hidden="1">{"fdsup://Directions/FactSet Auditing Viewer?action=AUDIT_VALUE&amp;DB=129&amp;ID1=72581M30&amp;VALUEID=02001&amp;SDATE=200801&amp;PERIODTYPE=QTR_STD&amp;SCFT=3&amp;window=popup_no_bar&amp;width=385&amp;height=120&amp;START_MAXIMIZED=FALSE&amp;creator=factset&amp;display_string=Audit"}</definedName>
    <definedName name="_1505__FDSAUDITLINK__" hidden="1">{"fdsup://Directions/FactSet Auditing Viewer?action=AUDIT_VALUE&amp;DB=129&amp;ID1=73927610&amp;VALUEID=02001&amp;SDATE=200801&amp;PERIODTYPE=QTR_STD&amp;SCFT=3&amp;window=popup_no_bar&amp;width=385&amp;height=120&amp;START_MAXIMIZED=FALSE&amp;creator=factset&amp;display_string=Audit"}</definedName>
    <definedName name="_1506__FDSAUDITLINK__" hidden="1">{"fdsup://Directions/FactSet Auditing Viewer?action=AUDIT_VALUE&amp;DB=129&amp;ID1=73927610&amp;VALUEID=02001&amp;SDATE=200801&amp;PERIODTYPE=QTR_STD&amp;SCFT=3&amp;window=popup_no_bar&amp;width=385&amp;height=120&amp;START_MAXIMIZED=FALSE&amp;creator=factset&amp;display_string=Audit"}</definedName>
    <definedName name="_1507__FDSAUDITLINK__" hidden="1">{"fdsup://Directions/FactSet Auditing Viewer?action=AUDIT_VALUE&amp;DB=129&amp;ID1=69344F10&amp;VALUEID=02001&amp;SDATE=200801&amp;PERIODTYPE=QTR_STD&amp;SCFT=3&amp;window=popup_no_bar&amp;width=385&amp;height=120&amp;START_MAXIMIZED=FALSE&amp;creator=factset&amp;display_string=Audit"}</definedName>
    <definedName name="_1508__FDSAUDITLINK__" hidden="1">{"fdsup://Directions/FactSet Auditing Viewer?action=AUDIT_VALUE&amp;DB=129&amp;ID1=69344F10&amp;VALUEID=02001&amp;SDATE=200801&amp;PERIODTYPE=QTR_STD&amp;SCFT=3&amp;window=popup_no_bar&amp;width=385&amp;height=120&amp;START_MAXIMIZED=FALSE&amp;creator=factset&amp;display_string=Audit"}</definedName>
    <definedName name="_1509__FDSAUDITLINK__" hidden="1">{"fdsup://Directions/FactSet Auditing Viewer?action=AUDIT_VALUE&amp;DB=129&amp;ID1=69341710&amp;VALUEID=02001&amp;SDATE=200801&amp;PERIODTYPE=QTR_STD&amp;SCFT=3&amp;window=popup_no_bar&amp;width=385&amp;height=120&amp;START_MAXIMIZED=FALSE&amp;creator=factset&amp;display_string=Audit"}</definedName>
    <definedName name="_151__FDSAUDITLINK__" hidden="1">{"fdsup://Directions/FactSet Auditing Viewer?action=AUDIT_VALUE&amp;DB=129&amp;ID1=98975F10&amp;VALUEID=02001&amp;SDATE=201004&amp;PERIODTYPE=QTR_STD&amp;SCFT=3&amp;window=popup_no_bar&amp;width=385&amp;height=120&amp;START_MAXIMIZED=FALSE&amp;creator=factset&amp;display_string=Audit"}</definedName>
    <definedName name="_1510__FDSAUDITLINK__" hidden="1">{"fdsup://Directions/FactSet Auditing Viewer?action=AUDIT_VALUE&amp;DB=129&amp;ID1=69341710&amp;VALUEID=02001&amp;SDATE=200801&amp;PERIODTYPE=QTR_STD&amp;SCFT=3&amp;window=popup_no_bar&amp;width=385&amp;height=120&amp;START_MAXIMIZED=FALSE&amp;creator=factset&amp;display_string=Audit"}</definedName>
    <definedName name="_1511__FDSAUDITLINK__" hidden="1">{"fdsup://Directions/FactSet Auditing Viewer?action=AUDIT_VALUE&amp;DB=129&amp;ID1=68218910&amp;VALUEID=02001&amp;SDATE=200801&amp;PERIODTYPE=QTR_STD&amp;SCFT=3&amp;window=popup_no_bar&amp;width=385&amp;height=120&amp;START_MAXIMIZED=FALSE&amp;creator=factset&amp;display_string=Audit"}</definedName>
    <definedName name="_1512__FDSAUDITLINK__" hidden="1">{"fdsup://Directions/FactSet Auditing Viewer?action=AUDIT_VALUE&amp;DB=129&amp;ID1=68218910&amp;VALUEID=02001&amp;SDATE=200801&amp;PERIODTYPE=QTR_STD&amp;SCFT=3&amp;window=popup_no_bar&amp;width=385&amp;height=120&amp;START_MAXIMIZED=FALSE&amp;creator=factset&amp;display_string=Audit"}</definedName>
    <definedName name="_1513__FDSAUDITLINK__" hidden="1">{"fdsup://Directions/FactSet Auditing Viewer?action=AUDIT_VALUE&amp;DB=129&amp;ID1=B505PN&amp;VALUEID=02001&amp;SDATE=200801&amp;PERIODTYPE=QTR_STD&amp;SCFT=3&amp;window=popup_no_bar&amp;width=385&amp;height=120&amp;START_MAXIMIZED=FALSE&amp;creator=factset&amp;display_string=Audit"}</definedName>
    <definedName name="_1514__FDSAUDITLINK__" hidden="1">{"fdsup://Directions/FactSet Auditing Viewer?action=AUDIT_VALUE&amp;DB=129&amp;ID1=B505PN&amp;VALUEID=02001&amp;SDATE=200801&amp;PERIODTYPE=QTR_STD&amp;SCFT=3&amp;window=popup_no_bar&amp;width=385&amp;height=120&amp;START_MAXIMIZED=FALSE&amp;creator=factset&amp;display_string=Audit"}</definedName>
    <definedName name="_1515__FDSAUDITLINK__" hidden="1">{"fdsup://Directions/FactSet Auditing Viewer?action=AUDIT_VALUE&amp;DB=129&amp;ID1=67000810&amp;VALUEID=02001&amp;SDATE=200801&amp;PERIODTYPE=QTR_STD&amp;SCFT=3&amp;window=popup_no_bar&amp;width=385&amp;height=120&amp;START_MAXIMIZED=FALSE&amp;creator=factset&amp;display_string=Audit"}</definedName>
    <definedName name="_1516__FDSAUDITLINK__" hidden="1">{"fdsup://Directions/FactSet Auditing Viewer?action=AUDIT_VALUE&amp;DB=129&amp;ID1=67000810&amp;VALUEID=02001&amp;SDATE=200801&amp;PERIODTYPE=QTR_STD&amp;SCFT=3&amp;window=popup_no_bar&amp;width=385&amp;height=120&amp;START_MAXIMIZED=FALSE&amp;creator=factset&amp;display_string=Audit"}</definedName>
    <definedName name="_1517__FDSAUDITLINK__" hidden="1">{"fdsup://Directions/FactSet Auditing Viewer?action=AUDIT_VALUE&amp;DB=129&amp;ID1=67066G10&amp;VALUEID=02001&amp;SDATE=200801&amp;PERIODTYPE=QTR_STD&amp;SCFT=3&amp;window=popup_no_bar&amp;width=385&amp;height=120&amp;START_MAXIMIZED=FALSE&amp;creator=factset&amp;display_string=Audit"}</definedName>
    <definedName name="_1518__FDSAUDITLINK__" hidden="1">{"fdsup://Directions/FactSet Auditing Viewer?action=AUDIT_VALUE&amp;DB=129&amp;ID1=67066G10&amp;VALUEID=02001&amp;SDATE=200801&amp;PERIODTYPE=QTR_STD&amp;SCFT=3&amp;window=popup_no_bar&amp;width=385&amp;height=120&amp;START_MAXIMIZED=FALSE&amp;creator=factset&amp;display_string=Audit"}</definedName>
    <definedName name="_1519__FDSAUDITLINK__" hidden="1">{"fdsup://Directions/FactSet Auditing Viewer?action=AUDIT_VALUE&amp;DB=129&amp;ID1=63764010&amp;VALUEID=02001&amp;SDATE=200703&amp;PERIODTYPE=QTR_STD&amp;SCFT=3&amp;window=popup_no_bar&amp;width=385&amp;height=120&amp;START_MAXIMIZED=FALSE&amp;creator=factset&amp;display_string=Audit"}</definedName>
    <definedName name="_152__FDSAUDITLINK__" hidden="1">{"fdsup://Directions/FactSet Auditing Viewer?action=AUDIT_VALUE&amp;DB=129&amp;ID1=98975F10&amp;VALUEID=02001&amp;SDATE=201004&amp;PERIODTYPE=QTR_STD&amp;SCFT=3&amp;window=popup_no_bar&amp;width=385&amp;height=120&amp;START_MAXIMIZED=FALSE&amp;creator=factset&amp;display_string=Audit"}</definedName>
    <definedName name="_1520__FDSAUDITLINK__" hidden="1">{"fdsup://Directions/FactSet Auditing Viewer?action=AUDIT_VALUE&amp;DB=129&amp;ID1=63764010&amp;VALUEID=02001&amp;SDATE=200703&amp;PERIODTYPE=QTR_STD&amp;SCFT=3&amp;window=popup_no_bar&amp;width=385&amp;height=120&amp;START_MAXIMIZED=FALSE&amp;creator=factset&amp;display_string=Audit"}</definedName>
    <definedName name="_1521__FDSAUDITLINK__" hidden="1">{"fdsup://Directions/FactSet Auditing Viewer?action=AUDIT_VALUE&amp;DB=129&amp;ID1=64118B10&amp;VALUEID=02001&amp;SDATE=200801&amp;PERIODTYPE=QTR_STD&amp;SCFT=3&amp;window=popup_no_bar&amp;width=385&amp;height=120&amp;START_MAXIMIZED=FALSE&amp;creator=factset&amp;display_string=Audit"}</definedName>
    <definedName name="_1522__FDSAUDITLINK__" hidden="1">{"fdsup://Directions/FactSet Auditing Viewer?action=AUDIT_VALUE&amp;DB=129&amp;ID1=64118B10&amp;VALUEID=02001&amp;SDATE=200801&amp;PERIODTYPE=QTR_STD&amp;SCFT=3&amp;window=popup_no_bar&amp;width=385&amp;height=120&amp;START_MAXIMIZED=FALSE&amp;creator=factset&amp;display_string=Audit"}</definedName>
    <definedName name="_1523__FDSAUDITLINK__" hidden="1">{"fdsup://Directions/FactSet Auditing Viewer?action=AUDIT_VALUE&amp;DB=129&amp;ID1=57772K10&amp;VALUEID=02001&amp;SDATE=200803&amp;PERIODTYPE=QTR_STD&amp;SCFT=3&amp;window=popup_no_bar&amp;width=385&amp;height=120&amp;START_MAXIMIZED=FALSE&amp;creator=factset&amp;display_string=Audit"}</definedName>
    <definedName name="_1524__FDSAUDITLINK__" hidden="1">{"fdsup://Directions/FactSet Auditing Viewer?action=AUDIT_VALUE&amp;DB=129&amp;ID1=57772K10&amp;VALUEID=02001&amp;SDATE=200803&amp;PERIODTYPE=QTR_STD&amp;SCFT=3&amp;window=popup_no_bar&amp;width=385&amp;height=120&amp;START_MAXIMIZED=FALSE&amp;creator=factset&amp;display_string=Audit"}</definedName>
    <definedName name="_1525__FDSAUDITLINK__" hidden="1">{"fdsup://Directions/FactSet Auditing Viewer?action=AUDIT_VALUE&amp;DB=129&amp;ID1=59511210&amp;VALUEID=02001&amp;SDATE=200802&amp;PERIODTYPE=QTR_STD&amp;SCFT=3&amp;window=popup_no_bar&amp;width=385&amp;height=120&amp;START_MAXIMIZED=FALSE&amp;creator=factset&amp;display_string=Audit"}</definedName>
    <definedName name="_1526__FDSAUDITLINK__" hidden="1">{"fdsup://Directions/FactSet Auditing Viewer?action=AUDIT_VALUE&amp;DB=129&amp;ID1=59511210&amp;VALUEID=02001&amp;SDATE=200802&amp;PERIODTYPE=QTR_STD&amp;SCFT=3&amp;window=popup_no_bar&amp;width=385&amp;height=120&amp;START_MAXIMIZED=FALSE&amp;creator=factset&amp;display_string=Audit"}</definedName>
    <definedName name="_1527__FDSAUDITLINK__" hidden="1">{"fdsup://Directions/FactSet Auditing Viewer?action=AUDIT_VALUE&amp;DB=129&amp;ID1=59513710&amp;VALUEID=02001&amp;SDATE=200802&amp;PERIODTYPE=QTR_STD&amp;SCFT=3&amp;window=popup_no_bar&amp;width=385&amp;height=120&amp;START_MAXIMIZED=FALSE&amp;creator=factset&amp;display_string=Audit"}</definedName>
    <definedName name="_1528__FDSAUDITLINK__" hidden="1">{"fdsup://Directions/FactSet Auditing Viewer?action=AUDIT_VALUE&amp;DB=129&amp;ID1=59513710&amp;VALUEID=02001&amp;SDATE=200802&amp;PERIODTYPE=QTR_STD&amp;SCFT=3&amp;window=popup_no_bar&amp;width=385&amp;height=120&amp;START_MAXIMIZED=FALSE&amp;creator=factset&amp;display_string=Audit"}</definedName>
    <definedName name="_1529__FDSAUDITLINK__" hidden="1">{"fdsup://Directions/FactSet Auditing Viewer?action=AUDIT_VALUE&amp;DB=129&amp;ID1=G5876H10&amp;VALUEID=02001&amp;SDATE=200801&amp;PERIODTYPE=QTR_STD&amp;SCFT=3&amp;window=popup_no_bar&amp;width=385&amp;height=120&amp;START_MAXIMIZED=FALSE&amp;creator=factset&amp;display_string=Audit"}</definedName>
    <definedName name="_153__FDSAUDITLINK__" hidden="1">{"fdsup://Directions/FactSet Auditing Viewer?action=AUDIT_VALUE&amp;DB=129&amp;ID1=98391910&amp;VALUEID=02001&amp;SDATE=201003&amp;PERIODTYPE=QTR_STD&amp;SCFT=3&amp;window=popup_no_bar&amp;width=385&amp;height=120&amp;START_MAXIMIZED=FALSE&amp;creator=factset&amp;display_string=Audit"}</definedName>
    <definedName name="_1530__FDSAUDITLINK__" hidden="1">{"fdsup://Directions/FactSet Auditing Viewer?action=AUDIT_VALUE&amp;DB=129&amp;ID1=G5876H10&amp;VALUEID=02001&amp;SDATE=200801&amp;PERIODTYPE=QTR_STD&amp;SCFT=3&amp;window=popup_no_bar&amp;width=385&amp;height=120&amp;START_MAXIMIZED=FALSE&amp;creator=factset&amp;display_string=Audit"}</definedName>
    <definedName name="_1531__FDSAUDITLINK__" hidden="1">{"fdsup://Directions/FactSet Auditing Viewer?action=AUDIT_VALUE&amp;DB=129&amp;ID1=62007630&amp;VALUEID=02001&amp;SDATE=200801&amp;PERIODTYPE=QTR_STD&amp;SCFT=3&amp;window=popup_no_bar&amp;width=385&amp;height=120&amp;START_MAXIMIZED=FALSE&amp;creator=factset&amp;display_string=Audit"}</definedName>
    <definedName name="_1532__FDSAUDITLINK__" hidden="1">{"fdsup://Directions/FactSet Auditing Viewer?action=AUDIT_VALUE&amp;DB=129&amp;ID1=62007630&amp;VALUEID=02001&amp;SDATE=200801&amp;PERIODTYPE=QTR_STD&amp;SCFT=3&amp;window=popup_no_bar&amp;width=385&amp;height=120&amp;START_MAXIMIZED=FALSE&amp;creator=factset&amp;display_string=Audit"}</definedName>
    <definedName name="_1533__FDSAUDITLINK__" hidden="1">{"fdsup://Directions/FactSet Auditing Viewer?action=AUDIT_VALUE&amp;DB=129&amp;ID1=60456710&amp;VALUEID=02001&amp;SDATE=200803&amp;PERIODTYPE=QTR_STD&amp;SCFT=3&amp;window=popup_no_bar&amp;width=385&amp;height=120&amp;START_MAXIMIZED=FALSE&amp;creator=factset&amp;display_string=Audit"}</definedName>
    <definedName name="_1534__FDSAUDITLINK__" hidden="1">{"fdsup://Directions/FactSet Auditing Viewer?action=AUDIT_VALUE&amp;DB=129&amp;ID1=60456710&amp;VALUEID=02001&amp;SDATE=200803&amp;PERIODTYPE=QTR_STD&amp;SCFT=3&amp;window=popup_no_bar&amp;width=385&amp;height=120&amp;START_MAXIMIZED=FALSE&amp;creator=factset&amp;display_string=Audit"}</definedName>
    <definedName name="_1535__FDSAUDITLINK__" hidden="1">{"fdsup://Directions/FactSet Auditing Viewer?action=AUDIT_VALUE&amp;DB=129&amp;ID1=59479310&amp;VALUEID=02001&amp;SDATE=200801&amp;PERIODTYPE=QTR_STD&amp;SCFT=3&amp;window=popup_no_bar&amp;width=385&amp;height=120&amp;START_MAXIMIZED=FALSE&amp;creator=factset&amp;display_string=Audit"}</definedName>
    <definedName name="_1536__FDSAUDITLINK__" hidden="1">{"fdsup://Directions/FactSet Auditing Viewer?action=AUDIT_VALUE&amp;DB=129&amp;ID1=59479310&amp;VALUEID=02001&amp;SDATE=200801&amp;PERIODTYPE=QTR_STD&amp;SCFT=3&amp;window=popup_no_bar&amp;width=385&amp;height=120&amp;START_MAXIMIZED=FALSE&amp;creator=factset&amp;display_string=Audit"}</definedName>
    <definedName name="_1537__FDSAUDITLINK__" hidden="1">{"fdsup://Directions/FactSet Auditing Viewer?action=AUDIT_VALUE&amp;DB=129&amp;ID1=59501710&amp;VALUEID=02001&amp;SDATE=200704&amp;PERIODTYPE=QTR_STD&amp;SCFT=3&amp;window=popup_no_bar&amp;width=385&amp;height=120&amp;START_MAXIMIZED=FALSE&amp;creator=factset&amp;display_string=Audit"}</definedName>
    <definedName name="_1538__FDSAUDITLINK__" hidden="1">{"fdsup://Directions/FactSet Auditing Viewer?action=AUDIT_VALUE&amp;DB=129&amp;ID1=59501710&amp;VALUEID=02001&amp;SDATE=200704&amp;PERIODTYPE=QTR_STD&amp;SCFT=3&amp;window=popup_no_bar&amp;width=385&amp;height=120&amp;START_MAXIMIZED=FALSE&amp;creator=factset&amp;display_string=Audit"}</definedName>
    <definedName name="_1539__FDSAUDITLINK__" hidden="1">{"fdsup://Directions/FactSet Auditing Viewer?action=AUDIT_VALUE&amp;DB=129&amp;ID1=50216110&amp;VALUEID=02001&amp;SDATE=200801&amp;PERIODTYPE=QTR_STD&amp;SCFT=3&amp;window=popup_no_bar&amp;width=385&amp;height=120&amp;START_MAXIMIZED=FALSE&amp;creator=factset&amp;display_string=Audit"}</definedName>
    <definedName name="_154__FDSAUDITLINK__" hidden="1">{"fdsup://Directions/FactSet Auditing Viewer?action=AUDIT_VALUE&amp;DB=129&amp;ID1=98391910&amp;VALUEID=02001&amp;SDATE=201003&amp;PERIODTYPE=QTR_STD&amp;SCFT=3&amp;window=popup_no_bar&amp;width=385&amp;height=120&amp;START_MAXIMIZED=FALSE&amp;creator=factset&amp;display_string=Audit"}</definedName>
    <definedName name="_1540__FDSAUDITLINK__" hidden="1">{"fdsup://Directions/FactSet Auditing Viewer?action=AUDIT_VALUE&amp;DB=129&amp;ID1=50216110&amp;VALUEID=02001&amp;SDATE=200801&amp;PERIODTYPE=QTR_STD&amp;SCFT=3&amp;window=popup_no_bar&amp;width=385&amp;height=120&amp;START_MAXIMIZED=FALSE&amp;creator=factset&amp;display_string=Audit"}</definedName>
    <definedName name="_1541__FDSAUDITLINK__" hidden="1">{"fdsup://Directions/FactSet Auditing Viewer?action=AUDIT_VALUE&amp;DB=129&amp;ID1=51841510&amp;VALUEID=02001&amp;SDATE=200801&amp;PERIODTYPE=QTR_STD&amp;SCFT=3&amp;window=popup_no_bar&amp;width=385&amp;height=120&amp;START_MAXIMIZED=FALSE&amp;creator=factset&amp;display_string=Audit"}</definedName>
    <definedName name="_1542__FDSAUDITLINK__" hidden="1">{"fdsup://Directions/FactSet Auditing Viewer?action=AUDIT_VALUE&amp;DB=129&amp;ID1=51841510&amp;VALUEID=02001&amp;SDATE=200801&amp;PERIODTYPE=QTR_STD&amp;SCFT=3&amp;window=popup_no_bar&amp;width=385&amp;height=120&amp;START_MAXIMIZED=FALSE&amp;creator=factset&amp;display_string=Audit"}</definedName>
    <definedName name="_1543__FDSAUDITLINK__" hidden="1">{"fdsup://Directions/FactSet Auditing Viewer?action=AUDIT_VALUE&amp;DB=129&amp;ID1=51280710&amp;VALUEID=02001&amp;SDATE=200803&amp;PERIODTYPE=QTR_STD&amp;SCFT=3&amp;window=popup_no_bar&amp;width=385&amp;height=120&amp;START_MAXIMIZED=FALSE&amp;creator=factset&amp;display_string=Audit"}</definedName>
    <definedName name="_1544__FDSAUDITLINK__" hidden="1">{"fdsup://Directions/FactSet Auditing Viewer?action=AUDIT_VALUE&amp;DB=129&amp;ID1=51280710&amp;VALUEID=02001&amp;SDATE=200803&amp;PERIODTYPE=QTR_STD&amp;SCFT=3&amp;window=popup_no_bar&amp;width=385&amp;height=120&amp;START_MAXIMIZED=FALSE&amp;creator=factset&amp;display_string=Audit"}</definedName>
    <definedName name="_1545__FDSAUDITLINK__" hidden="1">{"fdsup://Directions/FactSet Auditing Viewer?action=AUDIT_VALUE&amp;DB=129&amp;ID1=53567810&amp;VALUEID=02001&amp;SDATE=200803&amp;PERIODTYPE=QTR_STD&amp;SCFT=3&amp;window=popup_no_bar&amp;width=385&amp;height=120&amp;START_MAXIMIZED=FALSE&amp;creator=factset&amp;display_string=Audit"}</definedName>
    <definedName name="_1546__FDSAUDITLINK__" hidden="1">{"fdsup://Directions/FactSet Auditing Viewer?action=AUDIT_VALUE&amp;DB=129&amp;ID1=53567810&amp;VALUEID=02001&amp;SDATE=200803&amp;PERIODTYPE=QTR_STD&amp;SCFT=3&amp;window=popup_no_bar&amp;width=385&amp;height=120&amp;START_MAXIMIZED=FALSE&amp;creator=factset&amp;display_string=Audit"}</definedName>
    <definedName name="_1547__FDSAUDITLINK__" hidden="1">{"fdsup://Directions/FactSet Auditing Viewer?action=AUDIT_VALUE&amp;DB=129&amp;ID1=48248010&amp;VALUEID=02001&amp;SDATE=200803&amp;PERIODTYPE=QTR_STD&amp;SCFT=3&amp;window=popup_no_bar&amp;width=385&amp;height=120&amp;START_MAXIMIZED=FALSE&amp;creator=factset&amp;display_string=Audit"}</definedName>
    <definedName name="_1548__FDSAUDITLINK__" hidden="1">{"fdsup://Directions/FactSet Auditing Viewer?action=AUDIT_VALUE&amp;DB=129&amp;ID1=48248010&amp;VALUEID=02001&amp;SDATE=200803&amp;PERIODTYPE=QTR_STD&amp;SCFT=3&amp;window=popup_no_bar&amp;width=385&amp;height=120&amp;START_MAXIMIZED=FALSE&amp;creator=factset&amp;display_string=Audit"}</definedName>
    <definedName name="_1549__FDSAUDITLINK__" hidden="1">{"fdsup://Directions/FactSet Auditing Viewer?action=AUDIT_VALUE&amp;DB=129&amp;ID1=48203R10&amp;VALUEID=02001&amp;SDATE=200801&amp;PERIODTYPE=QTR_STD&amp;SCFT=3&amp;window=popup_no_bar&amp;width=385&amp;height=120&amp;START_MAXIMIZED=FALSE&amp;creator=factset&amp;display_string=Audit"}</definedName>
    <definedName name="_155__FDSAUDITLINK__" hidden="1">{"fdsup://Directions/FactSet Auditing Viewer?action=AUDIT_VALUE&amp;DB=129&amp;ID1=95810210&amp;VALUEID=02001&amp;SDATE=201102&amp;PERIODTYPE=QTR_STD&amp;SCFT=3&amp;window=popup_no_bar&amp;width=385&amp;height=120&amp;START_MAXIMIZED=FALSE&amp;creator=factset&amp;display_string=Audit"}</definedName>
    <definedName name="_1550__FDSAUDITLINK__" hidden="1">{"fdsup://Directions/FactSet Auditing Viewer?action=AUDIT_VALUE&amp;DB=129&amp;ID1=48203R10&amp;VALUEID=02001&amp;SDATE=200801&amp;PERIODTYPE=QTR_STD&amp;SCFT=3&amp;window=popup_no_bar&amp;width=385&amp;height=120&amp;START_MAXIMIZED=FALSE&amp;creator=factset&amp;display_string=Audit"}</definedName>
    <definedName name="_1551__FDSAUDITLINK__" hidden="1">{"fdsup://Directions/FactSet Auditing Viewer?action=AUDIT_VALUE&amp;DB=129&amp;ID1=86681020&amp;VALUEID=02001&amp;SDATE=200803&amp;PERIODTYPE=QTR_STD&amp;SCFT=3&amp;window=popup_no_bar&amp;width=385&amp;height=120&amp;START_MAXIMIZED=FALSE&amp;creator=factset&amp;display_string=Audit"}</definedName>
    <definedName name="_1552__FDSAUDITLINK__" hidden="1">{"fdsup://Directions/FactSet Auditing Viewer?action=AUDIT_VALUE&amp;DB=129&amp;ID1=86681020&amp;VALUEID=02001&amp;SDATE=200803&amp;PERIODTYPE=QTR_STD&amp;SCFT=3&amp;window=popup_no_bar&amp;width=385&amp;height=120&amp;START_MAXIMIZED=FALSE&amp;creator=factset&amp;display_string=Audit"}</definedName>
    <definedName name="_1553__FDSAUDITLINK__" hidden="1">{"fdsup://Directions/FactSet Auditing Viewer?action=AUDIT_VALUE&amp;DB=129&amp;ID1=46069S10&amp;VALUEID=02001&amp;SDATE=200801&amp;PERIODTYPE=QTR_STD&amp;SCFT=3&amp;window=popup_no_bar&amp;width=385&amp;height=120&amp;START_MAXIMIZED=FALSE&amp;creator=factset&amp;display_string=Audit"}</definedName>
    <definedName name="_1554__FDSAUDITLINK__" hidden="1">{"fdsup://Directions/FactSet Auditing Viewer?action=AUDIT_VALUE&amp;DB=129&amp;ID1=46069S10&amp;VALUEID=02001&amp;SDATE=200801&amp;PERIODTYPE=QTR_STD&amp;SCFT=3&amp;window=popup_no_bar&amp;width=385&amp;height=120&amp;START_MAXIMIZED=FALSE&amp;creator=factset&amp;display_string=Audit"}</definedName>
    <definedName name="_1555__FDSAUDITLINK__" hidden="1">{"fdsup://Directions/FactSet Auditing Viewer?action=AUDIT_VALUE&amp;DB=129&amp;ID1=46025410&amp;VALUEID=02001&amp;SDATE=200803&amp;PERIODTYPE=QTR_STD&amp;SCFT=3&amp;window=popup_no_bar&amp;width=385&amp;height=120&amp;START_MAXIMIZED=FALSE&amp;creator=factset&amp;display_string=Audit"}</definedName>
    <definedName name="_1556__FDSAUDITLINK__" hidden="1">{"fdsup://Directions/FactSet Auditing Viewer?action=AUDIT_VALUE&amp;DB=129&amp;ID1=46025410&amp;VALUEID=02001&amp;SDATE=200803&amp;PERIODTYPE=QTR_STD&amp;SCFT=3&amp;window=popup_no_bar&amp;width=385&amp;height=120&amp;START_MAXIMIZED=FALSE&amp;creator=factset&amp;display_string=Audit"}</definedName>
    <definedName name="_1557__FDSAUDITLINK__" hidden="1">{"fdsup://Directions/FactSet Auditing Viewer?action=AUDIT_VALUE&amp;DB=129&amp;ID1=45814010&amp;VALUEID=02001&amp;SDATE=200801&amp;PERIODTYPE=QTR_STD&amp;SCFT=3&amp;window=popup_no_bar&amp;width=385&amp;height=120&amp;START_MAXIMIZED=FALSE&amp;creator=factset&amp;display_string=Audit"}</definedName>
    <definedName name="_1558__FDSAUDITLINK__" hidden="1">{"fdsup://Directions/FactSet Auditing Viewer?action=AUDIT_VALUE&amp;DB=129&amp;ID1=45814010&amp;VALUEID=02001&amp;SDATE=200801&amp;PERIODTYPE=QTR_STD&amp;SCFT=3&amp;window=popup_no_bar&amp;width=385&amp;height=120&amp;START_MAXIMIZED=FALSE&amp;creator=factset&amp;display_string=Audit"}</definedName>
    <definedName name="_1559__FDSAUDITLINK__" hidden="1">{"fdsup://Directions/FactSet Auditing Viewer?action=AUDIT_VALUE&amp;DB=129&amp;ID1=42823610&amp;VALUEID=02001&amp;SDATE=200802&amp;PERIODTYPE=QTR_STD&amp;SCFT=3&amp;window=popup_no_bar&amp;width=385&amp;height=120&amp;START_MAXIMIZED=FALSE&amp;creator=factset&amp;display_string=Audit"}</definedName>
    <definedName name="_156__FDSAUDITLINK__" hidden="1">{"fdsup://Directions/FactSet Auditing Viewer?action=AUDIT_VALUE&amp;DB=129&amp;ID1=95810210&amp;VALUEID=02001&amp;SDATE=201102&amp;PERIODTYPE=QTR_STD&amp;SCFT=3&amp;window=popup_no_bar&amp;width=385&amp;height=120&amp;START_MAXIMIZED=FALSE&amp;creator=factset&amp;display_string=Audit"}</definedName>
    <definedName name="_1560__FDSAUDITLINK__" hidden="1">{"fdsup://Directions/FactSet Auditing Viewer?action=AUDIT_VALUE&amp;DB=129&amp;ID1=42823610&amp;VALUEID=02001&amp;SDATE=200802&amp;PERIODTYPE=QTR_STD&amp;SCFT=3&amp;window=popup_no_bar&amp;width=385&amp;height=120&amp;START_MAXIMIZED=FALSE&amp;creator=factset&amp;display_string=Audit"}</definedName>
    <definedName name="_1561__FDSAUDITLINK__" hidden="1">{"fdsup://Directions/FactSet Auditing Viewer?action=AUDIT_VALUE&amp;DB=129&amp;ID1=H2906T10&amp;VALUEID=02001&amp;SDATE=200801&amp;PERIODTYPE=QTR_STD&amp;SCFT=3&amp;window=popup_no_bar&amp;width=385&amp;height=120&amp;START_MAXIMIZED=FALSE&amp;creator=factset&amp;display_string=Audit"}</definedName>
    <definedName name="_1562__FDSAUDITLINK__" hidden="1">{"fdsup://Directions/FactSet Auditing Viewer?action=AUDIT_VALUE&amp;DB=129&amp;ID1=H2906T10&amp;VALUEID=02001&amp;SDATE=200801&amp;PERIODTYPE=QTR_STD&amp;SCFT=3&amp;window=popup_no_bar&amp;width=385&amp;height=120&amp;START_MAXIMIZED=FALSE&amp;creator=factset&amp;display_string=Audit"}</definedName>
    <definedName name="_1563__FDSAUDITLINK__" hidden="1">{"fdsup://Directions/FactSet Auditing Viewer?action=AUDIT_VALUE&amp;DB=129&amp;ID1=34637510&amp;VALUEID=02001&amp;SDATE=200801&amp;PERIODTYPE=QTR_STD&amp;SCFT=3&amp;window=popup_no_bar&amp;width=385&amp;height=120&amp;START_MAXIMIZED=FALSE&amp;creator=factset&amp;display_string=Audit"}</definedName>
    <definedName name="_1564__FDSAUDITLINK__" hidden="1">{"fdsup://Directions/FactSet Auditing Viewer?action=AUDIT_VALUE&amp;DB=129&amp;ID1=34637510&amp;VALUEID=02001&amp;SDATE=200801&amp;PERIODTYPE=QTR_STD&amp;SCFT=3&amp;window=popup_no_bar&amp;width=385&amp;height=120&amp;START_MAXIMIZED=FALSE&amp;creator=factset&amp;display_string=Audit"}</definedName>
    <definedName name="_1565__FDSAUDITLINK__" hidden="1">{"fdsup://Directions/FactSet Auditing Viewer?action=AUDIT_VALUE&amp;DB=129&amp;ID1=31561610&amp;VALUEID=02001&amp;SDATE=200802&amp;PERIODTYPE=QTR_STD&amp;SCFT=3&amp;window=popup_no_bar&amp;width=385&amp;height=120&amp;START_MAXIMIZED=FALSE&amp;creator=factset&amp;display_string=Audit"}</definedName>
    <definedName name="_1566__FDSAUDITLINK__" hidden="1">{"fdsup://Directions/FactSet Auditing Viewer?action=AUDIT_VALUE&amp;DB=129&amp;ID1=31561610&amp;VALUEID=02001&amp;SDATE=200802&amp;PERIODTYPE=QTR_STD&amp;SCFT=3&amp;window=popup_no_bar&amp;width=385&amp;height=120&amp;START_MAXIMIZED=FALSE&amp;creator=factset&amp;display_string=Audit"}</definedName>
    <definedName name="_1567__FDSAUDITLINK__" hidden="1">{"fdsup://Directions/FactSet Auditing Viewer?action=AUDIT_VALUE&amp;DB=129&amp;ID1=29247520&amp;VALUEID=02001&amp;SDATE=200803&amp;PERIODTYPE=QTR_STD&amp;SCFT=3&amp;window=popup_no_bar&amp;width=385&amp;height=120&amp;START_MAXIMIZED=FALSE&amp;creator=factset&amp;display_string=Audit"}</definedName>
    <definedName name="_1568__FDSAUDITLINK__" hidden="1">{"fdsup://Directions/FactSet Auditing Viewer?action=AUDIT_VALUE&amp;DB=129&amp;ID1=29247520&amp;VALUEID=02001&amp;SDATE=200803&amp;PERIODTYPE=QTR_STD&amp;SCFT=3&amp;window=popup_no_bar&amp;width=385&amp;height=120&amp;START_MAXIMIZED=FALSE&amp;creator=factset&amp;display_string=Audit"}</definedName>
    <definedName name="_1569__FDSAUDITLINK__" hidden="1">{"fdsup://Directions/FactSet Auditing Viewer?action=AUDIT_VALUE&amp;DB=129&amp;ID1=25454310&amp;VALUEID=02001&amp;SDATE=200801&amp;PERIODTYPE=QTR_STD&amp;SCFT=3&amp;window=popup_no_bar&amp;width=385&amp;height=120&amp;START_MAXIMIZED=FALSE&amp;creator=factset&amp;display_string=Audit"}</definedName>
    <definedName name="_157__FDSAUDITLINK__" hidden="1">{"fdsup://Directions/FactSet Auditing Viewer?action=AUDIT_VALUE&amp;DB=129&amp;ID1=92849730&amp;VALUEID=02001&amp;SDATE=201101&amp;PERIODTYPE=QTR_STD&amp;SCFT=3&amp;window=popup_no_bar&amp;width=385&amp;height=120&amp;START_MAXIMIZED=FALSE&amp;creator=factset&amp;display_string=Audit"}</definedName>
    <definedName name="_1570__FDSAUDITLINK__" hidden="1">{"fdsup://Directions/FactSet Auditing Viewer?action=AUDIT_VALUE&amp;DB=129&amp;ID1=25454310&amp;VALUEID=02001&amp;SDATE=200801&amp;PERIODTYPE=QTR_STD&amp;SCFT=3&amp;window=popup_no_bar&amp;width=385&amp;height=120&amp;START_MAXIMIZED=FALSE&amp;creator=factset&amp;display_string=Audit"}</definedName>
    <definedName name="_1571__FDSAUDITLINK__" hidden="1">{"fdsup://Directions/FactSet Auditing Viewer?action=AUDIT_VALUE&amp;DB=129&amp;ID1=24702R10&amp;VALUEID=02001&amp;SDATE=200801&amp;PERIODTYPE=QTR_STD&amp;SCFT=3&amp;window=popup_no_bar&amp;width=385&amp;height=120&amp;START_MAXIMIZED=FALSE&amp;creator=factset&amp;display_string=Audit"}</definedName>
    <definedName name="_1572__FDSAUDITLINK__" hidden="1">{"fdsup://Directions/FactSet Auditing Viewer?action=AUDIT_VALUE&amp;DB=129&amp;ID1=24702R10&amp;VALUEID=02001&amp;SDATE=200801&amp;PERIODTYPE=QTR_STD&amp;SCFT=3&amp;window=popup_no_bar&amp;width=385&amp;height=120&amp;START_MAXIMIZED=FALSE&amp;creator=factset&amp;display_string=Audit"}</definedName>
    <definedName name="_1573__FDSAUDITLINK__" hidden="1">{"fdsup://Directions/FactSet Auditing Viewer?action=AUDIT_VALUE&amp;DB=129&amp;ID1=23257210&amp;VALUEID=02001&amp;SDATE=200801&amp;PERIODTYPE=QTR_STD&amp;SCFT=3&amp;window=popup_no_bar&amp;width=385&amp;height=120&amp;START_MAXIMIZED=FALSE&amp;creator=factset&amp;display_string=Audit"}</definedName>
    <definedName name="_1574__FDSAUDITLINK__" hidden="1">{"fdsup://Directions/FactSet Auditing Viewer?action=AUDIT_VALUE&amp;DB=129&amp;ID1=23257210&amp;VALUEID=02001&amp;SDATE=200801&amp;PERIODTYPE=QTR_STD&amp;SCFT=3&amp;window=popup_no_bar&amp;width=385&amp;height=120&amp;START_MAXIMIZED=FALSE&amp;creator=factset&amp;display_string=Audit"}</definedName>
    <definedName name="_1575__FDSAUDITLINK__" hidden="1">{"fdsup://Directions/FactSet Auditing Viewer?action=AUDIT_VALUE&amp;DB=129&amp;ID1=23280610&amp;VALUEID=02001&amp;SDATE=200801&amp;PERIODTYPE=QTR_STD&amp;SCFT=3&amp;window=popup_no_bar&amp;width=385&amp;height=120&amp;START_MAXIMIZED=FALSE&amp;creator=factset&amp;display_string=Audit"}</definedName>
    <definedName name="_1576__FDSAUDITLINK__" hidden="1">{"fdsup://Directions/FactSet Auditing Viewer?action=AUDIT_VALUE&amp;DB=129&amp;ID1=23280610&amp;VALUEID=02001&amp;SDATE=200801&amp;PERIODTYPE=QTR_STD&amp;SCFT=3&amp;window=popup_no_bar&amp;width=385&amp;height=120&amp;START_MAXIMIZED=FALSE&amp;creator=factset&amp;display_string=Audit"}</definedName>
    <definedName name="_1577__FDSAUDITLINK__" hidden="1">{"fdsup://Directions/FactSet Auditing Viewer?action=AUDIT_VALUE&amp;DB=129&amp;ID1=17275R10&amp;VALUEID=02001&amp;SDATE=200803&amp;PERIODTYPE=QTR_STD&amp;SCFT=3&amp;window=popup_no_bar&amp;width=385&amp;height=120&amp;START_MAXIMIZED=FALSE&amp;creator=factset&amp;display_string=Audit"}</definedName>
    <definedName name="_1578__FDSAUDITLINK__" hidden="1">{"fdsup://Directions/FactSet Auditing Viewer?action=AUDIT_VALUE&amp;DB=129&amp;ID1=17275R10&amp;VALUEID=02001&amp;SDATE=200803&amp;PERIODTYPE=QTR_STD&amp;SCFT=3&amp;window=popup_no_bar&amp;width=385&amp;height=120&amp;START_MAXIMIZED=FALSE&amp;creator=factset&amp;display_string=Audit"}</definedName>
    <definedName name="_1579__FDSAUDITLINK__" hidden="1">{"fdsup://Directions/FactSet Auditing Viewer?action=AUDIT_VALUE&amp;DB=129&amp;ID1=22544710&amp;VALUEID=02001&amp;SDATE=200803&amp;PERIODTYPE=QTR_STD&amp;SCFT=3&amp;window=popup_no_bar&amp;width=385&amp;height=120&amp;START_MAXIMIZED=FALSE&amp;creator=factset&amp;display_string=Audit"}</definedName>
    <definedName name="_158__FDSAUDITLINK__" hidden="1">{"fdsup://Directions/FactSet Auditing Viewer?action=AUDIT_VALUE&amp;DB=129&amp;ID1=92849730&amp;VALUEID=02001&amp;SDATE=201101&amp;PERIODTYPE=QTR_STD&amp;SCFT=3&amp;window=popup_no_bar&amp;width=385&amp;height=120&amp;START_MAXIMIZED=FALSE&amp;creator=factset&amp;display_string=Audit"}</definedName>
    <definedName name="_1580__FDSAUDITLINK__" hidden="1">{"fdsup://Directions/FactSet Auditing Viewer?action=AUDIT_VALUE&amp;DB=129&amp;ID1=22544710&amp;VALUEID=02001&amp;SDATE=200803&amp;PERIODTYPE=QTR_STD&amp;SCFT=3&amp;window=popup_no_bar&amp;width=385&amp;height=120&amp;START_MAXIMIZED=FALSE&amp;creator=factset&amp;display_string=Audit"}</definedName>
    <definedName name="_1581__FDSAUDITLINK__" hidden="1">{"fdsup://Directions/FactSet Auditing Viewer?action=AUDIT_VALUE&amp;DB=129&amp;ID1=20714230&amp;VALUEID=02001&amp;SDATE=200802&amp;PERIODTYPE=QTR_STD&amp;SCFT=3&amp;window=popup_no_bar&amp;width=385&amp;height=120&amp;START_MAXIMIZED=FALSE&amp;creator=factset&amp;display_string=Audit"}</definedName>
    <definedName name="_1582__FDSAUDITLINK__" hidden="1">{"fdsup://Directions/FactSet Auditing Viewer?action=AUDIT_VALUE&amp;DB=129&amp;ID1=20714230&amp;VALUEID=02001&amp;SDATE=200802&amp;PERIODTYPE=QTR_STD&amp;SCFT=3&amp;window=popup_no_bar&amp;width=385&amp;height=120&amp;START_MAXIMIZED=FALSE&amp;creator=factset&amp;display_string=Audit"}</definedName>
    <definedName name="_1583__FDSAUDITLINK__" hidden="1">{"fdsup://Directions/FactSet Auditing Viewer?action=AUDIT_VALUE&amp;DB=129&amp;ID1=12738710&amp;VALUEID=02001&amp;SDATE=200801&amp;PERIODTYPE=QTR_STD&amp;SCFT=3&amp;window=popup_no_bar&amp;width=385&amp;height=120&amp;START_MAXIMIZED=FALSE&amp;creator=factset&amp;display_string=Audit"}</definedName>
    <definedName name="_1584__FDSAUDITLINK__" hidden="1">{"fdsup://Directions/FactSet Auditing Viewer?action=AUDIT_VALUE&amp;DB=129&amp;ID1=12738710&amp;VALUEID=02001&amp;SDATE=200801&amp;PERIODTYPE=QTR_STD&amp;SCFT=3&amp;window=popup_no_bar&amp;width=385&amp;height=120&amp;START_MAXIMIZED=FALSE&amp;creator=factset&amp;display_string=Audit"}</definedName>
    <definedName name="_1585__FDSAUDITLINK__" hidden="1">{"fdsup://Directions/FactSet Auditing Viewer?action=AUDIT_VALUE&amp;DB=129&amp;ID1=14964U10&amp;VALUEID=02001&amp;SDATE=200801&amp;PERIODTYPE=QTR_STD&amp;SCFT=3&amp;window=popup_no_bar&amp;width=385&amp;height=120&amp;START_MAXIMIZED=FALSE&amp;creator=factset&amp;display_string=Audit"}</definedName>
    <definedName name="_1586__FDSAUDITLINK__" hidden="1">{"fdsup://Directions/FactSet Auditing Viewer?action=AUDIT_VALUE&amp;DB=129&amp;ID1=14964U10&amp;VALUEID=02001&amp;SDATE=200801&amp;PERIODTYPE=QTR_STD&amp;SCFT=3&amp;window=popup_no_bar&amp;width=385&amp;height=120&amp;START_MAXIMIZED=FALSE&amp;creator=factset&amp;display_string=Audit"}</definedName>
    <definedName name="_1587__FDSAUDITLINK__" hidden="1">{"fdsup://Directions/FactSet Auditing Viewer?action=AUDIT_VALUE&amp;DB=129&amp;ID1=11162130&amp;VALUEID=02001&amp;SDATE=200802&amp;PERIODTYPE=QTR_STD&amp;SCFT=3&amp;window=popup_no_bar&amp;width=385&amp;height=120&amp;START_MAXIMIZED=FALSE&amp;creator=factset&amp;display_string=Audit"}</definedName>
    <definedName name="_1588__FDSAUDITLINK__" hidden="1">{"fdsup://Directions/FactSet Auditing Viewer?action=AUDIT_VALUE&amp;DB=129&amp;ID1=11162130&amp;VALUEID=02001&amp;SDATE=200802&amp;PERIODTYPE=QTR_STD&amp;SCFT=3&amp;window=popup_no_bar&amp;width=385&amp;height=120&amp;START_MAXIMIZED=FALSE&amp;creator=factset&amp;display_string=Audit"}</definedName>
    <definedName name="_1589__FDSAUDITLINK__" hidden="1">{"fdsup://Directions/FactSet Auditing Viewer?action=AUDIT_VALUE&amp;DB=129&amp;ID1=04743P10&amp;VALUEID=02001&amp;SDATE=200801&amp;PERIODTYPE=QTR_STD&amp;SCFT=3&amp;window=popup_no_bar&amp;width=385&amp;height=120&amp;START_MAXIMIZED=FALSE&amp;creator=factset&amp;display_string=Audit"}</definedName>
    <definedName name="_159__FDSAUDITLINK__" hidden="1">{"fdsup://Directions/FactSet Auditing Viewer?action=AUDIT_VALUE&amp;DB=129&amp;ID1=92829810&amp;VALUEID=02001&amp;SDATE=201004&amp;PERIODTYPE=QTR_STD&amp;SCFT=3&amp;window=popup_no_bar&amp;width=385&amp;height=120&amp;START_MAXIMIZED=FALSE&amp;creator=factset&amp;display_string=Audit"}</definedName>
    <definedName name="_1590__FDSAUDITLINK__" hidden="1">{"fdsup://Directions/FactSet Auditing Viewer?action=AUDIT_VALUE&amp;DB=129&amp;ID1=04743P10&amp;VALUEID=02001&amp;SDATE=200801&amp;PERIODTYPE=QTR_STD&amp;SCFT=3&amp;window=popup_no_bar&amp;width=385&amp;height=120&amp;START_MAXIMIZED=FALSE&amp;creator=factset&amp;display_string=Audit"}</definedName>
    <definedName name="_1591__FDSAUDITLINK__" hidden="1">{"fdsup://Directions/FactSet Auditing Viewer?action=AUDIT_VALUE&amp;DB=129&amp;ID1=03251510&amp;VALUEID=02001&amp;SDATE=200801&amp;PERIODTYPE=QTR_STD&amp;SCFT=3&amp;window=popup_no_bar&amp;width=385&amp;height=120&amp;START_MAXIMIZED=FALSE&amp;creator=factset&amp;display_string=Audit"}</definedName>
    <definedName name="_1592__FDSAUDITLINK__" hidden="1">{"fdsup://Directions/FactSet Auditing Viewer?action=AUDIT_VALUE&amp;DB=129&amp;ID1=03251510&amp;VALUEID=02001&amp;SDATE=200801&amp;PERIODTYPE=QTR_STD&amp;SCFT=3&amp;window=popup_no_bar&amp;width=385&amp;height=120&amp;START_MAXIMIZED=FALSE&amp;creator=factset&amp;display_string=Audit"}</definedName>
    <definedName name="_1593__FDSAUDITLINK__" hidden="1">{"fdsup://Directions/FactSet Auditing Viewer?action=AUDIT_VALUE&amp;DB=129&amp;ID1=00790310&amp;VALUEID=02001&amp;SDATE=200801&amp;PERIODTYPE=QTR_STD&amp;SCFT=3&amp;window=popup_no_bar&amp;width=385&amp;height=120&amp;START_MAXIMIZED=FALSE&amp;creator=factset&amp;display_string=Audit"}</definedName>
    <definedName name="_1594__FDSAUDITLINK__" hidden="1">{"fdsup://Directions/FactSet Auditing Viewer?action=AUDIT_VALUE&amp;DB=129&amp;ID1=00790310&amp;VALUEID=02001&amp;SDATE=200801&amp;PERIODTYPE=QTR_STD&amp;SCFT=3&amp;window=popup_no_bar&amp;width=385&amp;height=120&amp;START_MAXIMIZED=FALSE&amp;creator=factset&amp;display_string=Audit"}</definedName>
    <definedName name="_1595__FDSAUDITLINK__" hidden="1">{"fdsup://Directions/FactSet Auditing Viewer?action=AUDIT_VALUE&amp;DB=129&amp;ID1=03822210&amp;VALUEID=02001&amp;SDATE=200802&amp;PERIODTYPE=QTR_STD&amp;SCFT=3&amp;window=popup_no_bar&amp;width=385&amp;height=120&amp;START_MAXIMIZED=FALSE&amp;creator=factset&amp;display_string=Audit"}</definedName>
    <definedName name="_1596__FDSAUDITLINK__" hidden="1">{"fdsup://Directions/FactSet Auditing Viewer?action=AUDIT_VALUE&amp;DB=129&amp;ID1=03822210&amp;VALUEID=02001&amp;SDATE=200802&amp;PERIODTYPE=QTR_STD&amp;SCFT=3&amp;window=popup_no_bar&amp;width=385&amp;height=120&amp;START_MAXIMIZED=FALSE&amp;creator=factset&amp;display_string=Audit"}</definedName>
    <definedName name="_1597__FDSAUDITLINK__" hidden="1">{"fdsup://Directions/FactSet Auditing Viewer?action=AUDIT_VALUE&amp;DB=129&amp;ID1=02144110&amp;VALUEID=02001&amp;SDATE=200801&amp;PERIODTYPE=QTR_STD&amp;SCFT=3&amp;window=popup_no_bar&amp;width=385&amp;height=120&amp;START_MAXIMIZED=FALSE&amp;creator=factset&amp;display_string=Audit"}</definedName>
    <definedName name="_1598__FDSAUDITLINK__" hidden="1">{"fdsup://Directions/FactSet Auditing Viewer?action=AUDIT_VALUE&amp;DB=129&amp;ID1=02144110&amp;VALUEID=02001&amp;SDATE=200801&amp;PERIODTYPE=QTR_STD&amp;SCFT=3&amp;window=popup_no_bar&amp;width=385&amp;height=120&amp;START_MAXIMIZED=FALSE&amp;creator=factset&amp;display_string=Audit"}</definedName>
    <definedName name="_1599__FDSAUDITLINK__" hidden="1">{"fdsup://Directions/FactSet Auditing Viewer?action=AUDIT_VALUE&amp;DB=129&amp;ID1=03265410&amp;VALUEID=02001&amp;SDATE=200802&amp;PERIODTYPE=QTR_STD&amp;SCFT=3&amp;window=popup_no_bar&amp;width=385&amp;height=120&amp;START_MAXIMIZED=FALSE&amp;creator=factset&amp;display_string=Audit"}</definedName>
    <definedName name="_16__FDSAUDITLINK__" hidden="1">{"fdsup://Directions/FactSet Auditing Viewer?action=AUDIT_VALUE&amp;DB=129&amp;ID1=637248&amp;VALUEID=02001&amp;SDATE=201103&amp;PERIODTYPE=QTR_STD&amp;SCFT=3&amp;window=popup_no_bar&amp;width=385&amp;height=120&amp;START_MAXIMIZED=FALSE&amp;creator=factset&amp;display_string=Audit"}</definedName>
    <definedName name="_160__FDSAUDITLINK__" hidden="1">{"fdsup://Directions/FactSet Auditing Viewer?action=AUDIT_VALUE&amp;DB=129&amp;ID1=92829810&amp;VALUEID=02001&amp;SDATE=201004&amp;PERIODTYPE=QTR_STD&amp;SCFT=3&amp;window=popup_no_bar&amp;width=385&amp;height=120&amp;START_MAXIMIZED=FALSE&amp;creator=factset&amp;display_string=Audit"}</definedName>
    <definedName name="_1600__FDSAUDITLINK__" hidden="1">{"fdsup://Directions/FactSet Auditing Viewer?action=AUDIT_VALUE&amp;DB=129&amp;ID1=03265410&amp;VALUEID=02001&amp;SDATE=200802&amp;PERIODTYPE=QTR_STD&amp;SCFT=3&amp;window=popup_no_bar&amp;width=385&amp;height=120&amp;START_MAXIMIZED=FALSE&amp;creator=factset&amp;display_string=Audit"}</definedName>
    <definedName name="_1601__FDSAUDITLINK__" hidden="1">{"fdsup://Directions/FactSet Auditing Viewer?action=AUDIT_VALUE&amp;DB=129&amp;ID1=00752J10&amp;VALUEID=02001&amp;SDATE=200801&amp;PERIODTYPE=QTR_STD&amp;SCFT=3&amp;window=popup_no_bar&amp;width=385&amp;height=120&amp;START_MAXIMIZED=FALSE&amp;creator=factset&amp;display_string=Audit"}</definedName>
    <definedName name="_1602__FDSAUDITLINK__" hidden="1">{"fdsup://Directions/FactSet Auditing Viewer?action=AUDIT_VALUE&amp;DB=129&amp;ID1=00752J10&amp;VALUEID=02001&amp;SDATE=200801&amp;PERIODTYPE=QTR_STD&amp;SCFT=3&amp;window=popup_no_bar&amp;width=385&amp;height=120&amp;START_MAXIMIZED=FALSE&amp;creator=factset&amp;display_string=Audit"}</definedName>
    <definedName name="_1603__FDSAUDITLINK__" hidden="1">{"fdsup://Directions/FactSet Auditing Viewer?action=AUDIT_VALUE&amp;DB=129&amp;ID1=98391910&amp;VALUEID=02001&amp;SDATE=200703&amp;PERIODTYPE=QTR_STD&amp;SCFT=3&amp;window=popup_no_bar&amp;width=385&amp;height=120&amp;START_MAXIMIZED=FALSE&amp;creator=factset&amp;display_string=Audit"}</definedName>
    <definedName name="_1604__FDSAUDITLINK__" hidden="1">{"fdsup://Directions/FactSet Auditing Viewer?action=AUDIT_VALUE&amp;DB=129&amp;ID1=98391910&amp;VALUEID=02001&amp;SDATE=200703&amp;PERIODTYPE=QTR_STD&amp;SCFT=3&amp;window=popup_no_bar&amp;width=385&amp;height=120&amp;START_MAXIMIZED=FALSE&amp;creator=factset&amp;display_string=Audit"}</definedName>
    <definedName name="_1605__FDSAUDITLINK__" hidden="1">{"fdsup://Directions/FactSet Auditing Viewer?action=AUDIT_VALUE&amp;DB=129&amp;ID1=95810210&amp;VALUEID=02001&amp;SDATE=200802&amp;PERIODTYPE=QTR_STD&amp;SCFT=3&amp;window=popup_no_bar&amp;width=385&amp;height=120&amp;START_MAXIMIZED=FALSE&amp;creator=factset&amp;display_string=Audit"}</definedName>
    <definedName name="_1606__FDSAUDITLINK__" hidden="1">{"fdsup://Directions/FactSet Auditing Viewer?action=AUDIT_VALUE&amp;DB=129&amp;ID1=95810210&amp;VALUEID=02001&amp;SDATE=200802&amp;PERIODTYPE=QTR_STD&amp;SCFT=3&amp;window=popup_no_bar&amp;width=385&amp;height=120&amp;START_MAXIMIZED=FALSE&amp;creator=factset&amp;display_string=Audit"}</definedName>
    <definedName name="_1607__FDSAUDITLINK__" hidden="1">{"fdsup://Directions/FactSet Auditing Viewer?action=AUDIT_VALUE&amp;DB=129&amp;ID1=92849730&amp;VALUEID=02001&amp;SDATE=200801&amp;PERIODTYPE=QTR_STD&amp;SCFT=3&amp;window=popup_no_bar&amp;width=385&amp;height=120&amp;START_MAXIMIZED=FALSE&amp;creator=factset&amp;display_string=Audit"}</definedName>
    <definedName name="_1608__FDSAUDITLINK__" hidden="1">{"fdsup://Directions/FactSet Auditing Viewer?action=AUDIT_VALUE&amp;DB=129&amp;ID1=92849730&amp;VALUEID=02001&amp;SDATE=200801&amp;PERIODTYPE=QTR_STD&amp;SCFT=3&amp;window=popup_no_bar&amp;width=385&amp;height=120&amp;START_MAXIMIZED=FALSE&amp;creator=factset&amp;display_string=Audit"}</definedName>
    <definedName name="_1609__FDSAUDITLINK__" hidden="1">{"fdsup://Directions/FactSet Auditing Viewer?action=AUDIT_VALUE&amp;DB=129&amp;ID1=83088M10&amp;VALUEID=02001&amp;SDATE=200801&amp;PERIODTYPE=QTR_STD&amp;SCFT=3&amp;window=popup_no_bar&amp;width=385&amp;height=120&amp;START_MAXIMIZED=FALSE&amp;creator=factset&amp;display_string=Audit"}</definedName>
    <definedName name="_161__FDSAUDITLINK__" hidden="1">{"fdsup://Directions/FactSet Auditing Viewer?action=AUDIT_VALUE&amp;DB=129&amp;ID1=88250810&amp;VALUEID=02001&amp;SDATE=201004&amp;PERIODTYPE=QTR_STD&amp;SCFT=3&amp;window=popup_no_bar&amp;width=385&amp;height=120&amp;START_MAXIMIZED=FALSE&amp;creator=factset&amp;display_string=Audit"}</definedName>
    <definedName name="_1610__FDSAUDITLINK__" hidden="1">{"fdsup://Directions/FactSet Auditing Viewer?action=AUDIT_VALUE&amp;DB=129&amp;ID1=83088M10&amp;VALUEID=02001&amp;SDATE=200801&amp;PERIODTYPE=QTR_STD&amp;SCFT=3&amp;window=popup_no_bar&amp;width=385&amp;height=120&amp;START_MAXIMIZED=FALSE&amp;creator=factset&amp;display_string=Audit"}</definedName>
    <definedName name="_1611__FDSAUDITLINK__" hidden="1">{"fdsup://Directions/FactSet Auditing Viewer?action=AUDIT_VALUE&amp;DB=129&amp;ID1=G7945M10&amp;VALUEID=02001&amp;SDATE=200802&amp;PERIODTYPE=QTR_STD&amp;SCFT=3&amp;window=popup_no_bar&amp;width=385&amp;height=120&amp;START_MAXIMIZED=FALSE&amp;creator=factset&amp;display_string=Audit"}</definedName>
    <definedName name="_1612__FDSAUDITLINK__" hidden="1">{"fdsup://Directions/FactSet Auditing Viewer?action=AUDIT_VALUE&amp;DB=129&amp;ID1=G7945M10&amp;VALUEID=02001&amp;SDATE=200802&amp;PERIODTYPE=QTR_STD&amp;SCFT=3&amp;window=popup_no_bar&amp;width=385&amp;height=120&amp;START_MAXIMIZED=FALSE&amp;creator=factset&amp;display_string=Audit"}</definedName>
    <definedName name="_1613__FDSAUDITLINK__" hidden="1">{"fdsup://Directions/FactSet Auditing Viewer?action=AUDIT_VALUE&amp;DB=129&amp;ID1=87160710&amp;VALUEID=02001&amp;SDATE=200801&amp;PERIODTYPE=QTR_STD&amp;SCFT=3&amp;window=popup_no_bar&amp;width=385&amp;height=120&amp;START_MAXIMIZED=FALSE&amp;creator=factset&amp;display_string=Audit"}</definedName>
    <definedName name="_1614__FDSAUDITLINK__" hidden="1">{"fdsup://Directions/FactSet Auditing Viewer?action=AUDIT_VALUE&amp;DB=129&amp;ID1=87160710&amp;VALUEID=02001&amp;SDATE=200801&amp;PERIODTYPE=QTR_STD&amp;SCFT=3&amp;window=popup_no_bar&amp;width=385&amp;height=120&amp;START_MAXIMIZED=FALSE&amp;creator=factset&amp;display_string=Audit"}</definedName>
    <definedName name="_1615__FDSAUDITLINK__" hidden="1">{"fdsup://Directions/FactSet Auditing Viewer?action=AUDIT_VALUE&amp;DB=129&amp;ID1=74994110&amp;VALUEID=02001&amp;SDATE=200703&amp;PERIODTYPE=QTR_STD&amp;SCFT=3&amp;window=popup_no_bar&amp;width=385&amp;height=120&amp;START_MAXIMIZED=FALSE&amp;creator=factset&amp;display_string=Audit"}</definedName>
    <definedName name="_1616__FDSAUDITLINK__" hidden="1">{"fdsup://Directions/FactSet Auditing Viewer?action=AUDIT_VALUE&amp;DB=129&amp;ID1=74994110&amp;VALUEID=02001&amp;SDATE=200703&amp;PERIODTYPE=QTR_STD&amp;SCFT=3&amp;window=popup_no_bar&amp;width=385&amp;height=120&amp;START_MAXIMIZED=FALSE&amp;creator=factset&amp;display_string=Audit"}</definedName>
    <definedName name="_1617__FDSAUDITLINK__" hidden="1">{"fdsup://Directions/FactSet Auditing Viewer?action=AUDIT_VALUE&amp;DB=129&amp;ID1=74727710&amp;VALUEID=02001&amp;SDATE=200703&amp;PERIODTYPE=QTR_STD&amp;SCFT=3&amp;window=popup_no_bar&amp;width=385&amp;height=120&amp;START_MAXIMIZED=FALSE&amp;creator=factset&amp;display_string=Audit"}</definedName>
    <definedName name="_1618__FDSAUDITLINK__" hidden="1">{"fdsup://Directions/FactSet Auditing Viewer?action=AUDIT_VALUE&amp;DB=129&amp;ID1=74727710&amp;VALUEID=02001&amp;SDATE=200703&amp;PERIODTYPE=QTR_STD&amp;SCFT=3&amp;window=popup_no_bar&amp;width=385&amp;height=120&amp;START_MAXIMIZED=FALSE&amp;creator=factset&amp;display_string=Audit"}</definedName>
    <definedName name="_1619__FDSAUDITLINK__" hidden="1">{"fdsup://Directions/FactSet Auditing Viewer?action=AUDIT_VALUE&amp;DB=129&amp;ID1=74752510&amp;VALUEID=02001&amp;SDATE=200801&amp;PERIODTYPE=QTR_STD&amp;SCFT=3&amp;window=popup_no_bar&amp;width=385&amp;height=120&amp;START_MAXIMIZED=FALSE&amp;creator=factset&amp;display_string=Audit"}</definedName>
    <definedName name="_162__FDSAUDITLINK__" hidden="1">{"fdsup://Directions/FactSet Auditing Viewer?action=AUDIT_VALUE&amp;DB=129&amp;ID1=88250810&amp;VALUEID=02001&amp;SDATE=201004&amp;PERIODTYPE=QTR_STD&amp;SCFT=3&amp;window=popup_no_bar&amp;width=385&amp;height=120&amp;START_MAXIMIZED=FALSE&amp;creator=factset&amp;display_string=Audit"}</definedName>
    <definedName name="_1620__FDSAUDITLINK__" hidden="1">{"fdsup://Directions/FactSet Auditing Viewer?action=AUDIT_VALUE&amp;DB=129&amp;ID1=74752510&amp;VALUEID=02001&amp;SDATE=200801&amp;PERIODTYPE=QTR_STD&amp;SCFT=3&amp;window=popup_no_bar&amp;width=385&amp;height=120&amp;START_MAXIMIZED=FALSE&amp;creator=factset&amp;display_string=Audit"}</definedName>
    <definedName name="_1621__FDSAUDITLINK__" hidden="1">{"fdsup://Directions/FactSet Auditing Viewer?action=AUDIT_VALUE&amp;DB=129&amp;ID1=63764010&amp;VALUEID=02001&amp;SDATE=200702&amp;PERIODTYPE=QTR_STD&amp;SCFT=3&amp;window=popup_no_bar&amp;width=385&amp;height=120&amp;START_MAXIMIZED=FALSE&amp;creator=factset&amp;display_string=Audit"}</definedName>
    <definedName name="_1622__FDSAUDITLINK__" hidden="1">{"fdsup://Directions/FactSet Auditing Viewer?action=AUDIT_VALUE&amp;DB=129&amp;ID1=63764010&amp;VALUEID=02001&amp;SDATE=200702&amp;PERIODTYPE=QTR_STD&amp;SCFT=3&amp;window=popup_no_bar&amp;width=385&amp;height=120&amp;START_MAXIMIZED=FALSE&amp;creator=factset&amp;display_string=Audit"}</definedName>
    <definedName name="_1623__FDSAUDITLINK__" hidden="1">{"fdsup://Directions/FactSet Auditing Viewer?action=AUDIT_VALUE&amp;DB=129&amp;ID1=57772K10&amp;VALUEID=02001&amp;SDATE=200802&amp;PERIODTYPE=QTR_STD&amp;SCFT=3&amp;window=popup_no_bar&amp;width=385&amp;height=120&amp;START_MAXIMIZED=FALSE&amp;creator=factset&amp;display_string=Audit"}</definedName>
    <definedName name="_1624__FDSAUDITLINK__" hidden="1">{"fdsup://Directions/FactSet Auditing Viewer?action=AUDIT_VALUE&amp;DB=129&amp;ID1=57772K10&amp;VALUEID=02001&amp;SDATE=200802&amp;PERIODTYPE=QTR_STD&amp;SCFT=3&amp;window=popup_no_bar&amp;width=385&amp;height=120&amp;START_MAXIMIZED=FALSE&amp;creator=factset&amp;display_string=Audit"}</definedName>
    <definedName name="_1625__FDSAUDITLINK__" hidden="1">{"fdsup://Directions/FactSet Auditing Viewer?action=AUDIT_VALUE&amp;DB=129&amp;ID1=59511210&amp;VALUEID=02001&amp;SDATE=200801&amp;PERIODTYPE=QTR_STD&amp;SCFT=3&amp;window=popup_no_bar&amp;width=385&amp;height=120&amp;START_MAXIMIZED=FALSE&amp;creator=factset&amp;display_string=Audit"}</definedName>
    <definedName name="_1626__FDSAUDITLINK__" hidden="1">{"fdsup://Directions/FactSet Auditing Viewer?action=AUDIT_VALUE&amp;DB=129&amp;ID1=59511210&amp;VALUEID=02001&amp;SDATE=200801&amp;PERIODTYPE=QTR_STD&amp;SCFT=3&amp;window=popup_no_bar&amp;width=385&amp;height=120&amp;START_MAXIMIZED=FALSE&amp;creator=factset&amp;display_string=Audit"}</definedName>
    <definedName name="_1627__FDSAUDITLINK__" hidden="1">{"fdsup://Directions/FactSet Auditing Viewer?action=AUDIT_VALUE&amp;DB=129&amp;ID1=59513710&amp;VALUEID=02001&amp;SDATE=200801&amp;PERIODTYPE=QTR_STD&amp;SCFT=3&amp;window=popup_no_bar&amp;width=385&amp;height=120&amp;START_MAXIMIZED=FALSE&amp;creator=factset&amp;display_string=Audit"}</definedName>
    <definedName name="_1628__FDSAUDITLINK__" hidden="1">{"fdsup://Directions/FactSet Auditing Viewer?action=AUDIT_VALUE&amp;DB=129&amp;ID1=59513710&amp;VALUEID=02001&amp;SDATE=200801&amp;PERIODTYPE=QTR_STD&amp;SCFT=3&amp;window=popup_no_bar&amp;width=385&amp;height=120&amp;START_MAXIMIZED=FALSE&amp;creator=factset&amp;display_string=Audit"}</definedName>
    <definedName name="_1629__FDSAUDITLINK__" hidden="1">{"fdsup://Directions/FactSet Auditing Viewer?action=AUDIT_VALUE&amp;DB=129&amp;ID1=60456710&amp;VALUEID=02001&amp;SDATE=200802&amp;PERIODTYPE=QTR_STD&amp;SCFT=3&amp;window=popup_no_bar&amp;width=385&amp;height=120&amp;START_MAXIMIZED=FALSE&amp;creator=factset&amp;display_string=Audit"}</definedName>
    <definedName name="_163__FDSAUDITLINK__" hidden="1">{"fdsup://Directions/FactSet Auditing Viewer?action=AUDIT_VALUE&amp;DB=129&amp;ID1=89674K10&amp;VALUEID=02001&amp;SDATE=201004&amp;PERIODTYPE=QTR_STD&amp;SCFT=3&amp;window=popup_no_bar&amp;width=385&amp;height=120&amp;START_MAXIMIZED=FALSE&amp;creator=factset&amp;display_string=Audit"}</definedName>
    <definedName name="_1630__FDSAUDITLINK__" hidden="1">{"fdsup://Directions/FactSet Auditing Viewer?action=AUDIT_VALUE&amp;DB=129&amp;ID1=60456710&amp;VALUEID=02001&amp;SDATE=200802&amp;PERIODTYPE=QTR_STD&amp;SCFT=3&amp;window=popup_no_bar&amp;width=385&amp;height=120&amp;START_MAXIMIZED=FALSE&amp;creator=factset&amp;display_string=Audit"}</definedName>
    <definedName name="_1631__FDSAUDITLINK__" hidden="1">{"fdsup://Directions/FactSet Auditing Viewer?action=AUDIT_VALUE&amp;DB=129&amp;ID1=59501710&amp;VALUEID=02001&amp;SDATE=200703&amp;PERIODTYPE=QTR_STD&amp;SCFT=3&amp;window=popup_no_bar&amp;width=385&amp;height=120&amp;START_MAXIMIZED=FALSE&amp;creator=factset&amp;display_string=Audit"}</definedName>
    <definedName name="_1632__FDSAUDITLINK__" hidden="1">{"fdsup://Directions/FactSet Auditing Viewer?action=AUDIT_VALUE&amp;DB=129&amp;ID1=59501710&amp;VALUEID=02001&amp;SDATE=200703&amp;PERIODTYPE=QTR_STD&amp;SCFT=3&amp;window=popup_no_bar&amp;width=385&amp;height=120&amp;START_MAXIMIZED=FALSE&amp;creator=factset&amp;display_string=Audit"}</definedName>
    <definedName name="_1633__FDSAUDITLINK__" hidden="1">{"fdsup://Directions/FactSet Auditing Viewer?action=AUDIT_VALUE&amp;DB=129&amp;ID1=51280710&amp;VALUEID=02001&amp;SDATE=200802&amp;PERIODTYPE=QTR_STD&amp;SCFT=3&amp;window=popup_no_bar&amp;width=385&amp;height=120&amp;START_MAXIMIZED=FALSE&amp;creator=factset&amp;display_string=Audit"}</definedName>
    <definedName name="_1634__FDSAUDITLINK__" hidden="1">{"fdsup://Directions/FactSet Auditing Viewer?action=AUDIT_VALUE&amp;DB=129&amp;ID1=51280710&amp;VALUEID=02001&amp;SDATE=200802&amp;PERIODTYPE=QTR_STD&amp;SCFT=3&amp;window=popup_no_bar&amp;width=385&amp;height=120&amp;START_MAXIMIZED=FALSE&amp;creator=factset&amp;display_string=Audit"}</definedName>
    <definedName name="_1635__FDSAUDITLINK__" hidden="1">{"fdsup://Directions/FactSet Auditing Viewer?action=AUDIT_VALUE&amp;DB=129&amp;ID1=53567810&amp;VALUEID=02001&amp;SDATE=200802&amp;PERIODTYPE=QTR_STD&amp;SCFT=3&amp;window=popup_no_bar&amp;width=385&amp;height=120&amp;START_MAXIMIZED=FALSE&amp;creator=factset&amp;display_string=Audit"}</definedName>
    <definedName name="_1636__FDSAUDITLINK__" hidden="1">{"fdsup://Directions/FactSet Auditing Viewer?action=AUDIT_VALUE&amp;DB=129&amp;ID1=53567810&amp;VALUEID=02001&amp;SDATE=200802&amp;PERIODTYPE=QTR_STD&amp;SCFT=3&amp;window=popup_no_bar&amp;width=385&amp;height=120&amp;START_MAXIMIZED=FALSE&amp;creator=factset&amp;display_string=Audit"}</definedName>
    <definedName name="_1637__FDSAUDITLINK__" hidden="1">{"fdsup://Directions/FactSet Auditing Viewer?action=AUDIT_VALUE&amp;DB=129&amp;ID1=48248010&amp;VALUEID=02001&amp;SDATE=200802&amp;PERIODTYPE=QTR_STD&amp;SCFT=3&amp;window=popup_no_bar&amp;width=385&amp;height=120&amp;START_MAXIMIZED=FALSE&amp;creator=factset&amp;display_string=Audit"}</definedName>
    <definedName name="_1638__FDSAUDITLINK__" hidden="1">{"fdsup://Directions/FactSet Auditing Viewer?action=AUDIT_VALUE&amp;DB=129&amp;ID1=48248010&amp;VALUEID=02001&amp;SDATE=200802&amp;PERIODTYPE=QTR_STD&amp;SCFT=3&amp;window=popup_no_bar&amp;width=385&amp;height=120&amp;START_MAXIMIZED=FALSE&amp;creator=factset&amp;display_string=Audit"}</definedName>
    <definedName name="_1639__FDSAUDITLINK__" hidden="1">{"fdsup://Directions/FactSet Auditing Viewer?action=AUDIT_VALUE&amp;DB=129&amp;ID1=48836020&amp;VALUEID=02001&amp;SDATE=200703&amp;PERIODTYPE=QTR_STD&amp;SCFT=3&amp;window=popup_no_bar&amp;width=385&amp;height=120&amp;START_MAXIMIZED=FALSE&amp;creator=factset&amp;display_string=Audit"}</definedName>
    <definedName name="_164__FDSAUDITLINK__" hidden="1">{"fdsup://Directions/FactSet Auditing Viewer?action=AUDIT_VALUE&amp;DB=129&amp;ID1=89674K10&amp;VALUEID=02001&amp;SDATE=201004&amp;PERIODTYPE=QTR_STD&amp;SCFT=3&amp;window=popup_no_bar&amp;width=385&amp;height=120&amp;START_MAXIMIZED=FALSE&amp;creator=factset&amp;display_string=Audit"}</definedName>
    <definedName name="_1640__FDSAUDITLINK__" hidden="1">{"fdsup://Directions/FactSet Auditing Viewer?action=AUDIT_VALUE&amp;DB=129&amp;ID1=48836020&amp;VALUEID=02001&amp;SDATE=200703&amp;PERIODTYPE=QTR_STD&amp;SCFT=3&amp;window=popup_no_bar&amp;width=385&amp;height=120&amp;START_MAXIMIZED=FALSE&amp;creator=factset&amp;display_string=Audit"}</definedName>
    <definedName name="_1641__FDSAUDITLINK__" hidden="1">{"fdsup://Directions/FactSet Auditing Viewer?action=AUDIT_VALUE&amp;DB=129&amp;ID1=86681020&amp;VALUEID=02001&amp;SDATE=200802&amp;PERIODTYPE=QTR_STD&amp;SCFT=3&amp;window=popup_no_bar&amp;width=385&amp;height=120&amp;START_MAXIMIZED=FALSE&amp;creator=factset&amp;display_string=Audit"}</definedName>
    <definedName name="_1642__FDSAUDITLINK__" hidden="1">{"fdsup://Directions/FactSet Auditing Viewer?action=AUDIT_VALUE&amp;DB=129&amp;ID1=86681020&amp;VALUEID=02001&amp;SDATE=200802&amp;PERIODTYPE=QTR_STD&amp;SCFT=3&amp;window=popup_no_bar&amp;width=385&amp;height=120&amp;START_MAXIMIZED=FALSE&amp;creator=factset&amp;display_string=Audit"}</definedName>
    <definedName name="_1643__FDSAUDITLINK__" hidden="1">{"fdsup://Directions/FactSet Auditing Viewer?action=AUDIT_VALUE&amp;DB=129&amp;ID1=46025410&amp;VALUEID=02001&amp;SDATE=200802&amp;PERIODTYPE=QTR_STD&amp;SCFT=3&amp;window=popup_no_bar&amp;width=385&amp;height=120&amp;START_MAXIMIZED=FALSE&amp;creator=factset&amp;display_string=Audit"}</definedName>
    <definedName name="_1644__FDSAUDITLINK__" hidden="1">{"fdsup://Directions/FactSet Auditing Viewer?action=AUDIT_VALUE&amp;DB=129&amp;ID1=46025410&amp;VALUEID=02001&amp;SDATE=200802&amp;PERIODTYPE=QTR_STD&amp;SCFT=3&amp;window=popup_no_bar&amp;width=385&amp;height=120&amp;START_MAXIMIZED=FALSE&amp;creator=factset&amp;display_string=Audit"}</definedName>
    <definedName name="_1645__FDSAUDITLINK__" hidden="1">{"fdsup://Directions/FactSet Auditing Viewer?action=AUDIT_VALUE&amp;DB=129&amp;ID1=45811810&amp;VALUEID=02001&amp;SDATE=200703&amp;PERIODTYPE=QTR_STD&amp;SCFT=3&amp;window=popup_no_bar&amp;width=385&amp;height=120&amp;START_MAXIMIZED=FALSE&amp;creator=factset&amp;display_string=Audit"}</definedName>
    <definedName name="_1646__FDSAUDITLINK__" hidden="1">{"fdsup://Directions/FactSet Auditing Viewer?action=AUDIT_VALUE&amp;DB=129&amp;ID1=45811810&amp;VALUEID=02001&amp;SDATE=200703&amp;PERIODTYPE=QTR_STD&amp;SCFT=3&amp;window=popup_no_bar&amp;width=385&amp;height=120&amp;START_MAXIMIZED=FALSE&amp;creator=factset&amp;display_string=Audit"}</definedName>
    <definedName name="_1647__FDSAUDITLINK__" hidden="1">{"fdsup://Directions/FactSet Auditing Viewer?action=AUDIT_VALUE&amp;DB=129&amp;ID1=42823610&amp;VALUEID=02001&amp;SDATE=200801&amp;PERIODTYPE=QTR_STD&amp;SCFT=3&amp;window=popup_no_bar&amp;width=385&amp;height=120&amp;START_MAXIMIZED=FALSE&amp;creator=factset&amp;display_string=Audit"}</definedName>
    <definedName name="_1648__FDSAUDITLINK__" hidden="1">{"fdsup://Directions/FactSet Auditing Viewer?action=AUDIT_VALUE&amp;DB=129&amp;ID1=42823610&amp;VALUEID=02001&amp;SDATE=200801&amp;PERIODTYPE=QTR_STD&amp;SCFT=3&amp;window=popup_no_bar&amp;width=385&amp;height=120&amp;START_MAXIMIZED=FALSE&amp;creator=factset&amp;display_string=Audit"}</definedName>
    <definedName name="_1649__FDSAUDITLINK__" hidden="1">{"fdsup://Directions/FactSet Auditing Viewer?action=AUDIT_VALUE&amp;DB=129&amp;ID1=31561610&amp;VALUEID=02001&amp;SDATE=200801&amp;PERIODTYPE=QTR_STD&amp;SCFT=3&amp;window=popup_no_bar&amp;width=385&amp;height=120&amp;START_MAXIMIZED=FALSE&amp;creator=factset&amp;display_string=Audit"}</definedName>
    <definedName name="_165__FDSAUDITLINK__" hidden="1">{"fdsup://Directions/FactSet Auditing Viewer?action=AUDIT_VALUE&amp;DB=129&amp;ID1=83088M10&amp;VALUEID=02001&amp;SDATE=201101&amp;PERIODTYPE=QTR_STD&amp;SCFT=3&amp;window=popup_no_bar&amp;width=385&amp;height=120&amp;START_MAXIMIZED=FALSE&amp;creator=factset&amp;display_string=Audit"}</definedName>
    <definedName name="_1650__FDSAUDITLINK__" hidden="1">{"fdsup://Directions/FactSet Auditing Viewer?action=AUDIT_VALUE&amp;DB=129&amp;ID1=31561610&amp;VALUEID=02001&amp;SDATE=200801&amp;PERIODTYPE=QTR_STD&amp;SCFT=3&amp;window=popup_no_bar&amp;width=385&amp;height=120&amp;START_MAXIMIZED=FALSE&amp;creator=factset&amp;display_string=Audit"}</definedName>
    <definedName name="_1651__FDSAUDITLINK__" hidden="1">{"fdsup://Directions/FactSet Auditing Viewer?action=AUDIT_VALUE&amp;DB=129&amp;ID1=29247520&amp;VALUEID=02001&amp;SDATE=200802&amp;PERIODTYPE=QTR_STD&amp;SCFT=3&amp;window=popup_no_bar&amp;width=385&amp;height=120&amp;START_MAXIMIZED=FALSE&amp;creator=factset&amp;display_string=Audit"}</definedName>
    <definedName name="_1652__FDSAUDITLINK__" hidden="1">{"fdsup://Directions/FactSet Auditing Viewer?action=AUDIT_VALUE&amp;DB=129&amp;ID1=29247520&amp;VALUEID=02001&amp;SDATE=200802&amp;PERIODTYPE=QTR_STD&amp;SCFT=3&amp;window=popup_no_bar&amp;width=385&amp;height=120&amp;START_MAXIMIZED=FALSE&amp;creator=factset&amp;display_string=Audit"}</definedName>
    <definedName name="_1653__FDSAUDITLINK__" hidden="1">{"fdsup://Directions/FactSet Auditing Viewer?action=AUDIT_VALUE&amp;DB=129&amp;ID1=17275R10&amp;VALUEID=02001&amp;SDATE=200802&amp;PERIODTYPE=QTR_STD&amp;SCFT=3&amp;window=popup_no_bar&amp;width=385&amp;height=120&amp;START_MAXIMIZED=FALSE&amp;creator=factset&amp;display_string=Audit"}</definedName>
    <definedName name="_1654__FDSAUDITLINK__" hidden="1">{"fdsup://Directions/FactSet Auditing Viewer?action=AUDIT_VALUE&amp;DB=129&amp;ID1=17275R10&amp;VALUEID=02001&amp;SDATE=200802&amp;PERIODTYPE=QTR_STD&amp;SCFT=3&amp;window=popup_no_bar&amp;width=385&amp;height=120&amp;START_MAXIMIZED=FALSE&amp;creator=factset&amp;display_string=Audit"}</definedName>
    <definedName name="_1655__FDSAUDITLINK__" hidden="1">{"fdsup://Directions/FactSet Auditing Viewer?action=AUDIT_VALUE&amp;DB=129&amp;ID1=22544710&amp;VALUEID=02001&amp;SDATE=200802&amp;PERIODTYPE=QTR_STD&amp;SCFT=3&amp;window=popup_no_bar&amp;width=385&amp;height=120&amp;START_MAXIMIZED=FALSE&amp;creator=factset&amp;display_string=Audit"}</definedName>
    <definedName name="_1656__FDSAUDITLINK__" hidden="1">{"fdsup://Directions/FactSet Auditing Viewer?action=AUDIT_VALUE&amp;DB=129&amp;ID1=22544710&amp;VALUEID=02001&amp;SDATE=200802&amp;PERIODTYPE=QTR_STD&amp;SCFT=3&amp;window=popup_no_bar&amp;width=385&amp;height=120&amp;START_MAXIMIZED=FALSE&amp;creator=factset&amp;display_string=Audit"}</definedName>
    <definedName name="_1657__FDSAUDITLINK__" hidden="1">{"fdsup://Directions/FactSet Auditing Viewer?action=AUDIT_VALUE&amp;DB=129&amp;ID1=20714230&amp;VALUEID=02001&amp;SDATE=200801&amp;PERIODTYPE=QTR_STD&amp;SCFT=3&amp;window=popup_no_bar&amp;width=385&amp;height=120&amp;START_MAXIMIZED=FALSE&amp;creator=factset&amp;display_string=Audit"}</definedName>
    <definedName name="_1658__FDSAUDITLINK__" hidden="1">{"fdsup://Directions/FactSet Auditing Viewer?action=AUDIT_VALUE&amp;DB=129&amp;ID1=20714230&amp;VALUEID=02001&amp;SDATE=200801&amp;PERIODTYPE=QTR_STD&amp;SCFT=3&amp;window=popup_no_bar&amp;width=385&amp;height=120&amp;START_MAXIMIZED=FALSE&amp;creator=factset&amp;display_string=Audit"}</definedName>
    <definedName name="_1659__FDSAUDITLINK__" hidden="1">{"fdsup://Directions/FactSet Auditing Viewer?action=AUDIT_VALUE&amp;DB=129&amp;ID1=11162130&amp;VALUEID=02001&amp;SDATE=200801&amp;PERIODTYPE=QTR_STD&amp;SCFT=3&amp;window=popup_no_bar&amp;width=385&amp;height=120&amp;START_MAXIMIZED=FALSE&amp;creator=factset&amp;display_string=Audit"}</definedName>
    <definedName name="_166__FDSAUDITLINK__" hidden="1">{"fdsup://Directions/FactSet Auditing Viewer?action=AUDIT_VALUE&amp;DB=129&amp;ID1=83088M10&amp;VALUEID=02001&amp;SDATE=201101&amp;PERIODTYPE=QTR_STD&amp;SCFT=3&amp;window=popup_no_bar&amp;width=385&amp;height=120&amp;START_MAXIMIZED=FALSE&amp;creator=factset&amp;display_string=Audit"}</definedName>
    <definedName name="_1660__FDSAUDITLINK__" hidden="1">{"fdsup://Directions/FactSet Auditing Viewer?action=AUDIT_VALUE&amp;DB=129&amp;ID1=11162130&amp;VALUEID=02001&amp;SDATE=200801&amp;PERIODTYPE=QTR_STD&amp;SCFT=3&amp;window=popup_no_bar&amp;width=385&amp;height=120&amp;START_MAXIMIZED=FALSE&amp;creator=factset&amp;display_string=Audit"}</definedName>
    <definedName name="_1661__FDSAUDITLINK__" hidden="1">{"fdsup://Directions/FactSet Auditing Viewer?action=AUDIT_VALUE&amp;DB=129&amp;ID1=03822W40&amp;VALUEID=02001&amp;SDATE=200703&amp;PERIODTYPE=QTR_STD&amp;SCFT=3&amp;window=popup_no_bar&amp;width=385&amp;height=120&amp;START_MAXIMIZED=FALSE&amp;creator=factset&amp;display_string=Audit"}</definedName>
    <definedName name="_1662__FDSAUDITLINK__" hidden="1">{"fdsup://Directions/FactSet Auditing Viewer?action=AUDIT_VALUE&amp;DB=129&amp;ID1=03822W40&amp;VALUEID=02001&amp;SDATE=200703&amp;PERIODTYPE=QTR_STD&amp;SCFT=3&amp;window=popup_no_bar&amp;width=385&amp;height=120&amp;START_MAXIMIZED=FALSE&amp;creator=factset&amp;display_string=Audit"}</definedName>
    <definedName name="_1663__FDSAUDITLINK__" hidden="1">{"fdsup://Directions/FactSet Auditing Viewer?action=AUDIT_VALUE&amp;DB=129&amp;ID1=03822210&amp;VALUEID=02001&amp;SDATE=200801&amp;PERIODTYPE=QTR_STD&amp;SCFT=3&amp;window=popup_no_bar&amp;width=385&amp;height=120&amp;START_MAXIMIZED=FALSE&amp;creator=factset&amp;display_string=Audit"}</definedName>
    <definedName name="_1664__FDSAUDITLINK__" hidden="1">{"fdsup://Directions/FactSet Auditing Viewer?action=AUDIT_VALUE&amp;DB=129&amp;ID1=03822210&amp;VALUEID=02001&amp;SDATE=200801&amp;PERIODTYPE=QTR_STD&amp;SCFT=3&amp;window=popup_no_bar&amp;width=385&amp;height=120&amp;START_MAXIMIZED=FALSE&amp;creator=factset&amp;display_string=Audit"}</definedName>
    <definedName name="_1665__FDSAUDITLINK__" hidden="1">{"fdsup://Directions/FactSet Auditing Viewer?action=AUDIT_VALUE&amp;DB=129&amp;ID1=03265410&amp;VALUEID=02001&amp;SDATE=200801&amp;PERIODTYPE=QTR_STD&amp;SCFT=3&amp;window=popup_no_bar&amp;width=385&amp;height=120&amp;START_MAXIMIZED=FALSE&amp;creator=factset&amp;display_string=Audit"}</definedName>
    <definedName name="_1666__FDSAUDITLINK__" hidden="1">{"fdsup://Directions/FactSet Auditing Viewer?action=AUDIT_VALUE&amp;DB=129&amp;ID1=03265410&amp;VALUEID=02001&amp;SDATE=200801&amp;PERIODTYPE=QTR_STD&amp;SCFT=3&amp;window=popup_no_bar&amp;width=385&amp;height=120&amp;START_MAXIMIZED=FALSE&amp;creator=factset&amp;display_string=Audit"}</definedName>
    <definedName name="_1667__FDSAUDITLINK__" hidden="1">{"fdsup://Directions/FactSet Auditing Viewer?action=AUDIT_VALUE&amp;DB=129&amp;ID1=98975F10&amp;VALUEID=02001&amp;SDATE=200703&amp;PERIODTYPE=QTR_STD&amp;SCFT=3&amp;window=popup_no_bar&amp;width=385&amp;height=120&amp;START_MAXIMIZED=FALSE&amp;creator=factset&amp;display_string=Audit"}</definedName>
    <definedName name="_1668__FDSAUDITLINK__" hidden="1">{"fdsup://Directions/FactSet Auditing Viewer?action=AUDIT_VALUE&amp;DB=129&amp;ID1=98975F10&amp;VALUEID=02001&amp;SDATE=200703&amp;PERIODTYPE=QTR_STD&amp;SCFT=3&amp;window=popup_no_bar&amp;width=385&amp;height=120&amp;START_MAXIMIZED=FALSE&amp;creator=factset&amp;display_string=Audit"}</definedName>
    <definedName name="_1669__FDSAUDITLINK__" hidden="1">{"fdsup://Directions/FactSet Auditing Viewer?action=AUDIT_VALUE&amp;DB=129&amp;ID1=98391910&amp;VALUEID=02001&amp;SDATE=200702&amp;PERIODTYPE=QTR_STD&amp;SCFT=3&amp;window=popup_no_bar&amp;width=385&amp;height=120&amp;START_MAXIMIZED=FALSE&amp;creator=factset&amp;display_string=Audit"}</definedName>
    <definedName name="_167__FDSAUDITLINK__" hidden="1">{"fdsup://Directions/FactSet Auditing Viewer?action=AUDIT_VALUE&amp;DB=129&amp;ID1=G7945M10&amp;VALUEID=02001&amp;SDATE=201102&amp;PERIODTYPE=QTR_STD&amp;SCFT=3&amp;window=popup_no_bar&amp;width=385&amp;height=120&amp;START_MAXIMIZED=FALSE&amp;creator=factset&amp;display_string=Audit"}</definedName>
    <definedName name="_1670__FDSAUDITLINK__" hidden="1">{"fdsup://Directions/FactSet Auditing Viewer?action=AUDIT_VALUE&amp;DB=129&amp;ID1=98391910&amp;VALUEID=02001&amp;SDATE=200702&amp;PERIODTYPE=QTR_STD&amp;SCFT=3&amp;window=popup_no_bar&amp;width=385&amp;height=120&amp;START_MAXIMIZED=FALSE&amp;creator=factset&amp;display_string=Audit"}</definedName>
    <definedName name="_1671__FDSAUDITLINK__" hidden="1">{"fdsup://Directions/FactSet Auditing Viewer?action=AUDIT_VALUE&amp;DB=129&amp;ID1=95810210&amp;VALUEID=02001&amp;SDATE=200801&amp;PERIODTYPE=QTR_STD&amp;SCFT=3&amp;window=popup_no_bar&amp;width=385&amp;height=120&amp;START_MAXIMIZED=FALSE&amp;creator=factset&amp;display_string=Audit"}</definedName>
    <definedName name="_1672__FDSAUDITLINK__" hidden="1">{"fdsup://Directions/FactSet Auditing Viewer?action=AUDIT_VALUE&amp;DB=129&amp;ID1=95810210&amp;VALUEID=02001&amp;SDATE=200801&amp;PERIODTYPE=QTR_STD&amp;SCFT=3&amp;window=popup_no_bar&amp;width=385&amp;height=120&amp;START_MAXIMIZED=FALSE&amp;creator=factset&amp;display_string=Audit"}</definedName>
    <definedName name="_1673__FDSAUDITLINK__" hidden="1">{"fdsup://Directions/FactSet Auditing Viewer?action=AUDIT_VALUE&amp;DB=129&amp;ID1=92829810&amp;VALUEID=02001&amp;SDATE=200703&amp;PERIODTYPE=QTR_STD&amp;SCFT=3&amp;window=popup_no_bar&amp;width=385&amp;height=120&amp;START_MAXIMIZED=FALSE&amp;creator=factset&amp;display_string=Audit"}</definedName>
    <definedName name="_1674__FDSAUDITLINK__" hidden="1">{"fdsup://Directions/FactSet Auditing Viewer?action=AUDIT_VALUE&amp;DB=129&amp;ID1=92829810&amp;VALUEID=02001&amp;SDATE=200703&amp;PERIODTYPE=QTR_STD&amp;SCFT=3&amp;window=popup_no_bar&amp;width=385&amp;height=120&amp;START_MAXIMIZED=FALSE&amp;creator=factset&amp;display_string=Audit"}</definedName>
    <definedName name="_1675__FDSAUDITLINK__" hidden="1">{"fdsup://Directions/FactSet Auditing Viewer?action=AUDIT_VALUE&amp;DB=129&amp;ID1=88250810&amp;VALUEID=02001&amp;SDATE=200703&amp;PERIODTYPE=QTR_STD&amp;SCFT=3&amp;window=popup_no_bar&amp;width=385&amp;height=120&amp;START_MAXIMIZED=FALSE&amp;creator=factset&amp;display_string=Audit"}</definedName>
    <definedName name="_1676__FDSAUDITLINK__" hidden="1">{"fdsup://Directions/FactSet Auditing Viewer?action=AUDIT_VALUE&amp;DB=129&amp;ID1=88250810&amp;VALUEID=02001&amp;SDATE=200703&amp;PERIODTYPE=QTR_STD&amp;SCFT=3&amp;window=popup_no_bar&amp;width=385&amp;height=120&amp;START_MAXIMIZED=FALSE&amp;creator=factset&amp;display_string=Audit"}</definedName>
    <definedName name="_1677__FDSAUDITLINK__" hidden="1">{"fdsup://Directions/FactSet Auditing Viewer?action=AUDIT_VALUE&amp;DB=129&amp;ID1=89674K10&amp;VALUEID=02001&amp;SDATE=200703&amp;PERIODTYPE=QTR_STD&amp;SCFT=3&amp;window=popup_no_bar&amp;width=385&amp;height=120&amp;START_MAXIMIZED=FALSE&amp;creator=factset&amp;display_string=Audit"}</definedName>
    <definedName name="_1678__FDSAUDITLINK__" hidden="1">{"fdsup://Directions/FactSet Auditing Viewer?action=AUDIT_VALUE&amp;DB=129&amp;ID1=89674K10&amp;VALUEID=02001&amp;SDATE=200703&amp;PERIODTYPE=QTR_STD&amp;SCFT=3&amp;window=popup_no_bar&amp;width=385&amp;height=120&amp;START_MAXIMIZED=FALSE&amp;creator=factset&amp;display_string=Audit"}</definedName>
    <definedName name="_1679__FDSAUDITLINK__" hidden="1">{"fdsup://Directions/FactSet Auditing Viewer?action=AUDIT_VALUE&amp;DB=129&amp;ID1=G7945M10&amp;VALUEID=02001&amp;SDATE=200801&amp;PERIODTYPE=QTR_STD&amp;SCFT=3&amp;window=popup_no_bar&amp;width=385&amp;height=120&amp;START_MAXIMIZED=FALSE&amp;creator=factset&amp;display_string=Audit"}</definedName>
    <definedName name="_168__FDSAUDITLINK__" hidden="1">{"fdsup://Directions/FactSet Auditing Viewer?action=AUDIT_VALUE&amp;DB=129&amp;ID1=G7945M10&amp;VALUEID=02001&amp;SDATE=201102&amp;PERIODTYPE=QTR_STD&amp;SCFT=3&amp;window=popup_no_bar&amp;width=385&amp;height=120&amp;START_MAXIMIZED=FALSE&amp;creator=factset&amp;display_string=Audit"}</definedName>
    <definedName name="_1680__FDSAUDITLINK__" hidden="1">{"fdsup://Directions/FactSet Auditing Viewer?action=AUDIT_VALUE&amp;DB=129&amp;ID1=G7945M10&amp;VALUEID=02001&amp;SDATE=200801&amp;PERIODTYPE=QTR_STD&amp;SCFT=3&amp;window=popup_no_bar&amp;width=385&amp;height=120&amp;START_MAXIMIZED=FALSE&amp;creator=factset&amp;display_string=Audit"}</definedName>
    <definedName name="_1681__FDSAUDITLINK__" hidden="1">{"fdsup://Directions/FactSet Auditing Viewer?action=AUDIT_VALUE&amp;DB=129&amp;ID1=78477410&amp;VALUEID=02001&amp;SDATE=200703&amp;PERIODTYPE=QTR_STD&amp;SCFT=3&amp;window=popup_no_bar&amp;width=385&amp;height=120&amp;START_MAXIMIZED=FALSE&amp;creator=factset&amp;display_string=Audit"}</definedName>
    <definedName name="_1682__FDSAUDITLINK__" hidden="1">{"fdsup://Directions/FactSet Auditing Viewer?action=AUDIT_VALUE&amp;DB=129&amp;ID1=78477410&amp;VALUEID=02001&amp;SDATE=200703&amp;PERIODTYPE=QTR_STD&amp;SCFT=3&amp;window=popup_no_bar&amp;width=385&amp;height=120&amp;START_MAXIMIZED=FALSE&amp;creator=factset&amp;display_string=Audit"}</definedName>
    <definedName name="_1683__FDSAUDITLINK__" hidden="1">{"fdsup://Directions/FactSet Auditing Viewer?action=AUDIT_VALUE&amp;DB=129&amp;ID1=82705710&amp;VALUEID=02001&amp;SDATE=200703&amp;PERIODTYPE=QTR_STD&amp;SCFT=3&amp;window=popup_no_bar&amp;width=385&amp;height=120&amp;START_MAXIMIZED=FALSE&amp;creator=factset&amp;display_string=Audit"}</definedName>
    <definedName name="_1684__FDSAUDITLINK__" hidden="1">{"fdsup://Directions/FactSet Auditing Viewer?action=AUDIT_VALUE&amp;DB=129&amp;ID1=82705710&amp;VALUEID=02001&amp;SDATE=200703&amp;PERIODTYPE=QTR_STD&amp;SCFT=3&amp;window=popup_no_bar&amp;width=385&amp;height=120&amp;START_MAXIMIZED=FALSE&amp;creator=factset&amp;display_string=Audit"}</definedName>
    <definedName name="_1685__FDSAUDITLINK__" hidden="1">{"fdsup://Directions/FactSet Auditing Viewer?action=AUDIT_VALUE&amp;DB=129&amp;ID1=83547010&amp;VALUEID=02001&amp;SDATE=200703&amp;PERIODTYPE=QTR_STD&amp;SCFT=3&amp;window=popup_no_bar&amp;width=385&amp;height=120&amp;START_MAXIMIZED=FALSE&amp;creator=factset&amp;display_string=Audit"}</definedName>
    <definedName name="_1686__FDSAUDITLINK__" hidden="1">{"fdsup://Directions/FactSet Auditing Viewer?action=AUDIT_VALUE&amp;DB=129&amp;ID1=83547010&amp;VALUEID=02001&amp;SDATE=200703&amp;PERIODTYPE=QTR_STD&amp;SCFT=3&amp;window=popup_no_bar&amp;width=385&amp;height=120&amp;START_MAXIMIZED=FALSE&amp;creator=factset&amp;display_string=Audit"}</definedName>
    <definedName name="_1687__FDSAUDITLINK__" hidden="1">{"fdsup://Directions/FactSet Auditing Viewer?action=AUDIT_VALUE&amp;DB=129&amp;ID1=80004C10&amp;VALUEID=02001&amp;SDATE=200703&amp;PERIODTYPE=QTR_STD&amp;SCFT=3&amp;window=popup_no_bar&amp;width=385&amp;height=120&amp;START_MAXIMIZED=FALSE&amp;creator=factset&amp;display_string=Audit"}</definedName>
    <definedName name="_1688__FDSAUDITLINK__" hidden="1">{"fdsup://Directions/FactSet Auditing Viewer?action=AUDIT_VALUE&amp;DB=129&amp;ID1=80004C10&amp;VALUEID=02001&amp;SDATE=200703&amp;PERIODTYPE=QTR_STD&amp;SCFT=3&amp;window=popup_no_bar&amp;width=385&amp;height=120&amp;START_MAXIMIZED=FALSE&amp;creator=factset&amp;display_string=Audit"}</definedName>
    <definedName name="_1689__FDSAUDITLINK__" hidden="1">{"fdsup://Directions/FactSet Auditing Viewer?action=AUDIT_VALUE&amp;DB=129&amp;ID1=81685010&amp;VALUEID=02001&amp;SDATE=200703&amp;PERIODTYPE=QTR_STD&amp;SCFT=3&amp;window=popup_no_bar&amp;width=385&amp;height=120&amp;START_MAXIMIZED=FALSE&amp;creator=factset&amp;display_string=Audit"}</definedName>
    <definedName name="_169__FDSAUDITLINK__" hidden="1">{"fdsup://Directions/FactSet Auditing Viewer?action=AUDIT_VALUE&amp;DB=129&amp;ID1=78477410&amp;VALUEID=02001&amp;SDATE=201004&amp;PERIODTYPE=QTR_STD&amp;SCFT=3&amp;window=popup_no_bar&amp;width=385&amp;height=120&amp;START_MAXIMIZED=FALSE&amp;creator=factset&amp;display_string=Audit"}</definedName>
    <definedName name="_1690__FDSAUDITLINK__" hidden="1">{"fdsup://Directions/FactSet Auditing Viewer?action=AUDIT_VALUE&amp;DB=129&amp;ID1=81685010&amp;VALUEID=02001&amp;SDATE=200703&amp;PERIODTYPE=QTR_STD&amp;SCFT=3&amp;window=popup_no_bar&amp;width=385&amp;height=120&amp;START_MAXIMIZED=FALSE&amp;creator=factset&amp;display_string=Audit"}</definedName>
    <definedName name="_1691__FDSAUDITLINK__" hidden="1">{"fdsup://Directions/FactSet Auditing Viewer?action=AUDIT_VALUE&amp;DB=129&amp;ID1=82691910&amp;VALUEID=02001&amp;SDATE=200703&amp;PERIODTYPE=QTR_STD&amp;SCFT=3&amp;window=popup_no_bar&amp;width=385&amp;height=120&amp;START_MAXIMIZED=FALSE&amp;creator=factset&amp;display_string=Audit"}</definedName>
    <definedName name="_1692__FDSAUDITLINK__" hidden="1">{"fdsup://Directions/FactSet Auditing Viewer?action=AUDIT_VALUE&amp;DB=129&amp;ID1=82691910&amp;VALUEID=02001&amp;SDATE=200703&amp;PERIODTYPE=QTR_STD&amp;SCFT=3&amp;window=popup_no_bar&amp;width=385&amp;height=120&amp;START_MAXIMIZED=FALSE&amp;creator=factset&amp;display_string=Audit"}</definedName>
    <definedName name="_1693__FDSAUDITLINK__" hidden="1">{"fdsup://Directions/FactSet Auditing Viewer?action=AUDIT_VALUE&amp;DB=129&amp;ID1=82705T10&amp;VALUEID=02001&amp;SDATE=200703&amp;PERIODTYPE=QTR_STD&amp;SCFT=3&amp;window=popup_no_bar&amp;width=385&amp;height=120&amp;START_MAXIMIZED=FALSE&amp;creator=factset&amp;display_string=Audit"}</definedName>
    <definedName name="_1694__FDSAUDITLINK__" hidden="1">{"fdsup://Directions/FactSet Auditing Viewer?action=AUDIT_VALUE&amp;DB=129&amp;ID1=82705T10&amp;VALUEID=02001&amp;SDATE=200703&amp;PERIODTYPE=QTR_STD&amp;SCFT=3&amp;window=popup_no_bar&amp;width=385&amp;height=120&amp;START_MAXIMIZED=FALSE&amp;creator=factset&amp;display_string=Audit"}</definedName>
    <definedName name="_1695__FDSAUDITLINK__" hidden="1">{"fdsup://Directions/FactSet Auditing Viewer?action=AUDIT_VALUE&amp;DB=129&amp;ID1=75091710&amp;VALUEID=02001&amp;SDATE=200703&amp;PERIODTYPE=QTR_STD&amp;SCFT=3&amp;window=popup_no_bar&amp;width=385&amp;height=120&amp;START_MAXIMIZED=FALSE&amp;creator=factset&amp;display_string=Audit"}</definedName>
    <definedName name="_1696__FDSAUDITLINK__" hidden="1">{"fdsup://Directions/FactSet Auditing Viewer?action=AUDIT_VALUE&amp;DB=129&amp;ID1=75091710&amp;VALUEID=02001&amp;SDATE=200703&amp;PERIODTYPE=QTR_STD&amp;SCFT=3&amp;window=popup_no_bar&amp;width=385&amp;height=120&amp;START_MAXIMIZED=FALSE&amp;creator=factset&amp;display_string=Audit"}</definedName>
    <definedName name="_1697__FDSAUDITLINK__" hidden="1">{"fdsup://Directions/FactSet Auditing Viewer?action=AUDIT_VALUE&amp;DB=129&amp;ID1=74994110&amp;VALUEID=02001&amp;SDATE=200702&amp;PERIODTYPE=QTR_STD&amp;SCFT=3&amp;window=popup_no_bar&amp;width=385&amp;height=120&amp;START_MAXIMIZED=FALSE&amp;creator=factset&amp;display_string=Audit"}</definedName>
    <definedName name="_1698__FDSAUDITLINK__" hidden="1">{"fdsup://Directions/FactSet Auditing Viewer?action=AUDIT_VALUE&amp;DB=129&amp;ID1=74994110&amp;VALUEID=02001&amp;SDATE=200702&amp;PERIODTYPE=QTR_STD&amp;SCFT=3&amp;window=popup_no_bar&amp;width=385&amp;height=120&amp;START_MAXIMIZED=FALSE&amp;creator=factset&amp;display_string=Audit"}</definedName>
    <definedName name="_1699__FDSAUDITLINK__" hidden="1">{"fdsup://Directions/FactSet Auditing Viewer?action=AUDIT_VALUE&amp;DB=129&amp;ID1=74727710&amp;VALUEID=02001&amp;SDATE=200702&amp;PERIODTYPE=QTR_STD&amp;SCFT=3&amp;window=popup_no_bar&amp;width=385&amp;height=120&amp;START_MAXIMIZED=FALSE&amp;creator=factset&amp;display_string=Audit"}</definedName>
    <definedName name="_17__FDSAUDITLINK__" hidden="1">{"fdsup://Directions/FactSet Auditing Viewer?action=AUDIT_VALUE&amp;DB=129&amp;ID1=637248&amp;VALUEID=05194&amp;SDATE=201103&amp;PERIODTYPE=QTR_STD&amp;SCFT=3&amp;window=popup_no_bar&amp;width=385&amp;height=120&amp;START_MAXIMIZED=FALSE&amp;creator=factset&amp;display_string=Audit"}</definedName>
    <definedName name="_170__FDSAUDITLINK__" hidden="1">{"fdsup://Directions/FactSet Auditing Viewer?action=AUDIT_VALUE&amp;DB=129&amp;ID1=78477410&amp;VALUEID=02001&amp;SDATE=201004&amp;PERIODTYPE=QTR_STD&amp;SCFT=3&amp;window=popup_no_bar&amp;width=385&amp;height=120&amp;START_MAXIMIZED=FALSE&amp;creator=factset&amp;display_string=Audit"}</definedName>
    <definedName name="_1700__FDSAUDITLINK__" hidden="1">{"fdsup://Directions/FactSet Auditing Viewer?action=AUDIT_VALUE&amp;DB=129&amp;ID1=74727710&amp;VALUEID=02001&amp;SDATE=200702&amp;PERIODTYPE=QTR_STD&amp;SCFT=3&amp;window=popup_no_bar&amp;width=385&amp;height=120&amp;START_MAXIMIZED=FALSE&amp;creator=factset&amp;display_string=Audit"}</definedName>
    <definedName name="_1701__FDSAUDITLINK__" hidden="1">{"fdsup://Directions/FactSet Auditing Viewer?action=AUDIT_VALUE&amp;DB=129&amp;ID1=72581M30&amp;VALUEID=02001&amp;SDATE=200703&amp;PERIODTYPE=QTR_STD&amp;SCFT=3&amp;window=popup_no_bar&amp;width=385&amp;height=120&amp;START_MAXIMIZED=FALSE&amp;creator=factset&amp;display_string=Audit"}</definedName>
    <definedName name="_1702__FDSAUDITLINK__" hidden="1">{"fdsup://Directions/FactSet Auditing Viewer?action=AUDIT_VALUE&amp;DB=129&amp;ID1=72581M30&amp;VALUEID=02001&amp;SDATE=200703&amp;PERIODTYPE=QTR_STD&amp;SCFT=3&amp;window=popup_no_bar&amp;width=385&amp;height=120&amp;START_MAXIMIZED=FALSE&amp;creator=factset&amp;display_string=Audit"}</definedName>
    <definedName name="_1703__FDSAUDITLINK__" hidden="1">{"fdsup://Directions/FactSet Auditing Viewer?action=AUDIT_VALUE&amp;DB=129&amp;ID1=73927610&amp;VALUEID=02001&amp;SDATE=200703&amp;PERIODTYPE=QTR_STD&amp;SCFT=3&amp;window=popup_no_bar&amp;width=385&amp;height=120&amp;START_MAXIMIZED=FALSE&amp;creator=factset&amp;display_string=Audit"}</definedName>
    <definedName name="_1704__FDSAUDITLINK__" hidden="1">{"fdsup://Directions/FactSet Auditing Viewer?action=AUDIT_VALUE&amp;DB=129&amp;ID1=73927610&amp;VALUEID=02001&amp;SDATE=200703&amp;PERIODTYPE=QTR_STD&amp;SCFT=3&amp;window=popup_no_bar&amp;width=385&amp;height=120&amp;START_MAXIMIZED=FALSE&amp;creator=factset&amp;display_string=Audit"}</definedName>
    <definedName name="_1705__FDSAUDITLINK__" hidden="1">{"fdsup://Directions/FactSet Auditing Viewer?action=AUDIT_VALUE&amp;DB=129&amp;ID1=69344F10&amp;VALUEID=02001&amp;SDATE=200703&amp;PERIODTYPE=QTR_STD&amp;SCFT=3&amp;window=popup_no_bar&amp;width=385&amp;height=120&amp;START_MAXIMIZED=FALSE&amp;creator=factset&amp;display_string=Audit"}</definedName>
    <definedName name="_1706__FDSAUDITLINK__" hidden="1">{"fdsup://Directions/FactSet Auditing Viewer?action=AUDIT_VALUE&amp;DB=129&amp;ID1=69344F10&amp;VALUEID=02001&amp;SDATE=200703&amp;PERIODTYPE=QTR_STD&amp;SCFT=3&amp;window=popup_no_bar&amp;width=385&amp;height=120&amp;START_MAXIMIZED=FALSE&amp;creator=factset&amp;display_string=Audit"}</definedName>
    <definedName name="_1707__FDSAUDITLINK__" hidden="1">{"fdsup://Directions/FactSet Auditing Viewer?action=AUDIT_VALUE&amp;DB=129&amp;ID1=69341710&amp;VALUEID=02001&amp;SDATE=200703&amp;PERIODTYPE=QTR_STD&amp;SCFT=3&amp;window=popup_no_bar&amp;width=385&amp;height=120&amp;START_MAXIMIZED=FALSE&amp;creator=factset&amp;display_string=Audit"}</definedName>
    <definedName name="_1708__FDSAUDITLINK__" hidden="1">{"fdsup://Directions/FactSet Auditing Viewer?action=AUDIT_VALUE&amp;DB=129&amp;ID1=69341710&amp;VALUEID=02001&amp;SDATE=200703&amp;PERIODTYPE=QTR_STD&amp;SCFT=3&amp;window=popup_no_bar&amp;width=385&amp;height=120&amp;START_MAXIMIZED=FALSE&amp;creator=factset&amp;display_string=Audit"}</definedName>
    <definedName name="_1709__FDSAUDITLINK__" hidden="1">{"fdsup://Directions/FactSet Auditing Viewer?action=AUDIT_VALUE&amp;DB=129&amp;ID1=68218910&amp;VALUEID=02001&amp;SDATE=200703&amp;PERIODTYPE=QTR_STD&amp;SCFT=3&amp;window=popup_no_bar&amp;width=385&amp;height=120&amp;START_MAXIMIZED=FALSE&amp;creator=factset&amp;display_string=Audit"}</definedName>
    <definedName name="_171__FDSAUDITLINK__" hidden="1">{"fdsup://Directions/FactSet Auditing Viewer?action=AUDIT_VALUE&amp;DB=129&amp;ID1=87160710&amp;VALUEID=02001&amp;SDATE=201101&amp;PERIODTYPE=QTR_STD&amp;SCFT=3&amp;window=popup_no_bar&amp;width=385&amp;height=120&amp;START_MAXIMIZED=FALSE&amp;creator=factset&amp;display_string=Audit"}</definedName>
    <definedName name="_1710__FDSAUDITLINK__" hidden="1">{"fdsup://Directions/FactSet Auditing Viewer?action=AUDIT_VALUE&amp;DB=129&amp;ID1=68218910&amp;VALUEID=02001&amp;SDATE=200703&amp;PERIODTYPE=QTR_STD&amp;SCFT=3&amp;window=popup_no_bar&amp;width=385&amp;height=120&amp;START_MAXIMIZED=FALSE&amp;creator=factset&amp;display_string=Audit"}</definedName>
    <definedName name="_1711__FDSAUDITLINK__" hidden="1">{"fdsup://Directions/FactSet Auditing Viewer?action=AUDIT_VALUE&amp;DB=129&amp;ID1=67000810&amp;VALUEID=02001&amp;SDATE=200703&amp;PERIODTYPE=QTR_STD&amp;SCFT=3&amp;window=popup_no_bar&amp;width=385&amp;height=120&amp;START_MAXIMIZED=FALSE&amp;creator=factset&amp;display_string=Audit"}</definedName>
    <definedName name="_1712__FDSAUDITLINK__" hidden="1">{"fdsup://Directions/FactSet Auditing Viewer?action=AUDIT_VALUE&amp;DB=129&amp;ID1=67000810&amp;VALUEID=02001&amp;SDATE=200703&amp;PERIODTYPE=QTR_STD&amp;SCFT=3&amp;window=popup_no_bar&amp;width=385&amp;height=120&amp;START_MAXIMIZED=FALSE&amp;creator=factset&amp;display_string=Audit"}</definedName>
    <definedName name="_1713__FDSAUDITLINK__" hidden="1">{"fdsup://Directions/FactSet Auditing Viewer?action=AUDIT_VALUE&amp;DB=129&amp;ID1=67066G10&amp;VALUEID=02001&amp;SDATE=200703&amp;PERIODTYPE=QTR_STD&amp;SCFT=3&amp;window=popup_no_bar&amp;width=385&amp;height=120&amp;START_MAXIMIZED=FALSE&amp;creator=factset&amp;display_string=Audit"}</definedName>
    <definedName name="_1714__FDSAUDITLINK__" hidden="1">{"fdsup://Directions/FactSet Auditing Viewer?action=AUDIT_VALUE&amp;DB=129&amp;ID1=67066G10&amp;VALUEID=02001&amp;SDATE=200703&amp;PERIODTYPE=QTR_STD&amp;SCFT=3&amp;window=popup_no_bar&amp;width=385&amp;height=120&amp;START_MAXIMIZED=FALSE&amp;creator=factset&amp;display_string=Audit"}</definedName>
    <definedName name="_1715__FDSAUDITLINK__" hidden="1">{"fdsup://Directions/FactSet Auditing Viewer?action=AUDIT_VALUE&amp;DB=129&amp;ID1=63764010&amp;VALUEID=02001&amp;SDATE=200701&amp;PERIODTYPE=QTR_STD&amp;SCFT=3&amp;window=popup_no_bar&amp;width=385&amp;height=120&amp;START_MAXIMIZED=FALSE&amp;creator=factset&amp;display_string=Audit"}</definedName>
    <definedName name="_1716__FDSAUDITLINK__" hidden="1">{"fdsup://Directions/FactSet Auditing Viewer?action=AUDIT_VALUE&amp;DB=129&amp;ID1=63764010&amp;VALUEID=02001&amp;SDATE=200701&amp;PERIODTYPE=QTR_STD&amp;SCFT=3&amp;window=popup_no_bar&amp;width=385&amp;height=120&amp;START_MAXIMIZED=FALSE&amp;creator=factset&amp;display_string=Audit"}</definedName>
    <definedName name="_1717__FDSAUDITLINK__" hidden="1">{"fdsup://Directions/FactSet Auditing Viewer?action=AUDIT_VALUE&amp;DB=129&amp;ID1=64118B10&amp;VALUEID=02001&amp;SDATE=200703&amp;PERIODTYPE=QTR_STD&amp;SCFT=3&amp;window=popup_no_bar&amp;width=385&amp;height=120&amp;START_MAXIMIZED=FALSE&amp;creator=factset&amp;display_string=Audit"}</definedName>
    <definedName name="_1718__FDSAUDITLINK__" hidden="1">{"fdsup://Directions/FactSet Auditing Viewer?action=AUDIT_VALUE&amp;DB=129&amp;ID1=64118B10&amp;VALUEID=02001&amp;SDATE=200703&amp;PERIODTYPE=QTR_STD&amp;SCFT=3&amp;window=popup_no_bar&amp;width=385&amp;height=120&amp;START_MAXIMIZED=FALSE&amp;creator=factset&amp;display_string=Audit"}</definedName>
    <definedName name="_1719__FDSAUDITLINK__" hidden="1">{"fdsup://Directions/FactSet Auditing Viewer?action=AUDIT_VALUE&amp;DB=129&amp;ID1=57772K10&amp;VALUEID=02001&amp;SDATE=200801&amp;PERIODTYPE=QTR_STD&amp;SCFT=3&amp;window=popup_no_bar&amp;width=385&amp;height=120&amp;START_MAXIMIZED=FALSE&amp;creator=factset&amp;display_string=Audit"}</definedName>
    <definedName name="_172__FDSAUDITLINK__" hidden="1">{"fdsup://Directions/FactSet Auditing Viewer?action=AUDIT_VALUE&amp;DB=129&amp;ID1=87160710&amp;VALUEID=02001&amp;SDATE=201101&amp;PERIODTYPE=QTR_STD&amp;SCFT=3&amp;window=popup_no_bar&amp;width=385&amp;height=120&amp;START_MAXIMIZED=FALSE&amp;creator=factset&amp;display_string=Audit"}</definedName>
    <definedName name="_1720__FDSAUDITLINK__" hidden="1">{"fdsup://Directions/FactSet Auditing Viewer?action=AUDIT_VALUE&amp;DB=129&amp;ID1=57772K10&amp;VALUEID=02001&amp;SDATE=200801&amp;PERIODTYPE=QTR_STD&amp;SCFT=3&amp;window=popup_no_bar&amp;width=385&amp;height=120&amp;START_MAXIMIZED=FALSE&amp;creator=factset&amp;display_string=Audit"}</definedName>
    <definedName name="_1721__FDSAUDITLINK__" hidden="1">{"fdsup://Directions/FactSet Auditing Viewer?action=AUDIT_VALUE&amp;DB=129&amp;ID1=G5876H10&amp;VALUEID=02001&amp;SDATE=200703&amp;PERIODTYPE=QTR_STD&amp;SCFT=3&amp;window=popup_no_bar&amp;width=385&amp;height=120&amp;START_MAXIMIZED=FALSE&amp;creator=factset&amp;display_string=Audit"}</definedName>
    <definedName name="_1722__FDSAUDITLINK__" hidden="1">{"fdsup://Directions/FactSet Auditing Viewer?action=AUDIT_VALUE&amp;DB=129&amp;ID1=G5876H10&amp;VALUEID=02001&amp;SDATE=200703&amp;PERIODTYPE=QTR_STD&amp;SCFT=3&amp;window=popup_no_bar&amp;width=385&amp;height=120&amp;START_MAXIMIZED=FALSE&amp;creator=factset&amp;display_string=Audit"}</definedName>
    <definedName name="_1723__FDSAUDITLINK__" hidden="1">{"fdsup://Directions/FactSet Auditing Viewer?action=AUDIT_VALUE&amp;DB=129&amp;ID1=62007630&amp;VALUEID=02001&amp;SDATE=200703&amp;PERIODTYPE=QTR_STD&amp;SCFT=3&amp;window=popup_no_bar&amp;width=385&amp;height=120&amp;START_MAXIMIZED=FALSE&amp;creator=factset&amp;display_string=Audit"}</definedName>
    <definedName name="_1724__FDSAUDITLINK__" hidden="1">{"fdsup://Directions/FactSet Auditing Viewer?action=AUDIT_VALUE&amp;DB=129&amp;ID1=62007630&amp;VALUEID=02001&amp;SDATE=200703&amp;PERIODTYPE=QTR_STD&amp;SCFT=3&amp;window=popup_no_bar&amp;width=385&amp;height=120&amp;START_MAXIMIZED=FALSE&amp;creator=factset&amp;display_string=Audit"}</definedName>
    <definedName name="_1725__FDSAUDITLINK__" hidden="1">{"fdsup://Directions/FactSet Auditing Viewer?action=AUDIT_VALUE&amp;DB=129&amp;ID1=60456710&amp;VALUEID=02001&amp;SDATE=200801&amp;PERIODTYPE=QTR_STD&amp;SCFT=3&amp;window=popup_no_bar&amp;width=385&amp;height=120&amp;START_MAXIMIZED=FALSE&amp;creator=factset&amp;display_string=Audit"}</definedName>
    <definedName name="_1726__FDSAUDITLINK__" hidden="1">{"fdsup://Directions/FactSet Auditing Viewer?action=AUDIT_VALUE&amp;DB=129&amp;ID1=60456710&amp;VALUEID=02001&amp;SDATE=200801&amp;PERIODTYPE=QTR_STD&amp;SCFT=3&amp;window=popup_no_bar&amp;width=385&amp;height=120&amp;START_MAXIMIZED=FALSE&amp;creator=factset&amp;display_string=Audit"}</definedName>
    <definedName name="_1727__FDSAUDITLINK__" hidden="1">{"fdsup://Directions/FactSet Auditing Viewer?action=AUDIT_VALUE&amp;DB=129&amp;ID1=59479310&amp;VALUEID=02001&amp;SDATE=200703&amp;PERIODTYPE=QTR_STD&amp;SCFT=3&amp;window=popup_no_bar&amp;width=385&amp;height=120&amp;START_MAXIMIZED=FALSE&amp;creator=factset&amp;display_string=Audit"}</definedName>
    <definedName name="_1728__FDSAUDITLINK__" hidden="1">{"fdsup://Directions/FactSet Auditing Viewer?action=AUDIT_VALUE&amp;DB=129&amp;ID1=59479310&amp;VALUEID=02001&amp;SDATE=200703&amp;PERIODTYPE=QTR_STD&amp;SCFT=3&amp;window=popup_no_bar&amp;width=385&amp;height=120&amp;START_MAXIMIZED=FALSE&amp;creator=factset&amp;display_string=Audit"}</definedName>
    <definedName name="_1729__FDSAUDITLINK__" hidden="1">{"fdsup://Directions/FactSet Auditing Viewer?action=AUDIT_VALUE&amp;DB=129&amp;ID1=59501710&amp;VALUEID=02001&amp;SDATE=200702&amp;PERIODTYPE=QTR_STD&amp;SCFT=3&amp;window=popup_no_bar&amp;width=385&amp;height=120&amp;START_MAXIMIZED=FALSE&amp;creator=factset&amp;display_string=Audit"}</definedName>
    <definedName name="_173__FDSAUDITLINK__" hidden="1">{"fdsup://Directions/FactSet Auditing Viewer?action=AUDIT_VALUE&amp;DB=129&amp;ID1=80004C10&amp;VALUEID=02001&amp;SDATE=201004&amp;PERIODTYPE=QTR_STD&amp;SCFT=3&amp;window=popup_no_bar&amp;width=385&amp;height=120&amp;START_MAXIMIZED=FALSE&amp;creator=factset&amp;display_string=Audit"}</definedName>
    <definedName name="_1730__FDSAUDITLINK__" hidden="1">{"fdsup://Directions/FactSet Auditing Viewer?action=AUDIT_VALUE&amp;DB=129&amp;ID1=59501710&amp;VALUEID=02001&amp;SDATE=200702&amp;PERIODTYPE=QTR_STD&amp;SCFT=3&amp;window=popup_no_bar&amp;width=385&amp;height=120&amp;START_MAXIMIZED=FALSE&amp;creator=factset&amp;display_string=Audit"}</definedName>
    <definedName name="_1731__FDSAUDITLINK__" hidden="1">{"fdsup://Directions/FactSet Auditing Viewer?action=AUDIT_VALUE&amp;DB=129&amp;ID1=50216110&amp;VALUEID=02001&amp;SDATE=200703&amp;PERIODTYPE=QTR_STD&amp;SCFT=3&amp;window=popup_no_bar&amp;width=385&amp;height=120&amp;START_MAXIMIZED=FALSE&amp;creator=factset&amp;display_string=Audit"}</definedName>
    <definedName name="_1732__FDSAUDITLINK__" hidden="1">{"fdsup://Directions/FactSet Auditing Viewer?action=AUDIT_VALUE&amp;DB=129&amp;ID1=50216110&amp;VALUEID=02001&amp;SDATE=200703&amp;PERIODTYPE=QTR_STD&amp;SCFT=3&amp;window=popup_no_bar&amp;width=385&amp;height=120&amp;START_MAXIMIZED=FALSE&amp;creator=factset&amp;display_string=Audit"}</definedName>
    <definedName name="_1733__FDSAUDITLINK__" hidden="1">{"fdsup://Directions/FactSet Auditing Viewer?action=AUDIT_VALUE&amp;DB=129&amp;ID1=51841510&amp;VALUEID=02001&amp;SDATE=200703&amp;PERIODTYPE=QTR_STD&amp;SCFT=3&amp;window=popup_no_bar&amp;width=385&amp;height=120&amp;START_MAXIMIZED=FALSE&amp;creator=factset&amp;display_string=Audit"}</definedName>
    <definedName name="_1734__FDSAUDITLINK__" hidden="1">{"fdsup://Directions/FactSet Auditing Viewer?action=AUDIT_VALUE&amp;DB=129&amp;ID1=51841510&amp;VALUEID=02001&amp;SDATE=200703&amp;PERIODTYPE=QTR_STD&amp;SCFT=3&amp;window=popup_no_bar&amp;width=385&amp;height=120&amp;START_MAXIMIZED=FALSE&amp;creator=factset&amp;display_string=Audit"}</definedName>
    <definedName name="_1735__FDSAUDITLINK__" hidden="1">{"fdsup://Directions/FactSet Auditing Viewer?action=AUDIT_VALUE&amp;DB=129&amp;ID1=51280710&amp;VALUEID=02001&amp;SDATE=200801&amp;PERIODTYPE=QTR_STD&amp;SCFT=3&amp;window=popup_no_bar&amp;width=385&amp;height=120&amp;START_MAXIMIZED=FALSE&amp;creator=factset&amp;display_string=Audit"}</definedName>
    <definedName name="_1736__FDSAUDITLINK__" hidden="1">{"fdsup://Directions/FactSet Auditing Viewer?action=AUDIT_VALUE&amp;DB=129&amp;ID1=51280710&amp;VALUEID=02001&amp;SDATE=200801&amp;PERIODTYPE=QTR_STD&amp;SCFT=3&amp;window=popup_no_bar&amp;width=385&amp;height=120&amp;START_MAXIMIZED=FALSE&amp;creator=factset&amp;display_string=Audit"}</definedName>
    <definedName name="_1737__FDSAUDITLINK__" hidden="1">{"fdsup://Directions/FactSet Auditing Viewer?action=AUDIT_VALUE&amp;DB=129&amp;ID1=53567810&amp;VALUEID=02001&amp;SDATE=200801&amp;PERIODTYPE=QTR_STD&amp;SCFT=3&amp;window=popup_no_bar&amp;width=385&amp;height=120&amp;START_MAXIMIZED=FALSE&amp;creator=factset&amp;display_string=Audit"}</definedName>
    <definedName name="_1738__FDSAUDITLINK__" hidden="1">{"fdsup://Directions/FactSet Auditing Viewer?action=AUDIT_VALUE&amp;DB=129&amp;ID1=53567810&amp;VALUEID=02001&amp;SDATE=200801&amp;PERIODTYPE=QTR_STD&amp;SCFT=3&amp;window=popup_no_bar&amp;width=385&amp;height=120&amp;START_MAXIMIZED=FALSE&amp;creator=factset&amp;display_string=Audit"}</definedName>
    <definedName name="_1739__FDSAUDITLINK__" hidden="1">{"fdsup://Directions/FactSet Auditing Viewer?action=AUDIT_VALUE&amp;DB=129&amp;ID1=48248010&amp;VALUEID=02001&amp;SDATE=200801&amp;PERIODTYPE=QTR_STD&amp;SCFT=3&amp;window=popup_no_bar&amp;width=385&amp;height=120&amp;START_MAXIMIZED=FALSE&amp;creator=factset&amp;display_string=Audit"}</definedName>
    <definedName name="_174__FDSAUDITLINK__" hidden="1">{"fdsup://Directions/FactSet Auditing Viewer?action=AUDIT_VALUE&amp;DB=129&amp;ID1=80004C10&amp;VALUEID=02001&amp;SDATE=201004&amp;PERIODTYPE=QTR_STD&amp;SCFT=3&amp;window=popup_no_bar&amp;width=385&amp;height=120&amp;START_MAXIMIZED=FALSE&amp;creator=factset&amp;display_string=Audit"}</definedName>
    <definedName name="_1740__FDSAUDITLINK__" hidden="1">{"fdsup://Directions/FactSet Auditing Viewer?action=AUDIT_VALUE&amp;DB=129&amp;ID1=48248010&amp;VALUEID=02001&amp;SDATE=200801&amp;PERIODTYPE=QTR_STD&amp;SCFT=3&amp;window=popup_no_bar&amp;width=385&amp;height=120&amp;START_MAXIMIZED=FALSE&amp;creator=factset&amp;display_string=Audit"}</definedName>
    <definedName name="_1741__FDSAUDITLINK__" hidden="1">{"fdsup://Directions/FactSet Auditing Viewer?action=AUDIT_VALUE&amp;DB=129&amp;ID1=48836020&amp;VALUEID=02001&amp;SDATE=200702&amp;PERIODTYPE=QTR_STD&amp;SCFT=3&amp;window=popup_no_bar&amp;width=385&amp;height=120&amp;START_MAXIMIZED=FALSE&amp;creator=factset&amp;display_string=Audit"}</definedName>
    <definedName name="_1742__FDSAUDITLINK__" hidden="1">{"fdsup://Directions/FactSet Auditing Viewer?action=AUDIT_VALUE&amp;DB=129&amp;ID1=48836020&amp;VALUEID=02001&amp;SDATE=200702&amp;PERIODTYPE=QTR_STD&amp;SCFT=3&amp;window=popup_no_bar&amp;width=385&amp;height=120&amp;START_MAXIMIZED=FALSE&amp;creator=factset&amp;display_string=Audit"}</definedName>
    <definedName name="_1743__FDSAUDITLINK__" hidden="1">{"fdsup://Directions/FactSet Auditing Viewer?action=AUDIT_VALUE&amp;DB=129&amp;ID1=48203R10&amp;VALUEID=02001&amp;SDATE=200703&amp;PERIODTYPE=QTR_STD&amp;SCFT=3&amp;window=popup_no_bar&amp;width=385&amp;height=120&amp;START_MAXIMIZED=FALSE&amp;creator=factset&amp;display_string=Audit"}</definedName>
    <definedName name="_1744__FDSAUDITLINK__" hidden="1">{"fdsup://Directions/FactSet Auditing Viewer?action=AUDIT_VALUE&amp;DB=129&amp;ID1=48203R10&amp;VALUEID=02001&amp;SDATE=200703&amp;PERIODTYPE=QTR_STD&amp;SCFT=3&amp;window=popup_no_bar&amp;width=385&amp;height=120&amp;START_MAXIMIZED=FALSE&amp;creator=factset&amp;display_string=Audit"}</definedName>
    <definedName name="_1745__FDSAUDITLINK__" hidden="1">{"fdsup://Directions/FactSet Auditing Viewer?action=AUDIT_VALUE&amp;DB=129&amp;ID1=86681020&amp;VALUEID=02001&amp;SDATE=200801&amp;PERIODTYPE=QTR_STD&amp;SCFT=3&amp;window=popup_no_bar&amp;width=385&amp;height=120&amp;START_MAXIMIZED=FALSE&amp;creator=factset&amp;display_string=Audit"}</definedName>
    <definedName name="_1746__FDSAUDITLINK__" hidden="1">{"fdsup://Directions/FactSet Auditing Viewer?action=AUDIT_VALUE&amp;DB=129&amp;ID1=86681020&amp;VALUEID=02001&amp;SDATE=200801&amp;PERIODTYPE=QTR_STD&amp;SCFT=3&amp;window=popup_no_bar&amp;width=385&amp;height=120&amp;START_MAXIMIZED=FALSE&amp;creator=factset&amp;display_string=Audit"}</definedName>
    <definedName name="_1747__FDSAUDITLINK__" hidden="1">{"fdsup://Directions/FactSet Auditing Viewer?action=AUDIT_VALUE&amp;DB=129&amp;ID1=46069S10&amp;VALUEID=02001&amp;SDATE=200703&amp;PERIODTYPE=QTR_STD&amp;SCFT=3&amp;window=popup_no_bar&amp;width=385&amp;height=120&amp;START_MAXIMIZED=FALSE&amp;creator=factset&amp;display_string=Audit"}</definedName>
    <definedName name="_1748__FDSAUDITLINK__" hidden="1">{"fdsup://Directions/FactSet Auditing Viewer?action=AUDIT_VALUE&amp;DB=129&amp;ID1=46069S10&amp;VALUEID=02001&amp;SDATE=200703&amp;PERIODTYPE=QTR_STD&amp;SCFT=3&amp;window=popup_no_bar&amp;width=385&amp;height=120&amp;START_MAXIMIZED=FALSE&amp;creator=factset&amp;display_string=Audit"}</definedName>
    <definedName name="_1749__FDSAUDITLINK__" hidden="1">{"fdsup://Directions/FactSet Auditing Viewer?action=AUDIT_VALUE&amp;DB=129&amp;ID1=46025410&amp;VALUEID=02001&amp;SDATE=200801&amp;PERIODTYPE=QTR_STD&amp;SCFT=3&amp;window=popup_no_bar&amp;width=385&amp;height=120&amp;START_MAXIMIZED=FALSE&amp;creator=factset&amp;display_string=Audit"}</definedName>
    <definedName name="_175__FDSAUDITLINK__" hidden="1">{"fdsup://Directions/FactSet Auditing Viewer?action=AUDIT_VALUE&amp;DB=129&amp;ID1=81685010&amp;VALUEID=02001&amp;SDATE=201004&amp;PERIODTYPE=QTR_STD&amp;SCFT=3&amp;window=popup_no_bar&amp;width=385&amp;height=120&amp;START_MAXIMIZED=FALSE&amp;creator=factset&amp;display_string=Audit"}</definedName>
    <definedName name="_1750__FDSAUDITLINK__" hidden="1">{"fdsup://Directions/FactSet Auditing Viewer?action=AUDIT_VALUE&amp;DB=129&amp;ID1=46025410&amp;VALUEID=02001&amp;SDATE=200801&amp;PERIODTYPE=QTR_STD&amp;SCFT=3&amp;window=popup_no_bar&amp;width=385&amp;height=120&amp;START_MAXIMIZED=FALSE&amp;creator=factset&amp;display_string=Audit"}</definedName>
    <definedName name="_1751__FDSAUDITLINK__" hidden="1">{"fdsup://Directions/FactSet Auditing Viewer?action=AUDIT_VALUE&amp;DB=129&amp;ID1=45814010&amp;VALUEID=02001&amp;SDATE=200703&amp;PERIODTYPE=QTR_STD&amp;SCFT=3&amp;window=popup_no_bar&amp;width=385&amp;height=120&amp;START_MAXIMIZED=FALSE&amp;creator=factset&amp;display_string=Audit"}</definedName>
    <definedName name="_1752__FDSAUDITLINK__" hidden="1">{"fdsup://Directions/FactSet Auditing Viewer?action=AUDIT_VALUE&amp;DB=129&amp;ID1=45814010&amp;VALUEID=02001&amp;SDATE=200703&amp;PERIODTYPE=QTR_STD&amp;SCFT=3&amp;window=popup_no_bar&amp;width=385&amp;height=120&amp;START_MAXIMIZED=FALSE&amp;creator=factset&amp;display_string=Audit"}</definedName>
    <definedName name="_1753__FDSAUDITLINK__" hidden="1">{"fdsup://Directions/FactSet Auditing Viewer?action=AUDIT_VALUE&amp;DB=129&amp;ID1=45811810&amp;VALUEID=02001&amp;SDATE=200702&amp;PERIODTYPE=QTR_STD&amp;SCFT=3&amp;window=popup_no_bar&amp;width=385&amp;height=120&amp;START_MAXIMIZED=FALSE&amp;creator=factset&amp;display_string=Audit"}</definedName>
    <definedName name="_1754__FDSAUDITLINK__" hidden="1">{"fdsup://Directions/FactSet Auditing Viewer?action=AUDIT_VALUE&amp;DB=129&amp;ID1=45811810&amp;VALUEID=02001&amp;SDATE=200702&amp;PERIODTYPE=QTR_STD&amp;SCFT=3&amp;window=popup_no_bar&amp;width=385&amp;height=120&amp;START_MAXIMIZED=FALSE&amp;creator=factset&amp;display_string=Audit"}</definedName>
    <definedName name="_1755__FDSAUDITLINK__" hidden="1">{"fdsup://Directions/FactSet Auditing Viewer?action=AUDIT_VALUE&amp;DB=129&amp;ID1=H2906T10&amp;VALUEID=02001&amp;SDATE=200703&amp;PERIODTYPE=QTR_STD&amp;SCFT=3&amp;window=popup_no_bar&amp;width=385&amp;height=120&amp;START_MAXIMIZED=FALSE&amp;creator=factset&amp;display_string=Audit"}</definedName>
    <definedName name="_1756__FDSAUDITLINK__" hidden="1">{"fdsup://Directions/FactSet Auditing Viewer?action=AUDIT_VALUE&amp;DB=129&amp;ID1=H2906T10&amp;VALUEID=02001&amp;SDATE=200703&amp;PERIODTYPE=QTR_STD&amp;SCFT=3&amp;window=popup_no_bar&amp;width=385&amp;height=120&amp;START_MAXIMIZED=FALSE&amp;creator=factset&amp;display_string=Audit"}</definedName>
    <definedName name="_1757__FDSAUDITLINK__" hidden="1">{"fdsup://Directions/FactSet Auditing Viewer?action=AUDIT_VALUE&amp;DB=129&amp;ID1=34637510&amp;VALUEID=02001&amp;SDATE=200703&amp;PERIODTYPE=QTR_STD&amp;SCFT=3&amp;window=popup_no_bar&amp;width=385&amp;height=120&amp;START_MAXIMIZED=FALSE&amp;creator=factset&amp;display_string=Audit"}</definedName>
    <definedName name="_1758__FDSAUDITLINK__" hidden="1">{"fdsup://Directions/FactSet Auditing Viewer?action=AUDIT_VALUE&amp;DB=129&amp;ID1=34637510&amp;VALUEID=02001&amp;SDATE=200703&amp;PERIODTYPE=QTR_STD&amp;SCFT=3&amp;window=popup_no_bar&amp;width=385&amp;height=120&amp;START_MAXIMIZED=FALSE&amp;creator=factset&amp;display_string=Audit"}</definedName>
    <definedName name="_1759__FDSAUDITLINK__" hidden="1">{"fdsup://Directions/FactSet Auditing Viewer?action=AUDIT_VALUE&amp;DB=129&amp;ID1=29247520&amp;VALUEID=02001&amp;SDATE=200801&amp;PERIODTYPE=QTR_STD&amp;SCFT=3&amp;window=popup_no_bar&amp;width=385&amp;height=120&amp;START_MAXIMIZED=FALSE&amp;creator=factset&amp;display_string=Audit"}</definedName>
    <definedName name="_176__FDSAUDITLINK__" hidden="1">{"fdsup://Directions/FactSet Auditing Viewer?action=AUDIT_VALUE&amp;DB=129&amp;ID1=81685010&amp;VALUEID=02001&amp;SDATE=201004&amp;PERIODTYPE=QTR_STD&amp;SCFT=3&amp;window=popup_no_bar&amp;width=385&amp;height=120&amp;START_MAXIMIZED=FALSE&amp;creator=factset&amp;display_string=Audit"}</definedName>
    <definedName name="_1760__FDSAUDITLINK__" hidden="1">{"fdsup://Directions/FactSet Auditing Viewer?action=AUDIT_VALUE&amp;DB=129&amp;ID1=29247520&amp;VALUEID=02001&amp;SDATE=200801&amp;PERIODTYPE=QTR_STD&amp;SCFT=3&amp;window=popup_no_bar&amp;width=385&amp;height=120&amp;START_MAXIMIZED=FALSE&amp;creator=factset&amp;display_string=Audit"}</definedName>
    <definedName name="_1761__FDSAUDITLINK__" hidden="1">{"fdsup://Directions/FactSet Auditing Viewer?action=AUDIT_VALUE&amp;DB=129&amp;ID1=25454310&amp;VALUEID=02001&amp;SDATE=200703&amp;PERIODTYPE=QTR_STD&amp;SCFT=3&amp;window=popup_no_bar&amp;width=385&amp;height=120&amp;START_MAXIMIZED=FALSE&amp;creator=factset&amp;display_string=Audit"}</definedName>
    <definedName name="_1762__FDSAUDITLINK__" hidden="1">{"fdsup://Directions/FactSet Auditing Viewer?action=AUDIT_VALUE&amp;DB=129&amp;ID1=25454310&amp;VALUEID=02001&amp;SDATE=200703&amp;PERIODTYPE=QTR_STD&amp;SCFT=3&amp;window=popup_no_bar&amp;width=385&amp;height=120&amp;START_MAXIMIZED=FALSE&amp;creator=factset&amp;display_string=Audit"}</definedName>
    <definedName name="_1763__FDSAUDITLINK__" hidden="1">{"fdsup://Directions/FactSet Auditing Viewer?action=AUDIT_VALUE&amp;DB=129&amp;ID1=24702R10&amp;VALUEID=02001&amp;SDATE=200703&amp;PERIODTYPE=QTR_STD&amp;SCFT=3&amp;window=popup_no_bar&amp;width=385&amp;height=120&amp;START_MAXIMIZED=FALSE&amp;creator=factset&amp;display_string=Audit"}</definedName>
    <definedName name="_1764__FDSAUDITLINK__" hidden="1">{"fdsup://Directions/FactSet Auditing Viewer?action=AUDIT_VALUE&amp;DB=129&amp;ID1=24702R10&amp;VALUEID=02001&amp;SDATE=200703&amp;PERIODTYPE=QTR_STD&amp;SCFT=3&amp;window=popup_no_bar&amp;width=385&amp;height=120&amp;START_MAXIMIZED=FALSE&amp;creator=factset&amp;display_string=Audit"}</definedName>
    <definedName name="_1765__FDSAUDITLINK__" hidden="1">{"fdsup://Directions/FactSet Auditing Viewer?action=AUDIT_VALUE&amp;DB=129&amp;ID1=23257210&amp;VALUEID=02001&amp;SDATE=200703&amp;PERIODTYPE=QTR_STD&amp;SCFT=3&amp;window=popup_no_bar&amp;width=385&amp;height=120&amp;START_MAXIMIZED=FALSE&amp;creator=factset&amp;display_string=Audit"}</definedName>
    <definedName name="_1766__FDSAUDITLINK__" hidden="1">{"fdsup://Directions/FactSet Auditing Viewer?action=AUDIT_VALUE&amp;DB=129&amp;ID1=23257210&amp;VALUEID=02001&amp;SDATE=200703&amp;PERIODTYPE=QTR_STD&amp;SCFT=3&amp;window=popup_no_bar&amp;width=385&amp;height=120&amp;START_MAXIMIZED=FALSE&amp;creator=factset&amp;display_string=Audit"}</definedName>
    <definedName name="_1767__FDSAUDITLINK__" hidden="1">{"fdsup://Directions/FactSet Auditing Viewer?action=AUDIT_VALUE&amp;DB=129&amp;ID1=23280610&amp;VALUEID=02001&amp;SDATE=200703&amp;PERIODTYPE=QTR_STD&amp;SCFT=3&amp;window=popup_no_bar&amp;width=385&amp;height=120&amp;START_MAXIMIZED=FALSE&amp;creator=factset&amp;display_string=Audit"}</definedName>
    <definedName name="_1768__FDSAUDITLINK__" hidden="1">{"fdsup://Directions/FactSet Auditing Viewer?action=AUDIT_VALUE&amp;DB=129&amp;ID1=23280610&amp;VALUEID=02001&amp;SDATE=200703&amp;PERIODTYPE=QTR_STD&amp;SCFT=3&amp;window=popup_no_bar&amp;width=385&amp;height=120&amp;START_MAXIMIZED=FALSE&amp;creator=factset&amp;display_string=Audit"}</definedName>
    <definedName name="_1769__FDSAUDITLINK__" hidden="1">{"fdsup://Directions/FactSet Auditing Viewer?action=AUDIT_VALUE&amp;DB=129&amp;ID1=17275R10&amp;VALUEID=02001&amp;SDATE=200801&amp;PERIODTYPE=QTR_STD&amp;SCFT=3&amp;window=popup_no_bar&amp;width=385&amp;height=120&amp;START_MAXIMIZED=FALSE&amp;creator=factset&amp;display_string=Audit"}</definedName>
    <definedName name="_177__FDSAUDITLINK__" hidden="1">{"fdsup://Directions/FactSet Auditing Viewer?action=AUDIT_VALUE&amp;DB=129&amp;ID1=82691910&amp;VALUEID=02001&amp;SDATE=201004&amp;PERIODTYPE=QTR_STD&amp;SCFT=3&amp;window=popup_no_bar&amp;width=385&amp;height=120&amp;START_MAXIMIZED=FALSE&amp;creator=factset&amp;display_string=Audit"}</definedName>
    <definedName name="_1770__FDSAUDITLINK__" hidden="1">{"fdsup://Directions/FactSet Auditing Viewer?action=AUDIT_VALUE&amp;DB=129&amp;ID1=17275R10&amp;VALUEID=02001&amp;SDATE=200801&amp;PERIODTYPE=QTR_STD&amp;SCFT=3&amp;window=popup_no_bar&amp;width=385&amp;height=120&amp;START_MAXIMIZED=FALSE&amp;creator=factset&amp;display_string=Audit"}</definedName>
    <definedName name="_1771__FDSAUDITLINK__" hidden="1">{"fdsup://Directions/FactSet Auditing Viewer?action=AUDIT_VALUE&amp;DB=129&amp;ID1=22544710&amp;VALUEID=02001&amp;SDATE=200801&amp;PERIODTYPE=QTR_STD&amp;SCFT=3&amp;window=popup_no_bar&amp;width=385&amp;height=120&amp;START_MAXIMIZED=FALSE&amp;creator=factset&amp;display_string=Audit"}</definedName>
    <definedName name="_1772__FDSAUDITLINK__" hidden="1">{"fdsup://Directions/FactSet Auditing Viewer?action=AUDIT_VALUE&amp;DB=129&amp;ID1=22544710&amp;VALUEID=02001&amp;SDATE=200801&amp;PERIODTYPE=QTR_STD&amp;SCFT=3&amp;window=popup_no_bar&amp;width=385&amp;height=120&amp;START_MAXIMIZED=FALSE&amp;creator=factset&amp;display_string=Audit"}</definedName>
    <definedName name="_1773__FDSAUDITLINK__" hidden="1">{"fdsup://Directions/FactSet Auditing Viewer?action=AUDIT_VALUE&amp;DB=129&amp;ID1=12738710&amp;VALUEID=02001&amp;SDATE=200703&amp;PERIODTYPE=QTR_STD&amp;SCFT=3&amp;window=popup_no_bar&amp;width=385&amp;height=120&amp;START_MAXIMIZED=FALSE&amp;creator=factset&amp;display_string=Audit"}</definedName>
    <definedName name="_1774__FDSAUDITLINK__" hidden="1">{"fdsup://Directions/FactSet Auditing Viewer?action=AUDIT_VALUE&amp;DB=129&amp;ID1=12738710&amp;VALUEID=02001&amp;SDATE=200703&amp;PERIODTYPE=QTR_STD&amp;SCFT=3&amp;window=popup_no_bar&amp;width=385&amp;height=120&amp;START_MAXIMIZED=FALSE&amp;creator=factset&amp;display_string=Audit"}</definedName>
    <definedName name="_1775__FDSAUDITLINK__" hidden="1">{"fdsup://Directions/FactSet Auditing Viewer?action=AUDIT_VALUE&amp;DB=129&amp;ID1=14964U10&amp;VALUEID=02001&amp;SDATE=200703&amp;PERIODTYPE=QTR_STD&amp;SCFT=3&amp;window=popup_no_bar&amp;width=385&amp;height=120&amp;START_MAXIMIZED=FALSE&amp;creator=factset&amp;display_string=Audit"}</definedName>
    <definedName name="_1776__FDSAUDITLINK__" hidden="1">{"fdsup://Directions/FactSet Auditing Viewer?action=AUDIT_VALUE&amp;DB=129&amp;ID1=14964U10&amp;VALUEID=02001&amp;SDATE=200703&amp;PERIODTYPE=QTR_STD&amp;SCFT=3&amp;window=popup_no_bar&amp;width=385&amp;height=120&amp;START_MAXIMIZED=FALSE&amp;creator=factset&amp;display_string=Audit"}</definedName>
    <definedName name="_1777__FDSAUDITLINK__" hidden="1">{"fdsup://Directions/FactSet Auditing Viewer?action=AUDIT_VALUE&amp;DB=129&amp;ID1=04743P10&amp;VALUEID=02001&amp;SDATE=200703&amp;PERIODTYPE=QTR_STD&amp;SCFT=3&amp;window=popup_no_bar&amp;width=385&amp;height=120&amp;START_MAXIMIZED=FALSE&amp;creator=factset&amp;display_string=Audit"}</definedName>
    <definedName name="_1778__FDSAUDITLINK__" hidden="1">{"fdsup://Directions/FactSet Auditing Viewer?action=AUDIT_VALUE&amp;DB=129&amp;ID1=04743P10&amp;VALUEID=02001&amp;SDATE=200703&amp;PERIODTYPE=QTR_STD&amp;SCFT=3&amp;window=popup_no_bar&amp;width=385&amp;height=120&amp;START_MAXIMIZED=FALSE&amp;creator=factset&amp;display_string=Audit"}</definedName>
    <definedName name="_1779__FDSAUDITLINK__" hidden="1">{"fdsup://Directions/FactSet Auditing Viewer?action=AUDIT_VALUE&amp;DB=129&amp;ID1=03251510&amp;VALUEID=02001&amp;SDATE=200703&amp;PERIODTYPE=QTR_STD&amp;SCFT=3&amp;window=popup_no_bar&amp;width=385&amp;height=120&amp;START_MAXIMIZED=FALSE&amp;creator=factset&amp;display_string=Audit"}</definedName>
    <definedName name="_178__FDSAUDITLINK__" hidden="1">{"fdsup://Directions/FactSet Auditing Viewer?action=AUDIT_VALUE&amp;DB=129&amp;ID1=82691910&amp;VALUEID=02001&amp;SDATE=201004&amp;PERIODTYPE=QTR_STD&amp;SCFT=3&amp;window=popup_no_bar&amp;width=385&amp;height=120&amp;START_MAXIMIZED=FALSE&amp;creator=factset&amp;display_string=Audit"}</definedName>
    <definedName name="_1780__FDSAUDITLINK__" hidden="1">{"fdsup://Directions/FactSet Auditing Viewer?action=AUDIT_VALUE&amp;DB=129&amp;ID1=03251510&amp;VALUEID=02001&amp;SDATE=200703&amp;PERIODTYPE=QTR_STD&amp;SCFT=3&amp;window=popup_no_bar&amp;width=385&amp;height=120&amp;START_MAXIMIZED=FALSE&amp;creator=factset&amp;display_string=Audit"}</definedName>
    <definedName name="_1781__FDSAUDITLINK__" hidden="1">{"fdsup://Directions/FactSet Auditing Viewer?action=AUDIT_VALUE&amp;DB=129&amp;ID1=00790310&amp;VALUEID=02001&amp;SDATE=200703&amp;PERIODTYPE=QTR_STD&amp;SCFT=3&amp;window=popup_no_bar&amp;width=385&amp;height=120&amp;START_MAXIMIZED=FALSE&amp;creator=factset&amp;display_string=Audit"}</definedName>
    <definedName name="_1782__FDSAUDITLINK__" hidden="1">{"fdsup://Directions/FactSet Auditing Viewer?action=AUDIT_VALUE&amp;DB=129&amp;ID1=00790310&amp;VALUEID=02001&amp;SDATE=200703&amp;PERIODTYPE=QTR_STD&amp;SCFT=3&amp;window=popup_no_bar&amp;width=385&amp;height=120&amp;START_MAXIMIZED=FALSE&amp;creator=factset&amp;display_string=Audit"}</definedName>
    <definedName name="_1783__FDSAUDITLINK__" hidden="1">{"fdsup://Directions/FactSet Auditing Viewer?action=AUDIT_VALUE&amp;DB=129&amp;ID1=03822W40&amp;VALUEID=02001&amp;SDATE=200702&amp;PERIODTYPE=QTR_STD&amp;SCFT=3&amp;window=popup_no_bar&amp;width=385&amp;height=120&amp;START_MAXIMIZED=FALSE&amp;creator=factset&amp;display_string=Audit"}</definedName>
    <definedName name="_1784__FDSAUDITLINK__" hidden="1">{"fdsup://Directions/FactSet Auditing Viewer?action=AUDIT_VALUE&amp;DB=129&amp;ID1=03822W40&amp;VALUEID=02001&amp;SDATE=200702&amp;PERIODTYPE=QTR_STD&amp;SCFT=3&amp;window=popup_no_bar&amp;width=385&amp;height=120&amp;START_MAXIMIZED=FALSE&amp;creator=factset&amp;display_string=Audit"}</definedName>
    <definedName name="_1785__FDSAUDITLINK__" hidden="1">{"fdsup://Directions/FactSet Auditing Viewer?action=AUDIT_VALUE&amp;DB=129&amp;ID1=02144110&amp;VALUEID=02001&amp;SDATE=200703&amp;PERIODTYPE=QTR_STD&amp;SCFT=3&amp;window=popup_no_bar&amp;width=385&amp;height=120&amp;START_MAXIMIZED=FALSE&amp;creator=factset&amp;display_string=Audit"}</definedName>
    <definedName name="_1786__FDSAUDITLINK__" hidden="1">{"fdsup://Directions/FactSet Auditing Viewer?action=AUDIT_VALUE&amp;DB=129&amp;ID1=02144110&amp;VALUEID=02001&amp;SDATE=200703&amp;PERIODTYPE=QTR_STD&amp;SCFT=3&amp;window=popup_no_bar&amp;width=385&amp;height=120&amp;START_MAXIMIZED=FALSE&amp;creator=factset&amp;display_string=Audit"}</definedName>
    <definedName name="_1787__FDSAUDITLINK__" hidden="1">{"fdsup://Directions/FactSet Auditing Viewer?action=AUDIT_VALUE&amp;DB=129&amp;ID1=00752J10&amp;VALUEID=02001&amp;SDATE=200703&amp;PERIODTYPE=QTR_STD&amp;SCFT=3&amp;window=popup_no_bar&amp;width=385&amp;height=120&amp;START_MAXIMIZED=FALSE&amp;creator=factset&amp;display_string=Audit"}</definedName>
    <definedName name="_1788__FDSAUDITLINK__" hidden="1">{"fdsup://Directions/FactSet Auditing Viewer?action=AUDIT_VALUE&amp;DB=129&amp;ID1=00752J10&amp;VALUEID=02001&amp;SDATE=200703&amp;PERIODTYPE=QTR_STD&amp;SCFT=3&amp;window=popup_no_bar&amp;width=385&amp;height=120&amp;START_MAXIMIZED=FALSE&amp;creator=factset&amp;display_string=Audit"}</definedName>
    <definedName name="_1789__FDSAUDITLINK__" hidden="1">{"fdsup://Directions/FactSet Auditing Viewer?action=AUDIT_VALUE&amp;DB=129&amp;ID1=98975F10&amp;VALUEID=02001&amp;SDATE=200702&amp;PERIODTYPE=QTR_STD&amp;SCFT=3&amp;window=popup_no_bar&amp;width=385&amp;height=120&amp;START_MAXIMIZED=FALSE&amp;creator=factset&amp;display_string=Audit"}</definedName>
    <definedName name="_179__FDSAUDITLINK__" hidden="1">{"fdsup://Directions/FactSet Auditing Viewer?action=AUDIT_VALUE&amp;DB=129&amp;ID1=82705T10&amp;VALUEID=02001&amp;SDATE=201004&amp;PERIODTYPE=QTR_STD&amp;SCFT=3&amp;window=popup_no_bar&amp;width=385&amp;height=120&amp;START_MAXIMIZED=FALSE&amp;creator=factset&amp;display_string=Audit"}</definedName>
    <definedName name="_1790__FDSAUDITLINK__" hidden="1">{"fdsup://Directions/FactSet Auditing Viewer?action=AUDIT_VALUE&amp;DB=129&amp;ID1=98975F10&amp;VALUEID=02001&amp;SDATE=200702&amp;PERIODTYPE=QTR_STD&amp;SCFT=3&amp;window=popup_no_bar&amp;width=385&amp;height=120&amp;START_MAXIMIZED=FALSE&amp;creator=factset&amp;display_string=Audit"}</definedName>
    <definedName name="_1791__FDSAUDITLINK__" hidden="1">{"fdsup://Directions/FactSet Auditing Viewer?action=AUDIT_VALUE&amp;DB=129&amp;ID1=98391910&amp;VALUEID=02001&amp;SDATE=200701&amp;PERIODTYPE=QTR_STD&amp;SCFT=3&amp;window=popup_no_bar&amp;width=385&amp;height=120&amp;START_MAXIMIZED=FALSE&amp;creator=factset&amp;display_string=Audit"}</definedName>
    <definedName name="_1792__FDSAUDITLINK__" hidden="1">{"fdsup://Directions/FactSet Auditing Viewer?action=AUDIT_VALUE&amp;DB=129&amp;ID1=98391910&amp;VALUEID=02001&amp;SDATE=200701&amp;PERIODTYPE=QTR_STD&amp;SCFT=3&amp;window=popup_no_bar&amp;width=385&amp;height=120&amp;START_MAXIMIZED=FALSE&amp;creator=factset&amp;display_string=Audit"}</definedName>
    <definedName name="_1793__FDSAUDITLINK__" hidden="1">{"fdsup://Directions/FactSet Auditing Viewer?action=AUDIT_VALUE&amp;DB=129&amp;ID1=92829810&amp;VALUEID=02001&amp;SDATE=200702&amp;PERIODTYPE=QTR_STD&amp;SCFT=3&amp;window=popup_no_bar&amp;width=385&amp;height=120&amp;START_MAXIMIZED=FALSE&amp;creator=factset&amp;display_string=Audit"}</definedName>
    <definedName name="_1794__FDSAUDITLINK__" hidden="1">{"fdsup://Directions/FactSet Auditing Viewer?action=AUDIT_VALUE&amp;DB=129&amp;ID1=92829810&amp;VALUEID=02001&amp;SDATE=200702&amp;PERIODTYPE=QTR_STD&amp;SCFT=3&amp;window=popup_no_bar&amp;width=385&amp;height=120&amp;START_MAXIMIZED=FALSE&amp;creator=factset&amp;display_string=Audit"}</definedName>
    <definedName name="_1795__FDSAUDITLINK__" hidden="1">{"fdsup://Directions/FactSet Auditing Viewer?action=AUDIT_VALUE&amp;DB=129&amp;ID1=88250810&amp;VALUEID=02001&amp;SDATE=200702&amp;PERIODTYPE=QTR_STD&amp;SCFT=3&amp;window=popup_no_bar&amp;width=385&amp;height=120&amp;START_MAXIMIZED=FALSE&amp;creator=factset&amp;display_string=Audit"}</definedName>
    <definedName name="_1796__FDSAUDITLINK__" hidden="1">{"fdsup://Directions/FactSet Auditing Viewer?action=AUDIT_VALUE&amp;DB=129&amp;ID1=88250810&amp;VALUEID=02001&amp;SDATE=200702&amp;PERIODTYPE=QTR_STD&amp;SCFT=3&amp;window=popup_no_bar&amp;width=385&amp;height=120&amp;START_MAXIMIZED=FALSE&amp;creator=factset&amp;display_string=Audit"}</definedName>
    <definedName name="_1797__FDSAUDITLINK__" hidden="1">{"fdsup://Directions/FactSet Auditing Viewer?action=AUDIT_VALUE&amp;DB=129&amp;ID1=89674K10&amp;VALUEID=02001&amp;SDATE=200702&amp;PERIODTYPE=QTR_STD&amp;SCFT=3&amp;window=popup_no_bar&amp;width=385&amp;height=120&amp;START_MAXIMIZED=FALSE&amp;creator=factset&amp;display_string=Audit"}</definedName>
    <definedName name="_1798__FDSAUDITLINK__" hidden="1">{"fdsup://Directions/FactSet Auditing Viewer?action=AUDIT_VALUE&amp;DB=129&amp;ID1=89674K10&amp;VALUEID=02001&amp;SDATE=200702&amp;PERIODTYPE=QTR_STD&amp;SCFT=3&amp;window=popup_no_bar&amp;width=385&amp;height=120&amp;START_MAXIMIZED=FALSE&amp;creator=factset&amp;display_string=Audit"}</definedName>
    <definedName name="_1799__FDSAUDITLINK__" hidden="1">{"fdsup://Directions/FactSet Auditing Viewer?action=AUDIT_VALUE&amp;DB=129&amp;ID1=83088M10&amp;VALUEID=02001&amp;SDATE=200703&amp;PERIODTYPE=QTR_STD&amp;SCFT=3&amp;window=popup_no_bar&amp;width=385&amp;height=120&amp;START_MAXIMIZED=FALSE&amp;creator=factset&amp;display_string=Audit"}</definedName>
    <definedName name="_18__FDSAUDITLINK__" hidden="1">{"fdsup://Directions/FactSet Auditing Viewer?action=AUDIT_VALUE&amp;DB=129&amp;ID1=03265410&amp;VALUEID=02001&amp;SDATE=201104&amp;PERIODTYPE=QTR_STD&amp;SCFT=3&amp;window=popup_no_bar&amp;width=385&amp;height=120&amp;START_MAXIMIZED=FALSE&amp;creator=factset&amp;display_string=Audit"}</definedName>
    <definedName name="_180__FDSAUDITLINK__" hidden="1">{"fdsup://Directions/FactSet Auditing Viewer?action=AUDIT_VALUE&amp;DB=129&amp;ID1=82705T10&amp;VALUEID=02001&amp;SDATE=201004&amp;PERIODTYPE=QTR_STD&amp;SCFT=3&amp;window=popup_no_bar&amp;width=385&amp;height=120&amp;START_MAXIMIZED=FALSE&amp;creator=factset&amp;display_string=Audit"}</definedName>
    <definedName name="_1800__FDSAUDITLINK__" hidden="1">{"fdsup://Directions/FactSet Auditing Viewer?action=AUDIT_VALUE&amp;DB=129&amp;ID1=83088M10&amp;VALUEID=02001&amp;SDATE=200703&amp;PERIODTYPE=QTR_STD&amp;SCFT=3&amp;window=popup_no_bar&amp;width=385&amp;height=120&amp;START_MAXIMIZED=FALSE&amp;creator=factset&amp;display_string=Audit"}</definedName>
    <definedName name="_1801__FDSAUDITLINK__" hidden="1">{"fdsup://Directions/FactSet Auditing Viewer?action=AUDIT_VALUE&amp;DB=129&amp;ID1=78477410&amp;VALUEID=02001&amp;SDATE=200702&amp;PERIODTYPE=QTR_STD&amp;SCFT=3&amp;window=popup_no_bar&amp;width=385&amp;height=120&amp;START_MAXIMIZED=FALSE&amp;creator=factset&amp;display_string=Audit"}</definedName>
    <definedName name="_1802__FDSAUDITLINK__" hidden="1">{"fdsup://Directions/FactSet Auditing Viewer?action=AUDIT_VALUE&amp;DB=129&amp;ID1=78477410&amp;VALUEID=02001&amp;SDATE=200702&amp;PERIODTYPE=QTR_STD&amp;SCFT=3&amp;window=popup_no_bar&amp;width=385&amp;height=120&amp;START_MAXIMIZED=FALSE&amp;creator=factset&amp;display_string=Audit"}</definedName>
    <definedName name="_1803__FDSAUDITLINK__" hidden="1">{"fdsup://Directions/FactSet Auditing Viewer?action=AUDIT_VALUE&amp;DB=129&amp;ID1=82705710&amp;VALUEID=02001&amp;SDATE=200702&amp;PERIODTYPE=QTR_STD&amp;SCFT=3&amp;window=popup_no_bar&amp;width=385&amp;height=120&amp;START_MAXIMIZED=FALSE&amp;creator=factset&amp;display_string=Audit"}</definedName>
    <definedName name="_1804__FDSAUDITLINK__" hidden="1">{"fdsup://Directions/FactSet Auditing Viewer?action=AUDIT_VALUE&amp;DB=129&amp;ID1=82705710&amp;VALUEID=02001&amp;SDATE=200702&amp;PERIODTYPE=QTR_STD&amp;SCFT=3&amp;window=popup_no_bar&amp;width=385&amp;height=120&amp;START_MAXIMIZED=FALSE&amp;creator=factset&amp;display_string=Audit"}</definedName>
    <definedName name="_1805__FDSAUDITLINK__" hidden="1">{"fdsup://Directions/FactSet Auditing Viewer?action=AUDIT_VALUE&amp;DB=129&amp;ID1=83547010&amp;VALUEID=02001&amp;SDATE=200702&amp;PERIODTYPE=QTR_STD&amp;SCFT=3&amp;window=popup_no_bar&amp;width=385&amp;height=120&amp;START_MAXIMIZED=FALSE&amp;creator=factset&amp;display_string=Audit"}</definedName>
    <definedName name="_1806__FDSAUDITLINK__" hidden="1">{"fdsup://Directions/FactSet Auditing Viewer?action=AUDIT_VALUE&amp;DB=129&amp;ID1=83547010&amp;VALUEID=02001&amp;SDATE=200702&amp;PERIODTYPE=QTR_STD&amp;SCFT=3&amp;window=popup_no_bar&amp;width=385&amp;height=120&amp;START_MAXIMIZED=FALSE&amp;creator=factset&amp;display_string=Audit"}</definedName>
    <definedName name="_1807__FDSAUDITLINK__" hidden="1">{"fdsup://Directions/FactSet Auditing Viewer?action=AUDIT_VALUE&amp;DB=129&amp;ID1=87160710&amp;VALUEID=02001&amp;SDATE=200703&amp;PERIODTYPE=QTR_STD&amp;SCFT=3&amp;window=popup_no_bar&amp;width=385&amp;height=120&amp;START_MAXIMIZED=FALSE&amp;creator=factset&amp;display_string=Audit"}</definedName>
    <definedName name="_1808__FDSAUDITLINK__" hidden="1">{"fdsup://Directions/FactSet Auditing Viewer?action=AUDIT_VALUE&amp;DB=129&amp;ID1=87160710&amp;VALUEID=02001&amp;SDATE=200703&amp;PERIODTYPE=QTR_STD&amp;SCFT=3&amp;window=popup_no_bar&amp;width=385&amp;height=120&amp;START_MAXIMIZED=FALSE&amp;creator=factset&amp;display_string=Audit"}</definedName>
    <definedName name="_1809__FDSAUDITLINK__" hidden="1">{"fdsup://Directions/FactSet Auditing Viewer?action=AUDIT_VALUE&amp;DB=129&amp;ID1=80004C10&amp;VALUEID=02001&amp;SDATE=200702&amp;PERIODTYPE=QTR_STD&amp;SCFT=3&amp;window=popup_no_bar&amp;width=385&amp;height=120&amp;START_MAXIMIZED=FALSE&amp;creator=factset&amp;display_string=Audit"}</definedName>
    <definedName name="_181__FDSAUDITLINK__" hidden="1">{"fdsup://Directions/FactSet Auditing Viewer?action=AUDIT_VALUE&amp;DB=129&amp;ID1=75091710&amp;VALUEID=02001&amp;SDATE=201004&amp;PERIODTYPE=QTR_STD&amp;SCFT=3&amp;window=popup_no_bar&amp;width=385&amp;height=120&amp;START_MAXIMIZED=FALSE&amp;creator=factset&amp;display_string=Audit"}</definedName>
    <definedName name="_1810__FDSAUDITLINK__" hidden="1">{"fdsup://Directions/FactSet Auditing Viewer?action=AUDIT_VALUE&amp;DB=129&amp;ID1=80004C10&amp;VALUEID=02001&amp;SDATE=200702&amp;PERIODTYPE=QTR_STD&amp;SCFT=3&amp;window=popup_no_bar&amp;width=385&amp;height=120&amp;START_MAXIMIZED=FALSE&amp;creator=factset&amp;display_string=Audit"}</definedName>
    <definedName name="_1811__FDSAUDITLINK__" hidden="1">{"fdsup://Directions/FactSet Auditing Viewer?action=AUDIT_VALUE&amp;DB=129&amp;ID1=81685010&amp;VALUEID=02001&amp;SDATE=200702&amp;PERIODTYPE=QTR_STD&amp;SCFT=3&amp;window=popup_no_bar&amp;width=385&amp;height=120&amp;START_MAXIMIZED=FALSE&amp;creator=factset&amp;display_string=Audit"}</definedName>
    <definedName name="_1812__FDSAUDITLINK__" hidden="1">{"fdsup://Directions/FactSet Auditing Viewer?action=AUDIT_VALUE&amp;DB=129&amp;ID1=81685010&amp;VALUEID=02001&amp;SDATE=200702&amp;PERIODTYPE=QTR_STD&amp;SCFT=3&amp;window=popup_no_bar&amp;width=385&amp;height=120&amp;START_MAXIMIZED=FALSE&amp;creator=factset&amp;display_string=Audit"}</definedName>
    <definedName name="_1813__FDSAUDITLINK__" hidden="1">{"fdsup://Directions/FactSet Auditing Viewer?action=AUDIT_VALUE&amp;DB=129&amp;ID1=82691910&amp;VALUEID=02001&amp;SDATE=200702&amp;PERIODTYPE=QTR_STD&amp;SCFT=3&amp;window=popup_no_bar&amp;width=385&amp;height=120&amp;START_MAXIMIZED=FALSE&amp;creator=factset&amp;display_string=Audit"}</definedName>
    <definedName name="_1814__FDSAUDITLINK__" hidden="1">{"fdsup://Directions/FactSet Auditing Viewer?action=AUDIT_VALUE&amp;DB=129&amp;ID1=82691910&amp;VALUEID=02001&amp;SDATE=200702&amp;PERIODTYPE=QTR_STD&amp;SCFT=3&amp;window=popup_no_bar&amp;width=385&amp;height=120&amp;START_MAXIMIZED=FALSE&amp;creator=factset&amp;display_string=Audit"}</definedName>
    <definedName name="_1815__FDSAUDITLINK__" hidden="1">{"fdsup://Directions/FactSet Auditing Viewer?action=AUDIT_VALUE&amp;DB=129&amp;ID1=82705T10&amp;VALUEID=02001&amp;SDATE=200702&amp;PERIODTYPE=QTR_STD&amp;SCFT=3&amp;window=popup_no_bar&amp;width=385&amp;height=120&amp;START_MAXIMIZED=FALSE&amp;creator=factset&amp;display_string=Audit"}</definedName>
    <definedName name="_1816__FDSAUDITLINK__" hidden="1">{"fdsup://Directions/FactSet Auditing Viewer?action=AUDIT_VALUE&amp;DB=129&amp;ID1=82705T10&amp;VALUEID=02001&amp;SDATE=200702&amp;PERIODTYPE=QTR_STD&amp;SCFT=3&amp;window=popup_no_bar&amp;width=385&amp;height=120&amp;START_MAXIMIZED=FALSE&amp;creator=factset&amp;display_string=Audit"}</definedName>
    <definedName name="_1817__FDSAUDITLINK__" hidden="1">{"fdsup://Directions/FactSet Auditing Viewer?action=AUDIT_VALUE&amp;DB=129&amp;ID1=75091710&amp;VALUEID=02001&amp;SDATE=200702&amp;PERIODTYPE=QTR_STD&amp;SCFT=3&amp;window=popup_no_bar&amp;width=385&amp;height=120&amp;START_MAXIMIZED=FALSE&amp;creator=factset&amp;display_string=Audit"}</definedName>
    <definedName name="_1818__FDSAUDITLINK__" hidden="1">{"fdsup://Directions/FactSet Auditing Viewer?action=AUDIT_VALUE&amp;DB=129&amp;ID1=75091710&amp;VALUEID=02001&amp;SDATE=200702&amp;PERIODTYPE=QTR_STD&amp;SCFT=3&amp;window=popup_no_bar&amp;width=385&amp;height=120&amp;START_MAXIMIZED=FALSE&amp;creator=factset&amp;display_string=Audit"}</definedName>
    <definedName name="_1819__FDSAUDITLINK__" hidden="1">{"fdsup://Directions/FactSet Auditing Viewer?action=AUDIT_VALUE&amp;DB=129&amp;ID1=74994110&amp;VALUEID=02001&amp;SDATE=200701&amp;PERIODTYPE=QTR_STD&amp;SCFT=3&amp;window=popup_no_bar&amp;width=385&amp;height=120&amp;START_MAXIMIZED=FALSE&amp;creator=factset&amp;display_string=Audit"}</definedName>
    <definedName name="_182__FDSAUDITLINK__" hidden="1">{"fdsup://Directions/FactSet Auditing Viewer?action=AUDIT_VALUE&amp;DB=129&amp;ID1=75091710&amp;VALUEID=02001&amp;SDATE=201004&amp;PERIODTYPE=QTR_STD&amp;SCFT=3&amp;window=popup_no_bar&amp;width=385&amp;height=120&amp;START_MAXIMIZED=FALSE&amp;creator=factset&amp;display_string=Audit"}</definedName>
    <definedName name="_1820__FDSAUDITLINK__" hidden="1">{"fdsup://Directions/FactSet Auditing Viewer?action=AUDIT_VALUE&amp;DB=129&amp;ID1=74994110&amp;VALUEID=02001&amp;SDATE=200701&amp;PERIODTYPE=QTR_STD&amp;SCFT=3&amp;window=popup_no_bar&amp;width=385&amp;height=120&amp;START_MAXIMIZED=FALSE&amp;creator=factset&amp;display_string=Audit"}</definedName>
    <definedName name="_1821__FDSAUDITLINK__" hidden="1">{"fdsup://Directions/FactSet Auditing Viewer?action=AUDIT_VALUE&amp;DB=129&amp;ID1=74727710&amp;VALUEID=02001&amp;SDATE=200701&amp;PERIODTYPE=QTR_STD&amp;SCFT=3&amp;window=popup_no_bar&amp;width=385&amp;height=120&amp;START_MAXIMIZED=FALSE&amp;creator=factset&amp;display_string=Audit"}</definedName>
    <definedName name="_1822__FDSAUDITLINK__" hidden="1">{"fdsup://Directions/FactSet Auditing Viewer?action=AUDIT_VALUE&amp;DB=129&amp;ID1=74727710&amp;VALUEID=02001&amp;SDATE=200701&amp;PERIODTYPE=QTR_STD&amp;SCFT=3&amp;window=popup_no_bar&amp;width=385&amp;height=120&amp;START_MAXIMIZED=FALSE&amp;creator=factset&amp;display_string=Audit"}</definedName>
    <definedName name="_1823__FDSAUDITLINK__" hidden="1">{"fdsup://Directions/FactSet Auditing Viewer?action=AUDIT_VALUE&amp;DB=129&amp;ID1=74752510&amp;VALUEID=02001&amp;SDATE=200703&amp;PERIODTYPE=QTR_STD&amp;SCFT=3&amp;window=popup_no_bar&amp;width=385&amp;height=120&amp;START_MAXIMIZED=FALSE&amp;creator=factset&amp;display_string=Audit"}</definedName>
    <definedName name="_1824__FDSAUDITLINK__" hidden="1">{"fdsup://Directions/FactSet Auditing Viewer?action=AUDIT_VALUE&amp;DB=129&amp;ID1=74752510&amp;VALUEID=02001&amp;SDATE=200703&amp;PERIODTYPE=QTR_STD&amp;SCFT=3&amp;window=popup_no_bar&amp;width=385&amp;height=120&amp;START_MAXIMIZED=FALSE&amp;creator=factset&amp;display_string=Audit"}</definedName>
    <definedName name="_1825__FDSAUDITLINK__" hidden="1">{"fdsup://Directions/FactSet Auditing Viewer?action=AUDIT_VALUE&amp;DB=129&amp;ID1=72581M30&amp;VALUEID=02001&amp;SDATE=200702&amp;PERIODTYPE=QTR_STD&amp;SCFT=3&amp;window=popup_no_bar&amp;width=385&amp;height=120&amp;START_MAXIMIZED=FALSE&amp;creator=factset&amp;display_string=Audit"}</definedName>
    <definedName name="_1826__FDSAUDITLINK__" hidden="1">{"fdsup://Directions/FactSet Auditing Viewer?action=AUDIT_VALUE&amp;DB=129&amp;ID1=72581M30&amp;VALUEID=02001&amp;SDATE=200702&amp;PERIODTYPE=QTR_STD&amp;SCFT=3&amp;window=popup_no_bar&amp;width=385&amp;height=120&amp;START_MAXIMIZED=FALSE&amp;creator=factset&amp;display_string=Audit"}</definedName>
    <definedName name="_1827__FDSAUDITLINK__" hidden="1">{"fdsup://Directions/FactSet Auditing Viewer?action=AUDIT_VALUE&amp;DB=129&amp;ID1=73927610&amp;VALUEID=02001&amp;SDATE=200702&amp;PERIODTYPE=QTR_STD&amp;SCFT=3&amp;window=popup_no_bar&amp;width=385&amp;height=120&amp;START_MAXIMIZED=FALSE&amp;creator=factset&amp;display_string=Audit"}</definedName>
    <definedName name="_1828__FDSAUDITLINK__" hidden="1">{"fdsup://Directions/FactSet Auditing Viewer?action=AUDIT_VALUE&amp;DB=129&amp;ID1=73927610&amp;VALUEID=02001&amp;SDATE=200702&amp;PERIODTYPE=QTR_STD&amp;SCFT=3&amp;window=popup_no_bar&amp;width=385&amp;height=120&amp;START_MAXIMIZED=FALSE&amp;creator=factset&amp;display_string=Audit"}</definedName>
    <definedName name="_1829__FDSAUDITLINK__" hidden="1">{"fdsup://Directions/FactSet Auditing Viewer?action=AUDIT_VALUE&amp;DB=129&amp;ID1=69344F10&amp;VALUEID=02001&amp;SDATE=200702&amp;PERIODTYPE=QTR_STD&amp;SCFT=3&amp;window=popup_no_bar&amp;width=385&amp;height=120&amp;START_MAXIMIZED=FALSE&amp;creator=factset&amp;display_string=Audit"}</definedName>
    <definedName name="_183__FDSAUDITLINK__" hidden="1">{"fdsup://Directions/FactSet Auditing Viewer?action=AUDIT_VALUE&amp;DB=129&amp;ID1=74994110&amp;VALUEID=02001&amp;SDATE=201003&amp;PERIODTYPE=QTR_STD&amp;SCFT=3&amp;window=popup_no_bar&amp;width=385&amp;height=120&amp;START_MAXIMIZED=FALSE&amp;creator=factset&amp;display_string=Audit"}</definedName>
    <definedName name="_1830__FDSAUDITLINK__" hidden="1">{"fdsup://Directions/FactSet Auditing Viewer?action=AUDIT_VALUE&amp;DB=129&amp;ID1=69344F10&amp;VALUEID=02001&amp;SDATE=200702&amp;PERIODTYPE=QTR_STD&amp;SCFT=3&amp;window=popup_no_bar&amp;width=385&amp;height=120&amp;START_MAXIMIZED=FALSE&amp;creator=factset&amp;display_string=Audit"}</definedName>
    <definedName name="_1831__FDSAUDITLINK__" hidden="1">{"fdsup://Directions/FactSet Auditing Viewer?action=AUDIT_VALUE&amp;DB=129&amp;ID1=69341710&amp;VALUEID=02001&amp;SDATE=200702&amp;PERIODTYPE=QTR_STD&amp;SCFT=3&amp;window=popup_no_bar&amp;width=385&amp;height=120&amp;START_MAXIMIZED=FALSE&amp;creator=factset&amp;display_string=Audit"}</definedName>
    <definedName name="_1832__FDSAUDITLINK__" hidden="1">{"fdsup://Directions/FactSet Auditing Viewer?action=AUDIT_VALUE&amp;DB=129&amp;ID1=69341710&amp;VALUEID=02001&amp;SDATE=200702&amp;PERIODTYPE=QTR_STD&amp;SCFT=3&amp;window=popup_no_bar&amp;width=385&amp;height=120&amp;START_MAXIMIZED=FALSE&amp;creator=factset&amp;display_string=Audit"}</definedName>
    <definedName name="_1833__FDSAUDITLINK__" hidden="1">{"fdsup://Directions/FactSet Auditing Viewer?action=AUDIT_VALUE&amp;DB=129&amp;ID1=68218910&amp;VALUEID=02001&amp;SDATE=200702&amp;PERIODTYPE=QTR_STD&amp;SCFT=3&amp;window=popup_no_bar&amp;width=385&amp;height=120&amp;START_MAXIMIZED=FALSE&amp;creator=factset&amp;display_string=Audit"}</definedName>
    <definedName name="_1834__FDSAUDITLINK__" hidden="1">{"fdsup://Directions/FactSet Auditing Viewer?action=AUDIT_VALUE&amp;DB=129&amp;ID1=68218910&amp;VALUEID=02001&amp;SDATE=200702&amp;PERIODTYPE=QTR_STD&amp;SCFT=3&amp;window=popup_no_bar&amp;width=385&amp;height=120&amp;START_MAXIMIZED=FALSE&amp;creator=factset&amp;display_string=Audit"}</definedName>
    <definedName name="_1835__FDSAUDITLINK__" hidden="1">{"fdsup://Directions/FactSet Auditing Viewer?action=AUDIT_VALUE&amp;DB=129&amp;ID1=67000810&amp;VALUEID=02001&amp;SDATE=200702&amp;PERIODTYPE=QTR_STD&amp;SCFT=3&amp;window=popup_no_bar&amp;width=385&amp;height=120&amp;START_MAXIMIZED=FALSE&amp;creator=factset&amp;display_string=Audit"}</definedName>
    <definedName name="_1836__FDSAUDITLINK__" hidden="1">{"fdsup://Directions/FactSet Auditing Viewer?action=AUDIT_VALUE&amp;DB=129&amp;ID1=67000810&amp;VALUEID=02001&amp;SDATE=200702&amp;PERIODTYPE=QTR_STD&amp;SCFT=3&amp;window=popup_no_bar&amp;width=385&amp;height=120&amp;START_MAXIMIZED=FALSE&amp;creator=factset&amp;display_string=Audit"}</definedName>
    <definedName name="_1837__FDSAUDITLINK__" hidden="1">{"fdsup://Directions/FactSet Auditing Viewer?action=AUDIT_VALUE&amp;DB=129&amp;ID1=67066G10&amp;VALUEID=02001&amp;SDATE=200702&amp;PERIODTYPE=QTR_STD&amp;SCFT=3&amp;window=popup_no_bar&amp;width=385&amp;height=120&amp;START_MAXIMIZED=FALSE&amp;creator=factset&amp;display_string=Audit"}</definedName>
    <definedName name="_1838__FDSAUDITLINK__" hidden="1">{"fdsup://Directions/FactSet Auditing Viewer?action=AUDIT_VALUE&amp;DB=129&amp;ID1=67066G10&amp;VALUEID=02001&amp;SDATE=200702&amp;PERIODTYPE=QTR_STD&amp;SCFT=3&amp;window=popup_no_bar&amp;width=385&amp;height=120&amp;START_MAXIMIZED=FALSE&amp;creator=factset&amp;display_string=Audit"}</definedName>
    <definedName name="_1839__FDSAUDITLINK__" hidden="1">{"fdsup://Directions/FactSet Auditing Viewer?action=AUDIT_VALUE&amp;DB=129&amp;ID1=64118B10&amp;VALUEID=02001&amp;SDATE=200702&amp;PERIODTYPE=QTR_STD&amp;SCFT=3&amp;window=popup_no_bar&amp;width=385&amp;height=120&amp;START_MAXIMIZED=FALSE&amp;creator=factset&amp;display_string=Audit"}</definedName>
    <definedName name="_184__FDSAUDITLINK__" hidden="1">{"fdsup://Directions/FactSet Auditing Viewer?action=AUDIT_VALUE&amp;DB=129&amp;ID1=74994110&amp;VALUEID=02001&amp;SDATE=201003&amp;PERIODTYPE=QTR_STD&amp;SCFT=3&amp;window=popup_no_bar&amp;width=385&amp;height=120&amp;START_MAXIMIZED=FALSE&amp;creator=factset&amp;display_string=Audit"}</definedName>
    <definedName name="_1840__FDSAUDITLINK__" hidden="1">{"fdsup://Directions/FactSet Auditing Viewer?action=AUDIT_VALUE&amp;DB=129&amp;ID1=64118B10&amp;VALUEID=02001&amp;SDATE=200702&amp;PERIODTYPE=QTR_STD&amp;SCFT=3&amp;window=popup_no_bar&amp;width=385&amp;height=120&amp;START_MAXIMIZED=FALSE&amp;creator=factset&amp;display_string=Audit"}</definedName>
    <definedName name="_1841__FDSAUDITLINK__" hidden="1">{"fdsup://Directions/FactSet Auditing Viewer?action=AUDIT_VALUE&amp;DB=129&amp;ID1=59511210&amp;VALUEID=02001&amp;SDATE=200703&amp;PERIODTYPE=QTR_STD&amp;SCFT=3&amp;window=popup_no_bar&amp;width=385&amp;height=120&amp;START_MAXIMIZED=FALSE&amp;creator=factset&amp;display_string=Audit"}</definedName>
    <definedName name="_1842__FDSAUDITLINK__" hidden="1">{"fdsup://Directions/FactSet Auditing Viewer?action=AUDIT_VALUE&amp;DB=129&amp;ID1=59511210&amp;VALUEID=02001&amp;SDATE=200703&amp;PERIODTYPE=QTR_STD&amp;SCFT=3&amp;window=popup_no_bar&amp;width=385&amp;height=120&amp;START_MAXIMIZED=FALSE&amp;creator=factset&amp;display_string=Audit"}</definedName>
    <definedName name="_1843__FDSAUDITLINK__" hidden="1">{"fdsup://Directions/FactSet Auditing Viewer?action=AUDIT_VALUE&amp;DB=129&amp;ID1=59513710&amp;VALUEID=02001&amp;SDATE=200703&amp;PERIODTYPE=QTR_STD&amp;SCFT=3&amp;window=popup_no_bar&amp;width=385&amp;height=120&amp;START_MAXIMIZED=FALSE&amp;creator=factset&amp;display_string=Audit"}</definedName>
    <definedName name="_1844__FDSAUDITLINK__" hidden="1">{"fdsup://Directions/FactSet Auditing Viewer?action=AUDIT_VALUE&amp;DB=129&amp;ID1=59513710&amp;VALUEID=02001&amp;SDATE=200703&amp;PERIODTYPE=QTR_STD&amp;SCFT=3&amp;window=popup_no_bar&amp;width=385&amp;height=120&amp;START_MAXIMIZED=FALSE&amp;creator=factset&amp;display_string=Audit"}</definedName>
    <definedName name="_1845__FDSAUDITLINK__" hidden="1">{"fdsup://Directions/FactSet Auditing Viewer?action=AUDIT_VALUE&amp;DB=129&amp;ID1=G5876H10&amp;VALUEID=02001&amp;SDATE=200702&amp;PERIODTYPE=QTR_STD&amp;SCFT=3&amp;window=popup_no_bar&amp;width=385&amp;height=120&amp;START_MAXIMIZED=FALSE&amp;creator=factset&amp;display_string=Audit"}</definedName>
    <definedName name="_1846__FDSAUDITLINK__" hidden="1">{"fdsup://Directions/FactSet Auditing Viewer?action=AUDIT_VALUE&amp;DB=129&amp;ID1=G5876H10&amp;VALUEID=02001&amp;SDATE=200702&amp;PERIODTYPE=QTR_STD&amp;SCFT=3&amp;window=popup_no_bar&amp;width=385&amp;height=120&amp;START_MAXIMIZED=FALSE&amp;creator=factset&amp;display_string=Audit"}</definedName>
    <definedName name="_1847__FDSAUDITLINK__" hidden="1">{"fdsup://Directions/FactSet Auditing Viewer?action=AUDIT_VALUE&amp;DB=129&amp;ID1=62007630&amp;VALUEID=02001&amp;SDATE=200702&amp;PERIODTYPE=QTR_STD&amp;SCFT=3&amp;window=popup_no_bar&amp;width=385&amp;height=120&amp;START_MAXIMIZED=FALSE&amp;creator=factset&amp;display_string=Audit"}</definedName>
    <definedName name="_1848__FDSAUDITLINK__" hidden="1">{"fdsup://Directions/FactSet Auditing Viewer?action=AUDIT_VALUE&amp;DB=129&amp;ID1=62007630&amp;VALUEID=02001&amp;SDATE=200702&amp;PERIODTYPE=QTR_STD&amp;SCFT=3&amp;window=popup_no_bar&amp;width=385&amp;height=120&amp;START_MAXIMIZED=FALSE&amp;creator=factset&amp;display_string=Audit"}</definedName>
    <definedName name="_1849__FDSAUDITLINK__" hidden="1">{"fdsup://Directions/FactSet Auditing Viewer?action=AUDIT_VALUE&amp;DB=129&amp;ID1=59479310&amp;VALUEID=02001&amp;SDATE=200702&amp;PERIODTYPE=QTR_STD&amp;SCFT=3&amp;window=popup_no_bar&amp;width=385&amp;height=120&amp;START_MAXIMIZED=FALSE&amp;creator=factset&amp;display_string=Audit"}</definedName>
    <definedName name="_185__FDSAUDITLINK__" hidden="1">{"fdsup://Directions/FactSet Auditing Viewer?action=AUDIT_VALUE&amp;DB=129&amp;ID1=74727710&amp;VALUEID=02001&amp;SDATE=201003&amp;PERIODTYPE=QTR_STD&amp;SCFT=3&amp;window=popup_no_bar&amp;width=385&amp;height=120&amp;START_MAXIMIZED=FALSE&amp;creator=factset&amp;display_string=Audit"}</definedName>
    <definedName name="_1850__FDSAUDITLINK__" hidden="1">{"fdsup://Directions/FactSet Auditing Viewer?action=AUDIT_VALUE&amp;DB=129&amp;ID1=59479310&amp;VALUEID=02001&amp;SDATE=200702&amp;PERIODTYPE=QTR_STD&amp;SCFT=3&amp;window=popup_no_bar&amp;width=385&amp;height=120&amp;START_MAXIMIZED=FALSE&amp;creator=factset&amp;display_string=Audit"}</definedName>
    <definedName name="_1851__FDSAUDITLINK__" hidden="1">{"fdsup://Directions/FactSet Auditing Viewer?action=AUDIT_VALUE&amp;DB=129&amp;ID1=59501710&amp;VALUEID=02001&amp;SDATE=200701&amp;PERIODTYPE=QTR_STD&amp;SCFT=3&amp;window=popup_no_bar&amp;width=385&amp;height=120&amp;START_MAXIMIZED=FALSE&amp;creator=factset&amp;display_string=Audit"}</definedName>
    <definedName name="_1852__FDSAUDITLINK__" hidden="1">{"fdsup://Directions/FactSet Auditing Viewer?action=AUDIT_VALUE&amp;DB=129&amp;ID1=59501710&amp;VALUEID=02001&amp;SDATE=200701&amp;PERIODTYPE=QTR_STD&amp;SCFT=3&amp;window=popup_no_bar&amp;width=385&amp;height=120&amp;START_MAXIMIZED=FALSE&amp;creator=factset&amp;display_string=Audit"}</definedName>
    <definedName name="_1853__FDSAUDITLINK__" hidden="1">{"fdsup://Directions/FactSet Auditing Viewer?action=AUDIT_VALUE&amp;DB=129&amp;ID1=50216110&amp;VALUEID=02001&amp;SDATE=200702&amp;PERIODTYPE=QTR_STD&amp;SCFT=3&amp;window=popup_no_bar&amp;width=385&amp;height=120&amp;START_MAXIMIZED=FALSE&amp;creator=factset&amp;display_string=Audit"}</definedName>
    <definedName name="_1854__FDSAUDITLINK__" hidden="1">{"fdsup://Directions/FactSet Auditing Viewer?action=AUDIT_VALUE&amp;DB=129&amp;ID1=50216110&amp;VALUEID=02001&amp;SDATE=200702&amp;PERIODTYPE=QTR_STD&amp;SCFT=3&amp;window=popup_no_bar&amp;width=385&amp;height=120&amp;START_MAXIMIZED=FALSE&amp;creator=factset&amp;display_string=Audit"}</definedName>
    <definedName name="_1855__FDSAUDITLINK__" hidden="1">{"fdsup://Directions/FactSet Auditing Viewer?action=AUDIT_VALUE&amp;DB=129&amp;ID1=51841510&amp;VALUEID=02001&amp;SDATE=200702&amp;PERIODTYPE=QTR_STD&amp;SCFT=3&amp;window=popup_no_bar&amp;width=385&amp;height=120&amp;START_MAXIMIZED=FALSE&amp;creator=factset&amp;display_string=Audit"}</definedName>
    <definedName name="_1856__FDSAUDITLINK__" hidden="1">{"fdsup://Directions/FactSet Auditing Viewer?action=AUDIT_VALUE&amp;DB=129&amp;ID1=51841510&amp;VALUEID=02001&amp;SDATE=200702&amp;PERIODTYPE=QTR_STD&amp;SCFT=3&amp;window=popup_no_bar&amp;width=385&amp;height=120&amp;START_MAXIMIZED=FALSE&amp;creator=factset&amp;display_string=Audit"}</definedName>
    <definedName name="_1857__FDSAUDITLINK__" hidden="1">{"fdsup://Directions/FactSet Auditing Viewer?action=AUDIT_VALUE&amp;DB=129&amp;ID1=48836020&amp;VALUEID=02001&amp;SDATE=200701&amp;PERIODTYPE=QTR_STD&amp;SCFT=3&amp;window=popup_no_bar&amp;width=385&amp;height=120&amp;START_MAXIMIZED=FALSE&amp;creator=factset&amp;display_string=Audit"}</definedName>
    <definedName name="_1858__FDSAUDITLINK__" hidden="1">{"fdsup://Directions/FactSet Auditing Viewer?action=AUDIT_VALUE&amp;DB=129&amp;ID1=48836020&amp;VALUEID=02001&amp;SDATE=200701&amp;PERIODTYPE=QTR_STD&amp;SCFT=3&amp;window=popup_no_bar&amp;width=385&amp;height=120&amp;START_MAXIMIZED=FALSE&amp;creator=factset&amp;display_string=Audit"}</definedName>
    <definedName name="_1859__FDSAUDITLINK__" hidden="1">{"fdsup://Directions/FactSet Auditing Viewer?action=AUDIT_VALUE&amp;DB=129&amp;ID1=48203R10&amp;VALUEID=02001&amp;SDATE=200702&amp;PERIODTYPE=QTR_STD&amp;SCFT=3&amp;window=popup_no_bar&amp;width=385&amp;height=120&amp;START_MAXIMIZED=FALSE&amp;creator=factset&amp;display_string=Audit"}</definedName>
    <definedName name="_186__FDSAUDITLINK__" hidden="1">{"fdsup://Directions/FactSet Auditing Viewer?action=AUDIT_VALUE&amp;DB=129&amp;ID1=74727710&amp;VALUEID=02001&amp;SDATE=201003&amp;PERIODTYPE=QTR_STD&amp;SCFT=3&amp;window=popup_no_bar&amp;width=385&amp;height=120&amp;START_MAXIMIZED=FALSE&amp;creator=factset&amp;display_string=Audit"}</definedName>
    <definedName name="_1860__FDSAUDITLINK__" hidden="1">{"fdsup://Directions/FactSet Auditing Viewer?action=AUDIT_VALUE&amp;DB=129&amp;ID1=48203R10&amp;VALUEID=02001&amp;SDATE=200702&amp;PERIODTYPE=QTR_STD&amp;SCFT=3&amp;window=popup_no_bar&amp;width=385&amp;height=120&amp;START_MAXIMIZED=FALSE&amp;creator=factset&amp;display_string=Audit"}</definedName>
    <definedName name="_1861__FDSAUDITLINK__" hidden="1">{"fdsup://Directions/FactSet Auditing Viewer?action=AUDIT_VALUE&amp;DB=129&amp;ID1=46069S10&amp;VALUEID=02001&amp;SDATE=200702&amp;PERIODTYPE=QTR_STD&amp;SCFT=3&amp;window=popup_no_bar&amp;width=385&amp;height=120&amp;START_MAXIMIZED=FALSE&amp;creator=factset&amp;display_string=Audit"}</definedName>
    <definedName name="_1862__FDSAUDITLINK__" hidden="1">{"fdsup://Directions/FactSet Auditing Viewer?action=AUDIT_VALUE&amp;DB=129&amp;ID1=46069S10&amp;VALUEID=02001&amp;SDATE=200702&amp;PERIODTYPE=QTR_STD&amp;SCFT=3&amp;window=popup_no_bar&amp;width=385&amp;height=120&amp;START_MAXIMIZED=FALSE&amp;creator=factset&amp;display_string=Audit"}</definedName>
    <definedName name="_1863__FDSAUDITLINK__" hidden="1">{"fdsup://Directions/FactSet Auditing Viewer?action=AUDIT_VALUE&amp;DB=129&amp;ID1=45814010&amp;VALUEID=02001&amp;SDATE=200702&amp;PERIODTYPE=QTR_STD&amp;SCFT=3&amp;window=popup_no_bar&amp;width=385&amp;height=120&amp;START_MAXIMIZED=FALSE&amp;creator=factset&amp;display_string=Audit"}</definedName>
    <definedName name="_1864__FDSAUDITLINK__" hidden="1">{"fdsup://Directions/FactSet Auditing Viewer?action=AUDIT_VALUE&amp;DB=129&amp;ID1=45814010&amp;VALUEID=02001&amp;SDATE=200702&amp;PERIODTYPE=QTR_STD&amp;SCFT=3&amp;window=popup_no_bar&amp;width=385&amp;height=120&amp;START_MAXIMIZED=FALSE&amp;creator=factset&amp;display_string=Audit"}</definedName>
    <definedName name="_1865__FDSAUDITLINK__" hidden="1">{"fdsup://Directions/FactSet Auditing Viewer?action=AUDIT_VALUE&amp;DB=129&amp;ID1=45811810&amp;VALUEID=02001&amp;SDATE=200701&amp;PERIODTYPE=QTR_STD&amp;SCFT=3&amp;window=popup_no_bar&amp;width=385&amp;height=120&amp;START_MAXIMIZED=FALSE&amp;creator=factset&amp;display_string=Audit"}</definedName>
    <definedName name="_1866__FDSAUDITLINK__" hidden="1">{"fdsup://Directions/FactSet Auditing Viewer?action=AUDIT_VALUE&amp;DB=129&amp;ID1=45811810&amp;VALUEID=02001&amp;SDATE=200701&amp;PERIODTYPE=QTR_STD&amp;SCFT=3&amp;window=popup_no_bar&amp;width=385&amp;height=120&amp;START_MAXIMIZED=FALSE&amp;creator=factset&amp;display_string=Audit"}</definedName>
    <definedName name="_1867__FDSAUDITLINK__" hidden="1">{"fdsup://Directions/FactSet Auditing Viewer?action=AUDIT_VALUE&amp;DB=129&amp;ID1=42823610&amp;VALUEID=02001&amp;SDATE=200703&amp;PERIODTYPE=QTR_STD&amp;SCFT=3&amp;window=popup_no_bar&amp;width=385&amp;height=120&amp;START_MAXIMIZED=FALSE&amp;creator=factset&amp;display_string=Audit"}</definedName>
    <definedName name="_1868__FDSAUDITLINK__" hidden="1">{"fdsup://Directions/FactSet Auditing Viewer?action=AUDIT_VALUE&amp;DB=129&amp;ID1=42823610&amp;VALUEID=02001&amp;SDATE=200703&amp;PERIODTYPE=QTR_STD&amp;SCFT=3&amp;window=popup_no_bar&amp;width=385&amp;height=120&amp;START_MAXIMIZED=FALSE&amp;creator=factset&amp;display_string=Audit"}</definedName>
    <definedName name="_1869__FDSAUDITLINK__" hidden="1">{"fdsup://Directions/FactSet Auditing Viewer?action=AUDIT_VALUE&amp;DB=129&amp;ID1=H2906T10&amp;VALUEID=02001&amp;SDATE=200702&amp;PERIODTYPE=QTR_STD&amp;SCFT=3&amp;window=popup_no_bar&amp;width=385&amp;height=120&amp;START_MAXIMIZED=FALSE&amp;creator=factset&amp;display_string=Audit"}</definedName>
    <definedName name="_187__FDSAUDITLINK__" hidden="1">{"fdsup://Directions/FactSet Auditing Viewer?action=AUDIT_VALUE&amp;DB=129&amp;ID1=74752510&amp;VALUEID=02001&amp;SDATE=201101&amp;PERIODTYPE=QTR_STD&amp;SCFT=3&amp;window=popup_no_bar&amp;width=385&amp;height=120&amp;START_MAXIMIZED=FALSE&amp;creator=factset&amp;display_string=Audit"}</definedName>
    <definedName name="_1870__FDSAUDITLINK__" hidden="1">{"fdsup://Directions/FactSet Auditing Viewer?action=AUDIT_VALUE&amp;DB=129&amp;ID1=H2906T10&amp;VALUEID=02001&amp;SDATE=200702&amp;PERIODTYPE=QTR_STD&amp;SCFT=3&amp;window=popup_no_bar&amp;width=385&amp;height=120&amp;START_MAXIMIZED=FALSE&amp;creator=factset&amp;display_string=Audit"}</definedName>
    <definedName name="_1871__FDSAUDITLINK__" hidden="1">{"fdsup://Directions/FactSet Auditing Viewer?action=AUDIT_VALUE&amp;DB=129&amp;ID1=31561610&amp;VALUEID=02001&amp;SDATE=200703&amp;PERIODTYPE=QTR_STD&amp;SCFT=3&amp;window=popup_no_bar&amp;width=385&amp;height=120&amp;START_MAXIMIZED=FALSE&amp;creator=factset&amp;display_string=Audit"}</definedName>
    <definedName name="_1872__FDSAUDITLINK__" hidden="1">{"fdsup://Directions/FactSet Auditing Viewer?action=AUDIT_VALUE&amp;DB=129&amp;ID1=31561610&amp;VALUEID=02001&amp;SDATE=200703&amp;PERIODTYPE=QTR_STD&amp;SCFT=3&amp;window=popup_no_bar&amp;width=385&amp;height=120&amp;START_MAXIMIZED=FALSE&amp;creator=factset&amp;display_string=Audit"}</definedName>
    <definedName name="_1873__FDSAUDITLINK__" hidden="1">{"fdsup://Directions/FactSet Auditing Viewer?action=AUDIT_VALUE&amp;DB=129&amp;ID1=24702R10&amp;VALUEID=02001&amp;SDATE=200702&amp;PERIODTYPE=QTR_STD&amp;SCFT=3&amp;window=popup_no_bar&amp;width=385&amp;height=120&amp;START_MAXIMIZED=FALSE&amp;creator=factset&amp;display_string=Audit"}</definedName>
    <definedName name="_1874__FDSAUDITLINK__" hidden="1">{"fdsup://Directions/FactSet Auditing Viewer?action=AUDIT_VALUE&amp;DB=129&amp;ID1=24702R10&amp;VALUEID=02001&amp;SDATE=200702&amp;PERIODTYPE=QTR_STD&amp;SCFT=3&amp;window=popup_no_bar&amp;width=385&amp;height=120&amp;START_MAXIMIZED=FALSE&amp;creator=factset&amp;display_string=Audit"}</definedName>
    <definedName name="_1875__FDSAUDITLINK__" hidden="1">{"fdsup://Directions/FactSet Auditing Viewer?action=AUDIT_VALUE&amp;DB=129&amp;ID1=23257210&amp;VALUEID=02001&amp;SDATE=200702&amp;PERIODTYPE=QTR_STD&amp;SCFT=3&amp;window=popup_no_bar&amp;width=385&amp;height=120&amp;START_MAXIMIZED=FALSE&amp;creator=factset&amp;display_string=Audit"}</definedName>
    <definedName name="_1876__FDSAUDITLINK__" hidden="1">{"fdsup://Directions/FactSet Auditing Viewer?action=AUDIT_VALUE&amp;DB=129&amp;ID1=23257210&amp;VALUEID=02001&amp;SDATE=200702&amp;PERIODTYPE=QTR_STD&amp;SCFT=3&amp;window=popup_no_bar&amp;width=385&amp;height=120&amp;START_MAXIMIZED=FALSE&amp;creator=factset&amp;display_string=Audit"}</definedName>
    <definedName name="_1877__FDSAUDITLINK__" hidden="1">{"fdsup://Directions/FactSet Auditing Viewer?action=AUDIT_VALUE&amp;DB=129&amp;ID1=23280610&amp;VALUEID=02001&amp;SDATE=200702&amp;PERIODTYPE=QTR_STD&amp;SCFT=3&amp;window=popup_no_bar&amp;width=385&amp;height=120&amp;START_MAXIMIZED=FALSE&amp;creator=factset&amp;display_string=Audit"}</definedName>
    <definedName name="_1878__FDSAUDITLINK__" hidden="1">{"fdsup://Directions/FactSet Auditing Viewer?action=AUDIT_VALUE&amp;DB=129&amp;ID1=23280610&amp;VALUEID=02001&amp;SDATE=200702&amp;PERIODTYPE=QTR_STD&amp;SCFT=3&amp;window=popup_no_bar&amp;width=385&amp;height=120&amp;START_MAXIMIZED=FALSE&amp;creator=factset&amp;display_string=Audit"}</definedName>
    <definedName name="_1879__FDSAUDITLINK__" hidden="1">{"fdsup://Directions/FactSet Auditing Viewer?action=AUDIT_VALUE&amp;DB=129&amp;ID1=20714230&amp;VALUEID=02001&amp;SDATE=200703&amp;PERIODTYPE=QTR_STD&amp;SCFT=3&amp;window=popup_no_bar&amp;width=385&amp;height=120&amp;START_MAXIMIZED=FALSE&amp;creator=factset&amp;display_string=Audit"}</definedName>
    <definedName name="_188__FDSAUDITLINK__" hidden="1">{"fdsup://Directions/FactSet Auditing Viewer?action=AUDIT_VALUE&amp;DB=129&amp;ID1=74752510&amp;VALUEID=02001&amp;SDATE=201101&amp;PERIODTYPE=QTR_STD&amp;SCFT=3&amp;window=popup_no_bar&amp;width=385&amp;height=120&amp;START_MAXIMIZED=FALSE&amp;creator=factset&amp;display_string=Audit"}</definedName>
    <definedName name="_1880__FDSAUDITLINK__" hidden="1">{"fdsup://Directions/FactSet Auditing Viewer?action=AUDIT_VALUE&amp;DB=129&amp;ID1=20714230&amp;VALUEID=02001&amp;SDATE=200703&amp;PERIODTYPE=QTR_STD&amp;SCFT=3&amp;window=popup_no_bar&amp;width=385&amp;height=120&amp;START_MAXIMIZED=FALSE&amp;creator=factset&amp;display_string=Audit"}</definedName>
    <definedName name="_1881__FDSAUDITLINK__" hidden="1">{"fdsup://Directions/FactSet Auditing Viewer?action=AUDIT_VALUE&amp;DB=129&amp;ID1=12738710&amp;VALUEID=02001&amp;SDATE=200702&amp;PERIODTYPE=QTR_STD&amp;SCFT=3&amp;window=popup_no_bar&amp;width=385&amp;height=120&amp;START_MAXIMIZED=FALSE&amp;creator=factset&amp;display_string=Audit"}</definedName>
    <definedName name="_1882__FDSAUDITLINK__" hidden="1">{"fdsup://Directions/FactSet Auditing Viewer?action=AUDIT_VALUE&amp;DB=129&amp;ID1=12738710&amp;VALUEID=02001&amp;SDATE=200702&amp;PERIODTYPE=QTR_STD&amp;SCFT=3&amp;window=popup_no_bar&amp;width=385&amp;height=120&amp;START_MAXIMIZED=FALSE&amp;creator=factset&amp;display_string=Audit"}</definedName>
    <definedName name="_1883__FDSAUDITLINK__" hidden="1">{"fdsup://Directions/FactSet Auditing Viewer?action=AUDIT_VALUE&amp;DB=129&amp;ID1=14964U10&amp;VALUEID=02001&amp;SDATE=200702&amp;PERIODTYPE=QTR_STD&amp;SCFT=3&amp;window=popup_no_bar&amp;width=385&amp;height=120&amp;START_MAXIMIZED=FALSE&amp;creator=factset&amp;display_string=Audit"}</definedName>
    <definedName name="_1884__FDSAUDITLINK__" hidden="1">{"fdsup://Directions/FactSet Auditing Viewer?action=AUDIT_VALUE&amp;DB=129&amp;ID1=14964U10&amp;VALUEID=02001&amp;SDATE=200702&amp;PERIODTYPE=QTR_STD&amp;SCFT=3&amp;window=popup_no_bar&amp;width=385&amp;height=120&amp;START_MAXIMIZED=FALSE&amp;creator=factset&amp;display_string=Audit"}</definedName>
    <definedName name="_1885__FDSAUDITLINK__" hidden="1">{"fdsup://Directions/FactSet Auditing Viewer?action=AUDIT_VALUE&amp;DB=129&amp;ID1=11162130&amp;VALUEID=02001&amp;SDATE=200703&amp;PERIODTYPE=QTR_STD&amp;SCFT=3&amp;window=popup_no_bar&amp;width=385&amp;height=120&amp;START_MAXIMIZED=FALSE&amp;creator=factset&amp;display_string=Audit"}</definedName>
    <definedName name="_1886__FDSAUDITLINK__" hidden="1">{"fdsup://Directions/FactSet Auditing Viewer?action=AUDIT_VALUE&amp;DB=129&amp;ID1=11162130&amp;VALUEID=02001&amp;SDATE=200703&amp;PERIODTYPE=QTR_STD&amp;SCFT=3&amp;window=popup_no_bar&amp;width=385&amp;height=120&amp;START_MAXIMIZED=FALSE&amp;creator=factset&amp;display_string=Audit"}</definedName>
    <definedName name="_1887__FDSAUDITLINK__" hidden="1">{"fdsup://Directions/FactSet Auditing Viewer?action=AUDIT_VALUE&amp;DB=129&amp;ID1=04743P10&amp;VALUEID=02001&amp;SDATE=200702&amp;PERIODTYPE=QTR_STD&amp;SCFT=3&amp;window=popup_no_bar&amp;width=385&amp;height=120&amp;START_MAXIMIZED=FALSE&amp;creator=factset&amp;display_string=Audit"}</definedName>
    <definedName name="_1888__FDSAUDITLINK__" hidden="1">{"fdsup://Directions/FactSet Auditing Viewer?action=AUDIT_VALUE&amp;DB=129&amp;ID1=04743P10&amp;VALUEID=02001&amp;SDATE=200702&amp;PERIODTYPE=QTR_STD&amp;SCFT=3&amp;window=popup_no_bar&amp;width=385&amp;height=120&amp;START_MAXIMIZED=FALSE&amp;creator=factset&amp;display_string=Audit"}</definedName>
    <definedName name="_1889__FDSAUDITLINK__" hidden="1">{"fdsup://Directions/FactSet Auditing Viewer?action=AUDIT_VALUE&amp;DB=129&amp;ID1=03251510&amp;VALUEID=02001&amp;SDATE=200702&amp;PERIODTYPE=QTR_STD&amp;SCFT=3&amp;window=popup_no_bar&amp;width=385&amp;height=120&amp;START_MAXIMIZED=FALSE&amp;creator=factset&amp;display_string=Audit"}</definedName>
    <definedName name="_189__FDSAUDITLINK__" hidden="1">{"fdsup://Directions/FactSet Auditing Viewer?action=AUDIT_VALUE&amp;DB=129&amp;ID1=72581M30&amp;VALUEID=02001&amp;SDATE=201004&amp;PERIODTYPE=QTR_STD&amp;SCFT=3&amp;window=popup_no_bar&amp;width=385&amp;height=120&amp;START_MAXIMIZED=FALSE&amp;creator=factset&amp;display_string=Audit"}</definedName>
    <definedName name="_1890__FDSAUDITLINK__" hidden="1">{"fdsup://Directions/FactSet Auditing Viewer?action=AUDIT_VALUE&amp;DB=129&amp;ID1=03251510&amp;VALUEID=02001&amp;SDATE=200702&amp;PERIODTYPE=QTR_STD&amp;SCFT=3&amp;window=popup_no_bar&amp;width=385&amp;height=120&amp;START_MAXIMIZED=FALSE&amp;creator=factset&amp;display_string=Audit"}</definedName>
    <definedName name="_1891__FDSAUDITLINK__" hidden="1">{"fdsup://Directions/FactSet Auditing Viewer?action=AUDIT_VALUE&amp;DB=129&amp;ID1=00790310&amp;VALUEID=02001&amp;SDATE=200702&amp;PERIODTYPE=QTR_STD&amp;SCFT=3&amp;window=popup_no_bar&amp;width=385&amp;height=120&amp;START_MAXIMIZED=FALSE&amp;creator=factset&amp;display_string=Audit"}</definedName>
    <definedName name="_1892__FDSAUDITLINK__" hidden="1">{"fdsup://Directions/FactSet Auditing Viewer?action=AUDIT_VALUE&amp;DB=129&amp;ID1=00790310&amp;VALUEID=02001&amp;SDATE=200702&amp;PERIODTYPE=QTR_STD&amp;SCFT=3&amp;window=popup_no_bar&amp;width=385&amp;height=120&amp;START_MAXIMIZED=FALSE&amp;creator=factset&amp;display_string=Audit"}</definedName>
    <definedName name="_1893__FDSAUDITLINK__" hidden="1">{"fdsup://Directions/FactSet Auditing Viewer?action=AUDIT_VALUE&amp;DB=129&amp;ID1=03822W40&amp;VALUEID=02001&amp;SDATE=200701&amp;PERIODTYPE=QTR_STD&amp;SCFT=3&amp;window=popup_no_bar&amp;width=385&amp;height=120&amp;START_MAXIMIZED=FALSE&amp;creator=factset&amp;display_string=Audit"}</definedName>
    <definedName name="_1894__FDSAUDITLINK__" hidden="1">{"fdsup://Directions/FactSet Auditing Viewer?action=AUDIT_VALUE&amp;DB=129&amp;ID1=03822W40&amp;VALUEID=02001&amp;SDATE=200701&amp;PERIODTYPE=QTR_STD&amp;SCFT=3&amp;window=popup_no_bar&amp;width=385&amp;height=120&amp;START_MAXIMIZED=FALSE&amp;creator=factset&amp;display_string=Audit"}</definedName>
    <definedName name="_1895__FDSAUDITLINK__" hidden="1">{"fdsup://Directions/FactSet Auditing Viewer?action=AUDIT_VALUE&amp;DB=129&amp;ID1=03822210&amp;VALUEID=02001&amp;SDATE=200703&amp;PERIODTYPE=QTR_STD&amp;SCFT=3&amp;window=popup_no_bar&amp;width=385&amp;height=120&amp;START_MAXIMIZED=FALSE&amp;creator=factset&amp;display_string=Audit"}</definedName>
    <definedName name="_1896__FDSAUDITLINK__" hidden="1">{"fdsup://Directions/FactSet Auditing Viewer?action=AUDIT_VALUE&amp;DB=129&amp;ID1=03822210&amp;VALUEID=02001&amp;SDATE=200703&amp;PERIODTYPE=QTR_STD&amp;SCFT=3&amp;window=popup_no_bar&amp;width=385&amp;height=120&amp;START_MAXIMIZED=FALSE&amp;creator=factset&amp;display_string=Audit"}</definedName>
    <definedName name="_1897__FDSAUDITLINK__" hidden="1">{"fdsup://Directions/FactSet Auditing Viewer?action=AUDIT_VALUE&amp;DB=129&amp;ID1=02144110&amp;VALUEID=02001&amp;SDATE=200702&amp;PERIODTYPE=QTR_STD&amp;SCFT=3&amp;window=popup_no_bar&amp;width=385&amp;height=120&amp;START_MAXIMIZED=FALSE&amp;creator=factset&amp;display_string=Audit"}</definedName>
    <definedName name="_1898__FDSAUDITLINK__" hidden="1">{"fdsup://Directions/FactSet Auditing Viewer?action=AUDIT_VALUE&amp;DB=129&amp;ID1=02144110&amp;VALUEID=02001&amp;SDATE=200702&amp;PERIODTYPE=QTR_STD&amp;SCFT=3&amp;window=popup_no_bar&amp;width=385&amp;height=120&amp;START_MAXIMIZED=FALSE&amp;creator=factset&amp;display_string=Audit"}</definedName>
    <definedName name="_1899__FDSAUDITLINK__" hidden="1">{"fdsup://Directions/FactSet Auditing Viewer?action=AUDIT_VALUE&amp;DB=129&amp;ID1=03265410&amp;VALUEID=02001&amp;SDATE=200703&amp;PERIODTYPE=QTR_STD&amp;SCFT=3&amp;window=popup_no_bar&amp;width=385&amp;height=120&amp;START_MAXIMIZED=FALSE&amp;creator=factset&amp;display_string=Audit"}</definedName>
    <definedName name="_19__FDSAUDITLINK__" hidden="1">{"fdsup://Directions/FactSet Auditing Viewer?action=AUDIT_VALUE&amp;DB=129&amp;ID1=03265410&amp;VALUEID=05194&amp;SDATE=201104&amp;PERIODTYPE=QTR_STD&amp;SCFT=3&amp;window=popup_no_bar&amp;width=385&amp;height=120&amp;START_MAXIMIZED=FALSE&amp;creator=factset&amp;display_string=Audit"}</definedName>
    <definedName name="_190__FDSAUDITLINK__" hidden="1">{"fdsup://Directions/FactSet Auditing Viewer?action=AUDIT_VALUE&amp;DB=129&amp;ID1=72581M30&amp;VALUEID=02001&amp;SDATE=201004&amp;PERIODTYPE=QTR_STD&amp;SCFT=3&amp;window=popup_no_bar&amp;width=385&amp;height=120&amp;START_MAXIMIZED=FALSE&amp;creator=factset&amp;display_string=Audit"}</definedName>
    <definedName name="_1900__FDSAUDITLINK__" hidden="1">{"fdsup://Directions/FactSet Auditing Viewer?action=AUDIT_VALUE&amp;DB=129&amp;ID1=03265410&amp;VALUEID=02001&amp;SDATE=200703&amp;PERIODTYPE=QTR_STD&amp;SCFT=3&amp;window=popup_no_bar&amp;width=385&amp;height=120&amp;START_MAXIMIZED=FALSE&amp;creator=factset&amp;display_string=Audit"}</definedName>
    <definedName name="_1901__FDSAUDITLINK__" hidden="1">{"fdsup://Directions/FactSet Auditing Viewer?action=AUDIT_VALUE&amp;DB=129&amp;ID1=00752J10&amp;VALUEID=02001&amp;SDATE=200702&amp;PERIODTYPE=QTR_STD&amp;SCFT=3&amp;window=popup_no_bar&amp;width=385&amp;height=120&amp;START_MAXIMIZED=FALSE&amp;creator=factset&amp;display_string=Audit"}</definedName>
    <definedName name="_1902__FDSAUDITLINK__" hidden="1">{"fdsup://Directions/FactSet Auditing Viewer?action=AUDIT_VALUE&amp;DB=129&amp;ID1=00752J10&amp;VALUEID=02001&amp;SDATE=200702&amp;PERIODTYPE=QTR_STD&amp;SCFT=3&amp;window=popup_no_bar&amp;width=385&amp;height=120&amp;START_MAXIMIZED=FALSE&amp;creator=factset&amp;display_string=Audit"}</definedName>
    <definedName name="_1903__FDSAUDITLINK__" hidden="1">{"fdsup://Directions/FactSet Auditing Viewer?action=AUDIT_VALUE&amp;DB=129&amp;ID1=98975F10&amp;VALUEID=02001&amp;SDATE=200701&amp;PERIODTYPE=QTR_STD&amp;SCFT=3&amp;window=popup_no_bar&amp;width=385&amp;height=120&amp;START_MAXIMIZED=FALSE&amp;creator=factset&amp;display_string=Audit"}</definedName>
    <definedName name="_1904__FDSAUDITLINK__" hidden="1">{"fdsup://Directions/FactSet Auditing Viewer?action=AUDIT_VALUE&amp;DB=129&amp;ID1=98975F10&amp;VALUEID=02001&amp;SDATE=200701&amp;PERIODTYPE=QTR_STD&amp;SCFT=3&amp;window=popup_no_bar&amp;width=385&amp;height=120&amp;START_MAXIMIZED=FALSE&amp;creator=factset&amp;display_string=Audit"}</definedName>
    <definedName name="_1905__FDSAUDITLINK__" hidden="1">{"fdsup://Directions/FactSet Auditing Viewer?action=AUDIT_VALUE&amp;DB=129&amp;ID1=95810210&amp;VALUEID=02001&amp;SDATE=200703&amp;PERIODTYPE=QTR_STD&amp;SCFT=3&amp;window=popup_no_bar&amp;width=385&amp;height=120&amp;START_MAXIMIZED=FALSE&amp;creator=factset&amp;display_string=Audit"}</definedName>
    <definedName name="_1906__FDSAUDITLINK__" hidden="1">{"fdsup://Directions/FactSet Auditing Viewer?action=AUDIT_VALUE&amp;DB=129&amp;ID1=95810210&amp;VALUEID=02001&amp;SDATE=200703&amp;PERIODTYPE=QTR_STD&amp;SCFT=3&amp;window=popup_no_bar&amp;width=385&amp;height=120&amp;START_MAXIMIZED=FALSE&amp;creator=factset&amp;display_string=Audit"}</definedName>
    <definedName name="_1907__FDSAUDITLINK__" hidden="1">{"fdsup://Directions/FactSet Auditing Viewer?action=AUDIT_VALUE&amp;DB=129&amp;ID1=92829810&amp;VALUEID=02001&amp;SDATE=200701&amp;PERIODTYPE=QTR_STD&amp;SCFT=3&amp;window=popup_no_bar&amp;width=385&amp;height=120&amp;START_MAXIMIZED=FALSE&amp;creator=factset&amp;display_string=Audit"}</definedName>
    <definedName name="_1908__FDSAUDITLINK__" hidden="1">{"fdsup://Directions/FactSet Auditing Viewer?action=AUDIT_VALUE&amp;DB=129&amp;ID1=92829810&amp;VALUEID=02001&amp;SDATE=200701&amp;PERIODTYPE=QTR_STD&amp;SCFT=3&amp;window=popup_no_bar&amp;width=385&amp;height=120&amp;START_MAXIMIZED=FALSE&amp;creator=factset&amp;display_string=Audit"}</definedName>
    <definedName name="_1909__FDSAUDITLINK__" hidden="1">{"fdsup://Directions/FactSet Auditing Viewer?action=AUDIT_VALUE&amp;DB=129&amp;ID1=88250810&amp;VALUEID=02001&amp;SDATE=200701&amp;PERIODTYPE=QTR_STD&amp;SCFT=3&amp;window=popup_no_bar&amp;width=385&amp;height=120&amp;START_MAXIMIZED=FALSE&amp;creator=factset&amp;display_string=Audit"}</definedName>
    <definedName name="_191__FDSAUDITLINK__" hidden="1">{"fdsup://Directions/FactSet Auditing Viewer?action=AUDIT_VALUE&amp;DB=129&amp;ID1=73927610&amp;VALUEID=02001&amp;SDATE=201004&amp;PERIODTYPE=QTR_STD&amp;SCFT=3&amp;window=popup_no_bar&amp;width=385&amp;height=120&amp;START_MAXIMIZED=FALSE&amp;creator=factset&amp;display_string=Audit"}</definedName>
    <definedName name="_1910__FDSAUDITLINK__" hidden="1">{"fdsup://Directions/FactSet Auditing Viewer?action=AUDIT_VALUE&amp;DB=129&amp;ID1=88250810&amp;VALUEID=02001&amp;SDATE=200701&amp;PERIODTYPE=QTR_STD&amp;SCFT=3&amp;window=popup_no_bar&amp;width=385&amp;height=120&amp;START_MAXIMIZED=FALSE&amp;creator=factset&amp;display_string=Audit"}</definedName>
    <definedName name="_1911__FDSAUDITLINK__" hidden="1">{"fdsup://Directions/FactSet Auditing Viewer?action=AUDIT_VALUE&amp;DB=129&amp;ID1=89674K10&amp;VALUEID=02001&amp;SDATE=200701&amp;PERIODTYPE=QTR_STD&amp;SCFT=3&amp;window=popup_no_bar&amp;width=385&amp;height=120&amp;START_MAXIMIZED=FALSE&amp;creator=factset&amp;display_string=Audit"}</definedName>
    <definedName name="_1912__FDSAUDITLINK__" hidden="1">{"fdsup://Directions/FactSet Auditing Viewer?action=AUDIT_VALUE&amp;DB=129&amp;ID1=89674K10&amp;VALUEID=02001&amp;SDATE=200701&amp;PERIODTYPE=QTR_STD&amp;SCFT=3&amp;window=popup_no_bar&amp;width=385&amp;height=120&amp;START_MAXIMIZED=FALSE&amp;creator=factset&amp;display_string=Audit"}</definedName>
    <definedName name="_1913__FDSAUDITLINK__" hidden="1">{"fdsup://Directions/FactSet Auditing Viewer?action=AUDIT_VALUE&amp;DB=129&amp;ID1=83088M10&amp;VALUEID=02001&amp;SDATE=200702&amp;PERIODTYPE=QTR_STD&amp;SCFT=3&amp;window=popup_no_bar&amp;width=385&amp;height=120&amp;START_MAXIMIZED=FALSE&amp;creator=factset&amp;display_string=Audit"}</definedName>
    <definedName name="_1914__FDSAUDITLINK__" hidden="1">{"fdsup://Directions/FactSet Auditing Viewer?action=AUDIT_VALUE&amp;DB=129&amp;ID1=83088M10&amp;VALUEID=02001&amp;SDATE=200702&amp;PERIODTYPE=QTR_STD&amp;SCFT=3&amp;window=popup_no_bar&amp;width=385&amp;height=120&amp;START_MAXIMIZED=FALSE&amp;creator=factset&amp;display_string=Audit"}</definedName>
    <definedName name="_1915__FDSAUDITLINK__" hidden="1">{"fdsup://Directions/FactSet Auditing Viewer?action=AUDIT_VALUE&amp;DB=129&amp;ID1=G7945M10&amp;VALUEID=02001&amp;SDATE=200703&amp;PERIODTYPE=QTR_STD&amp;SCFT=3&amp;window=popup_no_bar&amp;width=385&amp;height=120&amp;START_MAXIMIZED=FALSE&amp;creator=factset&amp;display_string=Audit"}</definedName>
    <definedName name="_1916__FDSAUDITLINK__" hidden="1">{"fdsup://Directions/FactSet Auditing Viewer?action=AUDIT_VALUE&amp;DB=129&amp;ID1=G7945M10&amp;VALUEID=02001&amp;SDATE=200703&amp;PERIODTYPE=QTR_STD&amp;SCFT=3&amp;window=popup_no_bar&amp;width=385&amp;height=120&amp;START_MAXIMIZED=FALSE&amp;creator=factset&amp;display_string=Audit"}</definedName>
    <definedName name="_1917__FDSAUDITLINK__" hidden="1">{"fdsup://Directions/FactSet Auditing Viewer?action=AUDIT_VALUE&amp;DB=129&amp;ID1=78477410&amp;VALUEID=02001&amp;SDATE=200701&amp;PERIODTYPE=QTR_STD&amp;SCFT=3&amp;window=popup_no_bar&amp;width=385&amp;height=120&amp;START_MAXIMIZED=FALSE&amp;creator=factset&amp;display_string=Audit"}</definedName>
    <definedName name="_1918__FDSAUDITLINK__" hidden="1">{"fdsup://Directions/FactSet Auditing Viewer?action=AUDIT_VALUE&amp;DB=129&amp;ID1=78477410&amp;VALUEID=02001&amp;SDATE=200701&amp;PERIODTYPE=QTR_STD&amp;SCFT=3&amp;window=popup_no_bar&amp;width=385&amp;height=120&amp;START_MAXIMIZED=FALSE&amp;creator=factset&amp;display_string=Audit"}</definedName>
    <definedName name="_1919__FDSAUDITLINK__" hidden="1">{"fdsup://Directions/FactSet Auditing Viewer?action=AUDIT_VALUE&amp;DB=129&amp;ID1=82705710&amp;VALUEID=02001&amp;SDATE=200701&amp;PERIODTYPE=QTR_STD&amp;SCFT=3&amp;window=popup_no_bar&amp;width=385&amp;height=120&amp;START_MAXIMIZED=FALSE&amp;creator=factset&amp;display_string=Audit"}</definedName>
    <definedName name="_192__FDSAUDITLINK__" hidden="1">{"fdsup://Directions/FactSet Auditing Viewer?action=AUDIT_VALUE&amp;DB=129&amp;ID1=73927610&amp;VALUEID=02001&amp;SDATE=201004&amp;PERIODTYPE=QTR_STD&amp;SCFT=3&amp;window=popup_no_bar&amp;width=385&amp;height=120&amp;START_MAXIMIZED=FALSE&amp;creator=factset&amp;display_string=Audit"}</definedName>
    <definedName name="_1920__FDSAUDITLINK__" hidden="1">{"fdsup://Directions/FactSet Auditing Viewer?action=AUDIT_VALUE&amp;DB=129&amp;ID1=82705710&amp;VALUEID=02001&amp;SDATE=200701&amp;PERIODTYPE=QTR_STD&amp;SCFT=3&amp;window=popup_no_bar&amp;width=385&amp;height=120&amp;START_MAXIMIZED=FALSE&amp;creator=factset&amp;display_string=Audit"}</definedName>
    <definedName name="_1921__FDSAUDITLINK__" hidden="1">{"fdsup://Directions/FactSet Auditing Viewer?action=AUDIT_VALUE&amp;DB=129&amp;ID1=83547010&amp;VALUEID=02001&amp;SDATE=200701&amp;PERIODTYPE=QTR_STD&amp;SCFT=3&amp;window=popup_no_bar&amp;width=385&amp;height=120&amp;START_MAXIMIZED=FALSE&amp;creator=factset&amp;display_string=Audit"}</definedName>
    <definedName name="_1922__FDSAUDITLINK__" hidden="1">{"fdsup://Directions/FactSet Auditing Viewer?action=AUDIT_VALUE&amp;DB=129&amp;ID1=83547010&amp;VALUEID=02001&amp;SDATE=200701&amp;PERIODTYPE=QTR_STD&amp;SCFT=3&amp;window=popup_no_bar&amp;width=385&amp;height=120&amp;START_MAXIMIZED=FALSE&amp;creator=factset&amp;display_string=Audit"}</definedName>
    <definedName name="_1923__FDSAUDITLINK__" hidden="1">{"fdsup://Directions/FactSet Auditing Viewer?action=AUDIT_VALUE&amp;DB=129&amp;ID1=87160710&amp;VALUEID=02001&amp;SDATE=200702&amp;PERIODTYPE=QTR_STD&amp;SCFT=3&amp;window=popup_no_bar&amp;width=385&amp;height=120&amp;START_MAXIMIZED=FALSE&amp;creator=factset&amp;display_string=Audit"}</definedName>
    <definedName name="_1924__FDSAUDITLINK__" hidden="1">{"fdsup://Directions/FactSet Auditing Viewer?action=AUDIT_VALUE&amp;DB=129&amp;ID1=87160710&amp;VALUEID=02001&amp;SDATE=200702&amp;PERIODTYPE=QTR_STD&amp;SCFT=3&amp;window=popup_no_bar&amp;width=385&amp;height=120&amp;START_MAXIMIZED=FALSE&amp;creator=factset&amp;display_string=Audit"}</definedName>
    <definedName name="_1925__FDSAUDITLINK__" hidden="1">{"fdsup://Directions/FactSet Auditing Viewer?action=AUDIT_VALUE&amp;DB=129&amp;ID1=80004C10&amp;VALUEID=02001&amp;SDATE=200701&amp;PERIODTYPE=QTR_STD&amp;SCFT=3&amp;window=popup_no_bar&amp;width=385&amp;height=120&amp;START_MAXIMIZED=FALSE&amp;creator=factset&amp;display_string=Audit"}</definedName>
    <definedName name="_1926__FDSAUDITLINK__" hidden="1">{"fdsup://Directions/FactSet Auditing Viewer?action=AUDIT_VALUE&amp;DB=129&amp;ID1=80004C10&amp;VALUEID=02001&amp;SDATE=200701&amp;PERIODTYPE=QTR_STD&amp;SCFT=3&amp;window=popup_no_bar&amp;width=385&amp;height=120&amp;START_MAXIMIZED=FALSE&amp;creator=factset&amp;display_string=Audit"}</definedName>
    <definedName name="_1927__FDSAUDITLINK__" hidden="1">{"fdsup://Directions/FactSet Auditing Viewer?action=AUDIT_VALUE&amp;DB=129&amp;ID1=81685010&amp;VALUEID=02001&amp;SDATE=200701&amp;PERIODTYPE=QTR_STD&amp;SCFT=3&amp;window=popup_no_bar&amp;width=385&amp;height=120&amp;START_MAXIMIZED=FALSE&amp;creator=factset&amp;display_string=Audit"}</definedName>
    <definedName name="_1928__FDSAUDITLINK__" hidden="1">{"fdsup://Directions/FactSet Auditing Viewer?action=AUDIT_VALUE&amp;DB=129&amp;ID1=81685010&amp;VALUEID=02001&amp;SDATE=200701&amp;PERIODTYPE=QTR_STD&amp;SCFT=3&amp;window=popup_no_bar&amp;width=385&amp;height=120&amp;START_MAXIMIZED=FALSE&amp;creator=factset&amp;display_string=Audit"}</definedName>
    <definedName name="_1929__FDSAUDITLINK__" hidden="1">{"fdsup://Directions/FactSet Auditing Viewer?action=AUDIT_VALUE&amp;DB=129&amp;ID1=82691910&amp;VALUEID=02001&amp;SDATE=200701&amp;PERIODTYPE=QTR_STD&amp;SCFT=3&amp;window=popup_no_bar&amp;width=385&amp;height=120&amp;START_MAXIMIZED=FALSE&amp;creator=factset&amp;display_string=Audit"}</definedName>
    <definedName name="_193__FDSAUDITLINK__" hidden="1">{"fdsup://Directions/FactSet Auditing Viewer?action=AUDIT_VALUE&amp;DB=129&amp;ID1=69344F10&amp;VALUEID=02001&amp;SDATE=201004&amp;PERIODTYPE=QTR_STD&amp;SCFT=3&amp;window=popup_no_bar&amp;width=385&amp;height=120&amp;START_MAXIMIZED=FALSE&amp;creator=factset&amp;display_string=Audit"}</definedName>
    <definedName name="_1930__FDSAUDITLINK__" hidden="1">{"fdsup://Directions/FactSet Auditing Viewer?action=AUDIT_VALUE&amp;DB=129&amp;ID1=82691910&amp;VALUEID=02001&amp;SDATE=200701&amp;PERIODTYPE=QTR_STD&amp;SCFT=3&amp;window=popup_no_bar&amp;width=385&amp;height=120&amp;START_MAXIMIZED=FALSE&amp;creator=factset&amp;display_string=Audit"}</definedName>
    <definedName name="_1931__FDSAUDITLINK__" hidden="1">{"fdsup://Directions/FactSet Auditing Viewer?action=AUDIT_VALUE&amp;DB=129&amp;ID1=82705T10&amp;VALUEID=02001&amp;SDATE=200701&amp;PERIODTYPE=QTR_STD&amp;SCFT=3&amp;window=popup_no_bar&amp;width=385&amp;height=120&amp;START_MAXIMIZED=FALSE&amp;creator=factset&amp;display_string=Audit"}</definedName>
    <definedName name="_1932__FDSAUDITLINK__" hidden="1">{"fdsup://Directions/FactSet Auditing Viewer?action=AUDIT_VALUE&amp;DB=129&amp;ID1=82705T10&amp;VALUEID=02001&amp;SDATE=200701&amp;PERIODTYPE=QTR_STD&amp;SCFT=3&amp;window=popup_no_bar&amp;width=385&amp;height=120&amp;START_MAXIMIZED=FALSE&amp;creator=factset&amp;display_string=Audit"}</definedName>
    <definedName name="_1933__FDSAUDITLINK__" hidden="1">{"fdsup://Directions/FactSet Auditing Viewer?action=AUDIT_VALUE&amp;DB=129&amp;ID1=75091710&amp;VALUEID=02001&amp;SDATE=200701&amp;PERIODTYPE=QTR_STD&amp;SCFT=3&amp;window=popup_no_bar&amp;width=385&amp;height=120&amp;START_MAXIMIZED=FALSE&amp;creator=factset&amp;display_string=Audit"}</definedName>
    <definedName name="_1934__FDSAUDITLINK__" hidden="1">{"fdsup://Directions/FactSet Auditing Viewer?action=AUDIT_VALUE&amp;DB=129&amp;ID1=75091710&amp;VALUEID=02001&amp;SDATE=200701&amp;PERIODTYPE=QTR_STD&amp;SCFT=3&amp;window=popup_no_bar&amp;width=385&amp;height=120&amp;START_MAXIMIZED=FALSE&amp;creator=factset&amp;display_string=Audit"}</definedName>
    <definedName name="_1935__FDSAUDITLINK__" hidden="1">{"fdsup://Directions/FactSet Auditing Viewer?action=AUDIT_VALUE&amp;DB=129&amp;ID1=74752510&amp;VALUEID=02001&amp;SDATE=200702&amp;PERIODTYPE=QTR_STD&amp;SCFT=3&amp;window=popup_no_bar&amp;width=385&amp;height=120&amp;START_MAXIMIZED=FALSE&amp;creator=factset&amp;display_string=Audit"}</definedName>
    <definedName name="_1936__FDSAUDITLINK__" hidden="1">{"fdsup://Directions/FactSet Auditing Viewer?action=AUDIT_VALUE&amp;DB=129&amp;ID1=74752510&amp;VALUEID=02001&amp;SDATE=200702&amp;PERIODTYPE=QTR_STD&amp;SCFT=3&amp;window=popup_no_bar&amp;width=385&amp;height=120&amp;START_MAXIMIZED=FALSE&amp;creator=factset&amp;display_string=Audit"}</definedName>
    <definedName name="_1937__FDSAUDITLINK__" hidden="1">{"fdsup://Directions/FactSet Auditing Viewer?action=AUDIT_VALUE&amp;DB=129&amp;ID1=72581M30&amp;VALUEID=02001&amp;SDATE=200701&amp;PERIODTYPE=QTR_STD&amp;SCFT=3&amp;window=popup_no_bar&amp;width=385&amp;height=120&amp;START_MAXIMIZED=FALSE&amp;creator=factset&amp;display_string=Audit"}</definedName>
    <definedName name="_1938__FDSAUDITLINK__" hidden="1">{"fdsup://Directions/FactSet Auditing Viewer?action=AUDIT_VALUE&amp;DB=129&amp;ID1=72581M30&amp;VALUEID=02001&amp;SDATE=200701&amp;PERIODTYPE=QTR_STD&amp;SCFT=3&amp;window=popup_no_bar&amp;width=385&amp;height=120&amp;START_MAXIMIZED=FALSE&amp;creator=factset&amp;display_string=Audit"}</definedName>
    <definedName name="_1939__FDSAUDITLINK__" hidden="1">{"fdsup://Directions/FactSet Auditing Viewer?action=AUDIT_VALUE&amp;DB=129&amp;ID1=73927610&amp;VALUEID=02001&amp;SDATE=200701&amp;PERIODTYPE=QTR_STD&amp;SCFT=3&amp;window=popup_no_bar&amp;width=385&amp;height=120&amp;START_MAXIMIZED=FALSE&amp;creator=factset&amp;display_string=Audit"}</definedName>
    <definedName name="_194__FDSAUDITLINK__" hidden="1">{"fdsup://Directions/FactSet Auditing Viewer?action=AUDIT_VALUE&amp;DB=129&amp;ID1=69344F10&amp;VALUEID=02001&amp;SDATE=201004&amp;PERIODTYPE=QTR_STD&amp;SCFT=3&amp;window=popup_no_bar&amp;width=385&amp;height=120&amp;START_MAXIMIZED=FALSE&amp;creator=factset&amp;display_string=Audit"}</definedName>
    <definedName name="_1940__FDSAUDITLINK__" hidden="1">{"fdsup://Directions/FactSet Auditing Viewer?action=AUDIT_VALUE&amp;DB=129&amp;ID1=73927610&amp;VALUEID=02001&amp;SDATE=200701&amp;PERIODTYPE=QTR_STD&amp;SCFT=3&amp;window=popup_no_bar&amp;width=385&amp;height=120&amp;START_MAXIMIZED=FALSE&amp;creator=factset&amp;display_string=Audit"}</definedName>
    <definedName name="_1941__FDSAUDITLINK__" hidden="1">{"fdsup://Directions/FactSet Auditing Viewer?action=AUDIT_VALUE&amp;DB=129&amp;ID1=69344F10&amp;VALUEID=02001&amp;SDATE=200701&amp;PERIODTYPE=QTR_STD&amp;SCFT=3&amp;window=popup_no_bar&amp;width=385&amp;height=120&amp;START_MAXIMIZED=FALSE&amp;creator=factset&amp;display_string=Audit"}</definedName>
    <definedName name="_1942__FDSAUDITLINK__" hidden="1">{"fdsup://Directions/FactSet Auditing Viewer?action=AUDIT_VALUE&amp;DB=129&amp;ID1=69344F10&amp;VALUEID=02001&amp;SDATE=200701&amp;PERIODTYPE=QTR_STD&amp;SCFT=3&amp;window=popup_no_bar&amp;width=385&amp;height=120&amp;START_MAXIMIZED=FALSE&amp;creator=factset&amp;display_string=Audit"}</definedName>
    <definedName name="_1943__FDSAUDITLINK__" hidden="1">{"fdsup://Directions/FactSet Auditing Viewer?action=AUDIT_VALUE&amp;DB=129&amp;ID1=69341710&amp;VALUEID=02001&amp;SDATE=200701&amp;PERIODTYPE=QTR_STD&amp;SCFT=3&amp;window=popup_no_bar&amp;width=385&amp;height=120&amp;START_MAXIMIZED=FALSE&amp;creator=factset&amp;display_string=Audit"}</definedName>
    <definedName name="_1944__FDSAUDITLINK__" hidden="1">{"fdsup://Directions/FactSet Auditing Viewer?action=AUDIT_VALUE&amp;DB=129&amp;ID1=69341710&amp;VALUEID=02001&amp;SDATE=200701&amp;PERIODTYPE=QTR_STD&amp;SCFT=3&amp;window=popup_no_bar&amp;width=385&amp;height=120&amp;START_MAXIMIZED=FALSE&amp;creator=factset&amp;display_string=Audit"}</definedName>
    <definedName name="_1945__FDSAUDITLINK__" hidden="1">{"fdsup://Directions/FactSet Auditing Viewer?action=AUDIT_VALUE&amp;DB=129&amp;ID1=68218910&amp;VALUEID=02001&amp;SDATE=200701&amp;PERIODTYPE=QTR_STD&amp;SCFT=3&amp;window=popup_no_bar&amp;width=385&amp;height=120&amp;START_MAXIMIZED=FALSE&amp;creator=factset&amp;display_string=Audit"}</definedName>
    <definedName name="_1946__FDSAUDITLINK__" hidden="1">{"fdsup://Directions/FactSet Auditing Viewer?action=AUDIT_VALUE&amp;DB=129&amp;ID1=68218910&amp;VALUEID=02001&amp;SDATE=200701&amp;PERIODTYPE=QTR_STD&amp;SCFT=3&amp;window=popup_no_bar&amp;width=385&amp;height=120&amp;START_MAXIMIZED=FALSE&amp;creator=factset&amp;display_string=Audit"}</definedName>
    <definedName name="_1947__FDSAUDITLINK__" hidden="1">{"fdsup://Directions/FactSet Auditing Viewer?action=AUDIT_VALUE&amp;DB=129&amp;ID1=67000810&amp;VALUEID=02001&amp;SDATE=200701&amp;PERIODTYPE=QTR_STD&amp;SCFT=3&amp;window=popup_no_bar&amp;width=385&amp;height=120&amp;START_MAXIMIZED=FALSE&amp;creator=factset&amp;display_string=Audit"}</definedName>
    <definedName name="_1948__FDSAUDITLINK__" hidden="1">{"fdsup://Directions/FactSet Auditing Viewer?action=AUDIT_VALUE&amp;DB=129&amp;ID1=67000810&amp;VALUEID=02001&amp;SDATE=200701&amp;PERIODTYPE=QTR_STD&amp;SCFT=3&amp;window=popup_no_bar&amp;width=385&amp;height=120&amp;START_MAXIMIZED=FALSE&amp;creator=factset&amp;display_string=Audit"}</definedName>
    <definedName name="_1949__FDSAUDITLINK__" hidden="1">{"fdsup://Directions/FactSet Auditing Viewer?action=AUDIT_VALUE&amp;DB=129&amp;ID1=67066G10&amp;VALUEID=02001&amp;SDATE=200701&amp;PERIODTYPE=QTR_STD&amp;SCFT=3&amp;window=popup_no_bar&amp;width=385&amp;height=120&amp;START_MAXIMIZED=FALSE&amp;creator=factset&amp;display_string=Audit"}</definedName>
    <definedName name="_195__FDSAUDITLINK__" hidden="1">{"fdsup://Directions/FactSet Auditing Viewer?action=AUDIT_VALUE&amp;DB=129&amp;ID1=69341710&amp;VALUEID=02001&amp;SDATE=201004&amp;PERIODTYPE=QTR_STD&amp;SCFT=3&amp;window=popup_no_bar&amp;width=385&amp;height=120&amp;START_MAXIMIZED=FALSE&amp;creator=factset&amp;display_string=Audit"}</definedName>
    <definedName name="_1950__FDSAUDITLINK__" hidden="1">{"fdsup://Directions/FactSet Auditing Viewer?action=AUDIT_VALUE&amp;DB=129&amp;ID1=67066G10&amp;VALUEID=02001&amp;SDATE=200701&amp;PERIODTYPE=QTR_STD&amp;SCFT=3&amp;window=popup_no_bar&amp;width=385&amp;height=120&amp;START_MAXIMIZED=FALSE&amp;creator=factset&amp;display_string=Audit"}</definedName>
    <definedName name="_1951__FDSAUDITLINK__" hidden="1">{"fdsup://Directions/FactSet Auditing Viewer?action=AUDIT_VALUE&amp;DB=129&amp;ID1=63764010&amp;VALUEID=02001&amp;SDATE=200603&amp;PERIODTYPE=QTR_STD&amp;SCFT=3&amp;window=popup_no_bar&amp;width=385&amp;height=120&amp;START_MAXIMIZED=FALSE&amp;creator=factset&amp;display_string=Audit"}</definedName>
    <definedName name="_1952__FDSAUDITLINK__" hidden="1">{"fdsup://Directions/FactSet Auditing Viewer?action=AUDIT_VALUE&amp;DB=129&amp;ID1=63764010&amp;VALUEID=02001&amp;SDATE=200603&amp;PERIODTYPE=QTR_STD&amp;SCFT=3&amp;window=popup_no_bar&amp;width=385&amp;height=120&amp;START_MAXIMIZED=FALSE&amp;creator=factset&amp;display_string=Audit"}</definedName>
    <definedName name="_1953__FDSAUDITLINK__" hidden="1">{"fdsup://Directions/FactSet Auditing Viewer?action=AUDIT_VALUE&amp;DB=129&amp;ID1=64118B10&amp;VALUEID=02001&amp;SDATE=200701&amp;PERIODTYPE=QTR_STD&amp;SCFT=3&amp;window=popup_no_bar&amp;width=385&amp;height=120&amp;START_MAXIMIZED=FALSE&amp;creator=factset&amp;display_string=Audit"}</definedName>
    <definedName name="_1954__FDSAUDITLINK__" hidden="1">{"fdsup://Directions/FactSet Auditing Viewer?action=AUDIT_VALUE&amp;DB=129&amp;ID1=64118B10&amp;VALUEID=02001&amp;SDATE=200701&amp;PERIODTYPE=QTR_STD&amp;SCFT=3&amp;window=popup_no_bar&amp;width=385&amp;height=120&amp;START_MAXIMIZED=FALSE&amp;creator=factset&amp;display_string=Audit"}</definedName>
    <definedName name="_1955__FDSAUDITLINK__" hidden="1">{"fdsup://Directions/FactSet Auditing Viewer?action=AUDIT_VALUE&amp;DB=129&amp;ID1=57772K10&amp;VALUEID=02001&amp;SDATE=200703&amp;PERIODTYPE=QTR_STD&amp;SCFT=3&amp;window=popup_no_bar&amp;width=385&amp;height=120&amp;START_MAXIMIZED=FALSE&amp;creator=factset&amp;display_string=Audit"}</definedName>
    <definedName name="_1956__FDSAUDITLINK__" hidden="1">{"fdsup://Directions/FactSet Auditing Viewer?action=AUDIT_VALUE&amp;DB=129&amp;ID1=57772K10&amp;VALUEID=02001&amp;SDATE=200703&amp;PERIODTYPE=QTR_STD&amp;SCFT=3&amp;window=popup_no_bar&amp;width=385&amp;height=120&amp;START_MAXIMIZED=FALSE&amp;creator=factset&amp;display_string=Audit"}</definedName>
    <definedName name="_1957__FDSAUDITLINK__" hidden="1">{"fdsup://Directions/FactSet Auditing Viewer?action=AUDIT_VALUE&amp;DB=129&amp;ID1=59511210&amp;VALUEID=02001&amp;SDATE=200702&amp;PERIODTYPE=QTR_STD&amp;SCFT=3&amp;window=popup_no_bar&amp;width=385&amp;height=120&amp;START_MAXIMIZED=FALSE&amp;creator=factset&amp;display_string=Audit"}</definedName>
    <definedName name="_1958__FDSAUDITLINK__" hidden="1">{"fdsup://Directions/FactSet Auditing Viewer?action=AUDIT_VALUE&amp;DB=129&amp;ID1=59511210&amp;VALUEID=02001&amp;SDATE=200702&amp;PERIODTYPE=QTR_STD&amp;SCFT=3&amp;window=popup_no_bar&amp;width=385&amp;height=120&amp;START_MAXIMIZED=FALSE&amp;creator=factset&amp;display_string=Audit"}</definedName>
    <definedName name="_1959__FDSAUDITLINK__" hidden="1">{"fdsup://Directions/FactSet Auditing Viewer?action=AUDIT_VALUE&amp;DB=129&amp;ID1=59513710&amp;VALUEID=02001&amp;SDATE=200702&amp;PERIODTYPE=QTR_STD&amp;SCFT=3&amp;window=popup_no_bar&amp;width=385&amp;height=120&amp;START_MAXIMIZED=FALSE&amp;creator=factset&amp;display_string=Audit"}</definedName>
    <definedName name="_196__FDSAUDITLINK__" hidden="1">{"fdsup://Directions/FactSet Auditing Viewer?action=AUDIT_VALUE&amp;DB=129&amp;ID1=69341710&amp;VALUEID=02001&amp;SDATE=201004&amp;PERIODTYPE=QTR_STD&amp;SCFT=3&amp;window=popup_no_bar&amp;width=385&amp;height=120&amp;START_MAXIMIZED=FALSE&amp;creator=factset&amp;display_string=Audit"}</definedName>
    <definedName name="_1960__FDSAUDITLINK__" hidden="1">{"fdsup://Directions/FactSet Auditing Viewer?action=AUDIT_VALUE&amp;DB=129&amp;ID1=59513710&amp;VALUEID=02001&amp;SDATE=200702&amp;PERIODTYPE=QTR_STD&amp;SCFT=3&amp;window=popup_no_bar&amp;width=385&amp;height=120&amp;START_MAXIMIZED=FALSE&amp;creator=factset&amp;display_string=Audit"}</definedName>
    <definedName name="_1961__FDSAUDITLINK__" hidden="1">{"fdsup://Directions/FactSet Auditing Viewer?action=AUDIT_VALUE&amp;DB=129&amp;ID1=G5876H10&amp;VALUEID=02001&amp;SDATE=200701&amp;PERIODTYPE=QTR_STD&amp;SCFT=3&amp;window=popup_no_bar&amp;width=385&amp;height=120&amp;START_MAXIMIZED=FALSE&amp;creator=factset&amp;display_string=Audit"}</definedName>
    <definedName name="_1962__FDSAUDITLINK__" hidden="1">{"fdsup://Directions/FactSet Auditing Viewer?action=AUDIT_VALUE&amp;DB=129&amp;ID1=G5876H10&amp;VALUEID=02001&amp;SDATE=200701&amp;PERIODTYPE=QTR_STD&amp;SCFT=3&amp;window=popup_no_bar&amp;width=385&amp;height=120&amp;START_MAXIMIZED=FALSE&amp;creator=factset&amp;display_string=Audit"}</definedName>
    <definedName name="_1963__FDSAUDITLINK__" hidden="1">{"fdsup://Directions/FactSet Auditing Viewer?action=AUDIT_VALUE&amp;DB=129&amp;ID1=62007630&amp;VALUEID=02001&amp;SDATE=200701&amp;PERIODTYPE=QTR_STD&amp;SCFT=3&amp;window=popup_no_bar&amp;width=385&amp;height=120&amp;START_MAXIMIZED=FALSE&amp;creator=factset&amp;display_string=Audit"}</definedName>
    <definedName name="_1964__FDSAUDITLINK__" hidden="1">{"fdsup://Directions/FactSet Auditing Viewer?action=AUDIT_VALUE&amp;DB=129&amp;ID1=62007630&amp;VALUEID=02001&amp;SDATE=200701&amp;PERIODTYPE=QTR_STD&amp;SCFT=3&amp;window=popup_no_bar&amp;width=385&amp;height=120&amp;START_MAXIMIZED=FALSE&amp;creator=factset&amp;display_string=Audit"}</definedName>
    <definedName name="_1965__FDSAUDITLINK__" hidden="1">{"fdsup://Directions/FactSet Auditing Viewer?action=AUDIT_VALUE&amp;DB=129&amp;ID1=60456710&amp;VALUEID=02001&amp;SDATE=200703&amp;PERIODTYPE=QTR_STD&amp;SCFT=3&amp;window=popup_no_bar&amp;width=385&amp;height=120&amp;START_MAXIMIZED=FALSE&amp;creator=factset&amp;display_string=Audit"}</definedName>
    <definedName name="_1966__FDSAUDITLINK__" hidden="1">{"fdsup://Directions/FactSet Auditing Viewer?action=AUDIT_VALUE&amp;DB=129&amp;ID1=60456710&amp;VALUEID=02001&amp;SDATE=200703&amp;PERIODTYPE=QTR_STD&amp;SCFT=3&amp;window=popup_no_bar&amp;width=385&amp;height=120&amp;START_MAXIMIZED=FALSE&amp;creator=factset&amp;display_string=Audit"}</definedName>
    <definedName name="_1967__FDSAUDITLINK__" hidden="1">{"fdsup://Directions/FactSet Auditing Viewer?action=AUDIT_VALUE&amp;DB=129&amp;ID1=59479310&amp;VALUEID=02001&amp;SDATE=200701&amp;PERIODTYPE=QTR_STD&amp;SCFT=3&amp;window=popup_no_bar&amp;width=385&amp;height=120&amp;START_MAXIMIZED=FALSE&amp;creator=factset&amp;display_string=Audit"}</definedName>
    <definedName name="_1968__FDSAUDITLINK__" hidden="1">{"fdsup://Directions/FactSet Auditing Viewer?action=AUDIT_VALUE&amp;DB=129&amp;ID1=59479310&amp;VALUEID=02001&amp;SDATE=200701&amp;PERIODTYPE=QTR_STD&amp;SCFT=3&amp;window=popup_no_bar&amp;width=385&amp;height=120&amp;START_MAXIMIZED=FALSE&amp;creator=factset&amp;display_string=Audit"}</definedName>
    <definedName name="_1969__FDSAUDITLINK__" hidden="1">{"fdsup://Directions/FactSet Auditing Viewer?action=AUDIT_VALUE&amp;DB=129&amp;ID1=50216110&amp;VALUEID=02001&amp;SDATE=200701&amp;PERIODTYPE=QTR_STD&amp;SCFT=3&amp;window=popup_no_bar&amp;width=385&amp;height=120&amp;START_MAXIMIZED=FALSE&amp;creator=factset&amp;display_string=Audit"}</definedName>
    <definedName name="_197__FDSAUDITLINK__" hidden="1">{"fdsup://Directions/FactSet Auditing Viewer?action=AUDIT_VALUE&amp;DB=129&amp;ID1=68218910&amp;VALUEID=02001&amp;SDATE=201004&amp;PERIODTYPE=QTR_STD&amp;SCFT=3&amp;window=popup_no_bar&amp;width=385&amp;height=120&amp;START_MAXIMIZED=FALSE&amp;creator=factset&amp;display_string=Audit"}</definedName>
    <definedName name="_1970__FDSAUDITLINK__" hidden="1">{"fdsup://Directions/FactSet Auditing Viewer?action=AUDIT_VALUE&amp;DB=129&amp;ID1=50216110&amp;VALUEID=02001&amp;SDATE=200701&amp;PERIODTYPE=QTR_STD&amp;SCFT=3&amp;window=popup_no_bar&amp;width=385&amp;height=120&amp;START_MAXIMIZED=FALSE&amp;creator=factset&amp;display_string=Audit"}</definedName>
    <definedName name="_1971__FDSAUDITLINK__" hidden="1">{"fdsup://Directions/FactSet Auditing Viewer?action=AUDIT_VALUE&amp;DB=129&amp;ID1=51841510&amp;VALUEID=02001&amp;SDATE=200701&amp;PERIODTYPE=QTR_STD&amp;SCFT=3&amp;window=popup_no_bar&amp;width=385&amp;height=120&amp;START_MAXIMIZED=FALSE&amp;creator=factset&amp;display_string=Audit"}</definedName>
    <definedName name="_1972__FDSAUDITLINK__" hidden="1">{"fdsup://Directions/FactSet Auditing Viewer?action=AUDIT_VALUE&amp;DB=129&amp;ID1=51841510&amp;VALUEID=02001&amp;SDATE=200701&amp;PERIODTYPE=QTR_STD&amp;SCFT=3&amp;window=popup_no_bar&amp;width=385&amp;height=120&amp;START_MAXIMIZED=FALSE&amp;creator=factset&amp;display_string=Audit"}</definedName>
    <definedName name="_1973__FDSAUDITLINK__" hidden="1">{"fdsup://Directions/FactSet Auditing Viewer?action=AUDIT_VALUE&amp;DB=129&amp;ID1=51280710&amp;VALUEID=02001&amp;SDATE=200703&amp;PERIODTYPE=QTR_STD&amp;SCFT=3&amp;window=popup_no_bar&amp;width=385&amp;height=120&amp;START_MAXIMIZED=FALSE&amp;creator=factset&amp;display_string=Audit"}</definedName>
    <definedName name="_1974__FDSAUDITLINK__" hidden="1">{"fdsup://Directions/FactSet Auditing Viewer?action=AUDIT_VALUE&amp;DB=129&amp;ID1=51280710&amp;VALUEID=02001&amp;SDATE=200703&amp;PERIODTYPE=QTR_STD&amp;SCFT=3&amp;window=popup_no_bar&amp;width=385&amp;height=120&amp;START_MAXIMIZED=FALSE&amp;creator=factset&amp;display_string=Audit"}</definedName>
    <definedName name="_1975__FDSAUDITLINK__" hidden="1">{"fdsup://Directions/FactSet Auditing Viewer?action=AUDIT_VALUE&amp;DB=129&amp;ID1=53567810&amp;VALUEID=02001&amp;SDATE=200703&amp;PERIODTYPE=QTR_STD&amp;SCFT=3&amp;window=popup_no_bar&amp;width=385&amp;height=120&amp;START_MAXIMIZED=FALSE&amp;creator=factset&amp;display_string=Audit"}</definedName>
    <definedName name="_1976__FDSAUDITLINK__" hidden="1">{"fdsup://Directions/FactSet Auditing Viewer?action=AUDIT_VALUE&amp;DB=129&amp;ID1=53567810&amp;VALUEID=02001&amp;SDATE=200703&amp;PERIODTYPE=QTR_STD&amp;SCFT=3&amp;window=popup_no_bar&amp;width=385&amp;height=120&amp;START_MAXIMIZED=FALSE&amp;creator=factset&amp;display_string=Audit"}</definedName>
    <definedName name="_1977__FDSAUDITLINK__" hidden="1">{"fdsup://Directions/FactSet Auditing Viewer?action=AUDIT_VALUE&amp;DB=129&amp;ID1=48248010&amp;VALUEID=02001&amp;SDATE=200703&amp;PERIODTYPE=QTR_STD&amp;SCFT=3&amp;window=popup_no_bar&amp;width=385&amp;height=120&amp;START_MAXIMIZED=FALSE&amp;creator=factset&amp;display_string=Audit"}</definedName>
    <definedName name="_1978__FDSAUDITLINK__" hidden="1">{"fdsup://Directions/FactSet Auditing Viewer?action=AUDIT_VALUE&amp;DB=129&amp;ID1=48248010&amp;VALUEID=02001&amp;SDATE=200703&amp;PERIODTYPE=QTR_STD&amp;SCFT=3&amp;window=popup_no_bar&amp;width=385&amp;height=120&amp;START_MAXIMIZED=FALSE&amp;creator=factset&amp;display_string=Audit"}</definedName>
    <definedName name="_1979__FDSAUDITLINK__" hidden="1">{"fdsup://Directions/FactSet Auditing Viewer?action=AUDIT_VALUE&amp;DB=129&amp;ID1=48203R10&amp;VALUEID=02001&amp;SDATE=200701&amp;PERIODTYPE=QTR_STD&amp;SCFT=3&amp;window=popup_no_bar&amp;width=385&amp;height=120&amp;START_MAXIMIZED=FALSE&amp;creator=factset&amp;display_string=Audit"}</definedName>
    <definedName name="_198__FDSAUDITLINK__" hidden="1">{"fdsup://Directions/FactSet Auditing Viewer?action=AUDIT_VALUE&amp;DB=129&amp;ID1=68218910&amp;VALUEID=02001&amp;SDATE=201004&amp;PERIODTYPE=QTR_STD&amp;SCFT=3&amp;window=popup_no_bar&amp;width=385&amp;height=120&amp;START_MAXIMIZED=FALSE&amp;creator=factset&amp;display_string=Audit"}</definedName>
    <definedName name="_1980__FDSAUDITLINK__" hidden="1">{"fdsup://Directions/FactSet Auditing Viewer?action=AUDIT_VALUE&amp;DB=129&amp;ID1=48203R10&amp;VALUEID=02001&amp;SDATE=200701&amp;PERIODTYPE=QTR_STD&amp;SCFT=3&amp;window=popup_no_bar&amp;width=385&amp;height=120&amp;START_MAXIMIZED=FALSE&amp;creator=factset&amp;display_string=Audit"}</definedName>
    <definedName name="_1981__FDSAUDITLINK__" hidden="1">{"fdsup://Directions/FactSet Auditing Viewer?action=AUDIT_VALUE&amp;DB=129&amp;ID1=86681020&amp;VALUEID=02001&amp;SDATE=200703&amp;PERIODTYPE=QTR_STD&amp;SCFT=3&amp;window=popup_no_bar&amp;width=385&amp;height=120&amp;START_MAXIMIZED=FALSE&amp;creator=factset&amp;display_string=Audit"}</definedName>
    <definedName name="_1982__FDSAUDITLINK__" hidden="1">{"fdsup://Directions/FactSet Auditing Viewer?action=AUDIT_VALUE&amp;DB=129&amp;ID1=86681020&amp;VALUEID=02001&amp;SDATE=200703&amp;PERIODTYPE=QTR_STD&amp;SCFT=3&amp;window=popup_no_bar&amp;width=385&amp;height=120&amp;START_MAXIMIZED=FALSE&amp;creator=factset&amp;display_string=Audit"}</definedName>
    <definedName name="_1983__FDSAUDITLINK__" hidden="1">{"fdsup://Directions/FactSet Auditing Viewer?action=AUDIT_VALUE&amp;DB=129&amp;ID1=46069S10&amp;VALUEID=02001&amp;SDATE=200701&amp;PERIODTYPE=QTR_STD&amp;SCFT=3&amp;window=popup_no_bar&amp;width=385&amp;height=120&amp;START_MAXIMIZED=FALSE&amp;creator=factset&amp;display_string=Audit"}</definedName>
    <definedName name="_1984__FDSAUDITLINK__" hidden="1">{"fdsup://Directions/FactSet Auditing Viewer?action=AUDIT_VALUE&amp;DB=129&amp;ID1=46069S10&amp;VALUEID=02001&amp;SDATE=200701&amp;PERIODTYPE=QTR_STD&amp;SCFT=3&amp;window=popup_no_bar&amp;width=385&amp;height=120&amp;START_MAXIMIZED=FALSE&amp;creator=factset&amp;display_string=Audit"}</definedName>
    <definedName name="_1985__FDSAUDITLINK__" hidden="1">{"fdsup://Directions/FactSet Auditing Viewer?action=AUDIT_VALUE&amp;DB=129&amp;ID1=46025410&amp;VALUEID=02001&amp;SDATE=200703&amp;PERIODTYPE=QTR_STD&amp;SCFT=3&amp;window=popup_no_bar&amp;width=385&amp;height=120&amp;START_MAXIMIZED=FALSE&amp;creator=factset&amp;display_string=Audit"}</definedName>
    <definedName name="_1986__FDSAUDITLINK__" hidden="1">{"fdsup://Directions/FactSet Auditing Viewer?action=AUDIT_VALUE&amp;DB=129&amp;ID1=46025410&amp;VALUEID=02001&amp;SDATE=200703&amp;PERIODTYPE=QTR_STD&amp;SCFT=3&amp;window=popup_no_bar&amp;width=385&amp;height=120&amp;START_MAXIMIZED=FALSE&amp;creator=factset&amp;display_string=Audit"}</definedName>
    <definedName name="_1987__FDSAUDITLINK__" hidden="1">{"fdsup://Directions/FactSet Auditing Viewer?action=AUDIT_VALUE&amp;DB=129&amp;ID1=45814010&amp;VALUEID=02001&amp;SDATE=200701&amp;PERIODTYPE=QTR_STD&amp;SCFT=3&amp;window=popup_no_bar&amp;width=385&amp;height=120&amp;START_MAXIMIZED=FALSE&amp;creator=factset&amp;display_string=Audit"}</definedName>
    <definedName name="_1988__FDSAUDITLINK__" hidden="1">{"fdsup://Directions/FactSet Auditing Viewer?action=AUDIT_VALUE&amp;DB=129&amp;ID1=45814010&amp;VALUEID=02001&amp;SDATE=200701&amp;PERIODTYPE=QTR_STD&amp;SCFT=3&amp;window=popup_no_bar&amp;width=385&amp;height=120&amp;START_MAXIMIZED=FALSE&amp;creator=factset&amp;display_string=Audit"}</definedName>
    <definedName name="_1989__FDSAUDITLINK__" hidden="1">{"fdsup://Directions/FactSet Auditing Viewer?action=AUDIT_VALUE&amp;DB=129&amp;ID1=42823610&amp;VALUEID=02001&amp;SDATE=200702&amp;PERIODTYPE=QTR_STD&amp;SCFT=3&amp;window=popup_no_bar&amp;width=385&amp;height=120&amp;START_MAXIMIZED=FALSE&amp;creator=factset&amp;display_string=Audit"}</definedName>
    <definedName name="_199__FDSAUDITLINK__" hidden="1">{"fdsup://Directions/FactSet Auditing Viewer?action=AUDIT_VALUE&amp;DB=129&amp;ID1=B505PN&amp;VALUEID=02001&amp;SDATE=201004&amp;PERIODTYPE=QTR_STD&amp;SCFT=3&amp;window=popup_no_bar&amp;width=385&amp;height=120&amp;START_MAXIMIZED=FALSE&amp;creator=factset&amp;display_string=Audit"}</definedName>
    <definedName name="_1990__FDSAUDITLINK__" hidden="1">{"fdsup://Directions/FactSet Auditing Viewer?action=AUDIT_VALUE&amp;DB=129&amp;ID1=42823610&amp;VALUEID=02001&amp;SDATE=200702&amp;PERIODTYPE=QTR_STD&amp;SCFT=3&amp;window=popup_no_bar&amp;width=385&amp;height=120&amp;START_MAXIMIZED=FALSE&amp;creator=factset&amp;display_string=Audit"}</definedName>
    <definedName name="_1991__FDSAUDITLINK__" hidden="1">{"fdsup://Directions/FactSet Auditing Viewer?action=AUDIT_VALUE&amp;DB=129&amp;ID1=H2906T10&amp;VALUEID=02001&amp;SDATE=200701&amp;PERIODTYPE=QTR_STD&amp;SCFT=3&amp;window=popup_no_bar&amp;width=385&amp;height=120&amp;START_MAXIMIZED=FALSE&amp;creator=factset&amp;display_string=Audit"}</definedName>
    <definedName name="_1992__FDSAUDITLINK__" hidden="1">{"fdsup://Directions/FactSet Auditing Viewer?action=AUDIT_VALUE&amp;DB=129&amp;ID1=H2906T10&amp;VALUEID=02001&amp;SDATE=200701&amp;PERIODTYPE=QTR_STD&amp;SCFT=3&amp;window=popup_no_bar&amp;width=385&amp;height=120&amp;START_MAXIMIZED=FALSE&amp;creator=factset&amp;display_string=Audit"}</definedName>
    <definedName name="_1993__FDSAUDITLINK__" hidden="1">{"fdsup://Directions/FactSet Auditing Viewer?action=AUDIT_VALUE&amp;DB=129&amp;ID1=34637510&amp;VALUEID=02001&amp;SDATE=200701&amp;PERIODTYPE=QTR_STD&amp;SCFT=3&amp;window=popup_no_bar&amp;width=385&amp;height=120&amp;START_MAXIMIZED=FALSE&amp;creator=factset&amp;display_string=Audit"}</definedName>
    <definedName name="_1994__FDSAUDITLINK__" hidden="1">{"fdsup://Directions/FactSet Auditing Viewer?action=AUDIT_VALUE&amp;DB=129&amp;ID1=34637510&amp;VALUEID=02001&amp;SDATE=200701&amp;PERIODTYPE=QTR_STD&amp;SCFT=3&amp;window=popup_no_bar&amp;width=385&amp;height=120&amp;START_MAXIMIZED=FALSE&amp;creator=factset&amp;display_string=Audit"}</definedName>
    <definedName name="_1995__FDSAUDITLINK__" hidden="1">{"fdsup://Directions/FactSet Auditing Viewer?action=AUDIT_VALUE&amp;DB=129&amp;ID1=31561610&amp;VALUEID=02001&amp;SDATE=200702&amp;PERIODTYPE=QTR_STD&amp;SCFT=3&amp;window=popup_no_bar&amp;width=385&amp;height=120&amp;START_MAXIMIZED=FALSE&amp;creator=factset&amp;display_string=Audit"}</definedName>
    <definedName name="_1996__FDSAUDITLINK__" hidden="1">{"fdsup://Directions/FactSet Auditing Viewer?action=AUDIT_VALUE&amp;DB=129&amp;ID1=31561610&amp;VALUEID=02001&amp;SDATE=200702&amp;PERIODTYPE=QTR_STD&amp;SCFT=3&amp;window=popup_no_bar&amp;width=385&amp;height=120&amp;START_MAXIMIZED=FALSE&amp;creator=factset&amp;display_string=Audit"}</definedName>
    <definedName name="_1997__FDSAUDITLINK__" hidden="1">{"fdsup://Directions/FactSet Auditing Viewer?action=AUDIT_VALUE&amp;DB=129&amp;ID1=29247520&amp;VALUEID=02001&amp;SDATE=200703&amp;PERIODTYPE=QTR_STD&amp;SCFT=3&amp;window=popup_no_bar&amp;width=385&amp;height=120&amp;START_MAXIMIZED=FALSE&amp;creator=factset&amp;display_string=Audit"}</definedName>
    <definedName name="_1998__FDSAUDITLINK__" hidden="1">{"fdsup://Directions/FactSet Auditing Viewer?action=AUDIT_VALUE&amp;DB=129&amp;ID1=29247520&amp;VALUEID=02001&amp;SDATE=200703&amp;PERIODTYPE=QTR_STD&amp;SCFT=3&amp;window=popup_no_bar&amp;width=385&amp;height=120&amp;START_MAXIMIZED=FALSE&amp;creator=factset&amp;display_string=Audit"}</definedName>
    <definedName name="_1999__FDSAUDITLINK__" hidden="1">{"fdsup://Directions/FactSet Auditing Viewer?action=AUDIT_VALUE&amp;DB=129&amp;ID1=25454310&amp;VALUEID=02001&amp;SDATE=200701&amp;PERIODTYPE=QTR_STD&amp;SCFT=3&amp;window=popup_no_bar&amp;width=385&amp;height=120&amp;START_MAXIMIZED=FALSE&amp;creator=factset&amp;display_string=Audit"}</definedName>
    <definedName name="_2__FDSAUDITLINK__" hidden="1">{"fdsup://Directions/FactSet Auditing Viewer?action=AUDIT_VALUE&amp;DB=129&amp;ID1=03265410&amp;VALUEID=02001&amp;SDATE=201104&amp;PERIODTYPE=QTR_STD&amp;SCFT=3&amp;window=popup_no_bar&amp;width=385&amp;height=120&amp;START_MAXIMIZED=FALSE&amp;creator=factset&amp;display_string=Audit"}</definedName>
    <definedName name="_20__FDSAUDITLINK__" hidden="1">{"fdsup://Directions/FactSet Auditing Viewer?action=AUDIT_VALUE&amp;DB=129&amp;ID1=83088M10&amp;VALUEID=02001&amp;SDATE=201102&amp;PERIODTYPE=QTR_STD&amp;SCFT=3&amp;window=popup_no_bar&amp;width=385&amp;height=120&amp;START_MAXIMIZED=FALSE&amp;creator=factset&amp;display_string=Audit"}</definedName>
    <definedName name="_200__FDSAUDITLINK__" hidden="1">{"fdsup://Directions/FactSet Auditing Viewer?action=AUDIT_VALUE&amp;DB=129&amp;ID1=B505PN&amp;VALUEID=02001&amp;SDATE=201004&amp;PERIODTYPE=QTR_STD&amp;SCFT=3&amp;window=popup_no_bar&amp;width=385&amp;height=120&amp;START_MAXIMIZED=FALSE&amp;creator=factset&amp;display_string=Audit"}</definedName>
    <definedName name="_2000__FDSAUDITLINK__" hidden="1">{"fdsup://Directions/FactSet Auditing Viewer?action=AUDIT_VALUE&amp;DB=129&amp;ID1=25454310&amp;VALUEID=02001&amp;SDATE=200701&amp;PERIODTYPE=QTR_STD&amp;SCFT=3&amp;window=popup_no_bar&amp;width=385&amp;height=120&amp;START_MAXIMIZED=FALSE&amp;creator=factset&amp;display_string=Audit"}</definedName>
    <definedName name="_2001__FDSAUDITLINK__" hidden="1">{"fdsup://Directions/FactSet Auditing Viewer?action=AUDIT_VALUE&amp;DB=129&amp;ID1=24702R10&amp;VALUEID=02001&amp;SDATE=200701&amp;PERIODTYPE=QTR_STD&amp;SCFT=3&amp;window=popup_no_bar&amp;width=385&amp;height=120&amp;START_MAXIMIZED=FALSE&amp;creator=factset&amp;display_string=Audit"}</definedName>
    <definedName name="_2002__FDSAUDITLINK__" hidden="1">{"fdsup://Directions/FactSet Auditing Viewer?action=AUDIT_VALUE&amp;DB=129&amp;ID1=24702R10&amp;VALUEID=02001&amp;SDATE=200701&amp;PERIODTYPE=QTR_STD&amp;SCFT=3&amp;window=popup_no_bar&amp;width=385&amp;height=120&amp;START_MAXIMIZED=FALSE&amp;creator=factset&amp;display_string=Audit"}</definedName>
    <definedName name="_2003__FDSAUDITLINK__" hidden="1">{"fdsup://Directions/FactSet Auditing Viewer?action=AUDIT_VALUE&amp;DB=129&amp;ID1=23257210&amp;VALUEID=02001&amp;SDATE=200701&amp;PERIODTYPE=QTR_STD&amp;SCFT=3&amp;window=popup_no_bar&amp;width=385&amp;height=120&amp;START_MAXIMIZED=FALSE&amp;creator=factset&amp;display_string=Audit"}</definedName>
    <definedName name="_2004__FDSAUDITLINK__" hidden="1">{"fdsup://Directions/FactSet Auditing Viewer?action=AUDIT_VALUE&amp;DB=129&amp;ID1=23257210&amp;VALUEID=02001&amp;SDATE=200701&amp;PERIODTYPE=QTR_STD&amp;SCFT=3&amp;window=popup_no_bar&amp;width=385&amp;height=120&amp;START_MAXIMIZED=FALSE&amp;creator=factset&amp;display_string=Audit"}</definedName>
    <definedName name="_2005__FDSAUDITLINK__" hidden="1">{"fdsup://Directions/FactSet Auditing Viewer?action=AUDIT_VALUE&amp;DB=129&amp;ID1=23280610&amp;VALUEID=02001&amp;SDATE=200701&amp;PERIODTYPE=QTR_STD&amp;SCFT=3&amp;window=popup_no_bar&amp;width=385&amp;height=120&amp;START_MAXIMIZED=FALSE&amp;creator=factset&amp;display_string=Audit"}</definedName>
    <definedName name="_2006__FDSAUDITLINK__" hidden="1">{"fdsup://Directions/FactSet Auditing Viewer?action=AUDIT_VALUE&amp;DB=129&amp;ID1=23280610&amp;VALUEID=02001&amp;SDATE=200701&amp;PERIODTYPE=QTR_STD&amp;SCFT=3&amp;window=popup_no_bar&amp;width=385&amp;height=120&amp;START_MAXIMIZED=FALSE&amp;creator=factset&amp;display_string=Audit"}</definedName>
    <definedName name="_2007__FDSAUDITLINK__" hidden="1">{"fdsup://Directions/FactSet Auditing Viewer?action=AUDIT_VALUE&amp;DB=129&amp;ID1=17275R10&amp;VALUEID=02001&amp;SDATE=200703&amp;PERIODTYPE=QTR_STD&amp;SCFT=3&amp;window=popup_no_bar&amp;width=385&amp;height=120&amp;START_MAXIMIZED=FALSE&amp;creator=factset&amp;display_string=Audit"}</definedName>
    <definedName name="_2008__FDSAUDITLINK__" hidden="1">{"fdsup://Directions/FactSet Auditing Viewer?action=AUDIT_VALUE&amp;DB=129&amp;ID1=17275R10&amp;VALUEID=02001&amp;SDATE=200703&amp;PERIODTYPE=QTR_STD&amp;SCFT=3&amp;window=popup_no_bar&amp;width=385&amp;height=120&amp;START_MAXIMIZED=FALSE&amp;creator=factset&amp;display_string=Audit"}</definedName>
    <definedName name="_2009__FDSAUDITLINK__" hidden="1">{"fdsup://Directions/FactSet Auditing Viewer?action=AUDIT_VALUE&amp;DB=129&amp;ID1=22544710&amp;VALUEID=02001&amp;SDATE=200703&amp;PERIODTYPE=QTR_STD&amp;SCFT=3&amp;window=popup_no_bar&amp;width=385&amp;height=120&amp;START_MAXIMIZED=FALSE&amp;creator=factset&amp;display_string=Audit"}</definedName>
    <definedName name="_201__FDSAUDITLINK__" hidden="1">{"fdsup://Directions/FactSet Auditing Viewer?action=AUDIT_VALUE&amp;DB=129&amp;ID1=67000810&amp;VALUEID=02001&amp;SDATE=201004&amp;PERIODTYPE=QTR_STD&amp;SCFT=3&amp;window=popup_no_bar&amp;width=385&amp;height=120&amp;START_MAXIMIZED=FALSE&amp;creator=factset&amp;display_string=Audit"}</definedName>
    <definedName name="_2010__FDSAUDITLINK__" hidden="1">{"fdsup://Directions/FactSet Auditing Viewer?action=AUDIT_VALUE&amp;DB=129&amp;ID1=22544710&amp;VALUEID=02001&amp;SDATE=200703&amp;PERIODTYPE=QTR_STD&amp;SCFT=3&amp;window=popup_no_bar&amp;width=385&amp;height=120&amp;START_MAXIMIZED=FALSE&amp;creator=factset&amp;display_string=Audit"}</definedName>
    <definedName name="_2011__FDSAUDITLINK__" hidden="1">{"fdsup://Directions/FactSet Auditing Viewer?action=AUDIT_VALUE&amp;DB=129&amp;ID1=20714230&amp;VALUEID=02001&amp;SDATE=200702&amp;PERIODTYPE=QTR_STD&amp;SCFT=3&amp;window=popup_no_bar&amp;width=385&amp;height=120&amp;START_MAXIMIZED=FALSE&amp;creator=factset&amp;display_string=Audit"}</definedName>
    <definedName name="_2012__FDSAUDITLINK__" hidden="1">{"fdsup://Directions/FactSet Auditing Viewer?action=AUDIT_VALUE&amp;DB=129&amp;ID1=20714230&amp;VALUEID=02001&amp;SDATE=200702&amp;PERIODTYPE=QTR_STD&amp;SCFT=3&amp;window=popup_no_bar&amp;width=385&amp;height=120&amp;START_MAXIMIZED=FALSE&amp;creator=factset&amp;display_string=Audit"}</definedName>
    <definedName name="_2013__FDSAUDITLINK__" hidden="1">{"fdsup://Directions/FactSet Auditing Viewer?action=AUDIT_VALUE&amp;DB=129&amp;ID1=12738710&amp;VALUEID=02001&amp;SDATE=200701&amp;PERIODTYPE=QTR_STD&amp;SCFT=3&amp;window=popup_no_bar&amp;width=385&amp;height=120&amp;START_MAXIMIZED=FALSE&amp;creator=factset&amp;display_string=Audit"}</definedName>
    <definedName name="_2014__FDSAUDITLINK__" hidden="1">{"fdsup://Directions/FactSet Auditing Viewer?action=AUDIT_VALUE&amp;DB=129&amp;ID1=12738710&amp;VALUEID=02001&amp;SDATE=200701&amp;PERIODTYPE=QTR_STD&amp;SCFT=3&amp;window=popup_no_bar&amp;width=385&amp;height=120&amp;START_MAXIMIZED=FALSE&amp;creator=factset&amp;display_string=Audit"}</definedName>
    <definedName name="_2015__FDSAUDITLINK__" hidden="1">{"fdsup://Directions/FactSet Auditing Viewer?action=AUDIT_VALUE&amp;DB=129&amp;ID1=11162130&amp;VALUEID=02001&amp;SDATE=200702&amp;PERIODTYPE=QTR_STD&amp;SCFT=3&amp;window=popup_no_bar&amp;width=385&amp;height=120&amp;START_MAXIMIZED=FALSE&amp;creator=factset&amp;display_string=Audit"}</definedName>
    <definedName name="_2016__FDSAUDITLINK__" hidden="1">{"fdsup://Directions/FactSet Auditing Viewer?action=AUDIT_VALUE&amp;DB=129&amp;ID1=11162130&amp;VALUEID=02001&amp;SDATE=200702&amp;PERIODTYPE=QTR_STD&amp;SCFT=3&amp;window=popup_no_bar&amp;width=385&amp;height=120&amp;START_MAXIMIZED=FALSE&amp;creator=factset&amp;display_string=Audit"}</definedName>
    <definedName name="_2017__FDSAUDITLINK__" hidden="1">{"fdsup://Directions/FactSet Auditing Viewer?action=AUDIT_VALUE&amp;DB=129&amp;ID1=04743P10&amp;VALUEID=02001&amp;SDATE=200701&amp;PERIODTYPE=QTR_STD&amp;SCFT=3&amp;window=popup_no_bar&amp;width=385&amp;height=120&amp;START_MAXIMIZED=FALSE&amp;creator=factset&amp;display_string=Audit"}</definedName>
    <definedName name="_2018__FDSAUDITLINK__" hidden="1">{"fdsup://Directions/FactSet Auditing Viewer?action=AUDIT_VALUE&amp;DB=129&amp;ID1=04743P10&amp;VALUEID=02001&amp;SDATE=200701&amp;PERIODTYPE=QTR_STD&amp;SCFT=3&amp;window=popup_no_bar&amp;width=385&amp;height=120&amp;START_MAXIMIZED=FALSE&amp;creator=factset&amp;display_string=Audit"}</definedName>
    <definedName name="_2019__FDSAUDITLINK__" hidden="1">{"fdsup://Directions/FactSet Auditing Viewer?action=AUDIT_VALUE&amp;DB=129&amp;ID1=03251510&amp;VALUEID=02001&amp;SDATE=200701&amp;PERIODTYPE=QTR_STD&amp;SCFT=3&amp;window=popup_no_bar&amp;width=385&amp;height=120&amp;START_MAXIMIZED=FALSE&amp;creator=factset&amp;display_string=Audit"}</definedName>
    <definedName name="_202__FDSAUDITLINK__" hidden="1">{"fdsup://Directions/FactSet Auditing Viewer?action=AUDIT_VALUE&amp;DB=129&amp;ID1=67000810&amp;VALUEID=02001&amp;SDATE=201004&amp;PERIODTYPE=QTR_STD&amp;SCFT=3&amp;window=popup_no_bar&amp;width=385&amp;height=120&amp;START_MAXIMIZED=FALSE&amp;creator=factset&amp;display_string=Audit"}</definedName>
    <definedName name="_2020__FDSAUDITLINK__" hidden="1">{"fdsup://Directions/FactSet Auditing Viewer?action=AUDIT_VALUE&amp;DB=129&amp;ID1=03251510&amp;VALUEID=02001&amp;SDATE=200701&amp;PERIODTYPE=QTR_STD&amp;SCFT=3&amp;window=popup_no_bar&amp;width=385&amp;height=120&amp;START_MAXIMIZED=FALSE&amp;creator=factset&amp;display_string=Audit"}</definedName>
    <definedName name="_2021__FDSAUDITLINK__" hidden="1">{"fdsup://Directions/FactSet Auditing Viewer?action=AUDIT_VALUE&amp;DB=129&amp;ID1=00790310&amp;VALUEID=02001&amp;SDATE=200701&amp;PERIODTYPE=QTR_STD&amp;SCFT=3&amp;window=popup_no_bar&amp;width=385&amp;height=120&amp;START_MAXIMIZED=FALSE&amp;creator=factset&amp;display_string=Audit"}</definedName>
    <definedName name="_2022__FDSAUDITLINK__" hidden="1">{"fdsup://Directions/FactSet Auditing Viewer?action=AUDIT_VALUE&amp;DB=129&amp;ID1=00790310&amp;VALUEID=02001&amp;SDATE=200701&amp;PERIODTYPE=QTR_STD&amp;SCFT=3&amp;window=popup_no_bar&amp;width=385&amp;height=120&amp;START_MAXIMIZED=FALSE&amp;creator=factset&amp;display_string=Audit"}</definedName>
    <definedName name="_2023__FDSAUDITLINK__" hidden="1">{"fdsup://Directions/FactSet Auditing Viewer?action=AUDIT_VALUE&amp;DB=129&amp;ID1=03822210&amp;VALUEID=02001&amp;SDATE=200702&amp;PERIODTYPE=QTR_STD&amp;SCFT=3&amp;window=popup_no_bar&amp;width=385&amp;height=120&amp;START_MAXIMIZED=FALSE&amp;creator=factset&amp;display_string=Audit"}</definedName>
    <definedName name="_2024__FDSAUDITLINK__" hidden="1">{"fdsup://Directions/FactSet Auditing Viewer?action=AUDIT_VALUE&amp;DB=129&amp;ID1=03822210&amp;VALUEID=02001&amp;SDATE=200702&amp;PERIODTYPE=QTR_STD&amp;SCFT=3&amp;window=popup_no_bar&amp;width=385&amp;height=120&amp;START_MAXIMIZED=FALSE&amp;creator=factset&amp;display_string=Audit"}</definedName>
    <definedName name="_2025__FDSAUDITLINK__" hidden="1">{"fdsup://Directions/FactSet Auditing Viewer?action=AUDIT_VALUE&amp;DB=129&amp;ID1=02144110&amp;VALUEID=02001&amp;SDATE=200701&amp;PERIODTYPE=QTR_STD&amp;SCFT=3&amp;window=popup_no_bar&amp;width=385&amp;height=120&amp;START_MAXIMIZED=FALSE&amp;creator=factset&amp;display_string=Audit"}</definedName>
    <definedName name="_2026__FDSAUDITLINK__" hidden="1">{"fdsup://Directions/FactSet Auditing Viewer?action=AUDIT_VALUE&amp;DB=129&amp;ID1=02144110&amp;VALUEID=02001&amp;SDATE=200701&amp;PERIODTYPE=QTR_STD&amp;SCFT=3&amp;window=popup_no_bar&amp;width=385&amp;height=120&amp;START_MAXIMIZED=FALSE&amp;creator=factset&amp;display_string=Audit"}</definedName>
    <definedName name="_2027__FDSAUDITLINK__" hidden="1">{"fdsup://Directions/FactSet Auditing Viewer?action=AUDIT_VALUE&amp;DB=129&amp;ID1=03265410&amp;VALUEID=02001&amp;SDATE=200702&amp;PERIODTYPE=QTR_STD&amp;SCFT=3&amp;window=popup_no_bar&amp;width=385&amp;height=120&amp;START_MAXIMIZED=FALSE&amp;creator=factset&amp;display_string=Audit"}</definedName>
    <definedName name="_2028__FDSAUDITLINK__" hidden="1">{"fdsup://Directions/FactSet Auditing Viewer?action=AUDIT_VALUE&amp;DB=129&amp;ID1=03265410&amp;VALUEID=02001&amp;SDATE=200702&amp;PERIODTYPE=QTR_STD&amp;SCFT=3&amp;window=popup_no_bar&amp;width=385&amp;height=120&amp;START_MAXIMIZED=FALSE&amp;creator=factset&amp;display_string=Audit"}</definedName>
    <definedName name="_2029__FDSAUDITLINK__" hidden="1">{"fdsup://Directions/FactSet Auditing Viewer?action=AUDIT_VALUE&amp;DB=129&amp;ID1=00752J10&amp;VALUEID=02001&amp;SDATE=200701&amp;PERIODTYPE=QTR_STD&amp;SCFT=3&amp;window=popup_no_bar&amp;width=385&amp;height=120&amp;START_MAXIMIZED=FALSE&amp;creator=factset&amp;display_string=Audit"}</definedName>
    <definedName name="_203__FDSAUDITLINK__" hidden="1">{"fdsup://Directions/FactSet Auditing Viewer?action=AUDIT_VALUE&amp;DB=129&amp;ID1=67066G10&amp;VALUEID=02001&amp;SDATE=201004&amp;PERIODTYPE=QTR_STD&amp;SCFT=3&amp;window=popup_no_bar&amp;width=385&amp;height=120&amp;START_MAXIMIZED=FALSE&amp;creator=factset&amp;display_string=Audit"}</definedName>
    <definedName name="_2030__FDSAUDITLINK__" hidden="1">{"fdsup://Directions/FactSet Auditing Viewer?action=AUDIT_VALUE&amp;DB=129&amp;ID1=00752J10&amp;VALUEID=02001&amp;SDATE=200701&amp;PERIODTYPE=QTR_STD&amp;SCFT=3&amp;window=popup_no_bar&amp;width=385&amp;height=120&amp;START_MAXIMIZED=FALSE&amp;creator=factset&amp;display_string=Audit"}</definedName>
    <definedName name="_2031__FDSAUDITLINK__" hidden="1">{"fdsup://Directions/FactSet Auditing Viewer?action=AUDIT_VALUE&amp;DB=129&amp;ID1=98975F10&amp;VALUEID=02001&amp;SDATE=200603&amp;PERIODTYPE=QTR_STD&amp;SCFT=3&amp;window=popup_no_bar&amp;width=385&amp;height=120&amp;START_MAXIMIZED=FALSE&amp;creator=factset&amp;display_string=Audit"}</definedName>
    <definedName name="_2032__FDSAUDITLINK__" hidden="1">{"fdsup://Directions/FactSet Auditing Viewer?action=AUDIT_VALUE&amp;DB=129&amp;ID1=98975F10&amp;VALUEID=02001&amp;SDATE=200603&amp;PERIODTYPE=QTR_STD&amp;SCFT=3&amp;window=popup_no_bar&amp;width=385&amp;height=120&amp;START_MAXIMIZED=FALSE&amp;creator=factset&amp;display_string=Audit"}</definedName>
    <definedName name="_2033__FDSAUDITLINK__" hidden="1">{"fdsup://Directions/FactSet Auditing Viewer?action=AUDIT_VALUE&amp;DB=129&amp;ID1=98391910&amp;VALUEID=02001&amp;SDATE=200602&amp;PERIODTYPE=QTR_STD&amp;SCFT=3&amp;window=popup_no_bar&amp;width=385&amp;height=120&amp;START_MAXIMIZED=FALSE&amp;creator=factset&amp;display_string=Audit"}</definedName>
    <definedName name="_2034__FDSAUDITLINK__" hidden="1">{"fdsup://Directions/FactSet Auditing Viewer?action=AUDIT_VALUE&amp;DB=129&amp;ID1=98391910&amp;VALUEID=02001&amp;SDATE=200602&amp;PERIODTYPE=QTR_STD&amp;SCFT=3&amp;window=popup_no_bar&amp;width=385&amp;height=120&amp;START_MAXIMIZED=FALSE&amp;creator=factset&amp;display_string=Audit"}</definedName>
    <definedName name="_2035__FDSAUDITLINK__" hidden="1">{"fdsup://Directions/FactSet Auditing Viewer?action=AUDIT_VALUE&amp;DB=129&amp;ID1=95810210&amp;VALUEID=02001&amp;SDATE=200701&amp;PERIODTYPE=QTR_STD&amp;SCFT=3&amp;window=popup_no_bar&amp;width=385&amp;height=120&amp;START_MAXIMIZED=FALSE&amp;creator=factset&amp;display_string=Audit"}</definedName>
    <definedName name="_2036__FDSAUDITLINK__" hidden="1">{"fdsup://Directions/FactSet Auditing Viewer?action=AUDIT_VALUE&amp;DB=129&amp;ID1=95810210&amp;VALUEID=02001&amp;SDATE=200701&amp;PERIODTYPE=QTR_STD&amp;SCFT=3&amp;window=popup_no_bar&amp;width=385&amp;height=120&amp;START_MAXIMIZED=FALSE&amp;creator=factset&amp;display_string=Audit"}</definedName>
    <definedName name="_2037__FDSAUDITLINK__" hidden="1">{"fdsup://Directions/FactSet Auditing Viewer?action=AUDIT_VALUE&amp;DB=129&amp;ID1=92829810&amp;VALUEID=02001&amp;SDATE=200603&amp;PERIODTYPE=QTR_STD&amp;SCFT=3&amp;window=popup_no_bar&amp;width=385&amp;height=120&amp;START_MAXIMIZED=FALSE&amp;creator=factset&amp;display_string=Audit"}</definedName>
    <definedName name="_2038__FDSAUDITLINK__" hidden="1">{"fdsup://Directions/FactSet Auditing Viewer?action=AUDIT_VALUE&amp;DB=129&amp;ID1=92829810&amp;VALUEID=02001&amp;SDATE=200603&amp;PERIODTYPE=QTR_STD&amp;SCFT=3&amp;window=popup_no_bar&amp;width=385&amp;height=120&amp;START_MAXIMIZED=FALSE&amp;creator=factset&amp;display_string=Audit"}</definedName>
    <definedName name="_2039__FDSAUDITLINK__" hidden="1">{"fdsup://Directions/FactSet Auditing Viewer?action=AUDIT_VALUE&amp;DB=129&amp;ID1=88250810&amp;VALUEID=02001&amp;SDATE=200603&amp;PERIODTYPE=QTR_STD&amp;SCFT=3&amp;window=popup_no_bar&amp;width=385&amp;height=120&amp;START_MAXIMIZED=FALSE&amp;creator=factset&amp;display_string=Audit"}</definedName>
    <definedName name="_204__FDSAUDITLINK__" hidden="1">{"fdsup://Directions/FactSet Auditing Viewer?action=AUDIT_VALUE&amp;DB=129&amp;ID1=67066G10&amp;VALUEID=02001&amp;SDATE=201004&amp;PERIODTYPE=QTR_STD&amp;SCFT=3&amp;window=popup_no_bar&amp;width=385&amp;height=120&amp;START_MAXIMIZED=FALSE&amp;creator=factset&amp;display_string=Audit"}</definedName>
    <definedName name="_2040__FDSAUDITLINK__" hidden="1">{"fdsup://Directions/FactSet Auditing Viewer?action=AUDIT_VALUE&amp;DB=129&amp;ID1=88250810&amp;VALUEID=02001&amp;SDATE=200603&amp;PERIODTYPE=QTR_STD&amp;SCFT=3&amp;window=popup_no_bar&amp;width=385&amp;height=120&amp;START_MAXIMIZED=FALSE&amp;creator=factset&amp;display_string=Audit"}</definedName>
    <definedName name="_2041__FDSAUDITLINK__" hidden="1">{"fdsup://Directions/FactSet Auditing Viewer?action=AUDIT_VALUE&amp;DB=129&amp;ID1=89674K10&amp;VALUEID=02001&amp;SDATE=200603&amp;PERIODTYPE=QTR_STD&amp;SCFT=3&amp;window=popup_no_bar&amp;width=385&amp;height=120&amp;START_MAXIMIZED=FALSE&amp;creator=factset&amp;display_string=Audit"}</definedName>
    <definedName name="_2042__FDSAUDITLINK__" hidden="1">{"fdsup://Directions/FactSet Auditing Viewer?action=AUDIT_VALUE&amp;DB=129&amp;ID1=89674K10&amp;VALUEID=02001&amp;SDATE=200603&amp;PERIODTYPE=QTR_STD&amp;SCFT=3&amp;window=popup_no_bar&amp;width=385&amp;height=120&amp;START_MAXIMIZED=FALSE&amp;creator=factset&amp;display_string=Audit"}</definedName>
    <definedName name="_2043__FDSAUDITLINK__" hidden="1">{"fdsup://Directions/FactSet Auditing Viewer?action=AUDIT_VALUE&amp;DB=129&amp;ID1=G7945M10&amp;VALUEID=02001&amp;SDATE=200701&amp;PERIODTYPE=QTR_STD&amp;SCFT=3&amp;window=popup_no_bar&amp;width=385&amp;height=120&amp;START_MAXIMIZED=FALSE&amp;creator=factset&amp;display_string=Audit"}</definedName>
    <definedName name="_2044__FDSAUDITLINK__" hidden="1">{"fdsup://Directions/FactSet Auditing Viewer?action=AUDIT_VALUE&amp;DB=129&amp;ID1=G7945M10&amp;VALUEID=02001&amp;SDATE=200701&amp;PERIODTYPE=QTR_STD&amp;SCFT=3&amp;window=popup_no_bar&amp;width=385&amp;height=120&amp;START_MAXIMIZED=FALSE&amp;creator=factset&amp;display_string=Audit"}</definedName>
    <definedName name="_2045__FDSAUDITLINK__" hidden="1">{"fdsup://Directions/FactSet Auditing Viewer?action=AUDIT_VALUE&amp;DB=129&amp;ID1=78477410&amp;VALUEID=02001&amp;SDATE=200603&amp;PERIODTYPE=QTR_STD&amp;SCFT=3&amp;window=popup_no_bar&amp;width=385&amp;height=120&amp;START_MAXIMIZED=FALSE&amp;creator=factset&amp;display_string=Audit"}</definedName>
    <definedName name="_2046__FDSAUDITLINK__" hidden="1">{"fdsup://Directions/FactSet Auditing Viewer?action=AUDIT_VALUE&amp;DB=129&amp;ID1=78477410&amp;VALUEID=02001&amp;SDATE=200603&amp;PERIODTYPE=QTR_STD&amp;SCFT=3&amp;window=popup_no_bar&amp;width=385&amp;height=120&amp;START_MAXIMIZED=FALSE&amp;creator=factset&amp;display_string=Audit"}</definedName>
    <definedName name="_2047__FDSAUDITLINK__" hidden="1">{"fdsup://Directions/FactSet Auditing Viewer?action=AUDIT_VALUE&amp;DB=129&amp;ID1=82705710&amp;VALUEID=02001&amp;SDATE=200603&amp;PERIODTYPE=QTR_STD&amp;SCFT=3&amp;window=popup_no_bar&amp;width=385&amp;height=120&amp;START_MAXIMIZED=FALSE&amp;creator=factset&amp;display_string=Audit"}</definedName>
    <definedName name="_2048__FDSAUDITLINK__" hidden="1">{"fdsup://Directions/FactSet Auditing Viewer?action=AUDIT_VALUE&amp;DB=129&amp;ID1=82705710&amp;VALUEID=02001&amp;SDATE=200603&amp;PERIODTYPE=QTR_STD&amp;SCFT=3&amp;window=popup_no_bar&amp;width=385&amp;height=120&amp;START_MAXIMIZED=FALSE&amp;creator=factset&amp;display_string=Audit"}</definedName>
    <definedName name="_2049__FDSAUDITLINK__" hidden="1">{"fdsup://Directions/FactSet Auditing Viewer?action=AUDIT_VALUE&amp;DB=129&amp;ID1=80004C10&amp;VALUEID=02001&amp;SDATE=200603&amp;PERIODTYPE=QTR_STD&amp;SCFT=3&amp;window=popup_no_bar&amp;width=385&amp;height=120&amp;START_MAXIMIZED=FALSE&amp;creator=factset&amp;display_string=Audit"}</definedName>
    <definedName name="_205__FDSAUDITLINK__" hidden="1">{"fdsup://Directions/FactSet Auditing Viewer?action=AUDIT_VALUE&amp;DB=129&amp;ID1=63764010&amp;VALUEID=02001&amp;SDATE=201002&amp;PERIODTYPE=QTR_STD&amp;SCFT=3&amp;window=popup_no_bar&amp;width=385&amp;height=120&amp;START_MAXIMIZED=FALSE&amp;creator=factset&amp;display_string=Audit"}</definedName>
    <definedName name="_2050__FDSAUDITLINK__" hidden="1">{"fdsup://Directions/FactSet Auditing Viewer?action=AUDIT_VALUE&amp;DB=129&amp;ID1=80004C10&amp;VALUEID=02001&amp;SDATE=200603&amp;PERIODTYPE=QTR_STD&amp;SCFT=3&amp;window=popup_no_bar&amp;width=385&amp;height=120&amp;START_MAXIMIZED=FALSE&amp;creator=factset&amp;display_string=Audit"}</definedName>
    <definedName name="_2051__FDSAUDITLINK__" hidden="1">{"fdsup://Directions/FactSet Auditing Viewer?action=AUDIT_VALUE&amp;DB=129&amp;ID1=81685010&amp;VALUEID=02001&amp;SDATE=200603&amp;PERIODTYPE=QTR_STD&amp;SCFT=3&amp;window=popup_no_bar&amp;width=385&amp;height=120&amp;START_MAXIMIZED=FALSE&amp;creator=factset&amp;display_string=Audit"}</definedName>
    <definedName name="_2052__FDSAUDITLINK__" hidden="1">{"fdsup://Directions/FactSet Auditing Viewer?action=AUDIT_VALUE&amp;DB=129&amp;ID1=81685010&amp;VALUEID=02001&amp;SDATE=200603&amp;PERIODTYPE=QTR_STD&amp;SCFT=3&amp;window=popup_no_bar&amp;width=385&amp;height=120&amp;START_MAXIMIZED=FALSE&amp;creator=factset&amp;display_string=Audit"}</definedName>
    <definedName name="_2053__FDSAUDITLINK__" hidden="1">{"fdsup://Directions/FactSet Auditing Viewer?action=AUDIT_VALUE&amp;DB=129&amp;ID1=82691910&amp;VALUEID=02001&amp;SDATE=200603&amp;PERIODTYPE=QTR_STD&amp;SCFT=3&amp;window=popup_no_bar&amp;width=385&amp;height=120&amp;START_MAXIMIZED=FALSE&amp;creator=factset&amp;display_string=Audit"}</definedName>
    <definedName name="_2054__FDSAUDITLINK__" hidden="1">{"fdsup://Directions/FactSet Auditing Viewer?action=AUDIT_VALUE&amp;DB=129&amp;ID1=82691910&amp;VALUEID=02001&amp;SDATE=200603&amp;PERIODTYPE=QTR_STD&amp;SCFT=3&amp;window=popup_no_bar&amp;width=385&amp;height=120&amp;START_MAXIMIZED=FALSE&amp;creator=factset&amp;display_string=Audit"}</definedName>
    <definedName name="_2055__FDSAUDITLINK__" hidden="1">{"fdsup://Directions/FactSet Auditing Viewer?action=AUDIT_VALUE&amp;DB=129&amp;ID1=82705T10&amp;VALUEID=02001&amp;SDATE=200603&amp;PERIODTYPE=QTR_STD&amp;SCFT=3&amp;window=popup_no_bar&amp;width=385&amp;height=120&amp;START_MAXIMIZED=FALSE&amp;creator=factset&amp;display_string=Audit"}</definedName>
    <definedName name="_2056__FDSAUDITLINK__" hidden="1">{"fdsup://Directions/FactSet Auditing Viewer?action=AUDIT_VALUE&amp;DB=129&amp;ID1=82705T10&amp;VALUEID=02001&amp;SDATE=200603&amp;PERIODTYPE=QTR_STD&amp;SCFT=3&amp;window=popup_no_bar&amp;width=385&amp;height=120&amp;START_MAXIMIZED=FALSE&amp;creator=factset&amp;display_string=Audit"}</definedName>
    <definedName name="_2057__FDSAUDITLINK__" hidden="1">{"fdsup://Directions/FactSet Auditing Viewer?action=AUDIT_VALUE&amp;DB=129&amp;ID1=75091710&amp;VALUEID=02001&amp;SDATE=200603&amp;PERIODTYPE=QTR_STD&amp;SCFT=3&amp;window=popup_no_bar&amp;width=385&amp;height=120&amp;START_MAXIMIZED=FALSE&amp;creator=factset&amp;display_string=Audit"}</definedName>
    <definedName name="_2058__FDSAUDITLINK__" hidden="1">{"fdsup://Directions/FactSet Auditing Viewer?action=AUDIT_VALUE&amp;DB=129&amp;ID1=75091710&amp;VALUEID=02001&amp;SDATE=200603&amp;PERIODTYPE=QTR_STD&amp;SCFT=3&amp;window=popup_no_bar&amp;width=385&amp;height=120&amp;START_MAXIMIZED=FALSE&amp;creator=factset&amp;display_string=Audit"}</definedName>
    <definedName name="_2059__FDSAUDITLINK__" hidden="1">{"fdsup://Directions/FactSet Auditing Viewer?action=AUDIT_VALUE&amp;DB=129&amp;ID1=74994110&amp;VALUEID=02001&amp;SDATE=200602&amp;PERIODTYPE=QTR_STD&amp;SCFT=3&amp;window=popup_no_bar&amp;width=385&amp;height=120&amp;START_MAXIMIZED=FALSE&amp;creator=factset&amp;display_string=Audit"}</definedName>
    <definedName name="_206__FDSAUDITLINK__" hidden="1">{"fdsup://Directions/FactSet Auditing Viewer?action=AUDIT_VALUE&amp;DB=129&amp;ID1=63764010&amp;VALUEID=02001&amp;SDATE=201002&amp;PERIODTYPE=QTR_STD&amp;SCFT=3&amp;window=popup_no_bar&amp;width=385&amp;height=120&amp;START_MAXIMIZED=FALSE&amp;creator=factset&amp;display_string=Audit"}</definedName>
    <definedName name="_2060__FDSAUDITLINK__" hidden="1">{"fdsup://Directions/FactSet Auditing Viewer?action=AUDIT_VALUE&amp;DB=129&amp;ID1=74994110&amp;VALUEID=02001&amp;SDATE=200602&amp;PERIODTYPE=QTR_STD&amp;SCFT=3&amp;window=popup_no_bar&amp;width=385&amp;height=120&amp;START_MAXIMIZED=FALSE&amp;creator=factset&amp;display_string=Audit"}</definedName>
    <definedName name="_2061__FDSAUDITLINK__" hidden="1">{"fdsup://Directions/FactSet Auditing Viewer?action=AUDIT_VALUE&amp;DB=129&amp;ID1=74727710&amp;VALUEID=02001&amp;SDATE=200602&amp;PERIODTYPE=QTR_STD&amp;SCFT=3&amp;window=popup_no_bar&amp;width=385&amp;height=120&amp;START_MAXIMIZED=FALSE&amp;creator=factset&amp;display_string=Audit"}</definedName>
    <definedName name="_2062__FDSAUDITLINK__" hidden="1">{"fdsup://Directions/FactSet Auditing Viewer?action=AUDIT_VALUE&amp;DB=129&amp;ID1=74727710&amp;VALUEID=02001&amp;SDATE=200602&amp;PERIODTYPE=QTR_STD&amp;SCFT=3&amp;window=popup_no_bar&amp;width=385&amp;height=120&amp;START_MAXIMIZED=FALSE&amp;creator=factset&amp;display_string=Audit"}</definedName>
    <definedName name="_2063__FDSAUDITLINK__" hidden="1">{"fdsup://Directions/FactSet Auditing Viewer?action=AUDIT_VALUE&amp;DB=129&amp;ID1=72581M30&amp;VALUEID=02001&amp;SDATE=200603&amp;PERIODTYPE=QTR_STD&amp;SCFT=3&amp;window=popup_no_bar&amp;width=385&amp;height=120&amp;START_MAXIMIZED=FALSE&amp;creator=factset&amp;display_string=Audit"}</definedName>
    <definedName name="_2064__FDSAUDITLINK__" hidden="1">{"fdsup://Directions/FactSet Auditing Viewer?action=AUDIT_VALUE&amp;DB=129&amp;ID1=72581M30&amp;VALUEID=02001&amp;SDATE=200603&amp;PERIODTYPE=QTR_STD&amp;SCFT=3&amp;window=popup_no_bar&amp;width=385&amp;height=120&amp;START_MAXIMIZED=FALSE&amp;creator=factset&amp;display_string=Audit"}</definedName>
    <definedName name="_2065__FDSAUDITLINK__" hidden="1">{"fdsup://Directions/FactSet Auditing Viewer?action=AUDIT_VALUE&amp;DB=129&amp;ID1=73927610&amp;VALUEID=02001&amp;SDATE=200603&amp;PERIODTYPE=QTR_STD&amp;SCFT=3&amp;window=popup_no_bar&amp;width=385&amp;height=120&amp;START_MAXIMIZED=FALSE&amp;creator=factset&amp;display_string=Audit"}</definedName>
    <definedName name="_2066__FDSAUDITLINK__" hidden="1">{"fdsup://Directions/FactSet Auditing Viewer?action=AUDIT_VALUE&amp;DB=129&amp;ID1=73927610&amp;VALUEID=02001&amp;SDATE=200603&amp;PERIODTYPE=QTR_STD&amp;SCFT=3&amp;window=popup_no_bar&amp;width=385&amp;height=120&amp;START_MAXIMIZED=FALSE&amp;creator=factset&amp;display_string=Audit"}</definedName>
    <definedName name="_2067__FDSAUDITLINK__" hidden="1">{"fdsup://Directions/FactSet Auditing Viewer?action=AUDIT_VALUE&amp;DB=129&amp;ID1=69344F10&amp;VALUEID=02001&amp;SDATE=200603&amp;PERIODTYPE=QTR_STD&amp;SCFT=3&amp;window=popup_no_bar&amp;width=385&amp;height=120&amp;START_MAXIMIZED=FALSE&amp;creator=factset&amp;display_string=Audit"}</definedName>
    <definedName name="_2068__FDSAUDITLINK__" hidden="1">{"fdsup://Directions/FactSet Auditing Viewer?action=AUDIT_VALUE&amp;DB=129&amp;ID1=69344F10&amp;VALUEID=02001&amp;SDATE=200603&amp;PERIODTYPE=QTR_STD&amp;SCFT=3&amp;window=popup_no_bar&amp;width=385&amp;height=120&amp;START_MAXIMIZED=FALSE&amp;creator=factset&amp;display_string=Audit"}</definedName>
    <definedName name="_2069__FDSAUDITLINK__" hidden="1">{"fdsup://Directions/FactSet Auditing Viewer?action=AUDIT_VALUE&amp;DB=129&amp;ID1=69341710&amp;VALUEID=02001&amp;SDATE=200603&amp;PERIODTYPE=QTR_STD&amp;SCFT=3&amp;window=popup_no_bar&amp;width=385&amp;height=120&amp;START_MAXIMIZED=FALSE&amp;creator=factset&amp;display_string=Audit"}</definedName>
    <definedName name="_207__FDSAUDITLINK__" hidden="1">{"fdsup://Directions/FactSet Auditing Viewer?action=AUDIT_VALUE&amp;DB=129&amp;ID1=64118B10&amp;VALUEID=02001&amp;SDATE=201004&amp;PERIODTYPE=QTR_STD&amp;SCFT=3&amp;window=popup_no_bar&amp;width=385&amp;height=120&amp;START_MAXIMIZED=FALSE&amp;creator=factset&amp;display_string=Audit"}</definedName>
    <definedName name="_2070__FDSAUDITLINK__" hidden="1">{"fdsup://Directions/FactSet Auditing Viewer?action=AUDIT_VALUE&amp;DB=129&amp;ID1=69341710&amp;VALUEID=02001&amp;SDATE=200603&amp;PERIODTYPE=QTR_STD&amp;SCFT=3&amp;window=popup_no_bar&amp;width=385&amp;height=120&amp;START_MAXIMIZED=FALSE&amp;creator=factset&amp;display_string=Audit"}</definedName>
    <definedName name="_2071__FDSAUDITLINK__" hidden="1">{"fdsup://Directions/FactSet Auditing Viewer?action=AUDIT_VALUE&amp;DB=129&amp;ID1=68218910&amp;VALUEID=02001&amp;SDATE=200603&amp;PERIODTYPE=QTR_STD&amp;SCFT=3&amp;window=popup_no_bar&amp;width=385&amp;height=120&amp;START_MAXIMIZED=FALSE&amp;creator=factset&amp;display_string=Audit"}</definedName>
    <definedName name="_2072__FDSAUDITLINK__" hidden="1">{"fdsup://Directions/FactSet Auditing Viewer?action=AUDIT_VALUE&amp;DB=129&amp;ID1=68218910&amp;VALUEID=02001&amp;SDATE=200603&amp;PERIODTYPE=QTR_STD&amp;SCFT=3&amp;window=popup_no_bar&amp;width=385&amp;height=120&amp;START_MAXIMIZED=FALSE&amp;creator=factset&amp;display_string=Audit"}</definedName>
    <definedName name="_2073__FDSAUDITLINK__" hidden="1">{"fdsup://Directions/FactSet Auditing Viewer?action=AUDIT_VALUE&amp;DB=129&amp;ID1=67000810&amp;VALUEID=02001&amp;SDATE=200603&amp;PERIODTYPE=QTR_STD&amp;SCFT=3&amp;window=popup_no_bar&amp;width=385&amp;height=120&amp;START_MAXIMIZED=FALSE&amp;creator=factset&amp;display_string=Audit"}</definedName>
    <definedName name="_2074__FDSAUDITLINK__" hidden="1">{"fdsup://Directions/FactSet Auditing Viewer?action=AUDIT_VALUE&amp;DB=129&amp;ID1=67000810&amp;VALUEID=02001&amp;SDATE=200603&amp;PERIODTYPE=QTR_STD&amp;SCFT=3&amp;window=popup_no_bar&amp;width=385&amp;height=120&amp;START_MAXIMIZED=FALSE&amp;creator=factset&amp;display_string=Audit"}</definedName>
    <definedName name="_2075__FDSAUDITLINK__" hidden="1">{"fdsup://Directions/FactSet Auditing Viewer?action=AUDIT_VALUE&amp;DB=129&amp;ID1=67066G10&amp;VALUEID=02001&amp;SDATE=200603&amp;PERIODTYPE=QTR_STD&amp;SCFT=3&amp;window=popup_no_bar&amp;width=385&amp;height=120&amp;START_MAXIMIZED=FALSE&amp;creator=factset&amp;display_string=Audit"}</definedName>
    <definedName name="_2076__FDSAUDITLINK__" hidden="1">{"fdsup://Directions/FactSet Auditing Viewer?action=AUDIT_VALUE&amp;DB=129&amp;ID1=67066G10&amp;VALUEID=02001&amp;SDATE=200603&amp;PERIODTYPE=QTR_STD&amp;SCFT=3&amp;window=popup_no_bar&amp;width=385&amp;height=120&amp;START_MAXIMIZED=FALSE&amp;creator=factset&amp;display_string=Audit"}</definedName>
    <definedName name="_2077__FDSAUDITLINK__" hidden="1">{"fdsup://Directions/FactSet Auditing Viewer?action=AUDIT_VALUE&amp;DB=129&amp;ID1=63764010&amp;VALUEID=02001&amp;SDATE=200601&amp;PERIODTYPE=QTR_STD&amp;SCFT=3&amp;window=popup_no_bar&amp;width=385&amp;height=120&amp;START_MAXIMIZED=FALSE&amp;creator=factset&amp;display_string=Audit"}</definedName>
    <definedName name="_2078__FDSAUDITLINK__" hidden="1">{"fdsup://Directions/FactSet Auditing Viewer?action=AUDIT_VALUE&amp;DB=129&amp;ID1=63764010&amp;VALUEID=02001&amp;SDATE=200601&amp;PERIODTYPE=QTR_STD&amp;SCFT=3&amp;window=popup_no_bar&amp;width=385&amp;height=120&amp;START_MAXIMIZED=FALSE&amp;creator=factset&amp;display_string=Audit"}</definedName>
    <definedName name="_2079__FDSAUDITLINK__" hidden="1">{"fdsup://Directions/FactSet Auditing Viewer?action=AUDIT_VALUE&amp;DB=129&amp;ID1=64118B10&amp;VALUEID=02001&amp;SDATE=200603&amp;PERIODTYPE=QTR_STD&amp;SCFT=3&amp;window=popup_no_bar&amp;width=385&amp;height=120&amp;START_MAXIMIZED=FALSE&amp;creator=factset&amp;display_string=Audit"}</definedName>
    <definedName name="_208__FDSAUDITLINK__" hidden="1">{"fdsup://Directions/FactSet Auditing Viewer?action=AUDIT_VALUE&amp;DB=129&amp;ID1=64118B10&amp;VALUEID=02001&amp;SDATE=201004&amp;PERIODTYPE=QTR_STD&amp;SCFT=3&amp;window=popup_no_bar&amp;width=385&amp;height=120&amp;START_MAXIMIZED=FALSE&amp;creator=factset&amp;display_string=Audit"}</definedName>
    <definedName name="_2080__FDSAUDITLINK__" hidden="1">{"fdsup://Directions/FactSet Auditing Viewer?action=AUDIT_VALUE&amp;DB=129&amp;ID1=64118B10&amp;VALUEID=02001&amp;SDATE=200603&amp;PERIODTYPE=QTR_STD&amp;SCFT=3&amp;window=popup_no_bar&amp;width=385&amp;height=120&amp;START_MAXIMIZED=FALSE&amp;creator=factset&amp;display_string=Audit"}</definedName>
    <definedName name="_2081__FDSAUDITLINK__" hidden="1">{"fdsup://Directions/FactSet Auditing Viewer?action=AUDIT_VALUE&amp;DB=129&amp;ID1=57772K10&amp;VALUEID=02001&amp;SDATE=200701&amp;PERIODTYPE=QTR_STD&amp;SCFT=3&amp;window=popup_no_bar&amp;width=385&amp;height=120&amp;START_MAXIMIZED=FALSE&amp;creator=factset&amp;display_string=Audit"}</definedName>
    <definedName name="_2082__FDSAUDITLINK__" hidden="1">{"fdsup://Directions/FactSet Auditing Viewer?action=AUDIT_VALUE&amp;DB=129&amp;ID1=57772K10&amp;VALUEID=02001&amp;SDATE=200701&amp;PERIODTYPE=QTR_STD&amp;SCFT=3&amp;window=popup_no_bar&amp;width=385&amp;height=120&amp;START_MAXIMIZED=FALSE&amp;creator=factset&amp;display_string=Audit"}</definedName>
    <definedName name="_2083__FDSAUDITLINK__" hidden="1">{"fdsup://Directions/FactSet Auditing Viewer?action=AUDIT_VALUE&amp;DB=129&amp;ID1=G5876H10&amp;VALUEID=02001&amp;SDATE=200603&amp;PERIODTYPE=QTR_STD&amp;SCFT=3&amp;window=popup_no_bar&amp;width=385&amp;height=120&amp;START_MAXIMIZED=FALSE&amp;creator=factset&amp;display_string=Audit"}</definedName>
    <definedName name="_2084__FDSAUDITLINK__" hidden="1">{"fdsup://Directions/FactSet Auditing Viewer?action=AUDIT_VALUE&amp;DB=129&amp;ID1=G5876H10&amp;VALUEID=02001&amp;SDATE=200603&amp;PERIODTYPE=QTR_STD&amp;SCFT=3&amp;window=popup_no_bar&amp;width=385&amp;height=120&amp;START_MAXIMIZED=FALSE&amp;creator=factset&amp;display_string=Audit"}</definedName>
    <definedName name="_2085__FDSAUDITLINK__" hidden="1">{"fdsup://Directions/FactSet Auditing Viewer?action=AUDIT_VALUE&amp;DB=129&amp;ID1=62007630&amp;VALUEID=02001&amp;SDATE=200603&amp;PERIODTYPE=QTR_STD&amp;SCFT=3&amp;window=popup_no_bar&amp;width=385&amp;height=120&amp;START_MAXIMIZED=FALSE&amp;creator=factset&amp;display_string=Audit"}</definedName>
    <definedName name="_2086__FDSAUDITLINK__" hidden="1">{"fdsup://Directions/FactSet Auditing Viewer?action=AUDIT_VALUE&amp;DB=129&amp;ID1=62007630&amp;VALUEID=02001&amp;SDATE=200603&amp;PERIODTYPE=QTR_STD&amp;SCFT=3&amp;window=popup_no_bar&amp;width=385&amp;height=120&amp;START_MAXIMIZED=FALSE&amp;creator=factset&amp;display_string=Audit"}</definedName>
    <definedName name="_2087__FDSAUDITLINK__" hidden="1">{"fdsup://Directions/FactSet Auditing Viewer?action=AUDIT_VALUE&amp;DB=129&amp;ID1=60456710&amp;VALUEID=02001&amp;SDATE=200701&amp;PERIODTYPE=QTR_STD&amp;SCFT=3&amp;window=popup_no_bar&amp;width=385&amp;height=120&amp;START_MAXIMIZED=FALSE&amp;creator=factset&amp;display_string=Audit"}</definedName>
    <definedName name="_2088__FDSAUDITLINK__" hidden="1">{"fdsup://Directions/FactSet Auditing Viewer?action=AUDIT_VALUE&amp;DB=129&amp;ID1=60456710&amp;VALUEID=02001&amp;SDATE=200701&amp;PERIODTYPE=QTR_STD&amp;SCFT=3&amp;window=popup_no_bar&amp;width=385&amp;height=120&amp;START_MAXIMIZED=FALSE&amp;creator=factset&amp;display_string=Audit"}</definedName>
    <definedName name="_2089__FDSAUDITLINK__" hidden="1">{"fdsup://Directions/FactSet Auditing Viewer?action=AUDIT_VALUE&amp;DB=129&amp;ID1=59479310&amp;VALUEID=02001&amp;SDATE=200603&amp;PERIODTYPE=QTR_STD&amp;SCFT=3&amp;window=popup_no_bar&amp;width=385&amp;height=120&amp;START_MAXIMIZED=FALSE&amp;creator=factset&amp;display_string=Audit"}</definedName>
    <definedName name="_209__FDSAUDITLINK__" hidden="1">{"fdsup://Directions/FactSet Auditing Viewer?action=AUDIT_VALUE&amp;DB=129&amp;ID1=57772K10&amp;VALUEID=02001&amp;SDATE=201102&amp;PERIODTYPE=QTR_STD&amp;SCFT=3&amp;window=popup_no_bar&amp;width=385&amp;height=120&amp;START_MAXIMIZED=FALSE&amp;creator=factset&amp;display_string=Audit"}</definedName>
    <definedName name="_2090__FDSAUDITLINK__" hidden="1">{"fdsup://Directions/FactSet Auditing Viewer?action=AUDIT_VALUE&amp;DB=129&amp;ID1=59479310&amp;VALUEID=02001&amp;SDATE=200603&amp;PERIODTYPE=QTR_STD&amp;SCFT=3&amp;window=popup_no_bar&amp;width=385&amp;height=120&amp;START_MAXIMIZED=FALSE&amp;creator=factset&amp;display_string=Audit"}</definedName>
    <definedName name="_2091__FDSAUDITLINK__" hidden="1">{"fdsup://Directions/FactSet Auditing Viewer?action=AUDIT_VALUE&amp;DB=129&amp;ID1=59501710&amp;VALUEID=02001&amp;SDATE=200602&amp;PERIODTYPE=QTR_STD&amp;SCFT=3&amp;window=popup_no_bar&amp;width=385&amp;height=120&amp;START_MAXIMIZED=FALSE&amp;creator=factset&amp;display_string=Audit"}</definedName>
    <definedName name="_2092__FDSAUDITLINK__" hidden="1">{"fdsup://Directions/FactSet Auditing Viewer?action=AUDIT_VALUE&amp;DB=129&amp;ID1=59501710&amp;VALUEID=02001&amp;SDATE=200602&amp;PERIODTYPE=QTR_STD&amp;SCFT=3&amp;window=popup_no_bar&amp;width=385&amp;height=120&amp;START_MAXIMIZED=FALSE&amp;creator=factset&amp;display_string=Audit"}</definedName>
    <definedName name="_2093__FDSAUDITLINK__" hidden="1">{"fdsup://Directions/FactSet Auditing Viewer?action=AUDIT_VALUE&amp;DB=129&amp;ID1=50216110&amp;VALUEID=02001&amp;SDATE=200603&amp;PERIODTYPE=QTR_STD&amp;SCFT=3&amp;window=popup_no_bar&amp;width=385&amp;height=120&amp;START_MAXIMIZED=FALSE&amp;creator=factset&amp;display_string=Audit"}</definedName>
    <definedName name="_2094__FDSAUDITLINK__" hidden="1">{"fdsup://Directions/FactSet Auditing Viewer?action=AUDIT_VALUE&amp;DB=129&amp;ID1=50216110&amp;VALUEID=02001&amp;SDATE=200603&amp;PERIODTYPE=QTR_STD&amp;SCFT=3&amp;window=popup_no_bar&amp;width=385&amp;height=120&amp;START_MAXIMIZED=FALSE&amp;creator=factset&amp;display_string=Audit"}</definedName>
    <definedName name="_2095__FDSAUDITLINK__" hidden="1">{"fdsup://Directions/FactSet Auditing Viewer?action=AUDIT_VALUE&amp;DB=129&amp;ID1=51841510&amp;VALUEID=02001&amp;SDATE=200603&amp;PERIODTYPE=QTR_STD&amp;SCFT=3&amp;window=popup_no_bar&amp;width=385&amp;height=120&amp;START_MAXIMIZED=FALSE&amp;creator=factset&amp;display_string=Audit"}</definedName>
    <definedName name="_2096__FDSAUDITLINK__" hidden="1">{"fdsup://Directions/FactSet Auditing Viewer?action=AUDIT_VALUE&amp;DB=129&amp;ID1=51841510&amp;VALUEID=02001&amp;SDATE=200603&amp;PERIODTYPE=QTR_STD&amp;SCFT=3&amp;window=popup_no_bar&amp;width=385&amp;height=120&amp;START_MAXIMIZED=FALSE&amp;creator=factset&amp;display_string=Audit"}</definedName>
    <definedName name="_2097__FDSAUDITLINK__" hidden="1">{"fdsup://Directions/FactSet Auditing Viewer?action=AUDIT_VALUE&amp;DB=129&amp;ID1=51280710&amp;VALUEID=02001&amp;SDATE=200701&amp;PERIODTYPE=QTR_STD&amp;SCFT=3&amp;window=popup_no_bar&amp;width=385&amp;height=120&amp;START_MAXIMIZED=FALSE&amp;creator=factset&amp;display_string=Audit"}</definedName>
    <definedName name="_2098__FDSAUDITLINK__" hidden="1">{"fdsup://Directions/FactSet Auditing Viewer?action=AUDIT_VALUE&amp;DB=129&amp;ID1=51280710&amp;VALUEID=02001&amp;SDATE=200701&amp;PERIODTYPE=QTR_STD&amp;SCFT=3&amp;window=popup_no_bar&amp;width=385&amp;height=120&amp;START_MAXIMIZED=FALSE&amp;creator=factset&amp;display_string=Audit"}</definedName>
    <definedName name="_2099__FDSAUDITLINK__" hidden="1">{"fdsup://Directions/FactSet Auditing Viewer?action=AUDIT_VALUE&amp;DB=129&amp;ID1=53567810&amp;VALUEID=02001&amp;SDATE=200701&amp;PERIODTYPE=QTR_STD&amp;SCFT=3&amp;window=popup_no_bar&amp;width=385&amp;height=120&amp;START_MAXIMIZED=FALSE&amp;creator=factset&amp;display_string=Audit"}</definedName>
    <definedName name="_21__FDSAUDITLINK__" hidden="1">{"fdsup://Directions/FactSet Auditing Viewer?action=AUDIT_VALUE&amp;DB=129&amp;ID1=G7945M10&amp;VALUEID=02001&amp;SDATE=201103&amp;PERIODTYPE=QTR_STD&amp;SCFT=3&amp;window=popup_no_bar&amp;width=385&amp;height=120&amp;START_MAXIMIZED=FALSE&amp;creator=factset&amp;display_string=Audit"}</definedName>
    <definedName name="_210__FDSAUDITLINK__" hidden="1">{"fdsup://Directions/FactSet Auditing Viewer?action=AUDIT_VALUE&amp;DB=129&amp;ID1=57772K10&amp;VALUEID=02001&amp;SDATE=201102&amp;PERIODTYPE=QTR_STD&amp;SCFT=3&amp;window=popup_no_bar&amp;width=385&amp;height=120&amp;START_MAXIMIZED=FALSE&amp;creator=factset&amp;display_string=Audit"}</definedName>
    <definedName name="_2100__FDSAUDITLINK__" hidden="1">{"fdsup://Directions/FactSet Auditing Viewer?action=AUDIT_VALUE&amp;DB=129&amp;ID1=53567810&amp;VALUEID=02001&amp;SDATE=200701&amp;PERIODTYPE=QTR_STD&amp;SCFT=3&amp;window=popup_no_bar&amp;width=385&amp;height=120&amp;START_MAXIMIZED=FALSE&amp;creator=factset&amp;display_string=Audit"}</definedName>
    <definedName name="_2101__FDSAUDITLINK__" hidden="1">{"fdsup://Directions/FactSet Auditing Viewer?action=AUDIT_VALUE&amp;DB=129&amp;ID1=48248010&amp;VALUEID=02001&amp;SDATE=200701&amp;PERIODTYPE=QTR_STD&amp;SCFT=3&amp;window=popup_no_bar&amp;width=385&amp;height=120&amp;START_MAXIMIZED=FALSE&amp;creator=factset&amp;display_string=Audit"}</definedName>
    <definedName name="_2102__FDSAUDITLINK__" hidden="1">{"fdsup://Directions/FactSet Auditing Viewer?action=AUDIT_VALUE&amp;DB=129&amp;ID1=48248010&amp;VALUEID=02001&amp;SDATE=200701&amp;PERIODTYPE=QTR_STD&amp;SCFT=3&amp;window=popup_no_bar&amp;width=385&amp;height=120&amp;START_MAXIMIZED=FALSE&amp;creator=factset&amp;display_string=Audit"}</definedName>
    <definedName name="_2103__FDSAUDITLINK__" hidden="1">{"fdsup://Directions/FactSet Auditing Viewer?action=AUDIT_VALUE&amp;DB=129&amp;ID1=48836020&amp;VALUEID=02001&amp;SDATE=200602&amp;PERIODTYPE=QTR_STD&amp;SCFT=3&amp;window=popup_no_bar&amp;width=385&amp;height=120&amp;START_MAXIMIZED=FALSE&amp;creator=factset&amp;display_string=Audit"}</definedName>
    <definedName name="_2104__FDSAUDITLINK__" hidden="1">{"fdsup://Directions/FactSet Auditing Viewer?action=AUDIT_VALUE&amp;DB=129&amp;ID1=48836020&amp;VALUEID=02001&amp;SDATE=200602&amp;PERIODTYPE=QTR_STD&amp;SCFT=3&amp;window=popup_no_bar&amp;width=385&amp;height=120&amp;START_MAXIMIZED=FALSE&amp;creator=factset&amp;display_string=Audit"}</definedName>
    <definedName name="_2105__FDSAUDITLINK__" hidden="1">{"fdsup://Directions/FactSet Auditing Viewer?action=AUDIT_VALUE&amp;DB=129&amp;ID1=48203R10&amp;VALUEID=02001&amp;SDATE=200603&amp;PERIODTYPE=QTR_STD&amp;SCFT=3&amp;window=popup_no_bar&amp;width=385&amp;height=120&amp;START_MAXIMIZED=FALSE&amp;creator=factset&amp;display_string=Audit"}</definedName>
    <definedName name="_2106__FDSAUDITLINK__" hidden="1">{"fdsup://Directions/FactSet Auditing Viewer?action=AUDIT_VALUE&amp;DB=129&amp;ID1=48203R10&amp;VALUEID=02001&amp;SDATE=200603&amp;PERIODTYPE=QTR_STD&amp;SCFT=3&amp;window=popup_no_bar&amp;width=385&amp;height=120&amp;START_MAXIMIZED=FALSE&amp;creator=factset&amp;display_string=Audit"}</definedName>
    <definedName name="_2107__FDSAUDITLINK__" hidden="1">{"fdsup://Directions/FactSet Auditing Viewer?action=AUDIT_VALUE&amp;DB=129&amp;ID1=86681020&amp;VALUEID=02001&amp;SDATE=200701&amp;PERIODTYPE=QTR_STD&amp;SCFT=3&amp;window=popup_no_bar&amp;width=385&amp;height=120&amp;START_MAXIMIZED=FALSE&amp;creator=factset&amp;display_string=Audit"}</definedName>
    <definedName name="_2108__FDSAUDITLINK__" hidden="1">{"fdsup://Directions/FactSet Auditing Viewer?action=AUDIT_VALUE&amp;DB=129&amp;ID1=86681020&amp;VALUEID=02001&amp;SDATE=200701&amp;PERIODTYPE=QTR_STD&amp;SCFT=3&amp;window=popup_no_bar&amp;width=385&amp;height=120&amp;START_MAXIMIZED=FALSE&amp;creator=factset&amp;display_string=Audit"}</definedName>
    <definedName name="_2109__FDSAUDITLINK__" hidden="1">{"fdsup://Directions/FactSet Auditing Viewer?action=AUDIT_VALUE&amp;DB=129&amp;ID1=46069S10&amp;VALUEID=02001&amp;SDATE=200603&amp;PERIODTYPE=QTR_STD&amp;SCFT=3&amp;window=popup_no_bar&amp;width=385&amp;height=120&amp;START_MAXIMIZED=FALSE&amp;creator=factset&amp;display_string=Audit"}</definedName>
    <definedName name="_211__FDSAUDITLINK__" hidden="1">{"fdsup://Directions/FactSet Auditing Viewer?action=AUDIT_VALUE&amp;DB=129&amp;ID1=59511210&amp;VALUEID=02001&amp;SDATE=201101&amp;PERIODTYPE=QTR_STD&amp;SCFT=3&amp;window=popup_no_bar&amp;width=385&amp;height=120&amp;START_MAXIMIZED=FALSE&amp;creator=factset&amp;display_string=Audit"}</definedName>
    <definedName name="_2110__FDSAUDITLINK__" hidden="1">{"fdsup://Directions/FactSet Auditing Viewer?action=AUDIT_VALUE&amp;DB=129&amp;ID1=46069S10&amp;VALUEID=02001&amp;SDATE=200603&amp;PERIODTYPE=QTR_STD&amp;SCFT=3&amp;window=popup_no_bar&amp;width=385&amp;height=120&amp;START_MAXIMIZED=FALSE&amp;creator=factset&amp;display_string=Audit"}</definedName>
    <definedName name="_2111__FDSAUDITLINK__" hidden="1">{"fdsup://Directions/FactSet Auditing Viewer?action=AUDIT_VALUE&amp;DB=129&amp;ID1=46025410&amp;VALUEID=02001&amp;SDATE=200701&amp;PERIODTYPE=QTR_STD&amp;SCFT=3&amp;window=popup_no_bar&amp;width=385&amp;height=120&amp;START_MAXIMIZED=FALSE&amp;creator=factset&amp;display_string=Audit"}</definedName>
    <definedName name="_2112__FDSAUDITLINK__" hidden="1">{"fdsup://Directions/FactSet Auditing Viewer?action=AUDIT_VALUE&amp;DB=129&amp;ID1=46025410&amp;VALUEID=02001&amp;SDATE=200701&amp;PERIODTYPE=QTR_STD&amp;SCFT=3&amp;window=popup_no_bar&amp;width=385&amp;height=120&amp;START_MAXIMIZED=FALSE&amp;creator=factset&amp;display_string=Audit"}</definedName>
    <definedName name="_2113__FDSAUDITLINK__" hidden="1">{"fdsup://Directions/FactSet Auditing Viewer?action=AUDIT_VALUE&amp;DB=129&amp;ID1=45814010&amp;VALUEID=02001&amp;SDATE=200603&amp;PERIODTYPE=QTR_STD&amp;SCFT=3&amp;window=popup_no_bar&amp;width=385&amp;height=120&amp;START_MAXIMIZED=FALSE&amp;creator=factset&amp;display_string=Audit"}</definedName>
    <definedName name="_2114__FDSAUDITLINK__" hidden="1">{"fdsup://Directions/FactSet Auditing Viewer?action=AUDIT_VALUE&amp;DB=129&amp;ID1=45814010&amp;VALUEID=02001&amp;SDATE=200603&amp;PERIODTYPE=QTR_STD&amp;SCFT=3&amp;window=popup_no_bar&amp;width=385&amp;height=120&amp;START_MAXIMIZED=FALSE&amp;creator=factset&amp;display_string=Audit"}</definedName>
    <definedName name="_2115__FDSAUDITLINK__" hidden="1">{"fdsup://Directions/FactSet Auditing Viewer?action=AUDIT_VALUE&amp;DB=129&amp;ID1=45811810&amp;VALUEID=02001&amp;SDATE=200602&amp;PERIODTYPE=QTR_STD&amp;SCFT=3&amp;window=popup_no_bar&amp;width=385&amp;height=120&amp;START_MAXIMIZED=FALSE&amp;creator=factset&amp;display_string=Audit"}</definedName>
    <definedName name="_2116__FDSAUDITLINK__" hidden="1">{"fdsup://Directions/FactSet Auditing Viewer?action=AUDIT_VALUE&amp;DB=129&amp;ID1=45811810&amp;VALUEID=02001&amp;SDATE=200602&amp;PERIODTYPE=QTR_STD&amp;SCFT=3&amp;window=popup_no_bar&amp;width=385&amp;height=120&amp;START_MAXIMIZED=FALSE&amp;creator=factset&amp;display_string=Audit"}</definedName>
    <definedName name="_2117__FDSAUDITLINK__" hidden="1">{"fdsup://Directions/FactSet Auditing Viewer?action=AUDIT_VALUE&amp;DB=129&amp;ID1=H2906T10&amp;VALUEID=02001&amp;SDATE=200603&amp;PERIODTYPE=QTR_STD&amp;SCFT=3&amp;window=popup_no_bar&amp;width=385&amp;height=120&amp;START_MAXIMIZED=FALSE&amp;creator=factset&amp;display_string=Audit"}</definedName>
    <definedName name="_2118__FDSAUDITLINK__" hidden="1">{"fdsup://Directions/FactSet Auditing Viewer?action=AUDIT_VALUE&amp;DB=129&amp;ID1=H2906T10&amp;VALUEID=02001&amp;SDATE=200603&amp;PERIODTYPE=QTR_STD&amp;SCFT=3&amp;window=popup_no_bar&amp;width=385&amp;height=120&amp;START_MAXIMIZED=FALSE&amp;creator=factset&amp;display_string=Audit"}</definedName>
    <definedName name="_2119__FDSAUDITLINK__" hidden="1">{"fdsup://Directions/FactSet Auditing Viewer?action=AUDIT_VALUE&amp;DB=129&amp;ID1=34637510&amp;VALUEID=02001&amp;SDATE=200603&amp;PERIODTYPE=QTR_STD&amp;SCFT=3&amp;window=popup_no_bar&amp;width=385&amp;height=120&amp;START_MAXIMIZED=FALSE&amp;creator=factset&amp;display_string=Audit"}</definedName>
    <definedName name="_212__FDSAUDITLINK__" hidden="1">{"fdsup://Directions/FactSet Auditing Viewer?action=AUDIT_VALUE&amp;DB=129&amp;ID1=59511210&amp;VALUEID=02001&amp;SDATE=201101&amp;PERIODTYPE=QTR_STD&amp;SCFT=3&amp;window=popup_no_bar&amp;width=385&amp;height=120&amp;START_MAXIMIZED=FALSE&amp;creator=factset&amp;display_string=Audit"}</definedName>
    <definedName name="_2120__FDSAUDITLINK__" hidden="1">{"fdsup://Directions/FactSet Auditing Viewer?action=AUDIT_VALUE&amp;DB=129&amp;ID1=34637510&amp;VALUEID=02001&amp;SDATE=200603&amp;PERIODTYPE=QTR_STD&amp;SCFT=3&amp;window=popup_no_bar&amp;width=385&amp;height=120&amp;START_MAXIMIZED=FALSE&amp;creator=factset&amp;display_string=Audit"}</definedName>
    <definedName name="_2121__FDSAUDITLINK__" hidden="1">{"fdsup://Directions/FactSet Auditing Viewer?action=AUDIT_VALUE&amp;DB=129&amp;ID1=29247520&amp;VALUEID=02001&amp;SDATE=200701&amp;PERIODTYPE=QTR_STD&amp;SCFT=3&amp;window=popup_no_bar&amp;width=385&amp;height=120&amp;START_MAXIMIZED=FALSE&amp;creator=factset&amp;display_string=Audit"}</definedName>
    <definedName name="_2122__FDSAUDITLINK__" hidden="1">{"fdsup://Directions/FactSet Auditing Viewer?action=AUDIT_VALUE&amp;DB=129&amp;ID1=29247520&amp;VALUEID=02001&amp;SDATE=200701&amp;PERIODTYPE=QTR_STD&amp;SCFT=3&amp;window=popup_no_bar&amp;width=385&amp;height=120&amp;START_MAXIMIZED=FALSE&amp;creator=factset&amp;display_string=Audit"}</definedName>
    <definedName name="_2123__FDSAUDITLINK__" hidden="1">{"fdsup://Directions/FactSet Auditing Viewer?action=AUDIT_VALUE&amp;DB=129&amp;ID1=25454310&amp;VALUEID=02001&amp;SDATE=200603&amp;PERIODTYPE=QTR_STD&amp;SCFT=3&amp;window=popup_no_bar&amp;width=385&amp;height=120&amp;START_MAXIMIZED=FALSE&amp;creator=factset&amp;display_string=Audit"}</definedName>
    <definedName name="_2124__FDSAUDITLINK__" hidden="1">{"fdsup://Directions/FactSet Auditing Viewer?action=AUDIT_VALUE&amp;DB=129&amp;ID1=25454310&amp;VALUEID=02001&amp;SDATE=200603&amp;PERIODTYPE=QTR_STD&amp;SCFT=3&amp;window=popup_no_bar&amp;width=385&amp;height=120&amp;START_MAXIMIZED=FALSE&amp;creator=factset&amp;display_string=Audit"}</definedName>
    <definedName name="_2125__FDSAUDITLINK__" hidden="1">{"fdsup://Directions/FactSet Auditing Viewer?action=AUDIT_VALUE&amp;DB=129&amp;ID1=24702R10&amp;VALUEID=02001&amp;SDATE=200603&amp;PERIODTYPE=QTR_STD&amp;SCFT=3&amp;window=popup_no_bar&amp;width=385&amp;height=120&amp;START_MAXIMIZED=FALSE&amp;creator=factset&amp;display_string=Audit"}</definedName>
    <definedName name="_2126__FDSAUDITLINK__" hidden="1">{"fdsup://Directions/FactSet Auditing Viewer?action=AUDIT_VALUE&amp;DB=129&amp;ID1=24702R10&amp;VALUEID=02001&amp;SDATE=200603&amp;PERIODTYPE=QTR_STD&amp;SCFT=3&amp;window=popup_no_bar&amp;width=385&amp;height=120&amp;START_MAXIMIZED=FALSE&amp;creator=factset&amp;display_string=Audit"}</definedName>
    <definedName name="_2127__FDSAUDITLINK__" hidden="1">{"fdsup://Directions/FactSet Auditing Viewer?action=AUDIT_VALUE&amp;DB=129&amp;ID1=23257210&amp;VALUEID=02001&amp;SDATE=200603&amp;PERIODTYPE=QTR_STD&amp;SCFT=3&amp;window=popup_no_bar&amp;width=385&amp;height=120&amp;START_MAXIMIZED=FALSE&amp;creator=factset&amp;display_string=Audit"}</definedName>
    <definedName name="_2128__FDSAUDITLINK__" hidden="1">{"fdsup://Directions/FactSet Auditing Viewer?action=AUDIT_VALUE&amp;DB=129&amp;ID1=23257210&amp;VALUEID=02001&amp;SDATE=200603&amp;PERIODTYPE=QTR_STD&amp;SCFT=3&amp;window=popup_no_bar&amp;width=385&amp;height=120&amp;START_MAXIMIZED=FALSE&amp;creator=factset&amp;display_string=Audit"}</definedName>
    <definedName name="_2129__FDSAUDITLINK__" hidden="1">{"fdsup://Directions/FactSet Auditing Viewer?action=AUDIT_VALUE&amp;DB=129&amp;ID1=23280610&amp;VALUEID=02001&amp;SDATE=200603&amp;PERIODTYPE=QTR_STD&amp;SCFT=3&amp;window=popup_no_bar&amp;width=385&amp;height=120&amp;START_MAXIMIZED=FALSE&amp;creator=factset&amp;display_string=Audit"}</definedName>
    <definedName name="_213__FDSAUDITLINK__" hidden="1">{"fdsup://Directions/FactSet Auditing Viewer?action=AUDIT_VALUE&amp;DB=129&amp;ID1=59513710&amp;VALUEID=02001&amp;SDATE=201101&amp;PERIODTYPE=QTR_STD&amp;SCFT=3&amp;window=popup_no_bar&amp;width=385&amp;height=120&amp;START_MAXIMIZED=FALSE&amp;creator=factset&amp;display_string=Audit"}</definedName>
    <definedName name="_2130__FDSAUDITLINK__" hidden="1">{"fdsup://Directions/FactSet Auditing Viewer?action=AUDIT_VALUE&amp;DB=129&amp;ID1=23280610&amp;VALUEID=02001&amp;SDATE=200603&amp;PERIODTYPE=QTR_STD&amp;SCFT=3&amp;window=popup_no_bar&amp;width=385&amp;height=120&amp;START_MAXIMIZED=FALSE&amp;creator=factset&amp;display_string=Audit"}</definedName>
    <definedName name="_2131__FDSAUDITLINK__" hidden="1">{"fdsup://Directions/FactSet Auditing Viewer?action=AUDIT_VALUE&amp;DB=129&amp;ID1=17275R10&amp;VALUEID=02001&amp;SDATE=200701&amp;PERIODTYPE=QTR_STD&amp;SCFT=3&amp;window=popup_no_bar&amp;width=385&amp;height=120&amp;START_MAXIMIZED=FALSE&amp;creator=factset&amp;display_string=Audit"}</definedName>
    <definedName name="_2132__FDSAUDITLINK__" hidden="1">{"fdsup://Directions/FactSet Auditing Viewer?action=AUDIT_VALUE&amp;DB=129&amp;ID1=17275R10&amp;VALUEID=02001&amp;SDATE=200701&amp;PERIODTYPE=QTR_STD&amp;SCFT=3&amp;window=popup_no_bar&amp;width=385&amp;height=120&amp;START_MAXIMIZED=FALSE&amp;creator=factset&amp;display_string=Audit"}</definedName>
    <definedName name="_2133__FDSAUDITLINK__" hidden="1">{"fdsup://Directions/FactSet Auditing Viewer?action=AUDIT_VALUE&amp;DB=129&amp;ID1=22544710&amp;VALUEID=02001&amp;SDATE=200701&amp;PERIODTYPE=QTR_STD&amp;SCFT=3&amp;window=popup_no_bar&amp;width=385&amp;height=120&amp;START_MAXIMIZED=FALSE&amp;creator=factset&amp;display_string=Audit"}</definedName>
    <definedName name="_2134__FDSAUDITLINK__" hidden="1">{"fdsup://Directions/FactSet Auditing Viewer?action=AUDIT_VALUE&amp;DB=129&amp;ID1=22544710&amp;VALUEID=02001&amp;SDATE=200701&amp;PERIODTYPE=QTR_STD&amp;SCFT=3&amp;window=popup_no_bar&amp;width=385&amp;height=120&amp;START_MAXIMIZED=FALSE&amp;creator=factset&amp;display_string=Audit"}</definedName>
    <definedName name="_2135__FDSAUDITLINK__" hidden="1">{"fdsup://Directions/FactSet Auditing Viewer?action=AUDIT_VALUE&amp;DB=129&amp;ID1=12738710&amp;VALUEID=02001&amp;SDATE=200603&amp;PERIODTYPE=QTR_STD&amp;SCFT=3&amp;window=popup_no_bar&amp;width=385&amp;height=120&amp;START_MAXIMIZED=FALSE&amp;creator=factset&amp;display_string=Audit"}</definedName>
    <definedName name="_2136__FDSAUDITLINK__" hidden="1">{"fdsup://Directions/FactSet Auditing Viewer?action=AUDIT_VALUE&amp;DB=129&amp;ID1=12738710&amp;VALUEID=02001&amp;SDATE=200603&amp;PERIODTYPE=QTR_STD&amp;SCFT=3&amp;window=popup_no_bar&amp;width=385&amp;height=120&amp;START_MAXIMIZED=FALSE&amp;creator=factset&amp;display_string=Audit"}</definedName>
    <definedName name="_2137__FDSAUDITLINK__" hidden="1">{"fdsup://Directions/FactSet Auditing Viewer?action=AUDIT_VALUE&amp;DB=129&amp;ID1=04743P10&amp;VALUEID=02001&amp;SDATE=200603&amp;PERIODTYPE=QTR_STD&amp;SCFT=3&amp;window=popup_no_bar&amp;width=385&amp;height=120&amp;START_MAXIMIZED=FALSE&amp;creator=factset&amp;display_string=Audit"}</definedName>
    <definedName name="_2138__FDSAUDITLINK__" hidden="1">{"fdsup://Directions/FactSet Auditing Viewer?action=AUDIT_VALUE&amp;DB=129&amp;ID1=04743P10&amp;VALUEID=02001&amp;SDATE=200603&amp;PERIODTYPE=QTR_STD&amp;SCFT=3&amp;window=popup_no_bar&amp;width=385&amp;height=120&amp;START_MAXIMIZED=FALSE&amp;creator=factset&amp;display_string=Audit"}</definedName>
    <definedName name="_2139__FDSAUDITLINK__" hidden="1">{"fdsup://Directions/FactSet Auditing Viewer?action=AUDIT_VALUE&amp;DB=129&amp;ID1=03251510&amp;VALUEID=02001&amp;SDATE=200603&amp;PERIODTYPE=QTR_STD&amp;SCFT=3&amp;window=popup_no_bar&amp;width=385&amp;height=120&amp;START_MAXIMIZED=FALSE&amp;creator=factset&amp;display_string=Audit"}</definedName>
    <definedName name="_214__FDSAUDITLINK__" hidden="1">{"fdsup://Directions/FactSet Auditing Viewer?action=AUDIT_VALUE&amp;DB=129&amp;ID1=59513710&amp;VALUEID=02001&amp;SDATE=201101&amp;PERIODTYPE=QTR_STD&amp;SCFT=3&amp;window=popup_no_bar&amp;width=385&amp;height=120&amp;START_MAXIMIZED=FALSE&amp;creator=factset&amp;display_string=Audit"}</definedName>
    <definedName name="_2140__FDSAUDITLINK__" hidden="1">{"fdsup://Directions/FactSet Auditing Viewer?action=AUDIT_VALUE&amp;DB=129&amp;ID1=03251510&amp;VALUEID=02001&amp;SDATE=200603&amp;PERIODTYPE=QTR_STD&amp;SCFT=3&amp;window=popup_no_bar&amp;width=385&amp;height=120&amp;START_MAXIMIZED=FALSE&amp;creator=factset&amp;display_string=Audit"}</definedName>
    <definedName name="_2141__FDSAUDITLINK__" hidden="1">{"fdsup://Directions/FactSet Auditing Viewer?action=AUDIT_VALUE&amp;DB=129&amp;ID1=00790310&amp;VALUEID=02001&amp;SDATE=200603&amp;PERIODTYPE=QTR_STD&amp;SCFT=3&amp;window=popup_no_bar&amp;width=385&amp;height=120&amp;START_MAXIMIZED=FALSE&amp;creator=factset&amp;display_string=Audit"}</definedName>
    <definedName name="_2142__FDSAUDITLINK__" hidden="1">{"fdsup://Directions/FactSet Auditing Viewer?action=AUDIT_VALUE&amp;DB=129&amp;ID1=00790310&amp;VALUEID=02001&amp;SDATE=200603&amp;PERIODTYPE=QTR_STD&amp;SCFT=3&amp;window=popup_no_bar&amp;width=385&amp;height=120&amp;START_MAXIMIZED=FALSE&amp;creator=factset&amp;display_string=Audit"}</definedName>
    <definedName name="_2143__FDSAUDITLINK__" hidden="1">{"fdsup://Directions/FactSet Auditing Viewer?action=AUDIT_VALUE&amp;DB=129&amp;ID1=03822W40&amp;VALUEID=02001&amp;SDATE=200602&amp;PERIODTYPE=QTR_STD&amp;SCFT=3&amp;window=popup_no_bar&amp;width=385&amp;height=120&amp;START_MAXIMIZED=FALSE&amp;creator=factset&amp;display_string=Audit"}</definedName>
    <definedName name="_2144__FDSAUDITLINK__" hidden="1">{"fdsup://Directions/FactSet Auditing Viewer?action=AUDIT_VALUE&amp;DB=129&amp;ID1=03822W40&amp;VALUEID=02001&amp;SDATE=200602&amp;PERIODTYPE=QTR_STD&amp;SCFT=3&amp;window=popup_no_bar&amp;width=385&amp;height=120&amp;START_MAXIMIZED=FALSE&amp;creator=factset&amp;display_string=Audit"}</definedName>
    <definedName name="_2145__FDSAUDITLINK__" hidden="1">{"fdsup://Directions/FactSet Auditing Viewer?action=AUDIT_VALUE&amp;DB=129&amp;ID1=02144110&amp;VALUEID=02001&amp;SDATE=200603&amp;PERIODTYPE=QTR_STD&amp;SCFT=3&amp;window=popup_no_bar&amp;width=385&amp;height=120&amp;START_MAXIMIZED=FALSE&amp;creator=factset&amp;display_string=Audit"}</definedName>
    <definedName name="_2146__FDSAUDITLINK__" hidden="1">{"fdsup://Directions/FactSet Auditing Viewer?action=AUDIT_VALUE&amp;DB=129&amp;ID1=02144110&amp;VALUEID=02001&amp;SDATE=200603&amp;PERIODTYPE=QTR_STD&amp;SCFT=3&amp;window=popup_no_bar&amp;width=385&amp;height=120&amp;START_MAXIMIZED=FALSE&amp;creator=factset&amp;display_string=Audit"}</definedName>
    <definedName name="_2147__FDSAUDITLINK__" hidden="1">{"fdsup://Directions/FactSet Auditing Viewer?action=AUDIT_VALUE&amp;DB=129&amp;ID1=00752J10&amp;VALUEID=02001&amp;SDATE=200603&amp;PERIODTYPE=QTR_STD&amp;SCFT=3&amp;window=popup_no_bar&amp;width=385&amp;height=120&amp;START_MAXIMIZED=FALSE&amp;creator=factset&amp;display_string=Audit"}</definedName>
    <definedName name="_2148__FDSAUDITLINK__" hidden="1">{"fdsup://Directions/FactSet Auditing Viewer?action=AUDIT_VALUE&amp;DB=129&amp;ID1=00752J10&amp;VALUEID=02001&amp;SDATE=200603&amp;PERIODTYPE=QTR_STD&amp;SCFT=3&amp;window=popup_no_bar&amp;width=385&amp;height=120&amp;START_MAXIMIZED=FALSE&amp;creator=factset&amp;display_string=Audit"}</definedName>
    <definedName name="_2149__FDSAUDITLINK__" hidden="1">{"fdsup://Directions/FactSet Auditing Viewer?action=AUDIT_VALUE&amp;DB=129&amp;ID1=98975F10&amp;VALUEID=02001&amp;SDATE=200602&amp;PERIODTYPE=QTR_STD&amp;SCFT=3&amp;window=popup_no_bar&amp;width=385&amp;height=120&amp;START_MAXIMIZED=FALSE&amp;creator=factset&amp;display_string=Audit"}</definedName>
    <definedName name="_215__FDSAUDITLINK__" hidden="1">{"fdsup://Directions/FactSet Auditing Viewer?action=AUDIT_VALUE&amp;DB=129&amp;ID1=G5876H10&amp;VALUEID=02001&amp;SDATE=201004&amp;PERIODTYPE=QTR_STD&amp;SCFT=3&amp;window=popup_no_bar&amp;width=385&amp;height=120&amp;START_MAXIMIZED=FALSE&amp;creator=factset&amp;display_string=Audit"}</definedName>
    <definedName name="_2150__FDSAUDITLINK__" hidden="1">{"fdsup://Directions/FactSet Auditing Viewer?action=AUDIT_VALUE&amp;DB=129&amp;ID1=98975F10&amp;VALUEID=02001&amp;SDATE=200602&amp;PERIODTYPE=QTR_STD&amp;SCFT=3&amp;window=popup_no_bar&amp;width=385&amp;height=120&amp;START_MAXIMIZED=FALSE&amp;creator=factset&amp;display_string=Audit"}</definedName>
    <definedName name="_2151__FDSAUDITLINK__" hidden="1">{"fdsup://Directions/FactSet Auditing Viewer?action=AUDIT_VALUE&amp;DB=129&amp;ID1=98391910&amp;VALUEID=02001&amp;SDATE=200601&amp;PERIODTYPE=QTR_STD&amp;SCFT=3&amp;window=popup_no_bar&amp;width=385&amp;height=120&amp;START_MAXIMIZED=FALSE&amp;creator=factset&amp;display_string=Audit"}</definedName>
    <definedName name="_2152__FDSAUDITLINK__" hidden="1">{"fdsup://Directions/FactSet Auditing Viewer?action=AUDIT_VALUE&amp;DB=129&amp;ID1=98391910&amp;VALUEID=02001&amp;SDATE=200601&amp;PERIODTYPE=QTR_STD&amp;SCFT=3&amp;window=popup_no_bar&amp;width=385&amp;height=120&amp;START_MAXIMIZED=FALSE&amp;creator=factset&amp;display_string=Audit"}</definedName>
    <definedName name="_2153__FDSAUDITLINK__" hidden="1">{"fdsup://Directions/FactSet Auditing Viewer?action=AUDIT_VALUE&amp;DB=129&amp;ID1=92829810&amp;VALUEID=02001&amp;SDATE=200602&amp;PERIODTYPE=QTR_STD&amp;SCFT=3&amp;window=popup_no_bar&amp;width=385&amp;height=120&amp;START_MAXIMIZED=FALSE&amp;creator=factset&amp;display_string=Audit"}</definedName>
    <definedName name="_2154__FDSAUDITLINK__" hidden="1">{"fdsup://Directions/FactSet Auditing Viewer?action=AUDIT_VALUE&amp;DB=129&amp;ID1=92829810&amp;VALUEID=02001&amp;SDATE=200602&amp;PERIODTYPE=QTR_STD&amp;SCFT=3&amp;window=popup_no_bar&amp;width=385&amp;height=120&amp;START_MAXIMIZED=FALSE&amp;creator=factset&amp;display_string=Audit"}</definedName>
    <definedName name="_2155__FDSAUDITLINK__" hidden="1">{"fdsup://Directions/FactSet Auditing Viewer?action=AUDIT_VALUE&amp;DB=129&amp;ID1=88250810&amp;VALUEID=02001&amp;SDATE=200602&amp;PERIODTYPE=QTR_STD&amp;SCFT=3&amp;window=popup_no_bar&amp;width=385&amp;height=120&amp;START_MAXIMIZED=FALSE&amp;creator=factset&amp;display_string=Audit"}</definedName>
    <definedName name="_2156__FDSAUDITLINK__" hidden="1">{"fdsup://Directions/FactSet Auditing Viewer?action=AUDIT_VALUE&amp;DB=129&amp;ID1=88250810&amp;VALUEID=02001&amp;SDATE=200602&amp;PERIODTYPE=QTR_STD&amp;SCFT=3&amp;window=popup_no_bar&amp;width=385&amp;height=120&amp;START_MAXIMIZED=FALSE&amp;creator=factset&amp;display_string=Audit"}</definedName>
    <definedName name="_2157__FDSAUDITLINK__" hidden="1">{"fdsup://Directions/FactSet Auditing Viewer?action=AUDIT_VALUE&amp;DB=129&amp;ID1=89674K10&amp;VALUEID=02001&amp;SDATE=200602&amp;PERIODTYPE=QTR_STD&amp;SCFT=3&amp;window=popup_no_bar&amp;width=385&amp;height=120&amp;START_MAXIMIZED=FALSE&amp;creator=factset&amp;display_string=Audit"}</definedName>
    <definedName name="_2158__FDSAUDITLINK__" hidden="1">{"fdsup://Directions/FactSet Auditing Viewer?action=AUDIT_VALUE&amp;DB=129&amp;ID1=89674K10&amp;VALUEID=02001&amp;SDATE=200602&amp;PERIODTYPE=QTR_STD&amp;SCFT=3&amp;window=popup_no_bar&amp;width=385&amp;height=120&amp;START_MAXIMIZED=FALSE&amp;creator=factset&amp;display_string=Audit"}</definedName>
    <definedName name="_2159__FDSAUDITLINK__" hidden="1">{"fdsup://Directions/FactSet Auditing Viewer?action=AUDIT_VALUE&amp;DB=129&amp;ID1=83088M10&amp;VALUEID=02001&amp;SDATE=200603&amp;PERIODTYPE=QTR_STD&amp;SCFT=3&amp;window=popup_no_bar&amp;width=385&amp;height=120&amp;START_MAXIMIZED=FALSE&amp;creator=factset&amp;display_string=Audit"}</definedName>
    <definedName name="_216__FDSAUDITLINK__" hidden="1">{"fdsup://Directions/FactSet Auditing Viewer?action=AUDIT_VALUE&amp;DB=129&amp;ID1=G5876H10&amp;VALUEID=02001&amp;SDATE=201004&amp;PERIODTYPE=QTR_STD&amp;SCFT=3&amp;window=popup_no_bar&amp;width=385&amp;height=120&amp;START_MAXIMIZED=FALSE&amp;creator=factset&amp;display_string=Audit"}</definedName>
    <definedName name="_2160__FDSAUDITLINK__" hidden="1">{"fdsup://Directions/FactSet Auditing Viewer?action=AUDIT_VALUE&amp;DB=129&amp;ID1=83088M10&amp;VALUEID=02001&amp;SDATE=200603&amp;PERIODTYPE=QTR_STD&amp;SCFT=3&amp;window=popup_no_bar&amp;width=385&amp;height=120&amp;START_MAXIMIZED=FALSE&amp;creator=factset&amp;display_string=Audit"}</definedName>
    <definedName name="_2161__FDSAUDITLINK__" hidden="1">{"fdsup://Directions/FactSet Auditing Viewer?action=AUDIT_VALUE&amp;DB=129&amp;ID1=78477410&amp;VALUEID=02001&amp;SDATE=200602&amp;PERIODTYPE=QTR_STD&amp;SCFT=3&amp;window=popup_no_bar&amp;width=385&amp;height=120&amp;START_MAXIMIZED=FALSE&amp;creator=factset&amp;display_string=Audit"}</definedName>
    <definedName name="_2162__FDSAUDITLINK__" hidden="1">{"fdsup://Directions/FactSet Auditing Viewer?action=AUDIT_VALUE&amp;DB=129&amp;ID1=78477410&amp;VALUEID=02001&amp;SDATE=200602&amp;PERIODTYPE=QTR_STD&amp;SCFT=3&amp;window=popup_no_bar&amp;width=385&amp;height=120&amp;START_MAXIMIZED=FALSE&amp;creator=factset&amp;display_string=Audit"}</definedName>
    <definedName name="_2163__FDSAUDITLINK__" hidden="1">{"fdsup://Directions/FactSet Auditing Viewer?action=AUDIT_VALUE&amp;DB=129&amp;ID1=82705710&amp;VALUEID=02001&amp;SDATE=200602&amp;PERIODTYPE=QTR_STD&amp;SCFT=3&amp;window=popup_no_bar&amp;width=385&amp;height=120&amp;START_MAXIMIZED=FALSE&amp;creator=factset&amp;display_string=Audit"}</definedName>
    <definedName name="_2164__FDSAUDITLINK__" hidden="1">{"fdsup://Directions/FactSet Auditing Viewer?action=AUDIT_VALUE&amp;DB=129&amp;ID1=82705710&amp;VALUEID=02001&amp;SDATE=200602&amp;PERIODTYPE=QTR_STD&amp;SCFT=3&amp;window=popup_no_bar&amp;width=385&amp;height=120&amp;START_MAXIMIZED=FALSE&amp;creator=factset&amp;display_string=Audit"}</definedName>
    <definedName name="_2165__FDSAUDITLINK__" hidden="1">{"fdsup://Directions/FactSet Auditing Viewer?action=AUDIT_VALUE&amp;DB=129&amp;ID1=83547010&amp;VALUEID=02001&amp;SDATE=200602&amp;PERIODTYPE=QTR_STD&amp;SCFT=3&amp;window=popup_no_bar&amp;width=385&amp;height=120&amp;START_MAXIMIZED=FALSE&amp;creator=factset&amp;display_string=Audit"}</definedName>
    <definedName name="_2166__FDSAUDITLINK__" hidden="1">{"fdsup://Directions/FactSet Auditing Viewer?action=AUDIT_VALUE&amp;DB=129&amp;ID1=83547010&amp;VALUEID=02001&amp;SDATE=200602&amp;PERIODTYPE=QTR_STD&amp;SCFT=3&amp;window=popup_no_bar&amp;width=385&amp;height=120&amp;START_MAXIMIZED=FALSE&amp;creator=factset&amp;display_string=Audit"}</definedName>
    <definedName name="_2167__FDSAUDITLINK__" hidden="1">{"fdsup://Directions/FactSet Auditing Viewer?action=AUDIT_VALUE&amp;DB=129&amp;ID1=87160710&amp;VALUEID=02001&amp;SDATE=200603&amp;PERIODTYPE=QTR_STD&amp;SCFT=3&amp;window=popup_no_bar&amp;width=385&amp;height=120&amp;START_MAXIMIZED=FALSE&amp;creator=factset&amp;display_string=Audit"}</definedName>
    <definedName name="_2168__FDSAUDITLINK__" hidden="1">{"fdsup://Directions/FactSet Auditing Viewer?action=AUDIT_VALUE&amp;DB=129&amp;ID1=87160710&amp;VALUEID=02001&amp;SDATE=200603&amp;PERIODTYPE=QTR_STD&amp;SCFT=3&amp;window=popup_no_bar&amp;width=385&amp;height=120&amp;START_MAXIMIZED=FALSE&amp;creator=factset&amp;display_string=Audit"}</definedName>
    <definedName name="_2169__FDSAUDITLINK__" hidden="1">{"fdsup://Directions/FactSet Auditing Viewer?action=AUDIT_VALUE&amp;DB=129&amp;ID1=80004C10&amp;VALUEID=02001&amp;SDATE=200602&amp;PERIODTYPE=QTR_STD&amp;SCFT=3&amp;window=popup_no_bar&amp;width=385&amp;height=120&amp;START_MAXIMIZED=FALSE&amp;creator=factset&amp;display_string=Audit"}</definedName>
    <definedName name="_217__FDSAUDITLINK__" hidden="1">{"fdsup://Directions/FactSet Auditing Viewer?action=AUDIT_VALUE&amp;DB=129&amp;ID1=62007630&amp;VALUEID=02001&amp;SDATE=201004&amp;PERIODTYPE=QTR_STD&amp;SCFT=3&amp;window=popup_no_bar&amp;width=385&amp;height=120&amp;START_MAXIMIZED=FALSE&amp;creator=factset&amp;display_string=Audit"}</definedName>
    <definedName name="_2170__FDSAUDITLINK__" hidden="1">{"fdsup://Directions/FactSet Auditing Viewer?action=AUDIT_VALUE&amp;DB=129&amp;ID1=80004C10&amp;VALUEID=02001&amp;SDATE=200602&amp;PERIODTYPE=QTR_STD&amp;SCFT=3&amp;window=popup_no_bar&amp;width=385&amp;height=120&amp;START_MAXIMIZED=FALSE&amp;creator=factset&amp;display_string=Audit"}</definedName>
    <definedName name="_2171__FDSAUDITLINK__" hidden="1">{"fdsup://Directions/FactSet Auditing Viewer?action=AUDIT_VALUE&amp;DB=129&amp;ID1=81685010&amp;VALUEID=02001&amp;SDATE=200602&amp;PERIODTYPE=QTR_STD&amp;SCFT=3&amp;window=popup_no_bar&amp;width=385&amp;height=120&amp;START_MAXIMIZED=FALSE&amp;creator=factset&amp;display_string=Audit"}</definedName>
    <definedName name="_2172__FDSAUDITLINK__" hidden="1">{"fdsup://Directions/FactSet Auditing Viewer?action=AUDIT_VALUE&amp;DB=129&amp;ID1=81685010&amp;VALUEID=02001&amp;SDATE=200602&amp;PERIODTYPE=QTR_STD&amp;SCFT=3&amp;window=popup_no_bar&amp;width=385&amp;height=120&amp;START_MAXIMIZED=FALSE&amp;creator=factset&amp;display_string=Audit"}</definedName>
    <definedName name="_2173__FDSAUDITLINK__" hidden="1">{"fdsup://Directions/FactSet Auditing Viewer?action=AUDIT_VALUE&amp;DB=129&amp;ID1=82691910&amp;VALUEID=02001&amp;SDATE=200602&amp;PERIODTYPE=QTR_STD&amp;SCFT=3&amp;window=popup_no_bar&amp;width=385&amp;height=120&amp;START_MAXIMIZED=FALSE&amp;creator=factset&amp;display_string=Audit"}</definedName>
    <definedName name="_2174__FDSAUDITLINK__" hidden="1">{"fdsup://Directions/FactSet Auditing Viewer?action=AUDIT_VALUE&amp;DB=129&amp;ID1=82691910&amp;VALUEID=02001&amp;SDATE=200602&amp;PERIODTYPE=QTR_STD&amp;SCFT=3&amp;window=popup_no_bar&amp;width=385&amp;height=120&amp;START_MAXIMIZED=FALSE&amp;creator=factset&amp;display_string=Audit"}</definedName>
    <definedName name="_2175__FDSAUDITLINK__" hidden="1">{"fdsup://Directions/FactSet Auditing Viewer?action=AUDIT_VALUE&amp;DB=129&amp;ID1=82705T10&amp;VALUEID=02001&amp;SDATE=200602&amp;PERIODTYPE=QTR_STD&amp;SCFT=3&amp;window=popup_no_bar&amp;width=385&amp;height=120&amp;START_MAXIMIZED=FALSE&amp;creator=factset&amp;display_string=Audit"}</definedName>
    <definedName name="_2176__FDSAUDITLINK__" hidden="1">{"fdsup://Directions/FactSet Auditing Viewer?action=AUDIT_VALUE&amp;DB=129&amp;ID1=82705T10&amp;VALUEID=02001&amp;SDATE=200602&amp;PERIODTYPE=QTR_STD&amp;SCFT=3&amp;window=popup_no_bar&amp;width=385&amp;height=120&amp;START_MAXIMIZED=FALSE&amp;creator=factset&amp;display_string=Audit"}</definedName>
    <definedName name="_2177__FDSAUDITLINK__" hidden="1">{"fdsup://Directions/FactSet Auditing Viewer?action=AUDIT_VALUE&amp;DB=129&amp;ID1=75091710&amp;VALUEID=02001&amp;SDATE=200602&amp;PERIODTYPE=QTR_STD&amp;SCFT=3&amp;window=popup_no_bar&amp;width=385&amp;height=120&amp;START_MAXIMIZED=FALSE&amp;creator=factset&amp;display_string=Audit"}</definedName>
    <definedName name="_2178__FDSAUDITLINK__" hidden="1">{"fdsup://Directions/FactSet Auditing Viewer?action=AUDIT_VALUE&amp;DB=129&amp;ID1=75091710&amp;VALUEID=02001&amp;SDATE=200602&amp;PERIODTYPE=QTR_STD&amp;SCFT=3&amp;window=popup_no_bar&amp;width=385&amp;height=120&amp;START_MAXIMIZED=FALSE&amp;creator=factset&amp;display_string=Audit"}</definedName>
    <definedName name="_2179__FDSAUDITLINK__" hidden="1">{"fdsup://Directions/FactSet Auditing Viewer?action=AUDIT_VALUE&amp;DB=129&amp;ID1=74994110&amp;VALUEID=02001&amp;SDATE=200601&amp;PERIODTYPE=QTR_STD&amp;SCFT=3&amp;window=popup_no_bar&amp;width=385&amp;height=120&amp;START_MAXIMIZED=FALSE&amp;creator=factset&amp;display_string=Audit"}</definedName>
    <definedName name="_218__FDSAUDITLINK__" hidden="1">{"fdsup://Directions/FactSet Auditing Viewer?action=AUDIT_VALUE&amp;DB=129&amp;ID1=62007630&amp;VALUEID=02001&amp;SDATE=201004&amp;PERIODTYPE=QTR_STD&amp;SCFT=3&amp;window=popup_no_bar&amp;width=385&amp;height=120&amp;START_MAXIMIZED=FALSE&amp;creator=factset&amp;display_string=Audit"}</definedName>
    <definedName name="_2180__FDSAUDITLINK__" hidden="1">{"fdsup://Directions/FactSet Auditing Viewer?action=AUDIT_VALUE&amp;DB=129&amp;ID1=74994110&amp;VALUEID=02001&amp;SDATE=200601&amp;PERIODTYPE=QTR_STD&amp;SCFT=3&amp;window=popup_no_bar&amp;width=385&amp;height=120&amp;START_MAXIMIZED=FALSE&amp;creator=factset&amp;display_string=Audit"}</definedName>
    <definedName name="_2181__FDSAUDITLINK__" hidden="1">{"fdsup://Directions/FactSet Auditing Viewer?action=AUDIT_VALUE&amp;DB=129&amp;ID1=74727710&amp;VALUEID=02001&amp;SDATE=200601&amp;PERIODTYPE=QTR_STD&amp;SCFT=3&amp;window=popup_no_bar&amp;width=385&amp;height=120&amp;START_MAXIMIZED=FALSE&amp;creator=factset&amp;display_string=Audit"}</definedName>
    <definedName name="_2182__FDSAUDITLINK__" hidden="1">{"fdsup://Directions/FactSet Auditing Viewer?action=AUDIT_VALUE&amp;DB=129&amp;ID1=74727710&amp;VALUEID=02001&amp;SDATE=200601&amp;PERIODTYPE=QTR_STD&amp;SCFT=3&amp;window=popup_no_bar&amp;width=385&amp;height=120&amp;START_MAXIMIZED=FALSE&amp;creator=factset&amp;display_string=Audit"}</definedName>
    <definedName name="_2183__FDSAUDITLINK__" hidden="1">{"fdsup://Directions/FactSet Auditing Viewer?action=AUDIT_VALUE&amp;DB=129&amp;ID1=74752510&amp;VALUEID=02001&amp;SDATE=200603&amp;PERIODTYPE=QTR_STD&amp;SCFT=3&amp;window=popup_no_bar&amp;width=385&amp;height=120&amp;START_MAXIMIZED=FALSE&amp;creator=factset&amp;display_string=Audit"}</definedName>
    <definedName name="_2184__FDSAUDITLINK__" hidden="1">{"fdsup://Directions/FactSet Auditing Viewer?action=AUDIT_VALUE&amp;DB=129&amp;ID1=74752510&amp;VALUEID=02001&amp;SDATE=200603&amp;PERIODTYPE=QTR_STD&amp;SCFT=3&amp;window=popup_no_bar&amp;width=385&amp;height=120&amp;START_MAXIMIZED=FALSE&amp;creator=factset&amp;display_string=Audit"}</definedName>
    <definedName name="_2185__FDSAUDITLINK__" hidden="1">{"fdsup://Directions/FactSet Auditing Viewer?action=AUDIT_VALUE&amp;DB=129&amp;ID1=72581M30&amp;VALUEID=02001&amp;SDATE=200602&amp;PERIODTYPE=QTR_STD&amp;SCFT=3&amp;window=popup_no_bar&amp;width=385&amp;height=120&amp;START_MAXIMIZED=FALSE&amp;creator=factset&amp;display_string=Audit"}</definedName>
    <definedName name="_2186__FDSAUDITLINK__" hidden="1">{"fdsup://Directions/FactSet Auditing Viewer?action=AUDIT_VALUE&amp;DB=129&amp;ID1=72581M30&amp;VALUEID=02001&amp;SDATE=200602&amp;PERIODTYPE=QTR_STD&amp;SCFT=3&amp;window=popup_no_bar&amp;width=385&amp;height=120&amp;START_MAXIMIZED=FALSE&amp;creator=factset&amp;display_string=Audit"}</definedName>
    <definedName name="_2187__FDSAUDITLINK__" hidden="1">{"fdsup://Directions/FactSet Auditing Viewer?action=AUDIT_VALUE&amp;DB=129&amp;ID1=73927610&amp;VALUEID=02001&amp;SDATE=200602&amp;PERIODTYPE=QTR_STD&amp;SCFT=3&amp;window=popup_no_bar&amp;width=385&amp;height=120&amp;START_MAXIMIZED=FALSE&amp;creator=factset&amp;display_string=Audit"}</definedName>
    <definedName name="_2188__FDSAUDITLINK__" hidden="1">{"fdsup://Directions/FactSet Auditing Viewer?action=AUDIT_VALUE&amp;DB=129&amp;ID1=73927610&amp;VALUEID=02001&amp;SDATE=200602&amp;PERIODTYPE=QTR_STD&amp;SCFT=3&amp;window=popup_no_bar&amp;width=385&amp;height=120&amp;START_MAXIMIZED=FALSE&amp;creator=factset&amp;display_string=Audit"}</definedName>
    <definedName name="_2189__FDSAUDITLINK__" hidden="1">{"fdsup://Directions/FactSet Auditing Viewer?action=AUDIT_VALUE&amp;DB=129&amp;ID1=69344F10&amp;VALUEID=02001&amp;SDATE=200602&amp;PERIODTYPE=QTR_STD&amp;SCFT=3&amp;window=popup_no_bar&amp;width=385&amp;height=120&amp;START_MAXIMIZED=FALSE&amp;creator=factset&amp;display_string=Audit"}</definedName>
    <definedName name="_219__FDSAUDITLINK__" hidden="1">{"fdsup://Directions/FactSet Auditing Viewer?action=AUDIT_VALUE&amp;DB=129&amp;ID1=60456710&amp;VALUEID=02001&amp;SDATE=201102&amp;PERIODTYPE=QTR_STD&amp;SCFT=3&amp;window=popup_no_bar&amp;width=385&amp;height=120&amp;START_MAXIMIZED=FALSE&amp;creator=factset&amp;display_string=Audit"}</definedName>
    <definedName name="_2190__FDSAUDITLINK__" hidden="1">{"fdsup://Directions/FactSet Auditing Viewer?action=AUDIT_VALUE&amp;DB=129&amp;ID1=69344F10&amp;VALUEID=02001&amp;SDATE=200602&amp;PERIODTYPE=QTR_STD&amp;SCFT=3&amp;window=popup_no_bar&amp;width=385&amp;height=120&amp;START_MAXIMIZED=FALSE&amp;creator=factset&amp;display_string=Audit"}</definedName>
    <definedName name="_2191__FDSAUDITLINK__" hidden="1">{"fdsup://Directions/FactSet Auditing Viewer?action=AUDIT_VALUE&amp;DB=129&amp;ID1=69341710&amp;VALUEID=02001&amp;SDATE=200602&amp;PERIODTYPE=QTR_STD&amp;SCFT=3&amp;window=popup_no_bar&amp;width=385&amp;height=120&amp;START_MAXIMIZED=FALSE&amp;creator=factset&amp;display_string=Audit"}</definedName>
    <definedName name="_2192__FDSAUDITLINK__" hidden="1">{"fdsup://Directions/FactSet Auditing Viewer?action=AUDIT_VALUE&amp;DB=129&amp;ID1=69341710&amp;VALUEID=02001&amp;SDATE=200602&amp;PERIODTYPE=QTR_STD&amp;SCFT=3&amp;window=popup_no_bar&amp;width=385&amp;height=120&amp;START_MAXIMIZED=FALSE&amp;creator=factset&amp;display_string=Audit"}</definedName>
    <definedName name="_2193__FDSAUDITLINK__" hidden="1">{"fdsup://Directions/FactSet Auditing Viewer?action=AUDIT_VALUE&amp;DB=129&amp;ID1=68218910&amp;VALUEID=02001&amp;SDATE=200602&amp;PERIODTYPE=QTR_STD&amp;SCFT=3&amp;window=popup_no_bar&amp;width=385&amp;height=120&amp;START_MAXIMIZED=FALSE&amp;creator=factset&amp;display_string=Audit"}</definedName>
    <definedName name="_2194__FDSAUDITLINK__" hidden="1">{"fdsup://Directions/FactSet Auditing Viewer?action=AUDIT_VALUE&amp;DB=129&amp;ID1=68218910&amp;VALUEID=02001&amp;SDATE=200602&amp;PERIODTYPE=QTR_STD&amp;SCFT=3&amp;window=popup_no_bar&amp;width=385&amp;height=120&amp;START_MAXIMIZED=FALSE&amp;creator=factset&amp;display_string=Audit"}</definedName>
    <definedName name="_2195__FDSAUDITLINK__" hidden="1">{"fdsup://Directions/FactSet Auditing Viewer?action=AUDIT_VALUE&amp;DB=129&amp;ID1=67000810&amp;VALUEID=02001&amp;SDATE=200602&amp;PERIODTYPE=QTR_STD&amp;SCFT=3&amp;window=popup_no_bar&amp;width=385&amp;height=120&amp;START_MAXIMIZED=FALSE&amp;creator=factset&amp;display_string=Audit"}</definedName>
    <definedName name="_2196__FDSAUDITLINK__" hidden="1">{"fdsup://Directions/FactSet Auditing Viewer?action=AUDIT_VALUE&amp;DB=129&amp;ID1=67000810&amp;VALUEID=02001&amp;SDATE=200602&amp;PERIODTYPE=QTR_STD&amp;SCFT=3&amp;window=popup_no_bar&amp;width=385&amp;height=120&amp;START_MAXIMIZED=FALSE&amp;creator=factset&amp;display_string=Audit"}</definedName>
    <definedName name="_2197__FDSAUDITLINK__" hidden="1">{"fdsup://Directions/FactSet Auditing Viewer?action=AUDIT_VALUE&amp;DB=129&amp;ID1=67066G10&amp;VALUEID=02001&amp;SDATE=200602&amp;PERIODTYPE=QTR_STD&amp;SCFT=3&amp;window=popup_no_bar&amp;width=385&amp;height=120&amp;START_MAXIMIZED=FALSE&amp;creator=factset&amp;display_string=Audit"}</definedName>
    <definedName name="_2198__FDSAUDITLINK__" hidden="1">{"fdsup://Directions/FactSet Auditing Viewer?action=AUDIT_VALUE&amp;DB=129&amp;ID1=67066G10&amp;VALUEID=02001&amp;SDATE=200602&amp;PERIODTYPE=QTR_STD&amp;SCFT=3&amp;window=popup_no_bar&amp;width=385&amp;height=120&amp;START_MAXIMIZED=FALSE&amp;creator=factset&amp;display_string=Audit"}</definedName>
    <definedName name="_2199__FDSAUDITLINK__" hidden="1">{"fdsup://Directions/FactSet Auditing Viewer?action=AUDIT_VALUE&amp;DB=129&amp;ID1=64118B10&amp;VALUEID=02001&amp;SDATE=200602&amp;PERIODTYPE=QTR_STD&amp;SCFT=3&amp;window=popup_no_bar&amp;width=385&amp;height=120&amp;START_MAXIMIZED=FALSE&amp;creator=factset&amp;display_string=Audit"}</definedName>
    <definedName name="_22__FDSAUDITLINK__" hidden="1">{"fdsup://Directions/FactSet Auditing Viewer?action=AUDIT_VALUE&amp;DB=129&amp;ID1=G7945M10&amp;VALUEID=02001&amp;SDATE=201103&amp;PERIODTYPE=QTR_STD&amp;SCFT=3&amp;window=popup_no_bar&amp;width=385&amp;height=120&amp;START_MAXIMIZED=FALSE&amp;creator=factset&amp;display_string=Audit"}</definedName>
    <definedName name="_220__FDSAUDITLINK__" hidden="1">{"fdsup://Directions/FactSet Auditing Viewer?action=AUDIT_VALUE&amp;DB=129&amp;ID1=60456710&amp;VALUEID=02001&amp;SDATE=201102&amp;PERIODTYPE=QTR_STD&amp;SCFT=3&amp;window=popup_no_bar&amp;width=385&amp;height=120&amp;START_MAXIMIZED=FALSE&amp;creator=factset&amp;display_string=Audit"}</definedName>
    <definedName name="_2200__FDSAUDITLINK__" hidden="1">{"fdsup://Directions/FactSet Auditing Viewer?action=AUDIT_VALUE&amp;DB=129&amp;ID1=64118B10&amp;VALUEID=02001&amp;SDATE=200602&amp;PERIODTYPE=QTR_STD&amp;SCFT=3&amp;window=popup_no_bar&amp;width=385&amp;height=120&amp;START_MAXIMIZED=FALSE&amp;creator=factset&amp;display_string=Audit"}</definedName>
    <definedName name="_2201__FDSAUDITLINK__" hidden="1">{"fdsup://Directions/FactSet Auditing Viewer?action=AUDIT_VALUE&amp;DB=129&amp;ID1=59511210&amp;VALUEID=02001&amp;SDATE=200603&amp;PERIODTYPE=QTR_STD&amp;SCFT=3&amp;window=popup_no_bar&amp;width=385&amp;height=120&amp;START_MAXIMIZED=FALSE&amp;creator=factset&amp;display_string=Audit"}</definedName>
    <definedName name="_2202__FDSAUDITLINK__" hidden="1">{"fdsup://Directions/FactSet Auditing Viewer?action=AUDIT_VALUE&amp;DB=129&amp;ID1=59511210&amp;VALUEID=02001&amp;SDATE=200603&amp;PERIODTYPE=QTR_STD&amp;SCFT=3&amp;window=popup_no_bar&amp;width=385&amp;height=120&amp;START_MAXIMIZED=FALSE&amp;creator=factset&amp;display_string=Audit"}</definedName>
    <definedName name="_2203__FDSAUDITLINK__" hidden="1">{"fdsup://Directions/FactSet Auditing Viewer?action=AUDIT_VALUE&amp;DB=129&amp;ID1=59513710&amp;VALUEID=02001&amp;SDATE=200603&amp;PERIODTYPE=QTR_STD&amp;SCFT=3&amp;window=popup_no_bar&amp;width=385&amp;height=120&amp;START_MAXIMIZED=FALSE&amp;creator=factset&amp;display_string=Audit"}</definedName>
    <definedName name="_2204__FDSAUDITLINK__" hidden="1">{"fdsup://Directions/FactSet Auditing Viewer?action=AUDIT_VALUE&amp;DB=129&amp;ID1=59513710&amp;VALUEID=02001&amp;SDATE=200603&amp;PERIODTYPE=QTR_STD&amp;SCFT=3&amp;window=popup_no_bar&amp;width=385&amp;height=120&amp;START_MAXIMIZED=FALSE&amp;creator=factset&amp;display_string=Audit"}</definedName>
    <definedName name="_2205__FDSAUDITLINK__" hidden="1">{"fdsup://Directions/FactSet Auditing Viewer?action=AUDIT_VALUE&amp;DB=129&amp;ID1=G5876H10&amp;VALUEID=02001&amp;SDATE=200602&amp;PERIODTYPE=QTR_STD&amp;SCFT=3&amp;window=popup_no_bar&amp;width=385&amp;height=120&amp;START_MAXIMIZED=FALSE&amp;creator=factset&amp;display_string=Audit"}</definedName>
    <definedName name="_2206__FDSAUDITLINK__" hidden="1">{"fdsup://Directions/FactSet Auditing Viewer?action=AUDIT_VALUE&amp;DB=129&amp;ID1=G5876H10&amp;VALUEID=02001&amp;SDATE=200602&amp;PERIODTYPE=QTR_STD&amp;SCFT=3&amp;window=popup_no_bar&amp;width=385&amp;height=120&amp;START_MAXIMIZED=FALSE&amp;creator=factset&amp;display_string=Audit"}</definedName>
    <definedName name="_2207__FDSAUDITLINK__" hidden="1">{"fdsup://Directions/FactSet Auditing Viewer?action=AUDIT_VALUE&amp;DB=129&amp;ID1=62007630&amp;VALUEID=02001&amp;SDATE=200602&amp;PERIODTYPE=QTR_STD&amp;SCFT=3&amp;window=popup_no_bar&amp;width=385&amp;height=120&amp;START_MAXIMIZED=FALSE&amp;creator=factset&amp;display_string=Audit"}</definedName>
    <definedName name="_2208__FDSAUDITLINK__" hidden="1">{"fdsup://Directions/FactSet Auditing Viewer?action=AUDIT_VALUE&amp;DB=129&amp;ID1=62007630&amp;VALUEID=02001&amp;SDATE=200602&amp;PERIODTYPE=QTR_STD&amp;SCFT=3&amp;window=popup_no_bar&amp;width=385&amp;height=120&amp;START_MAXIMIZED=FALSE&amp;creator=factset&amp;display_string=Audit"}</definedName>
    <definedName name="_2209__FDSAUDITLINK__" hidden="1">{"fdsup://Directions/FactSet Auditing Viewer?action=AUDIT_VALUE&amp;DB=129&amp;ID1=59479310&amp;VALUEID=02001&amp;SDATE=200602&amp;PERIODTYPE=QTR_STD&amp;SCFT=3&amp;window=popup_no_bar&amp;width=385&amp;height=120&amp;START_MAXIMIZED=FALSE&amp;creator=factset&amp;display_string=Audit"}</definedName>
    <definedName name="_221__FDSAUDITLINK__" hidden="1">{"fdsup://Directions/FactSet Auditing Viewer?action=AUDIT_VALUE&amp;DB=129&amp;ID1=59479310&amp;VALUEID=02001&amp;SDATE=201004&amp;PERIODTYPE=QTR_STD&amp;SCFT=3&amp;window=popup_no_bar&amp;width=385&amp;height=120&amp;START_MAXIMIZED=FALSE&amp;creator=factset&amp;display_string=Audit"}</definedName>
    <definedName name="_2210__FDSAUDITLINK__" hidden="1">{"fdsup://Directions/FactSet Auditing Viewer?action=AUDIT_VALUE&amp;DB=129&amp;ID1=59479310&amp;VALUEID=02001&amp;SDATE=200602&amp;PERIODTYPE=QTR_STD&amp;SCFT=3&amp;window=popup_no_bar&amp;width=385&amp;height=120&amp;START_MAXIMIZED=FALSE&amp;creator=factset&amp;display_string=Audit"}</definedName>
    <definedName name="_2211__FDSAUDITLINK__" hidden="1">{"fdsup://Directions/FactSet Auditing Viewer?action=AUDIT_VALUE&amp;DB=129&amp;ID1=59501710&amp;VALUEID=02001&amp;SDATE=200601&amp;PERIODTYPE=QTR_STD&amp;SCFT=3&amp;window=popup_no_bar&amp;width=385&amp;height=120&amp;START_MAXIMIZED=FALSE&amp;creator=factset&amp;display_string=Audit"}</definedName>
    <definedName name="_2212__FDSAUDITLINK__" hidden="1">{"fdsup://Directions/FactSet Auditing Viewer?action=AUDIT_VALUE&amp;DB=129&amp;ID1=59501710&amp;VALUEID=02001&amp;SDATE=200601&amp;PERIODTYPE=QTR_STD&amp;SCFT=3&amp;window=popup_no_bar&amp;width=385&amp;height=120&amp;START_MAXIMIZED=FALSE&amp;creator=factset&amp;display_string=Audit"}</definedName>
    <definedName name="_2213__FDSAUDITLINK__" hidden="1">{"fdsup://Directions/FactSet Auditing Viewer?action=AUDIT_VALUE&amp;DB=129&amp;ID1=50216110&amp;VALUEID=02001&amp;SDATE=200602&amp;PERIODTYPE=QTR_STD&amp;SCFT=3&amp;window=popup_no_bar&amp;width=385&amp;height=120&amp;START_MAXIMIZED=FALSE&amp;creator=factset&amp;display_string=Audit"}</definedName>
    <definedName name="_2214__FDSAUDITLINK__" hidden="1">{"fdsup://Directions/FactSet Auditing Viewer?action=AUDIT_VALUE&amp;DB=129&amp;ID1=50216110&amp;VALUEID=02001&amp;SDATE=200602&amp;PERIODTYPE=QTR_STD&amp;SCFT=3&amp;window=popup_no_bar&amp;width=385&amp;height=120&amp;START_MAXIMIZED=FALSE&amp;creator=factset&amp;display_string=Audit"}</definedName>
    <definedName name="_2215__FDSAUDITLINK__" hidden="1">{"fdsup://Directions/FactSet Auditing Viewer?action=AUDIT_VALUE&amp;DB=129&amp;ID1=51841510&amp;VALUEID=02001&amp;SDATE=200602&amp;PERIODTYPE=QTR_STD&amp;SCFT=3&amp;window=popup_no_bar&amp;width=385&amp;height=120&amp;START_MAXIMIZED=FALSE&amp;creator=factset&amp;display_string=Audit"}</definedName>
    <definedName name="_2216__FDSAUDITLINK__" hidden="1">{"fdsup://Directions/FactSet Auditing Viewer?action=AUDIT_VALUE&amp;DB=129&amp;ID1=51841510&amp;VALUEID=02001&amp;SDATE=200602&amp;PERIODTYPE=QTR_STD&amp;SCFT=3&amp;window=popup_no_bar&amp;width=385&amp;height=120&amp;START_MAXIMIZED=FALSE&amp;creator=factset&amp;display_string=Audit"}</definedName>
    <definedName name="_2217__FDSAUDITLINK__" hidden="1">{"fdsup://Directions/FactSet Auditing Viewer?action=AUDIT_VALUE&amp;DB=129&amp;ID1=48836020&amp;VALUEID=02001&amp;SDATE=200601&amp;PERIODTYPE=QTR_STD&amp;SCFT=3&amp;window=popup_no_bar&amp;width=385&amp;height=120&amp;START_MAXIMIZED=FALSE&amp;creator=factset&amp;display_string=Audit"}</definedName>
    <definedName name="_2218__FDSAUDITLINK__" hidden="1">{"fdsup://Directions/FactSet Auditing Viewer?action=AUDIT_VALUE&amp;DB=129&amp;ID1=48836020&amp;VALUEID=02001&amp;SDATE=200601&amp;PERIODTYPE=QTR_STD&amp;SCFT=3&amp;window=popup_no_bar&amp;width=385&amp;height=120&amp;START_MAXIMIZED=FALSE&amp;creator=factset&amp;display_string=Audit"}</definedName>
    <definedName name="_2219__FDSAUDITLINK__" hidden="1">{"fdsup://Directions/FactSet Auditing Viewer?action=AUDIT_VALUE&amp;DB=129&amp;ID1=48203R10&amp;VALUEID=02001&amp;SDATE=200602&amp;PERIODTYPE=QTR_STD&amp;SCFT=3&amp;window=popup_no_bar&amp;width=385&amp;height=120&amp;START_MAXIMIZED=FALSE&amp;creator=factset&amp;display_string=Audit"}</definedName>
    <definedName name="_222__FDSAUDITLINK__" hidden="1">{"fdsup://Directions/FactSet Auditing Viewer?action=AUDIT_VALUE&amp;DB=129&amp;ID1=59479310&amp;VALUEID=02001&amp;SDATE=201004&amp;PERIODTYPE=QTR_STD&amp;SCFT=3&amp;window=popup_no_bar&amp;width=385&amp;height=120&amp;START_MAXIMIZED=FALSE&amp;creator=factset&amp;display_string=Audit"}</definedName>
    <definedName name="_2220__FDSAUDITLINK__" hidden="1">{"fdsup://Directions/FactSet Auditing Viewer?action=AUDIT_VALUE&amp;DB=129&amp;ID1=48203R10&amp;VALUEID=02001&amp;SDATE=200602&amp;PERIODTYPE=QTR_STD&amp;SCFT=3&amp;window=popup_no_bar&amp;width=385&amp;height=120&amp;START_MAXIMIZED=FALSE&amp;creator=factset&amp;display_string=Audit"}</definedName>
    <definedName name="_2221__FDSAUDITLINK__" hidden="1">{"fdsup://Directions/FactSet Auditing Viewer?action=AUDIT_VALUE&amp;DB=129&amp;ID1=46069S10&amp;VALUEID=02001&amp;SDATE=200602&amp;PERIODTYPE=QTR_STD&amp;SCFT=3&amp;window=popup_no_bar&amp;width=385&amp;height=120&amp;START_MAXIMIZED=FALSE&amp;creator=factset&amp;display_string=Audit"}</definedName>
    <definedName name="_2222__FDSAUDITLINK__" hidden="1">{"fdsup://Directions/FactSet Auditing Viewer?action=AUDIT_VALUE&amp;DB=129&amp;ID1=46069S10&amp;VALUEID=02001&amp;SDATE=200602&amp;PERIODTYPE=QTR_STD&amp;SCFT=3&amp;window=popup_no_bar&amp;width=385&amp;height=120&amp;START_MAXIMIZED=FALSE&amp;creator=factset&amp;display_string=Audit"}</definedName>
    <definedName name="_2223__FDSAUDITLINK__" hidden="1">{"fdsup://Directions/FactSet Auditing Viewer?action=AUDIT_VALUE&amp;DB=129&amp;ID1=45814010&amp;VALUEID=02001&amp;SDATE=200602&amp;PERIODTYPE=QTR_STD&amp;SCFT=3&amp;window=popup_no_bar&amp;width=385&amp;height=120&amp;START_MAXIMIZED=FALSE&amp;creator=factset&amp;display_string=Audit"}</definedName>
    <definedName name="_2224__FDSAUDITLINK__" hidden="1">{"fdsup://Directions/FactSet Auditing Viewer?action=AUDIT_VALUE&amp;DB=129&amp;ID1=45814010&amp;VALUEID=02001&amp;SDATE=200602&amp;PERIODTYPE=QTR_STD&amp;SCFT=3&amp;window=popup_no_bar&amp;width=385&amp;height=120&amp;START_MAXIMIZED=FALSE&amp;creator=factset&amp;display_string=Audit"}</definedName>
    <definedName name="_2225__FDSAUDITLINK__" hidden="1">{"fdsup://Directions/FactSet Auditing Viewer?action=AUDIT_VALUE&amp;DB=129&amp;ID1=45811810&amp;VALUEID=02001&amp;SDATE=200601&amp;PERIODTYPE=QTR_STD&amp;SCFT=3&amp;window=popup_no_bar&amp;width=385&amp;height=120&amp;START_MAXIMIZED=FALSE&amp;creator=factset&amp;display_string=Audit"}</definedName>
    <definedName name="_2226__FDSAUDITLINK__" hidden="1">{"fdsup://Directions/FactSet Auditing Viewer?action=AUDIT_VALUE&amp;DB=129&amp;ID1=45811810&amp;VALUEID=02001&amp;SDATE=200601&amp;PERIODTYPE=QTR_STD&amp;SCFT=3&amp;window=popup_no_bar&amp;width=385&amp;height=120&amp;START_MAXIMIZED=FALSE&amp;creator=factset&amp;display_string=Audit"}</definedName>
    <definedName name="_2227__FDSAUDITLINK__" hidden="1">{"fdsup://Directions/FactSet Auditing Viewer?action=AUDIT_VALUE&amp;DB=129&amp;ID1=42823610&amp;VALUEID=02001&amp;SDATE=200603&amp;PERIODTYPE=QTR_STD&amp;SCFT=3&amp;window=popup_no_bar&amp;width=385&amp;height=120&amp;START_MAXIMIZED=FALSE&amp;creator=factset&amp;display_string=Audit"}</definedName>
    <definedName name="_2228__FDSAUDITLINK__" hidden="1">{"fdsup://Directions/FactSet Auditing Viewer?action=AUDIT_VALUE&amp;DB=129&amp;ID1=42823610&amp;VALUEID=02001&amp;SDATE=200603&amp;PERIODTYPE=QTR_STD&amp;SCFT=3&amp;window=popup_no_bar&amp;width=385&amp;height=120&amp;START_MAXIMIZED=FALSE&amp;creator=factset&amp;display_string=Audit"}</definedName>
    <definedName name="_2229__FDSAUDITLINK__" hidden="1">{"fdsup://Directions/FactSet Auditing Viewer?action=AUDIT_VALUE&amp;DB=129&amp;ID1=H2906T10&amp;VALUEID=02001&amp;SDATE=200602&amp;PERIODTYPE=QTR_STD&amp;SCFT=3&amp;window=popup_no_bar&amp;width=385&amp;height=120&amp;START_MAXIMIZED=FALSE&amp;creator=factset&amp;display_string=Audit"}</definedName>
    <definedName name="_223__FDSAUDITLINK__" hidden="1">{"fdsup://Directions/FactSet Auditing Viewer?action=AUDIT_VALUE&amp;DB=129&amp;ID1=59501710&amp;VALUEID=02001&amp;SDATE=201003&amp;PERIODTYPE=QTR_STD&amp;SCFT=3&amp;window=popup_no_bar&amp;width=385&amp;height=120&amp;START_MAXIMIZED=FALSE&amp;creator=factset&amp;display_string=Audit"}</definedName>
    <definedName name="_2230__FDSAUDITLINK__" hidden="1">{"fdsup://Directions/FactSet Auditing Viewer?action=AUDIT_VALUE&amp;DB=129&amp;ID1=H2906T10&amp;VALUEID=02001&amp;SDATE=200602&amp;PERIODTYPE=QTR_STD&amp;SCFT=3&amp;window=popup_no_bar&amp;width=385&amp;height=120&amp;START_MAXIMIZED=FALSE&amp;creator=factset&amp;display_string=Audit"}</definedName>
    <definedName name="_2231__FDSAUDITLINK__" hidden="1">{"fdsup://Directions/FactSet Auditing Viewer?action=AUDIT_VALUE&amp;DB=129&amp;ID1=34637510&amp;VALUEID=02001&amp;SDATE=200602&amp;PERIODTYPE=QTR_STD&amp;SCFT=3&amp;window=popup_no_bar&amp;width=385&amp;height=120&amp;START_MAXIMIZED=FALSE&amp;creator=factset&amp;display_string=Audit"}</definedName>
    <definedName name="_2232__FDSAUDITLINK__" hidden="1">{"fdsup://Directions/FactSet Auditing Viewer?action=AUDIT_VALUE&amp;DB=129&amp;ID1=34637510&amp;VALUEID=02001&amp;SDATE=200602&amp;PERIODTYPE=QTR_STD&amp;SCFT=3&amp;window=popup_no_bar&amp;width=385&amp;height=120&amp;START_MAXIMIZED=FALSE&amp;creator=factset&amp;display_string=Audit"}</definedName>
    <definedName name="_2233__FDSAUDITLINK__" hidden="1">{"fdsup://Directions/FactSet Auditing Viewer?action=AUDIT_VALUE&amp;DB=129&amp;ID1=31561610&amp;VALUEID=02001&amp;SDATE=200603&amp;PERIODTYPE=QTR_STD&amp;SCFT=3&amp;window=popup_no_bar&amp;width=385&amp;height=120&amp;START_MAXIMIZED=FALSE&amp;creator=factset&amp;display_string=Audit"}</definedName>
    <definedName name="_2234__FDSAUDITLINK__" hidden="1">{"fdsup://Directions/FactSet Auditing Viewer?action=AUDIT_VALUE&amp;DB=129&amp;ID1=31561610&amp;VALUEID=02001&amp;SDATE=200603&amp;PERIODTYPE=QTR_STD&amp;SCFT=3&amp;window=popup_no_bar&amp;width=385&amp;height=120&amp;START_MAXIMIZED=FALSE&amp;creator=factset&amp;display_string=Audit"}</definedName>
    <definedName name="_2235__FDSAUDITLINK__" hidden="1">{"fdsup://Directions/FactSet Auditing Viewer?action=AUDIT_VALUE&amp;DB=129&amp;ID1=25454310&amp;VALUEID=02001&amp;SDATE=200602&amp;PERIODTYPE=QTR_STD&amp;SCFT=3&amp;window=popup_no_bar&amp;width=385&amp;height=120&amp;START_MAXIMIZED=FALSE&amp;creator=factset&amp;display_string=Audit"}</definedName>
    <definedName name="_2236__FDSAUDITLINK__" hidden="1">{"fdsup://Directions/FactSet Auditing Viewer?action=AUDIT_VALUE&amp;DB=129&amp;ID1=25454310&amp;VALUEID=02001&amp;SDATE=200602&amp;PERIODTYPE=QTR_STD&amp;SCFT=3&amp;window=popup_no_bar&amp;width=385&amp;height=120&amp;START_MAXIMIZED=FALSE&amp;creator=factset&amp;display_string=Audit"}</definedName>
    <definedName name="_2237__FDSAUDITLINK__" hidden="1">{"fdsup://Directions/FactSet Auditing Viewer?action=AUDIT_VALUE&amp;DB=129&amp;ID1=24702R10&amp;VALUEID=02001&amp;SDATE=200602&amp;PERIODTYPE=QTR_STD&amp;SCFT=3&amp;window=popup_no_bar&amp;width=385&amp;height=120&amp;START_MAXIMIZED=FALSE&amp;creator=factset&amp;display_string=Audit"}</definedName>
    <definedName name="_2238__FDSAUDITLINK__" hidden="1">{"fdsup://Directions/FactSet Auditing Viewer?action=AUDIT_VALUE&amp;DB=129&amp;ID1=24702R10&amp;VALUEID=02001&amp;SDATE=200602&amp;PERIODTYPE=QTR_STD&amp;SCFT=3&amp;window=popup_no_bar&amp;width=385&amp;height=120&amp;START_MAXIMIZED=FALSE&amp;creator=factset&amp;display_string=Audit"}</definedName>
    <definedName name="_2239__FDSAUDITLINK__" hidden="1">{"fdsup://Directions/FactSet Auditing Viewer?action=AUDIT_VALUE&amp;DB=129&amp;ID1=23257210&amp;VALUEID=02001&amp;SDATE=200602&amp;PERIODTYPE=QTR_STD&amp;SCFT=3&amp;window=popup_no_bar&amp;width=385&amp;height=120&amp;START_MAXIMIZED=FALSE&amp;creator=factset&amp;display_string=Audit"}</definedName>
    <definedName name="_224__FDSAUDITLINK__" hidden="1">{"fdsup://Directions/FactSet Auditing Viewer?action=AUDIT_VALUE&amp;DB=129&amp;ID1=59501710&amp;VALUEID=02001&amp;SDATE=201003&amp;PERIODTYPE=QTR_STD&amp;SCFT=3&amp;window=popup_no_bar&amp;width=385&amp;height=120&amp;START_MAXIMIZED=FALSE&amp;creator=factset&amp;display_string=Audit"}</definedName>
    <definedName name="_2240__FDSAUDITLINK__" hidden="1">{"fdsup://Directions/FactSet Auditing Viewer?action=AUDIT_VALUE&amp;DB=129&amp;ID1=23257210&amp;VALUEID=02001&amp;SDATE=200602&amp;PERIODTYPE=QTR_STD&amp;SCFT=3&amp;window=popup_no_bar&amp;width=385&amp;height=120&amp;START_MAXIMIZED=FALSE&amp;creator=factset&amp;display_string=Audit"}</definedName>
    <definedName name="_2241__FDSAUDITLINK__" hidden="1">{"fdsup://Directions/FactSet Auditing Viewer?action=AUDIT_VALUE&amp;DB=129&amp;ID1=23280610&amp;VALUEID=02001&amp;SDATE=200602&amp;PERIODTYPE=QTR_STD&amp;SCFT=3&amp;window=popup_no_bar&amp;width=385&amp;height=120&amp;START_MAXIMIZED=FALSE&amp;creator=factset&amp;display_string=Audit"}</definedName>
    <definedName name="_2242__FDSAUDITLINK__" hidden="1">{"fdsup://Directions/FactSet Auditing Viewer?action=AUDIT_VALUE&amp;DB=129&amp;ID1=23280610&amp;VALUEID=02001&amp;SDATE=200602&amp;PERIODTYPE=QTR_STD&amp;SCFT=3&amp;window=popup_no_bar&amp;width=385&amp;height=120&amp;START_MAXIMIZED=FALSE&amp;creator=factset&amp;display_string=Audit"}</definedName>
    <definedName name="_2243__FDSAUDITLINK__" hidden="1">{"fdsup://Directions/FactSet Auditing Viewer?action=AUDIT_VALUE&amp;DB=129&amp;ID1=20714230&amp;VALUEID=02001&amp;SDATE=200603&amp;PERIODTYPE=QTR_STD&amp;SCFT=3&amp;window=popup_no_bar&amp;width=385&amp;height=120&amp;START_MAXIMIZED=FALSE&amp;creator=factset&amp;display_string=Audit"}</definedName>
    <definedName name="_2244__FDSAUDITLINK__" hidden="1">{"fdsup://Directions/FactSet Auditing Viewer?action=AUDIT_VALUE&amp;DB=129&amp;ID1=20714230&amp;VALUEID=02001&amp;SDATE=200603&amp;PERIODTYPE=QTR_STD&amp;SCFT=3&amp;window=popup_no_bar&amp;width=385&amp;height=120&amp;START_MAXIMIZED=FALSE&amp;creator=factset&amp;display_string=Audit"}</definedName>
    <definedName name="_2245__FDSAUDITLINK__" hidden="1">{"fdsup://Directions/FactSet Auditing Viewer?action=AUDIT_VALUE&amp;DB=129&amp;ID1=12738710&amp;VALUEID=02001&amp;SDATE=200602&amp;PERIODTYPE=QTR_STD&amp;SCFT=3&amp;window=popup_no_bar&amp;width=385&amp;height=120&amp;START_MAXIMIZED=FALSE&amp;creator=factset&amp;display_string=Audit"}</definedName>
    <definedName name="_2246__FDSAUDITLINK__" hidden="1">{"fdsup://Directions/FactSet Auditing Viewer?action=AUDIT_VALUE&amp;DB=129&amp;ID1=12738710&amp;VALUEID=02001&amp;SDATE=200602&amp;PERIODTYPE=QTR_STD&amp;SCFT=3&amp;window=popup_no_bar&amp;width=385&amp;height=120&amp;START_MAXIMIZED=FALSE&amp;creator=factset&amp;display_string=Audit"}</definedName>
    <definedName name="_2247__FDSAUDITLINK__" hidden="1">{"fdsup://Directions/FactSet Auditing Viewer?action=AUDIT_VALUE&amp;DB=129&amp;ID1=11162130&amp;VALUEID=02001&amp;SDATE=200603&amp;PERIODTYPE=QTR_STD&amp;SCFT=3&amp;window=popup_no_bar&amp;width=385&amp;height=120&amp;START_MAXIMIZED=FALSE&amp;creator=factset&amp;display_string=Audit"}</definedName>
    <definedName name="_2248__FDSAUDITLINK__" hidden="1">{"fdsup://Directions/FactSet Auditing Viewer?action=AUDIT_VALUE&amp;DB=129&amp;ID1=11162130&amp;VALUEID=02001&amp;SDATE=200603&amp;PERIODTYPE=QTR_STD&amp;SCFT=3&amp;window=popup_no_bar&amp;width=385&amp;height=120&amp;START_MAXIMIZED=FALSE&amp;creator=factset&amp;display_string=Audit"}</definedName>
    <definedName name="_2249__FDSAUDITLINK__" hidden="1">{"fdsup://Directions/FactSet Auditing Viewer?action=AUDIT_VALUE&amp;DB=129&amp;ID1=04743P10&amp;VALUEID=02001&amp;SDATE=200602&amp;PERIODTYPE=QTR_STD&amp;SCFT=3&amp;window=popup_no_bar&amp;width=385&amp;height=120&amp;START_MAXIMIZED=FALSE&amp;creator=factset&amp;display_string=Audit"}</definedName>
    <definedName name="_225__FDSAUDITLINK__" hidden="1">{"fdsup://Directions/FactSet Auditing Viewer?action=AUDIT_VALUE&amp;DB=129&amp;ID1=50216110&amp;VALUEID=02001&amp;SDATE=201004&amp;PERIODTYPE=QTR_STD&amp;SCFT=3&amp;window=popup_no_bar&amp;width=385&amp;height=120&amp;START_MAXIMIZED=FALSE&amp;creator=factset&amp;display_string=Audit"}</definedName>
    <definedName name="_2250__FDSAUDITLINK__" hidden="1">{"fdsup://Directions/FactSet Auditing Viewer?action=AUDIT_VALUE&amp;DB=129&amp;ID1=04743P10&amp;VALUEID=02001&amp;SDATE=200602&amp;PERIODTYPE=QTR_STD&amp;SCFT=3&amp;window=popup_no_bar&amp;width=385&amp;height=120&amp;START_MAXIMIZED=FALSE&amp;creator=factset&amp;display_string=Audit"}</definedName>
    <definedName name="_2251__FDSAUDITLINK__" hidden="1">{"fdsup://Directions/FactSet Auditing Viewer?action=AUDIT_VALUE&amp;DB=129&amp;ID1=03251510&amp;VALUEID=02001&amp;SDATE=200602&amp;PERIODTYPE=QTR_STD&amp;SCFT=3&amp;window=popup_no_bar&amp;width=385&amp;height=120&amp;START_MAXIMIZED=FALSE&amp;creator=factset&amp;display_string=Audit"}</definedName>
    <definedName name="_2252__FDSAUDITLINK__" hidden="1">{"fdsup://Directions/FactSet Auditing Viewer?action=AUDIT_VALUE&amp;DB=129&amp;ID1=03251510&amp;VALUEID=02001&amp;SDATE=200602&amp;PERIODTYPE=QTR_STD&amp;SCFT=3&amp;window=popup_no_bar&amp;width=385&amp;height=120&amp;START_MAXIMIZED=FALSE&amp;creator=factset&amp;display_string=Audit"}</definedName>
    <definedName name="_2253__FDSAUDITLINK__" hidden="1">{"fdsup://Directions/FactSet Auditing Viewer?action=AUDIT_VALUE&amp;DB=129&amp;ID1=00790310&amp;VALUEID=02001&amp;SDATE=200602&amp;PERIODTYPE=QTR_STD&amp;SCFT=3&amp;window=popup_no_bar&amp;width=385&amp;height=120&amp;START_MAXIMIZED=FALSE&amp;creator=factset&amp;display_string=Audit"}</definedName>
    <definedName name="_2254__FDSAUDITLINK__" hidden="1">{"fdsup://Directions/FactSet Auditing Viewer?action=AUDIT_VALUE&amp;DB=129&amp;ID1=00790310&amp;VALUEID=02001&amp;SDATE=200602&amp;PERIODTYPE=QTR_STD&amp;SCFT=3&amp;window=popup_no_bar&amp;width=385&amp;height=120&amp;START_MAXIMIZED=FALSE&amp;creator=factset&amp;display_string=Audit"}</definedName>
    <definedName name="_2255__FDSAUDITLINK__" hidden="1">{"fdsup://Directions/FactSet Auditing Viewer?action=AUDIT_VALUE&amp;DB=129&amp;ID1=03822W40&amp;VALUEID=02001&amp;SDATE=200601&amp;PERIODTYPE=QTR_STD&amp;SCFT=3&amp;window=popup_no_bar&amp;width=385&amp;height=120&amp;START_MAXIMIZED=FALSE&amp;creator=factset&amp;display_string=Audit"}</definedName>
    <definedName name="_2256__FDSAUDITLINK__" hidden="1">{"fdsup://Directions/FactSet Auditing Viewer?action=AUDIT_VALUE&amp;DB=129&amp;ID1=03822W40&amp;VALUEID=02001&amp;SDATE=200601&amp;PERIODTYPE=QTR_STD&amp;SCFT=3&amp;window=popup_no_bar&amp;width=385&amp;height=120&amp;START_MAXIMIZED=FALSE&amp;creator=factset&amp;display_string=Audit"}</definedName>
    <definedName name="_2257__FDSAUDITLINK__" hidden="1">{"fdsup://Directions/FactSet Auditing Viewer?action=AUDIT_VALUE&amp;DB=129&amp;ID1=03822210&amp;VALUEID=02001&amp;SDATE=200603&amp;PERIODTYPE=QTR_STD&amp;SCFT=3&amp;window=popup_no_bar&amp;width=385&amp;height=120&amp;START_MAXIMIZED=FALSE&amp;creator=factset&amp;display_string=Audit"}</definedName>
    <definedName name="_2258__FDSAUDITLINK__" hidden="1">{"fdsup://Directions/FactSet Auditing Viewer?action=AUDIT_VALUE&amp;DB=129&amp;ID1=03822210&amp;VALUEID=02001&amp;SDATE=200603&amp;PERIODTYPE=QTR_STD&amp;SCFT=3&amp;window=popup_no_bar&amp;width=385&amp;height=120&amp;START_MAXIMIZED=FALSE&amp;creator=factset&amp;display_string=Audit"}</definedName>
    <definedName name="_2259__FDSAUDITLINK__" hidden="1">{"fdsup://Directions/FactSet Auditing Viewer?action=AUDIT_VALUE&amp;DB=129&amp;ID1=02144110&amp;VALUEID=02001&amp;SDATE=200602&amp;PERIODTYPE=QTR_STD&amp;SCFT=3&amp;window=popup_no_bar&amp;width=385&amp;height=120&amp;START_MAXIMIZED=FALSE&amp;creator=factset&amp;display_string=Audit"}</definedName>
    <definedName name="_226__FDSAUDITLINK__" hidden="1">{"fdsup://Directions/FactSet Auditing Viewer?action=AUDIT_VALUE&amp;DB=129&amp;ID1=50216110&amp;VALUEID=02001&amp;SDATE=201004&amp;PERIODTYPE=QTR_STD&amp;SCFT=3&amp;window=popup_no_bar&amp;width=385&amp;height=120&amp;START_MAXIMIZED=FALSE&amp;creator=factset&amp;display_string=Audit"}</definedName>
    <definedName name="_2260__FDSAUDITLINK__" hidden="1">{"fdsup://Directions/FactSet Auditing Viewer?action=AUDIT_VALUE&amp;DB=129&amp;ID1=02144110&amp;VALUEID=02001&amp;SDATE=200602&amp;PERIODTYPE=QTR_STD&amp;SCFT=3&amp;window=popup_no_bar&amp;width=385&amp;height=120&amp;START_MAXIMIZED=FALSE&amp;creator=factset&amp;display_string=Audit"}</definedName>
    <definedName name="_2261__FDSAUDITLINK__" hidden="1">{"fdsup://Directions/FactSet Auditing Viewer?action=AUDIT_VALUE&amp;DB=129&amp;ID1=03265410&amp;VALUEID=02001&amp;SDATE=200603&amp;PERIODTYPE=QTR_STD&amp;SCFT=3&amp;window=popup_no_bar&amp;width=385&amp;height=120&amp;START_MAXIMIZED=FALSE&amp;creator=factset&amp;display_string=Audit"}</definedName>
    <definedName name="_2262__FDSAUDITLINK__" hidden="1">{"fdsup://Directions/FactSet Auditing Viewer?action=AUDIT_VALUE&amp;DB=129&amp;ID1=03265410&amp;VALUEID=02001&amp;SDATE=200603&amp;PERIODTYPE=QTR_STD&amp;SCFT=3&amp;window=popup_no_bar&amp;width=385&amp;height=120&amp;START_MAXIMIZED=FALSE&amp;creator=factset&amp;display_string=Audit"}</definedName>
    <definedName name="_2263__FDSAUDITLINK__" hidden="1">{"fdsup://Directions/FactSet Auditing Viewer?action=AUDIT_VALUE&amp;DB=129&amp;ID1=00752J10&amp;VALUEID=02001&amp;SDATE=200602&amp;PERIODTYPE=QTR_STD&amp;SCFT=3&amp;window=popup_no_bar&amp;width=385&amp;height=120&amp;START_MAXIMIZED=FALSE&amp;creator=factset&amp;display_string=Audit"}</definedName>
    <definedName name="_2264__FDSAUDITLINK__" hidden="1">{"fdsup://Directions/FactSet Auditing Viewer?action=AUDIT_VALUE&amp;DB=129&amp;ID1=00752J10&amp;VALUEID=02001&amp;SDATE=200602&amp;PERIODTYPE=QTR_STD&amp;SCFT=3&amp;window=popup_no_bar&amp;width=385&amp;height=120&amp;START_MAXIMIZED=FALSE&amp;creator=factset&amp;display_string=Audit"}</definedName>
    <definedName name="_2265__FDSAUDITLINK__" hidden="1">{"fdsup://Directions/FactSet Auditing Viewer?action=AUDIT_VALUE&amp;DB=129&amp;ID1=98975F10&amp;VALUEID=02001&amp;SDATE=200601&amp;PERIODTYPE=QTR_STD&amp;SCFT=3&amp;window=popup_no_bar&amp;width=385&amp;height=120&amp;START_MAXIMIZED=FALSE&amp;creator=factset&amp;display_string=Audit"}</definedName>
    <definedName name="_2266__FDSAUDITLINK__" hidden="1">{"fdsup://Directions/FactSet Auditing Viewer?action=AUDIT_VALUE&amp;DB=129&amp;ID1=98975F10&amp;VALUEID=02001&amp;SDATE=200601&amp;PERIODTYPE=QTR_STD&amp;SCFT=3&amp;window=popup_no_bar&amp;width=385&amp;height=120&amp;START_MAXIMIZED=FALSE&amp;creator=factset&amp;display_string=Audit"}</definedName>
    <definedName name="_2267__FDSAUDITLINK__" hidden="1">{"fdsup://Directions/FactSet Auditing Viewer?action=AUDIT_VALUE&amp;DB=129&amp;ID1=95810210&amp;VALUEID=02001&amp;SDATE=200603&amp;PERIODTYPE=QTR_STD&amp;SCFT=3&amp;window=popup_no_bar&amp;width=385&amp;height=120&amp;START_MAXIMIZED=FALSE&amp;creator=factset&amp;display_string=Audit"}</definedName>
    <definedName name="_2268__FDSAUDITLINK__" hidden="1">{"fdsup://Directions/FactSet Auditing Viewer?action=AUDIT_VALUE&amp;DB=129&amp;ID1=95810210&amp;VALUEID=02001&amp;SDATE=200603&amp;PERIODTYPE=QTR_STD&amp;SCFT=3&amp;window=popup_no_bar&amp;width=385&amp;height=120&amp;START_MAXIMIZED=FALSE&amp;creator=factset&amp;display_string=Audit"}</definedName>
    <definedName name="_2269__FDSAUDITLINK__" hidden="1">{"fdsup://Directions/FactSet Auditing Viewer?action=AUDIT_VALUE&amp;DB=129&amp;ID1=92829810&amp;VALUEID=02001&amp;SDATE=200601&amp;PERIODTYPE=QTR_STD&amp;SCFT=3&amp;window=popup_no_bar&amp;width=385&amp;height=120&amp;START_MAXIMIZED=FALSE&amp;creator=factset&amp;display_string=Audit"}</definedName>
    <definedName name="_227__FDSAUDITLINK__" hidden="1">{"fdsup://Directions/FactSet Auditing Viewer?action=AUDIT_VALUE&amp;DB=129&amp;ID1=51841510&amp;VALUEID=02001&amp;SDATE=201004&amp;PERIODTYPE=QTR_STD&amp;SCFT=3&amp;window=popup_no_bar&amp;width=385&amp;height=120&amp;START_MAXIMIZED=FALSE&amp;creator=factset&amp;display_string=Audit"}</definedName>
    <definedName name="_2270__FDSAUDITLINK__" hidden="1">{"fdsup://Directions/FactSet Auditing Viewer?action=AUDIT_VALUE&amp;DB=129&amp;ID1=92829810&amp;VALUEID=02001&amp;SDATE=200601&amp;PERIODTYPE=QTR_STD&amp;SCFT=3&amp;window=popup_no_bar&amp;width=385&amp;height=120&amp;START_MAXIMIZED=FALSE&amp;creator=factset&amp;display_string=Audit"}</definedName>
    <definedName name="_2271__FDSAUDITLINK__" hidden="1">{"fdsup://Directions/FactSet Auditing Viewer?action=AUDIT_VALUE&amp;DB=129&amp;ID1=88250810&amp;VALUEID=02001&amp;SDATE=200601&amp;PERIODTYPE=QTR_STD&amp;SCFT=3&amp;window=popup_no_bar&amp;width=385&amp;height=120&amp;START_MAXIMIZED=FALSE&amp;creator=factset&amp;display_string=Audit"}</definedName>
    <definedName name="_2272__FDSAUDITLINK__" hidden="1">{"fdsup://Directions/FactSet Auditing Viewer?action=AUDIT_VALUE&amp;DB=129&amp;ID1=88250810&amp;VALUEID=02001&amp;SDATE=200601&amp;PERIODTYPE=QTR_STD&amp;SCFT=3&amp;window=popup_no_bar&amp;width=385&amp;height=120&amp;START_MAXIMIZED=FALSE&amp;creator=factset&amp;display_string=Audit"}</definedName>
    <definedName name="_2273__FDSAUDITLINK__" hidden="1">{"fdsup://Directions/FactSet Auditing Viewer?action=AUDIT_VALUE&amp;DB=129&amp;ID1=89674K10&amp;VALUEID=02001&amp;SDATE=200601&amp;PERIODTYPE=QTR_STD&amp;SCFT=3&amp;window=popup_no_bar&amp;width=385&amp;height=120&amp;START_MAXIMIZED=FALSE&amp;creator=factset&amp;display_string=Audit"}</definedName>
    <definedName name="_2274__FDSAUDITLINK__" hidden="1">{"fdsup://Directions/FactSet Auditing Viewer?action=AUDIT_VALUE&amp;DB=129&amp;ID1=89674K10&amp;VALUEID=02001&amp;SDATE=200601&amp;PERIODTYPE=QTR_STD&amp;SCFT=3&amp;window=popup_no_bar&amp;width=385&amp;height=120&amp;START_MAXIMIZED=FALSE&amp;creator=factset&amp;display_string=Audit"}</definedName>
    <definedName name="_2275__FDSAUDITLINK__" hidden="1">{"fdsup://Directions/FactSet Auditing Viewer?action=AUDIT_VALUE&amp;DB=129&amp;ID1=83088M10&amp;VALUEID=02001&amp;SDATE=200602&amp;PERIODTYPE=QTR_STD&amp;SCFT=3&amp;window=popup_no_bar&amp;width=385&amp;height=120&amp;START_MAXIMIZED=FALSE&amp;creator=factset&amp;display_string=Audit"}</definedName>
    <definedName name="_2276__FDSAUDITLINK__" hidden="1">{"fdsup://Directions/FactSet Auditing Viewer?action=AUDIT_VALUE&amp;DB=129&amp;ID1=83088M10&amp;VALUEID=02001&amp;SDATE=200602&amp;PERIODTYPE=QTR_STD&amp;SCFT=3&amp;window=popup_no_bar&amp;width=385&amp;height=120&amp;START_MAXIMIZED=FALSE&amp;creator=factset&amp;display_string=Audit"}</definedName>
    <definedName name="_2277__FDSAUDITLINK__" hidden="1">{"fdsup://Directions/FactSet Auditing Viewer?action=AUDIT_VALUE&amp;DB=129&amp;ID1=G7945M10&amp;VALUEID=02001&amp;SDATE=200603&amp;PERIODTYPE=QTR_STD&amp;SCFT=3&amp;window=popup_no_bar&amp;width=385&amp;height=120&amp;START_MAXIMIZED=FALSE&amp;creator=factset&amp;display_string=Audit"}</definedName>
    <definedName name="_2278__FDSAUDITLINK__" hidden="1">{"fdsup://Directions/FactSet Auditing Viewer?action=AUDIT_VALUE&amp;DB=129&amp;ID1=G7945M10&amp;VALUEID=02001&amp;SDATE=200603&amp;PERIODTYPE=QTR_STD&amp;SCFT=3&amp;window=popup_no_bar&amp;width=385&amp;height=120&amp;START_MAXIMIZED=FALSE&amp;creator=factset&amp;display_string=Audit"}</definedName>
    <definedName name="_2279__FDSAUDITLINK__" hidden="1">{"fdsup://Directions/FactSet Auditing Viewer?action=AUDIT_VALUE&amp;DB=129&amp;ID1=78477410&amp;VALUEID=02001&amp;SDATE=200601&amp;PERIODTYPE=QTR_STD&amp;SCFT=3&amp;window=popup_no_bar&amp;width=385&amp;height=120&amp;START_MAXIMIZED=FALSE&amp;creator=factset&amp;display_string=Audit"}</definedName>
    <definedName name="_228__FDSAUDITLINK__" hidden="1">{"fdsup://Directions/FactSet Auditing Viewer?action=AUDIT_VALUE&amp;DB=129&amp;ID1=51841510&amp;VALUEID=02001&amp;SDATE=201004&amp;PERIODTYPE=QTR_STD&amp;SCFT=3&amp;window=popup_no_bar&amp;width=385&amp;height=120&amp;START_MAXIMIZED=FALSE&amp;creator=factset&amp;display_string=Audit"}</definedName>
    <definedName name="_2280__FDSAUDITLINK__" hidden="1">{"fdsup://Directions/FactSet Auditing Viewer?action=AUDIT_VALUE&amp;DB=129&amp;ID1=78477410&amp;VALUEID=02001&amp;SDATE=200601&amp;PERIODTYPE=QTR_STD&amp;SCFT=3&amp;window=popup_no_bar&amp;width=385&amp;height=120&amp;START_MAXIMIZED=FALSE&amp;creator=factset&amp;display_string=Audit"}</definedName>
    <definedName name="_2281__FDSAUDITLINK__" hidden="1">{"fdsup://Directions/FactSet Auditing Viewer?action=AUDIT_VALUE&amp;DB=129&amp;ID1=83547010&amp;VALUEID=02001&amp;SDATE=200601&amp;PERIODTYPE=QTR_STD&amp;SCFT=3&amp;window=popup_no_bar&amp;width=385&amp;height=120&amp;START_MAXIMIZED=FALSE&amp;creator=factset&amp;display_string=Audit"}</definedName>
    <definedName name="_2282__FDSAUDITLINK__" hidden="1">{"fdsup://Directions/FactSet Auditing Viewer?action=AUDIT_VALUE&amp;DB=129&amp;ID1=83547010&amp;VALUEID=02001&amp;SDATE=200601&amp;PERIODTYPE=QTR_STD&amp;SCFT=3&amp;window=popup_no_bar&amp;width=385&amp;height=120&amp;START_MAXIMIZED=FALSE&amp;creator=factset&amp;display_string=Audit"}</definedName>
    <definedName name="_2283__FDSAUDITLINK__" hidden="1">{"fdsup://Directions/FactSet Auditing Viewer?action=AUDIT_VALUE&amp;DB=129&amp;ID1=87160710&amp;VALUEID=02001&amp;SDATE=200602&amp;PERIODTYPE=QTR_STD&amp;SCFT=3&amp;window=popup_no_bar&amp;width=385&amp;height=120&amp;START_MAXIMIZED=FALSE&amp;creator=factset&amp;display_string=Audit"}</definedName>
    <definedName name="_2284__FDSAUDITLINK__" hidden="1">{"fdsup://Directions/FactSet Auditing Viewer?action=AUDIT_VALUE&amp;DB=129&amp;ID1=87160710&amp;VALUEID=02001&amp;SDATE=200602&amp;PERIODTYPE=QTR_STD&amp;SCFT=3&amp;window=popup_no_bar&amp;width=385&amp;height=120&amp;START_MAXIMIZED=FALSE&amp;creator=factset&amp;display_string=Audit"}</definedName>
    <definedName name="_2285__FDSAUDITLINK__" hidden="1">{"fdsup://Directions/FactSet Auditing Viewer?action=AUDIT_VALUE&amp;DB=129&amp;ID1=80004C10&amp;VALUEID=02001&amp;SDATE=200601&amp;PERIODTYPE=QTR_STD&amp;SCFT=3&amp;window=popup_no_bar&amp;width=385&amp;height=120&amp;START_MAXIMIZED=FALSE&amp;creator=factset&amp;display_string=Audit"}</definedName>
    <definedName name="_2286__FDSAUDITLINK__" hidden="1">{"fdsup://Directions/FactSet Auditing Viewer?action=AUDIT_VALUE&amp;DB=129&amp;ID1=80004C10&amp;VALUEID=02001&amp;SDATE=200601&amp;PERIODTYPE=QTR_STD&amp;SCFT=3&amp;window=popup_no_bar&amp;width=385&amp;height=120&amp;START_MAXIMIZED=FALSE&amp;creator=factset&amp;display_string=Audit"}</definedName>
    <definedName name="_2287__FDSAUDITLINK__" hidden="1">{"fdsup://Directions/FactSet Auditing Viewer?action=AUDIT_VALUE&amp;DB=129&amp;ID1=81685010&amp;VALUEID=02001&amp;SDATE=200601&amp;PERIODTYPE=QTR_STD&amp;SCFT=3&amp;window=popup_no_bar&amp;width=385&amp;height=120&amp;START_MAXIMIZED=FALSE&amp;creator=factset&amp;display_string=Audit"}</definedName>
    <definedName name="_2288__FDSAUDITLINK__" hidden="1">{"fdsup://Directions/FactSet Auditing Viewer?action=AUDIT_VALUE&amp;DB=129&amp;ID1=81685010&amp;VALUEID=02001&amp;SDATE=200601&amp;PERIODTYPE=QTR_STD&amp;SCFT=3&amp;window=popup_no_bar&amp;width=385&amp;height=120&amp;START_MAXIMIZED=FALSE&amp;creator=factset&amp;display_string=Audit"}</definedName>
    <definedName name="_2289__FDSAUDITLINK__" hidden="1">{"fdsup://Directions/FactSet Auditing Viewer?action=AUDIT_VALUE&amp;DB=129&amp;ID1=82691910&amp;VALUEID=02001&amp;SDATE=200601&amp;PERIODTYPE=QTR_STD&amp;SCFT=3&amp;window=popup_no_bar&amp;width=385&amp;height=120&amp;START_MAXIMIZED=FALSE&amp;creator=factset&amp;display_string=Audit"}</definedName>
    <definedName name="_229__FDSAUDITLINK__" hidden="1">{"fdsup://Directions/FactSet Auditing Viewer?action=AUDIT_VALUE&amp;DB=129&amp;ID1=51280710&amp;VALUEID=02001&amp;SDATE=201102&amp;PERIODTYPE=QTR_STD&amp;SCFT=3&amp;window=popup_no_bar&amp;width=385&amp;height=120&amp;START_MAXIMIZED=FALSE&amp;creator=factset&amp;display_string=Audit"}</definedName>
    <definedName name="_2290__FDSAUDITLINK__" hidden="1">{"fdsup://Directions/FactSet Auditing Viewer?action=AUDIT_VALUE&amp;DB=129&amp;ID1=82691910&amp;VALUEID=02001&amp;SDATE=200601&amp;PERIODTYPE=QTR_STD&amp;SCFT=3&amp;window=popup_no_bar&amp;width=385&amp;height=120&amp;START_MAXIMIZED=FALSE&amp;creator=factset&amp;display_string=Audit"}</definedName>
    <definedName name="_2291__FDSAUDITLINK__" hidden="1">{"fdsup://Directions/FactSet Auditing Viewer?action=AUDIT_VALUE&amp;DB=129&amp;ID1=82705T10&amp;VALUEID=02001&amp;SDATE=200601&amp;PERIODTYPE=QTR_STD&amp;SCFT=3&amp;window=popup_no_bar&amp;width=385&amp;height=120&amp;START_MAXIMIZED=FALSE&amp;creator=factset&amp;display_string=Audit"}</definedName>
    <definedName name="_2292__FDSAUDITLINK__" hidden="1">{"fdsup://Directions/FactSet Auditing Viewer?action=AUDIT_VALUE&amp;DB=129&amp;ID1=82705T10&amp;VALUEID=02001&amp;SDATE=200601&amp;PERIODTYPE=QTR_STD&amp;SCFT=3&amp;window=popup_no_bar&amp;width=385&amp;height=120&amp;START_MAXIMIZED=FALSE&amp;creator=factset&amp;display_string=Audit"}</definedName>
    <definedName name="_2293__FDSAUDITLINK__" hidden="1">{"fdsup://Directions/FactSet Auditing Viewer?action=AUDIT_VALUE&amp;DB=129&amp;ID1=75091710&amp;VALUEID=02001&amp;SDATE=200601&amp;PERIODTYPE=QTR_STD&amp;SCFT=3&amp;window=popup_no_bar&amp;width=385&amp;height=120&amp;START_MAXIMIZED=FALSE&amp;creator=factset&amp;display_string=Audit"}</definedName>
    <definedName name="_2294__FDSAUDITLINK__" hidden="1">{"fdsup://Directions/FactSet Auditing Viewer?action=AUDIT_VALUE&amp;DB=129&amp;ID1=75091710&amp;VALUEID=02001&amp;SDATE=200601&amp;PERIODTYPE=QTR_STD&amp;SCFT=3&amp;window=popup_no_bar&amp;width=385&amp;height=120&amp;START_MAXIMIZED=FALSE&amp;creator=factset&amp;display_string=Audit"}</definedName>
    <definedName name="_2295__FDSAUDITLINK__" hidden="1">{"fdsup://Directions/FactSet Auditing Viewer?action=AUDIT_VALUE&amp;DB=129&amp;ID1=74752510&amp;VALUEID=02001&amp;SDATE=200602&amp;PERIODTYPE=QTR_STD&amp;SCFT=3&amp;window=popup_no_bar&amp;width=385&amp;height=120&amp;START_MAXIMIZED=FALSE&amp;creator=factset&amp;display_string=Audit"}</definedName>
    <definedName name="_2296__FDSAUDITLINK__" hidden="1">{"fdsup://Directions/FactSet Auditing Viewer?action=AUDIT_VALUE&amp;DB=129&amp;ID1=74752510&amp;VALUEID=02001&amp;SDATE=200602&amp;PERIODTYPE=QTR_STD&amp;SCFT=3&amp;window=popup_no_bar&amp;width=385&amp;height=120&amp;START_MAXIMIZED=FALSE&amp;creator=factset&amp;display_string=Audit"}</definedName>
    <definedName name="_2297__FDSAUDITLINK__" hidden="1">{"fdsup://Directions/FactSet Auditing Viewer?action=AUDIT_VALUE&amp;DB=129&amp;ID1=72581M30&amp;VALUEID=02001&amp;SDATE=200601&amp;PERIODTYPE=QTR_STD&amp;SCFT=3&amp;window=popup_no_bar&amp;width=385&amp;height=120&amp;START_MAXIMIZED=FALSE&amp;creator=factset&amp;display_string=Audit"}</definedName>
    <definedName name="_2298__FDSAUDITLINK__" hidden="1">{"fdsup://Directions/FactSet Auditing Viewer?action=AUDIT_VALUE&amp;DB=129&amp;ID1=72581M30&amp;VALUEID=02001&amp;SDATE=200601&amp;PERIODTYPE=QTR_STD&amp;SCFT=3&amp;window=popup_no_bar&amp;width=385&amp;height=120&amp;START_MAXIMIZED=FALSE&amp;creator=factset&amp;display_string=Audit"}</definedName>
    <definedName name="_2299__FDSAUDITLINK__" hidden="1">{"fdsup://Directions/FactSet Auditing Viewer?action=AUDIT_VALUE&amp;DB=129&amp;ID1=73927610&amp;VALUEID=02001&amp;SDATE=200601&amp;PERIODTYPE=QTR_STD&amp;SCFT=3&amp;window=popup_no_bar&amp;width=385&amp;height=120&amp;START_MAXIMIZED=FALSE&amp;creator=factset&amp;display_string=Audit"}</definedName>
    <definedName name="_23__FDSAUDITLINK__" hidden="1">{"fdsup://Directions/FactSet Auditing Viewer?action=AUDIT_VALUE&amp;DB=129&amp;ID1=78477410&amp;VALUEID=02001&amp;SDATE=201101&amp;PERIODTYPE=QTR_STD&amp;SCFT=3&amp;window=popup_no_bar&amp;width=385&amp;height=120&amp;START_MAXIMIZED=FALSE&amp;creator=factset&amp;display_string=Audit"}</definedName>
    <definedName name="_230__FDSAUDITLINK__" hidden="1">{"fdsup://Directions/FactSet Auditing Viewer?action=AUDIT_VALUE&amp;DB=129&amp;ID1=51280710&amp;VALUEID=02001&amp;SDATE=201102&amp;PERIODTYPE=QTR_STD&amp;SCFT=3&amp;window=popup_no_bar&amp;width=385&amp;height=120&amp;START_MAXIMIZED=FALSE&amp;creator=factset&amp;display_string=Audit"}</definedName>
    <definedName name="_2300__FDSAUDITLINK__" hidden="1">{"fdsup://Directions/FactSet Auditing Viewer?action=AUDIT_VALUE&amp;DB=129&amp;ID1=73927610&amp;VALUEID=02001&amp;SDATE=200601&amp;PERIODTYPE=QTR_STD&amp;SCFT=3&amp;window=popup_no_bar&amp;width=385&amp;height=120&amp;START_MAXIMIZED=FALSE&amp;creator=factset&amp;display_string=Audit"}</definedName>
    <definedName name="_2301__FDSAUDITLINK__" hidden="1">{"fdsup://Directions/FactSet Auditing Viewer?action=AUDIT_VALUE&amp;DB=129&amp;ID1=69344F10&amp;VALUEID=02001&amp;SDATE=200601&amp;PERIODTYPE=QTR_STD&amp;SCFT=3&amp;window=popup_no_bar&amp;width=385&amp;height=120&amp;START_MAXIMIZED=FALSE&amp;creator=factset&amp;display_string=Audit"}</definedName>
    <definedName name="_2302__FDSAUDITLINK__" hidden="1">{"fdsup://Directions/FactSet Auditing Viewer?action=AUDIT_VALUE&amp;DB=129&amp;ID1=69344F10&amp;VALUEID=02001&amp;SDATE=200601&amp;PERIODTYPE=QTR_STD&amp;SCFT=3&amp;window=popup_no_bar&amp;width=385&amp;height=120&amp;START_MAXIMIZED=FALSE&amp;creator=factset&amp;display_string=Audit"}</definedName>
    <definedName name="_2303__FDSAUDITLINK__" hidden="1">{"fdsup://Directions/FactSet Auditing Viewer?action=AUDIT_VALUE&amp;DB=129&amp;ID1=69341710&amp;VALUEID=02001&amp;SDATE=200601&amp;PERIODTYPE=QTR_STD&amp;SCFT=3&amp;window=popup_no_bar&amp;width=385&amp;height=120&amp;START_MAXIMIZED=FALSE&amp;creator=factset&amp;display_string=Audit"}</definedName>
    <definedName name="_2304__FDSAUDITLINK__" hidden="1">{"fdsup://Directions/FactSet Auditing Viewer?action=AUDIT_VALUE&amp;DB=129&amp;ID1=69341710&amp;VALUEID=02001&amp;SDATE=200601&amp;PERIODTYPE=QTR_STD&amp;SCFT=3&amp;window=popup_no_bar&amp;width=385&amp;height=120&amp;START_MAXIMIZED=FALSE&amp;creator=factset&amp;display_string=Audit"}</definedName>
    <definedName name="_2305__FDSAUDITLINK__" hidden="1">{"fdsup://Directions/FactSet Auditing Viewer?action=AUDIT_VALUE&amp;DB=129&amp;ID1=68218910&amp;VALUEID=02001&amp;SDATE=200601&amp;PERIODTYPE=QTR_STD&amp;SCFT=3&amp;window=popup_no_bar&amp;width=385&amp;height=120&amp;START_MAXIMIZED=FALSE&amp;creator=factset&amp;display_string=Audit"}</definedName>
    <definedName name="_2306__FDSAUDITLINK__" hidden="1">{"fdsup://Directions/FactSet Auditing Viewer?action=AUDIT_VALUE&amp;DB=129&amp;ID1=68218910&amp;VALUEID=02001&amp;SDATE=200601&amp;PERIODTYPE=QTR_STD&amp;SCFT=3&amp;window=popup_no_bar&amp;width=385&amp;height=120&amp;START_MAXIMIZED=FALSE&amp;creator=factset&amp;display_string=Audit"}</definedName>
    <definedName name="_2307__FDSAUDITLINK__" hidden="1">{"fdsup://Directions/FactSet Auditing Viewer?action=AUDIT_VALUE&amp;DB=129&amp;ID1=67000810&amp;VALUEID=02001&amp;SDATE=200601&amp;PERIODTYPE=QTR_STD&amp;SCFT=3&amp;window=popup_no_bar&amp;width=385&amp;height=120&amp;START_MAXIMIZED=FALSE&amp;creator=factset&amp;display_string=Audit"}</definedName>
    <definedName name="_2308__FDSAUDITLINK__" hidden="1">{"fdsup://Directions/FactSet Auditing Viewer?action=AUDIT_VALUE&amp;DB=129&amp;ID1=67000810&amp;VALUEID=02001&amp;SDATE=200601&amp;PERIODTYPE=QTR_STD&amp;SCFT=3&amp;window=popup_no_bar&amp;width=385&amp;height=120&amp;START_MAXIMIZED=FALSE&amp;creator=factset&amp;display_string=Audit"}</definedName>
    <definedName name="_2309__FDSAUDITLINK__" hidden="1">{"fdsup://Directions/FactSet Auditing Viewer?action=AUDIT_VALUE&amp;DB=129&amp;ID1=67066G10&amp;VALUEID=02001&amp;SDATE=200601&amp;PERIODTYPE=QTR_STD&amp;SCFT=3&amp;window=popup_no_bar&amp;width=385&amp;height=120&amp;START_MAXIMIZED=FALSE&amp;creator=factset&amp;display_string=Audit"}</definedName>
    <definedName name="_231__FDSAUDITLINK__" hidden="1">{"fdsup://Directions/FactSet Auditing Viewer?action=AUDIT_VALUE&amp;DB=129&amp;ID1=53567810&amp;VALUEID=02001&amp;SDATE=201102&amp;PERIODTYPE=QTR_STD&amp;SCFT=3&amp;window=popup_no_bar&amp;width=385&amp;height=120&amp;START_MAXIMIZED=FALSE&amp;creator=factset&amp;display_string=Audit"}</definedName>
    <definedName name="_2310__FDSAUDITLINK__" hidden="1">{"fdsup://Directions/FactSet Auditing Viewer?action=AUDIT_VALUE&amp;DB=129&amp;ID1=67066G10&amp;VALUEID=02001&amp;SDATE=200601&amp;PERIODTYPE=QTR_STD&amp;SCFT=3&amp;window=popup_no_bar&amp;width=385&amp;height=120&amp;START_MAXIMIZED=FALSE&amp;creator=factset&amp;display_string=Audit"}</definedName>
    <definedName name="_2311__FDSAUDITLINK__" hidden="1">{"fdsup://Directions/FactSet Auditing Viewer?action=AUDIT_VALUE&amp;DB=129&amp;ID1=63764010&amp;VALUEID=02001&amp;SDATE=200503&amp;PERIODTYPE=QTR_STD&amp;SCFT=3&amp;window=popup_no_bar&amp;width=385&amp;height=120&amp;START_MAXIMIZED=FALSE&amp;creator=factset&amp;display_string=Audit"}</definedName>
    <definedName name="_2312__FDSAUDITLINK__" hidden="1">{"fdsup://Directions/FactSet Auditing Viewer?action=AUDIT_VALUE&amp;DB=129&amp;ID1=63764010&amp;VALUEID=02001&amp;SDATE=200503&amp;PERIODTYPE=QTR_STD&amp;SCFT=3&amp;window=popup_no_bar&amp;width=385&amp;height=120&amp;START_MAXIMIZED=FALSE&amp;creator=factset&amp;display_string=Audit"}</definedName>
    <definedName name="_2313__FDSAUDITLINK__" hidden="1">{"fdsup://Directions/FactSet Auditing Viewer?action=AUDIT_VALUE&amp;DB=129&amp;ID1=64118B10&amp;VALUEID=02001&amp;SDATE=200601&amp;PERIODTYPE=QTR_STD&amp;SCFT=3&amp;window=popup_no_bar&amp;width=385&amp;height=120&amp;START_MAXIMIZED=FALSE&amp;creator=factset&amp;display_string=Audit"}</definedName>
    <definedName name="_2314__FDSAUDITLINK__" hidden="1">{"fdsup://Directions/FactSet Auditing Viewer?action=AUDIT_VALUE&amp;DB=129&amp;ID1=64118B10&amp;VALUEID=02001&amp;SDATE=200601&amp;PERIODTYPE=QTR_STD&amp;SCFT=3&amp;window=popup_no_bar&amp;width=385&amp;height=120&amp;START_MAXIMIZED=FALSE&amp;creator=factset&amp;display_string=Audit"}</definedName>
    <definedName name="_2315__FDSAUDITLINK__" hidden="1">{"fdsup://Directions/FactSet Auditing Viewer?action=AUDIT_VALUE&amp;DB=129&amp;ID1=57772K10&amp;VALUEID=02001&amp;SDATE=200603&amp;PERIODTYPE=QTR_STD&amp;SCFT=3&amp;window=popup_no_bar&amp;width=385&amp;height=120&amp;START_MAXIMIZED=FALSE&amp;creator=factset&amp;display_string=Audit"}</definedName>
    <definedName name="_2316__FDSAUDITLINK__" hidden="1">{"fdsup://Directions/FactSet Auditing Viewer?action=AUDIT_VALUE&amp;DB=129&amp;ID1=57772K10&amp;VALUEID=02001&amp;SDATE=200603&amp;PERIODTYPE=QTR_STD&amp;SCFT=3&amp;window=popup_no_bar&amp;width=385&amp;height=120&amp;START_MAXIMIZED=FALSE&amp;creator=factset&amp;display_string=Audit"}</definedName>
    <definedName name="_2317__FDSAUDITLINK__" hidden="1">{"fdsup://Directions/FactSet Auditing Viewer?action=AUDIT_VALUE&amp;DB=129&amp;ID1=59511210&amp;VALUEID=02001&amp;SDATE=200602&amp;PERIODTYPE=QTR_STD&amp;SCFT=3&amp;window=popup_no_bar&amp;width=385&amp;height=120&amp;START_MAXIMIZED=FALSE&amp;creator=factset&amp;display_string=Audit"}</definedName>
    <definedName name="_2318__FDSAUDITLINK__" hidden="1">{"fdsup://Directions/FactSet Auditing Viewer?action=AUDIT_VALUE&amp;DB=129&amp;ID1=59511210&amp;VALUEID=02001&amp;SDATE=200602&amp;PERIODTYPE=QTR_STD&amp;SCFT=3&amp;window=popup_no_bar&amp;width=385&amp;height=120&amp;START_MAXIMIZED=FALSE&amp;creator=factset&amp;display_string=Audit"}</definedName>
    <definedName name="_2319__FDSAUDITLINK__" hidden="1">{"fdsup://Directions/FactSet Auditing Viewer?action=AUDIT_VALUE&amp;DB=129&amp;ID1=59513710&amp;VALUEID=02001&amp;SDATE=200602&amp;PERIODTYPE=QTR_STD&amp;SCFT=3&amp;window=popup_no_bar&amp;width=385&amp;height=120&amp;START_MAXIMIZED=FALSE&amp;creator=factset&amp;display_string=Audit"}</definedName>
    <definedName name="_232__FDSAUDITLINK__" hidden="1">{"fdsup://Directions/FactSet Auditing Viewer?action=AUDIT_VALUE&amp;DB=129&amp;ID1=53567810&amp;VALUEID=02001&amp;SDATE=201102&amp;PERIODTYPE=QTR_STD&amp;SCFT=3&amp;window=popup_no_bar&amp;width=385&amp;height=120&amp;START_MAXIMIZED=FALSE&amp;creator=factset&amp;display_string=Audit"}</definedName>
    <definedName name="_2320__FDSAUDITLINK__" hidden="1">{"fdsup://Directions/FactSet Auditing Viewer?action=AUDIT_VALUE&amp;DB=129&amp;ID1=59513710&amp;VALUEID=02001&amp;SDATE=200602&amp;PERIODTYPE=QTR_STD&amp;SCFT=3&amp;window=popup_no_bar&amp;width=385&amp;height=120&amp;START_MAXIMIZED=FALSE&amp;creator=factset&amp;display_string=Audit"}</definedName>
    <definedName name="_2321__FDSAUDITLINK__" hidden="1">{"fdsup://Directions/FactSet Auditing Viewer?action=AUDIT_VALUE&amp;DB=129&amp;ID1=G5876H10&amp;VALUEID=02001&amp;SDATE=200601&amp;PERIODTYPE=QTR_STD&amp;SCFT=3&amp;window=popup_no_bar&amp;width=385&amp;height=120&amp;START_MAXIMIZED=FALSE&amp;creator=factset&amp;display_string=Audit"}</definedName>
    <definedName name="_2322__FDSAUDITLINK__" hidden="1">{"fdsup://Directions/FactSet Auditing Viewer?action=AUDIT_VALUE&amp;DB=129&amp;ID1=G5876H10&amp;VALUEID=02001&amp;SDATE=200601&amp;PERIODTYPE=QTR_STD&amp;SCFT=3&amp;window=popup_no_bar&amp;width=385&amp;height=120&amp;START_MAXIMIZED=FALSE&amp;creator=factset&amp;display_string=Audit"}</definedName>
    <definedName name="_2323__FDSAUDITLINK__" hidden="1">{"fdsup://Directions/FactSet Auditing Viewer?action=AUDIT_VALUE&amp;DB=129&amp;ID1=62007630&amp;VALUEID=02001&amp;SDATE=200601&amp;PERIODTYPE=QTR_STD&amp;SCFT=3&amp;window=popup_no_bar&amp;width=385&amp;height=120&amp;START_MAXIMIZED=FALSE&amp;creator=factset&amp;display_string=Audit"}</definedName>
    <definedName name="_2324__FDSAUDITLINK__" hidden="1">{"fdsup://Directions/FactSet Auditing Viewer?action=AUDIT_VALUE&amp;DB=129&amp;ID1=62007630&amp;VALUEID=02001&amp;SDATE=200601&amp;PERIODTYPE=QTR_STD&amp;SCFT=3&amp;window=popup_no_bar&amp;width=385&amp;height=120&amp;START_MAXIMIZED=FALSE&amp;creator=factset&amp;display_string=Audit"}</definedName>
    <definedName name="_2325__FDSAUDITLINK__" hidden="1">{"fdsup://Directions/FactSet Auditing Viewer?action=AUDIT_VALUE&amp;DB=129&amp;ID1=60456710&amp;VALUEID=02001&amp;SDATE=200603&amp;PERIODTYPE=QTR_STD&amp;SCFT=3&amp;window=popup_no_bar&amp;width=385&amp;height=120&amp;START_MAXIMIZED=FALSE&amp;creator=factset&amp;display_string=Audit"}</definedName>
    <definedName name="_2326__FDSAUDITLINK__" hidden="1">{"fdsup://Directions/FactSet Auditing Viewer?action=AUDIT_VALUE&amp;DB=129&amp;ID1=60456710&amp;VALUEID=02001&amp;SDATE=200603&amp;PERIODTYPE=QTR_STD&amp;SCFT=3&amp;window=popup_no_bar&amp;width=385&amp;height=120&amp;START_MAXIMIZED=FALSE&amp;creator=factset&amp;display_string=Audit"}</definedName>
    <definedName name="_2327__FDSAUDITLINK__" hidden="1">{"fdsup://Directions/FactSet Auditing Viewer?action=AUDIT_VALUE&amp;DB=129&amp;ID1=59479310&amp;VALUEID=02001&amp;SDATE=200601&amp;PERIODTYPE=QTR_STD&amp;SCFT=3&amp;window=popup_no_bar&amp;width=385&amp;height=120&amp;START_MAXIMIZED=FALSE&amp;creator=factset&amp;display_string=Audit"}</definedName>
    <definedName name="_2328__FDSAUDITLINK__" hidden="1">{"fdsup://Directions/FactSet Auditing Viewer?action=AUDIT_VALUE&amp;DB=129&amp;ID1=59479310&amp;VALUEID=02001&amp;SDATE=200601&amp;PERIODTYPE=QTR_STD&amp;SCFT=3&amp;window=popup_no_bar&amp;width=385&amp;height=120&amp;START_MAXIMIZED=FALSE&amp;creator=factset&amp;display_string=Audit"}</definedName>
    <definedName name="_2329__FDSAUDITLINK__" hidden="1">{"fdsup://Directions/FactSet Auditing Viewer?action=AUDIT_VALUE&amp;DB=129&amp;ID1=50216110&amp;VALUEID=02001&amp;SDATE=200601&amp;PERIODTYPE=QTR_STD&amp;SCFT=3&amp;window=popup_no_bar&amp;width=385&amp;height=120&amp;START_MAXIMIZED=FALSE&amp;creator=factset&amp;display_string=Audit"}</definedName>
    <definedName name="_233__FDSAUDITLINK__" hidden="1">{"fdsup://Directions/FactSet Auditing Viewer?action=AUDIT_VALUE&amp;DB=129&amp;ID1=48248010&amp;VALUEID=02001&amp;SDATE=201102&amp;PERIODTYPE=QTR_STD&amp;SCFT=3&amp;window=popup_no_bar&amp;width=385&amp;height=120&amp;START_MAXIMIZED=FALSE&amp;creator=factset&amp;display_string=Audit"}</definedName>
    <definedName name="_2330__FDSAUDITLINK__" hidden="1">{"fdsup://Directions/FactSet Auditing Viewer?action=AUDIT_VALUE&amp;DB=129&amp;ID1=50216110&amp;VALUEID=02001&amp;SDATE=200601&amp;PERIODTYPE=QTR_STD&amp;SCFT=3&amp;window=popup_no_bar&amp;width=385&amp;height=120&amp;START_MAXIMIZED=FALSE&amp;creator=factset&amp;display_string=Audit"}</definedName>
    <definedName name="_2331__FDSAUDITLINK__" hidden="1">{"fdsup://Directions/FactSet Auditing Viewer?action=AUDIT_VALUE&amp;DB=129&amp;ID1=51841510&amp;VALUEID=02001&amp;SDATE=200601&amp;PERIODTYPE=QTR_STD&amp;SCFT=3&amp;window=popup_no_bar&amp;width=385&amp;height=120&amp;START_MAXIMIZED=FALSE&amp;creator=factset&amp;display_string=Audit"}</definedName>
    <definedName name="_2332__FDSAUDITLINK__" hidden="1">{"fdsup://Directions/FactSet Auditing Viewer?action=AUDIT_VALUE&amp;DB=129&amp;ID1=51841510&amp;VALUEID=02001&amp;SDATE=200601&amp;PERIODTYPE=QTR_STD&amp;SCFT=3&amp;window=popup_no_bar&amp;width=385&amp;height=120&amp;START_MAXIMIZED=FALSE&amp;creator=factset&amp;display_string=Audit"}</definedName>
    <definedName name="_2333__FDSAUDITLINK__" hidden="1">{"fdsup://Directions/FactSet Auditing Viewer?action=AUDIT_VALUE&amp;DB=129&amp;ID1=51280710&amp;VALUEID=02001&amp;SDATE=200603&amp;PERIODTYPE=QTR_STD&amp;SCFT=3&amp;window=popup_no_bar&amp;width=385&amp;height=120&amp;START_MAXIMIZED=FALSE&amp;creator=factset&amp;display_string=Audit"}</definedName>
    <definedName name="_2334__FDSAUDITLINK__" hidden="1">{"fdsup://Directions/FactSet Auditing Viewer?action=AUDIT_VALUE&amp;DB=129&amp;ID1=51280710&amp;VALUEID=02001&amp;SDATE=200603&amp;PERIODTYPE=QTR_STD&amp;SCFT=3&amp;window=popup_no_bar&amp;width=385&amp;height=120&amp;START_MAXIMIZED=FALSE&amp;creator=factset&amp;display_string=Audit"}</definedName>
    <definedName name="_2335__FDSAUDITLINK__" hidden="1">{"fdsup://Directions/FactSet Auditing Viewer?action=AUDIT_VALUE&amp;DB=129&amp;ID1=53567810&amp;VALUEID=02001&amp;SDATE=200603&amp;PERIODTYPE=QTR_STD&amp;SCFT=3&amp;window=popup_no_bar&amp;width=385&amp;height=120&amp;START_MAXIMIZED=FALSE&amp;creator=factset&amp;display_string=Audit"}</definedName>
    <definedName name="_2336__FDSAUDITLINK__" hidden="1">{"fdsup://Directions/FactSet Auditing Viewer?action=AUDIT_VALUE&amp;DB=129&amp;ID1=53567810&amp;VALUEID=02001&amp;SDATE=200603&amp;PERIODTYPE=QTR_STD&amp;SCFT=3&amp;window=popup_no_bar&amp;width=385&amp;height=120&amp;START_MAXIMIZED=FALSE&amp;creator=factset&amp;display_string=Audit"}</definedName>
    <definedName name="_2337__FDSAUDITLINK__" hidden="1">{"fdsup://Directions/FactSet Auditing Viewer?action=AUDIT_VALUE&amp;DB=129&amp;ID1=48248010&amp;VALUEID=02001&amp;SDATE=200603&amp;PERIODTYPE=QTR_STD&amp;SCFT=3&amp;window=popup_no_bar&amp;width=385&amp;height=120&amp;START_MAXIMIZED=FALSE&amp;creator=factset&amp;display_string=Audit"}</definedName>
    <definedName name="_2338__FDSAUDITLINK__" hidden="1">{"fdsup://Directions/FactSet Auditing Viewer?action=AUDIT_VALUE&amp;DB=129&amp;ID1=48248010&amp;VALUEID=02001&amp;SDATE=200603&amp;PERIODTYPE=QTR_STD&amp;SCFT=3&amp;window=popup_no_bar&amp;width=385&amp;height=120&amp;START_MAXIMIZED=FALSE&amp;creator=factset&amp;display_string=Audit"}</definedName>
    <definedName name="_2339__FDSAUDITLINK__" hidden="1">{"fdsup://Directions/FactSet Auditing Viewer?action=AUDIT_VALUE&amp;DB=129&amp;ID1=48203R10&amp;VALUEID=02001&amp;SDATE=200601&amp;PERIODTYPE=QTR_STD&amp;SCFT=3&amp;window=popup_no_bar&amp;width=385&amp;height=120&amp;START_MAXIMIZED=FALSE&amp;creator=factset&amp;display_string=Audit"}</definedName>
    <definedName name="_234__FDSAUDITLINK__" hidden="1">{"fdsup://Directions/FactSet Auditing Viewer?action=AUDIT_VALUE&amp;DB=129&amp;ID1=48248010&amp;VALUEID=02001&amp;SDATE=201102&amp;PERIODTYPE=QTR_STD&amp;SCFT=3&amp;window=popup_no_bar&amp;width=385&amp;height=120&amp;START_MAXIMIZED=FALSE&amp;creator=factset&amp;display_string=Audit"}</definedName>
    <definedName name="_2340__FDSAUDITLINK__" hidden="1">{"fdsup://Directions/FactSet Auditing Viewer?action=AUDIT_VALUE&amp;DB=129&amp;ID1=48203R10&amp;VALUEID=02001&amp;SDATE=200601&amp;PERIODTYPE=QTR_STD&amp;SCFT=3&amp;window=popup_no_bar&amp;width=385&amp;height=120&amp;START_MAXIMIZED=FALSE&amp;creator=factset&amp;display_string=Audit"}</definedName>
    <definedName name="_2341__FDSAUDITLINK__" hidden="1">{"fdsup://Directions/FactSet Auditing Viewer?action=AUDIT_VALUE&amp;DB=129&amp;ID1=86681020&amp;VALUEID=02001&amp;SDATE=200603&amp;PERIODTYPE=QTR_STD&amp;SCFT=3&amp;window=popup_no_bar&amp;width=385&amp;height=120&amp;START_MAXIMIZED=FALSE&amp;creator=factset&amp;display_string=Audit"}</definedName>
    <definedName name="_2342__FDSAUDITLINK__" hidden="1">{"fdsup://Directions/FactSet Auditing Viewer?action=AUDIT_VALUE&amp;DB=129&amp;ID1=86681020&amp;VALUEID=02001&amp;SDATE=200603&amp;PERIODTYPE=QTR_STD&amp;SCFT=3&amp;window=popup_no_bar&amp;width=385&amp;height=120&amp;START_MAXIMIZED=FALSE&amp;creator=factset&amp;display_string=Audit"}</definedName>
    <definedName name="_2343__FDSAUDITLINK__" hidden="1">{"fdsup://Directions/FactSet Auditing Viewer?action=AUDIT_VALUE&amp;DB=129&amp;ID1=46069S10&amp;VALUEID=02001&amp;SDATE=200601&amp;PERIODTYPE=QTR_STD&amp;SCFT=3&amp;window=popup_no_bar&amp;width=385&amp;height=120&amp;START_MAXIMIZED=FALSE&amp;creator=factset&amp;display_string=Audit"}</definedName>
    <definedName name="_2344__FDSAUDITLINK__" hidden="1">{"fdsup://Directions/FactSet Auditing Viewer?action=AUDIT_VALUE&amp;DB=129&amp;ID1=46069S10&amp;VALUEID=02001&amp;SDATE=200601&amp;PERIODTYPE=QTR_STD&amp;SCFT=3&amp;window=popup_no_bar&amp;width=385&amp;height=120&amp;START_MAXIMIZED=FALSE&amp;creator=factset&amp;display_string=Audit"}</definedName>
    <definedName name="_2345__FDSAUDITLINK__" hidden="1">{"fdsup://Directions/FactSet Auditing Viewer?action=AUDIT_VALUE&amp;DB=129&amp;ID1=46025410&amp;VALUEID=02001&amp;SDATE=200603&amp;PERIODTYPE=QTR_STD&amp;SCFT=3&amp;window=popup_no_bar&amp;width=385&amp;height=120&amp;START_MAXIMIZED=FALSE&amp;creator=factset&amp;display_string=Audit"}</definedName>
    <definedName name="_2346__FDSAUDITLINK__" hidden="1">{"fdsup://Directions/FactSet Auditing Viewer?action=AUDIT_VALUE&amp;DB=129&amp;ID1=46025410&amp;VALUEID=02001&amp;SDATE=200603&amp;PERIODTYPE=QTR_STD&amp;SCFT=3&amp;window=popup_no_bar&amp;width=385&amp;height=120&amp;START_MAXIMIZED=FALSE&amp;creator=factset&amp;display_string=Audit"}</definedName>
    <definedName name="_2347__FDSAUDITLINK__" hidden="1">{"fdsup://Directions/FactSet Auditing Viewer?action=AUDIT_VALUE&amp;DB=129&amp;ID1=45814010&amp;VALUEID=02001&amp;SDATE=200601&amp;PERIODTYPE=QTR_STD&amp;SCFT=3&amp;window=popup_no_bar&amp;width=385&amp;height=120&amp;START_MAXIMIZED=FALSE&amp;creator=factset&amp;display_string=Audit"}</definedName>
    <definedName name="_2348__FDSAUDITLINK__" hidden="1">{"fdsup://Directions/FactSet Auditing Viewer?action=AUDIT_VALUE&amp;DB=129&amp;ID1=45814010&amp;VALUEID=02001&amp;SDATE=200601&amp;PERIODTYPE=QTR_STD&amp;SCFT=3&amp;window=popup_no_bar&amp;width=385&amp;height=120&amp;START_MAXIMIZED=FALSE&amp;creator=factset&amp;display_string=Audit"}</definedName>
    <definedName name="_2349__FDSAUDITLINK__" hidden="1">{"fdsup://Directions/FactSet Auditing Viewer?action=AUDIT_VALUE&amp;DB=129&amp;ID1=42823610&amp;VALUEID=02001&amp;SDATE=200602&amp;PERIODTYPE=QTR_STD&amp;SCFT=3&amp;window=popup_no_bar&amp;width=385&amp;height=120&amp;START_MAXIMIZED=FALSE&amp;creator=factset&amp;display_string=Audit"}</definedName>
    <definedName name="_235__FDSAUDITLINK__" hidden="1">{"fdsup://Directions/FactSet Auditing Viewer?action=AUDIT_VALUE&amp;DB=129&amp;ID1=48836020&amp;VALUEID=02001&amp;SDATE=201003&amp;PERIODTYPE=QTR_STD&amp;SCFT=3&amp;window=popup_no_bar&amp;width=385&amp;height=120&amp;START_MAXIMIZED=FALSE&amp;creator=factset&amp;display_string=Audit"}</definedName>
    <definedName name="_2350__FDSAUDITLINK__" hidden="1">{"fdsup://Directions/FactSet Auditing Viewer?action=AUDIT_VALUE&amp;DB=129&amp;ID1=42823610&amp;VALUEID=02001&amp;SDATE=200602&amp;PERIODTYPE=QTR_STD&amp;SCFT=3&amp;window=popup_no_bar&amp;width=385&amp;height=120&amp;START_MAXIMIZED=FALSE&amp;creator=factset&amp;display_string=Audit"}</definedName>
    <definedName name="_2351__FDSAUDITLINK__" hidden="1">{"fdsup://Directions/FactSet Auditing Viewer?action=AUDIT_VALUE&amp;DB=129&amp;ID1=H2906T10&amp;VALUEID=02001&amp;SDATE=200601&amp;PERIODTYPE=QTR_STD&amp;SCFT=3&amp;window=popup_no_bar&amp;width=385&amp;height=120&amp;START_MAXIMIZED=FALSE&amp;creator=factset&amp;display_string=Audit"}</definedName>
    <definedName name="_2352__FDSAUDITLINK__" hidden="1">{"fdsup://Directions/FactSet Auditing Viewer?action=AUDIT_VALUE&amp;DB=129&amp;ID1=H2906T10&amp;VALUEID=02001&amp;SDATE=200601&amp;PERIODTYPE=QTR_STD&amp;SCFT=3&amp;window=popup_no_bar&amp;width=385&amp;height=120&amp;START_MAXIMIZED=FALSE&amp;creator=factset&amp;display_string=Audit"}</definedName>
    <definedName name="_2353__FDSAUDITLINK__" hidden="1">{"fdsup://Directions/FactSet Auditing Viewer?action=AUDIT_VALUE&amp;DB=129&amp;ID1=34637510&amp;VALUEID=02001&amp;SDATE=200601&amp;PERIODTYPE=QTR_STD&amp;SCFT=3&amp;window=popup_no_bar&amp;width=385&amp;height=120&amp;START_MAXIMIZED=FALSE&amp;creator=factset&amp;display_string=Audit"}</definedName>
    <definedName name="_2354__FDSAUDITLINK__" hidden="1">{"fdsup://Directions/FactSet Auditing Viewer?action=AUDIT_VALUE&amp;DB=129&amp;ID1=34637510&amp;VALUEID=02001&amp;SDATE=200601&amp;PERIODTYPE=QTR_STD&amp;SCFT=3&amp;window=popup_no_bar&amp;width=385&amp;height=120&amp;START_MAXIMIZED=FALSE&amp;creator=factset&amp;display_string=Audit"}</definedName>
    <definedName name="_2355__FDSAUDITLINK__" hidden="1">{"fdsup://Directions/FactSet Auditing Viewer?action=AUDIT_VALUE&amp;DB=129&amp;ID1=31561610&amp;VALUEID=02001&amp;SDATE=200602&amp;PERIODTYPE=QTR_STD&amp;SCFT=3&amp;window=popup_no_bar&amp;width=385&amp;height=120&amp;START_MAXIMIZED=FALSE&amp;creator=factset&amp;display_string=Audit"}</definedName>
    <definedName name="_2356__FDSAUDITLINK__" hidden="1">{"fdsup://Directions/FactSet Auditing Viewer?action=AUDIT_VALUE&amp;DB=129&amp;ID1=31561610&amp;VALUEID=02001&amp;SDATE=200602&amp;PERIODTYPE=QTR_STD&amp;SCFT=3&amp;window=popup_no_bar&amp;width=385&amp;height=120&amp;START_MAXIMIZED=FALSE&amp;creator=factset&amp;display_string=Audit"}</definedName>
    <definedName name="_2357__FDSAUDITLINK__" hidden="1">{"fdsup://Directions/FactSet Auditing Viewer?action=AUDIT_VALUE&amp;DB=129&amp;ID1=29247520&amp;VALUEID=02001&amp;SDATE=200603&amp;PERIODTYPE=QTR_STD&amp;SCFT=3&amp;window=popup_no_bar&amp;width=385&amp;height=120&amp;START_MAXIMIZED=FALSE&amp;creator=factset&amp;display_string=Audit"}</definedName>
    <definedName name="_2358__FDSAUDITLINK__" hidden="1">{"fdsup://Directions/FactSet Auditing Viewer?action=AUDIT_VALUE&amp;DB=129&amp;ID1=29247520&amp;VALUEID=02001&amp;SDATE=200603&amp;PERIODTYPE=QTR_STD&amp;SCFT=3&amp;window=popup_no_bar&amp;width=385&amp;height=120&amp;START_MAXIMIZED=FALSE&amp;creator=factset&amp;display_string=Audit"}</definedName>
    <definedName name="_2359__FDSAUDITLINK__" hidden="1">{"fdsup://Directions/FactSet Auditing Viewer?action=AUDIT_VALUE&amp;DB=129&amp;ID1=25454310&amp;VALUEID=02001&amp;SDATE=200601&amp;PERIODTYPE=QTR_STD&amp;SCFT=3&amp;window=popup_no_bar&amp;width=385&amp;height=120&amp;START_MAXIMIZED=FALSE&amp;creator=factset&amp;display_string=Audit"}</definedName>
    <definedName name="_236__FDSAUDITLINK__" hidden="1">{"fdsup://Directions/FactSet Auditing Viewer?action=AUDIT_VALUE&amp;DB=129&amp;ID1=48836020&amp;VALUEID=02001&amp;SDATE=201003&amp;PERIODTYPE=QTR_STD&amp;SCFT=3&amp;window=popup_no_bar&amp;width=385&amp;height=120&amp;START_MAXIMIZED=FALSE&amp;creator=factset&amp;display_string=Audit"}</definedName>
    <definedName name="_2360__FDSAUDITLINK__" hidden="1">{"fdsup://Directions/FactSet Auditing Viewer?action=AUDIT_VALUE&amp;DB=129&amp;ID1=25454310&amp;VALUEID=02001&amp;SDATE=200601&amp;PERIODTYPE=QTR_STD&amp;SCFT=3&amp;window=popup_no_bar&amp;width=385&amp;height=120&amp;START_MAXIMIZED=FALSE&amp;creator=factset&amp;display_string=Audit"}</definedName>
    <definedName name="_2361__FDSAUDITLINK__" hidden="1">{"fdsup://Directions/FactSet Auditing Viewer?action=AUDIT_VALUE&amp;DB=129&amp;ID1=24702R10&amp;VALUEID=02001&amp;SDATE=200601&amp;PERIODTYPE=QTR_STD&amp;SCFT=3&amp;window=popup_no_bar&amp;width=385&amp;height=120&amp;START_MAXIMIZED=FALSE&amp;creator=factset&amp;display_string=Audit"}</definedName>
    <definedName name="_2362__FDSAUDITLINK__" hidden="1">{"fdsup://Directions/FactSet Auditing Viewer?action=AUDIT_VALUE&amp;DB=129&amp;ID1=24702R10&amp;VALUEID=02001&amp;SDATE=200601&amp;PERIODTYPE=QTR_STD&amp;SCFT=3&amp;window=popup_no_bar&amp;width=385&amp;height=120&amp;START_MAXIMIZED=FALSE&amp;creator=factset&amp;display_string=Audit"}</definedName>
    <definedName name="_2363__FDSAUDITLINK__" hidden="1">{"fdsup://Directions/FactSet Auditing Viewer?action=AUDIT_VALUE&amp;DB=129&amp;ID1=23257210&amp;VALUEID=02001&amp;SDATE=200601&amp;PERIODTYPE=QTR_STD&amp;SCFT=3&amp;window=popup_no_bar&amp;width=385&amp;height=120&amp;START_MAXIMIZED=FALSE&amp;creator=factset&amp;display_string=Audit"}</definedName>
    <definedName name="_2364__FDSAUDITLINK__" hidden="1">{"fdsup://Directions/FactSet Auditing Viewer?action=AUDIT_VALUE&amp;DB=129&amp;ID1=23257210&amp;VALUEID=02001&amp;SDATE=200601&amp;PERIODTYPE=QTR_STD&amp;SCFT=3&amp;window=popup_no_bar&amp;width=385&amp;height=120&amp;START_MAXIMIZED=FALSE&amp;creator=factset&amp;display_string=Audit"}</definedName>
    <definedName name="_2365__FDSAUDITLINK__" hidden="1">{"fdsup://Directions/FactSet Auditing Viewer?action=AUDIT_VALUE&amp;DB=129&amp;ID1=23280610&amp;VALUEID=02001&amp;SDATE=200601&amp;PERIODTYPE=QTR_STD&amp;SCFT=3&amp;window=popup_no_bar&amp;width=385&amp;height=120&amp;START_MAXIMIZED=FALSE&amp;creator=factset&amp;display_string=Audit"}</definedName>
    <definedName name="_2366__FDSAUDITLINK__" hidden="1">{"fdsup://Directions/FactSet Auditing Viewer?action=AUDIT_VALUE&amp;DB=129&amp;ID1=23280610&amp;VALUEID=02001&amp;SDATE=200601&amp;PERIODTYPE=QTR_STD&amp;SCFT=3&amp;window=popup_no_bar&amp;width=385&amp;height=120&amp;START_MAXIMIZED=FALSE&amp;creator=factset&amp;display_string=Audit"}</definedName>
    <definedName name="_2367__FDSAUDITLINK__" hidden="1">{"fdsup://Directions/FactSet Auditing Viewer?action=AUDIT_VALUE&amp;DB=129&amp;ID1=17275R10&amp;VALUEID=02001&amp;SDATE=200603&amp;PERIODTYPE=QTR_STD&amp;SCFT=3&amp;window=popup_no_bar&amp;width=385&amp;height=120&amp;START_MAXIMIZED=FALSE&amp;creator=factset&amp;display_string=Audit"}</definedName>
    <definedName name="_2368__FDSAUDITLINK__" hidden="1">{"fdsup://Directions/FactSet Auditing Viewer?action=AUDIT_VALUE&amp;DB=129&amp;ID1=17275R10&amp;VALUEID=02001&amp;SDATE=200603&amp;PERIODTYPE=QTR_STD&amp;SCFT=3&amp;window=popup_no_bar&amp;width=385&amp;height=120&amp;START_MAXIMIZED=FALSE&amp;creator=factset&amp;display_string=Audit"}</definedName>
    <definedName name="_2369__FDSAUDITLINK__" hidden="1">{"fdsup://Directions/FactSet Auditing Viewer?action=AUDIT_VALUE&amp;DB=129&amp;ID1=22544710&amp;VALUEID=02001&amp;SDATE=200603&amp;PERIODTYPE=QTR_STD&amp;SCFT=3&amp;window=popup_no_bar&amp;width=385&amp;height=120&amp;START_MAXIMIZED=FALSE&amp;creator=factset&amp;display_string=Audit"}</definedName>
    <definedName name="_237__FDSAUDITLINK__" hidden="1">{"fdsup://Directions/FactSet Auditing Viewer?action=AUDIT_VALUE&amp;DB=129&amp;ID1=48203R10&amp;VALUEID=02001&amp;SDATE=201004&amp;PERIODTYPE=QTR_STD&amp;SCFT=3&amp;window=popup_no_bar&amp;width=385&amp;height=120&amp;START_MAXIMIZED=FALSE&amp;creator=factset&amp;display_string=Audit"}</definedName>
    <definedName name="_2370__FDSAUDITLINK__" hidden="1">{"fdsup://Directions/FactSet Auditing Viewer?action=AUDIT_VALUE&amp;DB=129&amp;ID1=22544710&amp;VALUEID=02001&amp;SDATE=200603&amp;PERIODTYPE=QTR_STD&amp;SCFT=3&amp;window=popup_no_bar&amp;width=385&amp;height=120&amp;START_MAXIMIZED=FALSE&amp;creator=factset&amp;display_string=Audit"}</definedName>
    <definedName name="_2371__FDSAUDITLINK__" hidden="1">{"fdsup://Directions/FactSet Auditing Viewer?action=AUDIT_VALUE&amp;DB=129&amp;ID1=20714230&amp;VALUEID=02001&amp;SDATE=200602&amp;PERIODTYPE=QTR_STD&amp;SCFT=3&amp;window=popup_no_bar&amp;width=385&amp;height=120&amp;START_MAXIMIZED=FALSE&amp;creator=factset&amp;display_string=Audit"}</definedName>
    <definedName name="_2372__FDSAUDITLINK__" hidden="1">{"fdsup://Directions/FactSet Auditing Viewer?action=AUDIT_VALUE&amp;DB=129&amp;ID1=20714230&amp;VALUEID=02001&amp;SDATE=200602&amp;PERIODTYPE=QTR_STD&amp;SCFT=3&amp;window=popup_no_bar&amp;width=385&amp;height=120&amp;START_MAXIMIZED=FALSE&amp;creator=factset&amp;display_string=Audit"}</definedName>
    <definedName name="_2373__FDSAUDITLINK__" hidden="1">{"fdsup://Directions/FactSet Auditing Viewer?action=AUDIT_VALUE&amp;DB=129&amp;ID1=12738710&amp;VALUEID=02001&amp;SDATE=200601&amp;PERIODTYPE=QTR_STD&amp;SCFT=3&amp;window=popup_no_bar&amp;width=385&amp;height=120&amp;START_MAXIMIZED=FALSE&amp;creator=factset&amp;display_string=Audit"}</definedName>
    <definedName name="_2374__FDSAUDITLINK__" hidden="1">{"fdsup://Directions/FactSet Auditing Viewer?action=AUDIT_VALUE&amp;DB=129&amp;ID1=12738710&amp;VALUEID=02001&amp;SDATE=200601&amp;PERIODTYPE=QTR_STD&amp;SCFT=3&amp;window=popup_no_bar&amp;width=385&amp;height=120&amp;START_MAXIMIZED=FALSE&amp;creator=factset&amp;display_string=Audit"}</definedName>
    <definedName name="_2375__FDSAUDITLINK__" hidden="1">{"fdsup://Directions/FactSet Auditing Viewer?action=AUDIT_VALUE&amp;DB=129&amp;ID1=11162130&amp;VALUEID=02001&amp;SDATE=200602&amp;PERIODTYPE=QTR_STD&amp;SCFT=3&amp;window=popup_no_bar&amp;width=385&amp;height=120&amp;START_MAXIMIZED=FALSE&amp;creator=factset&amp;display_string=Audit"}</definedName>
    <definedName name="_2376__FDSAUDITLINK__" hidden="1">{"fdsup://Directions/FactSet Auditing Viewer?action=AUDIT_VALUE&amp;DB=129&amp;ID1=11162130&amp;VALUEID=02001&amp;SDATE=200602&amp;PERIODTYPE=QTR_STD&amp;SCFT=3&amp;window=popup_no_bar&amp;width=385&amp;height=120&amp;START_MAXIMIZED=FALSE&amp;creator=factset&amp;display_string=Audit"}</definedName>
    <definedName name="_2377__FDSAUDITLINK__" hidden="1">{"fdsup://Directions/FactSet Auditing Viewer?action=AUDIT_VALUE&amp;DB=129&amp;ID1=04743P10&amp;VALUEID=02001&amp;SDATE=200601&amp;PERIODTYPE=QTR_STD&amp;SCFT=3&amp;window=popup_no_bar&amp;width=385&amp;height=120&amp;START_MAXIMIZED=FALSE&amp;creator=factset&amp;display_string=Audit"}</definedName>
    <definedName name="_2378__FDSAUDITLINK__" hidden="1">{"fdsup://Directions/FactSet Auditing Viewer?action=AUDIT_VALUE&amp;DB=129&amp;ID1=04743P10&amp;VALUEID=02001&amp;SDATE=200601&amp;PERIODTYPE=QTR_STD&amp;SCFT=3&amp;window=popup_no_bar&amp;width=385&amp;height=120&amp;START_MAXIMIZED=FALSE&amp;creator=factset&amp;display_string=Audit"}</definedName>
    <definedName name="_2379__FDSAUDITLINK__" hidden="1">{"fdsup://Directions/FactSet Auditing Viewer?action=AUDIT_VALUE&amp;DB=129&amp;ID1=03251510&amp;VALUEID=02001&amp;SDATE=200601&amp;PERIODTYPE=QTR_STD&amp;SCFT=3&amp;window=popup_no_bar&amp;width=385&amp;height=120&amp;START_MAXIMIZED=FALSE&amp;creator=factset&amp;display_string=Audit"}</definedName>
    <definedName name="_238__FDSAUDITLINK__" hidden="1">{"fdsup://Directions/FactSet Auditing Viewer?action=AUDIT_VALUE&amp;DB=129&amp;ID1=48203R10&amp;VALUEID=02001&amp;SDATE=201004&amp;PERIODTYPE=QTR_STD&amp;SCFT=3&amp;window=popup_no_bar&amp;width=385&amp;height=120&amp;START_MAXIMIZED=FALSE&amp;creator=factset&amp;display_string=Audit"}</definedName>
    <definedName name="_2380__FDSAUDITLINK__" hidden="1">{"fdsup://Directions/FactSet Auditing Viewer?action=AUDIT_VALUE&amp;DB=129&amp;ID1=03251510&amp;VALUEID=02001&amp;SDATE=200601&amp;PERIODTYPE=QTR_STD&amp;SCFT=3&amp;window=popup_no_bar&amp;width=385&amp;height=120&amp;START_MAXIMIZED=FALSE&amp;creator=factset&amp;display_string=Audit"}</definedName>
    <definedName name="_2381__FDSAUDITLINK__" hidden="1">{"fdsup://Directions/FactSet Auditing Viewer?action=AUDIT_VALUE&amp;DB=129&amp;ID1=00790310&amp;VALUEID=02001&amp;SDATE=200601&amp;PERIODTYPE=QTR_STD&amp;SCFT=3&amp;window=popup_no_bar&amp;width=385&amp;height=120&amp;START_MAXIMIZED=FALSE&amp;creator=factset&amp;display_string=Audit"}</definedName>
    <definedName name="_2382__FDSAUDITLINK__" hidden="1">{"fdsup://Directions/FactSet Auditing Viewer?action=AUDIT_VALUE&amp;DB=129&amp;ID1=00790310&amp;VALUEID=02001&amp;SDATE=200601&amp;PERIODTYPE=QTR_STD&amp;SCFT=3&amp;window=popup_no_bar&amp;width=385&amp;height=120&amp;START_MAXIMIZED=FALSE&amp;creator=factset&amp;display_string=Audit"}</definedName>
    <definedName name="_2383__FDSAUDITLINK__" hidden="1">{"fdsup://Directions/FactSet Auditing Viewer?action=AUDIT_VALUE&amp;DB=129&amp;ID1=03822210&amp;VALUEID=02001&amp;SDATE=200602&amp;PERIODTYPE=QTR_STD&amp;SCFT=3&amp;window=popup_no_bar&amp;width=385&amp;height=120&amp;START_MAXIMIZED=FALSE&amp;creator=factset&amp;display_string=Audit"}</definedName>
    <definedName name="_2384__FDSAUDITLINK__" hidden="1">{"fdsup://Directions/FactSet Auditing Viewer?action=AUDIT_VALUE&amp;DB=129&amp;ID1=03822210&amp;VALUEID=02001&amp;SDATE=200602&amp;PERIODTYPE=QTR_STD&amp;SCFT=3&amp;window=popup_no_bar&amp;width=385&amp;height=120&amp;START_MAXIMIZED=FALSE&amp;creator=factset&amp;display_string=Audit"}</definedName>
    <definedName name="_2385__FDSAUDITLINK__" hidden="1">{"fdsup://Directions/FactSet Auditing Viewer?action=AUDIT_VALUE&amp;DB=129&amp;ID1=02144110&amp;VALUEID=02001&amp;SDATE=200601&amp;PERIODTYPE=QTR_STD&amp;SCFT=3&amp;window=popup_no_bar&amp;width=385&amp;height=120&amp;START_MAXIMIZED=FALSE&amp;creator=factset&amp;display_string=Audit"}</definedName>
    <definedName name="_2386__FDSAUDITLINK__" hidden="1">{"fdsup://Directions/FactSet Auditing Viewer?action=AUDIT_VALUE&amp;DB=129&amp;ID1=02144110&amp;VALUEID=02001&amp;SDATE=200601&amp;PERIODTYPE=QTR_STD&amp;SCFT=3&amp;window=popup_no_bar&amp;width=385&amp;height=120&amp;START_MAXIMIZED=FALSE&amp;creator=factset&amp;display_string=Audit"}</definedName>
    <definedName name="_2387__FDSAUDITLINK__" hidden="1">{"fdsup://Directions/FactSet Auditing Viewer?action=AUDIT_VALUE&amp;DB=129&amp;ID1=00752J10&amp;VALUEID=02001&amp;SDATE=200601&amp;PERIODTYPE=QTR_STD&amp;SCFT=3&amp;window=popup_no_bar&amp;width=385&amp;height=120&amp;START_MAXIMIZED=FALSE&amp;creator=factset&amp;display_string=Audit"}</definedName>
    <definedName name="_2388__FDSAUDITLINK__" hidden="1">{"fdsup://Directions/FactSet Auditing Viewer?action=AUDIT_VALUE&amp;DB=129&amp;ID1=00752J10&amp;VALUEID=02001&amp;SDATE=200601&amp;PERIODTYPE=QTR_STD&amp;SCFT=3&amp;window=popup_no_bar&amp;width=385&amp;height=120&amp;START_MAXIMIZED=FALSE&amp;creator=factset&amp;display_string=Audit"}</definedName>
    <definedName name="_2389__FDSAUDITLINK__" hidden="1">{"fdsup://Directions/FactSet Auditing Viewer?action=AUDIT_VALUE&amp;DB=129&amp;ID1=98391910&amp;VALUEID=02001&amp;SDATE=200503&amp;PERIODTYPE=QTR_STD&amp;SCFT=3&amp;window=popup_no_bar&amp;width=385&amp;height=120&amp;START_MAXIMIZED=FALSE&amp;creator=factset&amp;display_string=Audit"}</definedName>
    <definedName name="_239__FDSAUDITLINK__" hidden="1">{"fdsup://Directions/FactSet Auditing Viewer?action=AUDIT_VALUE&amp;DB=129&amp;ID1=46069S10&amp;VALUEID=02001&amp;SDATE=201004&amp;PERIODTYPE=QTR_STD&amp;SCFT=3&amp;window=popup_no_bar&amp;width=385&amp;height=120&amp;START_MAXIMIZED=FALSE&amp;creator=factset&amp;display_string=Audit"}</definedName>
    <definedName name="_2390__FDSAUDITLINK__" hidden="1">{"fdsup://Directions/FactSet Auditing Viewer?action=AUDIT_VALUE&amp;DB=129&amp;ID1=98391910&amp;VALUEID=02001&amp;SDATE=200503&amp;PERIODTYPE=QTR_STD&amp;SCFT=3&amp;window=popup_no_bar&amp;width=385&amp;height=120&amp;START_MAXIMIZED=FALSE&amp;creator=factset&amp;display_string=Audit"}</definedName>
    <definedName name="_2391__FDSAUDITLINK__" hidden="1">{"fdsup://Directions/FactSet Auditing Viewer?action=AUDIT_VALUE&amp;DB=129&amp;ID1=95810210&amp;VALUEID=02001&amp;SDATE=200602&amp;PERIODTYPE=QTR_STD&amp;SCFT=3&amp;window=popup_no_bar&amp;width=385&amp;height=120&amp;START_MAXIMIZED=FALSE&amp;creator=factset&amp;display_string=Audit"}</definedName>
    <definedName name="_2392__FDSAUDITLINK__" hidden="1">{"fdsup://Directions/FactSet Auditing Viewer?action=AUDIT_VALUE&amp;DB=129&amp;ID1=95810210&amp;VALUEID=02001&amp;SDATE=200602&amp;PERIODTYPE=QTR_STD&amp;SCFT=3&amp;window=popup_no_bar&amp;width=385&amp;height=120&amp;START_MAXIMIZED=FALSE&amp;creator=factset&amp;display_string=Audit"}</definedName>
    <definedName name="_2393__FDSAUDITLINK__" hidden="1">{"fdsup://Directions/FactSet Auditing Viewer?action=AUDIT_VALUE&amp;DB=129&amp;ID1=92849730&amp;VALUEID=02001&amp;SDATE=200601&amp;PERIODTYPE=QTR_STD&amp;SCFT=3&amp;window=popup_no_bar&amp;width=385&amp;height=120&amp;START_MAXIMIZED=FALSE&amp;creator=factset&amp;display_string=Audit"}</definedName>
    <definedName name="_2394__FDSAUDITLINK__" hidden="1">{"fdsup://Directions/FactSet Auditing Viewer?action=AUDIT_VALUE&amp;DB=129&amp;ID1=92849730&amp;VALUEID=02001&amp;SDATE=200601&amp;PERIODTYPE=QTR_STD&amp;SCFT=3&amp;window=popup_no_bar&amp;width=385&amp;height=120&amp;START_MAXIMIZED=FALSE&amp;creator=factset&amp;display_string=Audit"}</definedName>
    <definedName name="_2395__FDSAUDITLINK__" hidden="1">{"fdsup://Directions/FactSet Auditing Viewer?action=AUDIT_VALUE&amp;DB=129&amp;ID1=83088M10&amp;VALUEID=02001&amp;SDATE=200601&amp;PERIODTYPE=QTR_STD&amp;SCFT=3&amp;window=popup_no_bar&amp;width=385&amp;height=120&amp;START_MAXIMIZED=FALSE&amp;creator=factset&amp;display_string=Audit"}</definedName>
    <definedName name="_2396__FDSAUDITLINK__" hidden="1">{"fdsup://Directions/FactSet Auditing Viewer?action=AUDIT_VALUE&amp;DB=129&amp;ID1=83088M10&amp;VALUEID=02001&amp;SDATE=200601&amp;PERIODTYPE=QTR_STD&amp;SCFT=3&amp;window=popup_no_bar&amp;width=385&amp;height=120&amp;START_MAXIMIZED=FALSE&amp;creator=factset&amp;display_string=Audit"}</definedName>
    <definedName name="_2397__FDSAUDITLINK__" hidden="1">{"fdsup://Directions/FactSet Auditing Viewer?action=AUDIT_VALUE&amp;DB=129&amp;ID1=G7945M10&amp;VALUEID=02001&amp;SDATE=200602&amp;PERIODTYPE=QTR_STD&amp;SCFT=3&amp;window=popup_no_bar&amp;width=385&amp;height=120&amp;START_MAXIMIZED=FALSE&amp;creator=factset&amp;display_string=Audit"}</definedName>
    <definedName name="_2398__FDSAUDITLINK__" hidden="1">{"fdsup://Directions/FactSet Auditing Viewer?action=AUDIT_VALUE&amp;DB=129&amp;ID1=G7945M10&amp;VALUEID=02001&amp;SDATE=200602&amp;PERIODTYPE=QTR_STD&amp;SCFT=3&amp;window=popup_no_bar&amp;width=385&amp;height=120&amp;START_MAXIMIZED=FALSE&amp;creator=factset&amp;display_string=Audit"}</definedName>
    <definedName name="_2399__FDSAUDITLINK__" hidden="1">{"fdsup://Directions/FactSet Auditing Viewer?action=AUDIT_VALUE&amp;DB=129&amp;ID1=87160710&amp;VALUEID=02001&amp;SDATE=200601&amp;PERIODTYPE=QTR_STD&amp;SCFT=3&amp;window=popup_no_bar&amp;width=385&amp;height=120&amp;START_MAXIMIZED=FALSE&amp;creator=factset&amp;display_string=Audit"}</definedName>
    <definedName name="_24__FDSAUDITLINK__" hidden="1">{"fdsup://Directions/FactSet Auditing Viewer?action=AUDIT_VALUE&amp;DB=129&amp;ID1=78477410&amp;VALUEID=02001&amp;SDATE=201101&amp;PERIODTYPE=QTR_STD&amp;SCFT=3&amp;window=popup_no_bar&amp;width=385&amp;height=120&amp;START_MAXIMIZED=FALSE&amp;creator=factset&amp;display_string=Audit"}</definedName>
    <definedName name="_240__FDSAUDITLINK__" hidden="1">{"fdsup://Directions/FactSet Auditing Viewer?action=AUDIT_VALUE&amp;DB=129&amp;ID1=46069S10&amp;VALUEID=02001&amp;SDATE=201004&amp;PERIODTYPE=QTR_STD&amp;SCFT=3&amp;window=popup_no_bar&amp;width=385&amp;height=120&amp;START_MAXIMIZED=FALSE&amp;creator=factset&amp;display_string=Audit"}</definedName>
    <definedName name="_2400__FDSAUDITLINK__" hidden="1">{"fdsup://Directions/FactSet Auditing Viewer?action=AUDIT_VALUE&amp;DB=129&amp;ID1=87160710&amp;VALUEID=02001&amp;SDATE=200601&amp;PERIODTYPE=QTR_STD&amp;SCFT=3&amp;window=popup_no_bar&amp;width=385&amp;height=120&amp;START_MAXIMIZED=FALSE&amp;creator=factset&amp;display_string=Audit"}</definedName>
    <definedName name="_2401__FDSAUDITLINK__" hidden="1">{"fdsup://Directions/FactSet Auditing Viewer?action=AUDIT_VALUE&amp;DB=129&amp;ID1=74994110&amp;VALUEID=02001&amp;SDATE=200503&amp;PERIODTYPE=QTR_STD&amp;SCFT=3&amp;window=popup_no_bar&amp;width=385&amp;height=120&amp;START_MAXIMIZED=FALSE&amp;creator=factset&amp;display_string=Audit"}</definedName>
    <definedName name="_2402__FDSAUDITLINK__" hidden="1">{"fdsup://Directions/FactSet Auditing Viewer?action=AUDIT_VALUE&amp;DB=129&amp;ID1=74994110&amp;VALUEID=02001&amp;SDATE=200503&amp;PERIODTYPE=QTR_STD&amp;SCFT=3&amp;window=popup_no_bar&amp;width=385&amp;height=120&amp;START_MAXIMIZED=FALSE&amp;creator=factset&amp;display_string=Audit"}</definedName>
    <definedName name="_2403__FDSAUDITLINK__" hidden="1">{"fdsup://Directions/FactSet Auditing Viewer?action=AUDIT_VALUE&amp;DB=129&amp;ID1=74727710&amp;VALUEID=02001&amp;SDATE=200503&amp;PERIODTYPE=QTR_STD&amp;SCFT=3&amp;window=popup_no_bar&amp;width=385&amp;height=120&amp;START_MAXIMIZED=FALSE&amp;creator=factset&amp;display_string=Audit"}</definedName>
    <definedName name="_2404__FDSAUDITLINK__" hidden="1">{"fdsup://Directions/FactSet Auditing Viewer?action=AUDIT_VALUE&amp;DB=129&amp;ID1=74727710&amp;VALUEID=02001&amp;SDATE=200503&amp;PERIODTYPE=QTR_STD&amp;SCFT=3&amp;window=popup_no_bar&amp;width=385&amp;height=120&amp;START_MAXIMIZED=FALSE&amp;creator=factset&amp;display_string=Audit"}</definedName>
    <definedName name="_2405__FDSAUDITLINK__" hidden="1">{"fdsup://Directions/FactSet Auditing Viewer?action=AUDIT_VALUE&amp;DB=129&amp;ID1=74752510&amp;VALUEID=02001&amp;SDATE=200601&amp;PERIODTYPE=QTR_STD&amp;SCFT=3&amp;window=popup_no_bar&amp;width=385&amp;height=120&amp;START_MAXIMIZED=FALSE&amp;creator=factset&amp;display_string=Audit"}</definedName>
    <definedName name="_2406__FDSAUDITLINK__" hidden="1">{"fdsup://Directions/FactSet Auditing Viewer?action=AUDIT_VALUE&amp;DB=129&amp;ID1=74752510&amp;VALUEID=02001&amp;SDATE=200601&amp;PERIODTYPE=QTR_STD&amp;SCFT=3&amp;window=popup_no_bar&amp;width=385&amp;height=120&amp;START_MAXIMIZED=FALSE&amp;creator=factset&amp;display_string=Audit"}</definedName>
    <definedName name="_2407__FDSAUDITLINK__" hidden="1">{"fdsup://Directions/FactSet Auditing Viewer?action=AUDIT_VALUE&amp;DB=129&amp;ID1=63764010&amp;VALUEID=02001&amp;SDATE=200502&amp;PERIODTYPE=QTR_STD&amp;SCFT=3&amp;window=popup_no_bar&amp;width=385&amp;height=120&amp;START_MAXIMIZED=FALSE&amp;creator=factset&amp;display_string=Audit"}</definedName>
    <definedName name="_2408__FDSAUDITLINK__" hidden="1">{"fdsup://Directions/FactSet Auditing Viewer?action=AUDIT_VALUE&amp;DB=129&amp;ID1=63764010&amp;VALUEID=02001&amp;SDATE=200502&amp;PERIODTYPE=QTR_STD&amp;SCFT=3&amp;window=popup_no_bar&amp;width=385&amp;height=120&amp;START_MAXIMIZED=FALSE&amp;creator=factset&amp;display_string=Audit"}</definedName>
    <definedName name="_2409__FDSAUDITLINK__" hidden="1">{"fdsup://Directions/FactSet Auditing Viewer?action=AUDIT_VALUE&amp;DB=129&amp;ID1=57772K10&amp;VALUEID=02001&amp;SDATE=200602&amp;PERIODTYPE=QTR_STD&amp;SCFT=3&amp;window=popup_no_bar&amp;width=385&amp;height=120&amp;START_MAXIMIZED=FALSE&amp;creator=factset&amp;display_string=Audit"}</definedName>
    <definedName name="_241__FDSAUDITLINK__" hidden="1">{"fdsup://Directions/FactSet Auditing Viewer?action=AUDIT_VALUE&amp;DB=129&amp;ID1=46025410&amp;VALUEID=02001&amp;SDATE=201102&amp;PERIODTYPE=QTR_STD&amp;SCFT=3&amp;window=popup_no_bar&amp;width=385&amp;height=120&amp;START_MAXIMIZED=FALSE&amp;creator=factset&amp;display_string=Audit"}</definedName>
    <definedName name="_2410__FDSAUDITLINK__" hidden="1">{"fdsup://Directions/FactSet Auditing Viewer?action=AUDIT_VALUE&amp;DB=129&amp;ID1=57772K10&amp;VALUEID=02001&amp;SDATE=200602&amp;PERIODTYPE=QTR_STD&amp;SCFT=3&amp;window=popup_no_bar&amp;width=385&amp;height=120&amp;START_MAXIMIZED=FALSE&amp;creator=factset&amp;display_string=Audit"}</definedName>
    <definedName name="_2411__FDSAUDITLINK__" hidden="1">{"fdsup://Directions/FactSet Auditing Viewer?action=AUDIT_VALUE&amp;DB=129&amp;ID1=59511210&amp;VALUEID=02001&amp;SDATE=200601&amp;PERIODTYPE=QTR_STD&amp;SCFT=3&amp;window=popup_no_bar&amp;width=385&amp;height=120&amp;START_MAXIMIZED=FALSE&amp;creator=factset&amp;display_string=Audit"}</definedName>
    <definedName name="_2412__FDSAUDITLINK__" hidden="1">{"fdsup://Directions/FactSet Auditing Viewer?action=AUDIT_VALUE&amp;DB=129&amp;ID1=59511210&amp;VALUEID=02001&amp;SDATE=200601&amp;PERIODTYPE=QTR_STD&amp;SCFT=3&amp;window=popup_no_bar&amp;width=385&amp;height=120&amp;START_MAXIMIZED=FALSE&amp;creator=factset&amp;display_string=Audit"}</definedName>
    <definedName name="_2413__FDSAUDITLINK__" hidden="1">{"fdsup://Directions/FactSet Auditing Viewer?action=AUDIT_VALUE&amp;DB=129&amp;ID1=59513710&amp;VALUEID=02001&amp;SDATE=200601&amp;PERIODTYPE=QTR_STD&amp;SCFT=3&amp;window=popup_no_bar&amp;width=385&amp;height=120&amp;START_MAXIMIZED=FALSE&amp;creator=factset&amp;display_string=Audit"}</definedName>
    <definedName name="_2414__FDSAUDITLINK__" hidden="1">{"fdsup://Directions/FactSet Auditing Viewer?action=AUDIT_VALUE&amp;DB=129&amp;ID1=59513710&amp;VALUEID=02001&amp;SDATE=200601&amp;PERIODTYPE=QTR_STD&amp;SCFT=3&amp;window=popup_no_bar&amp;width=385&amp;height=120&amp;START_MAXIMIZED=FALSE&amp;creator=factset&amp;display_string=Audit"}</definedName>
    <definedName name="_2415__FDSAUDITLINK__" hidden="1">{"fdsup://Directions/FactSet Auditing Viewer?action=AUDIT_VALUE&amp;DB=129&amp;ID1=60456710&amp;VALUEID=02001&amp;SDATE=200602&amp;PERIODTYPE=QTR_STD&amp;SCFT=3&amp;window=popup_no_bar&amp;width=385&amp;height=120&amp;START_MAXIMIZED=FALSE&amp;creator=factset&amp;display_string=Audit"}</definedName>
    <definedName name="_2416__FDSAUDITLINK__" hidden="1">{"fdsup://Directions/FactSet Auditing Viewer?action=AUDIT_VALUE&amp;DB=129&amp;ID1=60456710&amp;VALUEID=02001&amp;SDATE=200602&amp;PERIODTYPE=QTR_STD&amp;SCFT=3&amp;window=popup_no_bar&amp;width=385&amp;height=120&amp;START_MAXIMIZED=FALSE&amp;creator=factset&amp;display_string=Audit"}</definedName>
    <definedName name="_2417__FDSAUDITLINK__" hidden="1">{"fdsup://Directions/FactSet Auditing Viewer?action=AUDIT_VALUE&amp;DB=129&amp;ID1=59501710&amp;VALUEID=02001&amp;SDATE=200503&amp;PERIODTYPE=QTR_STD&amp;SCFT=3&amp;window=popup_no_bar&amp;width=385&amp;height=120&amp;START_MAXIMIZED=FALSE&amp;creator=factset&amp;display_string=Audit"}</definedName>
    <definedName name="_2418__FDSAUDITLINK__" hidden="1">{"fdsup://Directions/FactSet Auditing Viewer?action=AUDIT_VALUE&amp;DB=129&amp;ID1=59501710&amp;VALUEID=02001&amp;SDATE=200503&amp;PERIODTYPE=QTR_STD&amp;SCFT=3&amp;window=popup_no_bar&amp;width=385&amp;height=120&amp;START_MAXIMIZED=FALSE&amp;creator=factset&amp;display_string=Audit"}</definedName>
    <definedName name="_2419__FDSAUDITLINK__" hidden="1">{"fdsup://Directions/FactSet Auditing Viewer?action=AUDIT_VALUE&amp;DB=129&amp;ID1=51280710&amp;VALUEID=02001&amp;SDATE=200602&amp;PERIODTYPE=QTR_STD&amp;SCFT=3&amp;window=popup_no_bar&amp;width=385&amp;height=120&amp;START_MAXIMIZED=FALSE&amp;creator=factset&amp;display_string=Audit"}</definedName>
    <definedName name="_242__FDSAUDITLINK__" hidden="1">{"fdsup://Directions/FactSet Auditing Viewer?action=AUDIT_VALUE&amp;DB=129&amp;ID1=46025410&amp;VALUEID=02001&amp;SDATE=201102&amp;PERIODTYPE=QTR_STD&amp;SCFT=3&amp;window=popup_no_bar&amp;width=385&amp;height=120&amp;START_MAXIMIZED=FALSE&amp;creator=factset&amp;display_string=Audit"}</definedName>
    <definedName name="_2420__FDSAUDITLINK__" hidden="1">{"fdsup://Directions/FactSet Auditing Viewer?action=AUDIT_VALUE&amp;DB=129&amp;ID1=51280710&amp;VALUEID=02001&amp;SDATE=200602&amp;PERIODTYPE=QTR_STD&amp;SCFT=3&amp;window=popup_no_bar&amp;width=385&amp;height=120&amp;START_MAXIMIZED=FALSE&amp;creator=factset&amp;display_string=Audit"}</definedName>
    <definedName name="_2421__FDSAUDITLINK__" hidden="1">{"fdsup://Directions/FactSet Auditing Viewer?action=AUDIT_VALUE&amp;DB=129&amp;ID1=53567810&amp;VALUEID=02001&amp;SDATE=200602&amp;PERIODTYPE=QTR_STD&amp;SCFT=3&amp;window=popup_no_bar&amp;width=385&amp;height=120&amp;START_MAXIMIZED=FALSE&amp;creator=factset&amp;display_string=Audit"}</definedName>
    <definedName name="_2422__FDSAUDITLINK__" hidden="1">{"fdsup://Directions/FactSet Auditing Viewer?action=AUDIT_VALUE&amp;DB=129&amp;ID1=53567810&amp;VALUEID=02001&amp;SDATE=200602&amp;PERIODTYPE=QTR_STD&amp;SCFT=3&amp;window=popup_no_bar&amp;width=385&amp;height=120&amp;START_MAXIMIZED=FALSE&amp;creator=factset&amp;display_string=Audit"}</definedName>
    <definedName name="_2423__FDSAUDITLINK__" hidden="1">{"fdsup://Directions/FactSet Auditing Viewer?action=AUDIT_VALUE&amp;DB=129&amp;ID1=48248010&amp;VALUEID=02001&amp;SDATE=200602&amp;PERIODTYPE=QTR_STD&amp;SCFT=3&amp;window=popup_no_bar&amp;width=385&amp;height=120&amp;START_MAXIMIZED=FALSE&amp;creator=factset&amp;display_string=Audit"}</definedName>
    <definedName name="_2424__FDSAUDITLINK__" hidden="1">{"fdsup://Directions/FactSet Auditing Viewer?action=AUDIT_VALUE&amp;DB=129&amp;ID1=48248010&amp;VALUEID=02001&amp;SDATE=200602&amp;PERIODTYPE=QTR_STD&amp;SCFT=3&amp;window=popup_no_bar&amp;width=385&amp;height=120&amp;START_MAXIMIZED=FALSE&amp;creator=factset&amp;display_string=Audit"}</definedName>
    <definedName name="_2425__FDSAUDITLINK__" hidden="1">{"fdsup://Directions/FactSet Auditing Viewer?action=AUDIT_VALUE&amp;DB=129&amp;ID1=48836020&amp;VALUEID=02001&amp;SDATE=200503&amp;PERIODTYPE=QTR_STD&amp;SCFT=3&amp;window=popup_no_bar&amp;width=385&amp;height=120&amp;START_MAXIMIZED=FALSE&amp;creator=factset&amp;display_string=Audit"}</definedName>
    <definedName name="_2426__FDSAUDITLINK__" hidden="1">{"fdsup://Directions/FactSet Auditing Viewer?action=AUDIT_VALUE&amp;DB=129&amp;ID1=48836020&amp;VALUEID=02001&amp;SDATE=200503&amp;PERIODTYPE=QTR_STD&amp;SCFT=3&amp;window=popup_no_bar&amp;width=385&amp;height=120&amp;START_MAXIMIZED=FALSE&amp;creator=factset&amp;display_string=Audit"}</definedName>
    <definedName name="_2427__FDSAUDITLINK__" hidden="1">{"fdsup://Directions/FactSet Auditing Viewer?action=AUDIT_VALUE&amp;DB=129&amp;ID1=86681020&amp;VALUEID=02001&amp;SDATE=200602&amp;PERIODTYPE=QTR_STD&amp;SCFT=3&amp;window=popup_no_bar&amp;width=385&amp;height=120&amp;START_MAXIMIZED=FALSE&amp;creator=factset&amp;display_string=Audit"}</definedName>
    <definedName name="_2428__FDSAUDITLINK__" hidden="1">{"fdsup://Directions/FactSet Auditing Viewer?action=AUDIT_VALUE&amp;DB=129&amp;ID1=86681020&amp;VALUEID=02001&amp;SDATE=200602&amp;PERIODTYPE=QTR_STD&amp;SCFT=3&amp;window=popup_no_bar&amp;width=385&amp;height=120&amp;START_MAXIMIZED=FALSE&amp;creator=factset&amp;display_string=Audit"}</definedName>
    <definedName name="_2429__FDSAUDITLINK__" hidden="1">{"fdsup://Directions/FactSet Auditing Viewer?action=AUDIT_VALUE&amp;DB=129&amp;ID1=46025410&amp;VALUEID=02001&amp;SDATE=200602&amp;PERIODTYPE=QTR_STD&amp;SCFT=3&amp;window=popup_no_bar&amp;width=385&amp;height=120&amp;START_MAXIMIZED=FALSE&amp;creator=factset&amp;display_string=Audit"}</definedName>
    <definedName name="_243__FDSAUDITLINK__" hidden="1">{"fdsup://Directions/FactSet Auditing Viewer?action=AUDIT_VALUE&amp;DB=129&amp;ID1=45772F10&amp;VALUEID=02001&amp;SDATE=201004&amp;PERIODTYPE=QTR_STD&amp;SCFT=3&amp;window=popup_no_bar&amp;width=385&amp;height=120&amp;START_MAXIMIZED=FALSE&amp;creator=factset&amp;display_string=Audit"}</definedName>
    <definedName name="_2430__FDSAUDITLINK__" hidden="1">{"fdsup://Directions/FactSet Auditing Viewer?action=AUDIT_VALUE&amp;DB=129&amp;ID1=46025410&amp;VALUEID=02001&amp;SDATE=200602&amp;PERIODTYPE=QTR_STD&amp;SCFT=3&amp;window=popup_no_bar&amp;width=385&amp;height=120&amp;START_MAXIMIZED=FALSE&amp;creator=factset&amp;display_string=Audit"}</definedName>
    <definedName name="_2431__FDSAUDITLINK__" hidden="1">{"fdsup://Directions/FactSet Auditing Viewer?action=AUDIT_VALUE&amp;DB=129&amp;ID1=45811810&amp;VALUEID=02001&amp;SDATE=200503&amp;PERIODTYPE=QTR_STD&amp;SCFT=3&amp;window=popup_no_bar&amp;width=385&amp;height=120&amp;START_MAXIMIZED=FALSE&amp;creator=factset&amp;display_string=Audit"}</definedName>
    <definedName name="_2432__FDSAUDITLINK__" hidden="1">{"fdsup://Directions/FactSet Auditing Viewer?action=AUDIT_VALUE&amp;DB=129&amp;ID1=45811810&amp;VALUEID=02001&amp;SDATE=200503&amp;PERIODTYPE=QTR_STD&amp;SCFT=3&amp;window=popup_no_bar&amp;width=385&amp;height=120&amp;START_MAXIMIZED=FALSE&amp;creator=factset&amp;display_string=Audit"}</definedName>
    <definedName name="_2433__FDSAUDITLINK__" hidden="1">{"fdsup://Directions/FactSet Auditing Viewer?action=AUDIT_VALUE&amp;DB=129&amp;ID1=42823610&amp;VALUEID=02001&amp;SDATE=200601&amp;PERIODTYPE=QTR_STD&amp;SCFT=3&amp;window=popup_no_bar&amp;width=385&amp;height=120&amp;START_MAXIMIZED=FALSE&amp;creator=factset&amp;display_string=Audit"}</definedName>
    <definedName name="_2434__FDSAUDITLINK__" hidden="1">{"fdsup://Directions/FactSet Auditing Viewer?action=AUDIT_VALUE&amp;DB=129&amp;ID1=42823610&amp;VALUEID=02001&amp;SDATE=200601&amp;PERIODTYPE=QTR_STD&amp;SCFT=3&amp;window=popup_no_bar&amp;width=385&amp;height=120&amp;START_MAXIMIZED=FALSE&amp;creator=factset&amp;display_string=Audit"}</definedName>
    <definedName name="_2435__FDSAUDITLINK__" hidden="1">{"fdsup://Directions/FactSet Auditing Viewer?action=AUDIT_VALUE&amp;DB=129&amp;ID1=31561610&amp;VALUEID=02001&amp;SDATE=200601&amp;PERIODTYPE=QTR_STD&amp;SCFT=3&amp;window=popup_no_bar&amp;width=385&amp;height=120&amp;START_MAXIMIZED=FALSE&amp;creator=factset&amp;display_string=Audit"}</definedName>
    <definedName name="_2436__FDSAUDITLINK__" hidden="1">{"fdsup://Directions/FactSet Auditing Viewer?action=AUDIT_VALUE&amp;DB=129&amp;ID1=31561610&amp;VALUEID=02001&amp;SDATE=200601&amp;PERIODTYPE=QTR_STD&amp;SCFT=3&amp;window=popup_no_bar&amp;width=385&amp;height=120&amp;START_MAXIMIZED=FALSE&amp;creator=factset&amp;display_string=Audit"}</definedName>
    <definedName name="_2437__FDSAUDITLINK__" hidden="1">{"fdsup://Directions/FactSet Auditing Viewer?action=AUDIT_VALUE&amp;DB=129&amp;ID1=29247520&amp;VALUEID=02001&amp;SDATE=200602&amp;PERIODTYPE=QTR_STD&amp;SCFT=3&amp;window=popup_no_bar&amp;width=385&amp;height=120&amp;START_MAXIMIZED=FALSE&amp;creator=factset&amp;display_string=Audit"}</definedName>
    <definedName name="_2438__FDSAUDITLINK__" hidden="1">{"fdsup://Directions/FactSet Auditing Viewer?action=AUDIT_VALUE&amp;DB=129&amp;ID1=29247520&amp;VALUEID=02001&amp;SDATE=200602&amp;PERIODTYPE=QTR_STD&amp;SCFT=3&amp;window=popup_no_bar&amp;width=385&amp;height=120&amp;START_MAXIMIZED=FALSE&amp;creator=factset&amp;display_string=Audit"}</definedName>
    <definedName name="_2439__FDSAUDITLINK__" hidden="1">{"fdsup://Directions/FactSet Auditing Viewer?action=AUDIT_VALUE&amp;DB=129&amp;ID1=17275R10&amp;VALUEID=02001&amp;SDATE=200602&amp;PERIODTYPE=QTR_STD&amp;SCFT=3&amp;window=popup_no_bar&amp;width=385&amp;height=120&amp;START_MAXIMIZED=FALSE&amp;creator=factset&amp;display_string=Audit"}</definedName>
    <definedName name="_244__FDSAUDITLINK__" hidden="1">{"fdsup://Directions/FactSet Auditing Viewer?action=AUDIT_VALUE&amp;DB=129&amp;ID1=45772F10&amp;VALUEID=02001&amp;SDATE=201004&amp;PERIODTYPE=QTR_STD&amp;SCFT=3&amp;window=popup_no_bar&amp;width=385&amp;height=120&amp;START_MAXIMIZED=FALSE&amp;creator=factset&amp;display_string=Audit"}</definedName>
    <definedName name="_2440__FDSAUDITLINK__" hidden="1">{"fdsup://Directions/FactSet Auditing Viewer?action=AUDIT_VALUE&amp;DB=129&amp;ID1=17275R10&amp;VALUEID=02001&amp;SDATE=200602&amp;PERIODTYPE=QTR_STD&amp;SCFT=3&amp;window=popup_no_bar&amp;width=385&amp;height=120&amp;START_MAXIMIZED=FALSE&amp;creator=factset&amp;display_string=Audit"}</definedName>
    <definedName name="_2441__FDSAUDITLINK__" hidden="1">{"fdsup://Directions/FactSet Auditing Viewer?action=AUDIT_VALUE&amp;DB=129&amp;ID1=22544710&amp;VALUEID=02001&amp;SDATE=200602&amp;PERIODTYPE=QTR_STD&amp;SCFT=3&amp;window=popup_no_bar&amp;width=385&amp;height=120&amp;START_MAXIMIZED=FALSE&amp;creator=factset&amp;display_string=Audit"}</definedName>
    <definedName name="_2442__FDSAUDITLINK__" hidden="1">{"fdsup://Directions/FactSet Auditing Viewer?action=AUDIT_VALUE&amp;DB=129&amp;ID1=22544710&amp;VALUEID=02001&amp;SDATE=200602&amp;PERIODTYPE=QTR_STD&amp;SCFT=3&amp;window=popup_no_bar&amp;width=385&amp;height=120&amp;START_MAXIMIZED=FALSE&amp;creator=factset&amp;display_string=Audit"}</definedName>
    <definedName name="_2443__FDSAUDITLINK__" hidden="1">{"fdsup://Directions/FactSet Auditing Viewer?action=AUDIT_VALUE&amp;DB=129&amp;ID1=12738710&amp;VALUEID=02001&amp;SDATE=200504&amp;PERIODTYPE=QTR_STD&amp;SCFT=3&amp;window=popup_no_bar&amp;width=385&amp;height=120&amp;START_MAXIMIZED=FALSE&amp;creator=factset&amp;display_string=Audit"}</definedName>
    <definedName name="_2444__FDSAUDITLINK__" hidden="1">{"fdsup://Directions/FactSet Auditing Viewer?action=AUDIT_VALUE&amp;DB=129&amp;ID1=12738710&amp;VALUEID=02001&amp;SDATE=200504&amp;PERIODTYPE=QTR_STD&amp;SCFT=3&amp;window=popup_no_bar&amp;width=385&amp;height=120&amp;START_MAXIMIZED=FALSE&amp;creator=factset&amp;display_string=Audit"}</definedName>
    <definedName name="_2445__FDSAUDITLINK__" hidden="1">{"fdsup://Directions/FactSet Auditing Viewer?action=AUDIT_VALUE&amp;DB=129&amp;ID1=11162130&amp;VALUEID=02001&amp;SDATE=200601&amp;PERIODTYPE=QTR_STD&amp;SCFT=3&amp;window=popup_no_bar&amp;width=385&amp;height=120&amp;START_MAXIMIZED=FALSE&amp;creator=factset&amp;display_string=Audit"}</definedName>
    <definedName name="_2446__FDSAUDITLINK__" hidden="1">{"fdsup://Directions/FactSet Auditing Viewer?action=AUDIT_VALUE&amp;DB=129&amp;ID1=11162130&amp;VALUEID=02001&amp;SDATE=200601&amp;PERIODTYPE=QTR_STD&amp;SCFT=3&amp;window=popup_no_bar&amp;width=385&amp;height=120&amp;START_MAXIMIZED=FALSE&amp;creator=factset&amp;display_string=Audit"}</definedName>
    <definedName name="_2447__FDSAUDITLINK__" hidden="1">{"fdsup://Directions/FactSet Auditing Viewer?action=AUDIT_VALUE&amp;DB=129&amp;ID1=03822W40&amp;VALUEID=02001&amp;SDATE=200503&amp;PERIODTYPE=QTR_STD&amp;SCFT=3&amp;window=popup_no_bar&amp;width=385&amp;height=120&amp;START_MAXIMIZED=FALSE&amp;creator=factset&amp;display_string=Audit"}</definedName>
    <definedName name="_2448__FDSAUDITLINK__" hidden="1">{"fdsup://Directions/FactSet Auditing Viewer?action=AUDIT_VALUE&amp;DB=129&amp;ID1=03822W40&amp;VALUEID=02001&amp;SDATE=200503&amp;PERIODTYPE=QTR_STD&amp;SCFT=3&amp;window=popup_no_bar&amp;width=385&amp;height=120&amp;START_MAXIMIZED=FALSE&amp;creator=factset&amp;display_string=Audit"}</definedName>
    <definedName name="_2449__FDSAUDITLINK__" hidden="1">{"fdsup://Directions/FactSet Auditing Viewer?action=AUDIT_VALUE&amp;DB=129&amp;ID1=03822210&amp;VALUEID=02001&amp;SDATE=200601&amp;PERIODTYPE=QTR_STD&amp;SCFT=3&amp;window=popup_no_bar&amp;width=385&amp;height=120&amp;START_MAXIMIZED=FALSE&amp;creator=factset&amp;display_string=Audit"}</definedName>
    <definedName name="_245__FDSAUDITLINK__" hidden="1">{"fdsup://Directions/FactSet Auditing Viewer?action=AUDIT_VALUE&amp;DB=129&amp;ID1=45814010&amp;VALUEID=02001&amp;SDATE=201004&amp;PERIODTYPE=QTR_STD&amp;SCFT=3&amp;window=popup_no_bar&amp;width=385&amp;height=120&amp;START_MAXIMIZED=FALSE&amp;creator=factset&amp;display_string=Audit"}</definedName>
    <definedName name="_2450__FDSAUDITLINK__" hidden="1">{"fdsup://Directions/FactSet Auditing Viewer?action=AUDIT_VALUE&amp;DB=129&amp;ID1=03822210&amp;VALUEID=02001&amp;SDATE=200601&amp;PERIODTYPE=QTR_STD&amp;SCFT=3&amp;window=popup_no_bar&amp;width=385&amp;height=120&amp;START_MAXIMIZED=FALSE&amp;creator=factset&amp;display_string=Audit"}</definedName>
    <definedName name="_2451__FDSAUDITLINK__" hidden="1">{"fdsup://Directions/FactSet Auditing Viewer?action=AUDIT_VALUE&amp;DB=129&amp;ID1=03265410&amp;VALUEID=02001&amp;SDATE=200601&amp;PERIODTYPE=QTR_STD&amp;SCFT=3&amp;window=popup_no_bar&amp;width=385&amp;height=120&amp;START_MAXIMIZED=FALSE&amp;creator=factset&amp;display_string=Audit"}</definedName>
    <definedName name="_2452__FDSAUDITLINK__" hidden="1">{"fdsup://Directions/FactSet Auditing Viewer?action=AUDIT_VALUE&amp;DB=129&amp;ID1=03265410&amp;VALUEID=02001&amp;SDATE=200601&amp;PERIODTYPE=QTR_STD&amp;SCFT=3&amp;window=popup_no_bar&amp;width=385&amp;height=120&amp;START_MAXIMIZED=FALSE&amp;creator=factset&amp;display_string=Audit"}</definedName>
    <definedName name="_2453__FDSAUDITLINK__" hidden="1">{"fdsup://Directions/FactSet Auditing Viewer?action=AUDIT_VALUE&amp;DB=129&amp;ID1=98975F10&amp;VALUEID=02001&amp;SDATE=200503&amp;PERIODTYPE=QTR_STD&amp;SCFT=3&amp;window=popup_no_bar&amp;width=385&amp;height=120&amp;START_MAXIMIZED=FALSE&amp;creator=factset&amp;display_string=Audit"}</definedName>
    <definedName name="_2454__FDSAUDITLINK__" hidden="1">{"fdsup://Directions/FactSet Auditing Viewer?action=AUDIT_VALUE&amp;DB=129&amp;ID1=98975F10&amp;VALUEID=02001&amp;SDATE=200503&amp;PERIODTYPE=QTR_STD&amp;SCFT=3&amp;window=popup_no_bar&amp;width=385&amp;height=120&amp;START_MAXIMIZED=FALSE&amp;creator=factset&amp;display_string=Audit"}</definedName>
    <definedName name="_2455__FDSAUDITLINK__" hidden="1">{"fdsup://Directions/FactSet Auditing Viewer?action=AUDIT_VALUE&amp;DB=129&amp;ID1=98391910&amp;VALUEID=02001&amp;SDATE=200502&amp;PERIODTYPE=QTR_STD&amp;SCFT=3&amp;window=popup_no_bar&amp;width=385&amp;height=120&amp;START_MAXIMIZED=FALSE&amp;creator=factset&amp;display_string=Audit"}</definedName>
    <definedName name="_2456__FDSAUDITLINK__" hidden="1">{"fdsup://Directions/FactSet Auditing Viewer?action=AUDIT_VALUE&amp;DB=129&amp;ID1=98391910&amp;VALUEID=02001&amp;SDATE=200502&amp;PERIODTYPE=QTR_STD&amp;SCFT=3&amp;window=popup_no_bar&amp;width=385&amp;height=120&amp;START_MAXIMIZED=FALSE&amp;creator=factset&amp;display_string=Audit"}</definedName>
    <definedName name="_2457__FDSAUDITLINK__" hidden="1">{"fdsup://Directions/FactSet Auditing Viewer?action=AUDIT_VALUE&amp;DB=129&amp;ID1=95810210&amp;VALUEID=02001&amp;SDATE=200601&amp;PERIODTYPE=QTR_STD&amp;SCFT=3&amp;window=popup_no_bar&amp;width=385&amp;height=120&amp;START_MAXIMIZED=FALSE&amp;creator=factset&amp;display_string=Audit"}</definedName>
    <definedName name="_2458__FDSAUDITLINK__" hidden="1">{"fdsup://Directions/FactSet Auditing Viewer?action=AUDIT_VALUE&amp;DB=129&amp;ID1=95810210&amp;VALUEID=02001&amp;SDATE=200601&amp;PERIODTYPE=QTR_STD&amp;SCFT=3&amp;window=popup_no_bar&amp;width=385&amp;height=120&amp;START_MAXIMIZED=FALSE&amp;creator=factset&amp;display_string=Audit"}</definedName>
    <definedName name="_2459__FDSAUDITLINK__" hidden="1">{"fdsup://Directions/FactSet Auditing Viewer?action=AUDIT_VALUE&amp;DB=129&amp;ID1=88250810&amp;VALUEID=02001&amp;SDATE=200503&amp;PERIODTYPE=QTR_STD&amp;SCFT=3&amp;window=popup_no_bar&amp;width=385&amp;height=120&amp;START_MAXIMIZED=FALSE&amp;creator=factset&amp;display_string=Audit"}</definedName>
    <definedName name="_246__FDSAUDITLINK__" hidden="1">{"fdsup://Directions/FactSet Auditing Viewer?action=AUDIT_VALUE&amp;DB=129&amp;ID1=45814010&amp;VALUEID=02001&amp;SDATE=201004&amp;PERIODTYPE=QTR_STD&amp;SCFT=3&amp;window=popup_no_bar&amp;width=385&amp;height=120&amp;START_MAXIMIZED=FALSE&amp;creator=factset&amp;display_string=Audit"}</definedName>
    <definedName name="_2460__FDSAUDITLINK__" hidden="1">{"fdsup://Directions/FactSet Auditing Viewer?action=AUDIT_VALUE&amp;DB=129&amp;ID1=88250810&amp;VALUEID=02001&amp;SDATE=200503&amp;PERIODTYPE=QTR_STD&amp;SCFT=3&amp;window=popup_no_bar&amp;width=385&amp;height=120&amp;START_MAXIMIZED=FALSE&amp;creator=factset&amp;display_string=Audit"}</definedName>
    <definedName name="_2461__FDSAUDITLINK__" hidden="1">{"fdsup://Directions/FactSet Auditing Viewer?action=AUDIT_VALUE&amp;DB=129&amp;ID1=G7945M10&amp;VALUEID=02001&amp;SDATE=200601&amp;PERIODTYPE=QTR_STD&amp;SCFT=3&amp;window=popup_no_bar&amp;width=385&amp;height=120&amp;START_MAXIMIZED=FALSE&amp;creator=factset&amp;display_string=Audit"}</definedName>
    <definedName name="_2462__FDSAUDITLINK__" hidden="1">{"fdsup://Directions/FactSet Auditing Viewer?action=AUDIT_VALUE&amp;DB=129&amp;ID1=G7945M10&amp;VALUEID=02001&amp;SDATE=200601&amp;PERIODTYPE=QTR_STD&amp;SCFT=3&amp;window=popup_no_bar&amp;width=385&amp;height=120&amp;START_MAXIMIZED=FALSE&amp;creator=factset&amp;display_string=Audit"}</definedName>
    <definedName name="_2463__FDSAUDITLINK__" hidden="1">{"fdsup://Directions/FactSet Auditing Viewer?action=AUDIT_VALUE&amp;DB=129&amp;ID1=78477410&amp;VALUEID=02001&amp;SDATE=200503&amp;PERIODTYPE=QTR_STD&amp;SCFT=3&amp;window=popup_no_bar&amp;width=385&amp;height=120&amp;START_MAXIMIZED=FALSE&amp;creator=factset&amp;display_string=Audit"}</definedName>
    <definedName name="_2464__FDSAUDITLINK__" hidden="1">{"fdsup://Directions/FactSet Auditing Viewer?action=AUDIT_VALUE&amp;DB=129&amp;ID1=78477410&amp;VALUEID=02001&amp;SDATE=200503&amp;PERIODTYPE=QTR_STD&amp;SCFT=3&amp;window=popup_no_bar&amp;width=385&amp;height=120&amp;START_MAXIMIZED=FALSE&amp;creator=factset&amp;display_string=Audit"}</definedName>
    <definedName name="_2465__FDSAUDITLINK__" hidden="1">{"fdsup://Directions/FactSet Auditing Viewer?action=AUDIT_VALUE&amp;DB=129&amp;ID1=83547010&amp;VALUEID=02001&amp;SDATE=200503&amp;PERIODTYPE=QTR_STD&amp;SCFT=3&amp;window=popup_no_bar&amp;width=385&amp;height=120&amp;START_MAXIMIZED=FALSE&amp;creator=factset&amp;display_string=Audit"}</definedName>
    <definedName name="_2466__FDSAUDITLINK__" hidden="1">{"fdsup://Directions/FactSet Auditing Viewer?action=AUDIT_VALUE&amp;DB=129&amp;ID1=83547010&amp;VALUEID=02001&amp;SDATE=200503&amp;PERIODTYPE=QTR_STD&amp;SCFT=3&amp;window=popup_no_bar&amp;width=385&amp;height=120&amp;START_MAXIMIZED=FALSE&amp;creator=factset&amp;display_string=Audit"}</definedName>
    <definedName name="_2467__FDSAUDITLINK__" hidden="1">{"fdsup://Directions/FactSet Auditing Viewer?action=AUDIT_VALUE&amp;DB=129&amp;ID1=80004C10&amp;VALUEID=02001&amp;SDATE=200503&amp;PERIODTYPE=QTR_STD&amp;SCFT=3&amp;window=popup_no_bar&amp;width=385&amp;height=120&amp;START_MAXIMIZED=FALSE&amp;creator=factset&amp;display_string=Audit"}</definedName>
    <definedName name="_2468__FDSAUDITLINK__" hidden="1">{"fdsup://Directions/FactSet Auditing Viewer?action=AUDIT_VALUE&amp;DB=129&amp;ID1=80004C10&amp;VALUEID=02001&amp;SDATE=200503&amp;PERIODTYPE=QTR_STD&amp;SCFT=3&amp;window=popup_no_bar&amp;width=385&amp;height=120&amp;START_MAXIMIZED=FALSE&amp;creator=factset&amp;display_string=Audit"}</definedName>
    <definedName name="_2469__FDSAUDITLINK__" hidden="1">{"fdsup://Directions/FactSet Auditing Viewer?action=AUDIT_VALUE&amp;DB=129&amp;ID1=81685010&amp;VALUEID=02001&amp;SDATE=200503&amp;PERIODTYPE=QTR_STD&amp;SCFT=3&amp;window=popup_no_bar&amp;width=385&amp;height=120&amp;START_MAXIMIZED=FALSE&amp;creator=factset&amp;display_string=Audit"}</definedName>
    <definedName name="_247__FDSAUDITLINK__" hidden="1">{"fdsup://Directions/FactSet Auditing Viewer?action=AUDIT_VALUE&amp;DB=129&amp;ID1=45811810&amp;VALUEID=02001&amp;SDATE=201003&amp;PERIODTYPE=QTR_STD&amp;SCFT=3&amp;window=popup_no_bar&amp;width=385&amp;height=120&amp;START_MAXIMIZED=FALSE&amp;creator=factset&amp;display_string=Audit"}</definedName>
    <definedName name="_2470__FDSAUDITLINK__" hidden="1">{"fdsup://Directions/FactSet Auditing Viewer?action=AUDIT_VALUE&amp;DB=129&amp;ID1=81685010&amp;VALUEID=02001&amp;SDATE=200503&amp;PERIODTYPE=QTR_STD&amp;SCFT=3&amp;window=popup_no_bar&amp;width=385&amp;height=120&amp;START_MAXIMIZED=FALSE&amp;creator=factset&amp;display_string=Audit"}</definedName>
    <definedName name="_2471__FDSAUDITLINK__" hidden="1">{"fdsup://Directions/FactSet Auditing Viewer?action=AUDIT_VALUE&amp;DB=129&amp;ID1=82691910&amp;VALUEID=02001&amp;SDATE=200503&amp;PERIODTYPE=QTR_STD&amp;SCFT=3&amp;window=popup_no_bar&amp;width=385&amp;height=120&amp;START_MAXIMIZED=FALSE&amp;creator=factset&amp;display_string=Audit"}</definedName>
    <definedName name="_2472__FDSAUDITLINK__" hidden="1">{"fdsup://Directions/FactSet Auditing Viewer?action=AUDIT_VALUE&amp;DB=129&amp;ID1=82691910&amp;VALUEID=02001&amp;SDATE=200503&amp;PERIODTYPE=QTR_STD&amp;SCFT=3&amp;window=popup_no_bar&amp;width=385&amp;height=120&amp;START_MAXIMIZED=FALSE&amp;creator=factset&amp;display_string=Audit"}</definedName>
    <definedName name="_2473__FDSAUDITLINK__" hidden="1">{"fdsup://Directions/FactSet Auditing Viewer?action=AUDIT_VALUE&amp;DB=129&amp;ID1=82705T10&amp;VALUEID=02001&amp;SDATE=200503&amp;PERIODTYPE=QTR_STD&amp;SCFT=3&amp;window=popup_no_bar&amp;width=385&amp;height=120&amp;START_MAXIMIZED=FALSE&amp;creator=factset&amp;display_string=Audit"}</definedName>
    <definedName name="_2474__FDSAUDITLINK__" hidden="1">{"fdsup://Directions/FactSet Auditing Viewer?action=AUDIT_VALUE&amp;DB=129&amp;ID1=82705T10&amp;VALUEID=02001&amp;SDATE=200503&amp;PERIODTYPE=QTR_STD&amp;SCFT=3&amp;window=popup_no_bar&amp;width=385&amp;height=120&amp;START_MAXIMIZED=FALSE&amp;creator=factset&amp;display_string=Audit"}</definedName>
    <definedName name="_2475__FDSAUDITLINK__" hidden="1">{"fdsup://Directions/FactSet Auditing Viewer?action=AUDIT_VALUE&amp;DB=129&amp;ID1=75091710&amp;VALUEID=02001&amp;SDATE=200503&amp;PERIODTYPE=QTR_STD&amp;SCFT=3&amp;window=popup_no_bar&amp;width=385&amp;height=120&amp;START_MAXIMIZED=FALSE&amp;creator=factset&amp;display_string=Audit"}</definedName>
    <definedName name="_2476__FDSAUDITLINK__" hidden="1">{"fdsup://Directions/FactSet Auditing Viewer?action=AUDIT_VALUE&amp;DB=129&amp;ID1=75091710&amp;VALUEID=02001&amp;SDATE=200503&amp;PERIODTYPE=QTR_STD&amp;SCFT=3&amp;window=popup_no_bar&amp;width=385&amp;height=120&amp;START_MAXIMIZED=FALSE&amp;creator=factset&amp;display_string=Audit"}</definedName>
    <definedName name="_2477__FDSAUDITLINK__" hidden="1">{"fdsup://Directions/FactSet Auditing Viewer?action=AUDIT_VALUE&amp;DB=129&amp;ID1=74994110&amp;VALUEID=02001&amp;SDATE=200502&amp;PERIODTYPE=QTR_STD&amp;SCFT=3&amp;window=popup_no_bar&amp;width=385&amp;height=120&amp;START_MAXIMIZED=FALSE&amp;creator=factset&amp;display_string=Audit"}</definedName>
    <definedName name="_2478__FDSAUDITLINK__" hidden="1">{"fdsup://Directions/FactSet Auditing Viewer?action=AUDIT_VALUE&amp;DB=129&amp;ID1=74994110&amp;VALUEID=02001&amp;SDATE=200502&amp;PERIODTYPE=QTR_STD&amp;SCFT=3&amp;window=popup_no_bar&amp;width=385&amp;height=120&amp;START_MAXIMIZED=FALSE&amp;creator=factset&amp;display_string=Audit"}</definedName>
    <definedName name="_2479__FDSAUDITLINK__" hidden="1">{"fdsup://Directions/FactSet Auditing Viewer?action=AUDIT_VALUE&amp;DB=129&amp;ID1=74727710&amp;VALUEID=02001&amp;SDATE=200502&amp;PERIODTYPE=QTR_STD&amp;SCFT=3&amp;window=popup_no_bar&amp;width=385&amp;height=120&amp;START_MAXIMIZED=FALSE&amp;creator=factset&amp;display_string=Audit"}</definedName>
    <definedName name="_248__FDSAUDITLINK__" hidden="1">{"fdsup://Directions/FactSet Auditing Viewer?action=AUDIT_VALUE&amp;DB=129&amp;ID1=45811810&amp;VALUEID=02001&amp;SDATE=201003&amp;PERIODTYPE=QTR_STD&amp;SCFT=3&amp;window=popup_no_bar&amp;width=385&amp;height=120&amp;START_MAXIMIZED=FALSE&amp;creator=factset&amp;display_string=Audit"}</definedName>
    <definedName name="_2480__FDSAUDITLINK__" hidden="1">{"fdsup://Directions/FactSet Auditing Viewer?action=AUDIT_VALUE&amp;DB=129&amp;ID1=74727710&amp;VALUEID=02001&amp;SDATE=200502&amp;PERIODTYPE=QTR_STD&amp;SCFT=3&amp;window=popup_no_bar&amp;width=385&amp;height=120&amp;START_MAXIMIZED=FALSE&amp;creator=factset&amp;display_string=Audit"}</definedName>
    <definedName name="_2481__FDSAUDITLINK__" hidden="1">{"fdsup://Directions/FactSet Auditing Viewer?action=AUDIT_VALUE&amp;DB=129&amp;ID1=72581M30&amp;VALUEID=02001&amp;SDATE=200503&amp;PERIODTYPE=QTR_STD&amp;SCFT=3&amp;window=popup_no_bar&amp;width=385&amp;height=120&amp;START_MAXIMIZED=FALSE&amp;creator=factset&amp;display_string=Audit"}</definedName>
    <definedName name="_2482__FDSAUDITLINK__" hidden="1">{"fdsup://Directions/FactSet Auditing Viewer?action=AUDIT_VALUE&amp;DB=129&amp;ID1=72581M30&amp;VALUEID=02001&amp;SDATE=200503&amp;PERIODTYPE=QTR_STD&amp;SCFT=3&amp;window=popup_no_bar&amp;width=385&amp;height=120&amp;START_MAXIMIZED=FALSE&amp;creator=factset&amp;display_string=Audit"}</definedName>
    <definedName name="_2483__FDSAUDITLINK__" hidden="1">{"fdsup://Directions/FactSet Auditing Viewer?action=AUDIT_VALUE&amp;DB=129&amp;ID1=73927610&amp;VALUEID=02001&amp;SDATE=200503&amp;PERIODTYPE=QTR_STD&amp;SCFT=3&amp;window=popup_no_bar&amp;width=385&amp;height=120&amp;START_MAXIMIZED=FALSE&amp;creator=factset&amp;display_string=Audit"}</definedName>
    <definedName name="_2484__FDSAUDITLINK__" hidden="1">{"fdsup://Directions/FactSet Auditing Viewer?action=AUDIT_VALUE&amp;DB=129&amp;ID1=73927610&amp;VALUEID=02001&amp;SDATE=200503&amp;PERIODTYPE=QTR_STD&amp;SCFT=3&amp;window=popup_no_bar&amp;width=385&amp;height=120&amp;START_MAXIMIZED=FALSE&amp;creator=factset&amp;display_string=Audit"}</definedName>
    <definedName name="_2485__FDSAUDITLINK__" hidden="1">{"fdsup://Directions/FactSet Auditing Viewer?action=AUDIT_VALUE&amp;DB=129&amp;ID1=69344F10&amp;VALUEID=02001&amp;SDATE=200503&amp;PERIODTYPE=QTR_STD&amp;SCFT=3&amp;window=popup_no_bar&amp;width=385&amp;height=120&amp;START_MAXIMIZED=FALSE&amp;creator=factset&amp;display_string=Audit"}</definedName>
    <definedName name="_2486__FDSAUDITLINK__" hidden="1">{"fdsup://Directions/FactSet Auditing Viewer?action=AUDIT_VALUE&amp;DB=129&amp;ID1=69344F10&amp;VALUEID=02001&amp;SDATE=200503&amp;PERIODTYPE=QTR_STD&amp;SCFT=3&amp;window=popup_no_bar&amp;width=385&amp;height=120&amp;START_MAXIMIZED=FALSE&amp;creator=factset&amp;display_string=Audit"}</definedName>
    <definedName name="_2487__FDSAUDITLINK__" hidden="1">{"fdsup://Directions/FactSet Auditing Viewer?action=AUDIT_VALUE&amp;DB=129&amp;ID1=69341710&amp;VALUEID=02001&amp;SDATE=200503&amp;PERIODTYPE=QTR_STD&amp;SCFT=3&amp;window=popup_no_bar&amp;width=385&amp;height=120&amp;START_MAXIMIZED=FALSE&amp;creator=factset&amp;display_string=Audit"}</definedName>
    <definedName name="_2488__FDSAUDITLINK__" hidden="1">{"fdsup://Directions/FactSet Auditing Viewer?action=AUDIT_VALUE&amp;DB=129&amp;ID1=69341710&amp;VALUEID=02001&amp;SDATE=200503&amp;PERIODTYPE=QTR_STD&amp;SCFT=3&amp;window=popup_no_bar&amp;width=385&amp;height=120&amp;START_MAXIMIZED=FALSE&amp;creator=factset&amp;display_string=Audit"}</definedName>
    <definedName name="_2489__FDSAUDITLINK__" hidden="1">{"fdsup://Directions/FactSet Auditing Viewer?action=AUDIT_VALUE&amp;DB=129&amp;ID1=68218910&amp;VALUEID=02001&amp;SDATE=200503&amp;PERIODTYPE=QTR_STD&amp;SCFT=3&amp;window=popup_no_bar&amp;width=385&amp;height=120&amp;START_MAXIMIZED=FALSE&amp;creator=factset&amp;display_string=Audit"}</definedName>
    <definedName name="_249__FDSAUDITLINK__" hidden="1">{"fdsup://Directions/FactSet Auditing Viewer?action=AUDIT_VALUE&amp;DB=129&amp;ID1=42823610&amp;VALUEID=02001&amp;SDATE=201101&amp;PERIODTYPE=QTR_STD&amp;SCFT=3&amp;window=popup_no_bar&amp;width=385&amp;height=120&amp;START_MAXIMIZED=FALSE&amp;creator=factset&amp;display_string=Audit"}</definedName>
    <definedName name="_2490__FDSAUDITLINK__" hidden="1">{"fdsup://Directions/FactSet Auditing Viewer?action=AUDIT_VALUE&amp;DB=129&amp;ID1=68218910&amp;VALUEID=02001&amp;SDATE=200503&amp;PERIODTYPE=QTR_STD&amp;SCFT=3&amp;window=popup_no_bar&amp;width=385&amp;height=120&amp;START_MAXIMIZED=FALSE&amp;creator=factset&amp;display_string=Audit"}</definedName>
    <definedName name="_2491__FDSAUDITLINK__" hidden="1">{"fdsup://Directions/FactSet Auditing Viewer?action=AUDIT_VALUE&amp;DB=129&amp;ID1=67000810&amp;VALUEID=02001&amp;SDATE=200503&amp;PERIODTYPE=QTR_STD&amp;SCFT=3&amp;window=popup_no_bar&amp;width=385&amp;height=120&amp;START_MAXIMIZED=FALSE&amp;creator=factset&amp;display_string=Audit"}</definedName>
    <definedName name="_2492__FDSAUDITLINK__" hidden="1">{"fdsup://Directions/FactSet Auditing Viewer?action=AUDIT_VALUE&amp;DB=129&amp;ID1=67000810&amp;VALUEID=02001&amp;SDATE=200503&amp;PERIODTYPE=QTR_STD&amp;SCFT=3&amp;window=popup_no_bar&amp;width=385&amp;height=120&amp;START_MAXIMIZED=FALSE&amp;creator=factset&amp;display_string=Audit"}</definedName>
    <definedName name="_2493__FDSAUDITLINK__" hidden="1">{"fdsup://Directions/FactSet Auditing Viewer?action=AUDIT_VALUE&amp;DB=129&amp;ID1=67066G10&amp;VALUEID=02001&amp;SDATE=200503&amp;PERIODTYPE=QTR_STD&amp;SCFT=3&amp;window=popup_no_bar&amp;width=385&amp;height=120&amp;START_MAXIMIZED=FALSE&amp;creator=factset&amp;display_string=Audit"}</definedName>
    <definedName name="_2494__FDSAUDITLINK__" hidden="1">{"fdsup://Directions/FactSet Auditing Viewer?action=AUDIT_VALUE&amp;DB=129&amp;ID1=67066G10&amp;VALUEID=02001&amp;SDATE=200503&amp;PERIODTYPE=QTR_STD&amp;SCFT=3&amp;window=popup_no_bar&amp;width=385&amp;height=120&amp;START_MAXIMIZED=FALSE&amp;creator=factset&amp;display_string=Audit"}</definedName>
    <definedName name="_2495__FDSAUDITLINK__" hidden="1">{"fdsup://Directions/FactSet Auditing Viewer?action=AUDIT_VALUE&amp;DB=129&amp;ID1=63764010&amp;VALUEID=02001&amp;SDATE=200501&amp;PERIODTYPE=QTR_STD&amp;SCFT=3&amp;window=popup_no_bar&amp;width=385&amp;height=120&amp;START_MAXIMIZED=FALSE&amp;creator=factset&amp;display_string=Audit"}</definedName>
    <definedName name="_2496__FDSAUDITLINK__" hidden="1">{"fdsup://Directions/FactSet Auditing Viewer?action=AUDIT_VALUE&amp;DB=129&amp;ID1=63764010&amp;VALUEID=02001&amp;SDATE=200501&amp;PERIODTYPE=QTR_STD&amp;SCFT=3&amp;window=popup_no_bar&amp;width=385&amp;height=120&amp;START_MAXIMIZED=FALSE&amp;creator=factset&amp;display_string=Audit"}</definedName>
    <definedName name="_2497__FDSAUDITLINK__" hidden="1">{"fdsup://Directions/FactSet Auditing Viewer?action=AUDIT_VALUE&amp;DB=129&amp;ID1=64118B10&amp;VALUEID=02001&amp;SDATE=200503&amp;PERIODTYPE=QTR_STD&amp;SCFT=3&amp;window=popup_no_bar&amp;width=385&amp;height=120&amp;START_MAXIMIZED=FALSE&amp;creator=factset&amp;display_string=Audit"}</definedName>
    <definedName name="_2498__FDSAUDITLINK__" hidden="1">{"fdsup://Directions/FactSet Auditing Viewer?action=AUDIT_VALUE&amp;DB=129&amp;ID1=64118B10&amp;VALUEID=02001&amp;SDATE=200503&amp;PERIODTYPE=QTR_STD&amp;SCFT=3&amp;window=popup_no_bar&amp;width=385&amp;height=120&amp;START_MAXIMIZED=FALSE&amp;creator=factset&amp;display_string=Audit"}</definedName>
    <definedName name="_2499__FDSAUDITLINK__" hidden="1">{"fdsup://Directions/FactSet Auditing Viewer?action=AUDIT_VALUE&amp;DB=129&amp;ID1=57772K10&amp;VALUEID=02001&amp;SDATE=200601&amp;PERIODTYPE=QTR_STD&amp;SCFT=3&amp;window=popup_no_bar&amp;width=385&amp;height=120&amp;START_MAXIMIZED=FALSE&amp;creator=factset&amp;display_string=Audit"}</definedName>
    <definedName name="_25__FDSAUDITLINK__" hidden="1">{"fdsup://Directions/FactSet Auditing Viewer?action=AUDIT_VALUE&amp;DB=129&amp;ID1=87160710&amp;VALUEID=02001&amp;SDATE=201102&amp;PERIODTYPE=QTR_STD&amp;SCFT=3&amp;window=popup_no_bar&amp;width=385&amp;height=120&amp;START_MAXIMIZED=FALSE&amp;creator=factset&amp;display_string=Audit"}</definedName>
    <definedName name="_250__FDSAUDITLINK__" hidden="1">{"fdsup://Directions/FactSet Auditing Viewer?action=AUDIT_VALUE&amp;DB=129&amp;ID1=42823610&amp;VALUEID=02001&amp;SDATE=201101&amp;PERIODTYPE=QTR_STD&amp;SCFT=3&amp;window=popup_no_bar&amp;width=385&amp;height=120&amp;START_MAXIMIZED=FALSE&amp;creator=factset&amp;display_string=Audit"}</definedName>
    <definedName name="_2500__FDSAUDITLINK__" hidden="1">{"fdsup://Directions/FactSet Auditing Viewer?action=AUDIT_VALUE&amp;DB=129&amp;ID1=57772K10&amp;VALUEID=02001&amp;SDATE=200601&amp;PERIODTYPE=QTR_STD&amp;SCFT=3&amp;window=popup_no_bar&amp;width=385&amp;height=120&amp;START_MAXIMIZED=FALSE&amp;creator=factset&amp;display_string=Audit"}</definedName>
    <definedName name="_2501__FDSAUDITLINK__" hidden="1">{"fdsup://Directions/FactSet Auditing Viewer?action=AUDIT_VALUE&amp;DB=129&amp;ID1=G5876H10&amp;VALUEID=02001&amp;SDATE=200503&amp;PERIODTYPE=QTR_STD&amp;SCFT=3&amp;window=popup_no_bar&amp;width=385&amp;height=120&amp;START_MAXIMIZED=FALSE&amp;creator=factset&amp;display_string=Audit"}</definedName>
    <definedName name="_2502__FDSAUDITLINK__" hidden="1">{"fdsup://Directions/FactSet Auditing Viewer?action=AUDIT_VALUE&amp;DB=129&amp;ID1=G5876H10&amp;VALUEID=02001&amp;SDATE=200503&amp;PERIODTYPE=QTR_STD&amp;SCFT=3&amp;window=popup_no_bar&amp;width=385&amp;height=120&amp;START_MAXIMIZED=FALSE&amp;creator=factset&amp;display_string=Audit"}</definedName>
    <definedName name="_2503__FDSAUDITLINK__" hidden="1">{"fdsup://Directions/FactSet Auditing Viewer?action=AUDIT_VALUE&amp;DB=129&amp;ID1=62007630&amp;VALUEID=02001&amp;SDATE=200503&amp;PERIODTYPE=QTR_STD&amp;SCFT=3&amp;window=popup_no_bar&amp;width=385&amp;height=120&amp;START_MAXIMIZED=FALSE&amp;creator=factset&amp;display_string=Audit"}</definedName>
    <definedName name="_2504__FDSAUDITLINK__" hidden="1">{"fdsup://Directions/FactSet Auditing Viewer?action=AUDIT_VALUE&amp;DB=129&amp;ID1=62007630&amp;VALUEID=02001&amp;SDATE=200503&amp;PERIODTYPE=QTR_STD&amp;SCFT=3&amp;window=popup_no_bar&amp;width=385&amp;height=120&amp;START_MAXIMIZED=FALSE&amp;creator=factset&amp;display_string=Audit"}</definedName>
    <definedName name="_2505__FDSAUDITLINK__" hidden="1">{"fdsup://Directions/FactSet Auditing Viewer?action=AUDIT_VALUE&amp;DB=129&amp;ID1=60456710&amp;VALUEID=02001&amp;SDATE=200601&amp;PERIODTYPE=QTR_STD&amp;SCFT=3&amp;window=popup_no_bar&amp;width=385&amp;height=120&amp;START_MAXIMIZED=FALSE&amp;creator=factset&amp;display_string=Audit"}</definedName>
    <definedName name="_2506__FDSAUDITLINK__" hidden="1">{"fdsup://Directions/FactSet Auditing Viewer?action=AUDIT_VALUE&amp;DB=129&amp;ID1=60456710&amp;VALUEID=02001&amp;SDATE=200601&amp;PERIODTYPE=QTR_STD&amp;SCFT=3&amp;window=popup_no_bar&amp;width=385&amp;height=120&amp;START_MAXIMIZED=FALSE&amp;creator=factset&amp;display_string=Audit"}</definedName>
    <definedName name="_2507__FDSAUDITLINK__" hidden="1">{"fdsup://Directions/FactSet Auditing Viewer?action=AUDIT_VALUE&amp;DB=129&amp;ID1=59501710&amp;VALUEID=02001&amp;SDATE=200502&amp;PERIODTYPE=QTR_STD&amp;SCFT=3&amp;window=popup_no_bar&amp;width=385&amp;height=120&amp;START_MAXIMIZED=FALSE&amp;creator=factset&amp;display_string=Audit"}</definedName>
    <definedName name="_2508__FDSAUDITLINK__" hidden="1">{"fdsup://Directions/FactSet Auditing Viewer?action=AUDIT_VALUE&amp;DB=129&amp;ID1=59501710&amp;VALUEID=02001&amp;SDATE=200502&amp;PERIODTYPE=QTR_STD&amp;SCFT=3&amp;window=popup_no_bar&amp;width=385&amp;height=120&amp;START_MAXIMIZED=FALSE&amp;creator=factset&amp;display_string=Audit"}</definedName>
    <definedName name="_2509__FDSAUDITLINK__" hidden="1">{"fdsup://Directions/FactSet Auditing Viewer?action=AUDIT_VALUE&amp;DB=129&amp;ID1=50216110&amp;VALUEID=02001&amp;SDATE=200503&amp;PERIODTYPE=QTR_STD&amp;SCFT=3&amp;window=popup_no_bar&amp;width=385&amp;height=120&amp;START_MAXIMIZED=FALSE&amp;creator=factset&amp;display_string=Audit"}</definedName>
    <definedName name="_251__FDSAUDITLINK__" hidden="1">{"fdsup://Directions/FactSet Auditing Viewer?action=AUDIT_VALUE&amp;DB=129&amp;ID1=H2906T10&amp;VALUEID=02001&amp;SDATE=201004&amp;PERIODTYPE=QTR_STD&amp;SCFT=3&amp;window=popup_no_bar&amp;width=385&amp;height=120&amp;START_MAXIMIZED=FALSE&amp;creator=factset&amp;display_string=Audit"}</definedName>
    <definedName name="_2510__FDSAUDITLINK__" hidden="1">{"fdsup://Directions/FactSet Auditing Viewer?action=AUDIT_VALUE&amp;DB=129&amp;ID1=50216110&amp;VALUEID=02001&amp;SDATE=200503&amp;PERIODTYPE=QTR_STD&amp;SCFT=3&amp;window=popup_no_bar&amp;width=385&amp;height=120&amp;START_MAXIMIZED=FALSE&amp;creator=factset&amp;display_string=Audit"}</definedName>
    <definedName name="_2511__FDSAUDITLINK__" hidden="1">{"fdsup://Directions/FactSet Auditing Viewer?action=AUDIT_VALUE&amp;DB=129&amp;ID1=51841510&amp;VALUEID=02001&amp;SDATE=200503&amp;PERIODTYPE=QTR_STD&amp;SCFT=3&amp;window=popup_no_bar&amp;width=385&amp;height=120&amp;START_MAXIMIZED=FALSE&amp;creator=factset&amp;display_string=Audit"}</definedName>
    <definedName name="_2512__FDSAUDITLINK__" hidden="1">{"fdsup://Directions/FactSet Auditing Viewer?action=AUDIT_VALUE&amp;DB=129&amp;ID1=51841510&amp;VALUEID=02001&amp;SDATE=200503&amp;PERIODTYPE=QTR_STD&amp;SCFT=3&amp;window=popup_no_bar&amp;width=385&amp;height=120&amp;START_MAXIMIZED=FALSE&amp;creator=factset&amp;display_string=Audit"}</definedName>
    <definedName name="_2513__FDSAUDITLINK__" hidden="1">{"fdsup://Directions/FactSet Auditing Viewer?action=AUDIT_VALUE&amp;DB=129&amp;ID1=51280710&amp;VALUEID=02001&amp;SDATE=200601&amp;PERIODTYPE=QTR_STD&amp;SCFT=3&amp;window=popup_no_bar&amp;width=385&amp;height=120&amp;START_MAXIMIZED=FALSE&amp;creator=factset&amp;display_string=Audit"}</definedName>
    <definedName name="_2514__FDSAUDITLINK__" hidden="1">{"fdsup://Directions/FactSet Auditing Viewer?action=AUDIT_VALUE&amp;DB=129&amp;ID1=51280710&amp;VALUEID=02001&amp;SDATE=200601&amp;PERIODTYPE=QTR_STD&amp;SCFT=3&amp;window=popup_no_bar&amp;width=385&amp;height=120&amp;START_MAXIMIZED=FALSE&amp;creator=factset&amp;display_string=Audit"}</definedName>
    <definedName name="_2515__FDSAUDITLINK__" hidden="1">{"fdsup://Directions/FactSet Auditing Viewer?action=AUDIT_VALUE&amp;DB=129&amp;ID1=53567810&amp;VALUEID=02001&amp;SDATE=200601&amp;PERIODTYPE=QTR_STD&amp;SCFT=3&amp;window=popup_no_bar&amp;width=385&amp;height=120&amp;START_MAXIMIZED=FALSE&amp;creator=factset&amp;display_string=Audit"}</definedName>
    <definedName name="_2516__FDSAUDITLINK__" hidden="1">{"fdsup://Directions/FactSet Auditing Viewer?action=AUDIT_VALUE&amp;DB=129&amp;ID1=53567810&amp;VALUEID=02001&amp;SDATE=200601&amp;PERIODTYPE=QTR_STD&amp;SCFT=3&amp;window=popup_no_bar&amp;width=385&amp;height=120&amp;START_MAXIMIZED=FALSE&amp;creator=factset&amp;display_string=Audit"}</definedName>
    <definedName name="_2517__FDSAUDITLINK__" hidden="1">{"fdsup://Directions/FactSet Auditing Viewer?action=AUDIT_VALUE&amp;DB=129&amp;ID1=48248010&amp;VALUEID=02001&amp;SDATE=200601&amp;PERIODTYPE=QTR_STD&amp;SCFT=3&amp;window=popup_no_bar&amp;width=385&amp;height=120&amp;START_MAXIMIZED=FALSE&amp;creator=factset&amp;display_string=Audit"}</definedName>
    <definedName name="_2518__FDSAUDITLINK__" hidden="1">{"fdsup://Directions/FactSet Auditing Viewer?action=AUDIT_VALUE&amp;DB=129&amp;ID1=48248010&amp;VALUEID=02001&amp;SDATE=200601&amp;PERIODTYPE=QTR_STD&amp;SCFT=3&amp;window=popup_no_bar&amp;width=385&amp;height=120&amp;START_MAXIMIZED=FALSE&amp;creator=factset&amp;display_string=Audit"}</definedName>
    <definedName name="_2519__FDSAUDITLINK__" hidden="1">{"fdsup://Directions/FactSet Auditing Viewer?action=AUDIT_VALUE&amp;DB=129&amp;ID1=48203R10&amp;VALUEID=02001&amp;SDATE=200503&amp;PERIODTYPE=QTR_STD&amp;SCFT=3&amp;window=popup_no_bar&amp;width=385&amp;height=120&amp;START_MAXIMIZED=FALSE&amp;creator=factset&amp;display_string=Audit"}</definedName>
    <definedName name="_252__FDSAUDITLINK__" hidden="1">{"fdsup://Directions/FactSet Auditing Viewer?action=AUDIT_VALUE&amp;DB=129&amp;ID1=H2906T10&amp;VALUEID=02001&amp;SDATE=201004&amp;PERIODTYPE=QTR_STD&amp;SCFT=3&amp;window=popup_no_bar&amp;width=385&amp;height=120&amp;START_MAXIMIZED=FALSE&amp;creator=factset&amp;display_string=Audit"}</definedName>
    <definedName name="_2520__FDSAUDITLINK__" hidden="1">{"fdsup://Directions/FactSet Auditing Viewer?action=AUDIT_VALUE&amp;DB=129&amp;ID1=48203R10&amp;VALUEID=02001&amp;SDATE=200503&amp;PERIODTYPE=QTR_STD&amp;SCFT=3&amp;window=popup_no_bar&amp;width=385&amp;height=120&amp;START_MAXIMIZED=FALSE&amp;creator=factset&amp;display_string=Audit"}</definedName>
    <definedName name="_2521__FDSAUDITLINK__" hidden="1">{"fdsup://Directions/FactSet Auditing Viewer?action=AUDIT_VALUE&amp;DB=129&amp;ID1=86681020&amp;VALUEID=02001&amp;SDATE=200601&amp;PERIODTYPE=QTR_STD&amp;SCFT=3&amp;window=popup_no_bar&amp;width=385&amp;height=120&amp;START_MAXIMIZED=FALSE&amp;creator=factset&amp;display_string=Audit"}</definedName>
    <definedName name="_2522__FDSAUDITLINK__" hidden="1">{"fdsup://Directions/FactSet Auditing Viewer?action=AUDIT_VALUE&amp;DB=129&amp;ID1=86681020&amp;VALUEID=02001&amp;SDATE=200601&amp;PERIODTYPE=QTR_STD&amp;SCFT=3&amp;window=popup_no_bar&amp;width=385&amp;height=120&amp;START_MAXIMIZED=FALSE&amp;creator=factset&amp;display_string=Audit"}</definedName>
    <definedName name="_2523__FDSAUDITLINK__" hidden="1">{"fdsup://Directions/FactSet Auditing Viewer?action=AUDIT_VALUE&amp;DB=129&amp;ID1=46069S10&amp;VALUEID=02001&amp;SDATE=200503&amp;PERIODTYPE=QTR_STD&amp;SCFT=3&amp;window=popup_no_bar&amp;width=385&amp;height=120&amp;START_MAXIMIZED=FALSE&amp;creator=factset&amp;display_string=Audit"}</definedName>
    <definedName name="_2524__FDSAUDITLINK__" hidden="1">{"fdsup://Directions/FactSet Auditing Viewer?action=AUDIT_VALUE&amp;DB=129&amp;ID1=46069S10&amp;VALUEID=02001&amp;SDATE=200503&amp;PERIODTYPE=QTR_STD&amp;SCFT=3&amp;window=popup_no_bar&amp;width=385&amp;height=120&amp;START_MAXIMIZED=FALSE&amp;creator=factset&amp;display_string=Audit"}</definedName>
    <definedName name="_2525__FDSAUDITLINK__" hidden="1">{"fdsup://Directions/FactSet Auditing Viewer?action=AUDIT_VALUE&amp;DB=129&amp;ID1=46025410&amp;VALUEID=02001&amp;SDATE=200601&amp;PERIODTYPE=QTR_STD&amp;SCFT=3&amp;window=popup_no_bar&amp;width=385&amp;height=120&amp;START_MAXIMIZED=FALSE&amp;creator=factset&amp;display_string=Audit"}</definedName>
    <definedName name="_2526__FDSAUDITLINK__" hidden="1">{"fdsup://Directions/FactSet Auditing Viewer?action=AUDIT_VALUE&amp;DB=129&amp;ID1=46025410&amp;VALUEID=02001&amp;SDATE=200601&amp;PERIODTYPE=QTR_STD&amp;SCFT=3&amp;window=popup_no_bar&amp;width=385&amp;height=120&amp;START_MAXIMIZED=FALSE&amp;creator=factset&amp;display_string=Audit"}</definedName>
    <definedName name="_2527__FDSAUDITLINK__" hidden="1">{"fdsup://Directions/FactSet Auditing Viewer?action=AUDIT_VALUE&amp;DB=129&amp;ID1=45814010&amp;VALUEID=02001&amp;SDATE=200503&amp;PERIODTYPE=QTR_STD&amp;SCFT=3&amp;window=popup_no_bar&amp;width=385&amp;height=120&amp;START_MAXIMIZED=FALSE&amp;creator=factset&amp;display_string=Audit"}</definedName>
    <definedName name="_2528__FDSAUDITLINK__" hidden="1">{"fdsup://Directions/FactSet Auditing Viewer?action=AUDIT_VALUE&amp;DB=129&amp;ID1=45814010&amp;VALUEID=02001&amp;SDATE=200503&amp;PERIODTYPE=QTR_STD&amp;SCFT=3&amp;window=popup_no_bar&amp;width=385&amp;height=120&amp;START_MAXIMIZED=FALSE&amp;creator=factset&amp;display_string=Audit"}</definedName>
    <definedName name="_2529__FDSAUDITLINK__" hidden="1">{"fdsup://Directions/FactSet Auditing Viewer?action=AUDIT_VALUE&amp;DB=129&amp;ID1=45811810&amp;VALUEID=02001&amp;SDATE=200502&amp;PERIODTYPE=QTR_STD&amp;SCFT=3&amp;window=popup_no_bar&amp;width=385&amp;height=120&amp;START_MAXIMIZED=FALSE&amp;creator=factset&amp;display_string=Audit"}</definedName>
    <definedName name="_253__FDSAUDITLINK__" hidden="1">{"fdsup://Directions/FactSet Auditing Viewer?action=AUDIT_VALUE&amp;DB=129&amp;ID1=34637510&amp;VALUEID=02001&amp;SDATE=201004&amp;PERIODTYPE=QTR_STD&amp;SCFT=3&amp;window=popup_no_bar&amp;width=385&amp;height=120&amp;START_MAXIMIZED=FALSE&amp;creator=factset&amp;display_string=Audit"}</definedName>
    <definedName name="_2530__FDSAUDITLINK__" hidden="1">{"fdsup://Directions/FactSet Auditing Viewer?action=AUDIT_VALUE&amp;DB=129&amp;ID1=45811810&amp;VALUEID=02001&amp;SDATE=200502&amp;PERIODTYPE=QTR_STD&amp;SCFT=3&amp;window=popup_no_bar&amp;width=385&amp;height=120&amp;START_MAXIMIZED=FALSE&amp;creator=factset&amp;display_string=Audit"}</definedName>
    <definedName name="_2531__FDSAUDITLINK__" hidden="1">{"fdsup://Directions/FactSet Auditing Viewer?action=AUDIT_VALUE&amp;DB=129&amp;ID1=34637510&amp;VALUEID=02001&amp;SDATE=200503&amp;PERIODTYPE=QTR_STD&amp;SCFT=3&amp;window=popup_no_bar&amp;width=385&amp;height=120&amp;START_MAXIMIZED=FALSE&amp;creator=factset&amp;display_string=Audit"}</definedName>
    <definedName name="_2532__FDSAUDITLINK__" hidden="1">{"fdsup://Directions/FactSet Auditing Viewer?action=AUDIT_VALUE&amp;DB=129&amp;ID1=34637510&amp;VALUEID=02001&amp;SDATE=200503&amp;PERIODTYPE=QTR_STD&amp;SCFT=3&amp;window=popup_no_bar&amp;width=385&amp;height=120&amp;START_MAXIMIZED=FALSE&amp;creator=factset&amp;display_string=Audit"}</definedName>
    <definedName name="_2533__FDSAUDITLINK__" hidden="1">{"fdsup://Directions/FactSet Auditing Viewer?action=AUDIT_VALUE&amp;DB=129&amp;ID1=29247520&amp;VALUEID=02001&amp;SDATE=200601&amp;PERIODTYPE=QTR_STD&amp;SCFT=3&amp;window=popup_no_bar&amp;width=385&amp;height=120&amp;START_MAXIMIZED=FALSE&amp;creator=factset&amp;display_string=Audit"}</definedName>
    <definedName name="_2534__FDSAUDITLINK__" hidden="1">{"fdsup://Directions/FactSet Auditing Viewer?action=AUDIT_VALUE&amp;DB=129&amp;ID1=29247520&amp;VALUEID=02001&amp;SDATE=200601&amp;PERIODTYPE=QTR_STD&amp;SCFT=3&amp;window=popup_no_bar&amp;width=385&amp;height=120&amp;START_MAXIMIZED=FALSE&amp;creator=factset&amp;display_string=Audit"}</definedName>
    <definedName name="_2535__FDSAUDITLINK__" hidden="1">{"fdsup://Directions/FactSet Auditing Viewer?action=AUDIT_VALUE&amp;DB=129&amp;ID1=25454310&amp;VALUEID=02001&amp;SDATE=200503&amp;PERIODTYPE=QTR_STD&amp;SCFT=3&amp;window=popup_no_bar&amp;width=385&amp;height=120&amp;START_MAXIMIZED=FALSE&amp;creator=factset&amp;display_string=Audit"}</definedName>
    <definedName name="_2536__FDSAUDITLINK__" hidden="1">{"fdsup://Directions/FactSet Auditing Viewer?action=AUDIT_VALUE&amp;DB=129&amp;ID1=25454310&amp;VALUEID=02001&amp;SDATE=200503&amp;PERIODTYPE=QTR_STD&amp;SCFT=3&amp;window=popup_no_bar&amp;width=385&amp;height=120&amp;START_MAXIMIZED=FALSE&amp;creator=factset&amp;display_string=Audit"}</definedName>
    <definedName name="_2537__FDSAUDITLINK__" hidden="1">{"fdsup://Directions/FactSet Auditing Viewer?action=AUDIT_VALUE&amp;DB=129&amp;ID1=23257210&amp;VALUEID=02001&amp;SDATE=200503&amp;PERIODTYPE=QTR_STD&amp;SCFT=3&amp;window=popup_no_bar&amp;width=385&amp;height=120&amp;START_MAXIMIZED=FALSE&amp;creator=factset&amp;display_string=Audit"}</definedName>
    <definedName name="_2538__FDSAUDITLINK__" hidden="1">{"fdsup://Directions/FactSet Auditing Viewer?action=AUDIT_VALUE&amp;DB=129&amp;ID1=23257210&amp;VALUEID=02001&amp;SDATE=200503&amp;PERIODTYPE=QTR_STD&amp;SCFT=3&amp;window=popup_no_bar&amp;width=385&amp;height=120&amp;START_MAXIMIZED=FALSE&amp;creator=factset&amp;display_string=Audit"}</definedName>
    <definedName name="_2539__FDSAUDITLINK__" hidden="1">{"fdsup://Directions/FactSet Auditing Viewer?action=AUDIT_VALUE&amp;DB=129&amp;ID1=23280610&amp;VALUEID=02001&amp;SDATE=200503&amp;PERIODTYPE=QTR_STD&amp;SCFT=3&amp;window=popup_no_bar&amp;width=385&amp;height=120&amp;START_MAXIMIZED=FALSE&amp;creator=factset&amp;display_string=Audit"}</definedName>
    <definedName name="_254__FDSAUDITLINK__" hidden="1">{"fdsup://Directions/FactSet Auditing Viewer?action=AUDIT_VALUE&amp;DB=129&amp;ID1=34637510&amp;VALUEID=02001&amp;SDATE=201004&amp;PERIODTYPE=QTR_STD&amp;SCFT=3&amp;window=popup_no_bar&amp;width=385&amp;height=120&amp;START_MAXIMIZED=FALSE&amp;creator=factset&amp;display_string=Audit"}</definedName>
    <definedName name="_2540__FDSAUDITLINK__" hidden="1">{"fdsup://Directions/FactSet Auditing Viewer?action=AUDIT_VALUE&amp;DB=129&amp;ID1=23280610&amp;VALUEID=02001&amp;SDATE=200503&amp;PERIODTYPE=QTR_STD&amp;SCFT=3&amp;window=popup_no_bar&amp;width=385&amp;height=120&amp;START_MAXIMIZED=FALSE&amp;creator=factset&amp;display_string=Audit"}</definedName>
    <definedName name="_2541__FDSAUDITLINK__" hidden="1">{"fdsup://Directions/FactSet Auditing Viewer?action=AUDIT_VALUE&amp;DB=129&amp;ID1=17275R10&amp;VALUEID=02001&amp;SDATE=200601&amp;PERIODTYPE=QTR_STD&amp;SCFT=3&amp;window=popup_no_bar&amp;width=385&amp;height=120&amp;START_MAXIMIZED=FALSE&amp;creator=factset&amp;display_string=Audit"}</definedName>
    <definedName name="_2542__FDSAUDITLINK__" hidden="1">{"fdsup://Directions/FactSet Auditing Viewer?action=AUDIT_VALUE&amp;DB=129&amp;ID1=17275R10&amp;VALUEID=02001&amp;SDATE=200601&amp;PERIODTYPE=QTR_STD&amp;SCFT=3&amp;window=popup_no_bar&amp;width=385&amp;height=120&amp;START_MAXIMIZED=FALSE&amp;creator=factset&amp;display_string=Audit"}</definedName>
    <definedName name="_2543__FDSAUDITLINK__" hidden="1">{"fdsup://Directions/FactSet Auditing Viewer?action=AUDIT_VALUE&amp;DB=129&amp;ID1=22544710&amp;VALUEID=02001&amp;SDATE=200601&amp;PERIODTYPE=QTR_STD&amp;SCFT=3&amp;window=popup_no_bar&amp;width=385&amp;height=120&amp;START_MAXIMIZED=FALSE&amp;creator=factset&amp;display_string=Audit"}</definedName>
    <definedName name="_2544__FDSAUDITLINK__" hidden="1">{"fdsup://Directions/FactSet Auditing Viewer?action=AUDIT_VALUE&amp;DB=129&amp;ID1=22544710&amp;VALUEID=02001&amp;SDATE=200601&amp;PERIODTYPE=QTR_STD&amp;SCFT=3&amp;window=popup_no_bar&amp;width=385&amp;height=120&amp;START_MAXIMIZED=FALSE&amp;creator=factset&amp;display_string=Audit"}</definedName>
    <definedName name="_2545__FDSAUDITLINK__" hidden="1">{"fdsup://Directions/FactSet Auditing Viewer?action=AUDIT_VALUE&amp;DB=129&amp;ID1=12738710&amp;VALUEID=02001&amp;SDATE=200503&amp;PERIODTYPE=QTR_STD&amp;SCFT=3&amp;window=popup_no_bar&amp;width=385&amp;height=120&amp;START_MAXIMIZED=FALSE&amp;creator=factset&amp;display_string=Audit"}</definedName>
    <definedName name="_2546__FDSAUDITLINK__" hidden="1">{"fdsup://Directions/FactSet Auditing Viewer?action=AUDIT_VALUE&amp;DB=129&amp;ID1=12738710&amp;VALUEID=02001&amp;SDATE=200503&amp;PERIODTYPE=QTR_STD&amp;SCFT=3&amp;window=popup_no_bar&amp;width=385&amp;height=120&amp;START_MAXIMIZED=FALSE&amp;creator=factset&amp;display_string=Audit"}</definedName>
    <definedName name="_2547__FDSAUDITLINK__" hidden="1">{"fdsup://Directions/FactSet Auditing Viewer?action=AUDIT_VALUE&amp;DB=129&amp;ID1=04743P10&amp;VALUEID=02001&amp;SDATE=200503&amp;PERIODTYPE=QTR_STD&amp;SCFT=3&amp;window=popup_no_bar&amp;width=385&amp;height=120&amp;START_MAXIMIZED=FALSE&amp;creator=factset&amp;display_string=Audit"}</definedName>
    <definedName name="_2548__FDSAUDITLINK__" hidden="1">{"fdsup://Directions/FactSet Auditing Viewer?action=AUDIT_VALUE&amp;DB=129&amp;ID1=04743P10&amp;VALUEID=02001&amp;SDATE=200503&amp;PERIODTYPE=QTR_STD&amp;SCFT=3&amp;window=popup_no_bar&amp;width=385&amp;height=120&amp;START_MAXIMIZED=FALSE&amp;creator=factset&amp;display_string=Audit"}</definedName>
    <definedName name="_2549__FDSAUDITLINK__" hidden="1">{"fdsup://Directions/FactSet Auditing Viewer?action=AUDIT_VALUE&amp;DB=129&amp;ID1=00790310&amp;VALUEID=02001&amp;SDATE=200503&amp;PERIODTYPE=QTR_STD&amp;SCFT=3&amp;window=popup_no_bar&amp;width=385&amp;height=120&amp;START_MAXIMIZED=FALSE&amp;creator=factset&amp;display_string=Audit"}</definedName>
    <definedName name="_255__FDSAUDITLINK__" hidden="1">{"fdsup://Directions/FactSet Auditing Viewer?action=AUDIT_VALUE&amp;DB=129&amp;ID1=31561610&amp;VALUEID=02001&amp;SDATE=201101&amp;PERIODTYPE=QTR_STD&amp;SCFT=3&amp;window=popup_no_bar&amp;width=385&amp;height=120&amp;START_MAXIMIZED=FALSE&amp;creator=factset&amp;display_string=Audit"}</definedName>
    <definedName name="_2550__FDSAUDITLINK__" hidden="1">{"fdsup://Directions/FactSet Auditing Viewer?action=AUDIT_VALUE&amp;DB=129&amp;ID1=00790310&amp;VALUEID=02001&amp;SDATE=200503&amp;PERIODTYPE=QTR_STD&amp;SCFT=3&amp;window=popup_no_bar&amp;width=385&amp;height=120&amp;START_MAXIMIZED=FALSE&amp;creator=factset&amp;display_string=Audit"}</definedName>
    <definedName name="_2551__FDSAUDITLINK__" hidden="1">{"fdsup://Directions/FactSet Auditing Viewer?action=AUDIT_VALUE&amp;DB=129&amp;ID1=03822W40&amp;VALUEID=02001&amp;SDATE=200502&amp;PERIODTYPE=QTR_STD&amp;SCFT=3&amp;window=popup_no_bar&amp;width=385&amp;height=120&amp;START_MAXIMIZED=FALSE&amp;creator=factset&amp;display_string=Audit"}</definedName>
    <definedName name="_2552__FDSAUDITLINK__" hidden="1">{"fdsup://Directions/FactSet Auditing Viewer?action=AUDIT_VALUE&amp;DB=129&amp;ID1=03822W40&amp;VALUEID=02001&amp;SDATE=200502&amp;PERIODTYPE=QTR_STD&amp;SCFT=3&amp;window=popup_no_bar&amp;width=385&amp;height=120&amp;START_MAXIMIZED=FALSE&amp;creator=factset&amp;display_string=Audit"}</definedName>
    <definedName name="_2553__FDSAUDITLINK__" hidden="1">{"fdsup://Directions/FactSet Auditing Viewer?action=AUDIT_VALUE&amp;DB=129&amp;ID1=02144110&amp;VALUEID=02001&amp;SDATE=200503&amp;PERIODTYPE=QTR_STD&amp;SCFT=3&amp;window=popup_no_bar&amp;width=385&amp;height=120&amp;START_MAXIMIZED=FALSE&amp;creator=factset&amp;display_string=Audit"}</definedName>
    <definedName name="_2554__FDSAUDITLINK__" hidden="1">{"fdsup://Directions/FactSet Auditing Viewer?action=AUDIT_VALUE&amp;DB=129&amp;ID1=02144110&amp;VALUEID=02001&amp;SDATE=200503&amp;PERIODTYPE=QTR_STD&amp;SCFT=3&amp;window=popup_no_bar&amp;width=385&amp;height=120&amp;START_MAXIMIZED=FALSE&amp;creator=factset&amp;display_string=Audit"}</definedName>
    <definedName name="_2555__FDSAUDITLINK__" hidden="1">{"fdsup://Directions/FactSet Auditing Viewer?action=AUDIT_VALUE&amp;DB=129&amp;ID1=00752J10&amp;VALUEID=02001&amp;SDATE=200503&amp;PERIODTYPE=QTR_STD&amp;SCFT=3&amp;window=popup_no_bar&amp;width=385&amp;height=120&amp;START_MAXIMIZED=FALSE&amp;creator=factset&amp;display_string=Audit"}</definedName>
    <definedName name="_2556__FDSAUDITLINK__" hidden="1">{"fdsup://Directions/FactSet Auditing Viewer?action=AUDIT_VALUE&amp;DB=129&amp;ID1=00752J10&amp;VALUEID=02001&amp;SDATE=200503&amp;PERIODTYPE=QTR_STD&amp;SCFT=3&amp;window=popup_no_bar&amp;width=385&amp;height=120&amp;START_MAXIMIZED=FALSE&amp;creator=factset&amp;display_string=Audit"}</definedName>
    <definedName name="_2557__FDSAUDITLINK__" hidden="1">{"fdsup://Directions/FactSet Auditing Viewer?action=AUDIT_VALUE&amp;DB=129&amp;ID1=98975F10&amp;VALUEID=02001&amp;SDATE=200502&amp;PERIODTYPE=QTR_STD&amp;SCFT=3&amp;window=popup_no_bar&amp;width=385&amp;height=120&amp;START_MAXIMIZED=FALSE&amp;creator=factset&amp;display_string=Audit"}</definedName>
    <definedName name="_2558__FDSAUDITLINK__" hidden="1">{"fdsup://Directions/FactSet Auditing Viewer?action=AUDIT_VALUE&amp;DB=129&amp;ID1=98975F10&amp;VALUEID=02001&amp;SDATE=200502&amp;PERIODTYPE=QTR_STD&amp;SCFT=3&amp;window=popup_no_bar&amp;width=385&amp;height=120&amp;START_MAXIMIZED=FALSE&amp;creator=factset&amp;display_string=Audit"}</definedName>
    <definedName name="_2559__FDSAUDITLINK__" hidden="1">{"fdsup://Directions/FactSet Auditing Viewer?action=AUDIT_VALUE&amp;DB=129&amp;ID1=98391910&amp;VALUEID=02001&amp;SDATE=200501&amp;PERIODTYPE=QTR_STD&amp;SCFT=3&amp;window=popup_no_bar&amp;width=385&amp;height=120&amp;START_MAXIMIZED=FALSE&amp;creator=factset&amp;display_string=Audit"}</definedName>
    <definedName name="_256__FDSAUDITLINK__" hidden="1">{"fdsup://Directions/FactSet Auditing Viewer?action=AUDIT_VALUE&amp;DB=129&amp;ID1=31561610&amp;VALUEID=02001&amp;SDATE=201101&amp;PERIODTYPE=QTR_STD&amp;SCFT=3&amp;window=popup_no_bar&amp;width=385&amp;height=120&amp;START_MAXIMIZED=FALSE&amp;creator=factset&amp;display_string=Audit"}</definedName>
    <definedName name="_2560__FDSAUDITLINK__" hidden="1">{"fdsup://Directions/FactSet Auditing Viewer?action=AUDIT_VALUE&amp;DB=129&amp;ID1=98391910&amp;VALUEID=02001&amp;SDATE=200501&amp;PERIODTYPE=QTR_STD&amp;SCFT=3&amp;window=popup_no_bar&amp;width=385&amp;height=120&amp;START_MAXIMIZED=FALSE&amp;creator=factset&amp;display_string=Audit"}</definedName>
    <definedName name="_2561__FDSAUDITLINK__" hidden="1">{"fdsup://Directions/FactSet Auditing Viewer?action=AUDIT_VALUE&amp;DB=129&amp;ID1=92849730&amp;VALUEID=02001&amp;SDATE=200503&amp;PERIODTYPE=QTR_STD&amp;SCFT=3&amp;window=popup_no_bar&amp;width=385&amp;height=120&amp;START_MAXIMIZED=FALSE&amp;creator=factset&amp;display_string=Audit"}</definedName>
    <definedName name="_2562__FDSAUDITLINK__" hidden="1">{"fdsup://Directions/FactSet Auditing Viewer?action=AUDIT_VALUE&amp;DB=129&amp;ID1=92849730&amp;VALUEID=02001&amp;SDATE=200503&amp;PERIODTYPE=QTR_STD&amp;SCFT=3&amp;window=popup_no_bar&amp;width=385&amp;height=120&amp;START_MAXIMIZED=FALSE&amp;creator=factset&amp;display_string=Audit"}</definedName>
    <definedName name="_2563__FDSAUDITLINK__" hidden="1">{"fdsup://Directions/FactSet Auditing Viewer?action=AUDIT_VALUE&amp;DB=129&amp;ID1=88250810&amp;VALUEID=02001&amp;SDATE=200502&amp;PERIODTYPE=QTR_STD&amp;SCFT=3&amp;window=popup_no_bar&amp;width=385&amp;height=120&amp;START_MAXIMIZED=FALSE&amp;creator=factset&amp;display_string=Audit"}</definedName>
    <definedName name="_2564__FDSAUDITLINK__" hidden="1">{"fdsup://Directions/FactSet Auditing Viewer?action=AUDIT_VALUE&amp;DB=129&amp;ID1=88250810&amp;VALUEID=02001&amp;SDATE=200502&amp;PERIODTYPE=QTR_STD&amp;SCFT=3&amp;window=popup_no_bar&amp;width=385&amp;height=120&amp;START_MAXIMIZED=FALSE&amp;creator=factset&amp;display_string=Audit"}</definedName>
    <definedName name="_2565__FDSAUDITLINK__" hidden="1">{"fdsup://Directions/FactSet Auditing Viewer?action=AUDIT_VALUE&amp;DB=129&amp;ID1=89674K10&amp;VALUEID=02001&amp;SDATE=200502&amp;PERIODTYPE=QTR_STD&amp;SCFT=3&amp;window=popup_no_bar&amp;width=385&amp;height=120&amp;START_MAXIMIZED=FALSE&amp;creator=factset&amp;display_string=Audit"}</definedName>
    <definedName name="_2566__FDSAUDITLINK__" hidden="1">{"fdsup://Directions/FactSet Auditing Viewer?action=AUDIT_VALUE&amp;DB=129&amp;ID1=89674K10&amp;VALUEID=02001&amp;SDATE=200502&amp;PERIODTYPE=QTR_STD&amp;SCFT=3&amp;window=popup_no_bar&amp;width=385&amp;height=120&amp;START_MAXIMIZED=FALSE&amp;creator=factset&amp;display_string=Audit"}</definedName>
    <definedName name="_2567__FDSAUDITLINK__" hidden="1">{"fdsup://Directions/FactSet Auditing Viewer?action=AUDIT_VALUE&amp;DB=129&amp;ID1=83088M10&amp;VALUEID=02001&amp;SDATE=200503&amp;PERIODTYPE=QTR_STD&amp;SCFT=3&amp;window=popup_no_bar&amp;width=385&amp;height=120&amp;START_MAXIMIZED=FALSE&amp;creator=factset&amp;display_string=Audit"}</definedName>
    <definedName name="_2568__FDSAUDITLINK__" hidden="1">{"fdsup://Directions/FactSet Auditing Viewer?action=AUDIT_VALUE&amp;DB=129&amp;ID1=83088M10&amp;VALUEID=02001&amp;SDATE=200503&amp;PERIODTYPE=QTR_STD&amp;SCFT=3&amp;window=popup_no_bar&amp;width=385&amp;height=120&amp;START_MAXIMIZED=FALSE&amp;creator=factset&amp;display_string=Audit"}</definedName>
    <definedName name="_2569__FDSAUDITLINK__" hidden="1">{"fdsup://Directions/FactSet Auditing Viewer?action=AUDIT_VALUE&amp;DB=129&amp;ID1=78477410&amp;VALUEID=02001&amp;SDATE=200502&amp;PERIODTYPE=QTR_STD&amp;SCFT=3&amp;window=popup_no_bar&amp;width=385&amp;height=120&amp;START_MAXIMIZED=FALSE&amp;creator=factset&amp;display_string=Audit"}</definedName>
    <definedName name="_257__FDSAUDITLINK__" hidden="1">{"fdsup://Directions/FactSet Auditing Viewer?action=AUDIT_VALUE&amp;DB=129&amp;ID1=29247520&amp;VALUEID=02001&amp;SDATE=201102&amp;PERIODTYPE=QTR_STD&amp;SCFT=3&amp;window=popup_no_bar&amp;width=385&amp;height=120&amp;START_MAXIMIZED=FALSE&amp;creator=factset&amp;display_string=Audit"}</definedName>
    <definedName name="_2570__FDSAUDITLINK__" hidden="1">{"fdsup://Directions/FactSet Auditing Viewer?action=AUDIT_VALUE&amp;DB=129&amp;ID1=78477410&amp;VALUEID=02001&amp;SDATE=200502&amp;PERIODTYPE=QTR_STD&amp;SCFT=3&amp;window=popup_no_bar&amp;width=385&amp;height=120&amp;START_MAXIMIZED=FALSE&amp;creator=factset&amp;display_string=Audit"}</definedName>
    <definedName name="_2571__FDSAUDITLINK__" hidden="1">{"fdsup://Directions/FactSet Auditing Viewer?action=AUDIT_VALUE&amp;DB=129&amp;ID1=83547010&amp;VALUEID=02001&amp;SDATE=200502&amp;PERIODTYPE=QTR_STD&amp;SCFT=3&amp;window=popup_no_bar&amp;width=385&amp;height=120&amp;START_MAXIMIZED=FALSE&amp;creator=factset&amp;display_string=Audit"}</definedName>
    <definedName name="_2572__FDSAUDITLINK__" hidden="1">{"fdsup://Directions/FactSet Auditing Viewer?action=AUDIT_VALUE&amp;DB=129&amp;ID1=83547010&amp;VALUEID=02001&amp;SDATE=200502&amp;PERIODTYPE=QTR_STD&amp;SCFT=3&amp;window=popup_no_bar&amp;width=385&amp;height=120&amp;START_MAXIMIZED=FALSE&amp;creator=factset&amp;display_string=Audit"}</definedName>
    <definedName name="_2573__FDSAUDITLINK__" hidden="1">{"fdsup://Directions/FactSet Auditing Viewer?action=AUDIT_VALUE&amp;DB=129&amp;ID1=87160710&amp;VALUEID=02001&amp;SDATE=200503&amp;PERIODTYPE=QTR_STD&amp;SCFT=3&amp;window=popup_no_bar&amp;width=385&amp;height=120&amp;START_MAXIMIZED=FALSE&amp;creator=factset&amp;display_string=Audit"}</definedName>
    <definedName name="_2574__FDSAUDITLINK__" hidden="1">{"fdsup://Directions/FactSet Auditing Viewer?action=AUDIT_VALUE&amp;DB=129&amp;ID1=87160710&amp;VALUEID=02001&amp;SDATE=200503&amp;PERIODTYPE=QTR_STD&amp;SCFT=3&amp;window=popup_no_bar&amp;width=385&amp;height=120&amp;START_MAXIMIZED=FALSE&amp;creator=factset&amp;display_string=Audit"}</definedName>
    <definedName name="_2575__FDSAUDITLINK__" hidden="1">{"fdsup://Directions/FactSet Auditing Viewer?action=AUDIT_VALUE&amp;DB=129&amp;ID1=80004C10&amp;VALUEID=02001&amp;SDATE=200502&amp;PERIODTYPE=QTR_STD&amp;SCFT=3&amp;window=popup_no_bar&amp;width=385&amp;height=120&amp;START_MAXIMIZED=FALSE&amp;creator=factset&amp;display_string=Audit"}</definedName>
    <definedName name="_2576__FDSAUDITLINK__" hidden="1">{"fdsup://Directions/FactSet Auditing Viewer?action=AUDIT_VALUE&amp;DB=129&amp;ID1=80004C10&amp;VALUEID=02001&amp;SDATE=200502&amp;PERIODTYPE=QTR_STD&amp;SCFT=3&amp;window=popup_no_bar&amp;width=385&amp;height=120&amp;START_MAXIMIZED=FALSE&amp;creator=factset&amp;display_string=Audit"}</definedName>
    <definedName name="_2577__FDSAUDITLINK__" hidden="1">{"fdsup://Directions/FactSet Auditing Viewer?action=AUDIT_VALUE&amp;DB=129&amp;ID1=81685010&amp;VALUEID=02001&amp;SDATE=200502&amp;PERIODTYPE=QTR_STD&amp;SCFT=3&amp;window=popup_no_bar&amp;width=385&amp;height=120&amp;START_MAXIMIZED=FALSE&amp;creator=factset&amp;display_string=Audit"}</definedName>
    <definedName name="_2578__FDSAUDITLINK__" hidden="1">{"fdsup://Directions/FactSet Auditing Viewer?action=AUDIT_VALUE&amp;DB=129&amp;ID1=81685010&amp;VALUEID=02001&amp;SDATE=200502&amp;PERIODTYPE=QTR_STD&amp;SCFT=3&amp;window=popup_no_bar&amp;width=385&amp;height=120&amp;START_MAXIMIZED=FALSE&amp;creator=factset&amp;display_string=Audit"}</definedName>
    <definedName name="_2579__FDSAUDITLINK__" hidden="1">{"fdsup://Directions/FactSet Auditing Viewer?action=AUDIT_VALUE&amp;DB=129&amp;ID1=82691910&amp;VALUEID=02001&amp;SDATE=200502&amp;PERIODTYPE=QTR_STD&amp;SCFT=3&amp;window=popup_no_bar&amp;width=385&amp;height=120&amp;START_MAXIMIZED=FALSE&amp;creator=factset&amp;display_string=Audit"}</definedName>
    <definedName name="_258__FDSAUDITLINK__" hidden="1">{"fdsup://Directions/FactSet Auditing Viewer?action=AUDIT_VALUE&amp;DB=129&amp;ID1=29247520&amp;VALUEID=02001&amp;SDATE=201102&amp;PERIODTYPE=QTR_STD&amp;SCFT=3&amp;window=popup_no_bar&amp;width=385&amp;height=120&amp;START_MAXIMIZED=FALSE&amp;creator=factset&amp;display_string=Audit"}</definedName>
    <definedName name="_2580__FDSAUDITLINK__" hidden="1">{"fdsup://Directions/FactSet Auditing Viewer?action=AUDIT_VALUE&amp;DB=129&amp;ID1=82691910&amp;VALUEID=02001&amp;SDATE=200502&amp;PERIODTYPE=QTR_STD&amp;SCFT=3&amp;window=popup_no_bar&amp;width=385&amp;height=120&amp;START_MAXIMIZED=FALSE&amp;creator=factset&amp;display_string=Audit"}</definedName>
    <definedName name="_2581__FDSAUDITLINK__" hidden="1">{"fdsup://Directions/FactSet Auditing Viewer?action=AUDIT_VALUE&amp;DB=129&amp;ID1=82705T10&amp;VALUEID=02001&amp;SDATE=200502&amp;PERIODTYPE=QTR_STD&amp;SCFT=3&amp;window=popup_no_bar&amp;width=385&amp;height=120&amp;START_MAXIMIZED=FALSE&amp;creator=factset&amp;display_string=Audit"}</definedName>
    <definedName name="_2582__FDSAUDITLINK__" hidden="1">{"fdsup://Directions/FactSet Auditing Viewer?action=AUDIT_VALUE&amp;DB=129&amp;ID1=82705T10&amp;VALUEID=02001&amp;SDATE=200502&amp;PERIODTYPE=QTR_STD&amp;SCFT=3&amp;window=popup_no_bar&amp;width=385&amp;height=120&amp;START_MAXIMIZED=FALSE&amp;creator=factset&amp;display_string=Audit"}</definedName>
    <definedName name="_2583__FDSAUDITLINK__" hidden="1">{"fdsup://Directions/FactSet Auditing Viewer?action=AUDIT_VALUE&amp;DB=129&amp;ID1=75091710&amp;VALUEID=02001&amp;SDATE=200502&amp;PERIODTYPE=QTR_STD&amp;SCFT=3&amp;window=popup_no_bar&amp;width=385&amp;height=120&amp;START_MAXIMIZED=FALSE&amp;creator=factset&amp;display_string=Audit"}</definedName>
    <definedName name="_2584__FDSAUDITLINK__" hidden="1">{"fdsup://Directions/FactSet Auditing Viewer?action=AUDIT_VALUE&amp;DB=129&amp;ID1=75091710&amp;VALUEID=02001&amp;SDATE=200502&amp;PERIODTYPE=QTR_STD&amp;SCFT=3&amp;window=popup_no_bar&amp;width=385&amp;height=120&amp;START_MAXIMIZED=FALSE&amp;creator=factset&amp;display_string=Audit"}</definedName>
    <definedName name="_2585__FDSAUDITLINK__" hidden="1">{"fdsup://Directions/FactSet Auditing Viewer?action=AUDIT_VALUE&amp;DB=129&amp;ID1=74994110&amp;VALUEID=02001&amp;SDATE=200501&amp;PERIODTYPE=QTR_STD&amp;SCFT=3&amp;window=popup_no_bar&amp;width=385&amp;height=120&amp;START_MAXIMIZED=FALSE&amp;creator=factset&amp;display_string=Audit"}</definedName>
    <definedName name="_2586__FDSAUDITLINK__" hidden="1">{"fdsup://Directions/FactSet Auditing Viewer?action=AUDIT_VALUE&amp;DB=129&amp;ID1=74994110&amp;VALUEID=02001&amp;SDATE=200501&amp;PERIODTYPE=QTR_STD&amp;SCFT=3&amp;window=popup_no_bar&amp;width=385&amp;height=120&amp;START_MAXIMIZED=FALSE&amp;creator=factset&amp;display_string=Audit"}</definedName>
    <definedName name="_2587__FDSAUDITLINK__" hidden="1">{"fdsup://Directions/FactSet Auditing Viewer?action=AUDIT_VALUE&amp;DB=129&amp;ID1=74727710&amp;VALUEID=02001&amp;SDATE=200501&amp;PERIODTYPE=QTR_STD&amp;SCFT=3&amp;window=popup_no_bar&amp;width=385&amp;height=120&amp;START_MAXIMIZED=FALSE&amp;creator=factset&amp;display_string=Audit"}</definedName>
    <definedName name="_2588__FDSAUDITLINK__" hidden="1">{"fdsup://Directions/FactSet Auditing Viewer?action=AUDIT_VALUE&amp;DB=129&amp;ID1=74727710&amp;VALUEID=02001&amp;SDATE=200501&amp;PERIODTYPE=QTR_STD&amp;SCFT=3&amp;window=popup_no_bar&amp;width=385&amp;height=120&amp;START_MAXIMIZED=FALSE&amp;creator=factset&amp;display_string=Audit"}</definedName>
    <definedName name="_2589__FDSAUDITLINK__" hidden="1">{"fdsup://Directions/FactSet Auditing Viewer?action=AUDIT_VALUE&amp;DB=129&amp;ID1=74752510&amp;VALUEID=02001&amp;SDATE=200503&amp;PERIODTYPE=QTR_STD&amp;SCFT=3&amp;window=popup_no_bar&amp;width=385&amp;height=120&amp;START_MAXIMIZED=FALSE&amp;creator=factset&amp;display_string=Audit"}</definedName>
    <definedName name="_259__FDSAUDITLINK__" hidden="1">{"fdsup://Directions/FactSet Auditing Viewer?action=AUDIT_VALUE&amp;DB=129&amp;ID1=25454310&amp;VALUEID=02001&amp;SDATE=201004&amp;PERIODTYPE=QTR_STD&amp;SCFT=3&amp;window=popup_no_bar&amp;width=385&amp;height=120&amp;START_MAXIMIZED=FALSE&amp;creator=factset&amp;display_string=Audit"}</definedName>
    <definedName name="_2590__FDSAUDITLINK__" hidden="1">{"fdsup://Directions/FactSet Auditing Viewer?action=AUDIT_VALUE&amp;DB=129&amp;ID1=74752510&amp;VALUEID=02001&amp;SDATE=200503&amp;PERIODTYPE=QTR_STD&amp;SCFT=3&amp;window=popup_no_bar&amp;width=385&amp;height=120&amp;START_MAXIMIZED=FALSE&amp;creator=factset&amp;display_string=Audit"}</definedName>
    <definedName name="_2591__FDSAUDITLINK__" hidden="1">{"fdsup://Directions/FactSet Auditing Viewer?action=AUDIT_VALUE&amp;DB=129&amp;ID1=72581M30&amp;VALUEID=02001&amp;SDATE=200502&amp;PERIODTYPE=QTR_STD&amp;SCFT=3&amp;window=popup_no_bar&amp;width=385&amp;height=120&amp;START_MAXIMIZED=FALSE&amp;creator=factset&amp;display_string=Audit"}</definedName>
    <definedName name="_2592__FDSAUDITLINK__" hidden="1">{"fdsup://Directions/FactSet Auditing Viewer?action=AUDIT_VALUE&amp;DB=129&amp;ID1=72581M30&amp;VALUEID=02001&amp;SDATE=200502&amp;PERIODTYPE=QTR_STD&amp;SCFT=3&amp;window=popup_no_bar&amp;width=385&amp;height=120&amp;START_MAXIMIZED=FALSE&amp;creator=factset&amp;display_string=Audit"}</definedName>
    <definedName name="_2593__FDSAUDITLINK__" hidden="1">{"fdsup://Directions/FactSet Auditing Viewer?action=AUDIT_VALUE&amp;DB=129&amp;ID1=73927610&amp;VALUEID=02001&amp;SDATE=200502&amp;PERIODTYPE=QTR_STD&amp;SCFT=3&amp;window=popup_no_bar&amp;width=385&amp;height=120&amp;START_MAXIMIZED=FALSE&amp;creator=factset&amp;display_string=Audit"}</definedName>
    <definedName name="_2594__FDSAUDITLINK__" hidden="1">{"fdsup://Directions/FactSet Auditing Viewer?action=AUDIT_VALUE&amp;DB=129&amp;ID1=73927610&amp;VALUEID=02001&amp;SDATE=200502&amp;PERIODTYPE=QTR_STD&amp;SCFT=3&amp;window=popup_no_bar&amp;width=385&amp;height=120&amp;START_MAXIMIZED=FALSE&amp;creator=factset&amp;display_string=Audit"}</definedName>
    <definedName name="_2595__FDSAUDITLINK__" hidden="1">{"fdsup://Directions/FactSet Auditing Viewer?action=AUDIT_VALUE&amp;DB=129&amp;ID1=69344F10&amp;VALUEID=02001&amp;SDATE=200502&amp;PERIODTYPE=QTR_STD&amp;SCFT=3&amp;window=popup_no_bar&amp;width=385&amp;height=120&amp;START_MAXIMIZED=FALSE&amp;creator=factset&amp;display_string=Audit"}</definedName>
    <definedName name="_2596__FDSAUDITLINK__" hidden="1">{"fdsup://Directions/FactSet Auditing Viewer?action=AUDIT_VALUE&amp;DB=129&amp;ID1=69344F10&amp;VALUEID=02001&amp;SDATE=200502&amp;PERIODTYPE=QTR_STD&amp;SCFT=3&amp;window=popup_no_bar&amp;width=385&amp;height=120&amp;START_MAXIMIZED=FALSE&amp;creator=factset&amp;display_string=Audit"}</definedName>
    <definedName name="_2597__FDSAUDITLINK__" hidden="1">{"fdsup://Directions/FactSet Auditing Viewer?action=AUDIT_VALUE&amp;DB=129&amp;ID1=69341710&amp;VALUEID=02001&amp;SDATE=200502&amp;PERIODTYPE=QTR_STD&amp;SCFT=3&amp;window=popup_no_bar&amp;width=385&amp;height=120&amp;START_MAXIMIZED=FALSE&amp;creator=factset&amp;display_string=Audit"}</definedName>
    <definedName name="_2598__FDSAUDITLINK__" hidden="1">{"fdsup://Directions/FactSet Auditing Viewer?action=AUDIT_VALUE&amp;DB=129&amp;ID1=69341710&amp;VALUEID=02001&amp;SDATE=200502&amp;PERIODTYPE=QTR_STD&amp;SCFT=3&amp;window=popup_no_bar&amp;width=385&amp;height=120&amp;START_MAXIMIZED=FALSE&amp;creator=factset&amp;display_string=Audit"}</definedName>
    <definedName name="_2599__FDSAUDITLINK__" hidden="1">{"fdsup://Directions/FactSet Auditing Viewer?action=AUDIT_VALUE&amp;DB=129&amp;ID1=68218910&amp;VALUEID=02001&amp;SDATE=200502&amp;PERIODTYPE=QTR_STD&amp;SCFT=3&amp;window=popup_no_bar&amp;width=385&amp;height=120&amp;START_MAXIMIZED=FALSE&amp;creator=factset&amp;display_string=Audit"}</definedName>
    <definedName name="_26__FDSAUDITLINK__" hidden="1">{"fdsup://Directions/FactSet Auditing Viewer?action=AUDIT_VALUE&amp;DB=129&amp;ID1=87160710&amp;VALUEID=02001&amp;SDATE=201102&amp;PERIODTYPE=QTR_STD&amp;SCFT=3&amp;window=popup_no_bar&amp;width=385&amp;height=120&amp;START_MAXIMIZED=FALSE&amp;creator=factset&amp;display_string=Audit"}</definedName>
    <definedName name="_260__FDSAUDITLINK__" hidden="1">{"fdsup://Directions/FactSet Auditing Viewer?action=AUDIT_VALUE&amp;DB=129&amp;ID1=25454310&amp;VALUEID=02001&amp;SDATE=201004&amp;PERIODTYPE=QTR_STD&amp;SCFT=3&amp;window=popup_no_bar&amp;width=385&amp;height=120&amp;START_MAXIMIZED=FALSE&amp;creator=factset&amp;display_string=Audit"}</definedName>
    <definedName name="_2600__FDSAUDITLINK__" hidden="1">{"fdsup://Directions/FactSet Auditing Viewer?action=AUDIT_VALUE&amp;DB=129&amp;ID1=68218910&amp;VALUEID=02001&amp;SDATE=200502&amp;PERIODTYPE=QTR_STD&amp;SCFT=3&amp;window=popup_no_bar&amp;width=385&amp;height=120&amp;START_MAXIMIZED=FALSE&amp;creator=factset&amp;display_string=Audit"}</definedName>
    <definedName name="_2601__FDSAUDITLINK__" hidden="1">{"fdsup://Directions/FactSet Auditing Viewer?action=AUDIT_VALUE&amp;DB=129&amp;ID1=67000810&amp;VALUEID=02001&amp;SDATE=200502&amp;PERIODTYPE=QTR_STD&amp;SCFT=3&amp;window=popup_no_bar&amp;width=385&amp;height=120&amp;START_MAXIMIZED=FALSE&amp;creator=factset&amp;display_string=Audit"}</definedName>
    <definedName name="_2602__FDSAUDITLINK__" hidden="1">{"fdsup://Directions/FactSet Auditing Viewer?action=AUDIT_VALUE&amp;DB=129&amp;ID1=67000810&amp;VALUEID=02001&amp;SDATE=200502&amp;PERIODTYPE=QTR_STD&amp;SCFT=3&amp;window=popup_no_bar&amp;width=385&amp;height=120&amp;START_MAXIMIZED=FALSE&amp;creator=factset&amp;display_string=Audit"}</definedName>
    <definedName name="_2603__FDSAUDITLINK__" hidden="1">{"fdsup://Directions/FactSet Auditing Viewer?action=AUDIT_VALUE&amp;DB=129&amp;ID1=67066G10&amp;VALUEID=02001&amp;SDATE=200502&amp;PERIODTYPE=QTR_STD&amp;SCFT=3&amp;window=popup_no_bar&amp;width=385&amp;height=120&amp;START_MAXIMIZED=FALSE&amp;creator=factset&amp;display_string=Audit"}</definedName>
    <definedName name="_2604__FDSAUDITLINK__" hidden="1">{"fdsup://Directions/FactSet Auditing Viewer?action=AUDIT_VALUE&amp;DB=129&amp;ID1=67066G10&amp;VALUEID=02001&amp;SDATE=200502&amp;PERIODTYPE=QTR_STD&amp;SCFT=3&amp;window=popup_no_bar&amp;width=385&amp;height=120&amp;START_MAXIMIZED=FALSE&amp;creator=factset&amp;display_string=Audit"}</definedName>
    <definedName name="_2605__FDSAUDITLINK__" hidden="1">{"fdsup://Directions/FactSet Auditing Viewer?action=AUDIT_VALUE&amp;DB=129&amp;ID1=64118B10&amp;VALUEID=02001&amp;SDATE=200502&amp;PERIODTYPE=QTR_STD&amp;SCFT=3&amp;window=popup_no_bar&amp;width=385&amp;height=120&amp;START_MAXIMIZED=FALSE&amp;creator=factset&amp;display_string=Audit"}</definedName>
    <definedName name="_2606__FDSAUDITLINK__" hidden="1">{"fdsup://Directions/FactSet Auditing Viewer?action=AUDIT_VALUE&amp;DB=129&amp;ID1=64118B10&amp;VALUEID=02001&amp;SDATE=200502&amp;PERIODTYPE=QTR_STD&amp;SCFT=3&amp;window=popup_no_bar&amp;width=385&amp;height=120&amp;START_MAXIMIZED=FALSE&amp;creator=factset&amp;display_string=Audit"}</definedName>
    <definedName name="_2607__FDSAUDITLINK__" hidden="1">{"fdsup://Directions/FactSet Auditing Viewer?action=AUDIT_VALUE&amp;DB=129&amp;ID1=59511210&amp;VALUEID=02001&amp;SDATE=200503&amp;PERIODTYPE=QTR_STD&amp;SCFT=3&amp;window=popup_no_bar&amp;width=385&amp;height=120&amp;START_MAXIMIZED=FALSE&amp;creator=factset&amp;display_string=Audit"}</definedName>
    <definedName name="_2608__FDSAUDITLINK__" hidden="1">{"fdsup://Directions/FactSet Auditing Viewer?action=AUDIT_VALUE&amp;DB=129&amp;ID1=59511210&amp;VALUEID=02001&amp;SDATE=200503&amp;PERIODTYPE=QTR_STD&amp;SCFT=3&amp;window=popup_no_bar&amp;width=385&amp;height=120&amp;START_MAXIMIZED=FALSE&amp;creator=factset&amp;display_string=Audit"}</definedName>
    <definedName name="_2609__FDSAUDITLINK__" hidden="1">{"fdsup://Directions/FactSet Auditing Viewer?action=AUDIT_VALUE&amp;DB=129&amp;ID1=59513710&amp;VALUEID=02001&amp;SDATE=200503&amp;PERIODTYPE=QTR_STD&amp;SCFT=3&amp;window=popup_no_bar&amp;width=385&amp;height=120&amp;START_MAXIMIZED=FALSE&amp;creator=factset&amp;display_string=Audit"}</definedName>
    <definedName name="_261__FDSAUDITLINK__" hidden="1">{"fdsup://Directions/FactSet Auditing Viewer?action=AUDIT_VALUE&amp;DB=129&amp;ID1=24702R10&amp;VALUEID=02001&amp;SDATE=201004&amp;PERIODTYPE=QTR_STD&amp;SCFT=3&amp;window=popup_no_bar&amp;width=385&amp;height=120&amp;START_MAXIMIZED=FALSE&amp;creator=factset&amp;display_string=Audit"}</definedName>
    <definedName name="_2610__FDSAUDITLINK__" hidden="1">{"fdsup://Directions/FactSet Auditing Viewer?action=AUDIT_VALUE&amp;DB=129&amp;ID1=59513710&amp;VALUEID=02001&amp;SDATE=200503&amp;PERIODTYPE=QTR_STD&amp;SCFT=3&amp;window=popup_no_bar&amp;width=385&amp;height=120&amp;START_MAXIMIZED=FALSE&amp;creator=factset&amp;display_string=Audit"}</definedName>
    <definedName name="_2611__FDSAUDITLINK__" hidden="1">{"fdsup://Directions/FactSet Auditing Viewer?action=AUDIT_VALUE&amp;DB=129&amp;ID1=G5876H10&amp;VALUEID=02001&amp;SDATE=200502&amp;PERIODTYPE=QTR_STD&amp;SCFT=3&amp;window=popup_no_bar&amp;width=385&amp;height=120&amp;START_MAXIMIZED=FALSE&amp;creator=factset&amp;display_string=Audit"}</definedName>
    <definedName name="_2612__FDSAUDITLINK__" hidden="1">{"fdsup://Directions/FactSet Auditing Viewer?action=AUDIT_VALUE&amp;DB=129&amp;ID1=G5876H10&amp;VALUEID=02001&amp;SDATE=200502&amp;PERIODTYPE=QTR_STD&amp;SCFT=3&amp;window=popup_no_bar&amp;width=385&amp;height=120&amp;START_MAXIMIZED=FALSE&amp;creator=factset&amp;display_string=Audit"}</definedName>
    <definedName name="_2613__FDSAUDITLINK__" hidden="1">{"fdsup://Directions/FactSet Auditing Viewer?action=AUDIT_VALUE&amp;DB=129&amp;ID1=62007630&amp;VALUEID=02001&amp;SDATE=200502&amp;PERIODTYPE=QTR_STD&amp;SCFT=3&amp;window=popup_no_bar&amp;width=385&amp;height=120&amp;START_MAXIMIZED=FALSE&amp;creator=factset&amp;display_string=Audit"}</definedName>
    <definedName name="_2614__FDSAUDITLINK__" hidden="1">{"fdsup://Directions/FactSet Auditing Viewer?action=AUDIT_VALUE&amp;DB=129&amp;ID1=62007630&amp;VALUEID=02001&amp;SDATE=200502&amp;PERIODTYPE=QTR_STD&amp;SCFT=3&amp;window=popup_no_bar&amp;width=385&amp;height=120&amp;START_MAXIMIZED=FALSE&amp;creator=factset&amp;display_string=Audit"}</definedName>
    <definedName name="_2615__FDSAUDITLINK__" hidden="1">{"fdsup://Directions/FactSet Auditing Viewer?action=AUDIT_VALUE&amp;DB=129&amp;ID1=59479310&amp;VALUEID=02001&amp;SDATE=200502&amp;PERIODTYPE=QTR_STD&amp;SCFT=3&amp;window=popup_no_bar&amp;width=385&amp;height=120&amp;START_MAXIMIZED=FALSE&amp;creator=factset&amp;display_string=Audit"}</definedName>
    <definedName name="_2616__FDSAUDITLINK__" hidden="1">{"fdsup://Directions/FactSet Auditing Viewer?action=AUDIT_VALUE&amp;DB=129&amp;ID1=59479310&amp;VALUEID=02001&amp;SDATE=200502&amp;PERIODTYPE=QTR_STD&amp;SCFT=3&amp;window=popup_no_bar&amp;width=385&amp;height=120&amp;START_MAXIMIZED=FALSE&amp;creator=factset&amp;display_string=Audit"}</definedName>
    <definedName name="_2617__FDSAUDITLINK__" hidden="1">{"fdsup://Directions/FactSet Auditing Viewer?action=AUDIT_VALUE&amp;DB=129&amp;ID1=59501710&amp;VALUEID=02001&amp;SDATE=200501&amp;PERIODTYPE=QTR_STD&amp;SCFT=3&amp;window=popup_no_bar&amp;width=385&amp;height=120&amp;START_MAXIMIZED=FALSE&amp;creator=factset&amp;display_string=Audit"}</definedName>
    <definedName name="_2618__FDSAUDITLINK__" hidden="1">{"fdsup://Directions/FactSet Auditing Viewer?action=AUDIT_VALUE&amp;DB=129&amp;ID1=59501710&amp;VALUEID=02001&amp;SDATE=200501&amp;PERIODTYPE=QTR_STD&amp;SCFT=3&amp;window=popup_no_bar&amp;width=385&amp;height=120&amp;START_MAXIMIZED=FALSE&amp;creator=factset&amp;display_string=Audit"}</definedName>
    <definedName name="_2619__FDSAUDITLINK__" hidden="1">{"fdsup://Directions/FactSet Auditing Viewer?action=AUDIT_VALUE&amp;DB=129&amp;ID1=50216110&amp;VALUEID=02001&amp;SDATE=200502&amp;PERIODTYPE=QTR_STD&amp;SCFT=3&amp;window=popup_no_bar&amp;width=385&amp;height=120&amp;START_MAXIMIZED=FALSE&amp;creator=factset&amp;display_string=Audit"}</definedName>
    <definedName name="_262__FDSAUDITLINK__" hidden="1">{"fdsup://Directions/FactSet Auditing Viewer?action=AUDIT_VALUE&amp;DB=129&amp;ID1=24702R10&amp;VALUEID=02001&amp;SDATE=201004&amp;PERIODTYPE=QTR_STD&amp;SCFT=3&amp;window=popup_no_bar&amp;width=385&amp;height=120&amp;START_MAXIMIZED=FALSE&amp;creator=factset&amp;display_string=Audit"}</definedName>
    <definedName name="_2620__FDSAUDITLINK__" hidden="1">{"fdsup://Directions/FactSet Auditing Viewer?action=AUDIT_VALUE&amp;DB=129&amp;ID1=50216110&amp;VALUEID=02001&amp;SDATE=200502&amp;PERIODTYPE=QTR_STD&amp;SCFT=3&amp;window=popup_no_bar&amp;width=385&amp;height=120&amp;START_MAXIMIZED=FALSE&amp;creator=factset&amp;display_string=Audit"}</definedName>
    <definedName name="_2621__FDSAUDITLINK__" hidden="1">{"fdsup://Directions/FactSet Auditing Viewer?action=AUDIT_VALUE&amp;DB=129&amp;ID1=51841510&amp;VALUEID=02001&amp;SDATE=200502&amp;PERIODTYPE=QTR_STD&amp;SCFT=3&amp;window=popup_no_bar&amp;width=385&amp;height=120&amp;START_MAXIMIZED=FALSE&amp;creator=factset&amp;display_string=Audit"}</definedName>
    <definedName name="_2622__FDSAUDITLINK__" hidden="1">{"fdsup://Directions/FactSet Auditing Viewer?action=AUDIT_VALUE&amp;DB=129&amp;ID1=51841510&amp;VALUEID=02001&amp;SDATE=200502&amp;PERIODTYPE=QTR_STD&amp;SCFT=3&amp;window=popup_no_bar&amp;width=385&amp;height=120&amp;START_MAXIMIZED=FALSE&amp;creator=factset&amp;display_string=Audit"}</definedName>
    <definedName name="_2623__FDSAUDITLINK__" hidden="1">{"fdsup://Directions/FactSet Auditing Viewer?action=AUDIT_VALUE&amp;DB=129&amp;ID1=48203R10&amp;VALUEID=02001&amp;SDATE=200502&amp;PERIODTYPE=QTR_STD&amp;SCFT=3&amp;window=popup_no_bar&amp;width=385&amp;height=120&amp;START_MAXIMIZED=FALSE&amp;creator=factset&amp;display_string=Audit"}</definedName>
    <definedName name="_2624__FDSAUDITLINK__" hidden="1">{"fdsup://Directions/FactSet Auditing Viewer?action=AUDIT_VALUE&amp;DB=129&amp;ID1=48203R10&amp;VALUEID=02001&amp;SDATE=200502&amp;PERIODTYPE=QTR_STD&amp;SCFT=3&amp;window=popup_no_bar&amp;width=385&amp;height=120&amp;START_MAXIMIZED=FALSE&amp;creator=factset&amp;display_string=Audit"}</definedName>
    <definedName name="_2625__FDSAUDITLINK__" hidden="1">{"fdsup://Directions/FactSet Auditing Viewer?action=AUDIT_VALUE&amp;DB=129&amp;ID1=46069S10&amp;VALUEID=02001&amp;SDATE=200502&amp;PERIODTYPE=QTR_STD&amp;SCFT=3&amp;window=popup_no_bar&amp;width=385&amp;height=120&amp;START_MAXIMIZED=FALSE&amp;creator=factset&amp;display_string=Audit"}</definedName>
    <definedName name="_2626__FDSAUDITLINK__" hidden="1">{"fdsup://Directions/FactSet Auditing Viewer?action=AUDIT_VALUE&amp;DB=129&amp;ID1=46069S10&amp;VALUEID=02001&amp;SDATE=200502&amp;PERIODTYPE=QTR_STD&amp;SCFT=3&amp;window=popup_no_bar&amp;width=385&amp;height=120&amp;START_MAXIMIZED=FALSE&amp;creator=factset&amp;display_string=Audit"}</definedName>
    <definedName name="_2627__FDSAUDITLINK__" hidden="1">{"fdsup://Directions/FactSet Auditing Viewer?action=AUDIT_VALUE&amp;DB=129&amp;ID1=46025410&amp;VALUEID=02001&amp;SDATE=200504&amp;PERIODTYPE=QTR_STD&amp;SCFT=3&amp;window=popup_no_bar&amp;width=385&amp;height=120&amp;START_MAXIMIZED=FALSE&amp;creator=factset&amp;display_string=Audit"}</definedName>
    <definedName name="_2628__FDSAUDITLINK__" hidden="1">{"fdsup://Directions/FactSet Auditing Viewer?action=AUDIT_VALUE&amp;DB=129&amp;ID1=46025410&amp;VALUEID=02001&amp;SDATE=200504&amp;PERIODTYPE=QTR_STD&amp;SCFT=3&amp;window=popup_no_bar&amp;width=385&amp;height=120&amp;START_MAXIMIZED=FALSE&amp;creator=factset&amp;display_string=Audit"}</definedName>
    <definedName name="_2629__FDSAUDITLINK__" hidden="1">{"fdsup://Directions/FactSet Auditing Viewer?action=AUDIT_VALUE&amp;DB=129&amp;ID1=45814010&amp;VALUEID=02001&amp;SDATE=200502&amp;PERIODTYPE=QTR_STD&amp;SCFT=3&amp;window=popup_no_bar&amp;width=385&amp;height=120&amp;START_MAXIMIZED=FALSE&amp;creator=factset&amp;display_string=Audit"}</definedName>
    <definedName name="_263__FDSAUDITLINK__" hidden="1">{"fdsup://Directions/FactSet Auditing Viewer?action=AUDIT_VALUE&amp;DB=129&amp;ID1=23257210&amp;VALUEID=02001&amp;SDATE=201004&amp;PERIODTYPE=QTR_STD&amp;SCFT=3&amp;window=popup_no_bar&amp;width=385&amp;height=120&amp;START_MAXIMIZED=FALSE&amp;creator=factset&amp;display_string=Audit"}</definedName>
    <definedName name="_2630__FDSAUDITLINK__" hidden="1">{"fdsup://Directions/FactSet Auditing Viewer?action=AUDIT_VALUE&amp;DB=129&amp;ID1=45814010&amp;VALUEID=02001&amp;SDATE=200502&amp;PERIODTYPE=QTR_STD&amp;SCFT=3&amp;window=popup_no_bar&amp;width=385&amp;height=120&amp;START_MAXIMIZED=FALSE&amp;creator=factset&amp;display_string=Audit"}</definedName>
    <definedName name="_2631__FDSAUDITLINK__" hidden="1">{"fdsup://Directions/FactSet Auditing Viewer?action=AUDIT_VALUE&amp;DB=129&amp;ID1=45811810&amp;VALUEID=02001&amp;SDATE=200501&amp;PERIODTYPE=QTR_STD&amp;SCFT=3&amp;window=popup_no_bar&amp;width=385&amp;height=120&amp;START_MAXIMIZED=FALSE&amp;creator=factset&amp;display_string=Audit"}</definedName>
    <definedName name="_2632__FDSAUDITLINK__" hidden="1">{"fdsup://Directions/FactSet Auditing Viewer?action=AUDIT_VALUE&amp;DB=129&amp;ID1=45811810&amp;VALUEID=02001&amp;SDATE=200501&amp;PERIODTYPE=QTR_STD&amp;SCFT=3&amp;window=popup_no_bar&amp;width=385&amp;height=120&amp;START_MAXIMIZED=FALSE&amp;creator=factset&amp;display_string=Audit"}</definedName>
    <definedName name="_2633__FDSAUDITLINK__" hidden="1">{"fdsup://Directions/FactSet Auditing Viewer?action=AUDIT_VALUE&amp;DB=129&amp;ID1=42823610&amp;VALUEID=02001&amp;SDATE=200503&amp;PERIODTYPE=QTR_STD&amp;SCFT=3&amp;window=popup_no_bar&amp;width=385&amp;height=120&amp;START_MAXIMIZED=FALSE&amp;creator=factset&amp;display_string=Audit"}</definedName>
    <definedName name="_2634__FDSAUDITLINK__" hidden="1">{"fdsup://Directions/FactSet Auditing Viewer?action=AUDIT_VALUE&amp;DB=129&amp;ID1=42823610&amp;VALUEID=02001&amp;SDATE=200503&amp;PERIODTYPE=QTR_STD&amp;SCFT=3&amp;window=popup_no_bar&amp;width=385&amp;height=120&amp;START_MAXIMIZED=FALSE&amp;creator=factset&amp;display_string=Audit"}</definedName>
    <definedName name="_2635__FDSAUDITLINK__" hidden="1">{"fdsup://Directions/FactSet Auditing Viewer?action=AUDIT_VALUE&amp;DB=129&amp;ID1=34637510&amp;VALUEID=02001&amp;SDATE=200502&amp;PERIODTYPE=QTR_STD&amp;SCFT=3&amp;window=popup_no_bar&amp;width=385&amp;height=120&amp;START_MAXIMIZED=FALSE&amp;creator=factset&amp;display_string=Audit"}</definedName>
    <definedName name="_2636__FDSAUDITLINK__" hidden="1">{"fdsup://Directions/FactSet Auditing Viewer?action=AUDIT_VALUE&amp;DB=129&amp;ID1=34637510&amp;VALUEID=02001&amp;SDATE=200502&amp;PERIODTYPE=QTR_STD&amp;SCFT=3&amp;window=popup_no_bar&amp;width=385&amp;height=120&amp;START_MAXIMIZED=FALSE&amp;creator=factset&amp;display_string=Audit"}</definedName>
    <definedName name="_2637__FDSAUDITLINK__" hidden="1">{"fdsup://Directions/FactSet Auditing Viewer?action=AUDIT_VALUE&amp;DB=129&amp;ID1=31561610&amp;VALUEID=02001&amp;SDATE=200503&amp;PERIODTYPE=QTR_STD&amp;SCFT=3&amp;window=popup_no_bar&amp;width=385&amp;height=120&amp;START_MAXIMIZED=FALSE&amp;creator=factset&amp;display_string=Audit"}</definedName>
    <definedName name="_2638__FDSAUDITLINK__" hidden="1">{"fdsup://Directions/FactSet Auditing Viewer?action=AUDIT_VALUE&amp;DB=129&amp;ID1=31561610&amp;VALUEID=02001&amp;SDATE=200503&amp;PERIODTYPE=QTR_STD&amp;SCFT=3&amp;window=popup_no_bar&amp;width=385&amp;height=120&amp;START_MAXIMIZED=FALSE&amp;creator=factset&amp;display_string=Audit"}</definedName>
    <definedName name="_2639__FDSAUDITLINK__" hidden="1">{"fdsup://Directions/FactSet Auditing Viewer?action=AUDIT_VALUE&amp;DB=129&amp;ID1=25454310&amp;VALUEID=02001&amp;SDATE=200502&amp;PERIODTYPE=QTR_STD&amp;SCFT=3&amp;window=popup_no_bar&amp;width=385&amp;height=120&amp;START_MAXIMIZED=FALSE&amp;creator=factset&amp;display_string=Audit"}</definedName>
    <definedName name="_264__FDSAUDITLINK__" hidden="1">{"fdsup://Directions/FactSet Auditing Viewer?action=AUDIT_VALUE&amp;DB=129&amp;ID1=23257210&amp;VALUEID=02001&amp;SDATE=201004&amp;PERIODTYPE=QTR_STD&amp;SCFT=3&amp;window=popup_no_bar&amp;width=385&amp;height=120&amp;START_MAXIMIZED=FALSE&amp;creator=factset&amp;display_string=Audit"}</definedName>
    <definedName name="_2640__FDSAUDITLINK__" hidden="1">{"fdsup://Directions/FactSet Auditing Viewer?action=AUDIT_VALUE&amp;DB=129&amp;ID1=25454310&amp;VALUEID=02001&amp;SDATE=200502&amp;PERIODTYPE=QTR_STD&amp;SCFT=3&amp;window=popup_no_bar&amp;width=385&amp;height=120&amp;START_MAXIMIZED=FALSE&amp;creator=factset&amp;display_string=Audit"}</definedName>
    <definedName name="_2641__FDSAUDITLINK__" hidden="1">{"fdsup://Directions/FactSet Auditing Viewer?action=AUDIT_VALUE&amp;DB=129&amp;ID1=24702R10&amp;VALUEID=02001&amp;SDATE=200502&amp;PERIODTYPE=QTR_STD&amp;SCFT=3&amp;window=popup_no_bar&amp;width=385&amp;height=120&amp;START_MAXIMIZED=FALSE&amp;creator=factset&amp;display_string=Audit"}</definedName>
    <definedName name="_2642__FDSAUDITLINK__" hidden="1">{"fdsup://Directions/FactSet Auditing Viewer?action=AUDIT_VALUE&amp;DB=129&amp;ID1=24702R10&amp;VALUEID=02001&amp;SDATE=200502&amp;PERIODTYPE=QTR_STD&amp;SCFT=3&amp;window=popup_no_bar&amp;width=385&amp;height=120&amp;START_MAXIMIZED=FALSE&amp;creator=factset&amp;display_string=Audit"}</definedName>
    <definedName name="_2643__FDSAUDITLINK__" hidden="1">{"fdsup://Directions/FactSet Auditing Viewer?action=AUDIT_VALUE&amp;DB=129&amp;ID1=23257210&amp;VALUEID=02001&amp;SDATE=200502&amp;PERIODTYPE=QTR_STD&amp;SCFT=3&amp;window=popup_no_bar&amp;width=385&amp;height=120&amp;START_MAXIMIZED=FALSE&amp;creator=factset&amp;display_string=Audit"}</definedName>
    <definedName name="_2644__FDSAUDITLINK__" hidden="1">{"fdsup://Directions/FactSet Auditing Viewer?action=AUDIT_VALUE&amp;DB=129&amp;ID1=23257210&amp;VALUEID=02001&amp;SDATE=200502&amp;PERIODTYPE=QTR_STD&amp;SCFT=3&amp;window=popup_no_bar&amp;width=385&amp;height=120&amp;START_MAXIMIZED=FALSE&amp;creator=factset&amp;display_string=Audit"}</definedName>
    <definedName name="_2645__FDSAUDITLINK__" hidden="1">{"fdsup://Directions/FactSet Auditing Viewer?action=AUDIT_VALUE&amp;DB=129&amp;ID1=23280610&amp;VALUEID=02001&amp;SDATE=200502&amp;PERIODTYPE=QTR_STD&amp;SCFT=3&amp;window=popup_no_bar&amp;width=385&amp;height=120&amp;START_MAXIMIZED=FALSE&amp;creator=factset&amp;display_string=Audit"}</definedName>
    <definedName name="_2646__FDSAUDITLINK__" hidden="1">{"fdsup://Directions/FactSet Auditing Viewer?action=AUDIT_VALUE&amp;DB=129&amp;ID1=23280610&amp;VALUEID=02001&amp;SDATE=200502&amp;PERIODTYPE=QTR_STD&amp;SCFT=3&amp;window=popup_no_bar&amp;width=385&amp;height=120&amp;START_MAXIMIZED=FALSE&amp;creator=factset&amp;display_string=Audit"}</definedName>
    <definedName name="_2647__FDSAUDITLINK__" hidden="1">{"fdsup://Directions/FactSet Auditing Viewer?action=AUDIT_VALUE&amp;DB=129&amp;ID1=20714230&amp;VALUEID=02001&amp;SDATE=200503&amp;PERIODTYPE=QTR_STD&amp;SCFT=3&amp;window=popup_no_bar&amp;width=385&amp;height=120&amp;START_MAXIMIZED=FALSE&amp;creator=factset&amp;display_string=Audit"}</definedName>
    <definedName name="_2648__FDSAUDITLINK__" hidden="1">{"fdsup://Directions/FactSet Auditing Viewer?action=AUDIT_VALUE&amp;DB=129&amp;ID1=20714230&amp;VALUEID=02001&amp;SDATE=200503&amp;PERIODTYPE=QTR_STD&amp;SCFT=3&amp;window=popup_no_bar&amp;width=385&amp;height=120&amp;START_MAXIMIZED=FALSE&amp;creator=factset&amp;display_string=Audit"}</definedName>
    <definedName name="_2649__FDSAUDITLINK__" hidden="1">{"fdsup://Directions/FactSet Auditing Viewer?action=AUDIT_VALUE&amp;DB=129&amp;ID1=12738710&amp;VALUEID=02001&amp;SDATE=200502&amp;PERIODTYPE=QTR_STD&amp;SCFT=3&amp;window=popup_no_bar&amp;width=385&amp;height=120&amp;START_MAXIMIZED=FALSE&amp;creator=factset&amp;display_string=Audit"}</definedName>
    <definedName name="_265__FDSAUDITLINK__" hidden="1">{"fdsup://Directions/FactSet Auditing Viewer?action=AUDIT_VALUE&amp;DB=129&amp;ID1=23280610&amp;VALUEID=02001&amp;SDATE=201004&amp;PERIODTYPE=QTR_STD&amp;SCFT=3&amp;window=popup_no_bar&amp;width=385&amp;height=120&amp;START_MAXIMIZED=FALSE&amp;creator=factset&amp;display_string=Audit"}</definedName>
    <definedName name="_2650__FDSAUDITLINK__" hidden="1">{"fdsup://Directions/FactSet Auditing Viewer?action=AUDIT_VALUE&amp;DB=129&amp;ID1=12738710&amp;VALUEID=02001&amp;SDATE=200502&amp;PERIODTYPE=QTR_STD&amp;SCFT=3&amp;window=popup_no_bar&amp;width=385&amp;height=120&amp;START_MAXIMIZED=FALSE&amp;creator=factset&amp;display_string=Audit"}</definedName>
    <definedName name="_2651__FDSAUDITLINK__" hidden="1">{"fdsup://Directions/FactSet Auditing Viewer?action=AUDIT_VALUE&amp;DB=129&amp;ID1=11162130&amp;VALUEID=02001&amp;SDATE=200503&amp;PERIODTYPE=QTR_STD&amp;SCFT=3&amp;window=popup_no_bar&amp;width=385&amp;height=120&amp;START_MAXIMIZED=FALSE&amp;creator=factset&amp;display_string=Audit"}</definedName>
    <definedName name="_2652__FDSAUDITLINK__" hidden="1">{"fdsup://Directions/FactSet Auditing Viewer?action=AUDIT_VALUE&amp;DB=129&amp;ID1=11162130&amp;VALUEID=02001&amp;SDATE=200503&amp;PERIODTYPE=QTR_STD&amp;SCFT=3&amp;window=popup_no_bar&amp;width=385&amp;height=120&amp;START_MAXIMIZED=FALSE&amp;creator=factset&amp;display_string=Audit"}</definedName>
    <definedName name="_2653__FDSAUDITLINK__" hidden="1">{"fdsup://Directions/FactSet Auditing Viewer?action=AUDIT_VALUE&amp;DB=129&amp;ID1=04743P10&amp;VALUEID=02001&amp;SDATE=200502&amp;PERIODTYPE=QTR_STD&amp;SCFT=3&amp;window=popup_no_bar&amp;width=385&amp;height=120&amp;START_MAXIMIZED=FALSE&amp;creator=factset&amp;display_string=Audit"}</definedName>
    <definedName name="_2654__FDSAUDITLINK__" hidden="1">{"fdsup://Directions/FactSet Auditing Viewer?action=AUDIT_VALUE&amp;DB=129&amp;ID1=04743P10&amp;VALUEID=02001&amp;SDATE=200502&amp;PERIODTYPE=QTR_STD&amp;SCFT=3&amp;window=popup_no_bar&amp;width=385&amp;height=120&amp;START_MAXIMIZED=FALSE&amp;creator=factset&amp;display_string=Audit"}</definedName>
    <definedName name="_2655__FDSAUDITLINK__" hidden="1">{"fdsup://Directions/FactSet Auditing Viewer?action=AUDIT_VALUE&amp;DB=129&amp;ID1=00790310&amp;VALUEID=02001&amp;SDATE=200502&amp;PERIODTYPE=QTR_STD&amp;SCFT=3&amp;window=popup_no_bar&amp;width=385&amp;height=120&amp;START_MAXIMIZED=FALSE&amp;creator=factset&amp;display_string=Audit"}</definedName>
    <definedName name="_2656__FDSAUDITLINK__" hidden="1">{"fdsup://Directions/FactSet Auditing Viewer?action=AUDIT_VALUE&amp;DB=129&amp;ID1=00790310&amp;VALUEID=02001&amp;SDATE=200502&amp;PERIODTYPE=QTR_STD&amp;SCFT=3&amp;window=popup_no_bar&amp;width=385&amp;height=120&amp;START_MAXIMIZED=FALSE&amp;creator=factset&amp;display_string=Audit"}</definedName>
    <definedName name="_2657__FDSAUDITLINK__" hidden="1">{"fdsup://Directions/FactSet Auditing Viewer?action=AUDIT_VALUE&amp;DB=129&amp;ID1=03822W40&amp;VALUEID=02001&amp;SDATE=200501&amp;PERIODTYPE=QTR_STD&amp;SCFT=3&amp;window=popup_no_bar&amp;width=385&amp;height=120&amp;START_MAXIMIZED=FALSE&amp;creator=factset&amp;display_string=Audit"}</definedName>
    <definedName name="_2658__FDSAUDITLINK__" hidden="1">{"fdsup://Directions/FactSet Auditing Viewer?action=AUDIT_VALUE&amp;DB=129&amp;ID1=03822W40&amp;VALUEID=02001&amp;SDATE=200501&amp;PERIODTYPE=QTR_STD&amp;SCFT=3&amp;window=popup_no_bar&amp;width=385&amp;height=120&amp;START_MAXIMIZED=FALSE&amp;creator=factset&amp;display_string=Audit"}</definedName>
    <definedName name="_2659__FDSAUDITLINK__" hidden="1">{"fdsup://Directions/FactSet Auditing Viewer?action=AUDIT_VALUE&amp;DB=129&amp;ID1=03822210&amp;VALUEID=02001&amp;SDATE=200503&amp;PERIODTYPE=QTR_STD&amp;SCFT=3&amp;window=popup_no_bar&amp;width=385&amp;height=120&amp;START_MAXIMIZED=FALSE&amp;creator=factset&amp;display_string=Audit"}</definedName>
    <definedName name="_266__FDSAUDITLINK__" hidden="1">{"fdsup://Directions/FactSet Auditing Viewer?action=AUDIT_VALUE&amp;DB=129&amp;ID1=23280610&amp;VALUEID=02001&amp;SDATE=201004&amp;PERIODTYPE=QTR_STD&amp;SCFT=3&amp;window=popup_no_bar&amp;width=385&amp;height=120&amp;START_MAXIMIZED=FALSE&amp;creator=factset&amp;display_string=Audit"}</definedName>
    <definedName name="_2660__FDSAUDITLINK__" hidden="1">{"fdsup://Directions/FactSet Auditing Viewer?action=AUDIT_VALUE&amp;DB=129&amp;ID1=03822210&amp;VALUEID=02001&amp;SDATE=200503&amp;PERIODTYPE=QTR_STD&amp;SCFT=3&amp;window=popup_no_bar&amp;width=385&amp;height=120&amp;START_MAXIMIZED=FALSE&amp;creator=factset&amp;display_string=Audit"}</definedName>
    <definedName name="_2661__FDSAUDITLINK__" hidden="1">{"fdsup://Directions/FactSet Auditing Viewer?action=AUDIT_VALUE&amp;DB=129&amp;ID1=02144110&amp;VALUEID=02001&amp;SDATE=200502&amp;PERIODTYPE=QTR_STD&amp;SCFT=3&amp;window=popup_no_bar&amp;width=385&amp;height=120&amp;START_MAXIMIZED=FALSE&amp;creator=factset&amp;display_string=Audit"}</definedName>
    <definedName name="_2662__FDSAUDITLINK__" hidden="1">{"fdsup://Directions/FactSet Auditing Viewer?action=AUDIT_VALUE&amp;DB=129&amp;ID1=02144110&amp;VALUEID=02001&amp;SDATE=200502&amp;PERIODTYPE=QTR_STD&amp;SCFT=3&amp;window=popup_no_bar&amp;width=385&amp;height=120&amp;START_MAXIMIZED=FALSE&amp;creator=factset&amp;display_string=Audit"}</definedName>
    <definedName name="_2663__FDSAUDITLINK__" hidden="1">{"fdsup://Directions/FactSet Auditing Viewer?action=AUDIT_VALUE&amp;DB=129&amp;ID1=03265410&amp;VALUEID=02001&amp;SDATE=200503&amp;PERIODTYPE=QTR_STD&amp;SCFT=3&amp;window=popup_no_bar&amp;width=385&amp;height=120&amp;START_MAXIMIZED=FALSE&amp;creator=factset&amp;display_string=Audit"}</definedName>
    <definedName name="_2664__FDSAUDITLINK__" hidden="1">{"fdsup://Directions/FactSet Auditing Viewer?action=AUDIT_VALUE&amp;DB=129&amp;ID1=03265410&amp;VALUEID=02001&amp;SDATE=200503&amp;PERIODTYPE=QTR_STD&amp;SCFT=3&amp;window=popup_no_bar&amp;width=385&amp;height=120&amp;START_MAXIMIZED=FALSE&amp;creator=factset&amp;display_string=Audit"}</definedName>
    <definedName name="_2665__FDSAUDITLINK__" hidden="1">{"fdsup://Directions/FactSet Auditing Viewer?action=AUDIT_VALUE&amp;DB=129&amp;ID1=00752J10&amp;VALUEID=02001&amp;SDATE=200502&amp;PERIODTYPE=QTR_STD&amp;SCFT=3&amp;window=popup_no_bar&amp;width=385&amp;height=120&amp;START_MAXIMIZED=FALSE&amp;creator=factset&amp;display_string=Audit"}</definedName>
    <definedName name="_2666__FDSAUDITLINK__" hidden="1">{"fdsup://Directions/FactSet Auditing Viewer?action=AUDIT_VALUE&amp;DB=129&amp;ID1=00752J10&amp;VALUEID=02001&amp;SDATE=200502&amp;PERIODTYPE=QTR_STD&amp;SCFT=3&amp;window=popup_no_bar&amp;width=385&amp;height=120&amp;START_MAXIMIZED=FALSE&amp;creator=factset&amp;display_string=Audit"}</definedName>
    <definedName name="_2667__FDSAUDITLINK__" hidden="1">{"fdsup://Directions/FactSet Auditing Viewer?action=AUDIT_VALUE&amp;DB=129&amp;ID1=98975F10&amp;VALUEID=02001&amp;SDATE=200501&amp;PERIODTYPE=QTR_STD&amp;SCFT=3&amp;window=popup_no_bar&amp;width=385&amp;height=120&amp;START_MAXIMIZED=FALSE&amp;creator=factset&amp;display_string=Audit"}</definedName>
    <definedName name="_2668__FDSAUDITLINK__" hidden="1">{"fdsup://Directions/FactSet Auditing Viewer?action=AUDIT_VALUE&amp;DB=129&amp;ID1=98975F10&amp;VALUEID=02001&amp;SDATE=200501&amp;PERIODTYPE=QTR_STD&amp;SCFT=3&amp;window=popup_no_bar&amp;width=385&amp;height=120&amp;START_MAXIMIZED=FALSE&amp;creator=factset&amp;display_string=Audit"}</definedName>
    <definedName name="_2669__FDSAUDITLINK__" hidden="1">{"fdsup://Directions/FactSet Auditing Viewer?action=AUDIT_VALUE&amp;DB=129&amp;ID1=95810210&amp;VALUEID=02001&amp;SDATE=200503&amp;PERIODTYPE=QTR_STD&amp;SCFT=3&amp;window=popup_no_bar&amp;width=385&amp;height=120&amp;START_MAXIMIZED=FALSE&amp;creator=factset&amp;display_string=Audit"}</definedName>
    <definedName name="_267__FDSAUDITLINK__" hidden="1">{"fdsup://Directions/FactSet Auditing Viewer?action=AUDIT_VALUE&amp;DB=129&amp;ID1=17275R10&amp;VALUEID=02001&amp;SDATE=201102&amp;PERIODTYPE=QTR_STD&amp;SCFT=3&amp;window=popup_no_bar&amp;width=385&amp;height=120&amp;START_MAXIMIZED=FALSE&amp;creator=factset&amp;display_string=Audit"}</definedName>
    <definedName name="_2670__FDSAUDITLINK__" hidden="1">{"fdsup://Directions/FactSet Auditing Viewer?action=AUDIT_VALUE&amp;DB=129&amp;ID1=95810210&amp;VALUEID=02001&amp;SDATE=200503&amp;PERIODTYPE=QTR_STD&amp;SCFT=3&amp;window=popup_no_bar&amp;width=385&amp;height=120&amp;START_MAXIMIZED=FALSE&amp;creator=factset&amp;display_string=Audit"}</definedName>
    <definedName name="_2671__FDSAUDITLINK__" hidden="1">{"fdsup://Directions/FactSet Auditing Viewer?action=AUDIT_VALUE&amp;DB=129&amp;ID1=88250810&amp;VALUEID=02001&amp;SDATE=200501&amp;PERIODTYPE=QTR_STD&amp;SCFT=3&amp;window=popup_no_bar&amp;width=385&amp;height=120&amp;START_MAXIMIZED=FALSE&amp;creator=factset&amp;display_string=Audit"}</definedName>
    <definedName name="_2672__FDSAUDITLINK__" hidden="1">{"fdsup://Directions/FactSet Auditing Viewer?action=AUDIT_VALUE&amp;DB=129&amp;ID1=88250810&amp;VALUEID=02001&amp;SDATE=200501&amp;PERIODTYPE=QTR_STD&amp;SCFT=3&amp;window=popup_no_bar&amp;width=385&amp;height=120&amp;START_MAXIMIZED=FALSE&amp;creator=factset&amp;display_string=Audit"}</definedName>
    <definedName name="_2673__FDSAUDITLINK__" hidden="1">{"fdsup://Directions/FactSet Auditing Viewer?action=AUDIT_VALUE&amp;DB=129&amp;ID1=89674K10&amp;VALUEID=02001&amp;SDATE=200501&amp;PERIODTYPE=QTR_STD&amp;SCFT=3&amp;window=popup_no_bar&amp;width=385&amp;height=120&amp;START_MAXIMIZED=FALSE&amp;creator=factset&amp;display_string=Audit"}</definedName>
    <definedName name="_2674__FDSAUDITLINK__" hidden="1">{"fdsup://Directions/FactSet Auditing Viewer?action=AUDIT_VALUE&amp;DB=129&amp;ID1=89674K10&amp;VALUEID=02001&amp;SDATE=200501&amp;PERIODTYPE=QTR_STD&amp;SCFT=3&amp;window=popup_no_bar&amp;width=385&amp;height=120&amp;START_MAXIMIZED=FALSE&amp;creator=factset&amp;display_string=Audit"}</definedName>
    <definedName name="_2675__FDSAUDITLINK__" hidden="1">{"fdsup://Directions/FactSet Auditing Viewer?action=AUDIT_VALUE&amp;DB=129&amp;ID1=83088M10&amp;VALUEID=02001&amp;SDATE=200502&amp;PERIODTYPE=QTR_STD&amp;SCFT=3&amp;window=popup_no_bar&amp;width=385&amp;height=120&amp;START_MAXIMIZED=FALSE&amp;creator=factset&amp;display_string=Audit"}</definedName>
    <definedName name="_2676__FDSAUDITLINK__" hidden="1">{"fdsup://Directions/FactSet Auditing Viewer?action=AUDIT_VALUE&amp;DB=129&amp;ID1=83088M10&amp;VALUEID=02001&amp;SDATE=200502&amp;PERIODTYPE=QTR_STD&amp;SCFT=3&amp;window=popup_no_bar&amp;width=385&amp;height=120&amp;START_MAXIMIZED=FALSE&amp;creator=factset&amp;display_string=Audit"}</definedName>
    <definedName name="_2677__FDSAUDITLINK__" hidden="1">{"fdsup://Directions/FactSet Auditing Viewer?action=AUDIT_VALUE&amp;DB=129&amp;ID1=G7945M10&amp;VALUEID=02001&amp;SDATE=200503&amp;PERIODTYPE=QTR_STD&amp;SCFT=3&amp;window=popup_no_bar&amp;width=385&amp;height=120&amp;START_MAXIMIZED=FALSE&amp;creator=factset&amp;display_string=Audit"}</definedName>
    <definedName name="_2678__FDSAUDITLINK__" hidden="1">{"fdsup://Directions/FactSet Auditing Viewer?action=AUDIT_VALUE&amp;DB=129&amp;ID1=G7945M10&amp;VALUEID=02001&amp;SDATE=200503&amp;PERIODTYPE=QTR_STD&amp;SCFT=3&amp;window=popup_no_bar&amp;width=385&amp;height=120&amp;START_MAXIMIZED=FALSE&amp;creator=factset&amp;display_string=Audit"}</definedName>
    <definedName name="_2679__FDSAUDITLINK__" hidden="1">{"fdsup://Directions/FactSet Auditing Viewer?action=AUDIT_VALUE&amp;DB=129&amp;ID1=78477410&amp;VALUEID=02001&amp;SDATE=200501&amp;PERIODTYPE=QTR_STD&amp;SCFT=3&amp;window=popup_no_bar&amp;width=385&amp;height=120&amp;START_MAXIMIZED=FALSE&amp;creator=factset&amp;display_string=Audit"}</definedName>
    <definedName name="_268__FDSAUDITLINK__" hidden="1">{"fdsup://Directions/FactSet Auditing Viewer?action=AUDIT_VALUE&amp;DB=129&amp;ID1=17275R10&amp;VALUEID=02001&amp;SDATE=201102&amp;PERIODTYPE=QTR_STD&amp;SCFT=3&amp;window=popup_no_bar&amp;width=385&amp;height=120&amp;START_MAXIMIZED=FALSE&amp;creator=factset&amp;display_string=Audit"}</definedName>
    <definedName name="_2680__FDSAUDITLINK__" hidden="1">{"fdsup://Directions/FactSet Auditing Viewer?action=AUDIT_VALUE&amp;DB=129&amp;ID1=78477410&amp;VALUEID=02001&amp;SDATE=200501&amp;PERIODTYPE=QTR_STD&amp;SCFT=3&amp;window=popup_no_bar&amp;width=385&amp;height=120&amp;START_MAXIMIZED=FALSE&amp;creator=factset&amp;display_string=Audit"}</definedName>
    <definedName name="_2681__FDSAUDITLINK__" hidden="1">{"fdsup://Directions/FactSet Auditing Viewer?action=AUDIT_VALUE&amp;DB=129&amp;ID1=83547010&amp;VALUEID=02001&amp;SDATE=200501&amp;PERIODTYPE=QTR_STD&amp;SCFT=3&amp;window=popup_no_bar&amp;width=385&amp;height=120&amp;START_MAXIMIZED=FALSE&amp;creator=factset&amp;display_string=Audit"}</definedName>
    <definedName name="_2682__FDSAUDITLINK__" hidden="1">{"fdsup://Directions/FactSet Auditing Viewer?action=AUDIT_VALUE&amp;DB=129&amp;ID1=83547010&amp;VALUEID=02001&amp;SDATE=200501&amp;PERIODTYPE=QTR_STD&amp;SCFT=3&amp;window=popup_no_bar&amp;width=385&amp;height=120&amp;START_MAXIMIZED=FALSE&amp;creator=factset&amp;display_string=Audit"}</definedName>
    <definedName name="_2683__FDSAUDITLINK__" hidden="1">{"fdsup://Directions/FactSet Auditing Viewer?action=AUDIT_VALUE&amp;DB=129&amp;ID1=87160710&amp;VALUEID=02001&amp;SDATE=200502&amp;PERIODTYPE=QTR_STD&amp;SCFT=3&amp;window=popup_no_bar&amp;width=385&amp;height=120&amp;START_MAXIMIZED=FALSE&amp;creator=factset&amp;display_string=Audit"}</definedName>
    <definedName name="_2684__FDSAUDITLINK__" hidden="1">{"fdsup://Directions/FactSet Auditing Viewer?action=AUDIT_VALUE&amp;DB=129&amp;ID1=87160710&amp;VALUEID=02001&amp;SDATE=200502&amp;PERIODTYPE=QTR_STD&amp;SCFT=3&amp;window=popup_no_bar&amp;width=385&amp;height=120&amp;START_MAXIMIZED=FALSE&amp;creator=factset&amp;display_string=Audit"}</definedName>
    <definedName name="_2685__FDSAUDITLINK__" hidden="1">{"fdsup://Directions/FactSet Auditing Viewer?action=AUDIT_VALUE&amp;DB=129&amp;ID1=80004C10&amp;VALUEID=02001&amp;SDATE=200501&amp;PERIODTYPE=QTR_STD&amp;SCFT=3&amp;window=popup_no_bar&amp;width=385&amp;height=120&amp;START_MAXIMIZED=FALSE&amp;creator=factset&amp;display_string=Audit"}</definedName>
    <definedName name="_2686__FDSAUDITLINK__" hidden="1">{"fdsup://Directions/FactSet Auditing Viewer?action=AUDIT_VALUE&amp;DB=129&amp;ID1=80004C10&amp;VALUEID=02001&amp;SDATE=200501&amp;PERIODTYPE=QTR_STD&amp;SCFT=3&amp;window=popup_no_bar&amp;width=385&amp;height=120&amp;START_MAXIMIZED=FALSE&amp;creator=factset&amp;display_string=Audit"}</definedName>
    <definedName name="_2687__FDSAUDITLINK__" hidden="1">{"fdsup://Directions/FactSet Auditing Viewer?action=AUDIT_VALUE&amp;DB=129&amp;ID1=81685010&amp;VALUEID=02001&amp;SDATE=200501&amp;PERIODTYPE=QTR_STD&amp;SCFT=3&amp;window=popup_no_bar&amp;width=385&amp;height=120&amp;START_MAXIMIZED=FALSE&amp;creator=factset&amp;display_string=Audit"}</definedName>
    <definedName name="_2688__FDSAUDITLINK__" hidden="1">{"fdsup://Directions/FactSet Auditing Viewer?action=AUDIT_VALUE&amp;DB=129&amp;ID1=81685010&amp;VALUEID=02001&amp;SDATE=200501&amp;PERIODTYPE=QTR_STD&amp;SCFT=3&amp;window=popup_no_bar&amp;width=385&amp;height=120&amp;START_MAXIMIZED=FALSE&amp;creator=factset&amp;display_string=Audit"}</definedName>
    <definedName name="_2689__FDSAUDITLINK__" hidden="1">{"fdsup://Directions/FactSet Auditing Viewer?action=AUDIT_VALUE&amp;DB=129&amp;ID1=82691910&amp;VALUEID=02001&amp;SDATE=200501&amp;PERIODTYPE=QTR_STD&amp;SCFT=3&amp;window=popup_no_bar&amp;width=385&amp;height=120&amp;START_MAXIMIZED=FALSE&amp;creator=factset&amp;display_string=Audit"}</definedName>
    <definedName name="_269__FDSAUDITLINK__" hidden="1">{"fdsup://Directions/FactSet Auditing Viewer?action=AUDIT_VALUE&amp;DB=129&amp;ID1=22544710&amp;VALUEID=02001&amp;SDATE=201102&amp;PERIODTYPE=QTR_STD&amp;SCFT=3&amp;window=popup_no_bar&amp;width=385&amp;height=120&amp;START_MAXIMIZED=FALSE&amp;creator=factset&amp;display_string=Audit"}</definedName>
    <definedName name="_2690__FDSAUDITLINK__" hidden="1">{"fdsup://Directions/FactSet Auditing Viewer?action=AUDIT_VALUE&amp;DB=129&amp;ID1=82691910&amp;VALUEID=02001&amp;SDATE=200501&amp;PERIODTYPE=QTR_STD&amp;SCFT=3&amp;window=popup_no_bar&amp;width=385&amp;height=120&amp;START_MAXIMIZED=FALSE&amp;creator=factset&amp;display_string=Audit"}</definedName>
    <definedName name="_2691__FDSAUDITLINK__" hidden="1">{"fdsup://Directions/FactSet Auditing Viewer?action=AUDIT_VALUE&amp;DB=129&amp;ID1=82705T10&amp;VALUEID=02001&amp;SDATE=200501&amp;PERIODTYPE=QTR_STD&amp;SCFT=3&amp;window=popup_no_bar&amp;width=385&amp;height=120&amp;START_MAXIMIZED=FALSE&amp;creator=factset&amp;display_string=Audit"}</definedName>
    <definedName name="_2692__FDSAUDITLINK__" hidden="1">{"fdsup://Directions/FactSet Auditing Viewer?action=AUDIT_VALUE&amp;DB=129&amp;ID1=82705T10&amp;VALUEID=02001&amp;SDATE=200501&amp;PERIODTYPE=QTR_STD&amp;SCFT=3&amp;window=popup_no_bar&amp;width=385&amp;height=120&amp;START_MAXIMIZED=FALSE&amp;creator=factset&amp;display_string=Audit"}</definedName>
    <definedName name="_2693__FDSAUDITLINK__" hidden="1">{"fdsup://Directions/FactSet Auditing Viewer?action=AUDIT_VALUE&amp;DB=129&amp;ID1=75091710&amp;VALUEID=02001&amp;SDATE=200501&amp;PERIODTYPE=QTR_STD&amp;SCFT=3&amp;window=popup_no_bar&amp;width=385&amp;height=120&amp;START_MAXIMIZED=FALSE&amp;creator=factset&amp;display_string=Audit"}</definedName>
    <definedName name="_2694__FDSAUDITLINK__" hidden="1">{"fdsup://Directions/FactSet Auditing Viewer?action=AUDIT_VALUE&amp;DB=129&amp;ID1=75091710&amp;VALUEID=02001&amp;SDATE=200501&amp;PERIODTYPE=QTR_STD&amp;SCFT=3&amp;window=popup_no_bar&amp;width=385&amp;height=120&amp;START_MAXIMIZED=FALSE&amp;creator=factset&amp;display_string=Audit"}</definedName>
    <definedName name="_2695__FDSAUDITLINK__" hidden="1">{"fdsup://Directions/FactSet Auditing Viewer?action=AUDIT_VALUE&amp;DB=129&amp;ID1=74752510&amp;VALUEID=02001&amp;SDATE=200502&amp;PERIODTYPE=QTR_STD&amp;SCFT=3&amp;window=popup_no_bar&amp;width=385&amp;height=120&amp;START_MAXIMIZED=FALSE&amp;creator=factset&amp;display_string=Audit"}</definedName>
    <definedName name="_2696__FDSAUDITLINK__" hidden="1">{"fdsup://Directions/FactSet Auditing Viewer?action=AUDIT_VALUE&amp;DB=129&amp;ID1=74752510&amp;VALUEID=02001&amp;SDATE=200502&amp;PERIODTYPE=QTR_STD&amp;SCFT=3&amp;window=popup_no_bar&amp;width=385&amp;height=120&amp;START_MAXIMIZED=FALSE&amp;creator=factset&amp;display_string=Audit"}</definedName>
    <definedName name="_2697__FDSAUDITLINK__" hidden="1">{"fdsup://Directions/FactSet Auditing Viewer?action=AUDIT_VALUE&amp;DB=129&amp;ID1=72581M30&amp;VALUEID=02001&amp;SDATE=200501&amp;PERIODTYPE=QTR_STD&amp;SCFT=3&amp;window=popup_no_bar&amp;width=385&amp;height=120&amp;START_MAXIMIZED=FALSE&amp;creator=factset&amp;display_string=Audit"}</definedName>
    <definedName name="_2698__FDSAUDITLINK__" hidden="1">{"fdsup://Directions/FactSet Auditing Viewer?action=AUDIT_VALUE&amp;DB=129&amp;ID1=72581M30&amp;VALUEID=02001&amp;SDATE=200501&amp;PERIODTYPE=QTR_STD&amp;SCFT=3&amp;window=popup_no_bar&amp;width=385&amp;height=120&amp;START_MAXIMIZED=FALSE&amp;creator=factset&amp;display_string=Audit"}</definedName>
    <definedName name="_2699__FDSAUDITLINK__" hidden="1">{"fdsup://Directions/FactSet Auditing Viewer?action=AUDIT_VALUE&amp;DB=129&amp;ID1=73927610&amp;VALUEID=02001&amp;SDATE=200501&amp;PERIODTYPE=QTR_STD&amp;SCFT=3&amp;window=popup_no_bar&amp;width=385&amp;height=120&amp;START_MAXIMIZED=FALSE&amp;creator=factset&amp;display_string=Audit"}</definedName>
    <definedName name="_27__FDSAUDITLINK__" hidden="1">{"fdsup://Directions/FactSet Auditing Viewer?action=AUDIT_VALUE&amp;DB=129&amp;ID1=80004C10&amp;VALUEID=02001&amp;SDATE=201101&amp;PERIODTYPE=QTR_STD&amp;SCFT=3&amp;window=popup_no_bar&amp;width=385&amp;height=120&amp;START_MAXIMIZED=FALSE&amp;creator=factset&amp;display_string=Audit"}</definedName>
    <definedName name="_270__FDSAUDITLINK__" hidden="1">{"fdsup://Directions/FactSet Auditing Viewer?action=AUDIT_VALUE&amp;DB=129&amp;ID1=22544710&amp;VALUEID=02001&amp;SDATE=201102&amp;PERIODTYPE=QTR_STD&amp;SCFT=3&amp;window=popup_no_bar&amp;width=385&amp;height=120&amp;START_MAXIMIZED=FALSE&amp;creator=factset&amp;display_string=Audit"}</definedName>
    <definedName name="_2700__FDSAUDITLINK__" hidden="1">{"fdsup://Directions/FactSet Auditing Viewer?action=AUDIT_VALUE&amp;DB=129&amp;ID1=73927610&amp;VALUEID=02001&amp;SDATE=200501&amp;PERIODTYPE=QTR_STD&amp;SCFT=3&amp;window=popup_no_bar&amp;width=385&amp;height=120&amp;START_MAXIMIZED=FALSE&amp;creator=factset&amp;display_string=Audit"}</definedName>
    <definedName name="_2701__FDSAUDITLINK__" hidden="1">{"fdsup://Directions/FactSet Auditing Viewer?action=AUDIT_VALUE&amp;DB=129&amp;ID1=69344F10&amp;VALUEID=02001&amp;SDATE=200501&amp;PERIODTYPE=QTR_STD&amp;SCFT=3&amp;window=popup_no_bar&amp;width=385&amp;height=120&amp;START_MAXIMIZED=FALSE&amp;creator=factset&amp;display_string=Audit"}</definedName>
    <definedName name="_2702__FDSAUDITLINK__" hidden="1">{"fdsup://Directions/FactSet Auditing Viewer?action=AUDIT_VALUE&amp;DB=129&amp;ID1=69344F10&amp;VALUEID=02001&amp;SDATE=200501&amp;PERIODTYPE=QTR_STD&amp;SCFT=3&amp;window=popup_no_bar&amp;width=385&amp;height=120&amp;START_MAXIMIZED=FALSE&amp;creator=factset&amp;display_string=Audit"}</definedName>
    <definedName name="_2703__FDSAUDITLINK__" hidden="1">{"fdsup://Directions/FactSet Auditing Viewer?action=AUDIT_VALUE&amp;DB=129&amp;ID1=69341710&amp;VALUEID=02001&amp;SDATE=200501&amp;PERIODTYPE=QTR_STD&amp;SCFT=3&amp;window=popup_no_bar&amp;width=385&amp;height=120&amp;START_MAXIMIZED=FALSE&amp;creator=factset&amp;display_string=Audit"}</definedName>
    <definedName name="_2704__FDSAUDITLINK__" hidden="1">{"fdsup://Directions/FactSet Auditing Viewer?action=AUDIT_VALUE&amp;DB=129&amp;ID1=69341710&amp;VALUEID=02001&amp;SDATE=200501&amp;PERIODTYPE=QTR_STD&amp;SCFT=3&amp;window=popup_no_bar&amp;width=385&amp;height=120&amp;START_MAXIMIZED=FALSE&amp;creator=factset&amp;display_string=Audit"}</definedName>
    <definedName name="_2705__FDSAUDITLINK__" hidden="1">{"fdsup://Directions/FactSet Auditing Viewer?action=AUDIT_VALUE&amp;DB=129&amp;ID1=67000810&amp;VALUEID=02001&amp;SDATE=200501&amp;PERIODTYPE=QTR_STD&amp;SCFT=3&amp;window=popup_no_bar&amp;width=385&amp;height=120&amp;START_MAXIMIZED=FALSE&amp;creator=factset&amp;display_string=Audit"}</definedName>
    <definedName name="_2706__FDSAUDITLINK__" hidden="1">{"fdsup://Directions/FactSet Auditing Viewer?action=AUDIT_VALUE&amp;DB=129&amp;ID1=67000810&amp;VALUEID=02001&amp;SDATE=200501&amp;PERIODTYPE=QTR_STD&amp;SCFT=3&amp;window=popup_no_bar&amp;width=385&amp;height=120&amp;START_MAXIMIZED=FALSE&amp;creator=factset&amp;display_string=Audit"}</definedName>
    <definedName name="_2707__FDSAUDITLINK__" hidden="1">{"fdsup://Directions/FactSet Auditing Viewer?action=AUDIT_VALUE&amp;DB=129&amp;ID1=67066G10&amp;VALUEID=02001&amp;SDATE=200501&amp;PERIODTYPE=QTR_STD&amp;SCFT=3&amp;window=popup_no_bar&amp;width=385&amp;height=120&amp;START_MAXIMIZED=FALSE&amp;creator=factset&amp;display_string=Audit"}</definedName>
    <definedName name="_2708__FDSAUDITLINK__" hidden="1">{"fdsup://Directions/FactSet Auditing Viewer?action=AUDIT_VALUE&amp;DB=129&amp;ID1=67066G10&amp;VALUEID=02001&amp;SDATE=200501&amp;PERIODTYPE=QTR_STD&amp;SCFT=3&amp;window=popup_no_bar&amp;width=385&amp;height=120&amp;START_MAXIMIZED=FALSE&amp;creator=factset&amp;display_string=Audit"}</definedName>
    <definedName name="_2709__FDSAUDITLINK__" hidden="1">{"fdsup://Directions/FactSet Auditing Viewer?action=AUDIT_VALUE&amp;DB=129&amp;ID1=63764010&amp;VALUEID=02001&amp;SDATE=200403&amp;PERIODTYPE=QTR_STD&amp;SCFT=3&amp;window=popup_no_bar&amp;width=385&amp;height=120&amp;START_MAXIMIZED=FALSE&amp;creator=factset&amp;display_string=Audit"}</definedName>
    <definedName name="_271__FDSAUDITLINK__" hidden="1">{"fdsup://Directions/FactSet Auditing Viewer?action=AUDIT_VALUE&amp;DB=129&amp;ID1=20714230&amp;VALUEID=02001&amp;SDATE=201101&amp;PERIODTYPE=QTR_STD&amp;SCFT=3&amp;window=popup_no_bar&amp;width=385&amp;height=120&amp;START_MAXIMIZED=FALSE&amp;creator=factset&amp;display_string=Audit"}</definedName>
    <definedName name="_2710__FDSAUDITLINK__" hidden="1">{"fdsup://Directions/FactSet Auditing Viewer?action=AUDIT_VALUE&amp;DB=129&amp;ID1=63764010&amp;VALUEID=02001&amp;SDATE=200403&amp;PERIODTYPE=QTR_STD&amp;SCFT=3&amp;window=popup_no_bar&amp;width=385&amp;height=120&amp;START_MAXIMIZED=FALSE&amp;creator=factset&amp;display_string=Audit"}</definedName>
    <definedName name="_2711__FDSAUDITLINK__" hidden="1">{"fdsup://Directions/FactSet Auditing Viewer?action=AUDIT_VALUE&amp;DB=129&amp;ID1=64118B10&amp;VALUEID=02001&amp;SDATE=200501&amp;PERIODTYPE=QTR_STD&amp;SCFT=3&amp;window=popup_no_bar&amp;width=385&amp;height=120&amp;START_MAXIMIZED=FALSE&amp;creator=factset&amp;display_string=Audit"}</definedName>
    <definedName name="_2712__FDSAUDITLINK__" hidden="1">{"fdsup://Directions/FactSet Auditing Viewer?action=AUDIT_VALUE&amp;DB=129&amp;ID1=64118B10&amp;VALUEID=02001&amp;SDATE=200501&amp;PERIODTYPE=QTR_STD&amp;SCFT=3&amp;window=popup_no_bar&amp;width=385&amp;height=120&amp;START_MAXIMIZED=FALSE&amp;creator=factset&amp;display_string=Audit"}</definedName>
    <definedName name="_2713__FDSAUDITLINK__" hidden="1">{"fdsup://Directions/FactSet Auditing Viewer?action=AUDIT_VALUE&amp;DB=129&amp;ID1=57772K10&amp;VALUEID=02001&amp;SDATE=200503&amp;PERIODTYPE=QTR_STD&amp;SCFT=3&amp;window=popup_no_bar&amp;width=385&amp;height=120&amp;START_MAXIMIZED=FALSE&amp;creator=factset&amp;display_string=Audit"}</definedName>
    <definedName name="_2714__FDSAUDITLINK__" hidden="1">{"fdsup://Directions/FactSet Auditing Viewer?action=AUDIT_VALUE&amp;DB=129&amp;ID1=57772K10&amp;VALUEID=02001&amp;SDATE=200503&amp;PERIODTYPE=QTR_STD&amp;SCFT=3&amp;window=popup_no_bar&amp;width=385&amp;height=120&amp;START_MAXIMIZED=FALSE&amp;creator=factset&amp;display_string=Audit"}</definedName>
    <definedName name="_2715__FDSAUDITLINK__" hidden="1">{"fdsup://Directions/FactSet Auditing Viewer?action=AUDIT_VALUE&amp;DB=129&amp;ID1=59511210&amp;VALUEID=02001&amp;SDATE=200502&amp;PERIODTYPE=QTR_STD&amp;SCFT=3&amp;window=popup_no_bar&amp;width=385&amp;height=120&amp;START_MAXIMIZED=FALSE&amp;creator=factset&amp;display_string=Audit"}</definedName>
    <definedName name="_2716__FDSAUDITLINK__" hidden="1">{"fdsup://Directions/FactSet Auditing Viewer?action=AUDIT_VALUE&amp;DB=129&amp;ID1=59511210&amp;VALUEID=02001&amp;SDATE=200502&amp;PERIODTYPE=QTR_STD&amp;SCFT=3&amp;window=popup_no_bar&amp;width=385&amp;height=120&amp;START_MAXIMIZED=FALSE&amp;creator=factset&amp;display_string=Audit"}</definedName>
    <definedName name="_2717__FDSAUDITLINK__" hidden="1">{"fdsup://Directions/FactSet Auditing Viewer?action=AUDIT_VALUE&amp;DB=129&amp;ID1=59513710&amp;VALUEID=02001&amp;SDATE=200502&amp;PERIODTYPE=QTR_STD&amp;SCFT=3&amp;window=popup_no_bar&amp;width=385&amp;height=120&amp;START_MAXIMIZED=FALSE&amp;creator=factset&amp;display_string=Audit"}</definedName>
    <definedName name="_2718__FDSAUDITLINK__" hidden="1">{"fdsup://Directions/FactSet Auditing Viewer?action=AUDIT_VALUE&amp;DB=129&amp;ID1=59513710&amp;VALUEID=02001&amp;SDATE=200502&amp;PERIODTYPE=QTR_STD&amp;SCFT=3&amp;window=popup_no_bar&amp;width=385&amp;height=120&amp;START_MAXIMIZED=FALSE&amp;creator=factset&amp;display_string=Audit"}</definedName>
    <definedName name="_2719__FDSAUDITLINK__" hidden="1">{"fdsup://Directions/FactSet Auditing Viewer?action=AUDIT_VALUE&amp;DB=129&amp;ID1=G5876H10&amp;VALUEID=02001&amp;SDATE=200501&amp;PERIODTYPE=QTR_STD&amp;SCFT=3&amp;window=popup_no_bar&amp;width=385&amp;height=120&amp;START_MAXIMIZED=FALSE&amp;creator=factset&amp;display_string=Audit"}</definedName>
    <definedName name="_272__FDSAUDITLINK__" hidden="1">{"fdsup://Directions/FactSet Auditing Viewer?action=AUDIT_VALUE&amp;DB=129&amp;ID1=20714230&amp;VALUEID=02001&amp;SDATE=201101&amp;PERIODTYPE=QTR_STD&amp;SCFT=3&amp;window=popup_no_bar&amp;width=385&amp;height=120&amp;START_MAXIMIZED=FALSE&amp;creator=factset&amp;display_string=Audit"}</definedName>
    <definedName name="_2720__FDSAUDITLINK__" hidden="1">{"fdsup://Directions/FactSet Auditing Viewer?action=AUDIT_VALUE&amp;DB=129&amp;ID1=G5876H10&amp;VALUEID=02001&amp;SDATE=200501&amp;PERIODTYPE=QTR_STD&amp;SCFT=3&amp;window=popup_no_bar&amp;width=385&amp;height=120&amp;START_MAXIMIZED=FALSE&amp;creator=factset&amp;display_string=Audit"}</definedName>
    <definedName name="_2721__FDSAUDITLINK__" hidden="1">{"fdsup://Directions/FactSet Auditing Viewer?action=AUDIT_VALUE&amp;DB=129&amp;ID1=60456710&amp;VALUEID=02001&amp;SDATE=200503&amp;PERIODTYPE=QTR_STD&amp;SCFT=3&amp;window=popup_no_bar&amp;width=385&amp;height=120&amp;START_MAXIMIZED=FALSE&amp;creator=factset&amp;display_string=Audit"}</definedName>
    <definedName name="_2722__FDSAUDITLINK__" hidden="1">{"fdsup://Directions/FactSet Auditing Viewer?action=AUDIT_VALUE&amp;DB=129&amp;ID1=60456710&amp;VALUEID=02001&amp;SDATE=200503&amp;PERIODTYPE=QTR_STD&amp;SCFT=3&amp;window=popup_no_bar&amp;width=385&amp;height=120&amp;START_MAXIMIZED=FALSE&amp;creator=factset&amp;display_string=Audit"}</definedName>
    <definedName name="_2723__FDSAUDITLINK__" hidden="1">{"fdsup://Directions/FactSet Auditing Viewer?action=AUDIT_VALUE&amp;DB=129&amp;ID1=59479310&amp;VALUEID=02001&amp;SDATE=200501&amp;PERIODTYPE=QTR_STD&amp;SCFT=3&amp;window=popup_no_bar&amp;width=385&amp;height=120&amp;START_MAXIMIZED=FALSE&amp;creator=factset&amp;display_string=Audit"}</definedName>
    <definedName name="_2724__FDSAUDITLINK__" hidden="1">{"fdsup://Directions/FactSet Auditing Viewer?action=AUDIT_VALUE&amp;DB=129&amp;ID1=59479310&amp;VALUEID=02001&amp;SDATE=200501&amp;PERIODTYPE=QTR_STD&amp;SCFT=3&amp;window=popup_no_bar&amp;width=385&amp;height=120&amp;START_MAXIMIZED=FALSE&amp;creator=factset&amp;display_string=Audit"}</definedName>
    <definedName name="_2725__FDSAUDITLINK__" hidden="1">{"fdsup://Directions/FactSet Auditing Viewer?action=AUDIT_VALUE&amp;DB=129&amp;ID1=50216110&amp;VALUEID=02001&amp;SDATE=200501&amp;PERIODTYPE=QTR_STD&amp;SCFT=3&amp;window=popup_no_bar&amp;width=385&amp;height=120&amp;START_MAXIMIZED=FALSE&amp;creator=factset&amp;display_string=Audit"}</definedName>
    <definedName name="_2726__FDSAUDITLINK__" hidden="1">{"fdsup://Directions/FactSet Auditing Viewer?action=AUDIT_VALUE&amp;DB=129&amp;ID1=50216110&amp;VALUEID=02001&amp;SDATE=200501&amp;PERIODTYPE=QTR_STD&amp;SCFT=3&amp;window=popup_no_bar&amp;width=385&amp;height=120&amp;START_MAXIMIZED=FALSE&amp;creator=factset&amp;display_string=Audit"}</definedName>
    <definedName name="_2727__FDSAUDITLINK__" hidden="1">{"fdsup://Directions/FactSet Auditing Viewer?action=AUDIT_VALUE&amp;DB=129&amp;ID1=53567810&amp;VALUEID=02001&amp;SDATE=200503&amp;PERIODTYPE=QTR_STD&amp;SCFT=3&amp;window=popup_no_bar&amp;width=385&amp;height=120&amp;START_MAXIMIZED=FALSE&amp;creator=factset&amp;display_string=Audit"}</definedName>
    <definedName name="_2728__FDSAUDITLINK__" hidden="1">{"fdsup://Directions/FactSet Auditing Viewer?action=AUDIT_VALUE&amp;DB=129&amp;ID1=53567810&amp;VALUEID=02001&amp;SDATE=200503&amp;PERIODTYPE=QTR_STD&amp;SCFT=3&amp;window=popup_no_bar&amp;width=385&amp;height=120&amp;START_MAXIMIZED=FALSE&amp;creator=factset&amp;display_string=Audit"}</definedName>
    <definedName name="_2729__FDSAUDITLINK__" hidden="1">{"fdsup://Directions/FactSet Auditing Viewer?action=AUDIT_VALUE&amp;DB=129&amp;ID1=48248010&amp;VALUEID=02001&amp;SDATE=200503&amp;PERIODTYPE=QTR_STD&amp;SCFT=3&amp;window=popup_no_bar&amp;width=385&amp;height=120&amp;START_MAXIMIZED=FALSE&amp;creator=factset&amp;display_string=Audit"}</definedName>
    <definedName name="_273__FDSAUDITLINK__" hidden="1">{"fdsup://Directions/FactSet Auditing Viewer?action=AUDIT_VALUE&amp;DB=129&amp;ID1=12738710&amp;VALUEID=02001&amp;SDATE=201004&amp;PERIODTYPE=QTR_STD&amp;SCFT=3&amp;window=popup_no_bar&amp;width=385&amp;height=120&amp;START_MAXIMIZED=FALSE&amp;creator=factset&amp;display_string=Audit"}</definedName>
    <definedName name="_2730__FDSAUDITLINK__" hidden="1">{"fdsup://Directions/FactSet Auditing Viewer?action=AUDIT_VALUE&amp;DB=129&amp;ID1=48248010&amp;VALUEID=02001&amp;SDATE=200503&amp;PERIODTYPE=QTR_STD&amp;SCFT=3&amp;window=popup_no_bar&amp;width=385&amp;height=120&amp;START_MAXIMIZED=FALSE&amp;creator=factset&amp;display_string=Audit"}</definedName>
    <definedName name="_2731__FDSAUDITLINK__" hidden="1">{"fdsup://Directions/FactSet Auditing Viewer?action=AUDIT_VALUE&amp;DB=129&amp;ID1=48203R10&amp;VALUEID=02001&amp;SDATE=200501&amp;PERIODTYPE=QTR_STD&amp;SCFT=3&amp;window=popup_no_bar&amp;width=385&amp;height=120&amp;START_MAXIMIZED=FALSE&amp;creator=factset&amp;display_string=Audit"}</definedName>
    <definedName name="_2732__FDSAUDITLINK__" hidden="1">{"fdsup://Directions/FactSet Auditing Viewer?action=AUDIT_VALUE&amp;DB=129&amp;ID1=48203R10&amp;VALUEID=02001&amp;SDATE=200501&amp;PERIODTYPE=QTR_STD&amp;SCFT=3&amp;window=popup_no_bar&amp;width=385&amp;height=120&amp;START_MAXIMIZED=FALSE&amp;creator=factset&amp;display_string=Audit"}</definedName>
    <definedName name="_2733__FDSAUDITLINK__" hidden="1">{"fdsup://Directions/FactSet Auditing Viewer?action=AUDIT_VALUE&amp;DB=129&amp;ID1=86681020&amp;VALUEID=02001&amp;SDATE=200503&amp;PERIODTYPE=QTR_STD&amp;SCFT=3&amp;window=popup_no_bar&amp;width=385&amp;height=120&amp;START_MAXIMIZED=FALSE&amp;creator=factset&amp;display_string=Audit"}</definedName>
    <definedName name="_2734__FDSAUDITLINK__" hidden="1">{"fdsup://Directions/FactSet Auditing Viewer?action=AUDIT_VALUE&amp;DB=129&amp;ID1=86681020&amp;VALUEID=02001&amp;SDATE=200503&amp;PERIODTYPE=QTR_STD&amp;SCFT=3&amp;window=popup_no_bar&amp;width=385&amp;height=120&amp;START_MAXIMIZED=FALSE&amp;creator=factset&amp;display_string=Audit"}</definedName>
    <definedName name="_2735__FDSAUDITLINK__" hidden="1">{"fdsup://Directions/FactSet Auditing Viewer?action=AUDIT_VALUE&amp;DB=129&amp;ID1=46069S10&amp;VALUEID=02001&amp;SDATE=200501&amp;PERIODTYPE=QTR_STD&amp;SCFT=3&amp;window=popup_no_bar&amp;width=385&amp;height=120&amp;START_MAXIMIZED=FALSE&amp;creator=factset&amp;display_string=Audit"}</definedName>
    <definedName name="_2736__FDSAUDITLINK__" hidden="1">{"fdsup://Directions/FactSet Auditing Viewer?action=AUDIT_VALUE&amp;DB=129&amp;ID1=46069S10&amp;VALUEID=02001&amp;SDATE=200501&amp;PERIODTYPE=QTR_STD&amp;SCFT=3&amp;window=popup_no_bar&amp;width=385&amp;height=120&amp;START_MAXIMIZED=FALSE&amp;creator=factset&amp;display_string=Audit"}</definedName>
    <definedName name="_2737__FDSAUDITLINK__" hidden="1">{"fdsup://Directions/FactSet Auditing Viewer?action=AUDIT_VALUE&amp;DB=129&amp;ID1=46025410&amp;VALUEID=02001&amp;SDATE=200503&amp;PERIODTYPE=QTR_STD&amp;SCFT=3&amp;window=popup_no_bar&amp;width=385&amp;height=120&amp;START_MAXIMIZED=FALSE&amp;creator=factset&amp;display_string=Audit"}</definedName>
    <definedName name="_2738__FDSAUDITLINK__" hidden="1">{"fdsup://Directions/FactSet Auditing Viewer?action=AUDIT_VALUE&amp;DB=129&amp;ID1=46025410&amp;VALUEID=02001&amp;SDATE=200503&amp;PERIODTYPE=QTR_STD&amp;SCFT=3&amp;window=popup_no_bar&amp;width=385&amp;height=120&amp;START_MAXIMIZED=FALSE&amp;creator=factset&amp;display_string=Audit"}</definedName>
    <definedName name="_2739__FDSAUDITLINK__" hidden="1">{"fdsup://Directions/FactSet Auditing Viewer?action=AUDIT_VALUE&amp;DB=129&amp;ID1=45814010&amp;VALUEID=02001&amp;SDATE=200501&amp;PERIODTYPE=QTR_STD&amp;SCFT=3&amp;window=popup_no_bar&amp;width=385&amp;height=120&amp;START_MAXIMIZED=FALSE&amp;creator=factset&amp;display_string=Audit"}</definedName>
    <definedName name="_274__FDSAUDITLINK__" hidden="1">{"fdsup://Directions/FactSet Auditing Viewer?action=AUDIT_VALUE&amp;DB=129&amp;ID1=12738710&amp;VALUEID=02001&amp;SDATE=201004&amp;PERIODTYPE=QTR_STD&amp;SCFT=3&amp;window=popup_no_bar&amp;width=385&amp;height=120&amp;START_MAXIMIZED=FALSE&amp;creator=factset&amp;display_string=Audit"}</definedName>
    <definedName name="_2740__FDSAUDITLINK__" hidden="1">{"fdsup://Directions/FactSet Auditing Viewer?action=AUDIT_VALUE&amp;DB=129&amp;ID1=45814010&amp;VALUEID=02001&amp;SDATE=200501&amp;PERIODTYPE=QTR_STD&amp;SCFT=3&amp;window=popup_no_bar&amp;width=385&amp;height=120&amp;START_MAXIMIZED=FALSE&amp;creator=factset&amp;display_string=Audit"}</definedName>
    <definedName name="_2741__FDSAUDITLINK__" hidden="1">{"fdsup://Directions/FactSet Auditing Viewer?action=AUDIT_VALUE&amp;DB=129&amp;ID1=42823610&amp;VALUEID=02001&amp;SDATE=200502&amp;PERIODTYPE=QTR_STD&amp;SCFT=3&amp;window=popup_no_bar&amp;width=385&amp;height=120&amp;START_MAXIMIZED=FALSE&amp;creator=factset&amp;display_string=Audit"}</definedName>
    <definedName name="_2742__FDSAUDITLINK__" hidden="1">{"fdsup://Directions/FactSet Auditing Viewer?action=AUDIT_VALUE&amp;DB=129&amp;ID1=42823610&amp;VALUEID=02001&amp;SDATE=200502&amp;PERIODTYPE=QTR_STD&amp;SCFT=3&amp;window=popup_no_bar&amp;width=385&amp;height=120&amp;START_MAXIMIZED=FALSE&amp;creator=factset&amp;display_string=Audit"}</definedName>
    <definedName name="_2743__FDSAUDITLINK__" hidden="1">{"fdsup://Directions/FactSet Auditing Viewer?action=AUDIT_VALUE&amp;DB=129&amp;ID1=34637510&amp;VALUEID=02001&amp;SDATE=200501&amp;PERIODTYPE=QTR_STD&amp;SCFT=3&amp;window=popup_no_bar&amp;width=385&amp;height=120&amp;START_MAXIMIZED=FALSE&amp;creator=factset&amp;display_string=Audit"}</definedName>
    <definedName name="_2744__FDSAUDITLINK__" hidden="1">{"fdsup://Directions/FactSet Auditing Viewer?action=AUDIT_VALUE&amp;DB=129&amp;ID1=34637510&amp;VALUEID=02001&amp;SDATE=200501&amp;PERIODTYPE=QTR_STD&amp;SCFT=3&amp;window=popup_no_bar&amp;width=385&amp;height=120&amp;START_MAXIMIZED=FALSE&amp;creator=factset&amp;display_string=Audit"}</definedName>
    <definedName name="_2745__FDSAUDITLINK__" hidden="1">{"fdsup://Directions/FactSet Auditing Viewer?action=AUDIT_VALUE&amp;DB=129&amp;ID1=31561610&amp;VALUEID=02001&amp;SDATE=200502&amp;PERIODTYPE=QTR_STD&amp;SCFT=3&amp;window=popup_no_bar&amp;width=385&amp;height=120&amp;START_MAXIMIZED=FALSE&amp;creator=factset&amp;display_string=Audit"}</definedName>
    <definedName name="_2746__FDSAUDITLINK__" hidden="1">{"fdsup://Directions/FactSet Auditing Viewer?action=AUDIT_VALUE&amp;DB=129&amp;ID1=31561610&amp;VALUEID=02001&amp;SDATE=200502&amp;PERIODTYPE=QTR_STD&amp;SCFT=3&amp;window=popup_no_bar&amp;width=385&amp;height=120&amp;START_MAXIMIZED=FALSE&amp;creator=factset&amp;display_string=Audit"}</definedName>
    <definedName name="_2747__FDSAUDITLINK__" hidden="1">{"fdsup://Directions/FactSet Auditing Viewer?action=AUDIT_VALUE&amp;DB=129&amp;ID1=29247520&amp;VALUEID=02001&amp;SDATE=200503&amp;PERIODTYPE=QTR_STD&amp;SCFT=3&amp;window=popup_no_bar&amp;width=385&amp;height=120&amp;START_MAXIMIZED=FALSE&amp;creator=factset&amp;display_string=Audit"}</definedName>
    <definedName name="_2748__FDSAUDITLINK__" hidden="1">{"fdsup://Directions/FactSet Auditing Viewer?action=AUDIT_VALUE&amp;DB=129&amp;ID1=29247520&amp;VALUEID=02001&amp;SDATE=200503&amp;PERIODTYPE=QTR_STD&amp;SCFT=3&amp;window=popup_no_bar&amp;width=385&amp;height=120&amp;START_MAXIMIZED=FALSE&amp;creator=factset&amp;display_string=Audit"}</definedName>
    <definedName name="_2749__FDSAUDITLINK__" hidden="1">{"fdsup://Directions/FactSet Auditing Viewer?action=AUDIT_VALUE&amp;DB=129&amp;ID1=25454310&amp;VALUEID=02001&amp;SDATE=200501&amp;PERIODTYPE=QTR_STD&amp;SCFT=3&amp;window=popup_no_bar&amp;width=385&amp;height=120&amp;START_MAXIMIZED=FALSE&amp;creator=factset&amp;display_string=Audit"}</definedName>
    <definedName name="_275__FDSAUDITLINK__" hidden="1">{"fdsup://Directions/FactSet Auditing Viewer?action=AUDIT_VALUE&amp;DB=129&amp;ID1=14964U10&amp;VALUEID=02001&amp;SDATE=201004&amp;PERIODTYPE=QTR_STD&amp;SCFT=3&amp;window=popup_no_bar&amp;width=385&amp;height=120&amp;START_MAXIMIZED=FALSE&amp;creator=factset&amp;display_string=Audit"}</definedName>
    <definedName name="_2750__FDSAUDITLINK__" hidden="1">{"fdsup://Directions/FactSet Auditing Viewer?action=AUDIT_VALUE&amp;DB=129&amp;ID1=25454310&amp;VALUEID=02001&amp;SDATE=200501&amp;PERIODTYPE=QTR_STD&amp;SCFT=3&amp;window=popup_no_bar&amp;width=385&amp;height=120&amp;START_MAXIMIZED=FALSE&amp;creator=factset&amp;display_string=Audit"}</definedName>
    <definedName name="_2751__FDSAUDITLINK__" hidden="1">{"fdsup://Directions/FactSet Auditing Viewer?action=AUDIT_VALUE&amp;DB=129&amp;ID1=24702R10&amp;VALUEID=02001&amp;SDATE=200501&amp;PERIODTYPE=QTR_STD&amp;SCFT=3&amp;window=popup_no_bar&amp;width=385&amp;height=120&amp;START_MAXIMIZED=FALSE&amp;creator=factset&amp;display_string=Audit"}</definedName>
    <definedName name="_2752__FDSAUDITLINK__" hidden="1">{"fdsup://Directions/FactSet Auditing Viewer?action=AUDIT_VALUE&amp;DB=129&amp;ID1=24702R10&amp;VALUEID=02001&amp;SDATE=200501&amp;PERIODTYPE=QTR_STD&amp;SCFT=3&amp;window=popup_no_bar&amp;width=385&amp;height=120&amp;START_MAXIMIZED=FALSE&amp;creator=factset&amp;display_string=Audit"}</definedName>
    <definedName name="_2753__FDSAUDITLINK__" hidden="1">{"fdsup://Directions/FactSet Auditing Viewer?action=AUDIT_VALUE&amp;DB=129&amp;ID1=23257210&amp;VALUEID=02001&amp;SDATE=200501&amp;PERIODTYPE=QTR_STD&amp;SCFT=3&amp;window=popup_no_bar&amp;width=385&amp;height=120&amp;START_MAXIMIZED=FALSE&amp;creator=factset&amp;display_string=Audit"}</definedName>
    <definedName name="_2754__FDSAUDITLINK__" hidden="1">{"fdsup://Directions/FactSet Auditing Viewer?action=AUDIT_VALUE&amp;DB=129&amp;ID1=23257210&amp;VALUEID=02001&amp;SDATE=200501&amp;PERIODTYPE=QTR_STD&amp;SCFT=3&amp;window=popup_no_bar&amp;width=385&amp;height=120&amp;START_MAXIMIZED=FALSE&amp;creator=factset&amp;display_string=Audit"}</definedName>
    <definedName name="_2755__FDSAUDITLINK__" hidden="1">{"fdsup://Directions/FactSet Auditing Viewer?action=AUDIT_VALUE&amp;DB=129&amp;ID1=23280610&amp;VALUEID=02001&amp;SDATE=200501&amp;PERIODTYPE=QTR_STD&amp;SCFT=3&amp;window=popup_no_bar&amp;width=385&amp;height=120&amp;START_MAXIMIZED=FALSE&amp;creator=factset&amp;display_string=Audit"}</definedName>
    <definedName name="_2756__FDSAUDITLINK__" hidden="1">{"fdsup://Directions/FactSet Auditing Viewer?action=AUDIT_VALUE&amp;DB=129&amp;ID1=23280610&amp;VALUEID=02001&amp;SDATE=200501&amp;PERIODTYPE=QTR_STD&amp;SCFT=3&amp;window=popup_no_bar&amp;width=385&amp;height=120&amp;START_MAXIMIZED=FALSE&amp;creator=factset&amp;display_string=Audit"}</definedName>
    <definedName name="_2757__FDSAUDITLINK__" hidden="1">{"fdsup://Directions/FactSet Auditing Viewer?action=AUDIT_VALUE&amp;DB=129&amp;ID1=17275R10&amp;VALUEID=02001&amp;SDATE=200503&amp;PERIODTYPE=QTR_STD&amp;SCFT=3&amp;window=popup_no_bar&amp;width=385&amp;height=120&amp;START_MAXIMIZED=FALSE&amp;creator=factset&amp;display_string=Audit"}</definedName>
    <definedName name="_2758__FDSAUDITLINK__" hidden="1">{"fdsup://Directions/FactSet Auditing Viewer?action=AUDIT_VALUE&amp;DB=129&amp;ID1=17275R10&amp;VALUEID=02001&amp;SDATE=200503&amp;PERIODTYPE=QTR_STD&amp;SCFT=3&amp;window=popup_no_bar&amp;width=385&amp;height=120&amp;START_MAXIMIZED=FALSE&amp;creator=factset&amp;display_string=Audit"}</definedName>
    <definedName name="_2759__FDSAUDITLINK__" hidden="1">{"fdsup://Directions/FactSet Auditing Viewer?action=AUDIT_VALUE&amp;DB=129&amp;ID1=20714230&amp;VALUEID=02001&amp;SDATE=200502&amp;PERIODTYPE=QTR_STD&amp;SCFT=3&amp;window=popup_no_bar&amp;width=385&amp;height=120&amp;START_MAXIMIZED=FALSE&amp;creator=factset&amp;display_string=Audit"}</definedName>
    <definedName name="_276__FDSAUDITLINK__" hidden="1">{"fdsup://Directions/FactSet Auditing Viewer?action=AUDIT_VALUE&amp;DB=129&amp;ID1=14964U10&amp;VALUEID=02001&amp;SDATE=201004&amp;PERIODTYPE=QTR_STD&amp;SCFT=3&amp;window=popup_no_bar&amp;width=385&amp;height=120&amp;START_MAXIMIZED=FALSE&amp;creator=factset&amp;display_string=Audit"}</definedName>
    <definedName name="_2760__FDSAUDITLINK__" hidden="1">{"fdsup://Directions/FactSet Auditing Viewer?action=AUDIT_VALUE&amp;DB=129&amp;ID1=20714230&amp;VALUEID=02001&amp;SDATE=200502&amp;PERIODTYPE=QTR_STD&amp;SCFT=3&amp;window=popup_no_bar&amp;width=385&amp;height=120&amp;START_MAXIMIZED=FALSE&amp;creator=factset&amp;display_string=Audit"}</definedName>
    <definedName name="_2761__FDSAUDITLINK__" hidden="1">{"fdsup://Directions/FactSet Auditing Viewer?action=AUDIT_VALUE&amp;DB=129&amp;ID1=12738710&amp;VALUEID=02001&amp;SDATE=200501&amp;PERIODTYPE=QTR_STD&amp;SCFT=3&amp;window=popup_no_bar&amp;width=385&amp;height=120&amp;START_MAXIMIZED=FALSE&amp;creator=factset&amp;display_string=Audit"}</definedName>
    <definedName name="_2762__FDSAUDITLINK__" hidden="1">{"fdsup://Directions/FactSet Auditing Viewer?action=AUDIT_VALUE&amp;DB=129&amp;ID1=12738710&amp;VALUEID=02001&amp;SDATE=200501&amp;PERIODTYPE=QTR_STD&amp;SCFT=3&amp;window=popup_no_bar&amp;width=385&amp;height=120&amp;START_MAXIMIZED=FALSE&amp;creator=factset&amp;display_string=Audit"}</definedName>
    <definedName name="_2763__FDSAUDITLINK__" hidden="1">{"fdsup://Directions/FactSet Auditing Viewer?action=AUDIT_VALUE&amp;DB=129&amp;ID1=11162130&amp;VALUEID=02001&amp;SDATE=200502&amp;PERIODTYPE=QTR_STD&amp;SCFT=3&amp;window=popup_no_bar&amp;width=385&amp;height=120&amp;START_MAXIMIZED=FALSE&amp;creator=factset&amp;display_string=Audit"}</definedName>
    <definedName name="_2764__FDSAUDITLINK__" hidden="1">{"fdsup://Directions/FactSet Auditing Viewer?action=AUDIT_VALUE&amp;DB=129&amp;ID1=11162130&amp;VALUEID=02001&amp;SDATE=200502&amp;PERIODTYPE=QTR_STD&amp;SCFT=3&amp;window=popup_no_bar&amp;width=385&amp;height=120&amp;START_MAXIMIZED=FALSE&amp;creator=factset&amp;display_string=Audit"}</definedName>
    <definedName name="_2765__FDSAUDITLINK__" hidden="1">{"fdsup://Directions/FactSet Auditing Viewer?action=AUDIT_VALUE&amp;DB=129&amp;ID1=04743P10&amp;VALUEID=02001&amp;SDATE=200501&amp;PERIODTYPE=QTR_STD&amp;SCFT=3&amp;window=popup_no_bar&amp;width=385&amp;height=120&amp;START_MAXIMIZED=FALSE&amp;creator=factset&amp;display_string=Audit"}</definedName>
    <definedName name="_2766__FDSAUDITLINK__" hidden="1">{"fdsup://Directions/FactSet Auditing Viewer?action=AUDIT_VALUE&amp;DB=129&amp;ID1=04743P10&amp;VALUEID=02001&amp;SDATE=200501&amp;PERIODTYPE=QTR_STD&amp;SCFT=3&amp;window=popup_no_bar&amp;width=385&amp;height=120&amp;START_MAXIMIZED=FALSE&amp;creator=factset&amp;display_string=Audit"}</definedName>
    <definedName name="_2767__FDSAUDITLINK__" hidden="1">{"fdsup://Directions/FactSet Auditing Viewer?action=AUDIT_VALUE&amp;DB=129&amp;ID1=03822210&amp;VALUEID=02001&amp;SDATE=200502&amp;PERIODTYPE=QTR_STD&amp;SCFT=3&amp;window=popup_no_bar&amp;width=385&amp;height=120&amp;START_MAXIMIZED=FALSE&amp;creator=factset&amp;display_string=Audit"}</definedName>
    <definedName name="_2768__FDSAUDITLINK__" hidden="1">{"fdsup://Directions/FactSet Auditing Viewer?action=AUDIT_VALUE&amp;DB=129&amp;ID1=03822210&amp;VALUEID=02001&amp;SDATE=200502&amp;PERIODTYPE=QTR_STD&amp;SCFT=3&amp;window=popup_no_bar&amp;width=385&amp;height=120&amp;START_MAXIMIZED=FALSE&amp;creator=factset&amp;display_string=Audit"}</definedName>
    <definedName name="_2769__FDSAUDITLINK__" hidden="1">{"fdsup://Directions/FactSet Auditing Viewer?action=AUDIT_VALUE&amp;DB=129&amp;ID1=02144110&amp;VALUEID=02001&amp;SDATE=200501&amp;PERIODTYPE=QTR_STD&amp;SCFT=3&amp;window=popup_no_bar&amp;width=385&amp;height=120&amp;START_MAXIMIZED=FALSE&amp;creator=factset&amp;display_string=Audit"}</definedName>
    <definedName name="_277__FDSAUDITLINK__" hidden="1">{"fdsup://Directions/FactSet Auditing Viewer?action=AUDIT_VALUE&amp;DB=129&amp;ID1=11162130&amp;VALUEID=02001&amp;SDATE=201101&amp;PERIODTYPE=QTR_STD&amp;SCFT=3&amp;window=popup_no_bar&amp;width=385&amp;height=120&amp;START_MAXIMIZED=FALSE&amp;creator=factset&amp;display_string=Audit"}</definedName>
    <definedName name="_2770__FDSAUDITLINK__" hidden="1">{"fdsup://Directions/FactSet Auditing Viewer?action=AUDIT_VALUE&amp;DB=129&amp;ID1=02144110&amp;VALUEID=02001&amp;SDATE=200501&amp;PERIODTYPE=QTR_STD&amp;SCFT=3&amp;window=popup_no_bar&amp;width=385&amp;height=120&amp;START_MAXIMIZED=FALSE&amp;creator=factset&amp;display_string=Audit"}</definedName>
    <definedName name="_2771__FDSAUDITLINK__" hidden="1">{"fdsup://Directions/FactSet Auditing Viewer?action=AUDIT_VALUE&amp;DB=129&amp;ID1=03265410&amp;VALUEID=02001&amp;SDATE=200502&amp;PERIODTYPE=QTR_STD&amp;SCFT=3&amp;window=popup_no_bar&amp;width=385&amp;height=120&amp;START_MAXIMIZED=FALSE&amp;creator=factset&amp;display_string=Audit"}</definedName>
    <definedName name="_2772__FDSAUDITLINK__" hidden="1">{"fdsup://Directions/FactSet Auditing Viewer?action=AUDIT_VALUE&amp;DB=129&amp;ID1=03265410&amp;VALUEID=02001&amp;SDATE=200502&amp;PERIODTYPE=QTR_STD&amp;SCFT=3&amp;window=popup_no_bar&amp;width=385&amp;height=120&amp;START_MAXIMIZED=FALSE&amp;creator=factset&amp;display_string=Audit"}</definedName>
    <definedName name="_2773__FDSAUDITLINK__" hidden="1">{"fdsup://Directions/FactSet Auditing Viewer?action=AUDIT_VALUE&amp;DB=129&amp;ID1=95810210&amp;VALUEID=02001&amp;SDATE=200502&amp;PERIODTYPE=QTR_STD&amp;SCFT=3&amp;window=popup_no_bar&amp;width=385&amp;height=120&amp;START_MAXIMIZED=FALSE&amp;creator=factset&amp;display_string=Audit"}</definedName>
    <definedName name="_2774__FDSAUDITLINK__" hidden="1">{"fdsup://Directions/FactSet Auditing Viewer?action=AUDIT_VALUE&amp;DB=129&amp;ID1=95810210&amp;VALUEID=02001&amp;SDATE=200502&amp;PERIODTYPE=QTR_STD&amp;SCFT=3&amp;window=popup_no_bar&amp;width=385&amp;height=120&amp;START_MAXIMIZED=FALSE&amp;creator=factset&amp;display_string=Audit"}</definedName>
    <definedName name="_2775__FDSAUDITLINK__" hidden="1">{"fdsup://Directions/FactSet Auditing Viewer?action=AUDIT_VALUE&amp;DB=129&amp;ID1=92849730&amp;VALUEID=02001&amp;SDATE=200501&amp;PERIODTYPE=QTR_STD&amp;SCFT=3&amp;window=popup_no_bar&amp;width=385&amp;height=120&amp;START_MAXIMIZED=FALSE&amp;creator=factset&amp;display_string=Audit"}</definedName>
    <definedName name="_2776__FDSAUDITLINK__" hidden="1">{"fdsup://Directions/FactSet Auditing Viewer?action=AUDIT_VALUE&amp;DB=129&amp;ID1=92849730&amp;VALUEID=02001&amp;SDATE=200501&amp;PERIODTYPE=QTR_STD&amp;SCFT=3&amp;window=popup_no_bar&amp;width=385&amp;height=120&amp;START_MAXIMIZED=FALSE&amp;creator=factset&amp;display_string=Audit"}</definedName>
    <definedName name="_2777__FDSAUDITLINK__" hidden="1">{"fdsup://Directions/FactSet Auditing Viewer?action=AUDIT_VALUE&amp;DB=129&amp;ID1=83088M10&amp;VALUEID=02001&amp;SDATE=200501&amp;PERIODTYPE=QTR_STD&amp;SCFT=3&amp;window=popup_no_bar&amp;width=385&amp;height=120&amp;START_MAXIMIZED=FALSE&amp;creator=factset&amp;display_string=Audit"}</definedName>
    <definedName name="_2778__FDSAUDITLINK__" hidden="1">{"fdsup://Directions/FactSet Auditing Viewer?action=AUDIT_VALUE&amp;DB=129&amp;ID1=83088M10&amp;VALUEID=02001&amp;SDATE=200501&amp;PERIODTYPE=QTR_STD&amp;SCFT=3&amp;window=popup_no_bar&amp;width=385&amp;height=120&amp;START_MAXIMIZED=FALSE&amp;creator=factset&amp;display_string=Audit"}</definedName>
    <definedName name="_2779__FDSAUDITLINK__" hidden="1">{"fdsup://Directions/FactSet Auditing Viewer?action=AUDIT_VALUE&amp;DB=129&amp;ID1=G7945M10&amp;VALUEID=02001&amp;SDATE=200502&amp;PERIODTYPE=QTR_STD&amp;SCFT=3&amp;window=popup_no_bar&amp;width=385&amp;height=120&amp;START_MAXIMIZED=FALSE&amp;creator=factset&amp;display_string=Audit"}</definedName>
    <definedName name="_278__FDSAUDITLINK__" hidden="1">{"fdsup://Directions/FactSet Auditing Viewer?action=AUDIT_VALUE&amp;DB=129&amp;ID1=11162130&amp;VALUEID=02001&amp;SDATE=201101&amp;PERIODTYPE=QTR_STD&amp;SCFT=3&amp;window=popup_no_bar&amp;width=385&amp;height=120&amp;START_MAXIMIZED=FALSE&amp;creator=factset&amp;display_string=Audit"}</definedName>
    <definedName name="_2780__FDSAUDITLINK__" hidden="1">{"fdsup://Directions/FactSet Auditing Viewer?action=AUDIT_VALUE&amp;DB=129&amp;ID1=G7945M10&amp;VALUEID=02001&amp;SDATE=200502&amp;PERIODTYPE=QTR_STD&amp;SCFT=3&amp;window=popup_no_bar&amp;width=385&amp;height=120&amp;START_MAXIMIZED=FALSE&amp;creator=factset&amp;display_string=Audit"}</definedName>
    <definedName name="_2781__FDSAUDITLINK__" hidden="1">{"fdsup://Directions/FactSet Auditing Viewer?action=AUDIT_VALUE&amp;DB=129&amp;ID1=87160710&amp;VALUEID=02001&amp;SDATE=200501&amp;PERIODTYPE=QTR_STD&amp;SCFT=3&amp;window=popup_no_bar&amp;width=385&amp;height=120&amp;START_MAXIMIZED=FALSE&amp;creator=factset&amp;display_string=Audit"}</definedName>
    <definedName name="_2782__FDSAUDITLINK__" hidden="1">{"fdsup://Directions/FactSet Auditing Viewer?action=AUDIT_VALUE&amp;DB=129&amp;ID1=87160710&amp;VALUEID=02001&amp;SDATE=200501&amp;PERIODTYPE=QTR_STD&amp;SCFT=3&amp;window=popup_no_bar&amp;width=385&amp;height=120&amp;START_MAXIMIZED=FALSE&amp;creator=factset&amp;display_string=Audit"}</definedName>
    <definedName name="_2783__FDSAUDITLINK__" hidden="1">{"fdsup://Directions/FactSet Auditing Viewer?action=AUDIT_VALUE&amp;DB=129&amp;ID1=74994110&amp;VALUEID=02001&amp;SDATE=200403&amp;PERIODTYPE=QTR_STD&amp;SCFT=3&amp;window=popup_no_bar&amp;width=385&amp;height=120&amp;START_MAXIMIZED=FALSE&amp;creator=factset&amp;display_string=Audit"}</definedName>
    <definedName name="_2784__FDSAUDITLINK__" hidden="1">{"fdsup://Directions/FactSet Auditing Viewer?action=AUDIT_VALUE&amp;DB=129&amp;ID1=74994110&amp;VALUEID=02001&amp;SDATE=200403&amp;PERIODTYPE=QTR_STD&amp;SCFT=3&amp;window=popup_no_bar&amp;width=385&amp;height=120&amp;START_MAXIMIZED=FALSE&amp;creator=factset&amp;display_string=Audit"}</definedName>
    <definedName name="_2785__FDSAUDITLINK__" hidden="1">{"fdsup://Directions/FactSet Auditing Viewer?action=AUDIT_VALUE&amp;DB=129&amp;ID1=74727710&amp;VALUEID=02001&amp;SDATE=200403&amp;PERIODTYPE=QTR_STD&amp;SCFT=3&amp;window=popup_no_bar&amp;width=385&amp;height=120&amp;START_MAXIMIZED=FALSE&amp;creator=factset&amp;display_string=Audit"}</definedName>
    <definedName name="_2786__FDSAUDITLINK__" hidden="1">{"fdsup://Directions/FactSet Auditing Viewer?action=AUDIT_VALUE&amp;DB=129&amp;ID1=74727710&amp;VALUEID=02001&amp;SDATE=200403&amp;PERIODTYPE=QTR_STD&amp;SCFT=3&amp;window=popup_no_bar&amp;width=385&amp;height=120&amp;START_MAXIMIZED=FALSE&amp;creator=factset&amp;display_string=Audit"}</definedName>
    <definedName name="_2787__FDSAUDITLINK__" hidden="1">{"fdsup://Directions/FactSet Auditing Viewer?action=AUDIT_VALUE&amp;DB=129&amp;ID1=74752510&amp;VALUEID=02001&amp;SDATE=200501&amp;PERIODTYPE=QTR_STD&amp;SCFT=3&amp;window=popup_no_bar&amp;width=385&amp;height=120&amp;START_MAXIMIZED=FALSE&amp;creator=factset&amp;display_string=Audit"}</definedName>
    <definedName name="_2788__FDSAUDITLINK__" hidden="1">{"fdsup://Directions/FactSet Auditing Viewer?action=AUDIT_VALUE&amp;DB=129&amp;ID1=74752510&amp;VALUEID=02001&amp;SDATE=200501&amp;PERIODTYPE=QTR_STD&amp;SCFT=3&amp;window=popup_no_bar&amp;width=385&amp;height=120&amp;START_MAXIMIZED=FALSE&amp;creator=factset&amp;display_string=Audit"}</definedName>
    <definedName name="_2789__FDSAUDITLINK__" hidden="1">{"fdsup://Directions/FactSet Auditing Viewer?action=AUDIT_VALUE&amp;DB=129&amp;ID1=63764010&amp;VALUEID=02001&amp;SDATE=200402&amp;PERIODTYPE=QTR_STD&amp;SCFT=3&amp;window=popup_no_bar&amp;width=385&amp;height=120&amp;START_MAXIMIZED=FALSE&amp;creator=factset&amp;display_string=Audit"}</definedName>
    <definedName name="_279__FDSAUDITLINK__" hidden="1">{"fdsup://Directions/FactSet Auditing Viewer?action=AUDIT_VALUE&amp;DB=129&amp;ID1=Y0486S10&amp;VALUEID=02001&amp;SDATE=201101&amp;PERIODTYPE=QTR_STD&amp;SCFT=3&amp;window=popup_no_bar&amp;width=385&amp;height=120&amp;START_MAXIMIZED=FALSE&amp;creator=factset&amp;display_string=Audit"}</definedName>
    <definedName name="_2790__FDSAUDITLINK__" hidden="1">{"fdsup://Directions/FactSet Auditing Viewer?action=AUDIT_VALUE&amp;DB=129&amp;ID1=63764010&amp;VALUEID=02001&amp;SDATE=200402&amp;PERIODTYPE=QTR_STD&amp;SCFT=3&amp;window=popup_no_bar&amp;width=385&amp;height=120&amp;START_MAXIMIZED=FALSE&amp;creator=factset&amp;display_string=Audit"}</definedName>
    <definedName name="_2791__FDSAUDITLINK__" hidden="1">{"fdsup://Directions/FactSet Auditing Viewer?action=AUDIT_VALUE&amp;DB=129&amp;ID1=57772K10&amp;VALUEID=02001&amp;SDATE=200502&amp;PERIODTYPE=QTR_STD&amp;SCFT=3&amp;window=popup_no_bar&amp;width=385&amp;height=120&amp;START_MAXIMIZED=FALSE&amp;creator=factset&amp;display_string=Audit"}</definedName>
    <definedName name="_2792__FDSAUDITLINK__" hidden="1">{"fdsup://Directions/FactSet Auditing Viewer?action=AUDIT_VALUE&amp;DB=129&amp;ID1=57772K10&amp;VALUEID=02001&amp;SDATE=200502&amp;PERIODTYPE=QTR_STD&amp;SCFT=3&amp;window=popup_no_bar&amp;width=385&amp;height=120&amp;START_MAXIMIZED=FALSE&amp;creator=factset&amp;display_string=Audit"}</definedName>
    <definedName name="_2793__FDSAUDITLINK__" hidden="1">{"fdsup://Directions/FactSet Auditing Viewer?action=AUDIT_VALUE&amp;DB=129&amp;ID1=59511210&amp;VALUEID=02001&amp;SDATE=200501&amp;PERIODTYPE=QTR_STD&amp;SCFT=3&amp;window=popup_no_bar&amp;width=385&amp;height=120&amp;START_MAXIMIZED=FALSE&amp;creator=factset&amp;display_string=Audit"}</definedName>
    <definedName name="_2794__FDSAUDITLINK__" hidden="1">{"fdsup://Directions/FactSet Auditing Viewer?action=AUDIT_VALUE&amp;DB=129&amp;ID1=59511210&amp;VALUEID=02001&amp;SDATE=200501&amp;PERIODTYPE=QTR_STD&amp;SCFT=3&amp;window=popup_no_bar&amp;width=385&amp;height=120&amp;START_MAXIMIZED=FALSE&amp;creator=factset&amp;display_string=Audit"}</definedName>
    <definedName name="_2795__FDSAUDITLINK__" hidden="1">{"fdsup://Directions/FactSet Auditing Viewer?action=AUDIT_VALUE&amp;DB=129&amp;ID1=59513710&amp;VALUEID=02001&amp;SDATE=200501&amp;PERIODTYPE=QTR_STD&amp;SCFT=3&amp;window=popup_no_bar&amp;width=385&amp;height=120&amp;START_MAXIMIZED=FALSE&amp;creator=factset&amp;display_string=Audit"}</definedName>
    <definedName name="_2796__FDSAUDITLINK__" hidden="1">{"fdsup://Directions/FactSet Auditing Viewer?action=AUDIT_VALUE&amp;DB=129&amp;ID1=59513710&amp;VALUEID=02001&amp;SDATE=200501&amp;PERIODTYPE=QTR_STD&amp;SCFT=3&amp;window=popup_no_bar&amp;width=385&amp;height=120&amp;START_MAXIMIZED=FALSE&amp;creator=factset&amp;display_string=Audit"}</definedName>
    <definedName name="_2797__FDSAUDITLINK__" hidden="1">{"fdsup://Directions/FactSet Auditing Viewer?action=AUDIT_VALUE&amp;DB=129&amp;ID1=60456710&amp;VALUEID=02001&amp;SDATE=200502&amp;PERIODTYPE=QTR_STD&amp;SCFT=3&amp;window=popup_no_bar&amp;width=385&amp;height=120&amp;START_MAXIMIZED=FALSE&amp;creator=factset&amp;display_string=Audit"}</definedName>
    <definedName name="_2798__FDSAUDITLINK__" hidden="1">{"fdsup://Directions/FactSet Auditing Viewer?action=AUDIT_VALUE&amp;DB=129&amp;ID1=60456710&amp;VALUEID=02001&amp;SDATE=200502&amp;PERIODTYPE=QTR_STD&amp;SCFT=3&amp;window=popup_no_bar&amp;width=385&amp;height=120&amp;START_MAXIMIZED=FALSE&amp;creator=factset&amp;display_string=Audit"}</definedName>
    <definedName name="_2799__FDSAUDITLINK__" hidden="1">{"fdsup://Directions/FactSet Auditing Viewer?action=AUDIT_VALUE&amp;DB=129&amp;ID1=59501710&amp;VALUEID=02001&amp;SDATE=200403&amp;PERIODTYPE=QTR_STD&amp;SCFT=3&amp;window=popup_no_bar&amp;width=385&amp;height=120&amp;START_MAXIMIZED=FALSE&amp;creator=factset&amp;display_string=Audit"}</definedName>
    <definedName name="_28__FDSAUDITLINK__" hidden="1">{"fdsup://Directions/FactSet Auditing Viewer?action=AUDIT_VALUE&amp;DB=129&amp;ID1=80004C10&amp;VALUEID=02001&amp;SDATE=201101&amp;PERIODTYPE=QTR_STD&amp;SCFT=3&amp;window=popup_no_bar&amp;width=385&amp;height=120&amp;START_MAXIMIZED=FALSE&amp;creator=factset&amp;display_string=Audit"}</definedName>
    <definedName name="_280__FDSAUDITLINK__" hidden="1">{"fdsup://Directions/FactSet Auditing Viewer?action=AUDIT_VALUE&amp;DB=129&amp;ID1=Y0486S10&amp;VALUEID=02001&amp;SDATE=201101&amp;PERIODTYPE=QTR_STD&amp;SCFT=3&amp;window=popup_no_bar&amp;width=385&amp;height=120&amp;START_MAXIMIZED=FALSE&amp;creator=factset&amp;display_string=Audit"}</definedName>
    <definedName name="_2800__FDSAUDITLINK__" hidden="1">{"fdsup://Directions/FactSet Auditing Viewer?action=AUDIT_VALUE&amp;DB=129&amp;ID1=59501710&amp;VALUEID=02001&amp;SDATE=200403&amp;PERIODTYPE=QTR_STD&amp;SCFT=3&amp;window=popup_no_bar&amp;width=385&amp;height=120&amp;START_MAXIMIZED=FALSE&amp;creator=factset&amp;display_string=Audit"}</definedName>
    <definedName name="_2801__FDSAUDITLINK__" hidden="1">{"fdsup://Directions/FactSet Auditing Viewer?action=AUDIT_VALUE&amp;DB=129&amp;ID1=51280710&amp;VALUEID=02001&amp;SDATE=200502&amp;PERIODTYPE=QTR_STD&amp;SCFT=3&amp;window=popup_no_bar&amp;width=385&amp;height=120&amp;START_MAXIMIZED=FALSE&amp;creator=factset&amp;display_string=Audit"}</definedName>
    <definedName name="_2802__FDSAUDITLINK__" hidden="1">{"fdsup://Directions/FactSet Auditing Viewer?action=AUDIT_VALUE&amp;DB=129&amp;ID1=51280710&amp;VALUEID=02001&amp;SDATE=200502&amp;PERIODTYPE=QTR_STD&amp;SCFT=3&amp;window=popup_no_bar&amp;width=385&amp;height=120&amp;START_MAXIMIZED=FALSE&amp;creator=factset&amp;display_string=Audit"}</definedName>
    <definedName name="_2803__FDSAUDITLINK__" hidden="1">{"fdsup://Directions/FactSet Auditing Viewer?action=AUDIT_VALUE&amp;DB=129&amp;ID1=53567810&amp;VALUEID=02001&amp;SDATE=200502&amp;PERIODTYPE=QTR_STD&amp;SCFT=3&amp;window=popup_no_bar&amp;width=385&amp;height=120&amp;START_MAXIMIZED=FALSE&amp;creator=factset&amp;display_string=Audit"}</definedName>
    <definedName name="_2804__FDSAUDITLINK__" hidden="1">{"fdsup://Directions/FactSet Auditing Viewer?action=AUDIT_VALUE&amp;DB=129&amp;ID1=53567810&amp;VALUEID=02001&amp;SDATE=200502&amp;PERIODTYPE=QTR_STD&amp;SCFT=3&amp;window=popup_no_bar&amp;width=385&amp;height=120&amp;START_MAXIMIZED=FALSE&amp;creator=factset&amp;display_string=Audit"}</definedName>
    <definedName name="_2805__FDSAUDITLINK__" hidden="1">{"fdsup://Directions/FactSet Auditing Viewer?action=AUDIT_VALUE&amp;DB=129&amp;ID1=48248010&amp;VALUEID=02001&amp;SDATE=200502&amp;PERIODTYPE=QTR_STD&amp;SCFT=3&amp;window=popup_no_bar&amp;width=385&amp;height=120&amp;START_MAXIMIZED=FALSE&amp;creator=factset&amp;display_string=Audit"}</definedName>
    <definedName name="_2806__FDSAUDITLINK__" hidden="1">{"fdsup://Directions/FactSet Auditing Viewer?action=AUDIT_VALUE&amp;DB=129&amp;ID1=48248010&amp;VALUEID=02001&amp;SDATE=200502&amp;PERIODTYPE=QTR_STD&amp;SCFT=3&amp;window=popup_no_bar&amp;width=385&amp;height=120&amp;START_MAXIMIZED=FALSE&amp;creator=factset&amp;display_string=Audit"}</definedName>
    <definedName name="_2807__FDSAUDITLINK__" hidden="1">{"fdsup://Directions/FactSet Auditing Viewer?action=AUDIT_VALUE&amp;DB=129&amp;ID1=86681020&amp;VALUEID=02001&amp;SDATE=200502&amp;PERIODTYPE=QTR_STD&amp;SCFT=3&amp;window=popup_no_bar&amp;width=385&amp;height=120&amp;START_MAXIMIZED=FALSE&amp;creator=factset&amp;display_string=Audit"}</definedName>
    <definedName name="_2808__FDSAUDITLINK__" hidden="1">{"fdsup://Directions/FactSet Auditing Viewer?action=AUDIT_VALUE&amp;DB=129&amp;ID1=86681020&amp;VALUEID=02001&amp;SDATE=200502&amp;PERIODTYPE=QTR_STD&amp;SCFT=3&amp;window=popup_no_bar&amp;width=385&amp;height=120&amp;START_MAXIMIZED=FALSE&amp;creator=factset&amp;display_string=Audit"}</definedName>
    <definedName name="_2809__FDSAUDITLINK__" hidden="1">{"fdsup://Directions/FactSet Auditing Viewer?action=AUDIT_VALUE&amp;DB=129&amp;ID1=46025410&amp;VALUEID=02001&amp;SDATE=200502&amp;PERIODTYPE=QTR_STD&amp;SCFT=3&amp;window=popup_no_bar&amp;width=385&amp;height=120&amp;START_MAXIMIZED=FALSE&amp;creator=factset&amp;display_string=Audit"}</definedName>
    <definedName name="_281__FDSAUDITLINK__" hidden="1">{"fdsup://Directions/FactSet Auditing Viewer?action=AUDIT_VALUE&amp;DB=129&amp;ID1=04743P10&amp;VALUEID=02001&amp;SDATE=201004&amp;PERIODTYPE=QTR_STD&amp;SCFT=3&amp;window=popup_no_bar&amp;width=385&amp;height=120&amp;START_MAXIMIZED=FALSE&amp;creator=factset&amp;display_string=Audit"}</definedName>
    <definedName name="_2810__FDSAUDITLINK__" hidden="1">{"fdsup://Directions/FactSet Auditing Viewer?action=AUDIT_VALUE&amp;DB=129&amp;ID1=46025410&amp;VALUEID=02001&amp;SDATE=200502&amp;PERIODTYPE=QTR_STD&amp;SCFT=3&amp;window=popup_no_bar&amp;width=385&amp;height=120&amp;START_MAXIMIZED=FALSE&amp;creator=factset&amp;display_string=Audit"}</definedName>
    <definedName name="_2811__FDSAUDITLINK__" hidden="1">{"fdsup://Directions/FactSet Auditing Viewer?action=AUDIT_VALUE&amp;DB=129&amp;ID1=45811810&amp;VALUEID=02001&amp;SDATE=200403&amp;PERIODTYPE=QTR_STD&amp;SCFT=3&amp;window=popup_no_bar&amp;width=385&amp;height=120&amp;START_MAXIMIZED=FALSE&amp;creator=factset&amp;display_string=Audit"}</definedName>
    <definedName name="_2812__FDSAUDITLINK__" hidden="1">{"fdsup://Directions/FactSet Auditing Viewer?action=AUDIT_VALUE&amp;DB=129&amp;ID1=45811810&amp;VALUEID=02001&amp;SDATE=200403&amp;PERIODTYPE=QTR_STD&amp;SCFT=3&amp;window=popup_no_bar&amp;width=385&amp;height=120&amp;START_MAXIMIZED=FALSE&amp;creator=factset&amp;display_string=Audit"}</definedName>
    <definedName name="_2813__FDSAUDITLINK__" hidden="1">{"fdsup://Directions/FactSet Auditing Viewer?action=AUDIT_VALUE&amp;DB=129&amp;ID1=42823610&amp;VALUEID=02001&amp;SDATE=200501&amp;PERIODTYPE=QTR_STD&amp;SCFT=3&amp;window=popup_no_bar&amp;width=385&amp;height=120&amp;START_MAXIMIZED=FALSE&amp;creator=factset&amp;display_string=Audit"}</definedName>
    <definedName name="_2814__FDSAUDITLINK__" hidden="1">{"fdsup://Directions/FactSet Auditing Viewer?action=AUDIT_VALUE&amp;DB=129&amp;ID1=42823610&amp;VALUEID=02001&amp;SDATE=200501&amp;PERIODTYPE=QTR_STD&amp;SCFT=3&amp;window=popup_no_bar&amp;width=385&amp;height=120&amp;START_MAXIMIZED=FALSE&amp;creator=factset&amp;display_string=Audit"}</definedName>
    <definedName name="_2815__FDSAUDITLINK__" hidden="1">{"fdsup://Directions/FactSet Auditing Viewer?action=AUDIT_VALUE&amp;DB=129&amp;ID1=31561610&amp;VALUEID=02001&amp;SDATE=200501&amp;PERIODTYPE=QTR_STD&amp;SCFT=3&amp;window=popup_no_bar&amp;width=385&amp;height=120&amp;START_MAXIMIZED=FALSE&amp;creator=factset&amp;display_string=Audit"}</definedName>
    <definedName name="_2816__FDSAUDITLINK__" hidden="1">{"fdsup://Directions/FactSet Auditing Viewer?action=AUDIT_VALUE&amp;DB=129&amp;ID1=31561610&amp;VALUEID=02001&amp;SDATE=200501&amp;PERIODTYPE=QTR_STD&amp;SCFT=3&amp;window=popup_no_bar&amp;width=385&amp;height=120&amp;START_MAXIMIZED=FALSE&amp;creator=factset&amp;display_string=Audit"}</definedName>
    <definedName name="_2817__FDSAUDITLINK__" hidden="1">{"fdsup://Directions/FactSet Auditing Viewer?action=AUDIT_VALUE&amp;DB=129&amp;ID1=29247520&amp;VALUEID=02001&amp;SDATE=200502&amp;PERIODTYPE=QTR_STD&amp;SCFT=3&amp;window=popup_no_bar&amp;width=385&amp;height=120&amp;START_MAXIMIZED=FALSE&amp;creator=factset&amp;display_string=Audit"}</definedName>
    <definedName name="_2818__FDSAUDITLINK__" hidden="1">{"fdsup://Directions/FactSet Auditing Viewer?action=AUDIT_VALUE&amp;DB=129&amp;ID1=29247520&amp;VALUEID=02001&amp;SDATE=200502&amp;PERIODTYPE=QTR_STD&amp;SCFT=3&amp;window=popup_no_bar&amp;width=385&amp;height=120&amp;START_MAXIMIZED=FALSE&amp;creator=factset&amp;display_string=Audit"}</definedName>
    <definedName name="_2819__FDSAUDITLINK__" hidden="1">{"fdsup://Directions/FactSet Auditing Viewer?action=AUDIT_VALUE&amp;DB=129&amp;ID1=17275R10&amp;VALUEID=02001&amp;SDATE=200502&amp;PERIODTYPE=QTR_STD&amp;SCFT=3&amp;window=popup_no_bar&amp;width=385&amp;height=120&amp;START_MAXIMIZED=FALSE&amp;creator=factset&amp;display_string=Audit"}</definedName>
    <definedName name="_282__FDSAUDITLINK__" hidden="1">{"fdsup://Directions/FactSet Auditing Viewer?action=AUDIT_VALUE&amp;DB=129&amp;ID1=04743P10&amp;VALUEID=02001&amp;SDATE=201004&amp;PERIODTYPE=QTR_STD&amp;SCFT=3&amp;window=popup_no_bar&amp;width=385&amp;height=120&amp;START_MAXIMIZED=FALSE&amp;creator=factset&amp;display_string=Audit"}</definedName>
    <definedName name="_2820__FDSAUDITLINK__" hidden="1">{"fdsup://Directions/FactSet Auditing Viewer?action=AUDIT_VALUE&amp;DB=129&amp;ID1=17275R10&amp;VALUEID=02001&amp;SDATE=200502&amp;PERIODTYPE=QTR_STD&amp;SCFT=3&amp;window=popup_no_bar&amp;width=385&amp;height=120&amp;START_MAXIMIZED=FALSE&amp;creator=factset&amp;display_string=Audit"}</definedName>
    <definedName name="_2821__FDSAUDITLINK__" hidden="1">{"fdsup://Directions/FactSet Auditing Viewer?action=AUDIT_VALUE&amp;DB=129&amp;ID1=22544710&amp;VALUEID=02001&amp;SDATE=200502&amp;PERIODTYPE=QTR_STD&amp;SCFT=3&amp;window=popup_no_bar&amp;width=385&amp;height=120&amp;START_MAXIMIZED=FALSE&amp;creator=factset&amp;display_string=Audit"}</definedName>
    <definedName name="_2822__FDSAUDITLINK__" hidden="1">{"fdsup://Directions/FactSet Auditing Viewer?action=AUDIT_VALUE&amp;DB=129&amp;ID1=22544710&amp;VALUEID=02001&amp;SDATE=200502&amp;PERIODTYPE=QTR_STD&amp;SCFT=3&amp;window=popup_no_bar&amp;width=385&amp;height=120&amp;START_MAXIMIZED=FALSE&amp;creator=factset&amp;display_string=Audit"}</definedName>
    <definedName name="_2823__FDSAUDITLINK__" hidden="1">{"fdsup://Directions/FactSet Auditing Viewer?action=AUDIT_VALUE&amp;DB=129&amp;ID1=20714230&amp;VALUEID=02001&amp;SDATE=200501&amp;PERIODTYPE=QTR_STD&amp;SCFT=3&amp;window=popup_no_bar&amp;width=385&amp;height=120&amp;START_MAXIMIZED=FALSE&amp;creator=factset&amp;display_string=Audit"}</definedName>
    <definedName name="_2824__FDSAUDITLINK__" hidden="1">{"fdsup://Directions/FactSet Auditing Viewer?action=AUDIT_VALUE&amp;DB=129&amp;ID1=20714230&amp;VALUEID=02001&amp;SDATE=200501&amp;PERIODTYPE=QTR_STD&amp;SCFT=3&amp;window=popup_no_bar&amp;width=385&amp;height=120&amp;START_MAXIMIZED=FALSE&amp;creator=factset&amp;display_string=Audit"}</definedName>
    <definedName name="_2825__FDSAUDITLINK__" hidden="1">{"fdsup://Directions/FactSet Auditing Viewer?action=AUDIT_VALUE&amp;DB=129&amp;ID1=03822W40&amp;VALUEID=02001&amp;SDATE=200403&amp;PERIODTYPE=QTR_STD&amp;SCFT=3&amp;window=popup_no_bar&amp;width=385&amp;height=120&amp;START_MAXIMIZED=FALSE&amp;creator=factset&amp;display_string=Audit"}</definedName>
    <definedName name="_2826__FDSAUDITLINK__" hidden="1">{"fdsup://Directions/FactSet Auditing Viewer?action=AUDIT_VALUE&amp;DB=129&amp;ID1=03822W40&amp;VALUEID=02001&amp;SDATE=200403&amp;PERIODTYPE=QTR_STD&amp;SCFT=3&amp;window=popup_no_bar&amp;width=385&amp;height=120&amp;START_MAXIMIZED=FALSE&amp;creator=factset&amp;display_string=Audit"}</definedName>
    <definedName name="_2827__FDSAUDITLINK__" hidden="1">{"fdsup://Directions/FactSet Auditing Viewer?action=AUDIT_VALUE&amp;DB=129&amp;ID1=03822210&amp;VALUEID=02001&amp;SDATE=200501&amp;PERIODTYPE=QTR_STD&amp;SCFT=3&amp;window=popup_no_bar&amp;width=385&amp;height=120&amp;START_MAXIMIZED=FALSE&amp;creator=factset&amp;display_string=Audit"}</definedName>
    <definedName name="_2828__FDSAUDITLINK__" hidden="1">{"fdsup://Directions/FactSet Auditing Viewer?action=AUDIT_VALUE&amp;DB=129&amp;ID1=03822210&amp;VALUEID=02001&amp;SDATE=200501&amp;PERIODTYPE=QTR_STD&amp;SCFT=3&amp;window=popup_no_bar&amp;width=385&amp;height=120&amp;START_MAXIMIZED=FALSE&amp;creator=factset&amp;display_string=Audit"}</definedName>
    <definedName name="_2829__FDSAUDITLINK__" hidden="1">{"fdsup://Directions/FactSet Auditing Viewer?action=AUDIT_VALUE&amp;DB=129&amp;ID1=03265410&amp;VALUEID=02001&amp;SDATE=200501&amp;PERIODTYPE=QTR_STD&amp;SCFT=3&amp;window=popup_no_bar&amp;width=385&amp;height=120&amp;START_MAXIMIZED=FALSE&amp;creator=factset&amp;display_string=Audit"}</definedName>
    <definedName name="_283__FDSAUDITLINK__" hidden="1">{"fdsup://Directions/FactSet Auditing Viewer?action=AUDIT_VALUE&amp;DB=129&amp;ID1=03251510&amp;VALUEID=02001&amp;SDATE=201004&amp;PERIODTYPE=QTR_STD&amp;SCFT=3&amp;window=popup_no_bar&amp;width=385&amp;height=120&amp;START_MAXIMIZED=FALSE&amp;creator=factset&amp;display_string=Audit"}</definedName>
    <definedName name="_2830__FDSAUDITLINK__" hidden="1">{"fdsup://Directions/FactSet Auditing Viewer?action=AUDIT_VALUE&amp;DB=129&amp;ID1=03265410&amp;VALUEID=02001&amp;SDATE=200501&amp;PERIODTYPE=QTR_STD&amp;SCFT=3&amp;window=popup_no_bar&amp;width=385&amp;height=120&amp;START_MAXIMIZED=FALSE&amp;creator=factset&amp;display_string=Audit"}</definedName>
    <definedName name="_2831__FDSAUDITLINK__" hidden="1">{"fdsup://Directions/FactSet Auditing Viewer?action=AUDIT_VALUE&amp;DB=129&amp;ID1=98975F10&amp;VALUEID=02001&amp;SDATE=200403&amp;PERIODTYPE=QTR_STD&amp;SCFT=3&amp;window=popup_no_bar&amp;width=385&amp;height=120&amp;START_MAXIMIZED=FALSE&amp;creator=factset&amp;display_string=Audit"}</definedName>
    <definedName name="_2832__FDSAUDITLINK__" hidden="1">{"fdsup://Directions/FactSet Auditing Viewer?action=AUDIT_VALUE&amp;DB=129&amp;ID1=98975F10&amp;VALUEID=02001&amp;SDATE=200403&amp;PERIODTYPE=QTR_STD&amp;SCFT=3&amp;window=popup_no_bar&amp;width=385&amp;height=120&amp;START_MAXIMIZED=FALSE&amp;creator=factset&amp;display_string=Audit"}</definedName>
    <definedName name="_2833__FDSAUDITLINK__" hidden="1">{"fdsup://Directions/FactSet Auditing Viewer?action=AUDIT_VALUE&amp;DB=129&amp;ID1=98391910&amp;VALUEID=02001&amp;SDATE=200402&amp;PERIODTYPE=QTR_STD&amp;SCFT=3&amp;window=popup_no_bar&amp;width=385&amp;height=120&amp;START_MAXIMIZED=FALSE&amp;creator=factset&amp;display_string=Audit"}</definedName>
    <definedName name="_2834__FDSAUDITLINK__" hidden="1">{"fdsup://Directions/FactSet Auditing Viewer?action=AUDIT_VALUE&amp;DB=129&amp;ID1=98391910&amp;VALUEID=02001&amp;SDATE=200402&amp;PERIODTYPE=QTR_STD&amp;SCFT=3&amp;window=popup_no_bar&amp;width=385&amp;height=120&amp;START_MAXIMIZED=FALSE&amp;creator=factset&amp;display_string=Audit"}</definedName>
    <definedName name="_2835__FDSAUDITLINK__" hidden="1">{"fdsup://Directions/FactSet Auditing Viewer?action=AUDIT_VALUE&amp;DB=129&amp;ID1=95810210&amp;VALUEID=02001&amp;SDATE=200501&amp;PERIODTYPE=QTR_STD&amp;SCFT=3&amp;window=popup_no_bar&amp;width=385&amp;height=120&amp;START_MAXIMIZED=FALSE&amp;creator=factset&amp;display_string=Audit"}</definedName>
    <definedName name="_2836__FDSAUDITLINK__" hidden="1">{"fdsup://Directions/FactSet Auditing Viewer?action=AUDIT_VALUE&amp;DB=129&amp;ID1=95810210&amp;VALUEID=02001&amp;SDATE=200501&amp;PERIODTYPE=QTR_STD&amp;SCFT=3&amp;window=popup_no_bar&amp;width=385&amp;height=120&amp;START_MAXIMIZED=FALSE&amp;creator=factset&amp;display_string=Audit"}</definedName>
    <definedName name="_2837__FDSAUDITLINK__" hidden="1">{"fdsup://Directions/FactSet Auditing Viewer?action=AUDIT_VALUE&amp;DB=129&amp;ID1=88250810&amp;VALUEID=02001&amp;SDATE=200403&amp;PERIODTYPE=QTR_STD&amp;SCFT=3&amp;window=popup_no_bar&amp;width=385&amp;height=120&amp;START_MAXIMIZED=FALSE&amp;creator=factset&amp;display_string=Audit"}</definedName>
    <definedName name="_2838__FDSAUDITLINK__" hidden="1">{"fdsup://Directions/FactSet Auditing Viewer?action=AUDIT_VALUE&amp;DB=129&amp;ID1=88250810&amp;VALUEID=02001&amp;SDATE=200403&amp;PERIODTYPE=QTR_STD&amp;SCFT=3&amp;window=popup_no_bar&amp;width=385&amp;height=120&amp;START_MAXIMIZED=FALSE&amp;creator=factset&amp;display_string=Audit"}</definedName>
    <definedName name="_2839__FDSAUDITLINK__" hidden="1">{"fdsup://Directions/FactSet Auditing Viewer?action=AUDIT_VALUE&amp;DB=129&amp;ID1=89674K10&amp;VALUEID=02001&amp;SDATE=200403&amp;PERIODTYPE=QTR_STD&amp;SCFT=3&amp;window=popup_no_bar&amp;width=385&amp;height=120&amp;START_MAXIMIZED=FALSE&amp;creator=factset&amp;display_string=Audit"}</definedName>
    <definedName name="_284__FDSAUDITLINK__" hidden="1">{"fdsup://Directions/FactSet Auditing Viewer?action=AUDIT_VALUE&amp;DB=129&amp;ID1=03251510&amp;VALUEID=02001&amp;SDATE=201004&amp;PERIODTYPE=QTR_STD&amp;SCFT=3&amp;window=popup_no_bar&amp;width=385&amp;height=120&amp;START_MAXIMIZED=FALSE&amp;creator=factset&amp;display_string=Audit"}</definedName>
    <definedName name="_2840__FDSAUDITLINK__" hidden="1">{"fdsup://Directions/FactSet Auditing Viewer?action=AUDIT_VALUE&amp;DB=129&amp;ID1=89674K10&amp;VALUEID=02001&amp;SDATE=200403&amp;PERIODTYPE=QTR_STD&amp;SCFT=3&amp;window=popup_no_bar&amp;width=385&amp;height=120&amp;START_MAXIMIZED=FALSE&amp;creator=factset&amp;display_string=Audit"}</definedName>
    <definedName name="_2841__FDSAUDITLINK__" hidden="1">{"fdsup://Directions/FactSet Auditing Viewer?action=AUDIT_VALUE&amp;DB=129&amp;ID1=G7945M10&amp;VALUEID=02001&amp;SDATE=200501&amp;PERIODTYPE=QTR_STD&amp;SCFT=3&amp;window=popup_no_bar&amp;width=385&amp;height=120&amp;START_MAXIMIZED=FALSE&amp;creator=factset&amp;display_string=Audit"}</definedName>
    <definedName name="_2842__FDSAUDITLINK__" hidden="1">{"fdsup://Directions/FactSet Auditing Viewer?action=AUDIT_VALUE&amp;DB=129&amp;ID1=G7945M10&amp;VALUEID=02001&amp;SDATE=200501&amp;PERIODTYPE=QTR_STD&amp;SCFT=3&amp;window=popup_no_bar&amp;width=385&amp;height=120&amp;START_MAXIMIZED=FALSE&amp;creator=factset&amp;display_string=Audit"}</definedName>
    <definedName name="_2843__FDSAUDITLINK__" hidden="1">{"fdsup://Directions/FactSet Auditing Viewer?action=AUDIT_VALUE&amp;DB=129&amp;ID1=78477410&amp;VALUEID=02001&amp;SDATE=200403&amp;PERIODTYPE=QTR_STD&amp;SCFT=3&amp;window=popup_no_bar&amp;width=385&amp;height=120&amp;START_MAXIMIZED=FALSE&amp;creator=factset&amp;display_string=Audit"}</definedName>
    <definedName name="_2844__FDSAUDITLINK__" hidden="1">{"fdsup://Directions/FactSet Auditing Viewer?action=AUDIT_VALUE&amp;DB=129&amp;ID1=78477410&amp;VALUEID=02001&amp;SDATE=200403&amp;PERIODTYPE=QTR_STD&amp;SCFT=3&amp;window=popup_no_bar&amp;width=385&amp;height=120&amp;START_MAXIMIZED=FALSE&amp;creator=factset&amp;display_string=Audit"}</definedName>
    <definedName name="_2845__FDSAUDITLINK__" hidden="1">{"fdsup://Directions/FactSet Auditing Viewer?action=AUDIT_VALUE&amp;DB=129&amp;ID1=83547010&amp;VALUEID=02001&amp;SDATE=200403&amp;PERIODTYPE=QTR_STD&amp;SCFT=3&amp;window=popup_no_bar&amp;width=385&amp;height=120&amp;START_MAXIMIZED=FALSE&amp;creator=factset&amp;display_string=Audit"}</definedName>
    <definedName name="_2846__FDSAUDITLINK__" hidden="1">{"fdsup://Directions/FactSet Auditing Viewer?action=AUDIT_VALUE&amp;DB=129&amp;ID1=83547010&amp;VALUEID=02001&amp;SDATE=200403&amp;PERIODTYPE=QTR_STD&amp;SCFT=3&amp;window=popup_no_bar&amp;width=385&amp;height=120&amp;START_MAXIMIZED=FALSE&amp;creator=factset&amp;display_string=Audit"}</definedName>
    <definedName name="_2847__FDSAUDITLINK__" hidden="1">{"fdsup://Directions/FactSet Auditing Viewer?action=AUDIT_VALUE&amp;DB=129&amp;ID1=80004C10&amp;VALUEID=02001&amp;SDATE=200403&amp;PERIODTYPE=QTR_STD&amp;SCFT=3&amp;window=popup_no_bar&amp;width=385&amp;height=120&amp;START_MAXIMIZED=FALSE&amp;creator=factset&amp;display_string=Audit"}</definedName>
    <definedName name="_2848__FDSAUDITLINK__" hidden="1">{"fdsup://Directions/FactSet Auditing Viewer?action=AUDIT_VALUE&amp;DB=129&amp;ID1=80004C10&amp;VALUEID=02001&amp;SDATE=200403&amp;PERIODTYPE=QTR_STD&amp;SCFT=3&amp;window=popup_no_bar&amp;width=385&amp;height=120&amp;START_MAXIMIZED=FALSE&amp;creator=factset&amp;display_string=Audit"}</definedName>
    <definedName name="_2849__FDSAUDITLINK__" hidden="1">{"fdsup://Directions/FactSet Auditing Viewer?action=AUDIT_VALUE&amp;DB=129&amp;ID1=81685010&amp;VALUEID=02001&amp;SDATE=200403&amp;PERIODTYPE=QTR_STD&amp;SCFT=3&amp;window=popup_no_bar&amp;width=385&amp;height=120&amp;START_MAXIMIZED=FALSE&amp;creator=factset&amp;display_string=Audit"}</definedName>
    <definedName name="_285__FDSAUDITLINK__" hidden="1">{"fdsup://Directions/FactSet Auditing Viewer?action=AUDIT_VALUE&amp;DB=129&amp;ID1=00790310&amp;VALUEID=02001&amp;SDATE=201004&amp;PERIODTYPE=QTR_STD&amp;SCFT=3&amp;window=popup_no_bar&amp;width=385&amp;height=120&amp;START_MAXIMIZED=FALSE&amp;creator=factset&amp;display_string=Audit"}</definedName>
    <definedName name="_2850__FDSAUDITLINK__" hidden="1">{"fdsup://Directions/FactSet Auditing Viewer?action=AUDIT_VALUE&amp;DB=129&amp;ID1=81685010&amp;VALUEID=02001&amp;SDATE=200403&amp;PERIODTYPE=QTR_STD&amp;SCFT=3&amp;window=popup_no_bar&amp;width=385&amp;height=120&amp;START_MAXIMIZED=FALSE&amp;creator=factset&amp;display_string=Audit"}</definedName>
    <definedName name="_2851__FDSAUDITLINK__" hidden="1">{"fdsup://Directions/FactSet Auditing Viewer?action=AUDIT_VALUE&amp;DB=129&amp;ID1=82691910&amp;VALUEID=02001&amp;SDATE=200403&amp;PERIODTYPE=QTR_STD&amp;SCFT=3&amp;window=popup_no_bar&amp;width=385&amp;height=120&amp;START_MAXIMIZED=FALSE&amp;creator=factset&amp;display_string=Audit"}</definedName>
    <definedName name="_2852__FDSAUDITLINK__" hidden="1">{"fdsup://Directions/FactSet Auditing Viewer?action=AUDIT_VALUE&amp;DB=129&amp;ID1=82691910&amp;VALUEID=02001&amp;SDATE=200403&amp;PERIODTYPE=QTR_STD&amp;SCFT=3&amp;window=popup_no_bar&amp;width=385&amp;height=120&amp;START_MAXIMIZED=FALSE&amp;creator=factset&amp;display_string=Audit"}</definedName>
    <definedName name="_2853__FDSAUDITLINK__" hidden="1">{"fdsup://Directions/FactSet Auditing Viewer?action=AUDIT_VALUE&amp;DB=129&amp;ID1=82705T10&amp;VALUEID=02001&amp;SDATE=200403&amp;PERIODTYPE=QTR_STD&amp;SCFT=3&amp;window=popup_no_bar&amp;width=385&amp;height=120&amp;START_MAXIMIZED=FALSE&amp;creator=factset&amp;display_string=Audit"}</definedName>
    <definedName name="_2854__FDSAUDITLINK__" hidden="1">{"fdsup://Directions/FactSet Auditing Viewer?action=AUDIT_VALUE&amp;DB=129&amp;ID1=82705T10&amp;VALUEID=02001&amp;SDATE=200403&amp;PERIODTYPE=QTR_STD&amp;SCFT=3&amp;window=popup_no_bar&amp;width=385&amp;height=120&amp;START_MAXIMIZED=FALSE&amp;creator=factset&amp;display_string=Audit"}</definedName>
    <definedName name="_2855__FDSAUDITLINK__" hidden="1">{"fdsup://Directions/FactSet Auditing Viewer?action=AUDIT_VALUE&amp;DB=129&amp;ID1=75091710&amp;VALUEID=02001&amp;SDATE=200403&amp;PERIODTYPE=QTR_STD&amp;SCFT=3&amp;window=popup_no_bar&amp;width=385&amp;height=120&amp;START_MAXIMIZED=FALSE&amp;creator=factset&amp;display_string=Audit"}</definedName>
    <definedName name="_2856__FDSAUDITLINK__" hidden="1">{"fdsup://Directions/FactSet Auditing Viewer?action=AUDIT_VALUE&amp;DB=129&amp;ID1=75091710&amp;VALUEID=02001&amp;SDATE=200403&amp;PERIODTYPE=QTR_STD&amp;SCFT=3&amp;window=popup_no_bar&amp;width=385&amp;height=120&amp;START_MAXIMIZED=FALSE&amp;creator=factset&amp;display_string=Audit"}</definedName>
    <definedName name="_2857__FDSAUDITLINK__" hidden="1">{"fdsup://Directions/FactSet Auditing Viewer?action=AUDIT_VALUE&amp;DB=129&amp;ID1=74994110&amp;VALUEID=02001&amp;SDATE=200402&amp;PERIODTYPE=QTR_STD&amp;SCFT=3&amp;window=popup_no_bar&amp;width=385&amp;height=120&amp;START_MAXIMIZED=FALSE&amp;creator=factset&amp;display_string=Audit"}</definedName>
    <definedName name="_2858__FDSAUDITLINK__" hidden="1">{"fdsup://Directions/FactSet Auditing Viewer?action=AUDIT_VALUE&amp;DB=129&amp;ID1=74994110&amp;VALUEID=02001&amp;SDATE=200402&amp;PERIODTYPE=QTR_STD&amp;SCFT=3&amp;window=popup_no_bar&amp;width=385&amp;height=120&amp;START_MAXIMIZED=FALSE&amp;creator=factset&amp;display_string=Audit"}</definedName>
    <definedName name="_2859__FDSAUDITLINK__" hidden="1">{"fdsup://Directions/FactSet Auditing Viewer?action=AUDIT_VALUE&amp;DB=129&amp;ID1=74727710&amp;VALUEID=02001&amp;SDATE=200402&amp;PERIODTYPE=QTR_STD&amp;SCFT=3&amp;window=popup_no_bar&amp;width=385&amp;height=120&amp;START_MAXIMIZED=FALSE&amp;creator=factset&amp;display_string=Audit"}</definedName>
    <definedName name="_286__FDSAUDITLINK__" hidden="1">{"fdsup://Directions/FactSet Auditing Viewer?action=AUDIT_VALUE&amp;DB=129&amp;ID1=00790310&amp;VALUEID=02001&amp;SDATE=201004&amp;PERIODTYPE=QTR_STD&amp;SCFT=3&amp;window=popup_no_bar&amp;width=385&amp;height=120&amp;START_MAXIMIZED=FALSE&amp;creator=factset&amp;display_string=Audit"}</definedName>
    <definedName name="_2860__FDSAUDITLINK__" hidden="1">{"fdsup://Directions/FactSet Auditing Viewer?action=AUDIT_VALUE&amp;DB=129&amp;ID1=74727710&amp;VALUEID=02001&amp;SDATE=200402&amp;PERIODTYPE=QTR_STD&amp;SCFT=3&amp;window=popup_no_bar&amp;width=385&amp;height=120&amp;START_MAXIMIZED=FALSE&amp;creator=factset&amp;display_string=Audit"}</definedName>
    <definedName name="_2861__FDSAUDITLINK__" hidden="1">{"fdsup://Directions/FactSet Auditing Viewer?action=AUDIT_VALUE&amp;DB=129&amp;ID1=72581M30&amp;VALUEID=02001&amp;SDATE=200403&amp;PERIODTYPE=QTR_STD&amp;SCFT=3&amp;window=popup_no_bar&amp;width=385&amp;height=120&amp;START_MAXIMIZED=FALSE&amp;creator=factset&amp;display_string=Audit"}</definedName>
    <definedName name="_2862__FDSAUDITLINK__" hidden="1">{"fdsup://Directions/FactSet Auditing Viewer?action=AUDIT_VALUE&amp;DB=129&amp;ID1=72581M30&amp;VALUEID=02001&amp;SDATE=200403&amp;PERIODTYPE=QTR_STD&amp;SCFT=3&amp;window=popup_no_bar&amp;width=385&amp;height=120&amp;START_MAXIMIZED=FALSE&amp;creator=factset&amp;display_string=Audit"}</definedName>
    <definedName name="_2863__FDSAUDITLINK__" hidden="1">{"fdsup://Directions/FactSet Auditing Viewer?action=AUDIT_VALUE&amp;DB=129&amp;ID1=73927610&amp;VALUEID=02001&amp;SDATE=200403&amp;PERIODTYPE=QTR_STD&amp;SCFT=3&amp;window=popup_no_bar&amp;width=385&amp;height=120&amp;START_MAXIMIZED=FALSE&amp;creator=factset&amp;display_string=Audit"}</definedName>
    <definedName name="_2864__FDSAUDITLINK__" hidden="1">{"fdsup://Directions/FactSet Auditing Viewer?action=AUDIT_VALUE&amp;DB=129&amp;ID1=73927610&amp;VALUEID=02001&amp;SDATE=200403&amp;PERIODTYPE=QTR_STD&amp;SCFT=3&amp;window=popup_no_bar&amp;width=385&amp;height=120&amp;START_MAXIMIZED=FALSE&amp;creator=factset&amp;display_string=Audit"}</definedName>
    <definedName name="_2865__FDSAUDITLINK__" hidden="1">{"fdsup://Directions/FactSet Auditing Viewer?action=AUDIT_VALUE&amp;DB=129&amp;ID1=69344F10&amp;VALUEID=02001&amp;SDATE=200403&amp;PERIODTYPE=QTR_STD&amp;SCFT=3&amp;window=popup_no_bar&amp;width=385&amp;height=120&amp;START_MAXIMIZED=FALSE&amp;creator=factset&amp;display_string=Audit"}</definedName>
    <definedName name="_2866__FDSAUDITLINK__" hidden="1">{"fdsup://Directions/FactSet Auditing Viewer?action=AUDIT_VALUE&amp;DB=129&amp;ID1=69344F10&amp;VALUEID=02001&amp;SDATE=200403&amp;PERIODTYPE=QTR_STD&amp;SCFT=3&amp;window=popup_no_bar&amp;width=385&amp;height=120&amp;START_MAXIMIZED=FALSE&amp;creator=factset&amp;display_string=Audit"}</definedName>
    <definedName name="_2867__FDSAUDITLINK__" hidden="1">{"fdsup://Directions/FactSet Auditing Viewer?action=AUDIT_VALUE&amp;DB=129&amp;ID1=69341710&amp;VALUEID=02001&amp;SDATE=200403&amp;PERIODTYPE=QTR_STD&amp;SCFT=3&amp;window=popup_no_bar&amp;width=385&amp;height=120&amp;START_MAXIMIZED=FALSE&amp;creator=factset&amp;display_string=Audit"}</definedName>
    <definedName name="_2868__FDSAUDITLINK__" hidden="1">{"fdsup://Directions/FactSet Auditing Viewer?action=AUDIT_VALUE&amp;DB=129&amp;ID1=69341710&amp;VALUEID=02001&amp;SDATE=200403&amp;PERIODTYPE=QTR_STD&amp;SCFT=3&amp;window=popup_no_bar&amp;width=385&amp;height=120&amp;START_MAXIMIZED=FALSE&amp;creator=factset&amp;display_string=Audit"}</definedName>
    <definedName name="_2869__FDSAUDITLINK__" hidden="1">{"fdsup://Directions/FactSet Auditing Viewer?action=AUDIT_VALUE&amp;DB=129&amp;ID1=68218910&amp;VALUEID=02001&amp;SDATE=200403&amp;PERIODTYPE=QTR_STD&amp;SCFT=3&amp;window=popup_no_bar&amp;width=385&amp;height=120&amp;START_MAXIMIZED=FALSE&amp;creator=factset&amp;display_string=Audit"}</definedName>
    <definedName name="_287__FDSAUDITLINK__" hidden="1">{"fdsup://Directions/FactSet Auditing Viewer?action=AUDIT_VALUE&amp;DB=129&amp;ID1=03822W40&amp;VALUEID=02001&amp;SDATE=201003&amp;PERIODTYPE=QTR_STD&amp;SCFT=3&amp;window=popup_no_bar&amp;width=385&amp;height=120&amp;START_MAXIMIZED=FALSE&amp;creator=factset&amp;display_string=Audit"}</definedName>
    <definedName name="_2870__FDSAUDITLINK__" hidden="1">{"fdsup://Directions/FactSet Auditing Viewer?action=AUDIT_VALUE&amp;DB=129&amp;ID1=68218910&amp;VALUEID=02001&amp;SDATE=200403&amp;PERIODTYPE=QTR_STD&amp;SCFT=3&amp;window=popup_no_bar&amp;width=385&amp;height=120&amp;START_MAXIMIZED=FALSE&amp;creator=factset&amp;display_string=Audit"}</definedName>
    <definedName name="_2871__FDSAUDITLINK__" hidden="1">{"fdsup://Directions/FactSet Auditing Viewer?action=AUDIT_VALUE&amp;DB=129&amp;ID1=67000810&amp;VALUEID=02001&amp;SDATE=200403&amp;PERIODTYPE=QTR_STD&amp;SCFT=3&amp;window=popup_no_bar&amp;width=385&amp;height=120&amp;START_MAXIMIZED=FALSE&amp;creator=factset&amp;display_string=Audit"}</definedName>
    <definedName name="_2872__FDSAUDITLINK__" hidden="1">{"fdsup://Directions/FactSet Auditing Viewer?action=AUDIT_VALUE&amp;DB=129&amp;ID1=67000810&amp;VALUEID=02001&amp;SDATE=200403&amp;PERIODTYPE=QTR_STD&amp;SCFT=3&amp;window=popup_no_bar&amp;width=385&amp;height=120&amp;START_MAXIMIZED=FALSE&amp;creator=factset&amp;display_string=Audit"}</definedName>
    <definedName name="_2873__FDSAUDITLINK__" hidden="1">{"fdsup://Directions/FactSet Auditing Viewer?action=AUDIT_VALUE&amp;DB=129&amp;ID1=67066G10&amp;VALUEID=02001&amp;SDATE=200403&amp;PERIODTYPE=QTR_STD&amp;SCFT=3&amp;window=popup_no_bar&amp;width=385&amp;height=120&amp;START_MAXIMIZED=FALSE&amp;creator=factset&amp;display_string=Audit"}</definedName>
    <definedName name="_2874__FDSAUDITLINK__" hidden="1">{"fdsup://Directions/FactSet Auditing Viewer?action=AUDIT_VALUE&amp;DB=129&amp;ID1=67066G10&amp;VALUEID=02001&amp;SDATE=200403&amp;PERIODTYPE=QTR_STD&amp;SCFT=3&amp;window=popup_no_bar&amp;width=385&amp;height=120&amp;START_MAXIMIZED=FALSE&amp;creator=factset&amp;display_string=Audit"}</definedName>
    <definedName name="_2875__FDSAUDITLINK__" hidden="1">{"fdsup://Directions/FactSet Auditing Viewer?action=AUDIT_VALUE&amp;DB=129&amp;ID1=63764010&amp;VALUEID=02001&amp;SDATE=200401&amp;PERIODTYPE=QTR_STD&amp;SCFT=3&amp;window=popup_no_bar&amp;width=385&amp;height=120&amp;START_MAXIMIZED=FALSE&amp;creator=factset&amp;display_string=Audit"}</definedName>
    <definedName name="_2876__FDSAUDITLINK__" hidden="1">{"fdsup://Directions/FactSet Auditing Viewer?action=AUDIT_VALUE&amp;DB=129&amp;ID1=63764010&amp;VALUEID=02001&amp;SDATE=200401&amp;PERIODTYPE=QTR_STD&amp;SCFT=3&amp;window=popup_no_bar&amp;width=385&amp;height=120&amp;START_MAXIMIZED=FALSE&amp;creator=factset&amp;display_string=Audit"}</definedName>
    <definedName name="_2877__FDSAUDITLINK__" hidden="1">{"fdsup://Directions/FactSet Auditing Viewer?action=AUDIT_VALUE&amp;DB=129&amp;ID1=64118B10&amp;VALUEID=02001&amp;SDATE=200403&amp;PERIODTYPE=QTR_STD&amp;SCFT=3&amp;window=popup_no_bar&amp;width=385&amp;height=120&amp;START_MAXIMIZED=FALSE&amp;creator=factset&amp;display_string=Audit"}</definedName>
    <definedName name="_2878__FDSAUDITLINK__" hidden="1">{"fdsup://Directions/FactSet Auditing Viewer?action=AUDIT_VALUE&amp;DB=129&amp;ID1=64118B10&amp;VALUEID=02001&amp;SDATE=200403&amp;PERIODTYPE=QTR_STD&amp;SCFT=3&amp;window=popup_no_bar&amp;width=385&amp;height=120&amp;START_MAXIMIZED=FALSE&amp;creator=factset&amp;display_string=Audit"}</definedName>
    <definedName name="_2879__FDSAUDITLINK__" hidden="1">{"fdsup://Directions/FactSet Auditing Viewer?action=AUDIT_VALUE&amp;DB=129&amp;ID1=57772K10&amp;VALUEID=02001&amp;SDATE=200501&amp;PERIODTYPE=QTR_STD&amp;SCFT=3&amp;window=popup_no_bar&amp;width=385&amp;height=120&amp;START_MAXIMIZED=FALSE&amp;creator=factset&amp;display_string=Audit"}</definedName>
    <definedName name="_288__FDSAUDITLINK__" hidden="1">{"fdsup://Directions/FactSet Auditing Viewer?action=AUDIT_VALUE&amp;DB=129&amp;ID1=03822W40&amp;VALUEID=02001&amp;SDATE=201003&amp;PERIODTYPE=QTR_STD&amp;SCFT=3&amp;window=popup_no_bar&amp;width=385&amp;height=120&amp;START_MAXIMIZED=FALSE&amp;creator=factset&amp;display_string=Audit"}</definedName>
    <definedName name="_2880__FDSAUDITLINK__" hidden="1">{"fdsup://Directions/FactSet Auditing Viewer?action=AUDIT_VALUE&amp;DB=129&amp;ID1=57772K10&amp;VALUEID=02001&amp;SDATE=200501&amp;PERIODTYPE=QTR_STD&amp;SCFT=3&amp;window=popup_no_bar&amp;width=385&amp;height=120&amp;START_MAXIMIZED=FALSE&amp;creator=factset&amp;display_string=Audit"}</definedName>
    <definedName name="_2881__FDSAUDITLINK__" hidden="1">{"fdsup://Directions/FactSet Auditing Viewer?action=AUDIT_VALUE&amp;DB=129&amp;ID1=G5876H10&amp;VALUEID=02001&amp;SDATE=200403&amp;PERIODTYPE=QTR_STD&amp;SCFT=3&amp;window=popup_no_bar&amp;width=385&amp;height=120&amp;START_MAXIMIZED=FALSE&amp;creator=factset&amp;display_string=Audit"}</definedName>
    <definedName name="_2882__FDSAUDITLINK__" hidden="1">{"fdsup://Directions/FactSet Auditing Viewer?action=AUDIT_VALUE&amp;DB=129&amp;ID1=G5876H10&amp;VALUEID=02001&amp;SDATE=200403&amp;PERIODTYPE=QTR_STD&amp;SCFT=3&amp;window=popup_no_bar&amp;width=385&amp;height=120&amp;START_MAXIMIZED=FALSE&amp;creator=factset&amp;display_string=Audit"}</definedName>
    <definedName name="_2883__FDSAUDITLINK__" hidden="1">{"fdsup://Directions/FactSet Auditing Viewer?action=AUDIT_VALUE&amp;DB=129&amp;ID1=62007630&amp;VALUEID=02001&amp;SDATE=200403&amp;PERIODTYPE=QTR_STD&amp;SCFT=3&amp;window=popup_no_bar&amp;width=385&amp;height=120&amp;START_MAXIMIZED=FALSE&amp;creator=factset&amp;display_string=Audit"}</definedName>
    <definedName name="_2884__FDSAUDITLINK__" hidden="1">{"fdsup://Directions/FactSet Auditing Viewer?action=AUDIT_VALUE&amp;DB=129&amp;ID1=62007630&amp;VALUEID=02001&amp;SDATE=200403&amp;PERIODTYPE=QTR_STD&amp;SCFT=3&amp;window=popup_no_bar&amp;width=385&amp;height=120&amp;START_MAXIMIZED=FALSE&amp;creator=factset&amp;display_string=Audit"}</definedName>
    <definedName name="_2885__FDSAUDITLINK__" hidden="1">{"fdsup://Directions/FactSet Auditing Viewer?action=AUDIT_VALUE&amp;DB=129&amp;ID1=60456710&amp;VALUEID=02001&amp;SDATE=200501&amp;PERIODTYPE=QTR_STD&amp;SCFT=3&amp;window=popup_no_bar&amp;width=385&amp;height=120&amp;START_MAXIMIZED=FALSE&amp;creator=factset&amp;display_string=Audit"}</definedName>
    <definedName name="_2886__FDSAUDITLINK__" hidden="1">{"fdsup://Directions/FactSet Auditing Viewer?action=AUDIT_VALUE&amp;DB=129&amp;ID1=60456710&amp;VALUEID=02001&amp;SDATE=200501&amp;PERIODTYPE=QTR_STD&amp;SCFT=3&amp;window=popup_no_bar&amp;width=385&amp;height=120&amp;START_MAXIMIZED=FALSE&amp;creator=factset&amp;display_string=Audit"}</definedName>
    <definedName name="_2887__FDSAUDITLINK__" hidden="1">{"fdsup://Directions/FactSet Auditing Viewer?action=AUDIT_VALUE&amp;DB=129&amp;ID1=59479310&amp;VALUEID=02001&amp;SDATE=200403&amp;PERIODTYPE=QTR_STD&amp;SCFT=3&amp;window=popup_no_bar&amp;width=385&amp;height=120&amp;START_MAXIMIZED=FALSE&amp;creator=factset&amp;display_string=Audit"}</definedName>
    <definedName name="_2888__FDSAUDITLINK__" hidden="1">{"fdsup://Directions/FactSet Auditing Viewer?action=AUDIT_VALUE&amp;DB=129&amp;ID1=59479310&amp;VALUEID=02001&amp;SDATE=200403&amp;PERIODTYPE=QTR_STD&amp;SCFT=3&amp;window=popup_no_bar&amp;width=385&amp;height=120&amp;START_MAXIMIZED=FALSE&amp;creator=factset&amp;display_string=Audit"}</definedName>
    <definedName name="_2889__FDSAUDITLINK__" hidden="1">{"fdsup://Directions/FactSet Auditing Viewer?action=AUDIT_VALUE&amp;DB=129&amp;ID1=59501710&amp;VALUEID=02001&amp;SDATE=200402&amp;PERIODTYPE=QTR_STD&amp;SCFT=3&amp;window=popup_no_bar&amp;width=385&amp;height=120&amp;START_MAXIMIZED=FALSE&amp;creator=factset&amp;display_string=Audit"}</definedName>
    <definedName name="_289__FDSAUDITLINK__" hidden="1">{"fdsup://Directions/FactSet Auditing Viewer?action=AUDIT_VALUE&amp;DB=129&amp;ID1=03822210&amp;VALUEID=02001&amp;SDATE=201101&amp;PERIODTYPE=QTR_STD&amp;SCFT=3&amp;window=popup_no_bar&amp;width=385&amp;height=120&amp;START_MAXIMIZED=FALSE&amp;creator=factset&amp;display_string=Audit"}</definedName>
    <definedName name="_2890__FDSAUDITLINK__" hidden="1">{"fdsup://Directions/FactSet Auditing Viewer?action=AUDIT_VALUE&amp;DB=129&amp;ID1=59501710&amp;VALUEID=02001&amp;SDATE=200402&amp;PERIODTYPE=QTR_STD&amp;SCFT=3&amp;window=popup_no_bar&amp;width=385&amp;height=120&amp;START_MAXIMIZED=FALSE&amp;creator=factset&amp;display_string=Audit"}</definedName>
    <definedName name="_2891__FDSAUDITLINK__" hidden="1">{"fdsup://Directions/FactSet Auditing Viewer?action=AUDIT_VALUE&amp;DB=129&amp;ID1=50216110&amp;VALUEID=02001&amp;SDATE=200403&amp;PERIODTYPE=QTR_STD&amp;SCFT=3&amp;window=popup_no_bar&amp;width=385&amp;height=120&amp;START_MAXIMIZED=FALSE&amp;creator=factset&amp;display_string=Audit"}</definedName>
    <definedName name="_2892__FDSAUDITLINK__" hidden="1">{"fdsup://Directions/FactSet Auditing Viewer?action=AUDIT_VALUE&amp;DB=129&amp;ID1=50216110&amp;VALUEID=02001&amp;SDATE=200403&amp;PERIODTYPE=QTR_STD&amp;SCFT=3&amp;window=popup_no_bar&amp;width=385&amp;height=120&amp;START_MAXIMIZED=FALSE&amp;creator=factset&amp;display_string=Audit"}</definedName>
    <definedName name="_2893__FDSAUDITLINK__" hidden="1">{"fdsup://Directions/FactSet Auditing Viewer?action=AUDIT_VALUE&amp;DB=129&amp;ID1=51841510&amp;VALUEID=02001&amp;SDATE=200403&amp;PERIODTYPE=QTR_STD&amp;SCFT=3&amp;window=popup_no_bar&amp;width=385&amp;height=120&amp;START_MAXIMIZED=FALSE&amp;creator=factset&amp;display_string=Audit"}</definedName>
    <definedName name="_2894__FDSAUDITLINK__" hidden="1">{"fdsup://Directions/FactSet Auditing Viewer?action=AUDIT_VALUE&amp;DB=129&amp;ID1=51841510&amp;VALUEID=02001&amp;SDATE=200403&amp;PERIODTYPE=QTR_STD&amp;SCFT=3&amp;window=popup_no_bar&amp;width=385&amp;height=120&amp;START_MAXIMIZED=FALSE&amp;creator=factset&amp;display_string=Audit"}</definedName>
    <definedName name="_2895__FDSAUDITLINK__" hidden="1">{"fdsup://Directions/FactSet Auditing Viewer?action=AUDIT_VALUE&amp;DB=129&amp;ID1=51280710&amp;VALUEID=02001&amp;SDATE=200501&amp;PERIODTYPE=QTR_STD&amp;SCFT=3&amp;window=popup_no_bar&amp;width=385&amp;height=120&amp;START_MAXIMIZED=FALSE&amp;creator=factset&amp;display_string=Audit"}</definedName>
    <definedName name="_2896__FDSAUDITLINK__" hidden="1">{"fdsup://Directions/FactSet Auditing Viewer?action=AUDIT_VALUE&amp;DB=129&amp;ID1=51280710&amp;VALUEID=02001&amp;SDATE=200501&amp;PERIODTYPE=QTR_STD&amp;SCFT=3&amp;window=popup_no_bar&amp;width=385&amp;height=120&amp;START_MAXIMIZED=FALSE&amp;creator=factset&amp;display_string=Audit"}</definedName>
    <definedName name="_2897__FDSAUDITLINK__" hidden="1">{"fdsup://Directions/FactSet Auditing Viewer?action=AUDIT_VALUE&amp;DB=129&amp;ID1=53567810&amp;VALUEID=02001&amp;SDATE=200501&amp;PERIODTYPE=QTR_STD&amp;SCFT=3&amp;window=popup_no_bar&amp;width=385&amp;height=120&amp;START_MAXIMIZED=FALSE&amp;creator=factset&amp;display_string=Audit"}</definedName>
    <definedName name="_2898__FDSAUDITLINK__" hidden="1">{"fdsup://Directions/FactSet Auditing Viewer?action=AUDIT_VALUE&amp;DB=129&amp;ID1=53567810&amp;VALUEID=02001&amp;SDATE=200501&amp;PERIODTYPE=QTR_STD&amp;SCFT=3&amp;window=popup_no_bar&amp;width=385&amp;height=120&amp;START_MAXIMIZED=FALSE&amp;creator=factset&amp;display_string=Audit"}</definedName>
    <definedName name="_2899__FDSAUDITLINK__" hidden="1">{"fdsup://Directions/FactSet Auditing Viewer?action=AUDIT_VALUE&amp;DB=129&amp;ID1=48248010&amp;VALUEID=02001&amp;SDATE=200501&amp;PERIODTYPE=QTR_STD&amp;SCFT=3&amp;window=popup_no_bar&amp;width=385&amp;height=120&amp;START_MAXIMIZED=FALSE&amp;creator=factset&amp;display_string=Audit"}</definedName>
    <definedName name="_29__FDSAUDITLINK__" hidden="1">{"fdsup://Directions/FactSet Auditing Viewer?action=AUDIT_VALUE&amp;DB=129&amp;ID1=81685010&amp;VALUEID=02001&amp;SDATE=201101&amp;PERIODTYPE=QTR_STD&amp;SCFT=3&amp;window=popup_no_bar&amp;width=385&amp;height=120&amp;START_MAXIMIZED=FALSE&amp;creator=factset&amp;display_string=Audit"}</definedName>
    <definedName name="_290__FDSAUDITLINK__" hidden="1">{"fdsup://Directions/FactSet Auditing Viewer?action=AUDIT_VALUE&amp;DB=129&amp;ID1=03822210&amp;VALUEID=02001&amp;SDATE=201101&amp;PERIODTYPE=QTR_STD&amp;SCFT=3&amp;window=popup_no_bar&amp;width=385&amp;height=120&amp;START_MAXIMIZED=FALSE&amp;creator=factset&amp;display_string=Audit"}</definedName>
    <definedName name="_2900__FDSAUDITLINK__" hidden="1">{"fdsup://Directions/FactSet Auditing Viewer?action=AUDIT_VALUE&amp;DB=129&amp;ID1=48248010&amp;VALUEID=02001&amp;SDATE=200501&amp;PERIODTYPE=QTR_STD&amp;SCFT=3&amp;window=popup_no_bar&amp;width=385&amp;height=120&amp;START_MAXIMIZED=FALSE&amp;creator=factset&amp;display_string=Audit"}</definedName>
    <definedName name="_2901__FDSAUDITLINK__" hidden="1">{"fdsup://Directions/FactSet Auditing Viewer?action=AUDIT_VALUE&amp;DB=129&amp;ID1=48203R10&amp;VALUEID=02001&amp;SDATE=200403&amp;PERIODTYPE=QTR_STD&amp;SCFT=3&amp;window=popup_no_bar&amp;width=385&amp;height=120&amp;START_MAXIMIZED=FALSE&amp;creator=factset&amp;display_string=Audit"}</definedName>
    <definedName name="_2902__FDSAUDITLINK__" hidden="1">{"fdsup://Directions/FactSet Auditing Viewer?action=AUDIT_VALUE&amp;DB=129&amp;ID1=48203R10&amp;VALUEID=02001&amp;SDATE=200403&amp;PERIODTYPE=QTR_STD&amp;SCFT=3&amp;window=popup_no_bar&amp;width=385&amp;height=120&amp;START_MAXIMIZED=FALSE&amp;creator=factset&amp;display_string=Audit"}</definedName>
    <definedName name="_2903__FDSAUDITLINK__" hidden="1">{"fdsup://Directions/FactSet Auditing Viewer?action=AUDIT_VALUE&amp;DB=129&amp;ID1=86681020&amp;VALUEID=02001&amp;SDATE=200501&amp;PERIODTYPE=QTR_STD&amp;SCFT=3&amp;window=popup_no_bar&amp;width=385&amp;height=120&amp;START_MAXIMIZED=FALSE&amp;creator=factset&amp;display_string=Audit"}</definedName>
    <definedName name="_2904__FDSAUDITLINK__" hidden="1">{"fdsup://Directions/FactSet Auditing Viewer?action=AUDIT_VALUE&amp;DB=129&amp;ID1=86681020&amp;VALUEID=02001&amp;SDATE=200501&amp;PERIODTYPE=QTR_STD&amp;SCFT=3&amp;window=popup_no_bar&amp;width=385&amp;height=120&amp;START_MAXIMIZED=FALSE&amp;creator=factset&amp;display_string=Audit"}</definedName>
    <definedName name="_2905__FDSAUDITLINK__" hidden="1">{"fdsup://Directions/FactSet Auditing Viewer?action=AUDIT_VALUE&amp;DB=129&amp;ID1=46069S10&amp;VALUEID=02001&amp;SDATE=200403&amp;PERIODTYPE=QTR_STD&amp;SCFT=3&amp;window=popup_no_bar&amp;width=385&amp;height=120&amp;START_MAXIMIZED=FALSE&amp;creator=factset&amp;display_string=Audit"}</definedName>
    <definedName name="_2906__FDSAUDITLINK__" hidden="1">{"fdsup://Directions/FactSet Auditing Viewer?action=AUDIT_VALUE&amp;DB=129&amp;ID1=46069S10&amp;VALUEID=02001&amp;SDATE=200403&amp;PERIODTYPE=QTR_STD&amp;SCFT=3&amp;window=popup_no_bar&amp;width=385&amp;height=120&amp;START_MAXIMIZED=FALSE&amp;creator=factset&amp;display_string=Audit"}</definedName>
    <definedName name="_2907__FDSAUDITLINK__" hidden="1">{"fdsup://Directions/FactSet Auditing Viewer?action=AUDIT_VALUE&amp;DB=129&amp;ID1=46025410&amp;VALUEID=02001&amp;SDATE=200501&amp;PERIODTYPE=QTR_STD&amp;SCFT=3&amp;window=popup_no_bar&amp;width=385&amp;height=120&amp;START_MAXIMIZED=FALSE&amp;creator=factset&amp;display_string=Audit"}</definedName>
    <definedName name="_2908__FDSAUDITLINK__" hidden="1">{"fdsup://Directions/FactSet Auditing Viewer?action=AUDIT_VALUE&amp;DB=129&amp;ID1=46025410&amp;VALUEID=02001&amp;SDATE=200501&amp;PERIODTYPE=QTR_STD&amp;SCFT=3&amp;window=popup_no_bar&amp;width=385&amp;height=120&amp;START_MAXIMIZED=FALSE&amp;creator=factset&amp;display_string=Audit"}</definedName>
    <definedName name="_2909__FDSAUDITLINK__" hidden="1">{"fdsup://Directions/FactSet Auditing Viewer?action=AUDIT_VALUE&amp;DB=129&amp;ID1=45814010&amp;VALUEID=02001&amp;SDATE=200403&amp;PERIODTYPE=QTR_STD&amp;SCFT=3&amp;window=popup_no_bar&amp;width=385&amp;height=120&amp;START_MAXIMIZED=FALSE&amp;creator=factset&amp;display_string=Audit"}</definedName>
    <definedName name="_291__FDSAUDITLINK__" hidden="1">{"fdsup://Directions/FactSet Auditing Viewer?action=AUDIT_VALUE&amp;DB=129&amp;ID1=02144110&amp;VALUEID=02001&amp;SDATE=201004&amp;PERIODTYPE=QTR_STD&amp;SCFT=3&amp;window=popup_no_bar&amp;width=385&amp;height=120&amp;START_MAXIMIZED=FALSE&amp;creator=factset&amp;display_string=Audit"}</definedName>
    <definedName name="_2910__FDSAUDITLINK__" hidden="1">{"fdsup://Directions/FactSet Auditing Viewer?action=AUDIT_VALUE&amp;DB=129&amp;ID1=45814010&amp;VALUEID=02001&amp;SDATE=200403&amp;PERIODTYPE=QTR_STD&amp;SCFT=3&amp;window=popup_no_bar&amp;width=385&amp;height=120&amp;START_MAXIMIZED=FALSE&amp;creator=factset&amp;display_string=Audit"}</definedName>
    <definedName name="_2911__FDSAUDITLINK__" hidden="1">{"fdsup://Directions/FactSet Auditing Viewer?action=AUDIT_VALUE&amp;DB=129&amp;ID1=45811810&amp;VALUEID=02001&amp;SDATE=200402&amp;PERIODTYPE=QTR_STD&amp;SCFT=3&amp;window=popup_no_bar&amp;width=385&amp;height=120&amp;START_MAXIMIZED=FALSE&amp;creator=factset&amp;display_string=Audit"}</definedName>
    <definedName name="_2912__FDSAUDITLINK__" hidden="1">{"fdsup://Directions/FactSet Auditing Viewer?action=AUDIT_VALUE&amp;DB=129&amp;ID1=45811810&amp;VALUEID=02001&amp;SDATE=200402&amp;PERIODTYPE=QTR_STD&amp;SCFT=3&amp;window=popup_no_bar&amp;width=385&amp;height=120&amp;START_MAXIMIZED=FALSE&amp;creator=factset&amp;display_string=Audit"}</definedName>
    <definedName name="_2913__FDSAUDITLINK__" hidden="1">{"fdsup://Directions/FactSet Auditing Viewer?action=AUDIT_VALUE&amp;DB=129&amp;ID1=34637510&amp;VALUEID=02001&amp;SDATE=200403&amp;PERIODTYPE=QTR_STD&amp;SCFT=3&amp;window=popup_no_bar&amp;width=385&amp;height=120&amp;START_MAXIMIZED=FALSE&amp;creator=factset&amp;display_string=Audit"}</definedName>
    <definedName name="_2914__FDSAUDITLINK__" hidden="1">{"fdsup://Directions/FactSet Auditing Viewer?action=AUDIT_VALUE&amp;DB=129&amp;ID1=34637510&amp;VALUEID=02001&amp;SDATE=200403&amp;PERIODTYPE=QTR_STD&amp;SCFT=3&amp;window=popup_no_bar&amp;width=385&amp;height=120&amp;START_MAXIMIZED=FALSE&amp;creator=factset&amp;display_string=Audit"}</definedName>
    <definedName name="_2915__FDSAUDITLINK__" hidden="1">{"fdsup://Directions/FactSet Auditing Viewer?action=AUDIT_VALUE&amp;DB=129&amp;ID1=29247520&amp;VALUEID=02001&amp;SDATE=200501&amp;PERIODTYPE=QTR_STD&amp;SCFT=3&amp;window=popup_no_bar&amp;width=385&amp;height=120&amp;START_MAXIMIZED=FALSE&amp;creator=factset&amp;display_string=Audit"}</definedName>
    <definedName name="_2916__FDSAUDITLINK__" hidden="1">{"fdsup://Directions/FactSet Auditing Viewer?action=AUDIT_VALUE&amp;DB=129&amp;ID1=29247520&amp;VALUEID=02001&amp;SDATE=200501&amp;PERIODTYPE=QTR_STD&amp;SCFT=3&amp;window=popup_no_bar&amp;width=385&amp;height=120&amp;START_MAXIMIZED=FALSE&amp;creator=factset&amp;display_string=Audit"}</definedName>
    <definedName name="_2917__FDSAUDITLINK__" hidden="1">{"fdsup://Directions/FactSet Auditing Viewer?action=AUDIT_VALUE&amp;DB=129&amp;ID1=25454310&amp;VALUEID=02001&amp;SDATE=200403&amp;PERIODTYPE=QTR_STD&amp;SCFT=3&amp;window=popup_no_bar&amp;width=385&amp;height=120&amp;START_MAXIMIZED=FALSE&amp;creator=factset&amp;display_string=Audit"}</definedName>
    <definedName name="_2918__FDSAUDITLINK__" hidden="1">{"fdsup://Directions/FactSet Auditing Viewer?action=AUDIT_VALUE&amp;DB=129&amp;ID1=25454310&amp;VALUEID=02001&amp;SDATE=200403&amp;PERIODTYPE=QTR_STD&amp;SCFT=3&amp;window=popup_no_bar&amp;width=385&amp;height=120&amp;START_MAXIMIZED=FALSE&amp;creator=factset&amp;display_string=Audit"}</definedName>
    <definedName name="_2919__FDSAUDITLINK__" hidden="1">{"fdsup://Directions/FactSet Auditing Viewer?action=AUDIT_VALUE&amp;DB=129&amp;ID1=23257210&amp;VALUEID=02001&amp;SDATE=200403&amp;PERIODTYPE=QTR_STD&amp;SCFT=3&amp;window=popup_no_bar&amp;width=385&amp;height=120&amp;START_MAXIMIZED=FALSE&amp;creator=factset&amp;display_string=Audit"}</definedName>
    <definedName name="_292__FDSAUDITLINK__" hidden="1">{"fdsup://Directions/FactSet Auditing Viewer?action=AUDIT_VALUE&amp;DB=129&amp;ID1=02144110&amp;VALUEID=02001&amp;SDATE=201004&amp;PERIODTYPE=QTR_STD&amp;SCFT=3&amp;window=popup_no_bar&amp;width=385&amp;height=120&amp;START_MAXIMIZED=FALSE&amp;creator=factset&amp;display_string=Audit"}</definedName>
    <definedName name="_2920__FDSAUDITLINK__" hidden="1">{"fdsup://Directions/FactSet Auditing Viewer?action=AUDIT_VALUE&amp;DB=129&amp;ID1=23257210&amp;VALUEID=02001&amp;SDATE=200403&amp;PERIODTYPE=QTR_STD&amp;SCFT=3&amp;window=popup_no_bar&amp;width=385&amp;height=120&amp;START_MAXIMIZED=FALSE&amp;creator=factset&amp;display_string=Audit"}</definedName>
    <definedName name="_2921__FDSAUDITLINK__" hidden="1">{"fdsup://Directions/FactSet Auditing Viewer?action=AUDIT_VALUE&amp;DB=129&amp;ID1=23280610&amp;VALUEID=02001&amp;SDATE=200403&amp;PERIODTYPE=QTR_STD&amp;SCFT=3&amp;window=popup_no_bar&amp;width=385&amp;height=120&amp;START_MAXIMIZED=FALSE&amp;creator=factset&amp;display_string=Audit"}</definedName>
    <definedName name="_2922__FDSAUDITLINK__" hidden="1">{"fdsup://Directions/FactSet Auditing Viewer?action=AUDIT_VALUE&amp;DB=129&amp;ID1=23280610&amp;VALUEID=02001&amp;SDATE=200403&amp;PERIODTYPE=QTR_STD&amp;SCFT=3&amp;window=popup_no_bar&amp;width=385&amp;height=120&amp;START_MAXIMIZED=FALSE&amp;creator=factset&amp;display_string=Audit"}</definedName>
    <definedName name="_2923__FDSAUDITLINK__" hidden="1">{"fdsup://Directions/FactSet Auditing Viewer?action=AUDIT_VALUE&amp;DB=129&amp;ID1=17275R10&amp;VALUEID=02001&amp;SDATE=200501&amp;PERIODTYPE=QTR_STD&amp;SCFT=3&amp;window=popup_no_bar&amp;width=385&amp;height=120&amp;START_MAXIMIZED=FALSE&amp;creator=factset&amp;display_string=Audit"}</definedName>
    <definedName name="_2924__FDSAUDITLINK__" hidden="1">{"fdsup://Directions/FactSet Auditing Viewer?action=AUDIT_VALUE&amp;DB=129&amp;ID1=17275R10&amp;VALUEID=02001&amp;SDATE=200501&amp;PERIODTYPE=QTR_STD&amp;SCFT=3&amp;window=popup_no_bar&amp;width=385&amp;height=120&amp;START_MAXIMIZED=FALSE&amp;creator=factset&amp;display_string=Audit"}</definedName>
    <definedName name="_2925__FDSAUDITLINK__" hidden="1">{"fdsup://Directions/FactSet Auditing Viewer?action=AUDIT_VALUE&amp;DB=129&amp;ID1=22544710&amp;VALUEID=02001&amp;SDATE=200501&amp;PERIODTYPE=QTR_STD&amp;SCFT=3&amp;window=popup_no_bar&amp;width=385&amp;height=120&amp;START_MAXIMIZED=FALSE&amp;creator=factset&amp;display_string=Audit"}</definedName>
    <definedName name="_2926__FDSAUDITLINK__" hidden="1">{"fdsup://Directions/FactSet Auditing Viewer?action=AUDIT_VALUE&amp;DB=129&amp;ID1=22544710&amp;VALUEID=02001&amp;SDATE=200501&amp;PERIODTYPE=QTR_STD&amp;SCFT=3&amp;window=popup_no_bar&amp;width=385&amp;height=120&amp;START_MAXIMIZED=FALSE&amp;creator=factset&amp;display_string=Audit"}</definedName>
    <definedName name="_2927__FDSAUDITLINK__" hidden="1">{"fdsup://Directions/FactSet Auditing Viewer?action=AUDIT_VALUE&amp;DB=129&amp;ID1=12738710&amp;VALUEID=02001&amp;SDATE=200403&amp;PERIODTYPE=QTR_STD&amp;SCFT=3&amp;window=popup_no_bar&amp;width=385&amp;height=120&amp;START_MAXIMIZED=FALSE&amp;creator=factset&amp;display_string=Audit"}</definedName>
    <definedName name="_2928__FDSAUDITLINK__" hidden="1">{"fdsup://Directions/FactSet Auditing Viewer?action=AUDIT_VALUE&amp;DB=129&amp;ID1=12738710&amp;VALUEID=02001&amp;SDATE=200403&amp;PERIODTYPE=QTR_STD&amp;SCFT=3&amp;window=popup_no_bar&amp;width=385&amp;height=120&amp;START_MAXIMIZED=FALSE&amp;creator=factset&amp;display_string=Audit"}</definedName>
    <definedName name="_2929__FDSAUDITLINK__" hidden="1">{"fdsup://Directions/FactSet Auditing Viewer?action=AUDIT_VALUE&amp;DB=129&amp;ID1=04743P10&amp;VALUEID=02001&amp;SDATE=200403&amp;PERIODTYPE=QTR_STD&amp;SCFT=3&amp;window=popup_no_bar&amp;width=385&amp;height=120&amp;START_MAXIMIZED=FALSE&amp;creator=factset&amp;display_string=Audit"}</definedName>
    <definedName name="_293__FDSAUDITLINK__" hidden="1">{"fdsup://Directions/FactSet Auditing Viewer?action=AUDIT_VALUE&amp;DB=129&amp;ID1=03265410&amp;VALUEID=02001&amp;SDATE=201101&amp;PERIODTYPE=QTR_STD&amp;SCFT=3&amp;window=popup_no_bar&amp;width=385&amp;height=120&amp;START_MAXIMIZED=FALSE&amp;creator=factset&amp;display_string=Audit"}</definedName>
    <definedName name="_2930__FDSAUDITLINK__" hidden="1">{"fdsup://Directions/FactSet Auditing Viewer?action=AUDIT_VALUE&amp;DB=129&amp;ID1=04743P10&amp;VALUEID=02001&amp;SDATE=200403&amp;PERIODTYPE=QTR_STD&amp;SCFT=3&amp;window=popup_no_bar&amp;width=385&amp;height=120&amp;START_MAXIMIZED=FALSE&amp;creator=factset&amp;display_string=Audit"}</definedName>
    <definedName name="_2931__FDSAUDITLINK__" hidden="1">{"fdsup://Directions/FactSet Auditing Viewer?action=AUDIT_VALUE&amp;DB=129&amp;ID1=00790310&amp;VALUEID=02001&amp;SDATE=200403&amp;PERIODTYPE=QTR_STD&amp;SCFT=3&amp;window=popup_no_bar&amp;width=385&amp;height=120&amp;START_MAXIMIZED=FALSE&amp;creator=factset&amp;display_string=Audit"}</definedName>
    <definedName name="_2932__FDSAUDITLINK__" hidden="1">{"fdsup://Directions/FactSet Auditing Viewer?action=AUDIT_VALUE&amp;DB=129&amp;ID1=00790310&amp;VALUEID=02001&amp;SDATE=200403&amp;PERIODTYPE=QTR_STD&amp;SCFT=3&amp;window=popup_no_bar&amp;width=385&amp;height=120&amp;START_MAXIMIZED=FALSE&amp;creator=factset&amp;display_string=Audit"}</definedName>
    <definedName name="_2933__FDSAUDITLINK__" hidden="1">{"fdsup://Directions/FactSet Auditing Viewer?action=AUDIT_VALUE&amp;DB=129&amp;ID1=03822W40&amp;VALUEID=02001&amp;SDATE=200402&amp;PERIODTYPE=QTR_STD&amp;SCFT=3&amp;window=popup_no_bar&amp;width=385&amp;height=120&amp;START_MAXIMIZED=FALSE&amp;creator=factset&amp;display_string=Audit"}</definedName>
    <definedName name="_2934__FDSAUDITLINK__" hidden="1">{"fdsup://Directions/FactSet Auditing Viewer?action=AUDIT_VALUE&amp;DB=129&amp;ID1=03822W40&amp;VALUEID=02001&amp;SDATE=200402&amp;PERIODTYPE=QTR_STD&amp;SCFT=3&amp;window=popup_no_bar&amp;width=385&amp;height=120&amp;START_MAXIMIZED=FALSE&amp;creator=factset&amp;display_string=Audit"}</definedName>
    <definedName name="_2935__FDSAUDITLINK__" hidden="1">{"fdsup://Directions/FactSet Auditing Viewer?action=AUDIT_VALUE&amp;DB=129&amp;ID1=02144110&amp;VALUEID=02001&amp;SDATE=200403&amp;PERIODTYPE=QTR_STD&amp;SCFT=3&amp;window=popup_no_bar&amp;width=385&amp;height=120&amp;START_MAXIMIZED=FALSE&amp;creator=factset&amp;display_string=Audit"}</definedName>
    <definedName name="_2936__FDSAUDITLINK__" hidden="1">{"fdsup://Directions/FactSet Auditing Viewer?action=AUDIT_VALUE&amp;DB=129&amp;ID1=02144110&amp;VALUEID=02001&amp;SDATE=200403&amp;PERIODTYPE=QTR_STD&amp;SCFT=3&amp;window=popup_no_bar&amp;width=385&amp;height=120&amp;START_MAXIMIZED=FALSE&amp;creator=factset&amp;display_string=Audit"}</definedName>
    <definedName name="_2937__FDSAUDITLINK__" hidden="1">{"fdsup://Directions/FactSet Auditing Viewer?action=AUDIT_VALUE&amp;DB=129&amp;ID1=98975F10&amp;VALUEID=02001&amp;SDATE=200402&amp;PERIODTYPE=QTR_STD&amp;SCFT=3&amp;window=popup_no_bar&amp;width=385&amp;height=120&amp;START_MAXIMIZED=FALSE&amp;creator=factset&amp;display_string=Audit"}</definedName>
    <definedName name="_2938__FDSAUDITLINK__" hidden="1">{"fdsup://Directions/FactSet Auditing Viewer?action=AUDIT_VALUE&amp;DB=129&amp;ID1=98975F10&amp;VALUEID=02001&amp;SDATE=200402&amp;PERIODTYPE=QTR_STD&amp;SCFT=3&amp;window=popup_no_bar&amp;width=385&amp;height=120&amp;START_MAXIMIZED=FALSE&amp;creator=factset&amp;display_string=Audit"}</definedName>
    <definedName name="_2939__FDSAUDITLINK__" hidden="1">{"fdsup://Directions/FactSet Auditing Viewer?action=AUDIT_VALUE&amp;DB=129&amp;ID1=98391910&amp;VALUEID=02001&amp;SDATE=200401&amp;PERIODTYPE=QTR_STD&amp;SCFT=3&amp;window=popup_no_bar&amp;width=385&amp;height=120&amp;START_MAXIMIZED=FALSE&amp;creator=factset&amp;display_string=Audit"}</definedName>
    <definedName name="_294__FDSAUDITLINK__" hidden="1">{"fdsup://Directions/FactSet Auditing Viewer?action=AUDIT_VALUE&amp;DB=129&amp;ID1=03265410&amp;VALUEID=02001&amp;SDATE=201101&amp;PERIODTYPE=QTR_STD&amp;SCFT=3&amp;window=popup_no_bar&amp;width=385&amp;height=120&amp;START_MAXIMIZED=FALSE&amp;creator=factset&amp;display_string=Audit"}</definedName>
    <definedName name="_2940__FDSAUDITLINK__" hidden="1">{"fdsup://Directions/FactSet Auditing Viewer?action=AUDIT_VALUE&amp;DB=129&amp;ID1=98391910&amp;VALUEID=02001&amp;SDATE=200401&amp;PERIODTYPE=QTR_STD&amp;SCFT=3&amp;window=popup_no_bar&amp;width=385&amp;height=120&amp;START_MAXIMIZED=FALSE&amp;creator=factset&amp;display_string=Audit"}</definedName>
    <definedName name="_2941__FDSAUDITLINK__" hidden="1">{"fdsup://Directions/FactSet Auditing Viewer?action=AUDIT_VALUE&amp;DB=129&amp;ID1=92849730&amp;VALUEID=02001&amp;SDATE=200403&amp;PERIODTYPE=QTR_STD&amp;SCFT=3&amp;window=popup_no_bar&amp;width=385&amp;height=120&amp;START_MAXIMIZED=FALSE&amp;creator=factset&amp;display_string=Audit"}</definedName>
    <definedName name="_2942__FDSAUDITLINK__" hidden="1">{"fdsup://Directions/FactSet Auditing Viewer?action=AUDIT_VALUE&amp;DB=129&amp;ID1=92849730&amp;VALUEID=02001&amp;SDATE=200403&amp;PERIODTYPE=QTR_STD&amp;SCFT=3&amp;window=popup_no_bar&amp;width=385&amp;height=120&amp;START_MAXIMIZED=FALSE&amp;creator=factset&amp;display_string=Audit"}</definedName>
    <definedName name="_2943__FDSAUDITLINK__" hidden="1">{"fdsup://Directions/FactSet Auditing Viewer?action=AUDIT_VALUE&amp;DB=129&amp;ID1=88250810&amp;VALUEID=02001&amp;SDATE=200402&amp;PERIODTYPE=QTR_STD&amp;SCFT=3&amp;window=popup_no_bar&amp;width=385&amp;height=120&amp;START_MAXIMIZED=FALSE&amp;creator=factset&amp;display_string=Audit"}</definedName>
    <definedName name="_2944__FDSAUDITLINK__" hidden="1">{"fdsup://Directions/FactSet Auditing Viewer?action=AUDIT_VALUE&amp;DB=129&amp;ID1=88250810&amp;VALUEID=02001&amp;SDATE=200402&amp;PERIODTYPE=QTR_STD&amp;SCFT=3&amp;window=popup_no_bar&amp;width=385&amp;height=120&amp;START_MAXIMIZED=FALSE&amp;creator=factset&amp;display_string=Audit"}</definedName>
    <definedName name="_2945__FDSAUDITLINK__" hidden="1">{"fdsup://Directions/FactSet Auditing Viewer?action=AUDIT_VALUE&amp;DB=129&amp;ID1=89674K10&amp;VALUEID=02001&amp;SDATE=200402&amp;PERIODTYPE=QTR_STD&amp;SCFT=3&amp;window=popup_no_bar&amp;width=385&amp;height=120&amp;START_MAXIMIZED=FALSE&amp;creator=factset&amp;display_string=Audit"}</definedName>
    <definedName name="_2946__FDSAUDITLINK__" hidden="1">{"fdsup://Directions/FactSet Auditing Viewer?action=AUDIT_VALUE&amp;DB=129&amp;ID1=89674K10&amp;VALUEID=02001&amp;SDATE=200402&amp;PERIODTYPE=QTR_STD&amp;SCFT=3&amp;window=popup_no_bar&amp;width=385&amp;height=120&amp;START_MAXIMIZED=FALSE&amp;creator=factset&amp;display_string=Audit"}</definedName>
    <definedName name="_2947__FDSAUDITLINK__" hidden="1">{"fdsup://Directions/FactSet Auditing Viewer?action=AUDIT_VALUE&amp;DB=129&amp;ID1=83088M10&amp;VALUEID=02001&amp;SDATE=200403&amp;PERIODTYPE=QTR_STD&amp;SCFT=3&amp;window=popup_no_bar&amp;width=385&amp;height=120&amp;START_MAXIMIZED=FALSE&amp;creator=factset&amp;display_string=Audit"}</definedName>
    <definedName name="_2948__FDSAUDITLINK__" hidden="1">{"fdsup://Directions/FactSet Auditing Viewer?action=AUDIT_VALUE&amp;DB=129&amp;ID1=83088M10&amp;VALUEID=02001&amp;SDATE=200403&amp;PERIODTYPE=QTR_STD&amp;SCFT=3&amp;window=popup_no_bar&amp;width=385&amp;height=120&amp;START_MAXIMIZED=FALSE&amp;creator=factset&amp;display_string=Audit"}</definedName>
    <definedName name="_2949__FDSAUDITLINK__" hidden="1">{"fdsup://Directions/FactSet Auditing Viewer?action=AUDIT_VALUE&amp;DB=129&amp;ID1=78477410&amp;VALUEID=02001&amp;SDATE=200402&amp;PERIODTYPE=QTR_STD&amp;SCFT=3&amp;window=popup_no_bar&amp;width=385&amp;height=120&amp;START_MAXIMIZED=FALSE&amp;creator=factset&amp;display_string=Audit"}</definedName>
    <definedName name="_295__FDSAUDITLINK__" hidden="1">{"fdsup://Directions/FactSet Auditing Viewer?action=AUDIT_VALUE&amp;DB=129&amp;ID1=00752J10&amp;VALUEID=02001&amp;SDATE=201004&amp;PERIODTYPE=QTR_STD&amp;SCFT=3&amp;window=popup_no_bar&amp;width=385&amp;height=120&amp;START_MAXIMIZED=FALSE&amp;creator=factset&amp;display_string=Audit"}</definedName>
    <definedName name="_2950__FDSAUDITLINK__" hidden="1">{"fdsup://Directions/FactSet Auditing Viewer?action=AUDIT_VALUE&amp;DB=129&amp;ID1=78477410&amp;VALUEID=02001&amp;SDATE=200402&amp;PERIODTYPE=QTR_STD&amp;SCFT=3&amp;window=popup_no_bar&amp;width=385&amp;height=120&amp;START_MAXIMIZED=FALSE&amp;creator=factset&amp;display_string=Audit"}</definedName>
    <definedName name="_2951__FDSAUDITLINK__" hidden="1">{"fdsup://Directions/FactSet Auditing Viewer?action=AUDIT_VALUE&amp;DB=129&amp;ID1=83547010&amp;VALUEID=02001&amp;SDATE=200402&amp;PERIODTYPE=QTR_STD&amp;SCFT=3&amp;window=popup_no_bar&amp;width=385&amp;height=120&amp;START_MAXIMIZED=FALSE&amp;creator=factset&amp;display_string=Audit"}</definedName>
    <definedName name="_2952__FDSAUDITLINK__" hidden="1">{"fdsup://Directions/FactSet Auditing Viewer?action=AUDIT_VALUE&amp;DB=129&amp;ID1=83547010&amp;VALUEID=02001&amp;SDATE=200402&amp;PERIODTYPE=QTR_STD&amp;SCFT=3&amp;window=popup_no_bar&amp;width=385&amp;height=120&amp;START_MAXIMIZED=FALSE&amp;creator=factset&amp;display_string=Audit"}</definedName>
    <definedName name="_2953__FDSAUDITLINK__" hidden="1">{"fdsup://Directions/FactSet Auditing Viewer?action=AUDIT_VALUE&amp;DB=129&amp;ID1=87160710&amp;VALUEID=02001&amp;SDATE=200403&amp;PERIODTYPE=QTR_STD&amp;SCFT=3&amp;window=popup_no_bar&amp;width=385&amp;height=120&amp;START_MAXIMIZED=FALSE&amp;creator=factset&amp;display_string=Audit"}</definedName>
    <definedName name="_2954__FDSAUDITLINK__" hidden="1">{"fdsup://Directions/FactSet Auditing Viewer?action=AUDIT_VALUE&amp;DB=129&amp;ID1=87160710&amp;VALUEID=02001&amp;SDATE=200403&amp;PERIODTYPE=QTR_STD&amp;SCFT=3&amp;window=popup_no_bar&amp;width=385&amp;height=120&amp;START_MAXIMIZED=FALSE&amp;creator=factset&amp;display_string=Audit"}</definedName>
    <definedName name="_2955__FDSAUDITLINK__" hidden="1">{"fdsup://Directions/FactSet Auditing Viewer?action=AUDIT_VALUE&amp;DB=129&amp;ID1=80004C10&amp;VALUEID=02001&amp;SDATE=200402&amp;PERIODTYPE=QTR_STD&amp;SCFT=3&amp;window=popup_no_bar&amp;width=385&amp;height=120&amp;START_MAXIMIZED=FALSE&amp;creator=factset&amp;display_string=Audit"}</definedName>
    <definedName name="_2956__FDSAUDITLINK__" hidden="1">{"fdsup://Directions/FactSet Auditing Viewer?action=AUDIT_VALUE&amp;DB=129&amp;ID1=80004C10&amp;VALUEID=02001&amp;SDATE=200402&amp;PERIODTYPE=QTR_STD&amp;SCFT=3&amp;window=popup_no_bar&amp;width=385&amp;height=120&amp;START_MAXIMIZED=FALSE&amp;creator=factset&amp;display_string=Audit"}</definedName>
    <definedName name="_2957__FDSAUDITLINK__" hidden="1">{"fdsup://Directions/FactSet Auditing Viewer?action=AUDIT_VALUE&amp;DB=129&amp;ID1=81685010&amp;VALUEID=02001&amp;SDATE=200402&amp;PERIODTYPE=QTR_STD&amp;SCFT=3&amp;window=popup_no_bar&amp;width=385&amp;height=120&amp;START_MAXIMIZED=FALSE&amp;creator=factset&amp;display_string=Audit"}</definedName>
    <definedName name="_2958__FDSAUDITLINK__" hidden="1">{"fdsup://Directions/FactSet Auditing Viewer?action=AUDIT_VALUE&amp;DB=129&amp;ID1=81685010&amp;VALUEID=02001&amp;SDATE=200402&amp;PERIODTYPE=QTR_STD&amp;SCFT=3&amp;window=popup_no_bar&amp;width=385&amp;height=120&amp;START_MAXIMIZED=FALSE&amp;creator=factset&amp;display_string=Audit"}</definedName>
    <definedName name="_2959__FDSAUDITLINK__" hidden="1">{"fdsup://Directions/FactSet Auditing Viewer?action=AUDIT_VALUE&amp;DB=129&amp;ID1=82691910&amp;VALUEID=02001&amp;SDATE=200402&amp;PERIODTYPE=QTR_STD&amp;SCFT=3&amp;window=popup_no_bar&amp;width=385&amp;height=120&amp;START_MAXIMIZED=FALSE&amp;creator=factset&amp;display_string=Audit"}</definedName>
    <definedName name="_296__FDSAUDITLINK__" hidden="1">{"fdsup://Directions/FactSet Auditing Viewer?action=AUDIT_VALUE&amp;DB=129&amp;ID1=00752J10&amp;VALUEID=02001&amp;SDATE=201004&amp;PERIODTYPE=QTR_STD&amp;SCFT=3&amp;window=popup_no_bar&amp;width=385&amp;height=120&amp;START_MAXIMIZED=FALSE&amp;creator=factset&amp;display_string=Audit"}</definedName>
    <definedName name="_2960__FDSAUDITLINK__" hidden="1">{"fdsup://Directions/FactSet Auditing Viewer?action=AUDIT_VALUE&amp;DB=129&amp;ID1=82691910&amp;VALUEID=02001&amp;SDATE=200402&amp;PERIODTYPE=QTR_STD&amp;SCFT=3&amp;window=popup_no_bar&amp;width=385&amp;height=120&amp;START_MAXIMIZED=FALSE&amp;creator=factset&amp;display_string=Audit"}</definedName>
    <definedName name="_2961__FDSAUDITLINK__" hidden="1">{"fdsup://Directions/FactSet Auditing Viewer?action=AUDIT_VALUE&amp;DB=129&amp;ID1=82705T10&amp;VALUEID=02001&amp;SDATE=200402&amp;PERIODTYPE=QTR_STD&amp;SCFT=3&amp;window=popup_no_bar&amp;width=385&amp;height=120&amp;START_MAXIMIZED=FALSE&amp;creator=factset&amp;display_string=Audit"}</definedName>
    <definedName name="_2962__FDSAUDITLINK__" hidden="1">{"fdsup://Directions/FactSet Auditing Viewer?action=AUDIT_VALUE&amp;DB=129&amp;ID1=82705T10&amp;VALUEID=02001&amp;SDATE=200402&amp;PERIODTYPE=QTR_STD&amp;SCFT=3&amp;window=popup_no_bar&amp;width=385&amp;height=120&amp;START_MAXIMIZED=FALSE&amp;creator=factset&amp;display_string=Audit"}</definedName>
    <definedName name="_2963__FDSAUDITLINK__" hidden="1">{"fdsup://Directions/FactSet Auditing Viewer?action=AUDIT_VALUE&amp;DB=129&amp;ID1=75091710&amp;VALUEID=02001&amp;SDATE=200402&amp;PERIODTYPE=QTR_STD&amp;SCFT=3&amp;window=popup_no_bar&amp;width=385&amp;height=120&amp;START_MAXIMIZED=FALSE&amp;creator=factset&amp;display_string=Audit"}</definedName>
    <definedName name="_2964__FDSAUDITLINK__" hidden="1">{"fdsup://Directions/FactSet Auditing Viewer?action=AUDIT_VALUE&amp;DB=129&amp;ID1=75091710&amp;VALUEID=02001&amp;SDATE=200402&amp;PERIODTYPE=QTR_STD&amp;SCFT=3&amp;window=popup_no_bar&amp;width=385&amp;height=120&amp;START_MAXIMIZED=FALSE&amp;creator=factset&amp;display_string=Audit"}</definedName>
    <definedName name="_2965__FDSAUDITLINK__" hidden="1">{"fdsup://Directions/FactSet Auditing Viewer?action=AUDIT_VALUE&amp;DB=129&amp;ID1=74994110&amp;VALUEID=02001&amp;SDATE=200401&amp;PERIODTYPE=QTR_STD&amp;SCFT=3&amp;window=popup_no_bar&amp;width=385&amp;height=120&amp;START_MAXIMIZED=FALSE&amp;creator=factset&amp;display_string=Audit"}</definedName>
    <definedName name="_2966__FDSAUDITLINK__" hidden="1">{"fdsup://Directions/FactSet Auditing Viewer?action=AUDIT_VALUE&amp;DB=129&amp;ID1=74994110&amp;VALUEID=02001&amp;SDATE=200401&amp;PERIODTYPE=QTR_STD&amp;SCFT=3&amp;window=popup_no_bar&amp;width=385&amp;height=120&amp;START_MAXIMIZED=FALSE&amp;creator=factset&amp;display_string=Audit"}</definedName>
    <definedName name="_2967__FDSAUDITLINK__" hidden="1">{"fdsup://Directions/FactSet Auditing Viewer?action=AUDIT_VALUE&amp;DB=129&amp;ID1=74727710&amp;VALUEID=02001&amp;SDATE=200401&amp;PERIODTYPE=QTR_STD&amp;SCFT=3&amp;window=popup_no_bar&amp;width=385&amp;height=120&amp;START_MAXIMIZED=FALSE&amp;creator=factset&amp;display_string=Audit"}</definedName>
    <definedName name="_2968__FDSAUDITLINK__" hidden="1">{"fdsup://Directions/FactSet Auditing Viewer?action=AUDIT_VALUE&amp;DB=129&amp;ID1=74727710&amp;VALUEID=02001&amp;SDATE=200401&amp;PERIODTYPE=QTR_STD&amp;SCFT=3&amp;window=popup_no_bar&amp;width=385&amp;height=120&amp;START_MAXIMIZED=FALSE&amp;creator=factset&amp;display_string=Audit"}</definedName>
    <definedName name="_2969__FDSAUDITLINK__" hidden="1">{"fdsup://Directions/FactSet Auditing Viewer?action=AUDIT_VALUE&amp;DB=129&amp;ID1=74752510&amp;VALUEID=02001&amp;SDATE=200403&amp;PERIODTYPE=QTR_STD&amp;SCFT=3&amp;window=popup_no_bar&amp;width=385&amp;height=120&amp;START_MAXIMIZED=FALSE&amp;creator=factset&amp;display_string=Audit"}</definedName>
    <definedName name="_297__FDSAUDITLINK__" hidden="1">{"fdsup://Directions/FactSet Auditing Viewer?action=AUDIT_VALUE&amp;DB=129&amp;ID1=98975F10&amp;VALUEID=02001&amp;SDATE=201003&amp;PERIODTYPE=QTR_STD&amp;SCFT=3&amp;window=popup_no_bar&amp;width=385&amp;height=120&amp;START_MAXIMIZED=FALSE&amp;creator=factset&amp;display_string=Audit"}</definedName>
    <definedName name="_2970__FDSAUDITLINK__" hidden="1">{"fdsup://Directions/FactSet Auditing Viewer?action=AUDIT_VALUE&amp;DB=129&amp;ID1=74752510&amp;VALUEID=02001&amp;SDATE=200403&amp;PERIODTYPE=QTR_STD&amp;SCFT=3&amp;window=popup_no_bar&amp;width=385&amp;height=120&amp;START_MAXIMIZED=FALSE&amp;creator=factset&amp;display_string=Audit"}</definedName>
    <definedName name="_2971__FDSAUDITLINK__" hidden="1">{"fdsup://Directions/FactSet Auditing Viewer?action=AUDIT_VALUE&amp;DB=129&amp;ID1=72581M30&amp;VALUEID=02001&amp;SDATE=200402&amp;PERIODTYPE=QTR_STD&amp;SCFT=3&amp;window=popup_no_bar&amp;width=385&amp;height=120&amp;START_MAXIMIZED=FALSE&amp;creator=factset&amp;display_string=Audit"}</definedName>
    <definedName name="_2972__FDSAUDITLINK__" hidden="1">{"fdsup://Directions/FactSet Auditing Viewer?action=AUDIT_VALUE&amp;DB=129&amp;ID1=72581M30&amp;VALUEID=02001&amp;SDATE=200402&amp;PERIODTYPE=QTR_STD&amp;SCFT=3&amp;window=popup_no_bar&amp;width=385&amp;height=120&amp;START_MAXIMIZED=FALSE&amp;creator=factset&amp;display_string=Audit"}</definedName>
    <definedName name="_2973__FDSAUDITLINK__" hidden="1">{"fdsup://Directions/FactSet Auditing Viewer?action=AUDIT_VALUE&amp;DB=129&amp;ID1=73927610&amp;VALUEID=02001&amp;SDATE=200402&amp;PERIODTYPE=QTR_STD&amp;SCFT=3&amp;window=popup_no_bar&amp;width=385&amp;height=120&amp;START_MAXIMIZED=FALSE&amp;creator=factset&amp;display_string=Audit"}</definedName>
    <definedName name="_2974__FDSAUDITLINK__" hidden="1">{"fdsup://Directions/FactSet Auditing Viewer?action=AUDIT_VALUE&amp;DB=129&amp;ID1=73927610&amp;VALUEID=02001&amp;SDATE=200402&amp;PERIODTYPE=QTR_STD&amp;SCFT=3&amp;window=popup_no_bar&amp;width=385&amp;height=120&amp;START_MAXIMIZED=FALSE&amp;creator=factset&amp;display_string=Audit"}</definedName>
    <definedName name="_2975__FDSAUDITLINK__" hidden="1">{"fdsup://Directions/FactSet Auditing Viewer?action=AUDIT_VALUE&amp;DB=129&amp;ID1=69344F10&amp;VALUEID=02001&amp;SDATE=200402&amp;PERIODTYPE=QTR_STD&amp;SCFT=3&amp;window=popup_no_bar&amp;width=385&amp;height=120&amp;START_MAXIMIZED=FALSE&amp;creator=factset&amp;display_string=Audit"}</definedName>
    <definedName name="_2976__FDSAUDITLINK__" hidden="1">{"fdsup://Directions/FactSet Auditing Viewer?action=AUDIT_VALUE&amp;DB=129&amp;ID1=69344F10&amp;VALUEID=02001&amp;SDATE=200402&amp;PERIODTYPE=QTR_STD&amp;SCFT=3&amp;window=popup_no_bar&amp;width=385&amp;height=120&amp;START_MAXIMIZED=FALSE&amp;creator=factset&amp;display_string=Audit"}</definedName>
    <definedName name="_2977__FDSAUDITLINK__" hidden="1">{"fdsup://Directions/FactSet Auditing Viewer?action=AUDIT_VALUE&amp;DB=129&amp;ID1=69341710&amp;VALUEID=02001&amp;SDATE=200402&amp;PERIODTYPE=QTR_STD&amp;SCFT=3&amp;window=popup_no_bar&amp;width=385&amp;height=120&amp;START_MAXIMIZED=FALSE&amp;creator=factset&amp;display_string=Audit"}</definedName>
    <definedName name="_2978__FDSAUDITLINK__" hidden="1">{"fdsup://Directions/FactSet Auditing Viewer?action=AUDIT_VALUE&amp;DB=129&amp;ID1=69341710&amp;VALUEID=02001&amp;SDATE=200402&amp;PERIODTYPE=QTR_STD&amp;SCFT=3&amp;window=popup_no_bar&amp;width=385&amp;height=120&amp;START_MAXIMIZED=FALSE&amp;creator=factset&amp;display_string=Audit"}</definedName>
    <definedName name="_2979__FDSAUDITLINK__" hidden="1">{"fdsup://Directions/FactSet Auditing Viewer?action=AUDIT_VALUE&amp;DB=129&amp;ID1=68218910&amp;VALUEID=02001&amp;SDATE=200402&amp;PERIODTYPE=QTR_STD&amp;SCFT=3&amp;window=popup_no_bar&amp;width=385&amp;height=120&amp;START_MAXIMIZED=FALSE&amp;creator=factset&amp;display_string=Audit"}</definedName>
    <definedName name="_298__FDSAUDITLINK__" hidden="1">{"fdsup://Directions/FactSet Auditing Viewer?action=AUDIT_VALUE&amp;DB=129&amp;ID1=98975F10&amp;VALUEID=02001&amp;SDATE=201003&amp;PERIODTYPE=QTR_STD&amp;SCFT=3&amp;window=popup_no_bar&amp;width=385&amp;height=120&amp;START_MAXIMIZED=FALSE&amp;creator=factset&amp;display_string=Audit"}</definedName>
    <definedName name="_2980__FDSAUDITLINK__" hidden="1">{"fdsup://Directions/FactSet Auditing Viewer?action=AUDIT_VALUE&amp;DB=129&amp;ID1=68218910&amp;VALUEID=02001&amp;SDATE=200402&amp;PERIODTYPE=QTR_STD&amp;SCFT=3&amp;window=popup_no_bar&amp;width=385&amp;height=120&amp;START_MAXIMIZED=FALSE&amp;creator=factset&amp;display_string=Audit"}</definedName>
    <definedName name="_2981__FDSAUDITLINK__" hidden="1">{"fdsup://Directions/FactSet Auditing Viewer?action=AUDIT_VALUE&amp;DB=129&amp;ID1=67000810&amp;VALUEID=02001&amp;SDATE=200402&amp;PERIODTYPE=QTR_STD&amp;SCFT=3&amp;window=popup_no_bar&amp;width=385&amp;height=120&amp;START_MAXIMIZED=FALSE&amp;creator=factset&amp;display_string=Audit"}</definedName>
    <definedName name="_2982__FDSAUDITLINK__" hidden="1">{"fdsup://Directions/FactSet Auditing Viewer?action=AUDIT_VALUE&amp;DB=129&amp;ID1=67000810&amp;VALUEID=02001&amp;SDATE=200402&amp;PERIODTYPE=QTR_STD&amp;SCFT=3&amp;window=popup_no_bar&amp;width=385&amp;height=120&amp;START_MAXIMIZED=FALSE&amp;creator=factset&amp;display_string=Audit"}</definedName>
    <definedName name="_2983__FDSAUDITLINK__" hidden="1">{"fdsup://Directions/FactSet Auditing Viewer?action=AUDIT_VALUE&amp;DB=129&amp;ID1=67066G10&amp;VALUEID=02001&amp;SDATE=200402&amp;PERIODTYPE=QTR_STD&amp;SCFT=3&amp;window=popup_no_bar&amp;width=385&amp;height=120&amp;START_MAXIMIZED=FALSE&amp;creator=factset&amp;display_string=Audit"}</definedName>
    <definedName name="_2984__FDSAUDITLINK__" hidden="1">{"fdsup://Directions/FactSet Auditing Viewer?action=AUDIT_VALUE&amp;DB=129&amp;ID1=67066G10&amp;VALUEID=02001&amp;SDATE=200402&amp;PERIODTYPE=QTR_STD&amp;SCFT=3&amp;window=popup_no_bar&amp;width=385&amp;height=120&amp;START_MAXIMIZED=FALSE&amp;creator=factset&amp;display_string=Audit"}</definedName>
    <definedName name="_2985__FDSAUDITLINK__" hidden="1">{"fdsup://Directions/FactSet Auditing Viewer?action=AUDIT_VALUE&amp;DB=129&amp;ID1=64118B10&amp;VALUEID=02001&amp;SDATE=200402&amp;PERIODTYPE=QTR_STD&amp;SCFT=3&amp;window=popup_no_bar&amp;width=385&amp;height=120&amp;START_MAXIMIZED=FALSE&amp;creator=factset&amp;display_string=Audit"}</definedName>
    <definedName name="_2986__FDSAUDITLINK__" hidden="1">{"fdsup://Directions/FactSet Auditing Viewer?action=AUDIT_VALUE&amp;DB=129&amp;ID1=64118B10&amp;VALUEID=02001&amp;SDATE=200402&amp;PERIODTYPE=QTR_STD&amp;SCFT=3&amp;window=popup_no_bar&amp;width=385&amp;height=120&amp;START_MAXIMIZED=FALSE&amp;creator=factset&amp;display_string=Audit"}</definedName>
    <definedName name="_2987__FDSAUDITLINK__" hidden="1">{"fdsup://Directions/FactSet Auditing Viewer?action=AUDIT_VALUE&amp;DB=129&amp;ID1=59511210&amp;VALUEID=02001&amp;SDATE=200403&amp;PERIODTYPE=QTR_STD&amp;SCFT=3&amp;window=popup_no_bar&amp;width=385&amp;height=120&amp;START_MAXIMIZED=FALSE&amp;creator=factset&amp;display_string=Audit"}</definedName>
    <definedName name="_2988__FDSAUDITLINK__" hidden="1">{"fdsup://Directions/FactSet Auditing Viewer?action=AUDIT_VALUE&amp;DB=129&amp;ID1=59511210&amp;VALUEID=02001&amp;SDATE=200403&amp;PERIODTYPE=QTR_STD&amp;SCFT=3&amp;window=popup_no_bar&amp;width=385&amp;height=120&amp;START_MAXIMIZED=FALSE&amp;creator=factset&amp;display_string=Audit"}</definedName>
    <definedName name="_2989__FDSAUDITLINK__" hidden="1">{"fdsup://Directions/FactSet Auditing Viewer?action=AUDIT_VALUE&amp;DB=129&amp;ID1=59513710&amp;VALUEID=02001&amp;SDATE=200403&amp;PERIODTYPE=QTR_STD&amp;SCFT=3&amp;window=popup_no_bar&amp;width=385&amp;height=120&amp;START_MAXIMIZED=FALSE&amp;creator=factset&amp;display_string=Audit"}</definedName>
    <definedName name="_299__FDSAUDITLINK__" hidden="1">{"fdsup://Directions/FactSet Auditing Viewer?action=AUDIT_VALUE&amp;DB=129&amp;ID1=98391910&amp;VALUEID=02001&amp;SDATE=201002&amp;PERIODTYPE=QTR_STD&amp;SCFT=3&amp;window=popup_no_bar&amp;width=385&amp;height=120&amp;START_MAXIMIZED=FALSE&amp;creator=factset&amp;display_string=Audit"}</definedName>
    <definedName name="_2990__FDSAUDITLINK__" hidden="1">{"fdsup://Directions/FactSet Auditing Viewer?action=AUDIT_VALUE&amp;DB=129&amp;ID1=59513710&amp;VALUEID=02001&amp;SDATE=200403&amp;PERIODTYPE=QTR_STD&amp;SCFT=3&amp;window=popup_no_bar&amp;width=385&amp;height=120&amp;START_MAXIMIZED=FALSE&amp;creator=factset&amp;display_string=Audit"}</definedName>
    <definedName name="_2991__FDSAUDITLINK__" hidden="1">{"fdsup://Directions/FactSet Auditing Viewer?action=AUDIT_VALUE&amp;DB=129&amp;ID1=G5876H10&amp;VALUEID=02001&amp;SDATE=200402&amp;PERIODTYPE=QTR_STD&amp;SCFT=3&amp;window=popup_no_bar&amp;width=385&amp;height=120&amp;START_MAXIMIZED=FALSE&amp;creator=factset&amp;display_string=Audit"}</definedName>
    <definedName name="_2992__FDSAUDITLINK__" hidden="1">{"fdsup://Directions/FactSet Auditing Viewer?action=AUDIT_VALUE&amp;DB=129&amp;ID1=G5876H10&amp;VALUEID=02001&amp;SDATE=200402&amp;PERIODTYPE=QTR_STD&amp;SCFT=3&amp;window=popup_no_bar&amp;width=385&amp;height=120&amp;START_MAXIMIZED=FALSE&amp;creator=factset&amp;display_string=Audit"}</definedName>
    <definedName name="_2993__FDSAUDITLINK__" hidden="1">{"fdsup://Directions/FactSet Auditing Viewer?action=AUDIT_VALUE&amp;DB=129&amp;ID1=62007630&amp;VALUEID=02001&amp;SDATE=200402&amp;PERIODTYPE=QTR_STD&amp;SCFT=3&amp;window=popup_no_bar&amp;width=385&amp;height=120&amp;START_MAXIMIZED=FALSE&amp;creator=factset&amp;display_string=Audit"}</definedName>
    <definedName name="_2994__FDSAUDITLINK__" hidden="1">{"fdsup://Directions/FactSet Auditing Viewer?action=AUDIT_VALUE&amp;DB=129&amp;ID1=62007630&amp;VALUEID=02001&amp;SDATE=200402&amp;PERIODTYPE=QTR_STD&amp;SCFT=3&amp;window=popup_no_bar&amp;width=385&amp;height=120&amp;START_MAXIMIZED=FALSE&amp;creator=factset&amp;display_string=Audit"}</definedName>
    <definedName name="_2995__FDSAUDITLINK__" hidden="1">{"fdsup://Directions/FactSet Auditing Viewer?action=AUDIT_VALUE&amp;DB=129&amp;ID1=59479310&amp;VALUEID=02001&amp;SDATE=200402&amp;PERIODTYPE=QTR_STD&amp;SCFT=3&amp;window=popup_no_bar&amp;width=385&amp;height=120&amp;START_MAXIMIZED=FALSE&amp;creator=factset&amp;display_string=Audit"}</definedName>
    <definedName name="_2996__FDSAUDITLINK__" hidden="1">{"fdsup://Directions/FactSet Auditing Viewer?action=AUDIT_VALUE&amp;DB=129&amp;ID1=59479310&amp;VALUEID=02001&amp;SDATE=200402&amp;PERIODTYPE=QTR_STD&amp;SCFT=3&amp;window=popup_no_bar&amp;width=385&amp;height=120&amp;START_MAXIMIZED=FALSE&amp;creator=factset&amp;display_string=Audit"}</definedName>
    <definedName name="_2997__FDSAUDITLINK__" hidden="1">{"fdsup://Directions/FactSet Auditing Viewer?action=AUDIT_VALUE&amp;DB=129&amp;ID1=59501710&amp;VALUEID=02001&amp;SDATE=200401&amp;PERIODTYPE=QTR_STD&amp;SCFT=3&amp;window=popup_no_bar&amp;width=385&amp;height=120&amp;START_MAXIMIZED=FALSE&amp;creator=factset&amp;display_string=Audit"}</definedName>
    <definedName name="_2998__FDSAUDITLINK__" hidden="1">{"fdsup://Directions/FactSet Auditing Viewer?action=AUDIT_VALUE&amp;DB=129&amp;ID1=59501710&amp;VALUEID=02001&amp;SDATE=200401&amp;PERIODTYPE=QTR_STD&amp;SCFT=3&amp;window=popup_no_bar&amp;width=385&amp;height=120&amp;START_MAXIMIZED=FALSE&amp;creator=factset&amp;display_string=Audit"}</definedName>
    <definedName name="_2999__FDSAUDITLINK__" hidden="1">{"fdsup://Directions/FactSet Auditing Viewer?action=AUDIT_VALUE&amp;DB=129&amp;ID1=50216110&amp;VALUEID=02001&amp;SDATE=200402&amp;PERIODTYPE=QTR_STD&amp;SCFT=3&amp;window=popup_no_bar&amp;width=385&amp;height=120&amp;START_MAXIMIZED=FALSE&amp;creator=factset&amp;display_string=Audit"}</definedName>
    <definedName name="_3__FDSAUDITLINK__" hidden="1">{"fdsup://Directions/FactSet Auditing Viewer?action=AUDIT_VALUE&amp;DB=129&amp;ID1=03265410&amp;VALUEID=05194&amp;SDATE=201104&amp;PERIODTYPE=QTR_STD&amp;SCFT=3&amp;window=popup_no_bar&amp;width=385&amp;height=120&amp;START_MAXIMIZED=FALSE&amp;creator=factset&amp;display_string=Audit"}</definedName>
    <definedName name="_30__FDSAUDITLINK__" hidden="1">{"fdsup://Directions/FactSet Auditing Viewer?action=AUDIT_VALUE&amp;DB=129&amp;ID1=81685010&amp;VALUEID=02001&amp;SDATE=201101&amp;PERIODTYPE=QTR_STD&amp;SCFT=3&amp;window=popup_no_bar&amp;width=385&amp;height=120&amp;START_MAXIMIZED=FALSE&amp;creator=factset&amp;display_string=Audit"}</definedName>
    <definedName name="_300__FDSAUDITLINK__" hidden="1">{"fdsup://Directions/FactSet Auditing Viewer?action=AUDIT_VALUE&amp;DB=129&amp;ID1=98391910&amp;VALUEID=02001&amp;SDATE=201002&amp;PERIODTYPE=QTR_STD&amp;SCFT=3&amp;window=popup_no_bar&amp;width=385&amp;height=120&amp;START_MAXIMIZED=FALSE&amp;creator=factset&amp;display_string=Audit"}</definedName>
    <definedName name="_3000__FDSAUDITLINK__" hidden="1">{"fdsup://Directions/FactSet Auditing Viewer?action=AUDIT_VALUE&amp;DB=129&amp;ID1=50216110&amp;VALUEID=02001&amp;SDATE=200402&amp;PERIODTYPE=QTR_STD&amp;SCFT=3&amp;window=popup_no_bar&amp;width=385&amp;height=120&amp;START_MAXIMIZED=FALSE&amp;creator=factset&amp;display_string=Audit"}</definedName>
    <definedName name="_3001__FDSAUDITLINK__" hidden="1">{"fdsup://Directions/FactSet Auditing Viewer?action=AUDIT_VALUE&amp;DB=129&amp;ID1=51841510&amp;VALUEID=02001&amp;SDATE=200402&amp;PERIODTYPE=QTR_STD&amp;SCFT=3&amp;window=popup_no_bar&amp;width=385&amp;height=120&amp;START_MAXIMIZED=FALSE&amp;creator=factset&amp;display_string=Audit"}</definedName>
    <definedName name="_3002__FDSAUDITLINK__" hidden="1">{"fdsup://Directions/FactSet Auditing Viewer?action=AUDIT_VALUE&amp;DB=129&amp;ID1=51841510&amp;VALUEID=02001&amp;SDATE=200402&amp;PERIODTYPE=QTR_STD&amp;SCFT=3&amp;window=popup_no_bar&amp;width=385&amp;height=120&amp;START_MAXIMIZED=FALSE&amp;creator=factset&amp;display_string=Audit"}</definedName>
    <definedName name="_3003__FDSAUDITLINK__" hidden="1">{"fdsup://Directions/FactSet Auditing Viewer?action=AUDIT_VALUE&amp;DB=129&amp;ID1=48203R10&amp;VALUEID=02001&amp;SDATE=200402&amp;PERIODTYPE=QTR_STD&amp;SCFT=3&amp;window=popup_no_bar&amp;width=385&amp;height=120&amp;START_MAXIMIZED=FALSE&amp;creator=factset&amp;display_string=Audit"}</definedName>
    <definedName name="_3004__FDSAUDITLINK__" hidden="1">{"fdsup://Directions/FactSet Auditing Viewer?action=AUDIT_VALUE&amp;DB=129&amp;ID1=48203R10&amp;VALUEID=02001&amp;SDATE=200402&amp;PERIODTYPE=QTR_STD&amp;SCFT=3&amp;window=popup_no_bar&amp;width=385&amp;height=120&amp;START_MAXIMIZED=FALSE&amp;creator=factset&amp;display_string=Audit"}</definedName>
    <definedName name="_3005__FDSAUDITLINK__" hidden="1">{"fdsup://Directions/FactSet Auditing Viewer?action=AUDIT_VALUE&amp;DB=129&amp;ID1=46069S10&amp;VALUEID=02001&amp;SDATE=200402&amp;PERIODTYPE=QTR_STD&amp;SCFT=3&amp;window=popup_no_bar&amp;width=385&amp;height=120&amp;START_MAXIMIZED=FALSE&amp;creator=factset&amp;display_string=Audit"}</definedName>
    <definedName name="_3006__FDSAUDITLINK__" hidden="1">{"fdsup://Directions/FactSet Auditing Viewer?action=AUDIT_VALUE&amp;DB=129&amp;ID1=46069S10&amp;VALUEID=02001&amp;SDATE=200402&amp;PERIODTYPE=QTR_STD&amp;SCFT=3&amp;window=popup_no_bar&amp;width=385&amp;height=120&amp;START_MAXIMIZED=FALSE&amp;creator=factset&amp;display_string=Audit"}</definedName>
    <definedName name="_3007__FDSAUDITLINK__" hidden="1">{"fdsup://Directions/FactSet Auditing Viewer?action=AUDIT_VALUE&amp;DB=129&amp;ID1=46025410&amp;VALUEID=02001&amp;SDATE=200404&amp;PERIODTYPE=QTR_STD&amp;SCFT=3&amp;window=popup_no_bar&amp;width=385&amp;height=120&amp;START_MAXIMIZED=FALSE&amp;creator=factset&amp;display_string=Audit"}</definedName>
    <definedName name="_3008__FDSAUDITLINK__" hidden="1">{"fdsup://Directions/FactSet Auditing Viewer?action=AUDIT_VALUE&amp;DB=129&amp;ID1=46025410&amp;VALUEID=02001&amp;SDATE=200404&amp;PERIODTYPE=QTR_STD&amp;SCFT=3&amp;window=popup_no_bar&amp;width=385&amp;height=120&amp;START_MAXIMIZED=FALSE&amp;creator=factset&amp;display_string=Audit"}</definedName>
    <definedName name="_3009__FDSAUDITLINK__" hidden="1">{"fdsup://Directions/FactSet Auditing Viewer?action=AUDIT_VALUE&amp;DB=129&amp;ID1=45814010&amp;VALUEID=02001&amp;SDATE=200402&amp;PERIODTYPE=QTR_STD&amp;SCFT=3&amp;window=popup_no_bar&amp;width=385&amp;height=120&amp;START_MAXIMIZED=FALSE&amp;creator=factset&amp;display_string=Audit"}</definedName>
    <definedName name="_301__FDSAUDITLINK__" hidden="1">{"fdsup://Directions/FactSet Auditing Viewer?action=AUDIT_VALUE&amp;DB=129&amp;ID1=95810210&amp;VALUEID=02001&amp;SDATE=201101&amp;PERIODTYPE=QTR_STD&amp;SCFT=3&amp;window=popup_no_bar&amp;width=385&amp;height=120&amp;START_MAXIMIZED=FALSE&amp;creator=factset&amp;display_string=Audit"}</definedName>
    <definedName name="_3010__FDSAUDITLINK__" hidden="1">{"fdsup://Directions/FactSet Auditing Viewer?action=AUDIT_VALUE&amp;DB=129&amp;ID1=45814010&amp;VALUEID=02001&amp;SDATE=200402&amp;PERIODTYPE=QTR_STD&amp;SCFT=3&amp;window=popup_no_bar&amp;width=385&amp;height=120&amp;START_MAXIMIZED=FALSE&amp;creator=factset&amp;display_string=Audit"}</definedName>
    <definedName name="_3011__FDSAUDITLINK__" hidden="1">{"fdsup://Directions/FactSet Auditing Viewer?action=AUDIT_VALUE&amp;DB=129&amp;ID1=45811810&amp;VALUEID=02001&amp;SDATE=200401&amp;PERIODTYPE=QTR_STD&amp;SCFT=3&amp;window=popup_no_bar&amp;width=385&amp;height=120&amp;START_MAXIMIZED=FALSE&amp;creator=factset&amp;display_string=Audit"}</definedName>
    <definedName name="_3012__FDSAUDITLINK__" hidden="1">{"fdsup://Directions/FactSet Auditing Viewer?action=AUDIT_VALUE&amp;DB=129&amp;ID1=45811810&amp;VALUEID=02001&amp;SDATE=200401&amp;PERIODTYPE=QTR_STD&amp;SCFT=3&amp;window=popup_no_bar&amp;width=385&amp;height=120&amp;START_MAXIMIZED=FALSE&amp;creator=factset&amp;display_string=Audit"}</definedName>
    <definedName name="_3013__FDSAUDITLINK__" hidden="1">{"fdsup://Directions/FactSet Auditing Viewer?action=AUDIT_VALUE&amp;DB=129&amp;ID1=42823610&amp;VALUEID=02001&amp;SDATE=200403&amp;PERIODTYPE=QTR_STD&amp;SCFT=3&amp;window=popup_no_bar&amp;width=385&amp;height=120&amp;START_MAXIMIZED=FALSE&amp;creator=factset&amp;display_string=Audit"}</definedName>
    <definedName name="_3014__FDSAUDITLINK__" hidden="1">{"fdsup://Directions/FactSet Auditing Viewer?action=AUDIT_VALUE&amp;DB=129&amp;ID1=42823610&amp;VALUEID=02001&amp;SDATE=200403&amp;PERIODTYPE=QTR_STD&amp;SCFT=3&amp;window=popup_no_bar&amp;width=385&amp;height=120&amp;START_MAXIMIZED=FALSE&amp;creator=factset&amp;display_string=Audit"}</definedName>
    <definedName name="_3015__FDSAUDITLINK__" hidden="1">{"fdsup://Directions/FactSet Auditing Viewer?action=AUDIT_VALUE&amp;DB=129&amp;ID1=34637510&amp;VALUEID=02001&amp;SDATE=200402&amp;PERIODTYPE=QTR_STD&amp;SCFT=3&amp;window=popup_no_bar&amp;width=385&amp;height=120&amp;START_MAXIMIZED=FALSE&amp;creator=factset&amp;display_string=Audit"}</definedName>
    <definedName name="_3016__FDSAUDITLINK__" hidden="1">{"fdsup://Directions/FactSet Auditing Viewer?action=AUDIT_VALUE&amp;DB=129&amp;ID1=34637510&amp;VALUEID=02001&amp;SDATE=200402&amp;PERIODTYPE=QTR_STD&amp;SCFT=3&amp;window=popup_no_bar&amp;width=385&amp;height=120&amp;START_MAXIMIZED=FALSE&amp;creator=factset&amp;display_string=Audit"}</definedName>
    <definedName name="_3017__FDSAUDITLINK__" hidden="1">{"fdsup://Directions/FactSet Auditing Viewer?action=AUDIT_VALUE&amp;DB=129&amp;ID1=31561610&amp;VALUEID=02001&amp;SDATE=200403&amp;PERIODTYPE=QTR_STD&amp;SCFT=3&amp;window=popup_no_bar&amp;width=385&amp;height=120&amp;START_MAXIMIZED=FALSE&amp;creator=factset&amp;display_string=Audit"}</definedName>
    <definedName name="_3018__FDSAUDITLINK__" hidden="1">{"fdsup://Directions/FactSet Auditing Viewer?action=AUDIT_VALUE&amp;DB=129&amp;ID1=31561610&amp;VALUEID=02001&amp;SDATE=200403&amp;PERIODTYPE=QTR_STD&amp;SCFT=3&amp;window=popup_no_bar&amp;width=385&amp;height=120&amp;START_MAXIMIZED=FALSE&amp;creator=factset&amp;display_string=Audit"}</definedName>
    <definedName name="_3019__FDSAUDITLINK__" hidden="1">{"fdsup://Directions/FactSet Auditing Viewer?action=AUDIT_VALUE&amp;DB=129&amp;ID1=25454310&amp;VALUEID=02001&amp;SDATE=200402&amp;PERIODTYPE=QTR_STD&amp;SCFT=3&amp;window=popup_no_bar&amp;width=385&amp;height=120&amp;START_MAXIMIZED=FALSE&amp;creator=factset&amp;display_string=Audit"}</definedName>
    <definedName name="_302__FDSAUDITLINK__" hidden="1">{"fdsup://Directions/FactSet Auditing Viewer?action=AUDIT_VALUE&amp;DB=129&amp;ID1=95810210&amp;VALUEID=02001&amp;SDATE=201101&amp;PERIODTYPE=QTR_STD&amp;SCFT=3&amp;window=popup_no_bar&amp;width=385&amp;height=120&amp;START_MAXIMIZED=FALSE&amp;creator=factset&amp;display_string=Audit"}</definedName>
    <definedName name="_3020__FDSAUDITLINK__" hidden="1">{"fdsup://Directions/FactSet Auditing Viewer?action=AUDIT_VALUE&amp;DB=129&amp;ID1=25454310&amp;VALUEID=02001&amp;SDATE=200402&amp;PERIODTYPE=QTR_STD&amp;SCFT=3&amp;window=popup_no_bar&amp;width=385&amp;height=120&amp;START_MAXIMIZED=FALSE&amp;creator=factset&amp;display_string=Audit"}</definedName>
    <definedName name="_3021__FDSAUDITLINK__" hidden="1">{"fdsup://Directions/FactSet Auditing Viewer?action=AUDIT_VALUE&amp;DB=129&amp;ID1=24702R10&amp;VALUEID=02001&amp;SDATE=200402&amp;PERIODTYPE=QTR_STD&amp;SCFT=3&amp;window=popup_no_bar&amp;width=385&amp;height=120&amp;START_MAXIMIZED=FALSE&amp;creator=factset&amp;display_string=Audit"}</definedName>
    <definedName name="_3022__FDSAUDITLINK__" hidden="1">{"fdsup://Directions/FactSet Auditing Viewer?action=AUDIT_VALUE&amp;DB=129&amp;ID1=24702R10&amp;VALUEID=02001&amp;SDATE=200402&amp;PERIODTYPE=QTR_STD&amp;SCFT=3&amp;window=popup_no_bar&amp;width=385&amp;height=120&amp;START_MAXIMIZED=FALSE&amp;creator=factset&amp;display_string=Audit"}</definedName>
    <definedName name="_3023__FDSAUDITLINK__" hidden="1">{"fdsup://Directions/FactSet Auditing Viewer?action=AUDIT_VALUE&amp;DB=129&amp;ID1=23257210&amp;VALUEID=02001&amp;SDATE=200402&amp;PERIODTYPE=QTR_STD&amp;SCFT=3&amp;window=popup_no_bar&amp;width=385&amp;height=120&amp;START_MAXIMIZED=FALSE&amp;creator=factset&amp;display_string=Audit"}</definedName>
    <definedName name="_3024__FDSAUDITLINK__" hidden="1">{"fdsup://Directions/FactSet Auditing Viewer?action=AUDIT_VALUE&amp;DB=129&amp;ID1=23257210&amp;VALUEID=02001&amp;SDATE=200402&amp;PERIODTYPE=QTR_STD&amp;SCFT=3&amp;window=popup_no_bar&amp;width=385&amp;height=120&amp;START_MAXIMIZED=FALSE&amp;creator=factset&amp;display_string=Audit"}</definedName>
    <definedName name="_3025__FDSAUDITLINK__" hidden="1">{"fdsup://Directions/FactSet Auditing Viewer?action=AUDIT_VALUE&amp;DB=129&amp;ID1=23280610&amp;VALUEID=02001&amp;SDATE=200402&amp;PERIODTYPE=QTR_STD&amp;SCFT=3&amp;window=popup_no_bar&amp;width=385&amp;height=120&amp;START_MAXIMIZED=FALSE&amp;creator=factset&amp;display_string=Audit"}</definedName>
    <definedName name="_3026__FDSAUDITLINK__" hidden="1">{"fdsup://Directions/FactSet Auditing Viewer?action=AUDIT_VALUE&amp;DB=129&amp;ID1=23280610&amp;VALUEID=02001&amp;SDATE=200402&amp;PERIODTYPE=QTR_STD&amp;SCFT=3&amp;window=popup_no_bar&amp;width=385&amp;height=120&amp;START_MAXIMIZED=FALSE&amp;creator=factset&amp;display_string=Audit"}</definedName>
    <definedName name="_3027__FDSAUDITLINK__" hidden="1">{"fdsup://Directions/FactSet Auditing Viewer?action=AUDIT_VALUE&amp;DB=129&amp;ID1=20714230&amp;VALUEID=02001&amp;SDATE=200403&amp;PERIODTYPE=QTR_STD&amp;SCFT=3&amp;window=popup_no_bar&amp;width=385&amp;height=120&amp;START_MAXIMIZED=FALSE&amp;creator=factset&amp;display_string=Audit"}</definedName>
    <definedName name="_3028__FDSAUDITLINK__" hidden="1">{"fdsup://Directions/FactSet Auditing Viewer?action=AUDIT_VALUE&amp;DB=129&amp;ID1=20714230&amp;VALUEID=02001&amp;SDATE=200403&amp;PERIODTYPE=QTR_STD&amp;SCFT=3&amp;window=popup_no_bar&amp;width=385&amp;height=120&amp;START_MAXIMIZED=FALSE&amp;creator=factset&amp;display_string=Audit"}</definedName>
    <definedName name="_3029__FDSAUDITLINK__" hidden="1">{"fdsup://Directions/FactSet Auditing Viewer?action=AUDIT_VALUE&amp;DB=129&amp;ID1=12738710&amp;VALUEID=02001&amp;SDATE=200402&amp;PERIODTYPE=QTR_STD&amp;SCFT=3&amp;window=popup_no_bar&amp;width=385&amp;height=120&amp;START_MAXIMIZED=FALSE&amp;creator=factset&amp;display_string=Audit"}</definedName>
    <definedName name="_303__FDSAUDITLINK__" hidden="1">{"fdsup://Directions/FactSet Auditing Viewer?action=AUDIT_VALUE&amp;DB=129&amp;ID1=92849730&amp;VALUEID=02001&amp;SDATE=201004&amp;PERIODTYPE=QTR_STD&amp;SCFT=3&amp;window=popup_no_bar&amp;width=385&amp;height=120&amp;START_MAXIMIZED=FALSE&amp;creator=factset&amp;display_string=Audit"}</definedName>
    <definedName name="_3030__FDSAUDITLINK__" hidden="1">{"fdsup://Directions/FactSet Auditing Viewer?action=AUDIT_VALUE&amp;DB=129&amp;ID1=12738710&amp;VALUEID=02001&amp;SDATE=200402&amp;PERIODTYPE=QTR_STD&amp;SCFT=3&amp;window=popup_no_bar&amp;width=385&amp;height=120&amp;START_MAXIMIZED=FALSE&amp;creator=factset&amp;display_string=Audit"}</definedName>
    <definedName name="_3031__FDSAUDITLINK__" hidden="1">{"fdsup://Directions/FactSet Auditing Viewer?action=AUDIT_VALUE&amp;DB=129&amp;ID1=11162130&amp;VALUEID=02001&amp;SDATE=200403&amp;PERIODTYPE=QTR_STD&amp;SCFT=3&amp;window=popup_no_bar&amp;width=385&amp;height=120&amp;START_MAXIMIZED=FALSE&amp;creator=factset&amp;display_string=Audit"}</definedName>
    <definedName name="_3032__FDSAUDITLINK__" hidden="1">{"fdsup://Directions/FactSet Auditing Viewer?action=AUDIT_VALUE&amp;DB=129&amp;ID1=11162130&amp;VALUEID=02001&amp;SDATE=200403&amp;PERIODTYPE=QTR_STD&amp;SCFT=3&amp;window=popup_no_bar&amp;width=385&amp;height=120&amp;START_MAXIMIZED=FALSE&amp;creator=factset&amp;display_string=Audit"}</definedName>
    <definedName name="_3033__FDSAUDITLINK__" hidden="1">{"fdsup://Directions/FactSet Auditing Viewer?action=AUDIT_VALUE&amp;DB=129&amp;ID1=04743P10&amp;VALUEID=02001&amp;SDATE=200402&amp;PERIODTYPE=QTR_STD&amp;SCFT=3&amp;window=popup_no_bar&amp;width=385&amp;height=120&amp;START_MAXIMIZED=FALSE&amp;creator=factset&amp;display_string=Audit"}</definedName>
    <definedName name="_3034__FDSAUDITLINK__" hidden="1">{"fdsup://Directions/FactSet Auditing Viewer?action=AUDIT_VALUE&amp;DB=129&amp;ID1=04743P10&amp;VALUEID=02001&amp;SDATE=200402&amp;PERIODTYPE=QTR_STD&amp;SCFT=3&amp;window=popup_no_bar&amp;width=385&amp;height=120&amp;START_MAXIMIZED=FALSE&amp;creator=factset&amp;display_string=Audit"}</definedName>
    <definedName name="_3035__FDSAUDITLINK__" hidden="1">{"fdsup://Directions/FactSet Auditing Viewer?action=AUDIT_VALUE&amp;DB=129&amp;ID1=00790310&amp;VALUEID=02001&amp;SDATE=200402&amp;PERIODTYPE=QTR_STD&amp;SCFT=3&amp;window=popup_no_bar&amp;width=385&amp;height=120&amp;START_MAXIMIZED=FALSE&amp;creator=factset&amp;display_string=Audit"}</definedName>
    <definedName name="_3036__FDSAUDITLINK__" hidden="1">{"fdsup://Directions/FactSet Auditing Viewer?action=AUDIT_VALUE&amp;DB=129&amp;ID1=00790310&amp;VALUEID=02001&amp;SDATE=200402&amp;PERIODTYPE=QTR_STD&amp;SCFT=3&amp;window=popup_no_bar&amp;width=385&amp;height=120&amp;START_MAXIMIZED=FALSE&amp;creator=factset&amp;display_string=Audit"}</definedName>
    <definedName name="_3037__FDSAUDITLINK__" hidden="1">{"fdsup://Directions/FactSet Auditing Viewer?action=AUDIT_VALUE&amp;DB=129&amp;ID1=03822W40&amp;VALUEID=02001&amp;SDATE=200401&amp;PERIODTYPE=QTR_STD&amp;SCFT=3&amp;window=popup_no_bar&amp;width=385&amp;height=120&amp;START_MAXIMIZED=FALSE&amp;creator=factset&amp;display_string=Audit"}</definedName>
    <definedName name="_3038__FDSAUDITLINK__" hidden="1">{"fdsup://Directions/FactSet Auditing Viewer?action=AUDIT_VALUE&amp;DB=129&amp;ID1=03822W40&amp;VALUEID=02001&amp;SDATE=200401&amp;PERIODTYPE=QTR_STD&amp;SCFT=3&amp;window=popup_no_bar&amp;width=385&amp;height=120&amp;START_MAXIMIZED=FALSE&amp;creator=factset&amp;display_string=Audit"}</definedName>
    <definedName name="_3039__FDSAUDITLINK__" hidden="1">{"fdsup://Directions/FactSet Auditing Viewer?action=AUDIT_VALUE&amp;DB=129&amp;ID1=03822210&amp;VALUEID=02001&amp;SDATE=200403&amp;PERIODTYPE=QTR_STD&amp;SCFT=3&amp;window=popup_no_bar&amp;width=385&amp;height=120&amp;START_MAXIMIZED=FALSE&amp;creator=factset&amp;display_string=Audit"}</definedName>
    <definedName name="_304__FDSAUDITLINK__" hidden="1">{"fdsup://Directions/FactSet Auditing Viewer?action=AUDIT_VALUE&amp;DB=129&amp;ID1=92849730&amp;VALUEID=02001&amp;SDATE=201004&amp;PERIODTYPE=QTR_STD&amp;SCFT=3&amp;window=popup_no_bar&amp;width=385&amp;height=120&amp;START_MAXIMIZED=FALSE&amp;creator=factset&amp;display_string=Audit"}</definedName>
    <definedName name="_3040__FDSAUDITLINK__" hidden="1">{"fdsup://Directions/FactSet Auditing Viewer?action=AUDIT_VALUE&amp;DB=129&amp;ID1=03822210&amp;VALUEID=02001&amp;SDATE=200403&amp;PERIODTYPE=QTR_STD&amp;SCFT=3&amp;window=popup_no_bar&amp;width=385&amp;height=120&amp;START_MAXIMIZED=FALSE&amp;creator=factset&amp;display_string=Audit"}</definedName>
    <definedName name="_3041__FDSAUDITLINK__" hidden="1">{"fdsup://Directions/FactSet Auditing Viewer?action=AUDIT_VALUE&amp;DB=129&amp;ID1=02144110&amp;VALUEID=02001&amp;SDATE=200402&amp;PERIODTYPE=QTR_STD&amp;SCFT=3&amp;window=popup_no_bar&amp;width=385&amp;height=120&amp;START_MAXIMIZED=FALSE&amp;creator=factset&amp;display_string=Audit"}</definedName>
    <definedName name="_3042__FDSAUDITLINK__" hidden="1">{"fdsup://Directions/FactSet Auditing Viewer?action=AUDIT_VALUE&amp;DB=129&amp;ID1=02144110&amp;VALUEID=02001&amp;SDATE=200402&amp;PERIODTYPE=QTR_STD&amp;SCFT=3&amp;window=popup_no_bar&amp;width=385&amp;height=120&amp;START_MAXIMIZED=FALSE&amp;creator=factset&amp;display_string=Audit"}</definedName>
    <definedName name="_3043__FDSAUDITLINK__" hidden="1">{"fdsup://Directions/FactSet Auditing Viewer?action=AUDIT_VALUE&amp;DB=129&amp;ID1=03265410&amp;VALUEID=02001&amp;SDATE=200403&amp;PERIODTYPE=QTR_STD&amp;SCFT=3&amp;window=popup_no_bar&amp;width=385&amp;height=120&amp;START_MAXIMIZED=FALSE&amp;creator=factset&amp;display_string=Audit"}</definedName>
    <definedName name="_3044__FDSAUDITLINK__" hidden="1">{"fdsup://Directions/FactSet Auditing Viewer?action=AUDIT_VALUE&amp;DB=129&amp;ID1=03265410&amp;VALUEID=02001&amp;SDATE=200403&amp;PERIODTYPE=QTR_STD&amp;SCFT=3&amp;window=popup_no_bar&amp;width=385&amp;height=120&amp;START_MAXIMIZED=FALSE&amp;creator=factset&amp;display_string=Audit"}</definedName>
    <definedName name="_3045__FDSAUDITLINK__" hidden="1">{"fdsup://Directions/FactSet Auditing Viewer?action=AUDIT_VALUE&amp;DB=129&amp;ID1=98975F10&amp;VALUEID=02001&amp;SDATE=200401&amp;PERIODTYPE=QTR_STD&amp;SCFT=3&amp;window=popup_no_bar&amp;width=385&amp;height=120&amp;START_MAXIMIZED=FALSE&amp;creator=factset&amp;display_string=Audit"}</definedName>
    <definedName name="_3046__FDSAUDITLINK__" hidden="1">{"fdsup://Directions/FactSet Auditing Viewer?action=AUDIT_VALUE&amp;DB=129&amp;ID1=98975F10&amp;VALUEID=02001&amp;SDATE=200401&amp;PERIODTYPE=QTR_STD&amp;SCFT=3&amp;window=popup_no_bar&amp;width=385&amp;height=120&amp;START_MAXIMIZED=FALSE&amp;creator=factset&amp;display_string=Audit"}</definedName>
    <definedName name="_3047__FDSAUDITLINK__" hidden="1">{"fdsup://Directions/FactSet Auditing Viewer?action=AUDIT_VALUE&amp;DB=129&amp;ID1=95810210&amp;VALUEID=02001&amp;SDATE=200403&amp;PERIODTYPE=QTR_STD&amp;SCFT=3&amp;window=popup_no_bar&amp;width=385&amp;height=120&amp;START_MAXIMIZED=FALSE&amp;creator=factset&amp;display_string=Audit"}</definedName>
    <definedName name="_3048__FDSAUDITLINK__" hidden="1">{"fdsup://Directions/FactSet Auditing Viewer?action=AUDIT_VALUE&amp;DB=129&amp;ID1=95810210&amp;VALUEID=02001&amp;SDATE=200403&amp;PERIODTYPE=QTR_STD&amp;SCFT=3&amp;window=popup_no_bar&amp;width=385&amp;height=120&amp;START_MAXIMIZED=FALSE&amp;creator=factset&amp;display_string=Audit"}</definedName>
    <definedName name="_3049__FDSAUDITLINK__" hidden="1">{"fdsup://Directions/FactSet Auditing Viewer?action=AUDIT_VALUE&amp;DB=129&amp;ID1=92849730&amp;VALUEID=02001&amp;SDATE=200402&amp;PERIODTYPE=QTR_STD&amp;SCFT=3&amp;window=popup_no_bar&amp;width=385&amp;height=120&amp;START_MAXIMIZED=FALSE&amp;creator=factset&amp;display_string=Audit"}</definedName>
    <definedName name="_305__FDSAUDITLINK__" hidden="1">{"fdsup://Directions/FactSet Auditing Viewer?action=AUDIT_VALUE&amp;DB=129&amp;ID1=92829810&amp;VALUEID=02001&amp;SDATE=201003&amp;PERIODTYPE=QTR_STD&amp;SCFT=3&amp;window=popup_no_bar&amp;width=385&amp;height=120&amp;START_MAXIMIZED=FALSE&amp;creator=factset&amp;display_string=Audit"}</definedName>
    <definedName name="_3050__FDSAUDITLINK__" hidden="1">{"fdsup://Directions/FactSet Auditing Viewer?action=AUDIT_VALUE&amp;DB=129&amp;ID1=92849730&amp;VALUEID=02001&amp;SDATE=200402&amp;PERIODTYPE=QTR_STD&amp;SCFT=3&amp;window=popup_no_bar&amp;width=385&amp;height=120&amp;START_MAXIMIZED=FALSE&amp;creator=factset&amp;display_string=Audit"}</definedName>
    <definedName name="_3051__FDSAUDITLINK__" hidden="1">{"fdsup://Directions/FactSet Auditing Viewer?action=AUDIT_VALUE&amp;DB=129&amp;ID1=88250810&amp;VALUEID=02001&amp;SDATE=200401&amp;PERIODTYPE=QTR_STD&amp;SCFT=3&amp;window=popup_no_bar&amp;width=385&amp;height=120&amp;START_MAXIMIZED=FALSE&amp;creator=factset&amp;display_string=Audit"}</definedName>
    <definedName name="_3052__FDSAUDITLINK__" hidden="1">{"fdsup://Directions/FactSet Auditing Viewer?action=AUDIT_VALUE&amp;DB=129&amp;ID1=88250810&amp;VALUEID=02001&amp;SDATE=200401&amp;PERIODTYPE=QTR_STD&amp;SCFT=3&amp;window=popup_no_bar&amp;width=385&amp;height=120&amp;START_MAXIMIZED=FALSE&amp;creator=factset&amp;display_string=Audit"}</definedName>
    <definedName name="_3053__FDSAUDITLINK__" hidden="1">{"fdsup://Directions/FactSet Auditing Viewer?action=AUDIT_VALUE&amp;DB=129&amp;ID1=89674K10&amp;VALUEID=02001&amp;SDATE=200401&amp;PERIODTYPE=QTR_STD&amp;SCFT=3&amp;window=popup_no_bar&amp;width=385&amp;height=120&amp;START_MAXIMIZED=FALSE&amp;creator=factset&amp;display_string=Audit"}</definedName>
    <definedName name="_3054__FDSAUDITLINK__" hidden="1">{"fdsup://Directions/FactSet Auditing Viewer?action=AUDIT_VALUE&amp;DB=129&amp;ID1=89674K10&amp;VALUEID=02001&amp;SDATE=200401&amp;PERIODTYPE=QTR_STD&amp;SCFT=3&amp;window=popup_no_bar&amp;width=385&amp;height=120&amp;START_MAXIMIZED=FALSE&amp;creator=factset&amp;display_string=Audit"}</definedName>
    <definedName name="_3055__FDSAUDITLINK__" hidden="1">{"fdsup://Directions/FactSet Auditing Viewer?action=AUDIT_VALUE&amp;DB=129&amp;ID1=83088M10&amp;VALUEID=02001&amp;SDATE=200402&amp;PERIODTYPE=QTR_STD&amp;SCFT=3&amp;window=popup_no_bar&amp;width=385&amp;height=120&amp;START_MAXIMIZED=FALSE&amp;creator=factset&amp;display_string=Audit"}</definedName>
    <definedName name="_3056__FDSAUDITLINK__" hidden="1">{"fdsup://Directions/FactSet Auditing Viewer?action=AUDIT_VALUE&amp;DB=129&amp;ID1=83088M10&amp;VALUEID=02001&amp;SDATE=200402&amp;PERIODTYPE=QTR_STD&amp;SCFT=3&amp;window=popup_no_bar&amp;width=385&amp;height=120&amp;START_MAXIMIZED=FALSE&amp;creator=factset&amp;display_string=Audit"}</definedName>
    <definedName name="_3057__FDSAUDITLINK__" hidden="1">{"fdsup://Directions/FactSet Auditing Viewer?action=AUDIT_VALUE&amp;DB=129&amp;ID1=G7945M10&amp;VALUEID=02001&amp;SDATE=200403&amp;PERIODTYPE=QTR_STD&amp;SCFT=3&amp;window=popup_no_bar&amp;width=385&amp;height=120&amp;START_MAXIMIZED=FALSE&amp;creator=factset&amp;display_string=Audit"}</definedName>
    <definedName name="_3058__FDSAUDITLINK__" hidden="1">{"fdsup://Directions/FactSet Auditing Viewer?action=AUDIT_VALUE&amp;DB=129&amp;ID1=G7945M10&amp;VALUEID=02001&amp;SDATE=200403&amp;PERIODTYPE=QTR_STD&amp;SCFT=3&amp;window=popup_no_bar&amp;width=385&amp;height=120&amp;START_MAXIMIZED=FALSE&amp;creator=factset&amp;display_string=Audit"}</definedName>
    <definedName name="_3059__FDSAUDITLINK__" hidden="1">{"fdsup://Directions/FactSet Auditing Viewer?action=AUDIT_VALUE&amp;DB=129&amp;ID1=78477410&amp;VALUEID=02001&amp;SDATE=200401&amp;PERIODTYPE=QTR_STD&amp;SCFT=3&amp;window=popup_no_bar&amp;width=385&amp;height=120&amp;START_MAXIMIZED=FALSE&amp;creator=factset&amp;display_string=Audit"}</definedName>
    <definedName name="_306__FDSAUDITLINK__" hidden="1">{"fdsup://Directions/FactSet Auditing Viewer?action=AUDIT_VALUE&amp;DB=129&amp;ID1=92829810&amp;VALUEID=02001&amp;SDATE=201003&amp;PERIODTYPE=QTR_STD&amp;SCFT=3&amp;window=popup_no_bar&amp;width=385&amp;height=120&amp;START_MAXIMIZED=FALSE&amp;creator=factset&amp;display_string=Audit"}</definedName>
    <definedName name="_3060__FDSAUDITLINK__" hidden="1">{"fdsup://Directions/FactSet Auditing Viewer?action=AUDIT_VALUE&amp;DB=129&amp;ID1=78477410&amp;VALUEID=02001&amp;SDATE=200401&amp;PERIODTYPE=QTR_STD&amp;SCFT=3&amp;window=popup_no_bar&amp;width=385&amp;height=120&amp;START_MAXIMIZED=FALSE&amp;creator=factset&amp;display_string=Audit"}</definedName>
    <definedName name="_3061__FDSAUDITLINK__" hidden="1">{"fdsup://Directions/FactSet Auditing Viewer?action=AUDIT_VALUE&amp;DB=129&amp;ID1=83547010&amp;VALUEID=02001&amp;SDATE=200401&amp;PERIODTYPE=QTR_STD&amp;SCFT=3&amp;window=popup_no_bar&amp;width=385&amp;height=120&amp;START_MAXIMIZED=FALSE&amp;creator=factset&amp;display_string=Audit"}</definedName>
    <definedName name="_3062__FDSAUDITLINK__" hidden="1">{"fdsup://Directions/FactSet Auditing Viewer?action=AUDIT_VALUE&amp;DB=129&amp;ID1=83547010&amp;VALUEID=02001&amp;SDATE=200401&amp;PERIODTYPE=QTR_STD&amp;SCFT=3&amp;window=popup_no_bar&amp;width=385&amp;height=120&amp;START_MAXIMIZED=FALSE&amp;creator=factset&amp;display_string=Audit"}</definedName>
    <definedName name="_3063__FDSAUDITLINK__" hidden="1">{"fdsup://Directions/FactSet Auditing Viewer?action=AUDIT_VALUE&amp;DB=129&amp;ID1=87160710&amp;VALUEID=02001&amp;SDATE=200402&amp;PERIODTYPE=QTR_STD&amp;SCFT=3&amp;window=popup_no_bar&amp;width=385&amp;height=120&amp;START_MAXIMIZED=FALSE&amp;creator=factset&amp;display_string=Audit"}</definedName>
    <definedName name="_3064__FDSAUDITLINK__" hidden="1">{"fdsup://Directions/FactSet Auditing Viewer?action=AUDIT_VALUE&amp;DB=129&amp;ID1=87160710&amp;VALUEID=02001&amp;SDATE=200402&amp;PERIODTYPE=QTR_STD&amp;SCFT=3&amp;window=popup_no_bar&amp;width=385&amp;height=120&amp;START_MAXIMIZED=FALSE&amp;creator=factset&amp;display_string=Audit"}</definedName>
    <definedName name="_3065__FDSAUDITLINK__" hidden="1">{"fdsup://Directions/FactSet Auditing Viewer?action=AUDIT_VALUE&amp;DB=129&amp;ID1=80004C10&amp;VALUEID=02001&amp;SDATE=200401&amp;PERIODTYPE=QTR_STD&amp;SCFT=3&amp;window=popup_no_bar&amp;width=385&amp;height=120&amp;START_MAXIMIZED=FALSE&amp;creator=factset&amp;display_string=Audit"}</definedName>
    <definedName name="_3066__FDSAUDITLINK__" hidden="1">{"fdsup://Directions/FactSet Auditing Viewer?action=AUDIT_VALUE&amp;DB=129&amp;ID1=80004C10&amp;VALUEID=02001&amp;SDATE=200401&amp;PERIODTYPE=QTR_STD&amp;SCFT=3&amp;window=popup_no_bar&amp;width=385&amp;height=120&amp;START_MAXIMIZED=FALSE&amp;creator=factset&amp;display_string=Audit"}</definedName>
    <definedName name="_3067__FDSAUDITLINK__" hidden="1">{"fdsup://Directions/FactSet Auditing Viewer?action=AUDIT_VALUE&amp;DB=129&amp;ID1=81685010&amp;VALUEID=02001&amp;SDATE=200401&amp;PERIODTYPE=QTR_STD&amp;SCFT=3&amp;window=popup_no_bar&amp;width=385&amp;height=120&amp;START_MAXIMIZED=FALSE&amp;creator=factset&amp;display_string=Audit"}</definedName>
    <definedName name="_3068__FDSAUDITLINK__" hidden="1">{"fdsup://Directions/FactSet Auditing Viewer?action=AUDIT_VALUE&amp;DB=129&amp;ID1=81685010&amp;VALUEID=02001&amp;SDATE=200401&amp;PERIODTYPE=QTR_STD&amp;SCFT=3&amp;window=popup_no_bar&amp;width=385&amp;height=120&amp;START_MAXIMIZED=FALSE&amp;creator=factset&amp;display_string=Audit"}</definedName>
    <definedName name="_3069__FDSAUDITLINK__" hidden="1">{"fdsup://Directions/FactSet Auditing Viewer?action=AUDIT_VALUE&amp;DB=129&amp;ID1=82691910&amp;VALUEID=02001&amp;SDATE=200401&amp;PERIODTYPE=QTR_STD&amp;SCFT=3&amp;window=popup_no_bar&amp;width=385&amp;height=120&amp;START_MAXIMIZED=FALSE&amp;creator=factset&amp;display_string=Audit"}</definedName>
    <definedName name="_307__FDSAUDITLINK__" hidden="1">{"fdsup://Directions/FactSet Auditing Viewer?action=AUDIT_VALUE&amp;DB=129&amp;ID1=88250810&amp;VALUEID=02001&amp;SDATE=201003&amp;PERIODTYPE=QTR_STD&amp;SCFT=3&amp;window=popup_no_bar&amp;width=385&amp;height=120&amp;START_MAXIMIZED=FALSE&amp;creator=factset&amp;display_string=Audit"}</definedName>
    <definedName name="_3070__FDSAUDITLINK__" hidden="1">{"fdsup://Directions/FactSet Auditing Viewer?action=AUDIT_VALUE&amp;DB=129&amp;ID1=82691910&amp;VALUEID=02001&amp;SDATE=200401&amp;PERIODTYPE=QTR_STD&amp;SCFT=3&amp;window=popup_no_bar&amp;width=385&amp;height=120&amp;START_MAXIMIZED=FALSE&amp;creator=factset&amp;display_string=Audit"}</definedName>
    <definedName name="_3071__FDSAUDITLINK__" hidden="1">{"fdsup://Directions/FactSet Auditing Viewer?action=AUDIT_VALUE&amp;DB=129&amp;ID1=82705T10&amp;VALUEID=02001&amp;SDATE=200401&amp;PERIODTYPE=QTR_STD&amp;SCFT=3&amp;window=popup_no_bar&amp;width=385&amp;height=120&amp;START_MAXIMIZED=FALSE&amp;creator=factset&amp;display_string=Audit"}</definedName>
    <definedName name="_3072__FDSAUDITLINK__" hidden="1">{"fdsup://Directions/FactSet Auditing Viewer?action=AUDIT_VALUE&amp;DB=129&amp;ID1=82705T10&amp;VALUEID=02001&amp;SDATE=200401&amp;PERIODTYPE=QTR_STD&amp;SCFT=3&amp;window=popup_no_bar&amp;width=385&amp;height=120&amp;START_MAXIMIZED=FALSE&amp;creator=factset&amp;display_string=Audit"}</definedName>
    <definedName name="_3073__FDSAUDITLINK__" hidden="1">{"fdsup://Directions/FactSet Auditing Viewer?action=AUDIT_VALUE&amp;DB=129&amp;ID1=75091710&amp;VALUEID=02001&amp;SDATE=200401&amp;PERIODTYPE=QTR_STD&amp;SCFT=3&amp;window=popup_no_bar&amp;width=385&amp;height=120&amp;START_MAXIMIZED=FALSE&amp;creator=factset&amp;display_string=Audit"}</definedName>
    <definedName name="_3074__FDSAUDITLINK__" hidden="1">{"fdsup://Directions/FactSet Auditing Viewer?action=AUDIT_VALUE&amp;DB=129&amp;ID1=75091710&amp;VALUEID=02001&amp;SDATE=200401&amp;PERIODTYPE=QTR_STD&amp;SCFT=3&amp;window=popup_no_bar&amp;width=385&amp;height=120&amp;START_MAXIMIZED=FALSE&amp;creator=factset&amp;display_string=Audit"}</definedName>
    <definedName name="_3075__FDSAUDITLINK__" hidden="1">{"fdsup://Directions/FactSet Auditing Viewer?action=AUDIT_VALUE&amp;DB=129&amp;ID1=74752510&amp;VALUEID=02001&amp;SDATE=200402&amp;PERIODTYPE=QTR_STD&amp;SCFT=3&amp;window=popup_no_bar&amp;width=385&amp;height=120&amp;START_MAXIMIZED=FALSE&amp;creator=factset&amp;display_string=Audit"}</definedName>
    <definedName name="_3076__FDSAUDITLINK__" hidden="1">{"fdsup://Directions/FactSet Auditing Viewer?action=AUDIT_VALUE&amp;DB=129&amp;ID1=74752510&amp;VALUEID=02001&amp;SDATE=200402&amp;PERIODTYPE=QTR_STD&amp;SCFT=3&amp;window=popup_no_bar&amp;width=385&amp;height=120&amp;START_MAXIMIZED=FALSE&amp;creator=factset&amp;display_string=Audit"}</definedName>
    <definedName name="_3077__FDSAUDITLINK__" hidden="1">{"fdsup://Directions/FactSet Auditing Viewer?action=AUDIT_VALUE&amp;DB=129&amp;ID1=72581M30&amp;VALUEID=02001&amp;SDATE=200401&amp;PERIODTYPE=QTR_STD&amp;SCFT=3&amp;window=popup_no_bar&amp;width=385&amp;height=120&amp;START_MAXIMIZED=FALSE&amp;creator=factset&amp;display_string=Audit"}</definedName>
    <definedName name="_3078__FDSAUDITLINK__" hidden="1">{"fdsup://Directions/FactSet Auditing Viewer?action=AUDIT_VALUE&amp;DB=129&amp;ID1=72581M30&amp;VALUEID=02001&amp;SDATE=200401&amp;PERIODTYPE=QTR_STD&amp;SCFT=3&amp;window=popup_no_bar&amp;width=385&amp;height=120&amp;START_MAXIMIZED=FALSE&amp;creator=factset&amp;display_string=Audit"}</definedName>
    <definedName name="_3079__FDSAUDITLINK__" hidden="1">{"fdsup://Directions/FactSet Auditing Viewer?action=AUDIT_VALUE&amp;DB=129&amp;ID1=73927610&amp;VALUEID=02001&amp;SDATE=200401&amp;PERIODTYPE=QTR_STD&amp;SCFT=3&amp;window=popup_no_bar&amp;width=385&amp;height=120&amp;START_MAXIMIZED=FALSE&amp;creator=factset&amp;display_string=Audit"}</definedName>
    <definedName name="_308__FDSAUDITLINK__" hidden="1">{"fdsup://Directions/FactSet Auditing Viewer?action=AUDIT_VALUE&amp;DB=129&amp;ID1=88250810&amp;VALUEID=02001&amp;SDATE=201003&amp;PERIODTYPE=QTR_STD&amp;SCFT=3&amp;window=popup_no_bar&amp;width=385&amp;height=120&amp;START_MAXIMIZED=FALSE&amp;creator=factset&amp;display_string=Audit"}</definedName>
    <definedName name="_3080__FDSAUDITLINK__" hidden="1">{"fdsup://Directions/FactSet Auditing Viewer?action=AUDIT_VALUE&amp;DB=129&amp;ID1=73927610&amp;VALUEID=02001&amp;SDATE=200401&amp;PERIODTYPE=QTR_STD&amp;SCFT=3&amp;window=popup_no_bar&amp;width=385&amp;height=120&amp;START_MAXIMIZED=FALSE&amp;creator=factset&amp;display_string=Audit"}</definedName>
    <definedName name="_3081__FDSAUDITLINK__" hidden="1">{"fdsup://Directions/FactSet Auditing Viewer?action=AUDIT_VALUE&amp;DB=129&amp;ID1=69344F10&amp;VALUEID=02001&amp;SDATE=200401&amp;PERIODTYPE=QTR_STD&amp;SCFT=3&amp;window=popup_no_bar&amp;width=385&amp;height=120&amp;START_MAXIMIZED=FALSE&amp;creator=factset&amp;display_string=Audit"}</definedName>
    <definedName name="_3082__FDSAUDITLINK__" hidden="1">{"fdsup://Directions/FactSet Auditing Viewer?action=AUDIT_VALUE&amp;DB=129&amp;ID1=69344F10&amp;VALUEID=02001&amp;SDATE=200401&amp;PERIODTYPE=QTR_STD&amp;SCFT=3&amp;window=popup_no_bar&amp;width=385&amp;height=120&amp;START_MAXIMIZED=FALSE&amp;creator=factset&amp;display_string=Audit"}</definedName>
    <definedName name="_3083__FDSAUDITLINK__" hidden="1">{"fdsup://Directions/FactSet Auditing Viewer?action=AUDIT_VALUE&amp;DB=129&amp;ID1=69341710&amp;VALUEID=02001&amp;SDATE=200401&amp;PERIODTYPE=QTR_STD&amp;SCFT=3&amp;window=popup_no_bar&amp;width=385&amp;height=120&amp;START_MAXIMIZED=FALSE&amp;creator=factset&amp;display_string=Audit"}</definedName>
    <definedName name="_3084__FDSAUDITLINK__" hidden="1">{"fdsup://Directions/FactSet Auditing Viewer?action=AUDIT_VALUE&amp;DB=129&amp;ID1=69341710&amp;VALUEID=02001&amp;SDATE=200401&amp;PERIODTYPE=QTR_STD&amp;SCFT=3&amp;window=popup_no_bar&amp;width=385&amp;height=120&amp;START_MAXIMIZED=FALSE&amp;creator=factset&amp;display_string=Audit"}</definedName>
    <definedName name="_3085__FDSAUDITLINK__" hidden="1">{"fdsup://Directions/FactSet Auditing Viewer?action=AUDIT_VALUE&amp;DB=129&amp;ID1=68218910&amp;VALUEID=02001&amp;SDATE=200401&amp;PERIODTYPE=QTR_STD&amp;SCFT=3&amp;window=popup_no_bar&amp;width=385&amp;height=120&amp;START_MAXIMIZED=FALSE&amp;creator=factset&amp;display_string=Audit"}</definedName>
    <definedName name="_3086__FDSAUDITLINK__" hidden="1">{"fdsup://Directions/FactSet Auditing Viewer?action=AUDIT_VALUE&amp;DB=129&amp;ID1=68218910&amp;VALUEID=02001&amp;SDATE=200401&amp;PERIODTYPE=QTR_STD&amp;SCFT=3&amp;window=popup_no_bar&amp;width=385&amp;height=120&amp;START_MAXIMIZED=FALSE&amp;creator=factset&amp;display_string=Audit"}</definedName>
    <definedName name="_3087__FDSAUDITLINK__" hidden="1">{"fdsup://Directions/FactSet Auditing Viewer?action=AUDIT_VALUE&amp;DB=129&amp;ID1=67000810&amp;VALUEID=02001&amp;SDATE=200401&amp;PERIODTYPE=QTR_STD&amp;SCFT=3&amp;window=popup_no_bar&amp;width=385&amp;height=120&amp;START_MAXIMIZED=FALSE&amp;creator=factset&amp;display_string=Audit"}</definedName>
    <definedName name="_3088__FDSAUDITLINK__" hidden="1">{"fdsup://Directions/FactSet Auditing Viewer?action=AUDIT_VALUE&amp;DB=129&amp;ID1=67000810&amp;VALUEID=02001&amp;SDATE=200401&amp;PERIODTYPE=QTR_STD&amp;SCFT=3&amp;window=popup_no_bar&amp;width=385&amp;height=120&amp;START_MAXIMIZED=FALSE&amp;creator=factset&amp;display_string=Audit"}</definedName>
    <definedName name="_3089__FDSAUDITLINK__" hidden="1">{"fdsup://Directions/FactSet Auditing Viewer?action=AUDIT_VALUE&amp;DB=129&amp;ID1=67066G10&amp;VALUEID=02001&amp;SDATE=200401&amp;PERIODTYPE=QTR_STD&amp;SCFT=3&amp;window=popup_no_bar&amp;width=385&amp;height=120&amp;START_MAXIMIZED=FALSE&amp;creator=factset&amp;display_string=Audit"}</definedName>
    <definedName name="_309__FDSAUDITLINK__" hidden="1">{"fdsup://Directions/FactSet Auditing Viewer?action=AUDIT_VALUE&amp;DB=129&amp;ID1=89674K10&amp;VALUEID=02001&amp;SDATE=201003&amp;PERIODTYPE=QTR_STD&amp;SCFT=3&amp;window=popup_no_bar&amp;width=385&amp;height=120&amp;START_MAXIMIZED=FALSE&amp;creator=factset&amp;display_string=Audit"}</definedName>
    <definedName name="_3090__FDSAUDITLINK__" hidden="1">{"fdsup://Directions/FactSet Auditing Viewer?action=AUDIT_VALUE&amp;DB=129&amp;ID1=67066G10&amp;VALUEID=02001&amp;SDATE=200401&amp;PERIODTYPE=QTR_STD&amp;SCFT=3&amp;window=popup_no_bar&amp;width=385&amp;height=120&amp;START_MAXIMIZED=FALSE&amp;creator=factset&amp;display_string=Audit"}</definedName>
    <definedName name="_3091__FDSAUDITLINK__" hidden="1">{"fdsup://Directions/FactSet Auditing Viewer?action=AUDIT_VALUE&amp;DB=129&amp;ID1=63764010&amp;VALUEID=02001&amp;SDATE=200303&amp;PERIODTYPE=QTR_STD&amp;SCFT=3&amp;window=popup_no_bar&amp;width=385&amp;height=120&amp;START_MAXIMIZED=FALSE&amp;creator=factset&amp;display_string=Audit"}</definedName>
    <definedName name="_3092__FDSAUDITLINK__" hidden="1">{"fdsup://Directions/FactSet Auditing Viewer?action=AUDIT_VALUE&amp;DB=129&amp;ID1=63764010&amp;VALUEID=02001&amp;SDATE=200303&amp;PERIODTYPE=QTR_STD&amp;SCFT=3&amp;window=popup_no_bar&amp;width=385&amp;height=120&amp;START_MAXIMIZED=FALSE&amp;creator=factset&amp;display_string=Audit"}</definedName>
    <definedName name="_3093__FDSAUDITLINK__" hidden="1">{"fdsup://Directions/FactSet Auditing Viewer?action=AUDIT_VALUE&amp;DB=129&amp;ID1=57772K10&amp;VALUEID=02001&amp;SDATE=200403&amp;PERIODTYPE=QTR_STD&amp;SCFT=3&amp;window=popup_no_bar&amp;width=385&amp;height=120&amp;START_MAXIMIZED=FALSE&amp;creator=factset&amp;display_string=Audit"}</definedName>
    <definedName name="_3094__FDSAUDITLINK__" hidden="1">{"fdsup://Directions/FactSet Auditing Viewer?action=AUDIT_VALUE&amp;DB=129&amp;ID1=57772K10&amp;VALUEID=02001&amp;SDATE=200403&amp;PERIODTYPE=QTR_STD&amp;SCFT=3&amp;window=popup_no_bar&amp;width=385&amp;height=120&amp;START_MAXIMIZED=FALSE&amp;creator=factset&amp;display_string=Audit"}</definedName>
    <definedName name="_3095__FDSAUDITLINK__" hidden="1">{"fdsup://Directions/FactSet Auditing Viewer?action=AUDIT_VALUE&amp;DB=129&amp;ID1=59511210&amp;VALUEID=02001&amp;SDATE=200402&amp;PERIODTYPE=QTR_STD&amp;SCFT=3&amp;window=popup_no_bar&amp;width=385&amp;height=120&amp;START_MAXIMIZED=FALSE&amp;creator=factset&amp;display_string=Audit"}</definedName>
    <definedName name="_3096__FDSAUDITLINK__" hidden="1">{"fdsup://Directions/FactSet Auditing Viewer?action=AUDIT_VALUE&amp;DB=129&amp;ID1=59511210&amp;VALUEID=02001&amp;SDATE=200402&amp;PERIODTYPE=QTR_STD&amp;SCFT=3&amp;window=popup_no_bar&amp;width=385&amp;height=120&amp;START_MAXIMIZED=FALSE&amp;creator=factset&amp;display_string=Audit"}</definedName>
    <definedName name="_3097__FDSAUDITLINK__" hidden="1">{"fdsup://Directions/FactSet Auditing Viewer?action=AUDIT_VALUE&amp;DB=129&amp;ID1=59513710&amp;VALUEID=02001&amp;SDATE=200402&amp;PERIODTYPE=QTR_STD&amp;SCFT=3&amp;window=popup_no_bar&amp;width=385&amp;height=120&amp;START_MAXIMIZED=FALSE&amp;creator=factset&amp;display_string=Audit"}</definedName>
    <definedName name="_3098__FDSAUDITLINK__" hidden="1">{"fdsup://Directions/FactSet Auditing Viewer?action=AUDIT_VALUE&amp;DB=129&amp;ID1=59513710&amp;VALUEID=02001&amp;SDATE=200402&amp;PERIODTYPE=QTR_STD&amp;SCFT=3&amp;window=popup_no_bar&amp;width=385&amp;height=120&amp;START_MAXIMIZED=FALSE&amp;creator=factset&amp;display_string=Audit"}</definedName>
    <definedName name="_3099__FDSAUDITLINK__" hidden="1">{"fdsup://Directions/FactSet Auditing Viewer?action=AUDIT_VALUE&amp;DB=129&amp;ID1=G5876H10&amp;VALUEID=02001&amp;SDATE=200401&amp;PERIODTYPE=QTR_STD&amp;SCFT=3&amp;window=popup_no_bar&amp;width=385&amp;height=120&amp;START_MAXIMIZED=FALSE&amp;creator=factset&amp;display_string=Audit"}</definedName>
    <definedName name="_31__FDSAUDITLINK__" hidden="1">{"fdsup://Directions/FactSet Auditing Viewer?action=AUDIT_VALUE&amp;DB=129&amp;ID1=82691910&amp;VALUEID=02001&amp;SDATE=201101&amp;PERIODTYPE=QTR_STD&amp;SCFT=3&amp;window=popup_no_bar&amp;width=385&amp;height=120&amp;START_MAXIMIZED=FALSE&amp;creator=factset&amp;display_string=Audit"}</definedName>
    <definedName name="_310__FDSAUDITLINK__" hidden="1">{"fdsup://Directions/FactSet Auditing Viewer?action=AUDIT_VALUE&amp;DB=129&amp;ID1=89674K10&amp;VALUEID=02001&amp;SDATE=201003&amp;PERIODTYPE=QTR_STD&amp;SCFT=3&amp;window=popup_no_bar&amp;width=385&amp;height=120&amp;START_MAXIMIZED=FALSE&amp;creator=factset&amp;display_string=Audit"}</definedName>
    <definedName name="_3100__FDSAUDITLINK__" hidden="1">{"fdsup://Directions/FactSet Auditing Viewer?action=AUDIT_VALUE&amp;DB=129&amp;ID1=G5876H10&amp;VALUEID=02001&amp;SDATE=200401&amp;PERIODTYPE=QTR_STD&amp;SCFT=3&amp;window=popup_no_bar&amp;width=385&amp;height=120&amp;START_MAXIMIZED=FALSE&amp;creator=factset&amp;display_string=Audit"}</definedName>
    <definedName name="_3101__FDSAUDITLINK__" hidden="1">{"fdsup://Directions/FactSet Auditing Viewer?action=AUDIT_VALUE&amp;DB=129&amp;ID1=62007630&amp;VALUEID=02001&amp;SDATE=200401&amp;PERIODTYPE=QTR_STD&amp;SCFT=3&amp;window=popup_no_bar&amp;width=385&amp;height=120&amp;START_MAXIMIZED=FALSE&amp;creator=factset&amp;display_string=Audit"}</definedName>
    <definedName name="_3102__FDSAUDITLINK__" hidden="1">{"fdsup://Directions/FactSet Auditing Viewer?action=AUDIT_VALUE&amp;DB=129&amp;ID1=62007630&amp;VALUEID=02001&amp;SDATE=200401&amp;PERIODTYPE=QTR_STD&amp;SCFT=3&amp;window=popup_no_bar&amp;width=385&amp;height=120&amp;START_MAXIMIZED=FALSE&amp;creator=factset&amp;display_string=Audit"}</definedName>
    <definedName name="_3103__FDSAUDITLINK__" hidden="1">{"fdsup://Directions/FactSet Auditing Viewer?action=AUDIT_VALUE&amp;DB=129&amp;ID1=60456710&amp;VALUEID=02001&amp;SDATE=200403&amp;PERIODTYPE=QTR_STD&amp;SCFT=3&amp;window=popup_no_bar&amp;width=385&amp;height=120&amp;START_MAXIMIZED=FALSE&amp;creator=factset&amp;display_string=Audit"}</definedName>
    <definedName name="_3104__FDSAUDITLINK__" hidden="1">{"fdsup://Directions/FactSet Auditing Viewer?action=AUDIT_VALUE&amp;DB=129&amp;ID1=60456710&amp;VALUEID=02001&amp;SDATE=200403&amp;PERIODTYPE=QTR_STD&amp;SCFT=3&amp;window=popup_no_bar&amp;width=385&amp;height=120&amp;START_MAXIMIZED=FALSE&amp;creator=factset&amp;display_string=Audit"}</definedName>
    <definedName name="_3105__FDSAUDITLINK__" hidden="1">{"fdsup://Directions/FactSet Auditing Viewer?action=AUDIT_VALUE&amp;DB=129&amp;ID1=59479310&amp;VALUEID=02001&amp;SDATE=200401&amp;PERIODTYPE=QTR_STD&amp;SCFT=3&amp;window=popup_no_bar&amp;width=385&amp;height=120&amp;START_MAXIMIZED=FALSE&amp;creator=factset&amp;display_string=Audit"}</definedName>
    <definedName name="_3106__FDSAUDITLINK__" hidden="1">{"fdsup://Directions/FactSet Auditing Viewer?action=AUDIT_VALUE&amp;DB=129&amp;ID1=59479310&amp;VALUEID=02001&amp;SDATE=200401&amp;PERIODTYPE=QTR_STD&amp;SCFT=3&amp;window=popup_no_bar&amp;width=385&amp;height=120&amp;START_MAXIMIZED=FALSE&amp;creator=factset&amp;display_string=Audit"}</definedName>
    <definedName name="_3107__FDSAUDITLINK__" hidden="1">{"fdsup://Directions/FactSet Auditing Viewer?action=AUDIT_VALUE&amp;DB=129&amp;ID1=50216110&amp;VALUEID=02001&amp;SDATE=200401&amp;PERIODTYPE=QTR_STD&amp;SCFT=3&amp;window=popup_no_bar&amp;width=385&amp;height=120&amp;START_MAXIMIZED=FALSE&amp;creator=factset&amp;display_string=Audit"}</definedName>
    <definedName name="_3108__FDSAUDITLINK__" hidden="1">{"fdsup://Directions/FactSet Auditing Viewer?action=AUDIT_VALUE&amp;DB=129&amp;ID1=50216110&amp;VALUEID=02001&amp;SDATE=200401&amp;PERIODTYPE=QTR_STD&amp;SCFT=3&amp;window=popup_no_bar&amp;width=385&amp;height=120&amp;START_MAXIMIZED=FALSE&amp;creator=factset&amp;display_string=Audit"}</definedName>
    <definedName name="_3109__FDSAUDITLINK__" hidden="1">{"fdsup://Directions/FactSet Auditing Viewer?action=AUDIT_VALUE&amp;DB=129&amp;ID1=51841510&amp;VALUEID=02001&amp;SDATE=200401&amp;PERIODTYPE=QTR_STD&amp;SCFT=3&amp;window=popup_no_bar&amp;width=385&amp;height=120&amp;START_MAXIMIZED=FALSE&amp;creator=factset&amp;display_string=Audit"}</definedName>
    <definedName name="_311__FDSAUDITLINK__" hidden="1">{"fdsup://Directions/FactSet Auditing Viewer?action=AUDIT_VALUE&amp;DB=129&amp;ID1=83088M10&amp;VALUEID=02001&amp;SDATE=201004&amp;PERIODTYPE=QTR_STD&amp;SCFT=3&amp;window=popup_no_bar&amp;width=385&amp;height=120&amp;START_MAXIMIZED=FALSE&amp;creator=factset&amp;display_string=Audit"}</definedName>
    <definedName name="_3110__FDSAUDITLINK__" hidden="1">{"fdsup://Directions/FactSet Auditing Viewer?action=AUDIT_VALUE&amp;DB=129&amp;ID1=51841510&amp;VALUEID=02001&amp;SDATE=200401&amp;PERIODTYPE=QTR_STD&amp;SCFT=3&amp;window=popup_no_bar&amp;width=385&amp;height=120&amp;START_MAXIMIZED=FALSE&amp;creator=factset&amp;display_string=Audit"}</definedName>
    <definedName name="_3111__FDSAUDITLINK__" hidden="1">{"fdsup://Directions/FactSet Auditing Viewer?action=AUDIT_VALUE&amp;DB=129&amp;ID1=51280710&amp;VALUEID=02001&amp;SDATE=200403&amp;PERIODTYPE=QTR_STD&amp;SCFT=3&amp;window=popup_no_bar&amp;width=385&amp;height=120&amp;START_MAXIMIZED=FALSE&amp;creator=factset&amp;display_string=Audit"}</definedName>
    <definedName name="_3112__FDSAUDITLINK__" hidden="1">{"fdsup://Directions/FactSet Auditing Viewer?action=AUDIT_VALUE&amp;DB=129&amp;ID1=51280710&amp;VALUEID=02001&amp;SDATE=200403&amp;PERIODTYPE=QTR_STD&amp;SCFT=3&amp;window=popup_no_bar&amp;width=385&amp;height=120&amp;START_MAXIMIZED=FALSE&amp;creator=factset&amp;display_string=Audit"}</definedName>
    <definedName name="_3113__FDSAUDITLINK__" hidden="1">{"fdsup://Directions/FactSet Auditing Viewer?action=AUDIT_VALUE&amp;DB=129&amp;ID1=53567810&amp;VALUEID=02001&amp;SDATE=200403&amp;PERIODTYPE=QTR_STD&amp;SCFT=3&amp;window=popup_no_bar&amp;width=385&amp;height=120&amp;START_MAXIMIZED=FALSE&amp;creator=factset&amp;display_string=Audit"}</definedName>
    <definedName name="_3114__FDSAUDITLINK__" hidden="1">{"fdsup://Directions/FactSet Auditing Viewer?action=AUDIT_VALUE&amp;DB=129&amp;ID1=53567810&amp;VALUEID=02001&amp;SDATE=200403&amp;PERIODTYPE=QTR_STD&amp;SCFT=3&amp;window=popup_no_bar&amp;width=385&amp;height=120&amp;START_MAXIMIZED=FALSE&amp;creator=factset&amp;display_string=Audit"}</definedName>
    <definedName name="_3115__FDSAUDITLINK__" hidden="1">{"fdsup://Directions/FactSet Auditing Viewer?action=AUDIT_VALUE&amp;DB=129&amp;ID1=48248010&amp;VALUEID=02001&amp;SDATE=200403&amp;PERIODTYPE=QTR_STD&amp;SCFT=3&amp;window=popup_no_bar&amp;width=385&amp;height=120&amp;START_MAXIMIZED=FALSE&amp;creator=factset&amp;display_string=Audit"}</definedName>
    <definedName name="_3116__FDSAUDITLINK__" hidden="1">{"fdsup://Directions/FactSet Auditing Viewer?action=AUDIT_VALUE&amp;DB=129&amp;ID1=48248010&amp;VALUEID=02001&amp;SDATE=200403&amp;PERIODTYPE=QTR_STD&amp;SCFT=3&amp;window=popup_no_bar&amp;width=385&amp;height=120&amp;START_MAXIMIZED=FALSE&amp;creator=factset&amp;display_string=Audit"}</definedName>
    <definedName name="_3117__FDSAUDITLINK__" hidden="1">{"fdsup://Directions/FactSet Auditing Viewer?action=AUDIT_VALUE&amp;DB=129&amp;ID1=48203R10&amp;VALUEID=02001&amp;SDATE=200401&amp;PERIODTYPE=QTR_STD&amp;SCFT=3&amp;window=popup_no_bar&amp;width=385&amp;height=120&amp;START_MAXIMIZED=FALSE&amp;creator=factset&amp;display_string=Audit"}</definedName>
    <definedName name="_3118__FDSAUDITLINK__" hidden="1">{"fdsup://Directions/FactSet Auditing Viewer?action=AUDIT_VALUE&amp;DB=129&amp;ID1=48203R10&amp;VALUEID=02001&amp;SDATE=200401&amp;PERIODTYPE=QTR_STD&amp;SCFT=3&amp;window=popup_no_bar&amp;width=385&amp;height=120&amp;START_MAXIMIZED=FALSE&amp;creator=factset&amp;display_string=Audit"}</definedName>
    <definedName name="_3119__FDSAUDITLINK__" hidden="1">{"fdsup://Directions/FactSet Auditing Viewer?action=AUDIT_VALUE&amp;DB=129&amp;ID1=86681020&amp;VALUEID=02001&amp;SDATE=200403&amp;PERIODTYPE=QTR_STD&amp;SCFT=3&amp;window=popup_no_bar&amp;width=385&amp;height=120&amp;START_MAXIMIZED=FALSE&amp;creator=factset&amp;display_string=Audit"}</definedName>
    <definedName name="_312__FDSAUDITLINK__" hidden="1">{"fdsup://Directions/FactSet Auditing Viewer?action=AUDIT_VALUE&amp;DB=129&amp;ID1=83088M10&amp;VALUEID=02001&amp;SDATE=201004&amp;PERIODTYPE=QTR_STD&amp;SCFT=3&amp;window=popup_no_bar&amp;width=385&amp;height=120&amp;START_MAXIMIZED=FALSE&amp;creator=factset&amp;display_string=Audit"}</definedName>
    <definedName name="_3120__FDSAUDITLINK__" hidden="1">{"fdsup://Directions/FactSet Auditing Viewer?action=AUDIT_VALUE&amp;DB=129&amp;ID1=86681020&amp;VALUEID=02001&amp;SDATE=200403&amp;PERIODTYPE=QTR_STD&amp;SCFT=3&amp;window=popup_no_bar&amp;width=385&amp;height=120&amp;START_MAXIMIZED=FALSE&amp;creator=factset&amp;display_string=Audit"}</definedName>
    <definedName name="_3121__FDSAUDITLINK__" hidden="1">{"fdsup://Directions/FactSet Auditing Viewer?action=AUDIT_VALUE&amp;DB=129&amp;ID1=46069S10&amp;VALUEID=02001&amp;SDATE=200401&amp;PERIODTYPE=QTR_STD&amp;SCFT=3&amp;window=popup_no_bar&amp;width=385&amp;height=120&amp;START_MAXIMIZED=FALSE&amp;creator=factset&amp;display_string=Audit"}</definedName>
    <definedName name="_3122__FDSAUDITLINK__" hidden="1">{"fdsup://Directions/FactSet Auditing Viewer?action=AUDIT_VALUE&amp;DB=129&amp;ID1=46069S10&amp;VALUEID=02001&amp;SDATE=200401&amp;PERIODTYPE=QTR_STD&amp;SCFT=3&amp;window=popup_no_bar&amp;width=385&amp;height=120&amp;START_MAXIMIZED=FALSE&amp;creator=factset&amp;display_string=Audit"}</definedName>
    <definedName name="_3123__FDSAUDITLINK__" hidden="1">{"fdsup://Directions/FactSet Auditing Viewer?action=AUDIT_VALUE&amp;DB=129&amp;ID1=45814010&amp;VALUEID=02001&amp;SDATE=200401&amp;PERIODTYPE=QTR_STD&amp;SCFT=3&amp;window=popup_no_bar&amp;width=385&amp;height=120&amp;START_MAXIMIZED=FALSE&amp;creator=factset&amp;display_string=Audit"}</definedName>
    <definedName name="_3124__FDSAUDITLINK__" hidden="1">{"fdsup://Directions/FactSet Auditing Viewer?action=AUDIT_VALUE&amp;DB=129&amp;ID1=45814010&amp;VALUEID=02001&amp;SDATE=200401&amp;PERIODTYPE=QTR_STD&amp;SCFT=3&amp;window=popup_no_bar&amp;width=385&amp;height=120&amp;START_MAXIMIZED=FALSE&amp;creator=factset&amp;display_string=Audit"}</definedName>
    <definedName name="_3125__FDSAUDITLINK__" hidden="1">{"fdsup://Directions/FactSet Auditing Viewer?action=AUDIT_VALUE&amp;DB=129&amp;ID1=42823610&amp;VALUEID=02001&amp;SDATE=200402&amp;PERIODTYPE=QTR_STD&amp;SCFT=3&amp;window=popup_no_bar&amp;width=385&amp;height=120&amp;START_MAXIMIZED=FALSE&amp;creator=factset&amp;display_string=Audit"}</definedName>
    <definedName name="_3126__FDSAUDITLINK__" hidden="1">{"fdsup://Directions/FactSet Auditing Viewer?action=AUDIT_VALUE&amp;DB=129&amp;ID1=42823610&amp;VALUEID=02001&amp;SDATE=200402&amp;PERIODTYPE=QTR_STD&amp;SCFT=3&amp;window=popup_no_bar&amp;width=385&amp;height=120&amp;START_MAXIMIZED=FALSE&amp;creator=factset&amp;display_string=Audit"}</definedName>
    <definedName name="_3127__FDSAUDITLINK__" hidden="1">{"fdsup://Directions/FactSet Auditing Viewer?action=AUDIT_VALUE&amp;DB=129&amp;ID1=34637510&amp;VALUEID=02001&amp;SDATE=200401&amp;PERIODTYPE=QTR_STD&amp;SCFT=3&amp;window=popup_no_bar&amp;width=385&amp;height=120&amp;START_MAXIMIZED=FALSE&amp;creator=factset&amp;display_string=Audit"}</definedName>
    <definedName name="_3128__FDSAUDITLINK__" hidden="1">{"fdsup://Directions/FactSet Auditing Viewer?action=AUDIT_VALUE&amp;DB=129&amp;ID1=34637510&amp;VALUEID=02001&amp;SDATE=200401&amp;PERIODTYPE=QTR_STD&amp;SCFT=3&amp;window=popup_no_bar&amp;width=385&amp;height=120&amp;START_MAXIMIZED=FALSE&amp;creator=factset&amp;display_string=Audit"}</definedName>
    <definedName name="_3129__FDSAUDITLINK__" hidden="1">{"fdsup://Directions/FactSet Auditing Viewer?action=AUDIT_VALUE&amp;DB=129&amp;ID1=31561610&amp;VALUEID=02001&amp;SDATE=200402&amp;PERIODTYPE=QTR_STD&amp;SCFT=3&amp;window=popup_no_bar&amp;width=385&amp;height=120&amp;START_MAXIMIZED=FALSE&amp;creator=factset&amp;display_string=Audit"}</definedName>
    <definedName name="_313__FDSAUDITLINK__" hidden="1">{"fdsup://Directions/FactSet Auditing Viewer?action=AUDIT_VALUE&amp;DB=129&amp;ID1=G7945M10&amp;VALUEID=02001&amp;SDATE=201101&amp;PERIODTYPE=QTR_STD&amp;SCFT=3&amp;window=popup_no_bar&amp;width=385&amp;height=120&amp;START_MAXIMIZED=FALSE&amp;creator=factset&amp;display_string=Audit"}</definedName>
    <definedName name="_3130__FDSAUDITLINK__" hidden="1">{"fdsup://Directions/FactSet Auditing Viewer?action=AUDIT_VALUE&amp;DB=129&amp;ID1=31561610&amp;VALUEID=02001&amp;SDATE=200402&amp;PERIODTYPE=QTR_STD&amp;SCFT=3&amp;window=popup_no_bar&amp;width=385&amp;height=120&amp;START_MAXIMIZED=FALSE&amp;creator=factset&amp;display_string=Audit"}</definedName>
    <definedName name="_3131__FDSAUDITLINK__" hidden="1">{"fdsup://Directions/FactSet Auditing Viewer?action=AUDIT_VALUE&amp;DB=129&amp;ID1=29247520&amp;VALUEID=02001&amp;SDATE=200403&amp;PERIODTYPE=QTR_STD&amp;SCFT=3&amp;window=popup_no_bar&amp;width=385&amp;height=120&amp;START_MAXIMIZED=FALSE&amp;creator=factset&amp;display_string=Audit"}</definedName>
    <definedName name="_3132__FDSAUDITLINK__" hidden="1">{"fdsup://Directions/FactSet Auditing Viewer?action=AUDIT_VALUE&amp;DB=129&amp;ID1=29247520&amp;VALUEID=02001&amp;SDATE=200403&amp;PERIODTYPE=QTR_STD&amp;SCFT=3&amp;window=popup_no_bar&amp;width=385&amp;height=120&amp;START_MAXIMIZED=FALSE&amp;creator=factset&amp;display_string=Audit"}</definedName>
    <definedName name="_3133__FDSAUDITLINK__" hidden="1">{"fdsup://Directions/FactSet Auditing Viewer?action=AUDIT_VALUE&amp;DB=129&amp;ID1=25454310&amp;VALUEID=02001&amp;SDATE=200401&amp;PERIODTYPE=QTR_STD&amp;SCFT=3&amp;window=popup_no_bar&amp;width=385&amp;height=120&amp;START_MAXIMIZED=FALSE&amp;creator=factset&amp;display_string=Audit"}</definedName>
    <definedName name="_3134__FDSAUDITLINK__" hidden="1">{"fdsup://Directions/FactSet Auditing Viewer?action=AUDIT_VALUE&amp;DB=129&amp;ID1=25454310&amp;VALUEID=02001&amp;SDATE=200401&amp;PERIODTYPE=QTR_STD&amp;SCFT=3&amp;window=popup_no_bar&amp;width=385&amp;height=120&amp;START_MAXIMIZED=FALSE&amp;creator=factset&amp;display_string=Audit"}</definedName>
    <definedName name="_3135__FDSAUDITLINK__" hidden="1">{"fdsup://Directions/FactSet Auditing Viewer?action=AUDIT_VALUE&amp;DB=129&amp;ID1=24702R10&amp;VALUEID=02001&amp;SDATE=200401&amp;PERIODTYPE=QTR_STD&amp;SCFT=3&amp;window=popup_no_bar&amp;width=385&amp;height=120&amp;START_MAXIMIZED=FALSE&amp;creator=factset&amp;display_string=Audit"}</definedName>
    <definedName name="_3136__FDSAUDITLINK__" hidden="1">{"fdsup://Directions/FactSet Auditing Viewer?action=AUDIT_VALUE&amp;DB=129&amp;ID1=24702R10&amp;VALUEID=02001&amp;SDATE=200401&amp;PERIODTYPE=QTR_STD&amp;SCFT=3&amp;window=popup_no_bar&amp;width=385&amp;height=120&amp;START_MAXIMIZED=FALSE&amp;creator=factset&amp;display_string=Audit"}</definedName>
    <definedName name="_3137__FDSAUDITLINK__" hidden="1">{"fdsup://Directions/FactSet Auditing Viewer?action=AUDIT_VALUE&amp;DB=129&amp;ID1=23280610&amp;VALUEID=02001&amp;SDATE=200401&amp;PERIODTYPE=QTR_STD&amp;SCFT=3&amp;window=popup_no_bar&amp;width=385&amp;height=120&amp;START_MAXIMIZED=FALSE&amp;creator=factset&amp;display_string=Audit"}</definedName>
    <definedName name="_3138__FDSAUDITLINK__" hidden="1">{"fdsup://Directions/FactSet Auditing Viewer?action=AUDIT_VALUE&amp;DB=129&amp;ID1=23280610&amp;VALUEID=02001&amp;SDATE=200401&amp;PERIODTYPE=QTR_STD&amp;SCFT=3&amp;window=popup_no_bar&amp;width=385&amp;height=120&amp;START_MAXIMIZED=FALSE&amp;creator=factset&amp;display_string=Audit"}</definedName>
    <definedName name="_3139__FDSAUDITLINK__" hidden="1">{"fdsup://Directions/FactSet Auditing Viewer?action=AUDIT_VALUE&amp;DB=129&amp;ID1=17275R10&amp;VALUEID=02001&amp;SDATE=200403&amp;PERIODTYPE=QTR_STD&amp;SCFT=3&amp;window=popup_no_bar&amp;width=385&amp;height=120&amp;START_MAXIMIZED=FALSE&amp;creator=factset&amp;display_string=Audit"}</definedName>
    <definedName name="_314__FDSAUDITLINK__" hidden="1">{"fdsup://Directions/FactSet Auditing Viewer?action=AUDIT_VALUE&amp;DB=129&amp;ID1=G7945M10&amp;VALUEID=02001&amp;SDATE=201101&amp;PERIODTYPE=QTR_STD&amp;SCFT=3&amp;window=popup_no_bar&amp;width=385&amp;height=120&amp;START_MAXIMIZED=FALSE&amp;creator=factset&amp;display_string=Audit"}</definedName>
    <definedName name="_3140__FDSAUDITLINK__" hidden="1">{"fdsup://Directions/FactSet Auditing Viewer?action=AUDIT_VALUE&amp;DB=129&amp;ID1=17275R10&amp;VALUEID=02001&amp;SDATE=200403&amp;PERIODTYPE=QTR_STD&amp;SCFT=3&amp;window=popup_no_bar&amp;width=385&amp;height=120&amp;START_MAXIMIZED=FALSE&amp;creator=factset&amp;display_string=Audit"}</definedName>
    <definedName name="_3141__FDSAUDITLINK__" hidden="1">{"fdsup://Directions/FactSet Auditing Viewer?action=AUDIT_VALUE&amp;DB=129&amp;ID1=22544710&amp;VALUEID=02001&amp;SDATE=200403&amp;PERIODTYPE=QTR_STD&amp;SCFT=3&amp;window=popup_no_bar&amp;width=385&amp;height=120&amp;START_MAXIMIZED=FALSE&amp;creator=factset&amp;display_string=Audit"}</definedName>
    <definedName name="_3142__FDSAUDITLINK__" hidden="1">{"fdsup://Directions/FactSet Auditing Viewer?action=AUDIT_VALUE&amp;DB=129&amp;ID1=22544710&amp;VALUEID=02001&amp;SDATE=200403&amp;PERIODTYPE=QTR_STD&amp;SCFT=3&amp;window=popup_no_bar&amp;width=385&amp;height=120&amp;START_MAXIMIZED=FALSE&amp;creator=factset&amp;display_string=Audit"}</definedName>
    <definedName name="_3143__FDSAUDITLINK__" hidden="1">{"fdsup://Directions/FactSet Auditing Viewer?action=AUDIT_VALUE&amp;DB=129&amp;ID1=20714230&amp;VALUEID=02001&amp;SDATE=200402&amp;PERIODTYPE=QTR_STD&amp;SCFT=3&amp;window=popup_no_bar&amp;width=385&amp;height=120&amp;START_MAXIMIZED=FALSE&amp;creator=factset&amp;display_string=Audit"}</definedName>
    <definedName name="_3144__FDSAUDITLINK__" hidden="1">{"fdsup://Directions/FactSet Auditing Viewer?action=AUDIT_VALUE&amp;DB=129&amp;ID1=20714230&amp;VALUEID=02001&amp;SDATE=200402&amp;PERIODTYPE=QTR_STD&amp;SCFT=3&amp;window=popup_no_bar&amp;width=385&amp;height=120&amp;START_MAXIMIZED=FALSE&amp;creator=factset&amp;display_string=Audit"}</definedName>
    <definedName name="_3145__FDSAUDITLINK__" hidden="1">{"fdsup://Directions/FactSet Auditing Viewer?action=AUDIT_VALUE&amp;DB=129&amp;ID1=12738710&amp;VALUEID=02001&amp;SDATE=200401&amp;PERIODTYPE=QTR_STD&amp;SCFT=3&amp;window=popup_no_bar&amp;width=385&amp;height=120&amp;START_MAXIMIZED=FALSE&amp;creator=factset&amp;display_string=Audit"}</definedName>
    <definedName name="_3146__FDSAUDITLINK__" hidden="1">{"fdsup://Directions/FactSet Auditing Viewer?action=AUDIT_VALUE&amp;DB=129&amp;ID1=12738710&amp;VALUEID=02001&amp;SDATE=200401&amp;PERIODTYPE=QTR_STD&amp;SCFT=3&amp;window=popup_no_bar&amp;width=385&amp;height=120&amp;START_MAXIMIZED=FALSE&amp;creator=factset&amp;display_string=Audit"}</definedName>
    <definedName name="_3147__FDSAUDITLINK__" hidden="1">{"fdsup://Directions/FactSet Auditing Viewer?action=AUDIT_VALUE&amp;DB=129&amp;ID1=11162130&amp;VALUEID=02001&amp;SDATE=200402&amp;PERIODTYPE=QTR_STD&amp;SCFT=3&amp;window=popup_no_bar&amp;width=385&amp;height=120&amp;START_MAXIMIZED=FALSE&amp;creator=factset&amp;display_string=Audit"}</definedName>
    <definedName name="_3148__FDSAUDITLINK__" hidden="1">{"fdsup://Directions/FactSet Auditing Viewer?action=AUDIT_VALUE&amp;DB=129&amp;ID1=11162130&amp;VALUEID=02001&amp;SDATE=200402&amp;PERIODTYPE=QTR_STD&amp;SCFT=3&amp;window=popup_no_bar&amp;width=385&amp;height=120&amp;START_MAXIMIZED=FALSE&amp;creator=factset&amp;display_string=Audit"}</definedName>
    <definedName name="_3149__FDSAUDITLINK__" hidden="1">{"fdsup://Directions/FactSet Auditing Viewer?action=AUDIT_VALUE&amp;DB=129&amp;ID1=04743P10&amp;VALUEID=02001&amp;SDATE=200401&amp;PERIODTYPE=QTR_STD&amp;SCFT=3&amp;window=popup_no_bar&amp;width=385&amp;height=120&amp;START_MAXIMIZED=FALSE&amp;creator=factset&amp;display_string=Audit"}</definedName>
    <definedName name="_315__FDSAUDITLINK__" hidden="1">{"fdsup://Directions/FactSet Auditing Viewer?action=AUDIT_VALUE&amp;DB=129&amp;ID1=78477410&amp;VALUEID=02001&amp;SDATE=201003&amp;PERIODTYPE=QTR_STD&amp;SCFT=3&amp;window=popup_no_bar&amp;width=385&amp;height=120&amp;START_MAXIMIZED=FALSE&amp;creator=factset&amp;display_string=Audit"}</definedName>
    <definedName name="_3150__FDSAUDITLINK__" hidden="1">{"fdsup://Directions/FactSet Auditing Viewer?action=AUDIT_VALUE&amp;DB=129&amp;ID1=04743P10&amp;VALUEID=02001&amp;SDATE=200401&amp;PERIODTYPE=QTR_STD&amp;SCFT=3&amp;window=popup_no_bar&amp;width=385&amp;height=120&amp;START_MAXIMIZED=FALSE&amp;creator=factset&amp;display_string=Audit"}</definedName>
    <definedName name="_3151__FDSAUDITLINK__" hidden="1">{"fdsup://Directions/FactSet Auditing Viewer?action=AUDIT_VALUE&amp;DB=129&amp;ID1=00790310&amp;VALUEID=02001&amp;SDATE=200401&amp;PERIODTYPE=QTR_STD&amp;SCFT=3&amp;window=popup_no_bar&amp;width=385&amp;height=120&amp;START_MAXIMIZED=FALSE&amp;creator=factset&amp;display_string=Audit"}</definedName>
    <definedName name="_3152__FDSAUDITLINK__" hidden="1">{"fdsup://Directions/FactSet Auditing Viewer?action=AUDIT_VALUE&amp;DB=129&amp;ID1=00790310&amp;VALUEID=02001&amp;SDATE=200401&amp;PERIODTYPE=QTR_STD&amp;SCFT=3&amp;window=popup_no_bar&amp;width=385&amp;height=120&amp;START_MAXIMIZED=FALSE&amp;creator=factset&amp;display_string=Audit"}</definedName>
    <definedName name="_3153__FDSAUDITLINK__" hidden="1">{"fdsup://Directions/FactSet Auditing Viewer?action=AUDIT_VALUE&amp;DB=129&amp;ID1=03822210&amp;VALUEID=02001&amp;SDATE=200402&amp;PERIODTYPE=QTR_STD&amp;SCFT=3&amp;window=popup_no_bar&amp;width=385&amp;height=120&amp;START_MAXIMIZED=FALSE&amp;creator=factset&amp;display_string=Audit"}</definedName>
    <definedName name="_3154__FDSAUDITLINK__" hidden="1">{"fdsup://Directions/FactSet Auditing Viewer?action=AUDIT_VALUE&amp;DB=129&amp;ID1=03822210&amp;VALUEID=02001&amp;SDATE=200402&amp;PERIODTYPE=QTR_STD&amp;SCFT=3&amp;window=popup_no_bar&amp;width=385&amp;height=120&amp;START_MAXIMIZED=FALSE&amp;creator=factset&amp;display_string=Audit"}</definedName>
    <definedName name="_3155__FDSAUDITLINK__" hidden="1">{"fdsup://Directions/FactSet Auditing Viewer?action=AUDIT_VALUE&amp;DB=129&amp;ID1=02144110&amp;VALUEID=02001&amp;SDATE=200401&amp;PERIODTYPE=QTR_STD&amp;SCFT=3&amp;window=popup_no_bar&amp;width=385&amp;height=120&amp;START_MAXIMIZED=FALSE&amp;creator=factset&amp;display_string=Audit"}</definedName>
    <definedName name="_3156__FDSAUDITLINK__" hidden="1">{"fdsup://Directions/FactSet Auditing Viewer?action=AUDIT_VALUE&amp;DB=129&amp;ID1=02144110&amp;VALUEID=02001&amp;SDATE=200401&amp;PERIODTYPE=QTR_STD&amp;SCFT=3&amp;window=popup_no_bar&amp;width=385&amp;height=120&amp;START_MAXIMIZED=FALSE&amp;creator=factset&amp;display_string=Audit"}</definedName>
    <definedName name="_3157__FDSAUDITLINK__" hidden="1">{"fdsup://Directions/FactSet Auditing Viewer?action=AUDIT_VALUE&amp;DB=129&amp;ID1=03265410&amp;VALUEID=02001&amp;SDATE=200402&amp;PERIODTYPE=QTR_STD&amp;SCFT=3&amp;window=popup_no_bar&amp;width=385&amp;height=120&amp;START_MAXIMIZED=FALSE&amp;creator=factset&amp;display_string=Audit"}</definedName>
    <definedName name="_3158__FDSAUDITLINK__" hidden="1">{"fdsup://Directions/FactSet Auditing Viewer?action=AUDIT_VALUE&amp;DB=129&amp;ID1=03265410&amp;VALUEID=02001&amp;SDATE=200402&amp;PERIODTYPE=QTR_STD&amp;SCFT=3&amp;window=popup_no_bar&amp;width=385&amp;height=120&amp;START_MAXIMIZED=FALSE&amp;creator=factset&amp;display_string=Audit"}</definedName>
    <definedName name="_3159__FDSAUDITLINK__" hidden="1">{"fdsup://Directions/FactSet Auditing Viewer?action=AUDIT_VALUE&amp;DB=129&amp;ID1=80004C10&amp;VALUEID=02001&amp;SDATE=200402&amp;PERIODTYPE=QTR_STD&amp;SCFT=3&amp;window=popup_no_bar&amp;width=385&amp;height=120&amp;START_MAXIMIZED=FALSE&amp;creator=factset&amp;display_string=Audit"}</definedName>
    <definedName name="_316__FDSAUDITLINK__" hidden="1">{"fdsup://Directions/FactSet Auditing Viewer?action=AUDIT_VALUE&amp;DB=129&amp;ID1=78477410&amp;VALUEID=02001&amp;SDATE=201003&amp;PERIODTYPE=QTR_STD&amp;SCFT=3&amp;window=popup_no_bar&amp;width=385&amp;height=120&amp;START_MAXIMIZED=FALSE&amp;creator=factset&amp;display_string=Audit"}</definedName>
    <definedName name="_3160__FDSAUDITLINK__" hidden="1">{"fdsup://Directions/FactSet Auditing Viewer?action=AUDIT_VALUE&amp;DB=129&amp;ID1=80004C10&amp;VALUEID=02001&amp;SDATE=200402&amp;PERIODTYPE=QTR_STD&amp;SCFT=3&amp;window=popup_no_bar&amp;width=385&amp;height=120&amp;START_MAXIMIZED=FALSE&amp;creator=factset&amp;display_string=Audit"}</definedName>
    <definedName name="_3161__FDSAUDITLINK__" hidden="1">{"fdsup://Directions/FactSet Auditing Viewer?action=AUDIT_VALUE&amp;DB=129&amp;ID1=80004C10&amp;VALUEID=02001&amp;SDATE=200401&amp;PERIODTYPE=QTR_STD&amp;SCFT=3&amp;window=popup_no_bar&amp;width=385&amp;height=120&amp;START_MAXIMIZED=FALSE&amp;creator=factset&amp;display_string=Audit"}</definedName>
    <definedName name="_3162__FDSAUDITLINK__" hidden="1">{"fdsup://Directions/FactSet Auditing Viewer?action=AUDIT_VALUE&amp;DB=129&amp;ID1=80004C10&amp;VALUEID=02001&amp;SDATE=200401&amp;PERIODTYPE=QTR_STD&amp;SCFT=3&amp;window=popup_no_bar&amp;width=385&amp;height=120&amp;START_MAXIMIZED=FALSE&amp;creator=factset&amp;display_string=Audit"}</definedName>
    <definedName name="_3163__FDSAUDITLINK__" hidden="1">{"fdsup://Directions/FactSet Auditing Viewer?action=AUDIT_VALUE&amp;DB=129&amp;ID1=81685010&amp;VALUEID=02001&amp;SDATE=200801&amp;PERIODTYPE=QTR_STD&amp;SCFT=3&amp;window=popup_no_bar&amp;width=385&amp;height=120&amp;START_MAXIMIZED=FALSE&amp;creator=factset&amp;display_string=Audit"}</definedName>
    <definedName name="_3164__FDSAUDITLINK__" hidden="1">{"fdsup://Directions/FactSet Auditing Viewer?action=AUDIT_VALUE&amp;DB=129&amp;ID1=81685010&amp;VALUEID=02001&amp;SDATE=200801&amp;PERIODTYPE=QTR_STD&amp;SCFT=3&amp;window=popup_no_bar&amp;width=385&amp;height=120&amp;START_MAXIMIZED=FALSE&amp;creator=factset&amp;display_string=Audit"}</definedName>
    <definedName name="_3165__FDSAUDITLINK__" hidden="1">{"fdsup://Directions/FactSet Auditing Viewer?action=AUDIT_VALUE&amp;DB=129&amp;ID1=81685010&amp;VALUEID=02001&amp;SDATE=200703&amp;PERIODTYPE=QTR_STD&amp;SCFT=3&amp;window=popup_no_bar&amp;width=385&amp;height=120&amp;START_MAXIMIZED=FALSE&amp;creator=factset&amp;display_string=Audit"}</definedName>
    <definedName name="_3166__FDSAUDITLINK__" hidden="1">{"fdsup://Directions/FactSet Auditing Viewer?action=AUDIT_VALUE&amp;DB=129&amp;ID1=81685010&amp;VALUEID=02001&amp;SDATE=200703&amp;PERIODTYPE=QTR_STD&amp;SCFT=3&amp;window=popup_no_bar&amp;width=385&amp;height=120&amp;START_MAXIMIZED=FALSE&amp;creator=factset&amp;display_string=Audit"}</definedName>
    <definedName name="_3167__FDSAUDITLINK__" hidden="1">{"fdsup://Directions/FactSet Auditing Viewer?action=AUDIT_VALUE&amp;DB=129&amp;ID1=81685010&amp;VALUEID=02001&amp;SDATE=200702&amp;PERIODTYPE=QTR_STD&amp;SCFT=3&amp;window=popup_no_bar&amp;width=385&amp;height=120&amp;START_MAXIMIZED=FALSE&amp;creator=factset&amp;display_string=Audit"}</definedName>
    <definedName name="_3168__FDSAUDITLINK__" hidden="1">{"fdsup://Directions/FactSet Auditing Viewer?action=AUDIT_VALUE&amp;DB=129&amp;ID1=81685010&amp;VALUEID=02001&amp;SDATE=200702&amp;PERIODTYPE=QTR_STD&amp;SCFT=3&amp;window=popup_no_bar&amp;width=385&amp;height=120&amp;START_MAXIMIZED=FALSE&amp;creator=factset&amp;display_string=Audit"}</definedName>
    <definedName name="_3169__FDSAUDITLINK__" hidden="1">{"fdsup://Directions/FactSet Auditing Viewer?action=AUDIT_VALUE&amp;DB=129&amp;ID1=81685010&amp;VALUEID=02001&amp;SDATE=200701&amp;PERIODTYPE=QTR_STD&amp;SCFT=3&amp;window=popup_no_bar&amp;width=385&amp;height=120&amp;START_MAXIMIZED=FALSE&amp;creator=factset&amp;display_string=Audit"}</definedName>
    <definedName name="_317__FDSAUDITLINK__" hidden="1">{"fdsup://Directions/FactSet Auditing Viewer?action=AUDIT_VALUE&amp;DB=129&amp;ID1=87160710&amp;VALUEID=02001&amp;SDATE=201004&amp;PERIODTYPE=QTR_STD&amp;SCFT=3&amp;window=popup_no_bar&amp;width=385&amp;height=120&amp;START_MAXIMIZED=FALSE&amp;creator=factset&amp;display_string=Audit"}</definedName>
    <definedName name="_3170__FDSAUDITLINK__" hidden="1">{"fdsup://Directions/FactSet Auditing Viewer?action=AUDIT_VALUE&amp;DB=129&amp;ID1=81685010&amp;VALUEID=02001&amp;SDATE=200701&amp;PERIODTYPE=QTR_STD&amp;SCFT=3&amp;window=popup_no_bar&amp;width=385&amp;height=120&amp;START_MAXIMIZED=FALSE&amp;creator=factset&amp;display_string=Audit"}</definedName>
    <definedName name="_3171__FDSAUDITLINK__" hidden="1">{"fdsup://Directions/FactSet Auditing Viewer?action=AUDIT_VALUE&amp;DB=129&amp;ID1=81685010&amp;VALUEID=02001&amp;SDATE=200603&amp;PERIODTYPE=QTR_STD&amp;SCFT=3&amp;window=popup_no_bar&amp;width=385&amp;height=120&amp;START_MAXIMIZED=FALSE&amp;creator=factset&amp;display_string=Audit"}</definedName>
    <definedName name="_3172__FDSAUDITLINK__" hidden="1">{"fdsup://Directions/FactSet Auditing Viewer?action=AUDIT_VALUE&amp;DB=129&amp;ID1=81685010&amp;VALUEID=02001&amp;SDATE=200603&amp;PERIODTYPE=QTR_STD&amp;SCFT=3&amp;window=popup_no_bar&amp;width=385&amp;height=120&amp;START_MAXIMIZED=FALSE&amp;creator=factset&amp;display_string=Audit"}</definedName>
    <definedName name="_3173__FDSAUDITLINK__" hidden="1">{"fdsup://Directions/FactSet Auditing Viewer?action=AUDIT_VALUE&amp;DB=129&amp;ID1=81685010&amp;VALUEID=02001&amp;SDATE=200602&amp;PERIODTYPE=QTR_STD&amp;SCFT=3&amp;window=popup_no_bar&amp;width=385&amp;height=120&amp;START_MAXIMIZED=FALSE&amp;creator=factset&amp;display_string=Audit"}</definedName>
    <definedName name="_3174__FDSAUDITLINK__" hidden="1">{"fdsup://Directions/FactSet Auditing Viewer?action=AUDIT_VALUE&amp;DB=129&amp;ID1=81685010&amp;VALUEID=02001&amp;SDATE=200602&amp;PERIODTYPE=QTR_STD&amp;SCFT=3&amp;window=popup_no_bar&amp;width=385&amp;height=120&amp;START_MAXIMIZED=FALSE&amp;creator=factset&amp;display_string=Audit"}</definedName>
    <definedName name="_3175__FDSAUDITLINK__" hidden="1">{"fdsup://Directions/FactSet Auditing Viewer?action=AUDIT_VALUE&amp;DB=129&amp;ID1=81685010&amp;VALUEID=02001&amp;SDATE=200601&amp;PERIODTYPE=QTR_STD&amp;SCFT=3&amp;window=popup_no_bar&amp;width=385&amp;height=120&amp;START_MAXIMIZED=FALSE&amp;creator=factset&amp;display_string=Audit"}</definedName>
    <definedName name="_3176__FDSAUDITLINK__" hidden="1">{"fdsup://Directions/FactSet Auditing Viewer?action=AUDIT_VALUE&amp;DB=129&amp;ID1=81685010&amp;VALUEID=02001&amp;SDATE=200601&amp;PERIODTYPE=QTR_STD&amp;SCFT=3&amp;window=popup_no_bar&amp;width=385&amp;height=120&amp;START_MAXIMIZED=FALSE&amp;creator=factset&amp;display_string=Audit"}</definedName>
    <definedName name="_3177__FDSAUDITLINK__" hidden="1">{"fdsup://Directions/FactSet Auditing Viewer?action=AUDIT_VALUE&amp;DB=129&amp;ID1=81685010&amp;VALUEID=02001&amp;SDATE=200503&amp;PERIODTYPE=QTR_STD&amp;SCFT=3&amp;window=popup_no_bar&amp;width=385&amp;height=120&amp;START_MAXIMIZED=FALSE&amp;creator=factset&amp;display_string=Audit"}</definedName>
    <definedName name="_3178__FDSAUDITLINK__" hidden="1">{"fdsup://Directions/FactSet Auditing Viewer?action=AUDIT_VALUE&amp;DB=129&amp;ID1=81685010&amp;VALUEID=02001&amp;SDATE=200503&amp;PERIODTYPE=QTR_STD&amp;SCFT=3&amp;window=popup_no_bar&amp;width=385&amp;height=120&amp;START_MAXIMIZED=FALSE&amp;creator=factset&amp;display_string=Audit"}</definedName>
    <definedName name="_3179__FDSAUDITLINK__" hidden="1">{"fdsup://Directions/FactSet Auditing Viewer?action=AUDIT_VALUE&amp;DB=129&amp;ID1=81685010&amp;VALUEID=02001&amp;SDATE=200502&amp;PERIODTYPE=QTR_STD&amp;SCFT=3&amp;window=popup_no_bar&amp;width=385&amp;height=120&amp;START_MAXIMIZED=FALSE&amp;creator=factset&amp;display_string=Audit"}</definedName>
    <definedName name="_318__FDSAUDITLINK__" hidden="1">{"fdsup://Directions/FactSet Auditing Viewer?action=AUDIT_VALUE&amp;DB=129&amp;ID1=87160710&amp;VALUEID=02001&amp;SDATE=201004&amp;PERIODTYPE=QTR_STD&amp;SCFT=3&amp;window=popup_no_bar&amp;width=385&amp;height=120&amp;START_MAXIMIZED=FALSE&amp;creator=factset&amp;display_string=Audit"}</definedName>
    <definedName name="_3180__FDSAUDITLINK__" hidden="1">{"fdsup://Directions/FactSet Auditing Viewer?action=AUDIT_VALUE&amp;DB=129&amp;ID1=81685010&amp;VALUEID=02001&amp;SDATE=200502&amp;PERIODTYPE=QTR_STD&amp;SCFT=3&amp;window=popup_no_bar&amp;width=385&amp;height=120&amp;START_MAXIMIZED=FALSE&amp;creator=factset&amp;display_string=Audit"}</definedName>
    <definedName name="_3181__FDSAUDITLINK__" hidden="1">{"fdsup://Directions/FactSet Auditing Viewer?action=AUDIT_VALUE&amp;DB=129&amp;ID1=81685010&amp;VALUEID=02001&amp;SDATE=200501&amp;PERIODTYPE=QTR_STD&amp;SCFT=3&amp;window=popup_no_bar&amp;width=385&amp;height=120&amp;START_MAXIMIZED=FALSE&amp;creator=factset&amp;display_string=Audit"}</definedName>
    <definedName name="_3182__FDSAUDITLINK__" hidden="1">{"fdsup://Directions/FactSet Auditing Viewer?action=AUDIT_VALUE&amp;DB=129&amp;ID1=81685010&amp;VALUEID=02001&amp;SDATE=200501&amp;PERIODTYPE=QTR_STD&amp;SCFT=3&amp;window=popup_no_bar&amp;width=385&amp;height=120&amp;START_MAXIMIZED=FALSE&amp;creator=factset&amp;display_string=Audit"}</definedName>
    <definedName name="_3183__FDSAUDITLINK__" hidden="1">{"fdsup://Directions/FactSet Auditing Viewer?action=AUDIT_VALUE&amp;DB=129&amp;ID1=81685010&amp;VALUEID=02001&amp;SDATE=200403&amp;PERIODTYPE=QTR_STD&amp;SCFT=3&amp;window=popup_no_bar&amp;width=385&amp;height=120&amp;START_MAXIMIZED=FALSE&amp;creator=factset&amp;display_string=Audit"}</definedName>
    <definedName name="_3184__FDSAUDITLINK__" hidden="1">{"fdsup://Directions/FactSet Auditing Viewer?action=AUDIT_VALUE&amp;DB=129&amp;ID1=81685010&amp;VALUEID=02001&amp;SDATE=200403&amp;PERIODTYPE=QTR_STD&amp;SCFT=3&amp;window=popup_no_bar&amp;width=385&amp;height=120&amp;START_MAXIMIZED=FALSE&amp;creator=factset&amp;display_string=Audit"}</definedName>
    <definedName name="_3185__FDSAUDITLINK__" hidden="1">{"fdsup://Directions/FactSet Auditing Viewer?action=AUDIT_VALUE&amp;DB=129&amp;ID1=81685010&amp;VALUEID=02001&amp;SDATE=200402&amp;PERIODTYPE=QTR_STD&amp;SCFT=3&amp;window=popup_no_bar&amp;width=385&amp;height=120&amp;START_MAXIMIZED=FALSE&amp;creator=factset&amp;display_string=Audit"}</definedName>
    <definedName name="_3186__FDSAUDITLINK__" hidden="1">{"fdsup://Directions/FactSet Auditing Viewer?action=AUDIT_VALUE&amp;DB=129&amp;ID1=81685010&amp;VALUEID=02001&amp;SDATE=200402&amp;PERIODTYPE=QTR_STD&amp;SCFT=3&amp;window=popup_no_bar&amp;width=385&amp;height=120&amp;START_MAXIMIZED=FALSE&amp;creator=factset&amp;display_string=Audit"}</definedName>
    <definedName name="_3187__FDSAUDITLINK__" hidden="1">{"fdsup://Directions/FactSet Auditing Viewer?action=AUDIT_VALUE&amp;DB=129&amp;ID1=81685010&amp;VALUEID=02001&amp;SDATE=200401&amp;PERIODTYPE=QTR_STD&amp;SCFT=3&amp;window=popup_no_bar&amp;width=385&amp;height=120&amp;START_MAXIMIZED=FALSE&amp;creator=factset&amp;display_string=Audit"}</definedName>
    <definedName name="_3188__FDSAUDITLINK__" hidden="1">{"fdsup://Directions/FactSet Auditing Viewer?action=AUDIT_VALUE&amp;DB=129&amp;ID1=81685010&amp;VALUEID=02001&amp;SDATE=200401&amp;PERIODTYPE=QTR_STD&amp;SCFT=3&amp;window=popup_no_bar&amp;width=385&amp;height=120&amp;START_MAXIMIZED=FALSE&amp;creator=factset&amp;display_string=Audit"}</definedName>
    <definedName name="_3189__FDSAUDITLINK__" hidden="1">{"fdsup://Directions/FactSet Auditing Viewer?action=AUDIT_VALUE&amp;DB=129&amp;ID1=82691910&amp;VALUEID=02001&amp;SDATE=200801&amp;PERIODTYPE=QTR_STD&amp;SCFT=3&amp;window=popup_no_bar&amp;width=385&amp;height=120&amp;START_MAXIMIZED=FALSE&amp;creator=factset&amp;display_string=Audit"}</definedName>
    <definedName name="_319__FDSAUDITLINK__" hidden="1">{"fdsup://Directions/FactSet Auditing Viewer?action=AUDIT_VALUE&amp;DB=129&amp;ID1=80004C10&amp;VALUEID=02001&amp;SDATE=201003&amp;PERIODTYPE=QTR_STD&amp;SCFT=3&amp;window=popup_no_bar&amp;width=385&amp;height=120&amp;START_MAXIMIZED=FALSE&amp;creator=factset&amp;display_string=Audit"}</definedName>
    <definedName name="_3190__FDSAUDITLINK__" hidden="1">{"fdsup://Directions/FactSet Auditing Viewer?action=AUDIT_VALUE&amp;DB=129&amp;ID1=82691910&amp;VALUEID=02001&amp;SDATE=200801&amp;PERIODTYPE=QTR_STD&amp;SCFT=3&amp;window=popup_no_bar&amp;width=385&amp;height=120&amp;START_MAXIMIZED=FALSE&amp;creator=factset&amp;display_string=Audit"}</definedName>
    <definedName name="_3191__FDSAUDITLINK__" hidden="1">{"fdsup://Directions/FactSet Auditing Viewer?action=AUDIT_VALUE&amp;DB=129&amp;ID1=82691910&amp;VALUEID=02001&amp;SDATE=200703&amp;PERIODTYPE=QTR_STD&amp;SCFT=3&amp;window=popup_no_bar&amp;width=385&amp;height=120&amp;START_MAXIMIZED=FALSE&amp;creator=factset&amp;display_string=Audit"}</definedName>
    <definedName name="_3192__FDSAUDITLINK__" hidden="1">{"fdsup://Directions/FactSet Auditing Viewer?action=AUDIT_VALUE&amp;DB=129&amp;ID1=82691910&amp;VALUEID=02001&amp;SDATE=200703&amp;PERIODTYPE=QTR_STD&amp;SCFT=3&amp;window=popup_no_bar&amp;width=385&amp;height=120&amp;START_MAXIMIZED=FALSE&amp;creator=factset&amp;display_string=Audit"}</definedName>
    <definedName name="_3193__FDSAUDITLINK__" hidden="1">{"fdsup://Directions/FactSet Auditing Viewer?action=AUDIT_VALUE&amp;DB=129&amp;ID1=82691910&amp;VALUEID=02001&amp;SDATE=200702&amp;PERIODTYPE=QTR_STD&amp;SCFT=3&amp;window=popup_no_bar&amp;width=385&amp;height=120&amp;START_MAXIMIZED=FALSE&amp;creator=factset&amp;display_string=Audit"}</definedName>
    <definedName name="_3194__FDSAUDITLINK__" hidden="1">{"fdsup://Directions/FactSet Auditing Viewer?action=AUDIT_VALUE&amp;DB=129&amp;ID1=82691910&amp;VALUEID=02001&amp;SDATE=200702&amp;PERIODTYPE=QTR_STD&amp;SCFT=3&amp;window=popup_no_bar&amp;width=385&amp;height=120&amp;START_MAXIMIZED=FALSE&amp;creator=factset&amp;display_string=Audit"}</definedName>
    <definedName name="_3195__FDSAUDITLINK__" hidden="1">{"fdsup://Directions/FactSet Auditing Viewer?action=AUDIT_VALUE&amp;DB=129&amp;ID1=82691910&amp;VALUEID=02001&amp;SDATE=200701&amp;PERIODTYPE=QTR_STD&amp;SCFT=3&amp;window=popup_no_bar&amp;width=385&amp;height=120&amp;START_MAXIMIZED=FALSE&amp;creator=factset&amp;display_string=Audit"}</definedName>
    <definedName name="_3196__FDSAUDITLINK__" hidden="1">{"fdsup://Directions/FactSet Auditing Viewer?action=AUDIT_VALUE&amp;DB=129&amp;ID1=82691910&amp;VALUEID=02001&amp;SDATE=200701&amp;PERIODTYPE=QTR_STD&amp;SCFT=3&amp;window=popup_no_bar&amp;width=385&amp;height=120&amp;START_MAXIMIZED=FALSE&amp;creator=factset&amp;display_string=Audit"}</definedName>
    <definedName name="_3197__FDSAUDITLINK__" hidden="1">{"fdsup://Directions/FactSet Auditing Viewer?action=AUDIT_VALUE&amp;DB=129&amp;ID1=82691910&amp;VALUEID=02001&amp;SDATE=200603&amp;PERIODTYPE=QTR_STD&amp;SCFT=3&amp;window=popup_no_bar&amp;width=385&amp;height=120&amp;START_MAXIMIZED=FALSE&amp;creator=factset&amp;display_string=Audit"}</definedName>
    <definedName name="_3198__FDSAUDITLINK__" hidden="1">{"fdsup://Directions/FactSet Auditing Viewer?action=AUDIT_VALUE&amp;DB=129&amp;ID1=82691910&amp;VALUEID=02001&amp;SDATE=200603&amp;PERIODTYPE=QTR_STD&amp;SCFT=3&amp;window=popup_no_bar&amp;width=385&amp;height=120&amp;START_MAXIMIZED=FALSE&amp;creator=factset&amp;display_string=Audit"}</definedName>
    <definedName name="_3199__FDSAUDITLINK__" hidden="1">{"fdsup://Directions/FactSet Auditing Viewer?action=AUDIT_VALUE&amp;DB=129&amp;ID1=82691910&amp;VALUEID=02001&amp;SDATE=200602&amp;PERIODTYPE=QTR_STD&amp;SCFT=3&amp;window=popup_no_bar&amp;width=385&amp;height=120&amp;START_MAXIMIZED=FALSE&amp;creator=factset&amp;display_string=Audit"}</definedName>
    <definedName name="_32__FDSAUDITLINK__" hidden="1">{"fdsup://Directions/FactSet Auditing Viewer?action=AUDIT_VALUE&amp;DB=129&amp;ID1=82691910&amp;VALUEID=02001&amp;SDATE=201101&amp;PERIODTYPE=QTR_STD&amp;SCFT=3&amp;window=popup_no_bar&amp;width=385&amp;height=120&amp;START_MAXIMIZED=FALSE&amp;creator=factset&amp;display_string=Audit"}</definedName>
    <definedName name="_320__FDSAUDITLINK__" hidden="1">{"fdsup://Directions/FactSet Auditing Viewer?action=AUDIT_VALUE&amp;DB=129&amp;ID1=80004C10&amp;VALUEID=02001&amp;SDATE=201003&amp;PERIODTYPE=QTR_STD&amp;SCFT=3&amp;window=popup_no_bar&amp;width=385&amp;height=120&amp;START_MAXIMIZED=FALSE&amp;creator=factset&amp;display_string=Audit"}</definedName>
    <definedName name="_3200__FDSAUDITLINK__" hidden="1">{"fdsup://Directions/FactSet Auditing Viewer?action=AUDIT_VALUE&amp;DB=129&amp;ID1=82691910&amp;VALUEID=02001&amp;SDATE=200602&amp;PERIODTYPE=QTR_STD&amp;SCFT=3&amp;window=popup_no_bar&amp;width=385&amp;height=120&amp;START_MAXIMIZED=FALSE&amp;creator=factset&amp;display_string=Audit"}</definedName>
    <definedName name="_3201__FDSAUDITLINK__" hidden="1">{"fdsup://Directions/FactSet Auditing Viewer?action=AUDIT_VALUE&amp;DB=129&amp;ID1=82691910&amp;VALUEID=02001&amp;SDATE=200601&amp;PERIODTYPE=QTR_STD&amp;SCFT=3&amp;window=popup_no_bar&amp;width=385&amp;height=120&amp;START_MAXIMIZED=FALSE&amp;creator=factset&amp;display_string=Audit"}</definedName>
    <definedName name="_3202__FDSAUDITLINK__" hidden="1">{"fdsup://Directions/FactSet Auditing Viewer?action=AUDIT_VALUE&amp;DB=129&amp;ID1=82691910&amp;VALUEID=02001&amp;SDATE=200601&amp;PERIODTYPE=QTR_STD&amp;SCFT=3&amp;window=popup_no_bar&amp;width=385&amp;height=120&amp;START_MAXIMIZED=FALSE&amp;creator=factset&amp;display_string=Audit"}</definedName>
    <definedName name="_3203__FDSAUDITLINK__" hidden="1">{"fdsup://Directions/FactSet Auditing Viewer?action=AUDIT_VALUE&amp;DB=129&amp;ID1=82691910&amp;VALUEID=02001&amp;SDATE=200503&amp;PERIODTYPE=QTR_STD&amp;SCFT=3&amp;window=popup_no_bar&amp;width=385&amp;height=120&amp;START_MAXIMIZED=FALSE&amp;creator=factset&amp;display_string=Audit"}</definedName>
    <definedName name="_3204__FDSAUDITLINK__" hidden="1">{"fdsup://Directions/FactSet Auditing Viewer?action=AUDIT_VALUE&amp;DB=129&amp;ID1=82691910&amp;VALUEID=02001&amp;SDATE=200503&amp;PERIODTYPE=QTR_STD&amp;SCFT=3&amp;window=popup_no_bar&amp;width=385&amp;height=120&amp;START_MAXIMIZED=FALSE&amp;creator=factset&amp;display_string=Audit"}</definedName>
    <definedName name="_3205__FDSAUDITLINK__" hidden="1">{"fdsup://Directions/FactSet Auditing Viewer?action=AUDIT_VALUE&amp;DB=129&amp;ID1=82691910&amp;VALUEID=02001&amp;SDATE=200502&amp;PERIODTYPE=QTR_STD&amp;SCFT=3&amp;window=popup_no_bar&amp;width=385&amp;height=120&amp;START_MAXIMIZED=FALSE&amp;creator=factset&amp;display_string=Audit"}</definedName>
    <definedName name="_3206__FDSAUDITLINK__" hidden="1">{"fdsup://Directions/FactSet Auditing Viewer?action=AUDIT_VALUE&amp;DB=129&amp;ID1=82691910&amp;VALUEID=02001&amp;SDATE=200502&amp;PERIODTYPE=QTR_STD&amp;SCFT=3&amp;window=popup_no_bar&amp;width=385&amp;height=120&amp;START_MAXIMIZED=FALSE&amp;creator=factset&amp;display_string=Audit"}</definedName>
    <definedName name="_3207__FDSAUDITLINK__" hidden="1">{"fdsup://Directions/FactSet Auditing Viewer?action=AUDIT_VALUE&amp;DB=129&amp;ID1=82691910&amp;VALUEID=02001&amp;SDATE=200501&amp;PERIODTYPE=QTR_STD&amp;SCFT=3&amp;window=popup_no_bar&amp;width=385&amp;height=120&amp;START_MAXIMIZED=FALSE&amp;creator=factset&amp;display_string=Audit"}</definedName>
    <definedName name="_3208__FDSAUDITLINK__" hidden="1">{"fdsup://Directions/FactSet Auditing Viewer?action=AUDIT_VALUE&amp;DB=129&amp;ID1=82691910&amp;VALUEID=02001&amp;SDATE=200501&amp;PERIODTYPE=QTR_STD&amp;SCFT=3&amp;window=popup_no_bar&amp;width=385&amp;height=120&amp;START_MAXIMIZED=FALSE&amp;creator=factset&amp;display_string=Audit"}</definedName>
    <definedName name="_3209__FDSAUDITLINK__" hidden="1">{"fdsup://Directions/FactSet Auditing Viewer?action=AUDIT_VALUE&amp;DB=129&amp;ID1=82691910&amp;VALUEID=02001&amp;SDATE=200403&amp;PERIODTYPE=QTR_STD&amp;SCFT=3&amp;window=popup_no_bar&amp;width=385&amp;height=120&amp;START_MAXIMIZED=FALSE&amp;creator=factset&amp;display_string=Audit"}</definedName>
    <definedName name="_321__FDSAUDITLINK__" hidden="1">{"fdsup://Directions/FactSet Auditing Viewer?action=AUDIT_VALUE&amp;DB=129&amp;ID1=81685010&amp;VALUEID=02001&amp;SDATE=201003&amp;PERIODTYPE=QTR_STD&amp;SCFT=3&amp;window=popup_no_bar&amp;width=385&amp;height=120&amp;START_MAXIMIZED=FALSE&amp;creator=factset&amp;display_string=Audit"}</definedName>
    <definedName name="_3210__FDSAUDITLINK__" hidden="1">{"fdsup://Directions/FactSet Auditing Viewer?action=AUDIT_VALUE&amp;DB=129&amp;ID1=82691910&amp;VALUEID=02001&amp;SDATE=200403&amp;PERIODTYPE=QTR_STD&amp;SCFT=3&amp;window=popup_no_bar&amp;width=385&amp;height=120&amp;START_MAXIMIZED=FALSE&amp;creator=factset&amp;display_string=Audit"}</definedName>
    <definedName name="_3211__FDSAUDITLINK__" hidden="1">{"fdsup://Directions/FactSet Auditing Viewer?action=AUDIT_VALUE&amp;DB=129&amp;ID1=82691910&amp;VALUEID=02001&amp;SDATE=200402&amp;PERIODTYPE=QTR_STD&amp;SCFT=3&amp;window=popup_no_bar&amp;width=385&amp;height=120&amp;START_MAXIMIZED=FALSE&amp;creator=factset&amp;display_string=Audit"}</definedName>
    <definedName name="_3212__FDSAUDITLINK__" hidden="1">{"fdsup://Directions/FactSet Auditing Viewer?action=AUDIT_VALUE&amp;DB=129&amp;ID1=82691910&amp;VALUEID=02001&amp;SDATE=200402&amp;PERIODTYPE=QTR_STD&amp;SCFT=3&amp;window=popup_no_bar&amp;width=385&amp;height=120&amp;START_MAXIMIZED=FALSE&amp;creator=factset&amp;display_string=Audit"}</definedName>
    <definedName name="_3213__FDSAUDITLINK__" hidden="1">{"fdsup://Directions/FactSet Auditing Viewer?action=AUDIT_VALUE&amp;DB=129&amp;ID1=82691910&amp;VALUEID=02001&amp;SDATE=200401&amp;PERIODTYPE=QTR_STD&amp;SCFT=3&amp;window=popup_no_bar&amp;width=385&amp;height=120&amp;START_MAXIMIZED=FALSE&amp;creator=factset&amp;display_string=Audit"}</definedName>
    <definedName name="_3214__FDSAUDITLINK__" hidden="1">{"fdsup://Directions/FactSet Auditing Viewer?action=AUDIT_VALUE&amp;DB=129&amp;ID1=82691910&amp;VALUEID=02001&amp;SDATE=200401&amp;PERIODTYPE=QTR_STD&amp;SCFT=3&amp;window=popup_no_bar&amp;width=385&amp;height=120&amp;START_MAXIMIZED=FALSE&amp;creator=factset&amp;display_string=Audit"}</definedName>
    <definedName name="_3215__FDSAUDITLINK__" hidden="1">{"fdsup://Directions/FactSet Auditing Viewer?action=AUDIT_VALUE&amp;DB=129&amp;ID1=82705T10&amp;VALUEID=02001&amp;SDATE=200801&amp;PERIODTYPE=QTR_STD&amp;SCFT=3&amp;window=popup_no_bar&amp;width=385&amp;height=120&amp;START_MAXIMIZED=FALSE&amp;creator=factset&amp;display_string=Audit"}</definedName>
    <definedName name="_3216__FDSAUDITLINK__" hidden="1">{"fdsup://Directions/FactSet Auditing Viewer?action=AUDIT_VALUE&amp;DB=129&amp;ID1=82705T10&amp;VALUEID=02001&amp;SDATE=200801&amp;PERIODTYPE=QTR_STD&amp;SCFT=3&amp;window=popup_no_bar&amp;width=385&amp;height=120&amp;START_MAXIMIZED=FALSE&amp;creator=factset&amp;display_string=Audit"}</definedName>
    <definedName name="_3217__FDSAUDITLINK__" hidden="1">{"fdsup://Directions/FactSet Auditing Viewer?action=AUDIT_VALUE&amp;DB=129&amp;ID1=82705T10&amp;VALUEID=02001&amp;SDATE=200703&amp;PERIODTYPE=QTR_STD&amp;SCFT=3&amp;window=popup_no_bar&amp;width=385&amp;height=120&amp;START_MAXIMIZED=FALSE&amp;creator=factset&amp;display_string=Audit"}</definedName>
    <definedName name="_3218__FDSAUDITLINK__" hidden="1">{"fdsup://Directions/FactSet Auditing Viewer?action=AUDIT_VALUE&amp;DB=129&amp;ID1=82705T10&amp;VALUEID=02001&amp;SDATE=200703&amp;PERIODTYPE=QTR_STD&amp;SCFT=3&amp;window=popup_no_bar&amp;width=385&amp;height=120&amp;START_MAXIMIZED=FALSE&amp;creator=factset&amp;display_string=Audit"}</definedName>
    <definedName name="_3219__FDSAUDITLINK__" hidden="1">{"fdsup://Directions/FactSet Auditing Viewer?action=AUDIT_VALUE&amp;DB=129&amp;ID1=82705T10&amp;VALUEID=02001&amp;SDATE=200702&amp;PERIODTYPE=QTR_STD&amp;SCFT=3&amp;window=popup_no_bar&amp;width=385&amp;height=120&amp;START_MAXIMIZED=FALSE&amp;creator=factset&amp;display_string=Audit"}</definedName>
    <definedName name="_322__FDSAUDITLINK__" hidden="1">{"fdsup://Directions/FactSet Auditing Viewer?action=AUDIT_VALUE&amp;DB=129&amp;ID1=81685010&amp;VALUEID=02001&amp;SDATE=201003&amp;PERIODTYPE=QTR_STD&amp;SCFT=3&amp;window=popup_no_bar&amp;width=385&amp;height=120&amp;START_MAXIMIZED=FALSE&amp;creator=factset&amp;display_string=Audit"}</definedName>
    <definedName name="_3220__FDSAUDITLINK__" hidden="1">{"fdsup://Directions/FactSet Auditing Viewer?action=AUDIT_VALUE&amp;DB=129&amp;ID1=82705T10&amp;VALUEID=02001&amp;SDATE=200702&amp;PERIODTYPE=QTR_STD&amp;SCFT=3&amp;window=popup_no_bar&amp;width=385&amp;height=120&amp;START_MAXIMIZED=FALSE&amp;creator=factset&amp;display_string=Audit"}</definedName>
    <definedName name="_3221__FDSAUDITLINK__" hidden="1">{"fdsup://Directions/FactSet Auditing Viewer?action=AUDIT_VALUE&amp;DB=129&amp;ID1=82705T10&amp;VALUEID=02001&amp;SDATE=200701&amp;PERIODTYPE=QTR_STD&amp;SCFT=3&amp;window=popup_no_bar&amp;width=385&amp;height=120&amp;START_MAXIMIZED=FALSE&amp;creator=factset&amp;display_string=Audit"}</definedName>
    <definedName name="_3222__FDSAUDITLINK__" hidden="1">{"fdsup://Directions/FactSet Auditing Viewer?action=AUDIT_VALUE&amp;DB=129&amp;ID1=82705T10&amp;VALUEID=02001&amp;SDATE=200701&amp;PERIODTYPE=QTR_STD&amp;SCFT=3&amp;window=popup_no_bar&amp;width=385&amp;height=120&amp;START_MAXIMIZED=FALSE&amp;creator=factset&amp;display_string=Audit"}</definedName>
    <definedName name="_3223__FDSAUDITLINK__" hidden="1">{"fdsup://Directions/FactSet Auditing Viewer?action=AUDIT_VALUE&amp;DB=129&amp;ID1=82705T10&amp;VALUEID=02001&amp;SDATE=200603&amp;PERIODTYPE=QTR_STD&amp;SCFT=3&amp;window=popup_no_bar&amp;width=385&amp;height=120&amp;START_MAXIMIZED=FALSE&amp;creator=factset&amp;display_string=Audit"}</definedName>
    <definedName name="_3224__FDSAUDITLINK__" hidden="1">{"fdsup://Directions/FactSet Auditing Viewer?action=AUDIT_VALUE&amp;DB=129&amp;ID1=82705T10&amp;VALUEID=02001&amp;SDATE=200603&amp;PERIODTYPE=QTR_STD&amp;SCFT=3&amp;window=popup_no_bar&amp;width=385&amp;height=120&amp;START_MAXIMIZED=FALSE&amp;creator=factset&amp;display_string=Audit"}</definedName>
    <definedName name="_3225__FDSAUDITLINK__" hidden="1">{"fdsup://Directions/FactSet Auditing Viewer?action=AUDIT_VALUE&amp;DB=129&amp;ID1=82705T10&amp;VALUEID=02001&amp;SDATE=200602&amp;PERIODTYPE=QTR_STD&amp;SCFT=3&amp;window=popup_no_bar&amp;width=385&amp;height=120&amp;START_MAXIMIZED=FALSE&amp;creator=factset&amp;display_string=Audit"}</definedName>
    <definedName name="_3226__FDSAUDITLINK__" hidden="1">{"fdsup://Directions/FactSet Auditing Viewer?action=AUDIT_VALUE&amp;DB=129&amp;ID1=82705T10&amp;VALUEID=02001&amp;SDATE=200602&amp;PERIODTYPE=QTR_STD&amp;SCFT=3&amp;window=popup_no_bar&amp;width=385&amp;height=120&amp;START_MAXIMIZED=FALSE&amp;creator=factset&amp;display_string=Audit"}</definedName>
    <definedName name="_3227__FDSAUDITLINK__" hidden="1">{"fdsup://Directions/FactSet Auditing Viewer?action=AUDIT_VALUE&amp;DB=129&amp;ID1=82705T10&amp;VALUEID=02001&amp;SDATE=200601&amp;PERIODTYPE=QTR_STD&amp;SCFT=3&amp;window=popup_no_bar&amp;width=385&amp;height=120&amp;START_MAXIMIZED=FALSE&amp;creator=factset&amp;display_string=Audit"}</definedName>
    <definedName name="_3228__FDSAUDITLINK__" hidden="1">{"fdsup://Directions/FactSet Auditing Viewer?action=AUDIT_VALUE&amp;DB=129&amp;ID1=82705T10&amp;VALUEID=02001&amp;SDATE=200601&amp;PERIODTYPE=QTR_STD&amp;SCFT=3&amp;window=popup_no_bar&amp;width=385&amp;height=120&amp;START_MAXIMIZED=FALSE&amp;creator=factset&amp;display_string=Audit"}</definedName>
    <definedName name="_3229__FDSAUDITLINK__" hidden="1">{"fdsup://Directions/FactSet Auditing Viewer?action=AUDIT_VALUE&amp;DB=129&amp;ID1=82705T10&amp;VALUEID=02001&amp;SDATE=200503&amp;PERIODTYPE=QTR_STD&amp;SCFT=3&amp;window=popup_no_bar&amp;width=385&amp;height=120&amp;START_MAXIMIZED=FALSE&amp;creator=factset&amp;display_string=Audit"}</definedName>
    <definedName name="_323__FDSAUDITLINK__" hidden="1">{"fdsup://Directions/FactSet Auditing Viewer?action=AUDIT_VALUE&amp;DB=129&amp;ID1=82691910&amp;VALUEID=02001&amp;SDATE=201003&amp;PERIODTYPE=QTR_STD&amp;SCFT=3&amp;window=popup_no_bar&amp;width=385&amp;height=120&amp;START_MAXIMIZED=FALSE&amp;creator=factset&amp;display_string=Audit"}</definedName>
    <definedName name="_3230__FDSAUDITLINK__" hidden="1">{"fdsup://Directions/FactSet Auditing Viewer?action=AUDIT_VALUE&amp;DB=129&amp;ID1=82705T10&amp;VALUEID=02001&amp;SDATE=200503&amp;PERIODTYPE=QTR_STD&amp;SCFT=3&amp;window=popup_no_bar&amp;width=385&amp;height=120&amp;START_MAXIMIZED=FALSE&amp;creator=factset&amp;display_string=Audit"}</definedName>
    <definedName name="_3231__FDSAUDITLINK__" hidden="1">{"fdsup://Directions/FactSet Auditing Viewer?action=AUDIT_VALUE&amp;DB=129&amp;ID1=82705T10&amp;VALUEID=02001&amp;SDATE=200502&amp;PERIODTYPE=QTR_STD&amp;SCFT=3&amp;window=popup_no_bar&amp;width=385&amp;height=120&amp;START_MAXIMIZED=FALSE&amp;creator=factset&amp;display_string=Audit"}</definedName>
    <definedName name="_3232__FDSAUDITLINK__" hidden="1">{"fdsup://Directions/FactSet Auditing Viewer?action=AUDIT_VALUE&amp;DB=129&amp;ID1=82705T10&amp;VALUEID=02001&amp;SDATE=200502&amp;PERIODTYPE=QTR_STD&amp;SCFT=3&amp;window=popup_no_bar&amp;width=385&amp;height=120&amp;START_MAXIMIZED=FALSE&amp;creator=factset&amp;display_string=Audit"}</definedName>
    <definedName name="_3233__FDSAUDITLINK__" hidden="1">{"fdsup://Directions/FactSet Auditing Viewer?action=AUDIT_VALUE&amp;DB=129&amp;ID1=82705T10&amp;VALUEID=02001&amp;SDATE=200501&amp;PERIODTYPE=QTR_STD&amp;SCFT=3&amp;window=popup_no_bar&amp;width=385&amp;height=120&amp;START_MAXIMIZED=FALSE&amp;creator=factset&amp;display_string=Audit"}</definedName>
    <definedName name="_3234__FDSAUDITLINK__" hidden="1">{"fdsup://Directions/FactSet Auditing Viewer?action=AUDIT_VALUE&amp;DB=129&amp;ID1=82705T10&amp;VALUEID=02001&amp;SDATE=200501&amp;PERIODTYPE=QTR_STD&amp;SCFT=3&amp;window=popup_no_bar&amp;width=385&amp;height=120&amp;START_MAXIMIZED=FALSE&amp;creator=factset&amp;display_string=Audit"}</definedName>
    <definedName name="_3235__FDSAUDITLINK__" hidden="1">{"fdsup://Directions/FactSet Auditing Viewer?action=AUDIT_VALUE&amp;DB=129&amp;ID1=82705T10&amp;VALUEID=02001&amp;SDATE=200403&amp;PERIODTYPE=QTR_STD&amp;SCFT=3&amp;window=popup_no_bar&amp;width=385&amp;height=120&amp;START_MAXIMIZED=FALSE&amp;creator=factset&amp;display_string=Audit"}</definedName>
    <definedName name="_3236__FDSAUDITLINK__" hidden="1">{"fdsup://Directions/FactSet Auditing Viewer?action=AUDIT_VALUE&amp;DB=129&amp;ID1=82705T10&amp;VALUEID=02001&amp;SDATE=200403&amp;PERIODTYPE=QTR_STD&amp;SCFT=3&amp;window=popup_no_bar&amp;width=385&amp;height=120&amp;START_MAXIMIZED=FALSE&amp;creator=factset&amp;display_string=Audit"}</definedName>
    <definedName name="_3237__FDSAUDITLINK__" hidden="1">{"fdsup://Directions/FactSet Auditing Viewer?action=AUDIT_VALUE&amp;DB=129&amp;ID1=82705T10&amp;VALUEID=02001&amp;SDATE=200402&amp;PERIODTYPE=QTR_STD&amp;SCFT=3&amp;window=popup_no_bar&amp;width=385&amp;height=120&amp;START_MAXIMIZED=FALSE&amp;creator=factset&amp;display_string=Audit"}</definedName>
    <definedName name="_3238__FDSAUDITLINK__" hidden="1">{"fdsup://Directions/FactSet Auditing Viewer?action=AUDIT_VALUE&amp;DB=129&amp;ID1=82705T10&amp;VALUEID=02001&amp;SDATE=200402&amp;PERIODTYPE=QTR_STD&amp;SCFT=3&amp;window=popup_no_bar&amp;width=385&amp;height=120&amp;START_MAXIMIZED=FALSE&amp;creator=factset&amp;display_string=Audit"}</definedName>
    <definedName name="_3239__FDSAUDITLINK__" hidden="1">{"fdsup://Directions/FactSet Auditing Viewer?action=AUDIT_VALUE&amp;DB=129&amp;ID1=82705T10&amp;VALUEID=02001&amp;SDATE=200401&amp;PERIODTYPE=QTR_STD&amp;SCFT=3&amp;window=popup_no_bar&amp;width=385&amp;height=120&amp;START_MAXIMIZED=FALSE&amp;creator=factset&amp;display_string=Audit"}</definedName>
    <definedName name="_324__FDSAUDITLINK__" hidden="1">{"fdsup://Directions/FactSet Auditing Viewer?action=AUDIT_VALUE&amp;DB=129&amp;ID1=82691910&amp;VALUEID=02001&amp;SDATE=201003&amp;PERIODTYPE=QTR_STD&amp;SCFT=3&amp;window=popup_no_bar&amp;width=385&amp;height=120&amp;START_MAXIMIZED=FALSE&amp;creator=factset&amp;display_string=Audit"}</definedName>
    <definedName name="_3240__FDSAUDITLINK__" hidden="1">{"fdsup://Directions/FactSet Auditing Viewer?action=AUDIT_VALUE&amp;DB=129&amp;ID1=82705T10&amp;VALUEID=02001&amp;SDATE=200401&amp;PERIODTYPE=QTR_STD&amp;SCFT=3&amp;window=popup_no_bar&amp;width=385&amp;height=120&amp;START_MAXIMIZED=FALSE&amp;creator=factset&amp;display_string=Audit"}</definedName>
    <definedName name="_3241__FDSAUDITLINK__" hidden="1">{"fdsup://Directions/FactSet Auditing Viewer?action=AUDIT_VALUE&amp;DB=129&amp;ID1=75091710&amp;VALUEID=02001&amp;SDATE=200801&amp;PERIODTYPE=QTR_STD&amp;SCFT=3&amp;window=popup_no_bar&amp;width=385&amp;height=120&amp;START_MAXIMIZED=FALSE&amp;creator=factset&amp;display_string=Audit"}</definedName>
    <definedName name="_3242__FDSAUDITLINK__" hidden="1">{"fdsup://Directions/FactSet Auditing Viewer?action=AUDIT_VALUE&amp;DB=129&amp;ID1=75091710&amp;VALUEID=02001&amp;SDATE=200801&amp;PERIODTYPE=QTR_STD&amp;SCFT=3&amp;window=popup_no_bar&amp;width=385&amp;height=120&amp;START_MAXIMIZED=FALSE&amp;creator=factset&amp;display_string=Audit"}</definedName>
    <definedName name="_3243__FDSAUDITLINK__" hidden="1">{"fdsup://Directions/FactSet Auditing Viewer?action=AUDIT_VALUE&amp;DB=129&amp;ID1=75091710&amp;VALUEID=02001&amp;SDATE=200703&amp;PERIODTYPE=QTR_STD&amp;SCFT=3&amp;window=popup_no_bar&amp;width=385&amp;height=120&amp;START_MAXIMIZED=FALSE&amp;creator=factset&amp;display_string=Audit"}</definedName>
    <definedName name="_3244__FDSAUDITLINK__" hidden="1">{"fdsup://Directions/FactSet Auditing Viewer?action=AUDIT_VALUE&amp;DB=129&amp;ID1=75091710&amp;VALUEID=02001&amp;SDATE=200703&amp;PERIODTYPE=QTR_STD&amp;SCFT=3&amp;window=popup_no_bar&amp;width=385&amp;height=120&amp;START_MAXIMIZED=FALSE&amp;creator=factset&amp;display_string=Audit"}</definedName>
    <definedName name="_3245__FDSAUDITLINK__" hidden="1">{"fdsup://Directions/FactSet Auditing Viewer?action=AUDIT_VALUE&amp;DB=129&amp;ID1=75091710&amp;VALUEID=02001&amp;SDATE=200702&amp;PERIODTYPE=QTR_STD&amp;SCFT=3&amp;window=popup_no_bar&amp;width=385&amp;height=120&amp;START_MAXIMIZED=FALSE&amp;creator=factset&amp;display_string=Audit"}</definedName>
    <definedName name="_3246__FDSAUDITLINK__" hidden="1">{"fdsup://Directions/FactSet Auditing Viewer?action=AUDIT_VALUE&amp;DB=129&amp;ID1=75091710&amp;VALUEID=02001&amp;SDATE=200702&amp;PERIODTYPE=QTR_STD&amp;SCFT=3&amp;window=popup_no_bar&amp;width=385&amp;height=120&amp;START_MAXIMIZED=FALSE&amp;creator=factset&amp;display_string=Audit"}</definedName>
    <definedName name="_3247__FDSAUDITLINK__" hidden="1">{"fdsup://Directions/FactSet Auditing Viewer?action=AUDIT_VALUE&amp;DB=129&amp;ID1=75091710&amp;VALUEID=02001&amp;SDATE=200701&amp;PERIODTYPE=QTR_STD&amp;SCFT=3&amp;window=popup_no_bar&amp;width=385&amp;height=120&amp;START_MAXIMIZED=FALSE&amp;creator=factset&amp;display_string=Audit"}</definedName>
    <definedName name="_3248__FDSAUDITLINK__" hidden="1">{"fdsup://Directions/FactSet Auditing Viewer?action=AUDIT_VALUE&amp;DB=129&amp;ID1=75091710&amp;VALUEID=02001&amp;SDATE=200701&amp;PERIODTYPE=QTR_STD&amp;SCFT=3&amp;window=popup_no_bar&amp;width=385&amp;height=120&amp;START_MAXIMIZED=FALSE&amp;creator=factset&amp;display_string=Audit"}</definedName>
    <definedName name="_3249__FDSAUDITLINK__" hidden="1">{"fdsup://Directions/FactSet Auditing Viewer?action=AUDIT_VALUE&amp;DB=129&amp;ID1=75091710&amp;VALUEID=02001&amp;SDATE=200603&amp;PERIODTYPE=QTR_STD&amp;SCFT=3&amp;window=popup_no_bar&amp;width=385&amp;height=120&amp;START_MAXIMIZED=FALSE&amp;creator=factset&amp;display_string=Audit"}</definedName>
    <definedName name="_325__FDSAUDITLINK__" hidden="1">{"fdsup://Directions/FactSet Auditing Viewer?action=AUDIT_VALUE&amp;DB=129&amp;ID1=82705T10&amp;VALUEID=02001&amp;SDATE=201003&amp;PERIODTYPE=QTR_STD&amp;SCFT=3&amp;window=popup_no_bar&amp;width=385&amp;height=120&amp;START_MAXIMIZED=FALSE&amp;creator=factset&amp;display_string=Audit"}</definedName>
    <definedName name="_3250__FDSAUDITLINK__" hidden="1">{"fdsup://Directions/FactSet Auditing Viewer?action=AUDIT_VALUE&amp;DB=129&amp;ID1=75091710&amp;VALUEID=02001&amp;SDATE=200603&amp;PERIODTYPE=QTR_STD&amp;SCFT=3&amp;window=popup_no_bar&amp;width=385&amp;height=120&amp;START_MAXIMIZED=FALSE&amp;creator=factset&amp;display_string=Audit"}</definedName>
    <definedName name="_3251__FDSAUDITLINK__" hidden="1">{"fdsup://Directions/FactSet Auditing Viewer?action=AUDIT_VALUE&amp;DB=129&amp;ID1=75091710&amp;VALUEID=02001&amp;SDATE=200602&amp;PERIODTYPE=QTR_STD&amp;SCFT=3&amp;window=popup_no_bar&amp;width=385&amp;height=120&amp;START_MAXIMIZED=FALSE&amp;creator=factset&amp;display_string=Audit"}</definedName>
    <definedName name="_3252__FDSAUDITLINK__" hidden="1">{"fdsup://Directions/FactSet Auditing Viewer?action=AUDIT_VALUE&amp;DB=129&amp;ID1=75091710&amp;VALUEID=02001&amp;SDATE=200602&amp;PERIODTYPE=QTR_STD&amp;SCFT=3&amp;window=popup_no_bar&amp;width=385&amp;height=120&amp;START_MAXIMIZED=FALSE&amp;creator=factset&amp;display_string=Audit"}</definedName>
    <definedName name="_3253__FDSAUDITLINK__" hidden="1">{"fdsup://Directions/FactSet Auditing Viewer?action=AUDIT_VALUE&amp;DB=129&amp;ID1=75091710&amp;VALUEID=02001&amp;SDATE=200601&amp;PERIODTYPE=QTR_STD&amp;SCFT=3&amp;window=popup_no_bar&amp;width=385&amp;height=120&amp;START_MAXIMIZED=FALSE&amp;creator=factset&amp;display_string=Audit"}</definedName>
    <definedName name="_3254__FDSAUDITLINK__" hidden="1">{"fdsup://Directions/FactSet Auditing Viewer?action=AUDIT_VALUE&amp;DB=129&amp;ID1=75091710&amp;VALUEID=02001&amp;SDATE=200601&amp;PERIODTYPE=QTR_STD&amp;SCFT=3&amp;window=popup_no_bar&amp;width=385&amp;height=120&amp;START_MAXIMIZED=FALSE&amp;creator=factset&amp;display_string=Audit"}</definedName>
    <definedName name="_3255__FDSAUDITLINK__" hidden="1">{"fdsup://Directions/FactSet Auditing Viewer?action=AUDIT_VALUE&amp;DB=129&amp;ID1=75091710&amp;VALUEID=02001&amp;SDATE=200503&amp;PERIODTYPE=QTR_STD&amp;SCFT=3&amp;window=popup_no_bar&amp;width=385&amp;height=120&amp;START_MAXIMIZED=FALSE&amp;creator=factset&amp;display_string=Audit"}</definedName>
    <definedName name="_3256__FDSAUDITLINK__" hidden="1">{"fdsup://Directions/FactSet Auditing Viewer?action=AUDIT_VALUE&amp;DB=129&amp;ID1=75091710&amp;VALUEID=02001&amp;SDATE=200503&amp;PERIODTYPE=QTR_STD&amp;SCFT=3&amp;window=popup_no_bar&amp;width=385&amp;height=120&amp;START_MAXIMIZED=FALSE&amp;creator=factset&amp;display_string=Audit"}</definedName>
    <definedName name="_3257__FDSAUDITLINK__" hidden="1">{"fdsup://Directions/FactSet Auditing Viewer?action=AUDIT_VALUE&amp;DB=129&amp;ID1=75091710&amp;VALUEID=02001&amp;SDATE=200502&amp;PERIODTYPE=QTR_STD&amp;SCFT=3&amp;window=popup_no_bar&amp;width=385&amp;height=120&amp;START_MAXIMIZED=FALSE&amp;creator=factset&amp;display_string=Audit"}</definedName>
    <definedName name="_3258__FDSAUDITLINK__" hidden="1">{"fdsup://Directions/FactSet Auditing Viewer?action=AUDIT_VALUE&amp;DB=129&amp;ID1=75091710&amp;VALUEID=02001&amp;SDATE=200502&amp;PERIODTYPE=QTR_STD&amp;SCFT=3&amp;window=popup_no_bar&amp;width=385&amp;height=120&amp;START_MAXIMIZED=FALSE&amp;creator=factset&amp;display_string=Audit"}</definedName>
    <definedName name="_3259__FDSAUDITLINK__" hidden="1">{"fdsup://Directions/FactSet Auditing Viewer?action=AUDIT_VALUE&amp;DB=129&amp;ID1=75091710&amp;VALUEID=02001&amp;SDATE=200501&amp;PERIODTYPE=QTR_STD&amp;SCFT=3&amp;window=popup_no_bar&amp;width=385&amp;height=120&amp;START_MAXIMIZED=FALSE&amp;creator=factset&amp;display_string=Audit"}</definedName>
    <definedName name="_326__FDSAUDITLINK__" hidden="1">{"fdsup://Directions/FactSet Auditing Viewer?action=AUDIT_VALUE&amp;DB=129&amp;ID1=82705T10&amp;VALUEID=02001&amp;SDATE=201003&amp;PERIODTYPE=QTR_STD&amp;SCFT=3&amp;window=popup_no_bar&amp;width=385&amp;height=120&amp;START_MAXIMIZED=FALSE&amp;creator=factset&amp;display_string=Audit"}</definedName>
    <definedName name="_3260__FDSAUDITLINK__" hidden="1">{"fdsup://Directions/FactSet Auditing Viewer?action=AUDIT_VALUE&amp;DB=129&amp;ID1=75091710&amp;VALUEID=02001&amp;SDATE=200501&amp;PERIODTYPE=QTR_STD&amp;SCFT=3&amp;window=popup_no_bar&amp;width=385&amp;height=120&amp;START_MAXIMIZED=FALSE&amp;creator=factset&amp;display_string=Audit"}</definedName>
    <definedName name="_3261__FDSAUDITLINK__" hidden="1">{"fdsup://Directions/FactSet Auditing Viewer?action=AUDIT_VALUE&amp;DB=129&amp;ID1=75091710&amp;VALUEID=02001&amp;SDATE=200403&amp;PERIODTYPE=QTR_STD&amp;SCFT=3&amp;window=popup_no_bar&amp;width=385&amp;height=120&amp;START_MAXIMIZED=FALSE&amp;creator=factset&amp;display_string=Audit"}</definedName>
    <definedName name="_3262__FDSAUDITLINK__" hidden="1">{"fdsup://Directions/FactSet Auditing Viewer?action=AUDIT_VALUE&amp;DB=129&amp;ID1=75091710&amp;VALUEID=02001&amp;SDATE=200403&amp;PERIODTYPE=QTR_STD&amp;SCFT=3&amp;window=popup_no_bar&amp;width=385&amp;height=120&amp;START_MAXIMIZED=FALSE&amp;creator=factset&amp;display_string=Audit"}</definedName>
    <definedName name="_3263__FDSAUDITLINK__" hidden="1">{"fdsup://Directions/FactSet Auditing Viewer?action=AUDIT_VALUE&amp;DB=129&amp;ID1=75091710&amp;VALUEID=02001&amp;SDATE=200402&amp;PERIODTYPE=QTR_STD&amp;SCFT=3&amp;window=popup_no_bar&amp;width=385&amp;height=120&amp;START_MAXIMIZED=FALSE&amp;creator=factset&amp;display_string=Audit"}</definedName>
    <definedName name="_3264__FDSAUDITLINK__" hidden="1">{"fdsup://Directions/FactSet Auditing Viewer?action=AUDIT_VALUE&amp;DB=129&amp;ID1=75091710&amp;VALUEID=02001&amp;SDATE=200402&amp;PERIODTYPE=QTR_STD&amp;SCFT=3&amp;window=popup_no_bar&amp;width=385&amp;height=120&amp;START_MAXIMIZED=FALSE&amp;creator=factset&amp;display_string=Audit"}</definedName>
    <definedName name="_3265__FDSAUDITLINK__" hidden="1">{"fdsup://Directions/FactSet Auditing Viewer?action=AUDIT_VALUE&amp;DB=129&amp;ID1=75091710&amp;VALUEID=02001&amp;SDATE=200401&amp;PERIODTYPE=QTR_STD&amp;SCFT=3&amp;window=popup_no_bar&amp;width=385&amp;height=120&amp;START_MAXIMIZED=FALSE&amp;creator=factset&amp;display_string=Audit"}</definedName>
    <definedName name="_3266__FDSAUDITLINK__" hidden="1">{"fdsup://Directions/FactSet Auditing Viewer?action=AUDIT_VALUE&amp;DB=129&amp;ID1=75091710&amp;VALUEID=02001&amp;SDATE=200401&amp;PERIODTYPE=QTR_STD&amp;SCFT=3&amp;window=popup_no_bar&amp;width=385&amp;height=120&amp;START_MAXIMIZED=FALSE&amp;creator=factset&amp;display_string=Audit"}</definedName>
    <definedName name="_3267__FDSAUDITLINK__" hidden="1">{"fdsup://Directions/FactSet Auditing Viewer?action=AUDIT_VALUE&amp;DB=129&amp;ID1=74994110&amp;VALUEID=02001&amp;SDATE=200703&amp;PERIODTYPE=QTR_STD&amp;SCFT=3&amp;window=popup_no_bar&amp;width=385&amp;height=120&amp;START_MAXIMIZED=FALSE&amp;creator=factset&amp;display_string=Audit"}</definedName>
    <definedName name="_3268__FDSAUDITLINK__" hidden="1">{"fdsup://Directions/FactSet Auditing Viewer?action=AUDIT_VALUE&amp;DB=129&amp;ID1=74994110&amp;VALUEID=02001&amp;SDATE=200703&amp;PERIODTYPE=QTR_STD&amp;SCFT=3&amp;window=popup_no_bar&amp;width=385&amp;height=120&amp;START_MAXIMIZED=FALSE&amp;creator=factset&amp;display_string=Audit"}</definedName>
    <definedName name="_3269__FDSAUDITLINK__" hidden="1">{"fdsup://Directions/FactSet Auditing Viewer?action=AUDIT_VALUE&amp;DB=129&amp;ID1=74994110&amp;VALUEID=02001&amp;SDATE=200702&amp;PERIODTYPE=QTR_STD&amp;SCFT=3&amp;window=popup_no_bar&amp;width=385&amp;height=120&amp;START_MAXIMIZED=FALSE&amp;creator=factset&amp;display_string=Audit"}</definedName>
    <definedName name="_327__FDSAUDITLINK__" hidden="1">{"fdsup://Directions/FactSet Auditing Viewer?action=AUDIT_VALUE&amp;DB=129&amp;ID1=75091710&amp;VALUEID=02001&amp;SDATE=201003&amp;PERIODTYPE=QTR_STD&amp;SCFT=3&amp;window=popup_no_bar&amp;width=385&amp;height=120&amp;START_MAXIMIZED=FALSE&amp;creator=factset&amp;display_string=Audit"}</definedName>
    <definedName name="_3270__FDSAUDITLINK__" hidden="1">{"fdsup://Directions/FactSet Auditing Viewer?action=AUDIT_VALUE&amp;DB=129&amp;ID1=74994110&amp;VALUEID=02001&amp;SDATE=200702&amp;PERIODTYPE=QTR_STD&amp;SCFT=3&amp;window=popup_no_bar&amp;width=385&amp;height=120&amp;START_MAXIMIZED=FALSE&amp;creator=factset&amp;display_string=Audit"}</definedName>
    <definedName name="_3271__FDSAUDITLINK__" hidden="1">{"fdsup://Directions/FactSet Auditing Viewer?action=AUDIT_VALUE&amp;DB=129&amp;ID1=74994110&amp;VALUEID=02001&amp;SDATE=200701&amp;PERIODTYPE=QTR_STD&amp;SCFT=3&amp;window=popup_no_bar&amp;width=385&amp;height=120&amp;START_MAXIMIZED=FALSE&amp;creator=factset&amp;display_string=Audit"}</definedName>
    <definedName name="_3272__FDSAUDITLINK__" hidden="1">{"fdsup://Directions/FactSet Auditing Viewer?action=AUDIT_VALUE&amp;DB=129&amp;ID1=74994110&amp;VALUEID=02001&amp;SDATE=200701&amp;PERIODTYPE=QTR_STD&amp;SCFT=3&amp;window=popup_no_bar&amp;width=385&amp;height=120&amp;START_MAXIMIZED=FALSE&amp;creator=factset&amp;display_string=Audit"}</definedName>
    <definedName name="_3273__FDSAUDITLINK__" hidden="1">{"fdsup://Directions/FactSet Auditing Viewer?action=AUDIT_VALUE&amp;DB=129&amp;ID1=74994110&amp;VALUEID=02001&amp;SDATE=200603&amp;PERIODTYPE=QTR_STD&amp;SCFT=3&amp;window=popup_no_bar&amp;width=385&amp;height=120&amp;START_MAXIMIZED=FALSE&amp;creator=factset&amp;display_string=Audit"}</definedName>
    <definedName name="_3274__FDSAUDITLINK__" hidden="1">{"fdsup://Directions/FactSet Auditing Viewer?action=AUDIT_VALUE&amp;DB=129&amp;ID1=74994110&amp;VALUEID=02001&amp;SDATE=200603&amp;PERIODTYPE=QTR_STD&amp;SCFT=3&amp;window=popup_no_bar&amp;width=385&amp;height=120&amp;START_MAXIMIZED=FALSE&amp;creator=factset&amp;display_string=Audit"}</definedName>
    <definedName name="_3275__FDSAUDITLINK__" hidden="1">{"fdsup://Directions/FactSet Auditing Viewer?action=AUDIT_VALUE&amp;DB=129&amp;ID1=74994110&amp;VALUEID=02001&amp;SDATE=200602&amp;PERIODTYPE=QTR_STD&amp;SCFT=3&amp;window=popup_no_bar&amp;width=385&amp;height=120&amp;START_MAXIMIZED=FALSE&amp;creator=factset&amp;display_string=Audit"}</definedName>
    <definedName name="_3276__FDSAUDITLINK__" hidden="1">{"fdsup://Directions/FactSet Auditing Viewer?action=AUDIT_VALUE&amp;DB=129&amp;ID1=74994110&amp;VALUEID=02001&amp;SDATE=200602&amp;PERIODTYPE=QTR_STD&amp;SCFT=3&amp;window=popup_no_bar&amp;width=385&amp;height=120&amp;START_MAXIMIZED=FALSE&amp;creator=factset&amp;display_string=Audit"}</definedName>
    <definedName name="_3277__FDSAUDITLINK__" hidden="1">{"fdsup://Directions/FactSet Auditing Viewer?action=AUDIT_VALUE&amp;DB=129&amp;ID1=74994110&amp;VALUEID=02001&amp;SDATE=200601&amp;PERIODTYPE=QTR_STD&amp;SCFT=3&amp;window=popup_no_bar&amp;width=385&amp;height=120&amp;START_MAXIMIZED=FALSE&amp;creator=factset&amp;display_string=Audit"}</definedName>
    <definedName name="_3278__FDSAUDITLINK__" hidden="1">{"fdsup://Directions/FactSet Auditing Viewer?action=AUDIT_VALUE&amp;DB=129&amp;ID1=74994110&amp;VALUEID=02001&amp;SDATE=200601&amp;PERIODTYPE=QTR_STD&amp;SCFT=3&amp;window=popup_no_bar&amp;width=385&amp;height=120&amp;START_MAXIMIZED=FALSE&amp;creator=factset&amp;display_string=Audit"}</definedName>
    <definedName name="_3279__FDSAUDITLINK__" hidden="1">{"fdsup://Directions/FactSet Auditing Viewer?action=AUDIT_VALUE&amp;DB=129&amp;ID1=74994110&amp;VALUEID=02001&amp;SDATE=200503&amp;PERIODTYPE=QTR_STD&amp;SCFT=3&amp;window=popup_no_bar&amp;width=385&amp;height=120&amp;START_MAXIMIZED=FALSE&amp;creator=factset&amp;display_string=Audit"}</definedName>
    <definedName name="_328__FDSAUDITLINK__" hidden="1">{"fdsup://Directions/FactSet Auditing Viewer?action=AUDIT_VALUE&amp;DB=129&amp;ID1=75091710&amp;VALUEID=02001&amp;SDATE=201003&amp;PERIODTYPE=QTR_STD&amp;SCFT=3&amp;window=popup_no_bar&amp;width=385&amp;height=120&amp;START_MAXIMIZED=FALSE&amp;creator=factset&amp;display_string=Audit"}</definedName>
    <definedName name="_3280__FDSAUDITLINK__" hidden="1">{"fdsup://Directions/FactSet Auditing Viewer?action=AUDIT_VALUE&amp;DB=129&amp;ID1=74994110&amp;VALUEID=02001&amp;SDATE=200503&amp;PERIODTYPE=QTR_STD&amp;SCFT=3&amp;window=popup_no_bar&amp;width=385&amp;height=120&amp;START_MAXIMIZED=FALSE&amp;creator=factset&amp;display_string=Audit"}</definedName>
    <definedName name="_3281__FDSAUDITLINK__" hidden="1">{"fdsup://Directions/FactSet Auditing Viewer?action=AUDIT_VALUE&amp;DB=129&amp;ID1=74994110&amp;VALUEID=02001&amp;SDATE=200502&amp;PERIODTYPE=QTR_STD&amp;SCFT=3&amp;window=popup_no_bar&amp;width=385&amp;height=120&amp;START_MAXIMIZED=FALSE&amp;creator=factset&amp;display_string=Audit"}</definedName>
    <definedName name="_3282__FDSAUDITLINK__" hidden="1">{"fdsup://Directions/FactSet Auditing Viewer?action=AUDIT_VALUE&amp;DB=129&amp;ID1=74994110&amp;VALUEID=02001&amp;SDATE=200502&amp;PERIODTYPE=QTR_STD&amp;SCFT=3&amp;window=popup_no_bar&amp;width=385&amp;height=120&amp;START_MAXIMIZED=FALSE&amp;creator=factset&amp;display_string=Audit"}</definedName>
    <definedName name="_3283__FDSAUDITLINK__" hidden="1">{"fdsup://Directions/FactSet Auditing Viewer?action=AUDIT_VALUE&amp;DB=129&amp;ID1=74994110&amp;VALUEID=02001&amp;SDATE=200501&amp;PERIODTYPE=QTR_STD&amp;SCFT=3&amp;window=popup_no_bar&amp;width=385&amp;height=120&amp;START_MAXIMIZED=FALSE&amp;creator=factset&amp;display_string=Audit"}</definedName>
    <definedName name="_3284__FDSAUDITLINK__" hidden="1">{"fdsup://Directions/FactSet Auditing Viewer?action=AUDIT_VALUE&amp;DB=129&amp;ID1=74994110&amp;VALUEID=02001&amp;SDATE=200501&amp;PERIODTYPE=QTR_STD&amp;SCFT=3&amp;window=popup_no_bar&amp;width=385&amp;height=120&amp;START_MAXIMIZED=FALSE&amp;creator=factset&amp;display_string=Audit"}</definedName>
    <definedName name="_3285__FDSAUDITLINK__" hidden="1">{"fdsup://Directions/FactSet Auditing Viewer?action=AUDIT_VALUE&amp;DB=129&amp;ID1=74994110&amp;VALUEID=02001&amp;SDATE=200403&amp;PERIODTYPE=QTR_STD&amp;SCFT=3&amp;window=popup_no_bar&amp;width=385&amp;height=120&amp;START_MAXIMIZED=FALSE&amp;creator=factset&amp;display_string=Audit"}</definedName>
    <definedName name="_3286__FDSAUDITLINK__" hidden="1">{"fdsup://Directions/FactSet Auditing Viewer?action=AUDIT_VALUE&amp;DB=129&amp;ID1=74994110&amp;VALUEID=02001&amp;SDATE=200403&amp;PERIODTYPE=QTR_STD&amp;SCFT=3&amp;window=popup_no_bar&amp;width=385&amp;height=120&amp;START_MAXIMIZED=FALSE&amp;creator=factset&amp;display_string=Audit"}</definedName>
    <definedName name="_3287__FDSAUDITLINK__" hidden="1">{"fdsup://Directions/FactSet Auditing Viewer?action=AUDIT_VALUE&amp;DB=129&amp;ID1=74994110&amp;VALUEID=02001&amp;SDATE=200402&amp;PERIODTYPE=QTR_STD&amp;SCFT=3&amp;window=popup_no_bar&amp;width=385&amp;height=120&amp;START_MAXIMIZED=FALSE&amp;creator=factset&amp;display_string=Audit"}</definedName>
    <definedName name="_3288__FDSAUDITLINK__" hidden="1">{"fdsup://Directions/FactSet Auditing Viewer?action=AUDIT_VALUE&amp;DB=129&amp;ID1=74994110&amp;VALUEID=02001&amp;SDATE=200402&amp;PERIODTYPE=QTR_STD&amp;SCFT=3&amp;window=popup_no_bar&amp;width=385&amp;height=120&amp;START_MAXIMIZED=FALSE&amp;creator=factset&amp;display_string=Audit"}</definedName>
    <definedName name="_3289__FDSAUDITLINK__" hidden="1">{"fdsup://Directions/FactSet Auditing Viewer?action=AUDIT_VALUE&amp;DB=129&amp;ID1=74994110&amp;VALUEID=02001&amp;SDATE=200401&amp;PERIODTYPE=QTR_STD&amp;SCFT=3&amp;window=popup_no_bar&amp;width=385&amp;height=120&amp;START_MAXIMIZED=FALSE&amp;creator=factset&amp;display_string=Audit"}</definedName>
    <definedName name="_329__FDSAUDITLINK__" hidden="1">{"fdsup://Directions/FactSet Auditing Viewer?action=AUDIT_VALUE&amp;DB=129&amp;ID1=74994110&amp;VALUEID=02001&amp;SDATE=201002&amp;PERIODTYPE=QTR_STD&amp;SCFT=3&amp;window=popup_no_bar&amp;width=385&amp;height=120&amp;START_MAXIMIZED=FALSE&amp;creator=factset&amp;display_string=Audit"}</definedName>
    <definedName name="_3290__FDSAUDITLINK__" hidden="1">{"fdsup://Directions/FactSet Auditing Viewer?action=AUDIT_VALUE&amp;DB=129&amp;ID1=74994110&amp;VALUEID=02001&amp;SDATE=200401&amp;PERIODTYPE=QTR_STD&amp;SCFT=3&amp;window=popup_no_bar&amp;width=385&amp;height=120&amp;START_MAXIMIZED=FALSE&amp;creator=factset&amp;display_string=Audit"}</definedName>
    <definedName name="_3291__FDSAUDITLINK__" hidden="1">{"fdsup://Directions/FactSet Auditing Viewer?action=AUDIT_VALUE&amp;DB=129&amp;ID1=74727710&amp;VALUEID=02001&amp;SDATE=200704&amp;PERIODTYPE=QTR_STD&amp;SCFT=3&amp;window=popup_no_bar&amp;width=385&amp;height=120&amp;START_MAXIMIZED=FALSE&amp;creator=factset&amp;display_string=Audit"}</definedName>
    <definedName name="_3292__FDSAUDITLINK__" hidden="1">{"fdsup://Directions/FactSet Auditing Viewer?action=AUDIT_VALUE&amp;DB=129&amp;ID1=74727710&amp;VALUEID=02001&amp;SDATE=200704&amp;PERIODTYPE=QTR_STD&amp;SCFT=3&amp;window=popup_no_bar&amp;width=385&amp;height=120&amp;START_MAXIMIZED=FALSE&amp;creator=factset&amp;display_string=Audit"}</definedName>
    <definedName name="_3293__FDSAUDITLINK__" hidden="1">{"fdsup://Directions/FactSet Auditing Viewer?action=AUDIT_VALUE&amp;DB=129&amp;ID1=74727710&amp;VALUEID=02001&amp;SDATE=200703&amp;PERIODTYPE=QTR_STD&amp;SCFT=3&amp;window=popup_no_bar&amp;width=385&amp;height=120&amp;START_MAXIMIZED=FALSE&amp;creator=factset&amp;display_string=Audit"}</definedName>
    <definedName name="_3294__FDSAUDITLINK__" hidden="1">{"fdsup://Directions/FactSet Auditing Viewer?action=AUDIT_VALUE&amp;DB=129&amp;ID1=74727710&amp;VALUEID=02001&amp;SDATE=200703&amp;PERIODTYPE=QTR_STD&amp;SCFT=3&amp;window=popup_no_bar&amp;width=385&amp;height=120&amp;START_MAXIMIZED=FALSE&amp;creator=factset&amp;display_string=Audit"}</definedName>
    <definedName name="_3295__FDSAUDITLINK__" hidden="1">{"fdsup://Directions/FactSet Auditing Viewer?action=AUDIT_VALUE&amp;DB=129&amp;ID1=74727710&amp;VALUEID=02001&amp;SDATE=200702&amp;PERIODTYPE=QTR_STD&amp;SCFT=3&amp;window=popup_no_bar&amp;width=385&amp;height=120&amp;START_MAXIMIZED=FALSE&amp;creator=factset&amp;display_string=Audit"}</definedName>
    <definedName name="_3296__FDSAUDITLINK__" hidden="1">{"fdsup://Directions/FactSet Auditing Viewer?action=AUDIT_VALUE&amp;DB=129&amp;ID1=74727710&amp;VALUEID=02001&amp;SDATE=200702&amp;PERIODTYPE=QTR_STD&amp;SCFT=3&amp;window=popup_no_bar&amp;width=385&amp;height=120&amp;START_MAXIMIZED=FALSE&amp;creator=factset&amp;display_string=Audit"}</definedName>
    <definedName name="_3297__FDSAUDITLINK__" hidden="1">{"fdsup://Directions/FactSet Auditing Viewer?action=AUDIT_VALUE&amp;DB=129&amp;ID1=74727710&amp;VALUEID=02001&amp;SDATE=200701&amp;PERIODTYPE=QTR_STD&amp;SCFT=3&amp;window=popup_no_bar&amp;width=385&amp;height=120&amp;START_MAXIMIZED=FALSE&amp;creator=factset&amp;display_string=Audit"}</definedName>
    <definedName name="_3298__FDSAUDITLINK__" hidden="1">{"fdsup://Directions/FactSet Auditing Viewer?action=AUDIT_VALUE&amp;DB=129&amp;ID1=74727710&amp;VALUEID=02001&amp;SDATE=200701&amp;PERIODTYPE=QTR_STD&amp;SCFT=3&amp;window=popup_no_bar&amp;width=385&amp;height=120&amp;START_MAXIMIZED=FALSE&amp;creator=factset&amp;display_string=Audit"}</definedName>
    <definedName name="_3299__FDSAUDITLINK__" hidden="1">{"fdsup://Directions/FactSet Auditing Viewer?action=AUDIT_VALUE&amp;DB=129&amp;ID1=74727710&amp;VALUEID=02001&amp;SDATE=200603&amp;PERIODTYPE=QTR_STD&amp;SCFT=3&amp;window=popup_no_bar&amp;width=385&amp;height=120&amp;START_MAXIMIZED=FALSE&amp;creator=factset&amp;display_string=Audit"}</definedName>
    <definedName name="_33__FDSAUDITLINK__" hidden="1">{"fdsup://Directions/FactSet Auditing Viewer?action=AUDIT_VALUE&amp;DB=129&amp;ID1=82705T10&amp;VALUEID=02001&amp;SDATE=201101&amp;PERIODTYPE=QTR_STD&amp;SCFT=3&amp;window=popup_no_bar&amp;width=385&amp;height=120&amp;START_MAXIMIZED=FALSE&amp;creator=factset&amp;display_string=Audit"}</definedName>
    <definedName name="_330__FDSAUDITLINK__" hidden="1">{"fdsup://Directions/FactSet Auditing Viewer?action=AUDIT_VALUE&amp;DB=129&amp;ID1=74994110&amp;VALUEID=02001&amp;SDATE=201002&amp;PERIODTYPE=QTR_STD&amp;SCFT=3&amp;window=popup_no_bar&amp;width=385&amp;height=120&amp;START_MAXIMIZED=FALSE&amp;creator=factset&amp;display_string=Audit"}</definedName>
    <definedName name="_3300__FDSAUDITLINK__" hidden="1">{"fdsup://Directions/FactSet Auditing Viewer?action=AUDIT_VALUE&amp;DB=129&amp;ID1=74727710&amp;VALUEID=02001&amp;SDATE=200603&amp;PERIODTYPE=QTR_STD&amp;SCFT=3&amp;window=popup_no_bar&amp;width=385&amp;height=120&amp;START_MAXIMIZED=FALSE&amp;creator=factset&amp;display_string=Audit"}</definedName>
    <definedName name="_3301__FDSAUDITLINK__" hidden="1">{"fdsup://Directions/FactSet Auditing Viewer?action=AUDIT_VALUE&amp;DB=129&amp;ID1=74727710&amp;VALUEID=02001&amp;SDATE=200602&amp;PERIODTYPE=QTR_STD&amp;SCFT=3&amp;window=popup_no_bar&amp;width=385&amp;height=120&amp;START_MAXIMIZED=FALSE&amp;creator=factset&amp;display_string=Audit"}</definedName>
    <definedName name="_3302__FDSAUDITLINK__" hidden="1">{"fdsup://Directions/FactSet Auditing Viewer?action=AUDIT_VALUE&amp;DB=129&amp;ID1=74727710&amp;VALUEID=02001&amp;SDATE=200602&amp;PERIODTYPE=QTR_STD&amp;SCFT=3&amp;window=popup_no_bar&amp;width=385&amp;height=120&amp;START_MAXIMIZED=FALSE&amp;creator=factset&amp;display_string=Audit"}</definedName>
    <definedName name="_3303__FDSAUDITLINK__" hidden="1">{"fdsup://Directions/FactSet Auditing Viewer?action=AUDIT_VALUE&amp;DB=129&amp;ID1=74727710&amp;VALUEID=02001&amp;SDATE=200601&amp;PERIODTYPE=QTR_STD&amp;SCFT=3&amp;window=popup_no_bar&amp;width=385&amp;height=120&amp;START_MAXIMIZED=FALSE&amp;creator=factset&amp;display_string=Audit"}</definedName>
    <definedName name="_3304__FDSAUDITLINK__" hidden="1">{"fdsup://Directions/FactSet Auditing Viewer?action=AUDIT_VALUE&amp;DB=129&amp;ID1=74727710&amp;VALUEID=02001&amp;SDATE=200601&amp;PERIODTYPE=QTR_STD&amp;SCFT=3&amp;window=popup_no_bar&amp;width=385&amp;height=120&amp;START_MAXIMIZED=FALSE&amp;creator=factset&amp;display_string=Audit"}</definedName>
    <definedName name="_3305__FDSAUDITLINK__" hidden="1">{"fdsup://Directions/FactSet Auditing Viewer?action=AUDIT_VALUE&amp;DB=129&amp;ID1=74727710&amp;VALUEID=02001&amp;SDATE=200503&amp;PERIODTYPE=QTR_STD&amp;SCFT=3&amp;window=popup_no_bar&amp;width=385&amp;height=120&amp;START_MAXIMIZED=FALSE&amp;creator=factset&amp;display_string=Audit"}</definedName>
    <definedName name="_3306__FDSAUDITLINK__" hidden="1">{"fdsup://Directions/FactSet Auditing Viewer?action=AUDIT_VALUE&amp;DB=129&amp;ID1=74727710&amp;VALUEID=02001&amp;SDATE=200503&amp;PERIODTYPE=QTR_STD&amp;SCFT=3&amp;window=popup_no_bar&amp;width=385&amp;height=120&amp;START_MAXIMIZED=FALSE&amp;creator=factset&amp;display_string=Audit"}</definedName>
    <definedName name="_3307__FDSAUDITLINK__" hidden="1">{"fdsup://Directions/FactSet Auditing Viewer?action=AUDIT_VALUE&amp;DB=129&amp;ID1=74727710&amp;VALUEID=02001&amp;SDATE=200502&amp;PERIODTYPE=QTR_STD&amp;SCFT=3&amp;window=popup_no_bar&amp;width=385&amp;height=120&amp;START_MAXIMIZED=FALSE&amp;creator=factset&amp;display_string=Audit"}</definedName>
    <definedName name="_3308__FDSAUDITLINK__" hidden="1">{"fdsup://Directions/FactSet Auditing Viewer?action=AUDIT_VALUE&amp;DB=129&amp;ID1=74727710&amp;VALUEID=02001&amp;SDATE=200502&amp;PERIODTYPE=QTR_STD&amp;SCFT=3&amp;window=popup_no_bar&amp;width=385&amp;height=120&amp;START_MAXIMIZED=FALSE&amp;creator=factset&amp;display_string=Audit"}</definedName>
    <definedName name="_3309__FDSAUDITLINK__" hidden="1">{"fdsup://Directions/FactSet Auditing Viewer?action=AUDIT_VALUE&amp;DB=129&amp;ID1=74727710&amp;VALUEID=02001&amp;SDATE=200501&amp;PERIODTYPE=QTR_STD&amp;SCFT=3&amp;window=popup_no_bar&amp;width=385&amp;height=120&amp;START_MAXIMIZED=FALSE&amp;creator=factset&amp;display_string=Audit"}</definedName>
    <definedName name="_331__FDSAUDITLINK__" hidden="1">{"fdsup://Directions/FactSet Auditing Viewer?action=AUDIT_VALUE&amp;DB=129&amp;ID1=74727710&amp;VALUEID=02001&amp;SDATE=201002&amp;PERIODTYPE=QTR_STD&amp;SCFT=3&amp;window=popup_no_bar&amp;width=385&amp;height=120&amp;START_MAXIMIZED=FALSE&amp;creator=factset&amp;display_string=Audit"}</definedName>
    <definedName name="_3310__FDSAUDITLINK__" hidden="1">{"fdsup://Directions/FactSet Auditing Viewer?action=AUDIT_VALUE&amp;DB=129&amp;ID1=74727710&amp;VALUEID=02001&amp;SDATE=200501&amp;PERIODTYPE=QTR_STD&amp;SCFT=3&amp;window=popup_no_bar&amp;width=385&amp;height=120&amp;START_MAXIMIZED=FALSE&amp;creator=factset&amp;display_string=Audit"}</definedName>
    <definedName name="_3311__FDSAUDITLINK__" hidden="1">{"fdsup://Directions/FactSet Auditing Viewer?action=AUDIT_VALUE&amp;DB=129&amp;ID1=74727710&amp;VALUEID=02001&amp;SDATE=200403&amp;PERIODTYPE=QTR_STD&amp;SCFT=3&amp;window=popup_no_bar&amp;width=385&amp;height=120&amp;START_MAXIMIZED=FALSE&amp;creator=factset&amp;display_string=Audit"}</definedName>
    <definedName name="_3312__FDSAUDITLINK__" hidden="1">{"fdsup://Directions/FactSet Auditing Viewer?action=AUDIT_VALUE&amp;DB=129&amp;ID1=74727710&amp;VALUEID=02001&amp;SDATE=200403&amp;PERIODTYPE=QTR_STD&amp;SCFT=3&amp;window=popup_no_bar&amp;width=385&amp;height=120&amp;START_MAXIMIZED=FALSE&amp;creator=factset&amp;display_string=Audit"}</definedName>
    <definedName name="_3313__FDSAUDITLINK__" hidden="1">{"fdsup://Directions/FactSet Auditing Viewer?action=AUDIT_VALUE&amp;DB=129&amp;ID1=74727710&amp;VALUEID=02001&amp;SDATE=200402&amp;PERIODTYPE=QTR_STD&amp;SCFT=3&amp;window=popup_no_bar&amp;width=385&amp;height=120&amp;START_MAXIMIZED=FALSE&amp;creator=factset&amp;display_string=Audit"}</definedName>
    <definedName name="_3314__FDSAUDITLINK__" hidden="1">{"fdsup://Directions/FactSet Auditing Viewer?action=AUDIT_VALUE&amp;DB=129&amp;ID1=74727710&amp;VALUEID=02001&amp;SDATE=200402&amp;PERIODTYPE=QTR_STD&amp;SCFT=3&amp;window=popup_no_bar&amp;width=385&amp;height=120&amp;START_MAXIMIZED=FALSE&amp;creator=factset&amp;display_string=Audit"}</definedName>
    <definedName name="_3315__FDSAUDITLINK__" hidden="1">{"fdsup://Directions/FactSet Auditing Viewer?action=AUDIT_VALUE&amp;DB=129&amp;ID1=74727710&amp;VALUEID=02001&amp;SDATE=200401&amp;PERIODTYPE=QTR_STD&amp;SCFT=3&amp;window=popup_no_bar&amp;width=385&amp;height=120&amp;START_MAXIMIZED=FALSE&amp;creator=factset&amp;display_string=Audit"}</definedName>
    <definedName name="_3316__FDSAUDITLINK__" hidden="1">{"fdsup://Directions/FactSet Auditing Viewer?action=AUDIT_VALUE&amp;DB=129&amp;ID1=74727710&amp;VALUEID=02001&amp;SDATE=200401&amp;PERIODTYPE=QTR_STD&amp;SCFT=3&amp;window=popup_no_bar&amp;width=385&amp;height=120&amp;START_MAXIMIZED=FALSE&amp;creator=factset&amp;display_string=Audit"}</definedName>
    <definedName name="_3317__FDSAUDITLINK__" hidden="1">{"fdsup://Directions/FactSet Auditing Viewer?action=AUDIT_VALUE&amp;DB=129&amp;ID1=74752510&amp;VALUEID=02001&amp;SDATE=200802&amp;PERIODTYPE=QTR_STD&amp;SCFT=3&amp;window=popup_no_bar&amp;width=385&amp;height=120&amp;START_MAXIMIZED=FALSE&amp;creator=factset&amp;display_string=Audit"}</definedName>
    <definedName name="_3318__FDSAUDITLINK__" hidden="1">{"fdsup://Directions/FactSet Auditing Viewer?action=AUDIT_VALUE&amp;DB=129&amp;ID1=74752510&amp;VALUEID=02001&amp;SDATE=200802&amp;PERIODTYPE=QTR_STD&amp;SCFT=3&amp;window=popup_no_bar&amp;width=385&amp;height=120&amp;START_MAXIMIZED=FALSE&amp;creator=factset&amp;display_string=Audit"}</definedName>
    <definedName name="_3319__FDSAUDITLINK__" hidden="1">{"fdsup://Directions/FactSet Auditing Viewer?action=AUDIT_VALUE&amp;DB=129&amp;ID1=74752510&amp;VALUEID=02001&amp;SDATE=200801&amp;PERIODTYPE=QTR_STD&amp;SCFT=3&amp;window=popup_no_bar&amp;width=385&amp;height=120&amp;START_MAXIMIZED=FALSE&amp;creator=factset&amp;display_string=Audit"}</definedName>
    <definedName name="_332__FDSAUDITLINK__" hidden="1">{"fdsup://Directions/FactSet Auditing Viewer?action=AUDIT_VALUE&amp;DB=129&amp;ID1=74727710&amp;VALUEID=02001&amp;SDATE=201002&amp;PERIODTYPE=QTR_STD&amp;SCFT=3&amp;window=popup_no_bar&amp;width=385&amp;height=120&amp;START_MAXIMIZED=FALSE&amp;creator=factset&amp;display_string=Audit"}</definedName>
    <definedName name="_3320__FDSAUDITLINK__" hidden="1">{"fdsup://Directions/FactSet Auditing Viewer?action=AUDIT_VALUE&amp;DB=129&amp;ID1=74752510&amp;VALUEID=02001&amp;SDATE=200801&amp;PERIODTYPE=QTR_STD&amp;SCFT=3&amp;window=popup_no_bar&amp;width=385&amp;height=120&amp;START_MAXIMIZED=FALSE&amp;creator=factset&amp;display_string=Audit"}</definedName>
    <definedName name="_3321__FDSAUDITLINK__" hidden="1">{"fdsup://Directions/FactSet Auditing Viewer?action=AUDIT_VALUE&amp;DB=129&amp;ID1=74752510&amp;VALUEID=02001&amp;SDATE=200703&amp;PERIODTYPE=QTR_STD&amp;SCFT=3&amp;window=popup_no_bar&amp;width=385&amp;height=120&amp;START_MAXIMIZED=FALSE&amp;creator=factset&amp;display_string=Audit"}</definedName>
    <definedName name="_3322__FDSAUDITLINK__" hidden="1">{"fdsup://Directions/FactSet Auditing Viewer?action=AUDIT_VALUE&amp;DB=129&amp;ID1=74752510&amp;VALUEID=02001&amp;SDATE=200703&amp;PERIODTYPE=QTR_STD&amp;SCFT=3&amp;window=popup_no_bar&amp;width=385&amp;height=120&amp;START_MAXIMIZED=FALSE&amp;creator=factset&amp;display_string=Audit"}</definedName>
    <definedName name="_3323__FDSAUDITLINK__" hidden="1">{"fdsup://Directions/FactSet Auditing Viewer?action=AUDIT_VALUE&amp;DB=129&amp;ID1=74752510&amp;VALUEID=02001&amp;SDATE=200702&amp;PERIODTYPE=QTR_STD&amp;SCFT=3&amp;window=popup_no_bar&amp;width=385&amp;height=120&amp;START_MAXIMIZED=FALSE&amp;creator=factset&amp;display_string=Audit"}</definedName>
    <definedName name="_3324__FDSAUDITLINK__" hidden="1">{"fdsup://Directions/FactSet Auditing Viewer?action=AUDIT_VALUE&amp;DB=129&amp;ID1=74752510&amp;VALUEID=02001&amp;SDATE=200702&amp;PERIODTYPE=QTR_STD&amp;SCFT=3&amp;window=popup_no_bar&amp;width=385&amp;height=120&amp;START_MAXIMIZED=FALSE&amp;creator=factset&amp;display_string=Audit"}</definedName>
    <definedName name="_3325__FDSAUDITLINK__" hidden="1">{"fdsup://Directions/FactSet Auditing Viewer?action=AUDIT_VALUE&amp;DB=129&amp;ID1=74752510&amp;VALUEID=02001&amp;SDATE=200701&amp;PERIODTYPE=QTR_STD&amp;SCFT=3&amp;window=popup_no_bar&amp;width=385&amp;height=120&amp;START_MAXIMIZED=FALSE&amp;creator=factset&amp;display_string=Audit"}</definedName>
    <definedName name="_3326__FDSAUDITLINK__" hidden="1">{"fdsup://Directions/FactSet Auditing Viewer?action=AUDIT_VALUE&amp;DB=129&amp;ID1=74752510&amp;VALUEID=02001&amp;SDATE=200701&amp;PERIODTYPE=QTR_STD&amp;SCFT=3&amp;window=popup_no_bar&amp;width=385&amp;height=120&amp;START_MAXIMIZED=FALSE&amp;creator=factset&amp;display_string=Audit"}</definedName>
    <definedName name="_3327__FDSAUDITLINK__" hidden="1">{"fdsup://Directions/FactSet Auditing Viewer?action=AUDIT_VALUE&amp;DB=129&amp;ID1=74752510&amp;VALUEID=02001&amp;SDATE=200603&amp;PERIODTYPE=QTR_STD&amp;SCFT=3&amp;window=popup_no_bar&amp;width=385&amp;height=120&amp;START_MAXIMIZED=FALSE&amp;creator=factset&amp;display_string=Audit"}</definedName>
    <definedName name="_3328__FDSAUDITLINK__" hidden="1">{"fdsup://Directions/FactSet Auditing Viewer?action=AUDIT_VALUE&amp;DB=129&amp;ID1=74752510&amp;VALUEID=02001&amp;SDATE=200603&amp;PERIODTYPE=QTR_STD&amp;SCFT=3&amp;window=popup_no_bar&amp;width=385&amp;height=120&amp;START_MAXIMIZED=FALSE&amp;creator=factset&amp;display_string=Audit"}</definedName>
    <definedName name="_3329__FDSAUDITLINK__" hidden="1">{"fdsup://Directions/FactSet Auditing Viewer?action=AUDIT_VALUE&amp;DB=129&amp;ID1=74752510&amp;VALUEID=02001&amp;SDATE=200602&amp;PERIODTYPE=QTR_STD&amp;SCFT=3&amp;window=popup_no_bar&amp;width=385&amp;height=120&amp;START_MAXIMIZED=FALSE&amp;creator=factset&amp;display_string=Audit"}</definedName>
    <definedName name="_333__FDSAUDITLINK__" hidden="1">{"fdsup://Directions/FactSet Auditing Viewer?action=AUDIT_VALUE&amp;DB=129&amp;ID1=74752510&amp;VALUEID=02001&amp;SDATE=201004&amp;PERIODTYPE=QTR_STD&amp;SCFT=3&amp;window=popup_no_bar&amp;width=385&amp;height=120&amp;START_MAXIMIZED=FALSE&amp;creator=factset&amp;display_string=Audit"}</definedName>
    <definedName name="_3330__FDSAUDITLINK__" hidden="1">{"fdsup://Directions/FactSet Auditing Viewer?action=AUDIT_VALUE&amp;DB=129&amp;ID1=74752510&amp;VALUEID=02001&amp;SDATE=200602&amp;PERIODTYPE=QTR_STD&amp;SCFT=3&amp;window=popup_no_bar&amp;width=385&amp;height=120&amp;START_MAXIMIZED=FALSE&amp;creator=factset&amp;display_string=Audit"}</definedName>
    <definedName name="_3331__FDSAUDITLINK__" hidden="1">{"fdsup://Directions/FactSet Auditing Viewer?action=AUDIT_VALUE&amp;DB=129&amp;ID1=74752510&amp;VALUEID=02001&amp;SDATE=200601&amp;PERIODTYPE=QTR_STD&amp;SCFT=3&amp;window=popup_no_bar&amp;width=385&amp;height=120&amp;START_MAXIMIZED=FALSE&amp;creator=factset&amp;display_string=Audit"}</definedName>
    <definedName name="_3332__FDSAUDITLINK__" hidden="1">{"fdsup://Directions/FactSet Auditing Viewer?action=AUDIT_VALUE&amp;DB=129&amp;ID1=74752510&amp;VALUEID=02001&amp;SDATE=200601&amp;PERIODTYPE=QTR_STD&amp;SCFT=3&amp;window=popup_no_bar&amp;width=385&amp;height=120&amp;START_MAXIMIZED=FALSE&amp;creator=factset&amp;display_string=Audit"}</definedName>
    <definedName name="_3333__FDSAUDITLINK__" hidden="1">{"fdsup://Directions/FactSet Auditing Viewer?action=AUDIT_VALUE&amp;DB=129&amp;ID1=74752510&amp;VALUEID=02001&amp;SDATE=200503&amp;PERIODTYPE=QTR_STD&amp;SCFT=3&amp;window=popup_no_bar&amp;width=385&amp;height=120&amp;START_MAXIMIZED=FALSE&amp;creator=factset&amp;display_string=Audit"}</definedName>
    <definedName name="_3334__FDSAUDITLINK__" hidden="1">{"fdsup://Directions/FactSet Auditing Viewer?action=AUDIT_VALUE&amp;DB=129&amp;ID1=74752510&amp;VALUEID=02001&amp;SDATE=200503&amp;PERIODTYPE=QTR_STD&amp;SCFT=3&amp;window=popup_no_bar&amp;width=385&amp;height=120&amp;START_MAXIMIZED=FALSE&amp;creator=factset&amp;display_string=Audit"}</definedName>
    <definedName name="_3335__FDSAUDITLINK__" hidden="1">{"fdsup://Directions/FactSet Auditing Viewer?action=AUDIT_VALUE&amp;DB=129&amp;ID1=74752510&amp;VALUEID=02001&amp;SDATE=200502&amp;PERIODTYPE=QTR_STD&amp;SCFT=3&amp;window=popup_no_bar&amp;width=385&amp;height=120&amp;START_MAXIMIZED=FALSE&amp;creator=factset&amp;display_string=Audit"}</definedName>
    <definedName name="_3336__FDSAUDITLINK__" hidden="1">{"fdsup://Directions/FactSet Auditing Viewer?action=AUDIT_VALUE&amp;DB=129&amp;ID1=74752510&amp;VALUEID=02001&amp;SDATE=200502&amp;PERIODTYPE=QTR_STD&amp;SCFT=3&amp;window=popup_no_bar&amp;width=385&amp;height=120&amp;START_MAXIMIZED=FALSE&amp;creator=factset&amp;display_string=Audit"}</definedName>
    <definedName name="_3337__FDSAUDITLINK__" hidden="1">{"fdsup://Directions/FactSet Auditing Viewer?action=AUDIT_VALUE&amp;DB=129&amp;ID1=74752510&amp;VALUEID=02001&amp;SDATE=200501&amp;PERIODTYPE=QTR_STD&amp;SCFT=3&amp;window=popup_no_bar&amp;width=385&amp;height=120&amp;START_MAXIMIZED=FALSE&amp;creator=factset&amp;display_string=Audit"}</definedName>
    <definedName name="_3338__FDSAUDITLINK__" hidden="1">{"fdsup://Directions/FactSet Auditing Viewer?action=AUDIT_VALUE&amp;DB=129&amp;ID1=74752510&amp;VALUEID=02001&amp;SDATE=200501&amp;PERIODTYPE=QTR_STD&amp;SCFT=3&amp;window=popup_no_bar&amp;width=385&amp;height=120&amp;START_MAXIMIZED=FALSE&amp;creator=factset&amp;display_string=Audit"}</definedName>
    <definedName name="_3339__FDSAUDITLINK__" hidden="1">{"fdsup://Directions/FactSet Auditing Viewer?action=AUDIT_VALUE&amp;DB=129&amp;ID1=74752510&amp;VALUEID=02001&amp;SDATE=200403&amp;PERIODTYPE=QTR_STD&amp;SCFT=3&amp;window=popup_no_bar&amp;width=385&amp;height=120&amp;START_MAXIMIZED=FALSE&amp;creator=factset&amp;display_string=Audit"}</definedName>
    <definedName name="_334__FDSAUDITLINK__" hidden="1">{"fdsup://Directions/FactSet Auditing Viewer?action=AUDIT_VALUE&amp;DB=129&amp;ID1=74752510&amp;VALUEID=02001&amp;SDATE=201004&amp;PERIODTYPE=QTR_STD&amp;SCFT=3&amp;window=popup_no_bar&amp;width=385&amp;height=120&amp;START_MAXIMIZED=FALSE&amp;creator=factset&amp;display_string=Audit"}</definedName>
    <definedName name="_3340__FDSAUDITLINK__" hidden="1">{"fdsup://Directions/FactSet Auditing Viewer?action=AUDIT_VALUE&amp;DB=129&amp;ID1=74752510&amp;VALUEID=02001&amp;SDATE=200403&amp;PERIODTYPE=QTR_STD&amp;SCFT=3&amp;window=popup_no_bar&amp;width=385&amp;height=120&amp;START_MAXIMIZED=FALSE&amp;creator=factset&amp;display_string=Audit"}</definedName>
    <definedName name="_3341__FDSAUDITLINK__" hidden="1">{"fdsup://Directions/FactSet Auditing Viewer?action=AUDIT_VALUE&amp;DB=129&amp;ID1=74752510&amp;VALUEID=02001&amp;SDATE=200402&amp;PERIODTYPE=QTR_STD&amp;SCFT=3&amp;window=popup_no_bar&amp;width=385&amp;height=120&amp;START_MAXIMIZED=FALSE&amp;creator=factset&amp;display_string=Audit"}</definedName>
    <definedName name="_3342__FDSAUDITLINK__" hidden="1">{"fdsup://Directions/FactSet Auditing Viewer?action=AUDIT_VALUE&amp;DB=129&amp;ID1=74752510&amp;VALUEID=02001&amp;SDATE=200402&amp;PERIODTYPE=QTR_STD&amp;SCFT=3&amp;window=popup_no_bar&amp;width=385&amp;height=120&amp;START_MAXIMIZED=FALSE&amp;creator=factset&amp;display_string=Audit"}</definedName>
    <definedName name="_3343__FDSAUDITLINK__" hidden="1">{"fdsup://Directions/FactSet Auditing Viewer?action=AUDIT_VALUE&amp;DB=129&amp;ID1=72581M30&amp;VALUEID=02001&amp;SDATE=200801&amp;PERIODTYPE=QTR_STD&amp;SCFT=3&amp;window=popup_no_bar&amp;width=385&amp;height=120&amp;START_MAXIMIZED=FALSE&amp;creator=factset&amp;display_string=Audit"}</definedName>
    <definedName name="_3344__FDSAUDITLINK__" hidden="1">{"fdsup://Directions/FactSet Auditing Viewer?action=AUDIT_VALUE&amp;DB=129&amp;ID1=72581M30&amp;VALUEID=02001&amp;SDATE=200801&amp;PERIODTYPE=QTR_STD&amp;SCFT=3&amp;window=popup_no_bar&amp;width=385&amp;height=120&amp;START_MAXIMIZED=FALSE&amp;creator=factset&amp;display_string=Audit"}</definedName>
    <definedName name="_3345__FDSAUDITLINK__" hidden="1">{"fdsup://Directions/FactSet Auditing Viewer?action=AUDIT_VALUE&amp;DB=129&amp;ID1=72581M30&amp;VALUEID=02001&amp;SDATE=200703&amp;PERIODTYPE=QTR_STD&amp;SCFT=3&amp;window=popup_no_bar&amp;width=385&amp;height=120&amp;START_MAXIMIZED=FALSE&amp;creator=factset&amp;display_string=Audit"}</definedName>
    <definedName name="_3346__FDSAUDITLINK__" hidden="1">{"fdsup://Directions/FactSet Auditing Viewer?action=AUDIT_VALUE&amp;DB=129&amp;ID1=72581M30&amp;VALUEID=02001&amp;SDATE=200703&amp;PERIODTYPE=QTR_STD&amp;SCFT=3&amp;window=popup_no_bar&amp;width=385&amp;height=120&amp;START_MAXIMIZED=FALSE&amp;creator=factset&amp;display_string=Audit"}</definedName>
    <definedName name="_3347__FDSAUDITLINK__" hidden="1">{"fdsup://Directions/FactSet Auditing Viewer?action=AUDIT_VALUE&amp;DB=129&amp;ID1=72581M30&amp;VALUEID=02001&amp;SDATE=200702&amp;PERIODTYPE=QTR_STD&amp;SCFT=3&amp;window=popup_no_bar&amp;width=385&amp;height=120&amp;START_MAXIMIZED=FALSE&amp;creator=factset&amp;display_string=Audit"}</definedName>
    <definedName name="_3348__FDSAUDITLINK__" hidden="1">{"fdsup://Directions/FactSet Auditing Viewer?action=AUDIT_VALUE&amp;DB=129&amp;ID1=72581M30&amp;VALUEID=02001&amp;SDATE=200702&amp;PERIODTYPE=QTR_STD&amp;SCFT=3&amp;window=popup_no_bar&amp;width=385&amp;height=120&amp;START_MAXIMIZED=FALSE&amp;creator=factset&amp;display_string=Audit"}</definedName>
    <definedName name="_3349__FDSAUDITLINK__" hidden="1">{"fdsup://Directions/FactSet Auditing Viewer?action=AUDIT_VALUE&amp;DB=129&amp;ID1=72581M30&amp;VALUEID=02001&amp;SDATE=200701&amp;PERIODTYPE=QTR_STD&amp;SCFT=3&amp;window=popup_no_bar&amp;width=385&amp;height=120&amp;START_MAXIMIZED=FALSE&amp;creator=factset&amp;display_string=Audit"}</definedName>
    <definedName name="_335__FDSAUDITLINK__" hidden="1">{"fdsup://Directions/FactSet Auditing Viewer?action=AUDIT_VALUE&amp;DB=129&amp;ID1=72581M30&amp;VALUEID=02001&amp;SDATE=201003&amp;PERIODTYPE=QTR_STD&amp;SCFT=3&amp;window=popup_no_bar&amp;width=385&amp;height=120&amp;START_MAXIMIZED=FALSE&amp;creator=factset&amp;display_string=Audit"}</definedName>
    <definedName name="_3350__FDSAUDITLINK__" hidden="1">{"fdsup://Directions/FactSet Auditing Viewer?action=AUDIT_VALUE&amp;DB=129&amp;ID1=72581M30&amp;VALUEID=02001&amp;SDATE=200701&amp;PERIODTYPE=QTR_STD&amp;SCFT=3&amp;window=popup_no_bar&amp;width=385&amp;height=120&amp;START_MAXIMIZED=FALSE&amp;creator=factset&amp;display_string=Audit"}</definedName>
    <definedName name="_3351__FDSAUDITLINK__" hidden="1">{"fdsup://Directions/FactSet Auditing Viewer?action=AUDIT_VALUE&amp;DB=129&amp;ID1=72581M30&amp;VALUEID=02001&amp;SDATE=200603&amp;PERIODTYPE=QTR_STD&amp;SCFT=3&amp;window=popup_no_bar&amp;width=385&amp;height=120&amp;START_MAXIMIZED=FALSE&amp;creator=factset&amp;display_string=Audit"}</definedName>
    <definedName name="_3352__FDSAUDITLINK__" hidden="1">{"fdsup://Directions/FactSet Auditing Viewer?action=AUDIT_VALUE&amp;DB=129&amp;ID1=72581M30&amp;VALUEID=02001&amp;SDATE=200603&amp;PERIODTYPE=QTR_STD&amp;SCFT=3&amp;window=popup_no_bar&amp;width=385&amp;height=120&amp;START_MAXIMIZED=FALSE&amp;creator=factset&amp;display_string=Audit"}</definedName>
    <definedName name="_3353__FDSAUDITLINK__" hidden="1">{"fdsup://Directions/FactSet Auditing Viewer?action=AUDIT_VALUE&amp;DB=129&amp;ID1=72581M30&amp;VALUEID=02001&amp;SDATE=200602&amp;PERIODTYPE=QTR_STD&amp;SCFT=3&amp;window=popup_no_bar&amp;width=385&amp;height=120&amp;START_MAXIMIZED=FALSE&amp;creator=factset&amp;display_string=Audit"}</definedName>
    <definedName name="_3354__FDSAUDITLINK__" hidden="1">{"fdsup://Directions/FactSet Auditing Viewer?action=AUDIT_VALUE&amp;DB=129&amp;ID1=72581M30&amp;VALUEID=02001&amp;SDATE=200602&amp;PERIODTYPE=QTR_STD&amp;SCFT=3&amp;window=popup_no_bar&amp;width=385&amp;height=120&amp;START_MAXIMIZED=FALSE&amp;creator=factset&amp;display_string=Audit"}</definedName>
    <definedName name="_3355__FDSAUDITLINK__" hidden="1">{"fdsup://Directions/FactSet Auditing Viewer?action=AUDIT_VALUE&amp;DB=129&amp;ID1=72581M30&amp;VALUEID=02001&amp;SDATE=200601&amp;PERIODTYPE=QTR_STD&amp;SCFT=3&amp;window=popup_no_bar&amp;width=385&amp;height=120&amp;START_MAXIMIZED=FALSE&amp;creator=factset&amp;display_string=Audit"}</definedName>
    <definedName name="_3356__FDSAUDITLINK__" hidden="1">{"fdsup://Directions/FactSet Auditing Viewer?action=AUDIT_VALUE&amp;DB=129&amp;ID1=72581M30&amp;VALUEID=02001&amp;SDATE=200601&amp;PERIODTYPE=QTR_STD&amp;SCFT=3&amp;window=popup_no_bar&amp;width=385&amp;height=120&amp;START_MAXIMIZED=FALSE&amp;creator=factset&amp;display_string=Audit"}</definedName>
    <definedName name="_3357__FDSAUDITLINK__" hidden="1">{"fdsup://Directions/FactSet Auditing Viewer?action=AUDIT_VALUE&amp;DB=129&amp;ID1=72581M30&amp;VALUEID=02001&amp;SDATE=200503&amp;PERIODTYPE=QTR_STD&amp;SCFT=3&amp;window=popup_no_bar&amp;width=385&amp;height=120&amp;START_MAXIMIZED=FALSE&amp;creator=factset&amp;display_string=Audit"}</definedName>
    <definedName name="_3358__FDSAUDITLINK__" hidden="1">{"fdsup://Directions/FactSet Auditing Viewer?action=AUDIT_VALUE&amp;DB=129&amp;ID1=72581M30&amp;VALUEID=02001&amp;SDATE=200503&amp;PERIODTYPE=QTR_STD&amp;SCFT=3&amp;window=popup_no_bar&amp;width=385&amp;height=120&amp;START_MAXIMIZED=FALSE&amp;creator=factset&amp;display_string=Audit"}</definedName>
    <definedName name="_3359__FDSAUDITLINK__" hidden="1">{"fdsup://Directions/FactSet Auditing Viewer?action=AUDIT_VALUE&amp;DB=129&amp;ID1=72581M30&amp;VALUEID=02001&amp;SDATE=200502&amp;PERIODTYPE=QTR_STD&amp;SCFT=3&amp;window=popup_no_bar&amp;width=385&amp;height=120&amp;START_MAXIMIZED=FALSE&amp;creator=factset&amp;display_string=Audit"}</definedName>
    <definedName name="_336__FDSAUDITLINK__" hidden="1">{"fdsup://Directions/FactSet Auditing Viewer?action=AUDIT_VALUE&amp;DB=129&amp;ID1=72581M30&amp;VALUEID=02001&amp;SDATE=201003&amp;PERIODTYPE=QTR_STD&amp;SCFT=3&amp;window=popup_no_bar&amp;width=385&amp;height=120&amp;START_MAXIMIZED=FALSE&amp;creator=factset&amp;display_string=Audit"}</definedName>
    <definedName name="_3360__FDSAUDITLINK__" hidden="1">{"fdsup://Directions/FactSet Auditing Viewer?action=AUDIT_VALUE&amp;DB=129&amp;ID1=72581M30&amp;VALUEID=02001&amp;SDATE=200502&amp;PERIODTYPE=QTR_STD&amp;SCFT=3&amp;window=popup_no_bar&amp;width=385&amp;height=120&amp;START_MAXIMIZED=FALSE&amp;creator=factset&amp;display_string=Audit"}</definedName>
    <definedName name="_3361__FDSAUDITLINK__" hidden="1">{"fdsup://Directions/FactSet Auditing Viewer?action=AUDIT_VALUE&amp;DB=129&amp;ID1=72581M30&amp;VALUEID=02001&amp;SDATE=200501&amp;PERIODTYPE=QTR_STD&amp;SCFT=3&amp;window=popup_no_bar&amp;width=385&amp;height=120&amp;START_MAXIMIZED=FALSE&amp;creator=factset&amp;display_string=Audit"}</definedName>
    <definedName name="_3362__FDSAUDITLINK__" hidden="1">{"fdsup://Directions/FactSet Auditing Viewer?action=AUDIT_VALUE&amp;DB=129&amp;ID1=72581M30&amp;VALUEID=02001&amp;SDATE=200501&amp;PERIODTYPE=QTR_STD&amp;SCFT=3&amp;window=popup_no_bar&amp;width=385&amp;height=120&amp;START_MAXIMIZED=FALSE&amp;creator=factset&amp;display_string=Audit"}</definedName>
    <definedName name="_3363__FDSAUDITLINK__" hidden="1">{"fdsup://Directions/FactSet Auditing Viewer?action=AUDIT_VALUE&amp;DB=129&amp;ID1=72581M30&amp;VALUEID=02001&amp;SDATE=200403&amp;PERIODTYPE=QTR_STD&amp;SCFT=3&amp;window=popup_no_bar&amp;width=385&amp;height=120&amp;START_MAXIMIZED=FALSE&amp;creator=factset&amp;display_string=Audit"}</definedName>
    <definedName name="_3364__FDSAUDITLINK__" hidden="1">{"fdsup://Directions/FactSet Auditing Viewer?action=AUDIT_VALUE&amp;DB=129&amp;ID1=72581M30&amp;VALUEID=02001&amp;SDATE=200403&amp;PERIODTYPE=QTR_STD&amp;SCFT=3&amp;window=popup_no_bar&amp;width=385&amp;height=120&amp;START_MAXIMIZED=FALSE&amp;creator=factset&amp;display_string=Audit"}</definedName>
    <definedName name="_3365__FDSAUDITLINK__" hidden="1">{"fdsup://Directions/FactSet Auditing Viewer?action=AUDIT_VALUE&amp;DB=129&amp;ID1=72581M30&amp;VALUEID=02001&amp;SDATE=200402&amp;PERIODTYPE=QTR_STD&amp;SCFT=3&amp;window=popup_no_bar&amp;width=385&amp;height=120&amp;START_MAXIMIZED=FALSE&amp;creator=factset&amp;display_string=Audit"}</definedName>
    <definedName name="_3366__FDSAUDITLINK__" hidden="1">{"fdsup://Directions/FactSet Auditing Viewer?action=AUDIT_VALUE&amp;DB=129&amp;ID1=72581M30&amp;VALUEID=02001&amp;SDATE=200402&amp;PERIODTYPE=QTR_STD&amp;SCFT=3&amp;window=popup_no_bar&amp;width=385&amp;height=120&amp;START_MAXIMIZED=FALSE&amp;creator=factset&amp;display_string=Audit"}</definedName>
    <definedName name="_3367__FDSAUDITLINK__" hidden="1">{"fdsup://Directions/FactSet Auditing Viewer?action=AUDIT_VALUE&amp;DB=129&amp;ID1=72581M30&amp;VALUEID=02001&amp;SDATE=200401&amp;PERIODTYPE=QTR_STD&amp;SCFT=3&amp;window=popup_no_bar&amp;width=385&amp;height=120&amp;START_MAXIMIZED=FALSE&amp;creator=factset&amp;display_string=Audit"}</definedName>
    <definedName name="_3368__FDSAUDITLINK__" hidden="1">{"fdsup://Directions/FactSet Auditing Viewer?action=AUDIT_VALUE&amp;DB=129&amp;ID1=72581M30&amp;VALUEID=02001&amp;SDATE=200401&amp;PERIODTYPE=QTR_STD&amp;SCFT=3&amp;window=popup_no_bar&amp;width=385&amp;height=120&amp;START_MAXIMIZED=FALSE&amp;creator=factset&amp;display_string=Audit"}</definedName>
    <definedName name="_3369__FDSAUDITLINK__" hidden="1">{"fdsup://Directions/FactSet Auditing Viewer?action=AUDIT_VALUE&amp;DB=129&amp;ID1=73927610&amp;VALUEID=02001&amp;SDATE=200801&amp;PERIODTYPE=QTR_STD&amp;SCFT=3&amp;window=popup_no_bar&amp;width=385&amp;height=120&amp;START_MAXIMIZED=FALSE&amp;creator=factset&amp;display_string=Audit"}</definedName>
    <definedName name="_337__FDSAUDITLINK__" hidden="1">{"fdsup://Directions/FactSet Auditing Viewer?action=AUDIT_VALUE&amp;DB=129&amp;ID1=73927610&amp;VALUEID=02001&amp;SDATE=201003&amp;PERIODTYPE=QTR_STD&amp;SCFT=3&amp;window=popup_no_bar&amp;width=385&amp;height=120&amp;START_MAXIMIZED=FALSE&amp;creator=factset&amp;display_string=Audit"}</definedName>
    <definedName name="_3370__FDSAUDITLINK__" hidden="1">{"fdsup://Directions/FactSet Auditing Viewer?action=AUDIT_VALUE&amp;DB=129&amp;ID1=73927610&amp;VALUEID=02001&amp;SDATE=200801&amp;PERIODTYPE=QTR_STD&amp;SCFT=3&amp;window=popup_no_bar&amp;width=385&amp;height=120&amp;START_MAXIMIZED=FALSE&amp;creator=factset&amp;display_string=Audit"}</definedName>
    <definedName name="_3371__FDSAUDITLINK__" hidden="1">{"fdsup://Directions/FactSet Auditing Viewer?action=AUDIT_VALUE&amp;DB=129&amp;ID1=73927610&amp;VALUEID=02001&amp;SDATE=200703&amp;PERIODTYPE=QTR_STD&amp;SCFT=3&amp;window=popup_no_bar&amp;width=385&amp;height=120&amp;START_MAXIMIZED=FALSE&amp;creator=factset&amp;display_string=Audit"}</definedName>
    <definedName name="_3372__FDSAUDITLINK__" hidden="1">{"fdsup://Directions/FactSet Auditing Viewer?action=AUDIT_VALUE&amp;DB=129&amp;ID1=73927610&amp;VALUEID=02001&amp;SDATE=200703&amp;PERIODTYPE=QTR_STD&amp;SCFT=3&amp;window=popup_no_bar&amp;width=385&amp;height=120&amp;START_MAXIMIZED=FALSE&amp;creator=factset&amp;display_string=Audit"}</definedName>
    <definedName name="_3373__FDSAUDITLINK__" hidden="1">{"fdsup://Directions/FactSet Auditing Viewer?action=AUDIT_VALUE&amp;DB=129&amp;ID1=73927610&amp;VALUEID=02001&amp;SDATE=200702&amp;PERIODTYPE=QTR_STD&amp;SCFT=3&amp;window=popup_no_bar&amp;width=385&amp;height=120&amp;START_MAXIMIZED=FALSE&amp;creator=factset&amp;display_string=Audit"}</definedName>
    <definedName name="_3374__FDSAUDITLINK__" hidden="1">{"fdsup://Directions/FactSet Auditing Viewer?action=AUDIT_VALUE&amp;DB=129&amp;ID1=73927610&amp;VALUEID=02001&amp;SDATE=200702&amp;PERIODTYPE=QTR_STD&amp;SCFT=3&amp;window=popup_no_bar&amp;width=385&amp;height=120&amp;START_MAXIMIZED=FALSE&amp;creator=factset&amp;display_string=Audit"}</definedName>
    <definedName name="_3375__FDSAUDITLINK__" hidden="1">{"fdsup://Directions/FactSet Auditing Viewer?action=AUDIT_VALUE&amp;DB=129&amp;ID1=73927610&amp;VALUEID=02001&amp;SDATE=200701&amp;PERIODTYPE=QTR_STD&amp;SCFT=3&amp;window=popup_no_bar&amp;width=385&amp;height=120&amp;START_MAXIMIZED=FALSE&amp;creator=factset&amp;display_string=Audit"}</definedName>
    <definedName name="_3376__FDSAUDITLINK__" hidden="1">{"fdsup://Directions/FactSet Auditing Viewer?action=AUDIT_VALUE&amp;DB=129&amp;ID1=73927610&amp;VALUEID=02001&amp;SDATE=200701&amp;PERIODTYPE=QTR_STD&amp;SCFT=3&amp;window=popup_no_bar&amp;width=385&amp;height=120&amp;START_MAXIMIZED=FALSE&amp;creator=factset&amp;display_string=Audit"}</definedName>
    <definedName name="_3377__FDSAUDITLINK__" hidden="1">{"fdsup://Directions/FactSet Auditing Viewer?action=AUDIT_VALUE&amp;DB=129&amp;ID1=73927610&amp;VALUEID=02001&amp;SDATE=200603&amp;PERIODTYPE=QTR_STD&amp;SCFT=3&amp;window=popup_no_bar&amp;width=385&amp;height=120&amp;START_MAXIMIZED=FALSE&amp;creator=factset&amp;display_string=Audit"}</definedName>
    <definedName name="_3378__FDSAUDITLINK__" hidden="1">{"fdsup://Directions/FactSet Auditing Viewer?action=AUDIT_VALUE&amp;DB=129&amp;ID1=73927610&amp;VALUEID=02001&amp;SDATE=200603&amp;PERIODTYPE=QTR_STD&amp;SCFT=3&amp;window=popup_no_bar&amp;width=385&amp;height=120&amp;START_MAXIMIZED=FALSE&amp;creator=factset&amp;display_string=Audit"}</definedName>
    <definedName name="_3379__FDSAUDITLINK__" hidden="1">{"fdsup://Directions/FactSet Auditing Viewer?action=AUDIT_VALUE&amp;DB=129&amp;ID1=73927610&amp;VALUEID=02001&amp;SDATE=200602&amp;PERIODTYPE=QTR_STD&amp;SCFT=3&amp;window=popup_no_bar&amp;width=385&amp;height=120&amp;START_MAXIMIZED=FALSE&amp;creator=factset&amp;display_string=Audit"}</definedName>
    <definedName name="_338__FDSAUDITLINK__" hidden="1">{"fdsup://Directions/FactSet Auditing Viewer?action=AUDIT_VALUE&amp;DB=129&amp;ID1=73927610&amp;VALUEID=02001&amp;SDATE=201003&amp;PERIODTYPE=QTR_STD&amp;SCFT=3&amp;window=popup_no_bar&amp;width=385&amp;height=120&amp;START_MAXIMIZED=FALSE&amp;creator=factset&amp;display_string=Audit"}</definedName>
    <definedName name="_3380__FDSAUDITLINK__" hidden="1">{"fdsup://Directions/FactSet Auditing Viewer?action=AUDIT_VALUE&amp;DB=129&amp;ID1=73927610&amp;VALUEID=02001&amp;SDATE=200602&amp;PERIODTYPE=QTR_STD&amp;SCFT=3&amp;window=popup_no_bar&amp;width=385&amp;height=120&amp;START_MAXIMIZED=FALSE&amp;creator=factset&amp;display_string=Audit"}</definedName>
    <definedName name="_3381__FDSAUDITLINK__" hidden="1">{"fdsup://Directions/FactSet Auditing Viewer?action=AUDIT_VALUE&amp;DB=129&amp;ID1=73927610&amp;VALUEID=02001&amp;SDATE=200601&amp;PERIODTYPE=QTR_STD&amp;SCFT=3&amp;window=popup_no_bar&amp;width=385&amp;height=120&amp;START_MAXIMIZED=FALSE&amp;creator=factset&amp;display_string=Audit"}</definedName>
    <definedName name="_3382__FDSAUDITLINK__" hidden="1">{"fdsup://Directions/FactSet Auditing Viewer?action=AUDIT_VALUE&amp;DB=129&amp;ID1=73927610&amp;VALUEID=02001&amp;SDATE=200601&amp;PERIODTYPE=QTR_STD&amp;SCFT=3&amp;window=popup_no_bar&amp;width=385&amp;height=120&amp;START_MAXIMIZED=FALSE&amp;creator=factset&amp;display_string=Audit"}</definedName>
    <definedName name="_3383__FDSAUDITLINK__" hidden="1">{"fdsup://Directions/FactSet Auditing Viewer?action=AUDIT_VALUE&amp;DB=129&amp;ID1=73927610&amp;VALUEID=02001&amp;SDATE=200503&amp;PERIODTYPE=QTR_STD&amp;SCFT=3&amp;window=popup_no_bar&amp;width=385&amp;height=120&amp;START_MAXIMIZED=FALSE&amp;creator=factset&amp;display_string=Audit"}</definedName>
    <definedName name="_3384__FDSAUDITLINK__" hidden="1">{"fdsup://Directions/FactSet Auditing Viewer?action=AUDIT_VALUE&amp;DB=129&amp;ID1=73927610&amp;VALUEID=02001&amp;SDATE=200503&amp;PERIODTYPE=QTR_STD&amp;SCFT=3&amp;window=popup_no_bar&amp;width=385&amp;height=120&amp;START_MAXIMIZED=FALSE&amp;creator=factset&amp;display_string=Audit"}</definedName>
    <definedName name="_3385__FDSAUDITLINK__" hidden="1">{"fdsup://Directions/FactSet Auditing Viewer?action=AUDIT_VALUE&amp;DB=129&amp;ID1=73927610&amp;VALUEID=02001&amp;SDATE=200502&amp;PERIODTYPE=QTR_STD&amp;SCFT=3&amp;window=popup_no_bar&amp;width=385&amp;height=120&amp;START_MAXIMIZED=FALSE&amp;creator=factset&amp;display_string=Audit"}</definedName>
    <definedName name="_3386__FDSAUDITLINK__" hidden="1">{"fdsup://Directions/FactSet Auditing Viewer?action=AUDIT_VALUE&amp;DB=129&amp;ID1=73927610&amp;VALUEID=02001&amp;SDATE=200502&amp;PERIODTYPE=QTR_STD&amp;SCFT=3&amp;window=popup_no_bar&amp;width=385&amp;height=120&amp;START_MAXIMIZED=FALSE&amp;creator=factset&amp;display_string=Audit"}</definedName>
    <definedName name="_3387__FDSAUDITLINK__" hidden="1">{"fdsup://Directions/FactSet Auditing Viewer?action=AUDIT_VALUE&amp;DB=129&amp;ID1=73927610&amp;VALUEID=02001&amp;SDATE=200501&amp;PERIODTYPE=QTR_STD&amp;SCFT=3&amp;window=popup_no_bar&amp;width=385&amp;height=120&amp;START_MAXIMIZED=FALSE&amp;creator=factset&amp;display_string=Audit"}</definedName>
    <definedName name="_3388__FDSAUDITLINK__" hidden="1">{"fdsup://Directions/FactSet Auditing Viewer?action=AUDIT_VALUE&amp;DB=129&amp;ID1=73927610&amp;VALUEID=02001&amp;SDATE=200501&amp;PERIODTYPE=QTR_STD&amp;SCFT=3&amp;window=popup_no_bar&amp;width=385&amp;height=120&amp;START_MAXIMIZED=FALSE&amp;creator=factset&amp;display_string=Audit"}</definedName>
    <definedName name="_3389__FDSAUDITLINK__" hidden="1">{"fdsup://Directions/FactSet Auditing Viewer?action=AUDIT_VALUE&amp;DB=129&amp;ID1=73927610&amp;VALUEID=02001&amp;SDATE=200403&amp;PERIODTYPE=QTR_STD&amp;SCFT=3&amp;window=popup_no_bar&amp;width=385&amp;height=120&amp;START_MAXIMIZED=FALSE&amp;creator=factset&amp;display_string=Audit"}</definedName>
    <definedName name="_339__FDSAUDITLINK__" hidden="1">{"fdsup://Directions/FactSet Auditing Viewer?action=AUDIT_VALUE&amp;DB=129&amp;ID1=69344F10&amp;VALUEID=02001&amp;SDATE=201003&amp;PERIODTYPE=QTR_STD&amp;SCFT=3&amp;window=popup_no_bar&amp;width=385&amp;height=120&amp;START_MAXIMIZED=FALSE&amp;creator=factset&amp;display_string=Audit"}</definedName>
    <definedName name="_3390__FDSAUDITLINK__" hidden="1">{"fdsup://Directions/FactSet Auditing Viewer?action=AUDIT_VALUE&amp;DB=129&amp;ID1=73927610&amp;VALUEID=02001&amp;SDATE=200403&amp;PERIODTYPE=QTR_STD&amp;SCFT=3&amp;window=popup_no_bar&amp;width=385&amp;height=120&amp;START_MAXIMIZED=FALSE&amp;creator=factset&amp;display_string=Audit"}</definedName>
    <definedName name="_3391__FDSAUDITLINK__" hidden="1">{"fdsup://Directions/FactSet Auditing Viewer?action=AUDIT_VALUE&amp;DB=129&amp;ID1=73927610&amp;VALUEID=02001&amp;SDATE=200402&amp;PERIODTYPE=QTR_STD&amp;SCFT=3&amp;window=popup_no_bar&amp;width=385&amp;height=120&amp;START_MAXIMIZED=FALSE&amp;creator=factset&amp;display_string=Audit"}</definedName>
    <definedName name="_3392__FDSAUDITLINK__" hidden="1">{"fdsup://Directions/FactSet Auditing Viewer?action=AUDIT_VALUE&amp;DB=129&amp;ID1=73927610&amp;VALUEID=02001&amp;SDATE=200402&amp;PERIODTYPE=QTR_STD&amp;SCFT=3&amp;window=popup_no_bar&amp;width=385&amp;height=120&amp;START_MAXIMIZED=FALSE&amp;creator=factset&amp;display_string=Audit"}</definedName>
    <definedName name="_3393__FDSAUDITLINK__" hidden="1">{"fdsup://Directions/FactSet Auditing Viewer?action=AUDIT_VALUE&amp;DB=129&amp;ID1=73927610&amp;VALUEID=02001&amp;SDATE=200401&amp;PERIODTYPE=QTR_STD&amp;SCFT=3&amp;window=popup_no_bar&amp;width=385&amp;height=120&amp;START_MAXIMIZED=FALSE&amp;creator=factset&amp;display_string=Audit"}</definedName>
    <definedName name="_3394__FDSAUDITLINK__" hidden="1">{"fdsup://Directions/FactSet Auditing Viewer?action=AUDIT_VALUE&amp;DB=129&amp;ID1=73927610&amp;VALUEID=02001&amp;SDATE=200401&amp;PERIODTYPE=QTR_STD&amp;SCFT=3&amp;window=popup_no_bar&amp;width=385&amp;height=120&amp;START_MAXIMIZED=FALSE&amp;creator=factset&amp;display_string=Audit"}</definedName>
    <definedName name="_3395__FDSAUDITLINK__" hidden="1">{"fdsup://Directions/FactSet Auditing Viewer?action=AUDIT_VALUE&amp;DB=129&amp;ID1=69344F10&amp;VALUEID=02001&amp;SDATE=200801&amp;PERIODTYPE=QTR_STD&amp;SCFT=3&amp;window=popup_no_bar&amp;width=385&amp;height=120&amp;START_MAXIMIZED=FALSE&amp;creator=factset&amp;display_string=Audit"}</definedName>
    <definedName name="_3396__FDSAUDITLINK__" hidden="1">{"fdsup://Directions/FactSet Auditing Viewer?action=AUDIT_VALUE&amp;DB=129&amp;ID1=69344F10&amp;VALUEID=02001&amp;SDATE=200801&amp;PERIODTYPE=QTR_STD&amp;SCFT=3&amp;window=popup_no_bar&amp;width=385&amp;height=120&amp;START_MAXIMIZED=FALSE&amp;creator=factset&amp;display_string=Audit"}</definedName>
    <definedName name="_3397__FDSAUDITLINK__" hidden="1">{"fdsup://Directions/FactSet Auditing Viewer?action=AUDIT_VALUE&amp;DB=129&amp;ID1=69344F10&amp;VALUEID=02001&amp;SDATE=200703&amp;PERIODTYPE=QTR_STD&amp;SCFT=3&amp;window=popup_no_bar&amp;width=385&amp;height=120&amp;START_MAXIMIZED=FALSE&amp;creator=factset&amp;display_string=Audit"}</definedName>
    <definedName name="_3398__FDSAUDITLINK__" hidden="1">{"fdsup://Directions/FactSet Auditing Viewer?action=AUDIT_VALUE&amp;DB=129&amp;ID1=69344F10&amp;VALUEID=02001&amp;SDATE=200703&amp;PERIODTYPE=QTR_STD&amp;SCFT=3&amp;window=popup_no_bar&amp;width=385&amp;height=120&amp;START_MAXIMIZED=FALSE&amp;creator=factset&amp;display_string=Audit"}</definedName>
    <definedName name="_3399__FDSAUDITLINK__" hidden="1">{"fdsup://Directions/FactSet Auditing Viewer?action=AUDIT_VALUE&amp;DB=129&amp;ID1=69344F10&amp;VALUEID=02001&amp;SDATE=200702&amp;PERIODTYPE=QTR_STD&amp;SCFT=3&amp;window=popup_no_bar&amp;width=385&amp;height=120&amp;START_MAXIMIZED=FALSE&amp;creator=factset&amp;display_string=Audit"}</definedName>
    <definedName name="_34__FDSAUDITLINK__" hidden="1">{"fdsup://Directions/FactSet Auditing Viewer?action=AUDIT_VALUE&amp;DB=129&amp;ID1=82705T10&amp;VALUEID=02001&amp;SDATE=201101&amp;PERIODTYPE=QTR_STD&amp;SCFT=3&amp;window=popup_no_bar&amp;width=385&amp;height=120&amp;START_MAXIMIZED=FALSE&amp;creator=factset&amp;display_string=Audit"}</definedName>
    <definedName name="_340__FDSAUDITLINK__" hidden="1">{"fdsup://Directions/FactSet Auditing Viewer?action=AUDIT_VALUE&amp;DB=129&amp;ID1=69344F10&amp;VALUEID=02001&amp;SDATE=201003&amp;PERIODTYPE=QTR_STD&amp;SCFT=3&amp;window=popup_no_bar&amp;width=385&amp;height=120&amp;START_MAXIMIZED=FALSE&amp;creator=factset&amp;display_string=Audit"}</definedName>
    <definedName name="_3400__FDSAUDITLINK__" hidden="1">{"fdsup://Directions/FactSet Auditing Viewer?action=AUDIT_VALUE&amp;DB=129&amp;ID1=69344F10&amp;VALUEID=02001&amp;SDATE=200702&amp;PERIODTYPE=QTR_STD&amp;SCFT=3&amp;window=popup_no_bar&amp;width=385&amp;height=120&amp;START_MAXIMIZED=FALSE&amp;creator=factset&amp;display_string=Audit"}</definedName>
    <definedName name="_3401__FDSAUDITLINK__" hidden="1">{"fdsup://Directions/FactSet Auditing Viewer?action=AUDIT_VALUE&amp;DB=129&amp;ID1=69344F10&amp;VALUEID=02001&amp;SDATE=200701&amp;PERIODTYPE=QTR_STD&amp;SCFT=3&amp;window=popup_no_bar&amp;width=385&amp;height=120&amp;START_MAXIMIZED=FALSE&amp;creator=factset&amp;display_string=Audit"}</definedName>
    <definedName name="_3402__FDSAUDITLINK__" hidden="1">{"fdsup://Directions/FactSet Auditing Viewer?action=AUDIT_VALUE&amp;DB=129&amp;ID1=69344F10&amp;VALUEID=02001&amp;SDATE=200701&amp;PERIODTYPE=QTR_STD&amp;SCFT=3&amp;window=popup_no_bar&amp;width=385&amp;height=120&amp;START_MAXIMIZED=FALSE&amp;creator=factset&amp;display_string=Audit"}</definedName>
    <definedName name="_3403__FDSAUDITLINK__" hidden="1">{"fdsup://Directions/FactSet Auditing Viewer?action=AUDIT_VALUE&amp;DB=129&amp;ID1=69344F10&amp;VALUEID=02001&amp;SDATE=200603&amp;PERIODTYPE=QTR_STD&amp;SCFT=3&amp;window=popup_no_bar&amp;width=385&amp;height=120&amp;START_MAXIMIZED=FALSE&amp;creator=factset&amp;display_string=Audit"}</definedName>
    <definedName name="_3404__FDSAUDITLINK__" hidden="1">{"fdsup://Directions/FactSet Auditing Viewer?action=AUDIT_VALUE&amp;DB=129&amp;ID1=69344F10&amp;VALUEID=02001&amp;SDATE=200603&amp;PERIODTYPE=QTR_STD&amp;SCFT=3&amp;window=popup_no_bar&amp;width=385&amp;height=120&amp;START_MAXIMIZED=FALSE&amp;creator=factset&amp;display_string=Audit"}</definedName>
    <definedName name="_3405__FDSAUDITLINK__" hidden="1">{"fdsup://Directions/FactSet Auditing Viewer?action=AUDIT_VALUE&amp;DB=129&amp;ID1=69344F10&amp;VALUEID=02001&amp;SDATE=200602&amp;PERIODTYPE=QTR_STD&amp;SCFT=3&amp;window=popup_no_bar&amp;width=385&amp;height=120&amp;START_MAXIMIZED=FALSE&amp;creator=factset&amp;display_string=Audit"}</definedName>
    <definedName name="_3406__FDSAUDITLINK__" hidden="1">{"fdsup://Directions/FactSet Auditing Viewer?action=AUDIT_VALUE&amp;DB=129&amp;ID1=69344F10&amp;VALUEID=02001&amp;SDATE=200602&amp;PERIODTYPE=QTR_STD&amp;SCFT=3&amp;window=popup_no_bar&amp;width=385&amp;height=120&amp;START_MAXIMIZED=FALSE&amp;creator=factset&amp;display_string=Audit"}</definedName>
    <definedName name="_3407__FDSAUDITLINK__" hidden="1">{"fdsup://Directions/FactSet Auditing Viewer?action=AUDIT_VALUE&amp;DB=129&amp;ID1=69344F10&amp;VALUEID=02001&amp;SDATE=200601&amp;PERIODTYPE=QTR_STD&amp;SCFT=3&amp;window=popup_no_bar&amp;width=385&amp;height=120&amp;START_MAXIMIZED=FALSE&amp;creator=factset&amp;display_string=Audit"}</definedName>
    <definedName name="_3408__FDSAUDITLINK__" hidden="1">{"fdsup://Directions/FactSet Auditing Viewer?action=AUDIT_VALUE&amp;DB=129&amp;ID1=69344F10&amp;VALUEID=02001&amp;SDATE=200601&amp;PERIODTYPE=QTR_STD&amp;SCFT=3&amp;window=popup_no_bar&amp;width=385&amp;height=120&amp;START_MAXIMIZED=FALSE&amp;creator=factset&amp;display_string=Audit"}</definedName>
    <definedName name="_3409__FDSAUDITLINK__" hidden="1">{"fdsup://Directions/FactSet Auditing Viewer?action=AUDIT_VALUE&amp;DB=129&amp;ID1=69344F10&amp;VALUEID=02001&amp;SDATE=200503&amp;PERIODTYPE=QTR_STD&amp;SCFT=3&amp;window=popup_no_bar&amp;width=385&amp;height=120&amp;START_MAXIMIZED=FALSE&amp;creator=factset&amp;display_string=Audit"}</definedName>
    <definedName name="_341__FDSAUDITLINK__" hidden="1">{"fdsup://Directions/FactSet Auditing Viewer?action=AUDIT_VALUE&amp;DB=129&amp;ID1=69341710&amp;VALUEID=02001&amp;SDATE=201003&amp;PERIODTYPE=QTR_STD&amp;SCFT=3&amp;window=popup_no_bar&amp;width=385&amp;height=120&amp;START_MAXIMIZED=FALSE&amp;creator=factset&amp;display_string=Audit"}</definedName>
    <definedName name="_3410__FDSAUDITLINK__" hidden="1">{"fdsup://Directions/FactSet Auditing Viewer?action=AUDIT_VALUE&amp;DB=129&amp;ID1=69344F10&amp;VALUEID=02001&amp;SDATE=200503&amp;PERIODTYPE=QTR_STD&amp;SCFT=3&amp;window=popup_no_bar&amp;width=385&amp;height=120&amp;START_MAXIMIZED=FALSE&amp;creator=factset&amp;display_string=Audit"}</definedName>
    <definedName name="_3411__FDSAUDITLINK__" hidden="1">{"fdsup://Directions/FactSet Auditing Viewer?action=AUDIT_VALUE&amp;DB=129&amp;ID1=69344F10&amp;VALUEID=02001&amp;SDATE=200502&amp;PERIODTYPE=QTR_STD&amp;SCFT=3&amp;window=popup_no_bar&amp;width=385&amp;height=120&amp;START_MAXIMIZED=FALSE&amp;creator=factset&amp;display_string=Audit"}</definedName>
    <definedName name="_3412__FDSAUDITLINK__" hidden="1">{"fdsup://Directions/FactSet Auditing Viewer?action=AUDIT_VALUE&amp;DB=129&amp;ID1=69344F10&amp;VALUEID=02001&amp;SDATE=200502&amp;PERIODTYPE=QTR_STD&amp;SCFT=3&amp;window=popup_no_bar&amp;width=385&amp;height=120&amp;START_MAXIMIZED=FALSE&amp;creator=factset&amp;display_string=Audit"}</definedName>
    <definedName name="_3413__FDSAUDITLINK__" hidden="1">{"fdsup://Directions/FactSet Auditing Viewer?action=AUDIT_VALUE&amp;DB=129&amp;ID1=69344F10&amp;VALUEID=02001&amp;SDATE=200501&amp;PERIODTYPE=QTR_STD&amp;SCFT=3&amp;window=popup_no_bar&amp;width=385&amp;height=120&amp;START_MAXIMIZED=FALSE&amp;creator=factset&amp;display_string=Audit"}</definedName>
    <definedName name="_3414__FDSAUDITLINK__" hidden="1">{"fdsup://Directions/FactSet Auditing Viewer?action=AUDIT_VALUE&amp;DB=129&amp;ID1=69344F10&amp;VALUEID=02001&amp;SDATE=200501&amp;PERIODTYPE=QTR_STD&amp;SCFT=3&amp;window=popup_no_bar&amp;width=385&amp;height=120&amp;START_MAXIMIZED=FALSE&amp;creator=factset&amp;display_string=Audit"}</definedName>
    <definedName name="_3415__FDSAUDITLINK__" hidden="1">{"fdsup://Directions/FactSet Auditing Viewer?action=AUDIT_VALUE&amp;DB=129&amp;ID1=69344F10&amp;VALUEID=02001&amp;SDATE=200403&amp;PERIODTYPE=QTR_STD&amp;SCFT=3&amp;window=popup_no_bar&amp;width=385&amp;height=120&amp;START_MAXIMIZED=FALSE&amp;creator=factset&amp;display_string=Audit"}</definedName>
    <definedName name="_3416__FDSAUDITLINK__" hidden="1">{"fdsup://Directions/FactSet Auditing Viewer?action=AUDIT_VALUE&amp;DB=129&amp;ID1=69344F10&amp;VALUEID=02001&amp;SDATE=200403&amp;PERIODTYPE=QTR_STD&amp;SCFT=3&amp;window=popup_no_bar&amp;width=385&amp;height=120&amp;START_MAXIMIZED=FALSE&amp;creator=factset&amp;display_string=Audit"}</definedName>
    <definedName name="_3417__FDSAUDITLINK__" hidden="1">{"fdsup://Directions/FactSet Auditing Viewer?action=AUDIT_VALUE&amp;DB=129&amp;ID1=69344F10&amp;VALUEID=02001&amp;SDATE=200402&amp;PERIODTYPE=QTR_STD&amp;SCFT=3&amp;window=popup_no_bar&amp;width=385&amp;height=120&amp;START_MAXIMIZED=FALSE&amp;creator=factset&amp;display_string=Audit"}</definedName>
    <definedName name="_3418__FDSAUDITLINK__" hidden="1">{"fdsup://Directions/FactSet Auditing Viewer?action=AUDIT_VALUE&amp;DB=129&amp;ID1=69344F10&amp;VALUEID=02001&amp;SDATE=200402&amp;PERIODTYPE=QTR_STD&amp;SCFT=3&amp;window=popup_no_bar&amp;width=385&amp;height=120&amp;START_MAXIMIZED=FALSE&amp;creator=factset&amp;display_string=Audit"}</definedName>
    <definedName name="_3419__FDSAUDITLINK__" hidden="1">{"fdsup://Directions/FactSet Auditing Viewer?action=AUDIT_VALUE&amp;DB=129&amp;ID1=69344F10&amp;VALUEID=02001&amp;SDATE=200401&amp;PERIODTYPE=QTR_STD&amp;SCFT=3&amp;window=popup_no_bar&amp;width=385&amp;height=120&amp;START_MAXIMIZED=FALSE&amp;creator=factset&amp;display_string=Audit"}</definedName>
    <definedName name="_342__FDSAUDITLINK__" hidden="1">{"fdsup://Directions/FactSet Auditing Viewer?action=AUDIT_VALUE&amp;DB=129&amp;ID1=69341710&amp;VALUEID=02001&amp;SDATE=201003&amp;PERIODTYPE=QTR_STD&amp;SCFT=3&amp;window=popup_no_bar&amp;width=385&amp;height=120&amp;START_MAXIMIZED=FALSE&amp;creator=factset&amp;display_string=Audit"}</definedName>
    <definedName name="_3420__FDSAUDITLINK__" hidden="1">{"fdsup://Directions/FactSet Auditing Viewer?action=AUDIT_VALUE&amp;DB=129&amp;ID1=69344F10&amp;VALUEID=02001&amp;SDATE=200401&amp;PERIODTYPE=QTR_STD&amp;SCFT=3&amp;window=popup_no_bar&amp;width=385&amp;height=120&amp;START_MAXIMIZED=FALSE&amp;creator=factset&amp;display_string=Audit"}</definedName>
    <definedName name="_3421__FDSAUDITLINK__" hidden="1">{"fdsup://Directions/FactSet Auditing Viewer?action=AUDIT_VALUE&amp;DB=129&amp;ID1=69341710&amp;VALUEID=02001&amp;SDATE=200801&amp;PERIODTYPE=QTR_STD&amp;SCFT=3&amp;window=popup_no_bar&amp;width=385&amp;height=120&amp;START_MAXIMIZED=FALSE&amp;creator=factset&amp;display_string=Audit"}</definedName>
    <definedName name="_3422__FDSAUDITLINK__" hidden="1">{"fdsup://Directions/FactSet Auditing Viewer?action=AUDIT_VALUE&amp;DB=129&amp;ID1=69341710&amp;VALUEID=02001&amp;SDATE=200801&amp;PERIODTYPE=QTR_STD&amp;SCFT=3&amp;window=popup_no_bar&amp;width=385&amp;height=120&amp;START_MAXIMIZED=FALSE&amp;creator=factset&amp;display_string=Audit"}</definedName>
    <definedName name="_3423__FDSAUDITLINK__" hidden="1">{"fdsup://Directions/FactSet Auditing Viewer?action=AUDIT_VALUE&amp;DB=129&amp;ID1=69341710&amp;VALUEID=02001&amp;SDATE=200703&amp;PERIODTYPE=QTR_STD&amp;SCFT=3&amp;window=popup_no_bar&amp;width=385&amp;height=120&amp;START_MAXIMIZED=FALSE&amp;creator=factset&amp;display_string=Audit"}</definedName>
    <definedName name="_3424__FDSAUDITLINK__" hidden="1">{"fdsup://Directions/FactSet Auditing Viewer?action=AUDIT_VALUE&amp;DB=129&amp;ID1=69341710&amp;VALUEID=02001&amp;SDATE=200703&amp;PERIODTYPE=QTR_STD&amp;SCFT=3&amp;window=popup_no_bar&amp;width=385&amp;height=120&amp;START_MAXIMIZED=FALSE&amp;creator=factset&amp;display_string=Audit"}</definedName>
    <definedName name="_3425__FDSAUDITLINK__" hidden="1">{"fdsup://Directions/FactSet Auditing Viewer?action=AUDIT_VALUE&amp;DB=129&amp;ID1=69341710&amp;VALUEID=02001&amp;SDATE=200702&amp;PERIODTYPE=QTR_STD&amp;SCFT=3&amp;window=popup_no_bar&amp;width=385&amp;height=120&amp;START_MAXIMIZED=FALSE&amp;creator=factset&amp;display_string=Audit"}</definedName>
    <definedName name="_3426__FDSAUDITLINK__" hidden="1">{"fdsup://Directions/FactSet Auditing Viewer?action=AUDIT_VALUE&amp;DB=129&amp;ID1=69341710&amp;VALUEID=02001&amp;SDATE=200702&amp;PERIODTYPE=QTR_STD&amp;SCFT=3&amp;window=popup_no_bar&amp;width=385&amp;height=120&amp;START_MAXIMIZED=FALSE&amp;creator=factset&amp;display_string=Audit"}</definedName>
    <definedName name="_3427__FDSAUDITLINK__" hidden="1">{"fdsup://Directions/FactSet Auditing Viewer?action=AUDIT_VALUE&amp;DB=129&amp;ID1=69341710&amp;VALUEID=02001&amp;SDATE=200701&amp;PERIODTYPE=QTR_STD&amp;SCFT=3&amp;window=popup_no_bar&amp;width=385&amp;height=120&amp;START_MAXIMIZED=FALSE&amp;creator=factset&amp;display_string=Audit"}</definedName>
    <definedName name="_3428__FDSAUDITLINK__" hidden="1">{"fdsup://Directions/FactSet Auditing Viewer?action=AUDIT_VALUE&amp;DB=129&amp;ID1=69341710&amp;VALUEID=02001&amp;SDATE=200701&amp;PERIODTYPE=QTR_STD&amp;SCFT=3&amp;window=popup_no_bar&amp;width=385&amp;height=120&amp;START_MAXIMIZED=FALSE&amp;creator=factset&amp;display_string=Audit"}</definedName>
    <definedName name="_3429__FDSAUDITLINK__" hidden="1">{"fdsup://Directions/FactSet Auditing Viewer?action=AUDIT_VALUE&amp;DB=129&amp;ID1=69341710&amp;VALUEID=02001&amp;SDATE=200603&amp;PERIODTYPE=QTR_STD&amp;SCFT=3&amp;window=popup_no_bar&amp;width=385&amp;height=120&amp;START_MAXIMIZED=FALSE&amp;creator=factset&amp;display_string=Audit"}</definedName>
    <definedName name="_343__FDSAUDITLINK__" hidden="1">{"fdsup://Directions/FactSet Auditing Viewer?action=AUDIT_VALUE&amp;DB=129&amp;ID1=68218910&amp;VALUEID=02001&amp;SDATE=201003&amp;PERIODTYPE=QTR_STD&amp;SCFT=3&amp;window=popup_no_bar&amp;width=385&amp;height=120&amp;START_MAXIMIZED=FALSE&amp;creator=factset&amp;display_string=Audit"}</definedName>
    <definedName name="_3430__FDSAUDITLINK__" hidden="1">{"fdsup://Directions/FactSet Auditing Viewer?action=AUDIT_VALUE&amp;DB=129&amp;ID1=69341710&amp;VALUEID=02001&amp;SDATE=200603&amp;PERIODTYPE=QTR_STD&amp;SCFT=3&amp;window=popup_no_bar&amp;width=385&amp;height=120&amp;START_MAXIMIZED=FALSE&amp;creator=factset&amp;display_string=Audit"}</definedName>
    <definedName name="_3431__FDSAUDITLINK__" hidden="1">{"fdsup://Directions/FactSet Auditing Viewer?action=AUDIT_VALUE&amp;DB=129&amp;ID1=69341710&amp;VALUEID=02001&amp;SDATE=200602&amp;PERIODTYPE=QTR_STD&amp;SCFT=3&amp;window=popup_no_bar&amp;width=385&amp;height=120&amp;START_MAXIMIZED=FALSE&amp;creator=factset&amp;display_string=Audit"}</definedName>
    <definedName name="_3432__FDSAUDITLINK__" hidden="1">{"fdsup://Directions/FactSet Auditing Viewer?action=AUDIT_VALUE&amp;DB=129&amp;ID1=69341710&amp;VALUEID=02001&amp;SDATE=200602&amp;PERIODTYPE=QTR_STD&amp;SCFT=3&amp;window=popup_no_bar&amp;width=385&amp;height=120&amp;START_MAXIMIZED=FALSE&amp;creator=factset&amp;display_string=Audit"}</definedName>
    <definedName name="_3433__FDSAUDITLINK__" hidden="1">{"fdsup://Directions/FactSet Auditing Viewer?action=AUDIT_VALUE&amp;DB=129&amp;ID1=69341710&amp;VALUEID=02001&amp;SDATE=200601&amp;PERIODTYPE=QTR_STD&amp;SCFT=3&amp;window=popup_no_bar&amp;width=385&amp;height=120&amp;START_MAXIMIZED=FALSE&amp;creator=factset&amp;display_string=Audit"}</definedName>
    <definedName name="_3434__FDSAUDITLINK__" hidden="1">{"fdsup://Directions/FactSet Auditing Viewer?action=AUDIT_VALUE&amp;DB=129&amp;ID1=69341710&amp;VALUEID=02001&amp;SDATE=200601&amp;PERIODTYPE=QTR_STD&amp;SCFT=3&amp;window=popup_no_bar&amp;width=385&amp;height=120&amp;START_MAXIMIZED=FALSE&amp;creator=factset&amp;display_string=Audit"}</definedName>
    <definedName name="_3435__FDSAUDITLINK__" hidden="1">{"fdsup://Directions/FactSet Auditing Viewer?action=AUDIT_VALUE&amp;DB=129&amp;ID1=69341710&amp;VALUEID=02001&amp;SDATE=200503&amp;PERIODTYPE=QTR_STD&amp;SCFT=3&amp;window=popup_no_bar&amp;width=385&amp;height=120&amp;START_MAXIMIZED=FALSE&amp;creator=factset&amp;display_string=Audit"}</definedName>
    <definedName name="_3436__FDSAUDITLINK__" hidden="1">{"fdsup://Directions/FactSet Auditing Viewer?action=AUDIT_VALUE&amp;DB=129&amp;ID1=69341710&amp;VALUEID=02001&amp;SDATE=200503&amp;PERIODTYPE=QTR_STD&amp;SCFT=3&amp;window=popup_no_bar&amp;width=385&amp;height=120&amp;START_MAXIMIZED=FALSE&amp;creator=factset&amp;display_string=Audit"}</definedName>
    <definedName name="_3437__FDSAUDITLINK__" hidden="1">{"fdsup://Directions/FactSet Auditing Viewer?action=AUDIT_VALUE&amp;DB=129&amp;ID1=69341710&amp;VALUEID=02001&amp;SDATE=200502&amp;PERIODTYPE=QTR_STD&amp;SCFT=3&amp;window=popup_no_bar&amp;width=385&amp;height=120&amp;START_MAXIMIZED=FALSE&amp;creator=factset&amp;display_string=Audit"}</definedName>
    <definedName name="_3438__FDSAUDITLINK__" hidden="1">{"fdsup://Directions/FactSet Auditing Viewer?action=AUDIT_VALUE&amp;DB=129&amp;ID1=69341710&amp;VALUEID=02001&amp;SDATE=200502&amp;PERIODTYPE=QTR_STD&amp;SCFT=3&amp;window=popup_no_bar&amp;width=385&amp;height=120&amp;START_MAXIMIZED=FALSE&amp;creator=factset&amp;display_string=Audit"}</definedName>
    <definedName name="_3439__FDSAUDITLINK__" hidden="1">{"fdsup://Directions/FactSet Auditing Viewer?action=AUDIT_VALUE&amp;DB=129&amp;ID1=69341710&amp;VALUEID=02001&amp;SDATE=200501&amp;PERIODTYPE=QTR_STD&amp;SCFT=3&amp;window=popup_no_bar&amp;width=385&amp;height=120&amp;START_MAXIMIZED=FALSE&amp;creator=factset&amp;display_string=Audit"}</definedName>
    <definedName name="_344__FDSAUDITLINK__" hidden="1">{"fdsup://Directions/FactSet Auditing Viewer?action=AUDIT_VALUE&amp;DB=129&amp;ID1=68218910&amp;VALUEID=02001&amp;SDATE=201003&amp;PERIODTYPE=QTR_STD&amp;SCFT=3&amp;window=popup_no_bar&amp;width=385&amp;height=120&amp;START_MAXIMIZED=FALSE&amp;creator=factset&amp;display_string=Audit"}</definedName>
    <definedName name="_3440__FDSAUDITLINK__" hidden="1">{"fdsup://Directions/FactSet Auditing Viewer?action=AUDIT_VALUE&amp;DB=129&amp;ID1=69341710&amp;VALUEID=02001&amp;SDATE=200501&amp;PERIODTYPE=QTR_STD&amp;SCFT=3&amp;window=popup_no_bar&amp;width=385&amp;height=120&amp;START_MAXIMIZED=FALSE&amp;creator=factset&amp;display_string=Audit"}</definedName>
    <definedName name="_3441__FDSAUDITLINK__" hidden="1">{"fdsup://Directions/FactSet Auditing Viewer?action=AUDIT_VALUE&amp;DB=129&amp;ID1=69341710&amp;VALUEID=02001&amp;SDATE=200403&amp;PERIODTYPE=QTR_STD&amp;SCFT=3&amp;window=popup_no_bar&amp;width=385&amp;height=120&amp;START_MAXIMIZED=FALSE&amp;creator=factset&amp;display_string=Audit"}</definedName>
    <definedName name="_3442__FDSAUDITLINK__" hidden="1">{"fdsup://Directions/FactSet Auditing Viewer?action=AUDIT_VALUE&amp;DB=129&amp;ID1=69341710&amp;VALUEID=02001&amp;SDATE=200403&amp;PERIODTYPE=QTR_STD&amp;SCFT=3&amp;window=popup_no_bar&amp;width=385&amp;height=120&amp;START_MAXIMIZED=FALSE&amp;creator=factset&amp;display_string=Audit"}</definedName>
    <definedName name="_3443__FDSAUDITLINK__" hidden="1">{"fdsup://Directions/FactSet Auditing Viewer?action=AUDIT_VALUE&amp;DB=129&amp;ID1=69341710&amp;VALUEID=02001&amp;SDATE=200402&amp;PERIODTYPE=QTR_STD&amp;SCFT=3&amp;window=popup_no_bar&amp;width=385&amp;height=120&amp;START_MAXIMIZED=FALSE&amp;creator=factset&amp;display_string=Audit"}</definedName>
    <definedName name="_3444__FDSAUDITLINK__" hidden="1">{"fdsup://Directions/FactSet Auditing Viewer?action=AUDIT_VALUE&amp;DB=129&amp;ID1=69341710&amp;VALUEID=02001&amp;SDATE=200402&amp;PERIODTYPE=QTR_STD&amp;SCFT=3&amp;window=popup_no_bar&amp;width=385&amp;height=120&amp;START_MAXIMIZED=FALSE&amp;creator=factset&amp;display_string=Audit"}</definedName>
    <definedName name="_3445__FDSAUDITLINK__" hidden="1">{"fdsup://Directions/FactSet Auditing Viewer?action=AUDIT_VALUE&amp;DB=129&amp;ID1=69341710&amp;VALUEID=02001&amp;SDATE=200401&amp;PERIODTYPE=QTR_STD&amp;SCFT=3&amp;window=popup_no_bar&amp;width=385&amp;height=120&amp;START_MAXIMIZED=FALSE&amp;creator=factset&amp;display_string=Audit"}</definedName>
    <definedName name="_3446__FDSAUDITLINK__" hidden="1">{"fdsup://Directions/FactSet Auditing Viewer?action=AUDIT_VALUE&amp;DB=129&amp;ID1=69341710&amp;VALUEID=02001&amp;SDATE=200401&amp;PERIODTYPE=QTR_STD&amp;SCFT=3&amp;window=popup_no_bar&amp;width=385&amp;height=120&amp;START_MAXIMIZED=FALSE&amp;creator=factset&amp;display_string=Audit"}</definedName>
    <definedName name="_3447__FDSAUDITLINK__" hidden="1">{"fdsup://Directions/FactSet Auditing Viewer?action=AUDIT_VALUE&amp;DB=129&amp;ID1=68218910&amp;VALUEID=02001&amp;SDATE=200801&amp;PERIODTYPE=QTR_STD&amp;SCFT=3&amp;window=popup_no_bar&amp;width=385&amp;height=120&amp;START_MAXIMIZED=FALSE&amp;creator=factset&amp;display_string=Audit"}</definedName>
    <definedName name="_3448__FDSAUDITLINK__" hidden="1">{"fdsup://Directions/FactSet Auditing Viewer?action=AUDIT_VALUE&amp;DB=129&amp;ID1=68218910&amp;VALUEID=02001&amp;SDATE=200801&amp;PERIODTYPE=QTR_STD&amp;SCFT=3&amp;window=popup_no_bar&amp;width=385&amp;height=120&amp;START_MAXIMIZED=FALSE&amp;creator=factset&amp;display_string=Audit"}</definedName>
    <definedName name="_3449__FDSAUDITLINK__" hidden="1">{"fdsup://Directions/FactSet Auditing Viewer?action=AUDIT_VALUE&amp;DB=129&amp;ID1=68218910&amp;VALUEID=02001&amp;SDATE=200703&amp;PERIODTYPE=QTR_STD&amp;SCFT=3&amp;window=popup_no_bar&amp;width=385&amp;height=120&amp;START_MAXIMIZED=FALSE&amp;creator=factset&amp;display_string=Audit"}</definedName>
    <definedName name="_345__FDSAUDITLINK__" hidden="1">{"fdsup://Directions/FactSet Auditing Viewer?action=AUDIT_VALUE&amp;DB=129&amp;ID1=B505PN&amp;VALUEID=02001&amp;SDATE=201003&amp;PERIODTYPE=QTR_STD&amp;SCFT=3&amp;window=popup_no_bar&amp;width=385&amp;height=120&amp;START_MAXIMIZED=FALSE&amp;creator=factset&amp;display_string=Audit"}</definedName>
    <definedName name="_3450__FDSAUDITLINK__" hidden="1">{"fdsup://Directions/FactSet Auditing Viewer?action=AUDIT_VALUE&amp;DB=129&amp;ID1=68218910&amp;VALUEID=02001&amp;SDATE=200703&amp;PERIODTYPE=QTR_STD&amp;SCFT=3&amp;window=popup_no_bar&amp;width=385&amp;height=120&amp;START_MAXIMIZED=FALSE&amp;creator=factset&amp;display_string=Audit"}</definedName>
    <definedName name="_3451__FDSAUDITLINK__" hidden="1">{"fdsup://Directions/FactSet Auditing Viewer?action=AUDIT_VALUE&amp;DB=129&amp;ID1=68218910&amp;VALUEID=02001&amp;SDATE=200702&amp;PERIODTYPE=QTR_STD&amp;SCFT=3&amp;window=popup_no_bar&amp;width=385&amp;height=120&amp;START_MAXIMIZED=FALSE&amp;creator=factset&amp;display_string=Audit"}</definedName>
    <definedName name="_3452__FDSAUDITLINK__" hidden="1">{"fdsup://Directions/FactSet Auditing Viewer?action=AUDIT_VALUE&amp;DB=129&amp;ID1=68218910&amp;VALUEID=02001&amp;SDATE=200702&amp;PERIODTYPE=QTR_STD&amp;SCFT=3&amp;window=popup_no_bar&amp;width=385&amp;height=120&amp;START_MAXIMIZED=FALSE&amp;creator=factset&amp;display_string=Audit"}</definedName>
    <definedName name="_3453__FDSAUDITLINK__" hidden="1">{"fdsup://Directions/FactSet Auditing Viewer?action=AUDIT_VALUE&amp;DB=129&amp;ID1=68218910&amp;VALUEID=02001&amp;SDATE=200701&amp;PERIODTYPE=QTR_STD&amp;SCFT=3&amp;window=popup_no_bar&amp;width=385&amp;height=120&amp;START_MAXIMIZED=FALSE&amp;creator=factset&amp;display_string=Audit"}</definedName>
    <definedName name="_3454__FDSAUDITLINK__" hidden="1">{"fdsup://Directions/FactSet Auditing Viewer?action=AUDIT_VALUE&amp;DB=129&amp;ID1=68218910&amp;VALUEID=02001&amp;SDATE=200701&amp;PERIODTYPE=QTR_STD&amp;SCFT=3&amp;window=popup_no_bar&amp;width=385&amp;height=120&amp;START_MAXIMIZED=FALSE&amp;creator=factset&amp;display_string=Audit"}</definedName>
    <definedName name="_3455__FDSAUDITLINK__" hidden="1">{"fdsup://Directions/FactSet Auditing Viewer?action=AUDIT_VALUE&amp;DB=129&amp;ID1=68218910&amp;VALUEID=02001&amp;SDATE=200603&amp;PERIODTYPE=QTR_STD&amp;SCFT=3&amp;window=popup_no_bar&amp;width=385&amp;height=120&amp;START_MAXIMIZED=FALSE&amp;creator=factset&amp;display_string=Audit"}</definedName>
    <definedName name="_3456__FDSAUDITLINK__" hidden="1">{"fdsup://Directions/FactSet Auditing Viewer?action=AUDIT_VALUE&amp;DB=129&amp;ID1=68218910&amp;VALUEID=02001&amp;SDATE=200603&amp;PERIODTYPE=QTR_STD&amp;SCFT=3&amp;window=popup_no_bar&amp;width=385&amp;height=120&amp;START_MAXIMIZED=FALSE&amp;creator=factset&amp;display_string=Audit"}</definedName>
    <definedName name="_3457__FDSAUDITLINK__" hidden="1">{"fdsup://Directions/FactSet Auditing Viewer?action=AUDIT_VALUE&amp;DB=129&amp;ID1=68218910&amp;VALUEID=02001&amp;SDATE=200602&amp;PERIODTYPE=QTR_STD&amp;SCFT=3&amp;window=popup_no_bar&amp;width=385&amp;height=120&amp;START_MAXIMIZED=FALSE&amp;creator=factset&amp;display_string=Audit"}</definedName>
    <definedName name="_3458__FDSAUDITLINK__" hidden="1">{"fdsup://Directions/FactSet Auditing Viewer?action=AUDIT_VALUE&amp;DB=129&amp;ID1=68218910&amp;VALUEID=02001&amp;SDATE=200602&amp;PERIODTYPE=QTR_STD&amp;SCFT=3&amp;window=popup_no_bar&amp;width=385&amp;height=120&amp;START_MAXIMIZED=FALSE&amp;creator=factset&amp;display_string=Audit"}</definedName>
    <definedName name="_3459__FDSAUDITLINK__" hidden="1">{"fdsup://Directions/FactSet Auditing Viewer?action=AUDIT_VALUE&amp;DB=129&amp;ID1=68218910&amp;VALUEID=02001&amp;SDATE=200601&amp;PERIODTYPE=QTR_STD&amp;SCFT=3&amp;window=popup_no_bar&amp;width=385&amp;height=120&amp;START_MAXIMIZED=FALSE&amp;creator=factset&amp;display_string=Audit"}</definedName>
    <definedName name="_346__FDSAUDITLINK__" hidden="1">{"fdsup://Directions/FactSet Auditing Viewer?action=AUDIT_VALUE&amp;DB=129&amp;ID1=B505PN&amp;VALUEID=02001&amp;SDATE=201003&amp;PERIODTYPE=QTR_STD&amp;SCFT=3&amp;window=popup_no_bar&amp;width=385&amp;height=120&amp;START_MAXIMIZED=FALSE&amp;creator=factset&amp;display_string=Audit"}</definedName>
    <definedName name="_3460__FDSAUDITLINK__" hidden="1">{"fdsup://Directions/FactSet Auditing Viewer?action=AUDIT_VALUE&amp;DB=129&amp;ID1=68218910&amp;VALUEID=02001&amp;SDATE=200601&amp;PERIODTYPE=QTR_STD&amp;SCFT=3&amp;window=popup_no_bar&amp;width=385&amp;height=120&amp;START_MAXIMIZED=FALSE&amp;creator=factset&amp;display_string=Audit"}</definedName>
    <definedName name="_3461__FDSAUDITLINK__" hidden="1">{"fdsup://Directions/FactSet Auditing Viewer?action=AUDIT_VALUE&amp;DB=129&amp;ID1=68218910&amp;VALUEID=02001&amp;SDATE=200503&amp;PERIODTYPE=QTR_STD&amp;SCFT=3&amp;window=popup_no_bar&amp;width=385&amp;height=120&amp;START_MAXIMIZED=FALSE&amp;creator=factset&amp;display_string=Audit"}</definedName>
    <definedName name="_3462__FDSAUDITLINK__" hidden="1">{"fdsup://Directions/FactSet Auditing Viewer?action=AUDIT_VALUE&amp;DB=129&amp;ID1=68218910&amp;VALUEID=02001&amp;SDATE=200503&amp;PERIODTYPE=QTR_STD&amp;SCFT=3&amp;window=popup_no_bar&amp;width=385&amp;height=120&amp;START_MAXIMIZED=FALSE&amp;creator=factset&amp;display_string=Audit"}</definedName>
    <definedName name="_3463__FDSAUDITLINK__" hidden="1">{"fdsup://Directions/FactSet Auditing Viewer?action=AUDIT_VALUE&amp;DB=129&amp;ID1=68218910&amp;VALUEID=02001&amp;SDATE=200502&amp;PERIODTYPE=QTR_STD&amp;SCFT=3&amp;window=popup_no_bar&amp;width=385&amp;height=120&amp;START_MAXIMIZED=FALSE&amp;creator=factset&amp;display_string=Audit"}</definedName>
    <definedName name="_3464__FDSAUDITLINK__" hidden="1">{"fdsup://Directions/FactSet Auditing Viewer?action=AUDIT_VALUE&amp;DB=129&amp;ID1=68218910&amp;VALUEID=02001&amp;SDATE=200502&amp;PERIODTYPE=QTR_STD&amp;SCFT=3&amp;window=popup_no_bar&amp;width=385&amp;height=120&amp;START_MAXIMIZED=FALSE&amp;creator=factset&amp;display_string=Audit"}</definedName>
    <definedName name="_3465__FDSAUDITLINK__" hidden="1">{"fdsup://Directions/FactSet Auditing Viewer?action=AUDIT_VALUE&amp;DB=129&amp;ID1=68218910&amp;VALUEID=02001&amp;SDATE=200403&amp;PERIODTYPE=QTR_STD&amp;SCFT=3&amp;window=popup_no_bar&amp;width=385&amp;height=120&amp;START_MAXIMIZED=FALSE&amp;creator=factset&amp;display_string=Audit"}</definedName>
    <definedName name="_3466__FDSAUDITLINK__" hidden="1">{"fdsup://Directions/FactSet Auditing Viewer?action=AUDIT_VALUE&amp;DB=129&amp;ID1=68218910&amp;VALUEID=02001&amp;SDATE=200403&amp;PERIODTYPE=QTR_STD&amp;SCFT=3&amp;window=popup_no_bar&amp;width=385&amp;height=120&amp;START_MAXIMIZED=FALSE&amp;creator=factset&amp;display_string=Audit"}</definedName>
    <definedName name="_3467__FDSAUDITLINK__" hidden="1">{"fdsup://Directions/FactSet Auditing Viewer?action=AUDIT_VALUE&amp;DB=129&amp;ID1=68218910&amp;VALUEID=02001&amp;SDATE=200402&amp;PERIODTYPE=QTR_STD&amp;SCFT=3&amp;window=popup_no_bar&amp;width=385&amp;height=120&amp;START_MAXIMIZED=FALSE&amp;creator=factset&amp;display_string=Audit"}</definedName>
    <definedName name="_3468__FDSAUDITLINK__" hidden="1">{"fdsup://Directions/FactSet Auditing Viewer?action=AUDIT_VALUE&amp;DB=129&amp;ID1=68218910&amp;VALUEID=02001&amp;SDATE=200402&amp;PERIODTYPE=QTR_STD&amp;SCFT=3&amp;window=popup_no_bar&amp;width=385&amp;height=120&amp;START_MAXIMIZED=FALSE&amp;creator=factset&amp;display_string=Audit"}</definedName>
    <definedName name="_3469__FDSAUDITLINK__" hidden="1">{"fdsup://Directions/FactSet Auditing Viewer?action=AUDIT_VALUE&amp;DB=129&amp;ID1=68218910&amp;VALUEID=02001&amp;SDATE=200401&amp;PERIODTYPE=QTR_STD&amp;SCFT=3&amp;window=popup_no_bar&amp;width=385&amp;height=120&amp;START_MAXIMIZED=FALSE&amp;creator=factset&amp;display_string=Audit"}</definedName>
    <definedName name="_347__FDSAUDITLINK__" hidden="1">{"fdsup://Directions/FactSet Auditing Viewer?action=AUDIT_VALUE&amp;DB=129&amp;ID1=67000810&amp;VALUEID=02001&amp;SDATE=201003&amp;PERIODTYPE=QTR_STD&amp;SCFT=3&amp;window=popup_no_bar&amp;width=385&amp;height=120&amp;START_MAXIMIZED=FALSE&amp;creator=factset&amp;display_string=Audit"}</definedName>
    <definedName name="_3470__FDSAUDITLINK__" hidden="1">{"fdsup://Directions/FactSet Auditing Viewer?action=AUDIT_VALUE&amp;DB=129&amp;ID1=68218910&amp;VALUEID=02001&amp;SDATE=200401&amp;PERIODTYPE=QTR_STD&amp;SCFT=3&amp;window=popup_no_bar&amp;width=385&amp;height=120&amp;START_MAXIMIZED=FALSE&amp;creator=factset&amp;display_string=Audit"}</definedName>
    <definedName name="_3471__FDSAUDITLINK__" hidden="1">{"fdsup://Directions/FactSet Auditing Viewer?action=AUDIT_VALUE&amp;DB=129&amp;ID1=B505PN&amp;VALUEID=02001&amp;SDATE=200801&amp;PERIODTYPE=QTR_STD&amp;SCFT=3&amp;window=popup_no_bar&amp;width=385&amp;height=120&amp;START_MAXIMIZED=FALSE&amp;creator=factset&amp;display_string=Audit"}</definedName>
    <definedName name="_3472__FDSAUDITLINK__" hidden="1">{"fdsup://Directions/FactSet Auditing Viewer?action=AUDIT_VALUE&amp;DB=129&amp;ID1=B505PN&amp;VALUEID=02001&amp;SDATE=200801&amp;PERIODTYPE=QTR_STD&amp;SCFT=3&amp;window=popup_no_bar&amp;width=385&amp;height=120&amp;START_MAXIMIZED=FALSE&amp;creator=factset&amp;display_string=Audit"}</definedName>
    <definedName name="_3473__FDSAUDITLINK__" hidden="1">{"fdsup://Directions/FactSet Auditing Viewer?action=AUDIT_VALUE&amp;DB=129&amp;ID1=67000810&amp;VALUEID=02001&amp;SDATE=200801&amp;PERIODTYPE=QTR_STD&amp;SCFT=3&amp;window=popup_no_bar&amp;width=385&amp;height=120&amp;START_MAXIMIZED=FALSE&amp;creator=factset&amp;display_string=Audit"}</definedName>
    <definedName name="_3474__FDSAUDITLINK__" hidden="1">{"fdsup://Directions/FactSet Auditing Viewer?action=AUDIT_VALUE&amp;DB=129&amp;ID1=67000810&amp;VALUEID=02001&amp;SDATE=200801&amp;PERIODTYPE=QTR_STD&amp;SCFT=3&amp;window=popup_no_bar&amp;width=385&amp;height=120&amp;START_MAXIMIZED=FALSE&amp;creator=factset&amp;display_string=Audit"}</definedName>
    <definedName name="_3475__FDSAUDITLINK__" hidden="1">{"fdsup://Directions/FactSet Auditing Viewer?action=AUDIT_VALUE&amp;DB=129&amp;ID1=67000810&amp;VALUEID=02001&amp;SDATE=200703&amp;PERIODTYPE=QTR_STD&amp;SCFT=3&amp;window=popup_no_bar&amp;width=385&amp;height=120&amp;START_MAXIMIZED=FALSE&amp;creator=factset&amp;display_string=Audit"}</definedName>
    <definedName name="_3476__FDSAUDITLINK__" hidden="1">{"fdsup://Directions/FactSet Auditing Viewer?action=AUDIT_VALUE&amp;DB=129&amp;ID1=67000810&amp;VALUEID=02001&amp;SDATE=200703&amp;PERIODTYPE=QTR_STD&amp;SCFT=3&amp;window=popup_no_bar&amp;width=385&amp;height=120&amp;START_MAXIMIZED=FALSE&amp;creator=factset&amp;display_string=Audit"}</definedName>
    <definedName name="_3477__FDSAUDITLINK__" hidden="1">{"fdsup://Directions/FactSet Auditing Viewer?action=AUDIT_VALUE&amp;DB=129&amp;ID1=67000810&amp;VALUEID=02001&amp;SDATE=200702&amp;PERIODTYPE=QTR_STD&amp;SCFT=3&amp;window=popup_no_bar&amp;width=385&amp;height=120&amp;START_MAXIMIZED=FALSE&amp;creator=factset&amp;display_string=Audit"}</definedName>
    <definedName name="_3478__FDSAUDITLINK__" hidden="1">{"fdsup://Directions/FactSet Auditing Viewer?action=AUDIT_VALUE&amp;DB=129&amp;ID1=67000810&amp;VALUEID=02001&amp;SDATE=200702&amp;PERIODTYPE=QTR_STD&amp;SCFT=3&amp;window=popup_no_bar&amp;width=385&amp;height=120&amp;START_MAXIMIZED=FALSE&amp;creator=factset&amp;display_string=Audit"}</definedName>
    <definedName name="_3479__FDSAUDITLINK__" hidden="1">{"fdsup://Directions/FactSet Auditing Viewer?action=AUDIT_VALUE&amp;DB=129&amp;ID1=67000810&amp;VALUEID=02001&amp;SDATE=200701&amp;PERIODTYPE=QTR_STD&amp;SCFT=3&amp;window=popup_no_bar&amp;width=385&amp;height=120&amp;START_MAXIMIZED=FALSE&amp;creator=factset&amp;display_string=Audit"}</definedName>
    <definedName name="_348__FDSAUDITLINK__" hidden="1">{"fdsup://Directions/FactSet Auditing Viewer?action=AUDIT_VALUE&amp;DB=129&amp;ID1=67000810&amp;VALUEID=02001&amp;SDATE=201003&amp;PERIODTYPE=QTR_STD&amp;SCFT=3&amp;window=popup_no_bar&amp;width=385&amp;height=120&amp;START_MAXIMIZED=FALSE&amp;creator=factset&amp;display_string=Audit"}</definedName>
    <definedName name="_3480__FDSAUDITLINK__" hidden="1">{"fdsup://Directions/FactSet Auditing Viewer?action=AUDIT_VALUE&amp;DB=129&amp;ID1=67000810&amp;VALUEID=02001&amp;SDATE=200701&amp;PERIODTYPE=QTR_STD&amp;SCFT=3&amp;window=popup_no_bar&amp;width=385&amp;height=120&amp;START_MAXIMIZED=FALSE&amp;creator=factset&amp;display_string=Audit"}</definedName>
    <definedName name="_3481__FDSAUDITLINK__" hidden="1">{"fdsup://Directions/FactSet Auditing Viewer?action=AUDIT_VALUE&amp;DB=129&amp;ID1=67000810&amp;VALUEID=02001&amp;SDATE=200603&amp;PERIODTYPE=QTR_STD&amp;SCFT=3&amp;window=popup_no_bar&amp;width=385&amp;height=120&amp;START_MAXIMIZED=FALSE&amp;creator=factset&amp;display_string=Audit"}</definedName>
    <definedName name="_3482__FDSAUDITLINK__" hidden="1">{"fdsup://Directions/FactSet Auditing Viewer?action=AUDIT_VALUE&amp;DB=129&amp;ID1=67000810&amp;VALUEID=02001&amp;SDATE=200603&amp;PERIODTYPE=QTR_STD&amp;SCFT=3&amp;window=popup_no_bar&amp;width=385&amp;height=120&amp;START_MAXIMIZED=FALSE&amp;creator=factset&amp;display_string=Audit"}</definedName>
    <definedName name="_3483__FDSAUDITLINK__" hidden="1">{"fdsup://Directions/FactSet Auditing Viewer?action=AUDIT_VALUE&amp;DB=129&amp;ID1=67000810&amp;VALUEID=02001&amp;SDATE=200602&amp;PERIODTYPE=QTR_STD&amp;SCFT=3&amp;window=popup_no_bar&amp;width=385&amp;height=120&amp;START_MAXIMIZED=FALSE&amp;creator=factset&amp;display_string=Audit"}</definedName>
    <definedName name="_3484__FDSAUDITLINK__" hidden="1">{"fdsup://Directions/FactSet Auditing Viewer?action=AUDIT_VALUE&amp;DB=129&amp;ID1=67000810&amp;VALUEID=02001&amp;SDATE=200602&amp;PERIODTYPE=QTR_STD&amp;SCFT=3&amp;window=popup_no_bar&amp;width=385&amp;height=120&amp;START_MAXIMIZED=FALSE&amp;creator=factset&amp;display_string=Audit"}</definedName>
    <definedName name="_3485__FDSAUDITLINK__" hidden="1">{"fdsup://Directions/FactSet Auditing Viewer?action=AUDIT_VALUE&amp;DB=129&amp;ID1=67000810&amp;VALUEID=02001&amp;SDATE=200601&amp;PERIODTYPE=QTR_STD&amp;SCFT=3&amp;window=popup_no_bar&amp;width=385&amp;height=120&amp;START_MAXIMIZED=FALSE&amp;creator=factset&amp;display_string=Audit"}</definedName>
    <definedName name="_3486__FDSAUDITLINK__" hidden="1">{"fdsup://Directions/FactSet Auditing Viewer?action=AUDIT_VALUE&amp;DB=129&amp;ID1=67000810&amp;VALUEID=02001&amp;SDATE=200601&amp;PERIODTYPE=QTR_STD&amp;SCFT=3&amp;window=popup_no_bar&amp;width=385&amp;height=120&amp;START_MAXIMIZED=FALSE&amp;creator=factset&amp;display_string=Audit"}</definedName>
    <definedName name="_3487__FDSAUDITLINK__" hidden="1">{"fdsup://Directions/FactSet Auditing Viewer?action=AUDIT_VALUE&amp;DB=129&amp;ID1=67000810&amp;VALUEID=02001&amp;SDATE=200503&amp;PERIODTYPE=QTR_STD&amp;SCFT=3&amp;window=popup_no_bar&amp;width=385&amp;height=120&amp;START_MAXIMIZED=FALSE&amp;creator=factset&amp;display_string=Audit"}</definedName>
    <definedName name="_3488__FDSAUDITLINK__" hidden="1">{"fdsup://Directions/FactSet Auditing Viewer?action=AUDIT_VALUE&amp;DB=129&amp;ID1=67000810&amp;VALUEID=02001&amp;SDATE=200503&amp;PERIODTYPE=QTR_STD&amp;SCFT=3&amp;window=popup_no_bar&amp;width=385&amp;height=120&amp;START_MAXIMIZED=FALSE&amp;creator=factset&amp;display_string=Audit"}</definedName>
    <definedName name="_3489__FDSAUDITLINK__" hidden="1">{"fdsup://Directions/FactSet Auditing Viewer?action=AUDIT_VALUE&amp;DB=129&amp;ID1=67000810&amp;VALUEID=02001&amp;SDATE=200502&amp;PERIODTYPE=QTR_STD&amp;SCFT=3&amp;window=popup_no_bar&amp;width=385&amp;height=120&amp;START_MAXIMIZED=FALSE&amp;creator=factset&amp;display_string=Audit"}</definedName>
    <definedName name="_349__FDSAUDITLINK__" hidden="1">{"fdsup://Directions/FactSet Auditing Viewer?action=AUDIT_VALUE&amp;DB=129&amp;ID1=67066G10&amp;VALUEID=02001&amp;SDATE=201003&amp;PERIODTYPE=QTR_STD&amp;SCFT=3&amp;window=popup_no_bar&amp;width=385&amp;height=120&amp;START_MAXIMIZED=FALSE&amp;creator=factset&amp;display_string=Audit"}</definedName>
    <definedName name="_3490__FDSAUDITLINK__" hidden="1">{"fdsup://Directions/FactSet Auditing Viewer?action=AUDIT_VALUE&amp;DB=129&amp;ID1=67000810&amp;VALUEID=02001&amp;SDATE=200502&amp;PERIODTYPE=QTR_STD&amp;SCFT=3&amp;window=popup_no_bar&amp;width=385&amp;height=120&amp;START_MAXIMIZED=FALSE&amp;creator=factset&amp;display_string=Audit"}</definedName>
    <definedName name="_3491__FDSAUDITLINK__" hidden="1">{"fdsup://Directions/FactSet Auditing Viewer?action=AUDIT_VALUE&amp;DB=129&amp;ID1=67000810&amp;VALUEID=02001&amp;SDATE=200501&amp;PERIODTYPE=QTR_STD&amp;SCFT=3&amp;window=popup_no_bar&amp;width=385&amp;height=120&amp;START_MAXIMIZED=FALSE&amp;creator=factset&amp;display_string=Audit"}</definedName>
    <definedName name="_3492__FDSAUDITLINK__" hidden="1">{"fdsup://Directions/FactSet Auditing Viewer?action=AUDIT_VALUE&amp;DB=129&amp;ID1=67000810&amp;VALUEID=02001&amp;SDATE=200501&amp;PERIODTYPE=QTR_STD&amp;SCFT=3&amp;window=popup_no_bar&amp;width=385&amp;height=120&amp;START_MAXIMIZED=FALSE&amp;creator=factset&amp;display_string=Audit"}</definedName>
    <definedName name="_3493__FDSAUDITLINK__" hidden="1">{"fdsup://Directions/FactSet Auditing Viewer?action=AUDIT_VALUE&amp;DB=129&amp;ID1=67000810&amp;VALUEID=02001&amp;SDATE=200403&amp;PERIODTYPE=QTR_STD&amp;SCFT=3&amp;window=popup_no_bar&amp;width=385&amp;height=120&amp;START_MAXIMIZED=FALSE&amp;creator=factset&amp;display_string=Audit"}</definedName>
    <definedName name="_3494__FDSAUDITLINK__" hidden="1">{"fdsup://Directions/FactSet Auditing Viewer?action=AUDIT_VALUE&amp;DB=129&amp;ID1=67000810&amp;VALUEID=02001&amp;SDATE=200403&amp;PERIODTYPE=QTR_STD&amp;SCFT=3&amp;window=popup_no_bar&amp;width=385&amp;height=120&amp;START_MAXIMIZED=FALSE&amp;creator=factset&amp;display_string=Audit"}</definedName>
    <definedName name="_3495__FDSAUDITLINK__" hidden="1">{"fdsup://Directions/FactSet Auditing Viewer?action=AUDIT_VALUE&amp;DB=129&amp;ID1=67000810&amp;VALUEID=02001&amp;SDATE=200402&amp;PERIODTYPE=QTR_STD&amp;SCFT=3&amp;window=popup_no_bar&amp;width=385&amp;height=120&amp;START_MAXIMIZED=FALSE&amp;creator=factset&amp;display_string=Audit"}</definedName>
    <definedName name="_3496__FDSAUDITLINK__" hidden="1">{"fdsup://Directions/FactSet Auditing Viewer?action=AUDIT_VALUE&amp;DB=129&amp;ID1=67000810&amp;VALUEID=02001&amp;SDATE=200402&amp;PERIODTYPE=QTR_STD&amp;SCFT=3&amp;window=popup_no_bar&amp;width=385&amp;height=120&amp;START_MAXIMIZED=FALSE&amp;creator=factset&amp;display_string=Audit"}</definedName>
    <definedName name="_3497__FDSAUDITLINK__" hidden="1">{"fdsup://Directions/FactSet Auditing Viewer?action=AUDIT_VALUE&amp;DB=129&amp;ID1=67000810&amp;VALUEID=02001&amp;SDATE=200401&amp;PERIODTYPE=QTR_STD&amp;SCFT=3&amp;window=popup_no_bar&amp;width=385&amp;height=120&amp;START_MAXIMIZED=FALSE&amp;creator=factset&amp;display_string=Audit"}</definedName>
    <definedName name="_3498__FDSAUDITLINK__" hidden="1">{"fdsup://Directions/FactSet Auditing Viewer?action=AUDIT_VALUE&amp;DB=129&amp;ID1=67000810&amp;VALUEID=02001&amp;SDATE=200401&amp;PERIODTYPE=QTR_STD&amp;SCFT=3&amp;window=popup_no_bar&amp;width=385&amp;height=120&amp;START_MAXIMIZED=FALSE&amp;creator=factset&amp;display_string=Audit"}</definedName>
    <definedName name="_3499__FDSAUDITLINK__" hidden="1">{"fdsup://Directions/FactSet Auditing Viewer?action=AUDIT_VALUE&amp;DB=129&amp;ID1=67066G10&amp;VALUEID=02001&amp;SDATE=200801&amp;PERIODTYPE=QTR_STD&amp;SCFT=3&amp;window=popup_no_bar&amp;width=385&amp;height=120&amp;START_MAXIMIZED=FALSE&amp;creator=factset&amp;display_string=Audit"}</definedName>
    <definedName name="_35__FDSAUDITLINK__" hidden="1">{"fdsup://Directions/FactSet Auditing Viewer?action=AUDIT_VALUE&amp;DB=129&amp;ID1=75091710&amp;VALUEID=02001&amp;SDATE=201101&amp;PERIODTYPE=QTR_STD&amp;SCFT=3&amp;window=popup_no_bar&amp;width=385&amp;height=120&amp;START_MAXIMIZED=FALSE&amp;creator=factset&amp;display_string=Audit"}</definedName>
    <definedName name="_350__FDSAUDITLINK__" hidden="1">{"fdsup://Directions/FactSet Auditing Viewer?action=AUDIT_VALUE&amp;DB=129&amp;ID1=67066G10&amp;VALUEID=02001&amp;SDATE=201003&amp;PERIODTYPE=QTR_STD&amp;SCFT=3&amp;window=popup_no_bar&amp;width=385&amp;height=120&amp;START_MAXIMIZED=FALSE&amp;creator=factset&amp;display_string=Audit"}</definedName>
    <definedName name="_3500__FDSAUDITLINK__" hidden="1">{"fdsup://Directions/FactSet Auditing Viewer?action=AUDIT_VALUE&amp;DB=129&amp;ID1=67066G10&amp;VALUEID=02001&amp;SDATE=200801&amp;PERIODTYPE=QTR_STD&amp;SCFT=3&amp;window=popup_no_bar&amp;width=385&amp;height=120&amp;START_MAXIMIZED=FALSE&amp;creator=factset&amp;display_string=Audit"}</definedName>
    <definedName name="_3501__FDSAUDITLINK__" hidden="1">{"fdsup://Directions/FactSet Auditing Viewer?action=AUDIT_VALUE&amp;DB=129&amp;ID1=67066G10&amp;VALUEID=02001&amp;SDATE=200703&amp;PERIODTYPE=QTR_STD&amp;SCFT=3&amp;window=popup_no_bar&amp;width=385&amp;height=120&amp;START_MAXIMIZED=FALSE&amp;creator=factset&amp;display_string=Audit"}</definedName>
    <definedName name="_3502__FDSAUDITLINK__" hidden="1">{"fdsup://Directions/FactSet Auditing Viewer?action=AUDIT_VALUE&amp;DB=129&amp;ID1=67066G10&amp;VALUEID=02001&amp;SDATE=200703&amp;PERIODTYPE=QTR_STD&amp;SCFT=3&amp;window=popup_no_bar&amp;width=385&amp;height=120&amp;START_MAXIMIZED=FALSE&amp;creator=factset&amp;display_string=Audit"}</definedName>
    <definedName name="_3503__FDSAUDITLINK__" hidden="1">{"fdsup://Directions/FactSet Auditing Viewer?action=AUDIT_VALUE&amp;DB=129&amp;ID1=67066G10&amp;VALUEID=02001&amp;SDATE=200702&amp;PERIODTYPE=QTR_STD&amp;SCFT=3&amp;window=popup_no_bar&amp;width=385&amp;height=120&amp;START_MAXIMIZED=FALSE&amp;creator=factset&amp;display_string=Audit"}</definedName>
    <definedName name="_3504__FDSAUDITLINK__" hidden="1">{"fdsup://Directions/FactSet Auditing Viewer?action=AUDIT_VALUE&amp;DB=129&amp;ID1=67066G10&amp;VALUEID=02001&amp;SDATE=200702&amp;PERIODTYPE=QTR_STD&amp;SCFT=3&amp;window=popup_no_bar&amp;width=385&amp;height=120&amp;START_MAXIMIZED=FALSE&amp;creator=factset&amp;display_string=Audit"}</definedName>
    <definedName name="_3505__FDSAUDITLINK__" hidden="1">{"fdsup://Directions/FactSet Auditing Viewer?action=AUDIT_VALUE&amp;DB=129&amp;ID1=67066G10&amp;VALUEID=02001&amp;SDATE=200701&amp;PERIODTYPE=QTR_STD&amp;SCFT=3&amp;window=popup_no_bar&amp;width=385&amp;height=120&amp;START_MAXIMIZED=FALSE&amp;creator=factset&amp;display_string=Audit"}</definedName>
    <definedName name="_3506__FDSAUDITLINK__" hidden="1">{"fdsup://Directions/FactSet Auditing Viewer?action=AUDIT_VALUE&amp;DB=129&amp;ID1=67066G10&amp;VALUEID=02001&amp;SDATE=200701&amp;PERIODTYPE=QTR_STD&amp;SCFT=3&amp;window=popup_no_bar&amp;width=385&amp;height=120&amp;START_MAXIMIZED=FALSE&amp;creator=factset&amp;display_string=Audit"}</definedName>
    <definedName name="_3507__FDSAUDITLINK__" hidden="1">{"fdsup://Directions/FactSet Auditing Viewer?action=AUDIT_VALUE&amp;DB=129&amp;ID1=67066G10&amp;VALUEID=02001&amp;SDATE=200603&amp;PERIODTYPE=QTR_STD&amp;SCFT=3&amp;window=popup_no_bar&amp;width=385&amp;height=120&amp;START_MAXIMIZED=FALSE&amp;creator=factset&amp;display_string=Audit"}</definedName>
    <definedName name="_3508__FDSAUDITLINK__" hidden="1">{"fdsup://Directions/FactSet Auditing Viewer?action=AUDIT_VALUE&amp;DB=129&amp;ID1=67066G10&amp;VALUEID=02001&amp;SDATE=200603&amp;PERIODTYPE=QTR_STD&amp;SCFT=3&amp;window=popup_no_bar&amp;width=385&amp;height=120&amp;START_MAXIMIZED=FALSE&amp;creator=factset&amp;display_string=Audit"}</definedName>
    <definedName name="_3509__FDSAUDITLINK__" hidden="1">{"fdsup://Directions/FactSet Auditing Viewer?action=AUDIT_VALUE&amp;DB=129&amp;ID1=67066G10&amp;VALUEID=02001&amp;SDATE=200602&amp;PERIODTYPE=QTR_STD&amp;SCFT=3&amp;window=popup_no_bar&amp;width=385&amp;height=120&amp;START_MAXIMIZED=FALSE&amp;creator=factset&amp;display_string=Audit"}</definedName>
    <definedName name="_351__FDSAUDITLINK__" hidden="1">{"fdsup://Directions/FactSet Auditing Viewer?action=AUDIT_VALUE&amp;DB=129&amp;ID1=63764010&amp;VALUEID=02001&amp;SDATE=201001&amp;PERIODTYPE=QTR_STD&amp;SCFT=3&amp;window=popup_no_bar&amp;width=385&amp;height=120&amp;START_MAXIMIZED=FALSE&amp;creator=factset&amp;display_string=Audit"}</definedName>
    <definedName name="_3510__FDSAUDITLINK__" hidden="1">{"fdsup://Directions/FactSet Auditing Viewer?action=AUDIT_VALUE&amp;DB=129&amp;ID1=67066G10&amp;VALUEID=02001&amp;SDATE=200602&amp;PERIODTYPE=QTR_STD&amp;SCFT=3&amp;window=popup_no_bar&amp;width=385&amp;height=120&amp;START_MAXIMIZED=FALSE&amp;creator=factset&amp;display_string=Audit"}</definedName>
    <definedName name="_3511__FDSAUDITLINK__" hidden="1">{"fdsup://Directions/FactSet Auditing Viewer?action=AUDIT_VALUE&amp;DB=129&amp;ID1=67066G10&amp;VALUEID=02001&amp;SDATE=200601&amp;PERIODTYPE=QTR_STD&amp;SCFT=3&amp;window=popup_no_bar&amp;width=385&amp;height=120&amp;START_MAXIMIZED=FALSE&amp;creator=factset&amp;display_string=Audit"}</definedName>
    <definedName name="_3512__FDSAUDITLINK__" hidden="1">{"fdsup://Directions/FactSet Auditing Viewer?action=AUDIT_VALUE&amp;DB=129&amp;ID1=67066G10&amp;VALUEID=02001&amp;SDATE=200601&amp;PERIODTYPE=QTR_STD&amp;SCFT=3&amp;window=popup_no_bar&amp;width=385&amp;height=120&amp;START_MAXIMIZED=FALSE&amp;creator=factset&amp;display_string=Audit"}</definedName>
    <definedName name="_3513__FDSAUDITLINK__" hidden="1">{"fdsup://Directions/FactSet Auditing Viewer?action=AUDIT_VALUE&amp;DB=129&amp;ID1=67066G10&amp;VALUEID=02001&amp;SDATE=200503&amp;PERIODTYPE=QTR_STD&amp;SCFT=3&amp;window=popup_no_bar&amp;width=385&amp;height=120&amp;START_MAXIMIZED=FALSE&amp;creator=factset&amp;display_string=Audit"}</definedName>
    <definedName name="_3514__FDSAUDITLINK__" hidden="1">{"fdsup://Directions/FactSet Auditing Viewer?action=AUDIT_VALUE&amp;DB=129&amp;ID1=67066G10&amp;VALUEID=02001&amp;SDATE=200503&amp;PERIODTYPE=QTR_STD&amp;SCFT=3&amp;window=popup_no_bar&amp;width=385&amp;height=120&amp;START_MAXIMIZED=FALSE&amp;creator=factset&amp;display_string=Audit"}</definedName>
    <definedName name="_3515__FDSAUDITLINK__" hidden="1">{"fdsup://Directions/FactSet Auditing Viewer?action=AUDIT_VALUE&amp;DB=129&amp;ID1=67066G10&amp;VALUEID=02001&amp;SDATE=200502&amp;PERIODTYPE=QTR_STD&amp;SCFT=3&amp;window=popup_no_bar&amp;width=385&amp;height=120&amp;START_MAXIMIZED=FALSE&amp;creator=factset&amp;display_string=Audit"}</definedName>
    <definedName name="_3516__FDSAUDITLINK__" hidden="1">{"fdsup://Directions/FactSet Auditing Viewer?action=AUDIT_VALUE&amp;DB=129&amp;ID1=67066G10&amp;VALUEID=02001&amp;SDATE=200502&amp;PERIODTYPE=QTR_STD&amp;SCFT=3&amp;window=popup_no_bar&amp;width=385&amp;height=120&amp;START_MAXIMIZED=FALSE&amp;creator=factset&amp;display_string=Audit"}</definedName>
    <definedName name="_3517__FDSAUDITLINK__" hidden="1">{"fdsup://Directions/FactSet Auditing Viewer?action=AUDIT_VALUE&amp;DB=129&amp;ID1=67066G10&amp;VALUEID=02001&amp;SDATE=200501&amp;PERIODTYPE=QTR_STD&amp;SCFT=3&amp;window=popup_no_bar&amp;width=385&amp;height=120&amp;START_MAXIMIZED=FALSE&amp;creator=factset&amp;display_string=Audit"}</definedName>
    <definedName name="_3518__FDSAUDITLINK__" hidden="1">{"fdsup://Directions/FactSet Auditing Viewer?action=AUDIT_VALUE&amp;DB=129&amp;ID1=67066G10&amp;VALUEID=02001&amp;SDATE=200501&amp;PERIODTYPE=QTR_STD&amp;SCFT=3&amp;window=popup_no_bar&amp;width=385&amp;height=120&amp;START_MAXIMIZED=FALSE&amp;creator=factset&amp;display_string=Audit"}</definedName>
    <definedName name="_3519__FDSAUDITLINK__" hidden="1">{"fdsup://Directions/FactSet Auditing Viewer?action=AUDIT_VALUE&amp;DB=129&amp;ID1=67066G10&amp;VALUEID=02001&amp;SDATE=200403&amp;PERIODTYPE=QTR_STD&amp;SCFT=3&amp;window=popup_no_bar&amp;width=385&amp;height=120&amp;START_MAXIMIZED=FALSE&amp;creator=factset&amp;display_string=Audit"}</definedName>
    <definedName name="_352__FDSAUDITLINK__" hidden="1">{"fdsup://Directions/FactSet Auditing Viewer?action=AUDIT_VALUE&amp;DB=129&amp;ID1=63764010&amp;VALUEID=02001&amp;SDATE=201001&amp;PERIODTYPE=QTR_STD&amp;SCFT=3&amp;window=popup_no_bar&amp;width=385&amp;height=120&amp;START_MAXIMIZED=FALSE&amp;creator=factset&amp;display_string=Audit"}</definedName>
    <definedName name="_3520__FDSAUDITLINK__" hidden="1">{"fdsup://Directions/FactSet Auditing Viewer?action=AUDIT_VALUE&amp;DB=129&amp;ID1=67066G10&amp;VALUEID=02001&amp;SDATE=200403&amp;PERIODTYPE=QTR_STD&amp;SCFT=3&amp;window=popup_no_bar&amp;width=385&amp;height=120&amp;START_MAXIMIZED=FALSE&amp;creator=factset&amp;display_string=Audit"}</definedName>
    <definedName name="_3521__FDSAUDITLINK__" hidden="1">{"fdsup://Directions/FactSet Auditing Viewer?action=AUDIT_VALUE&amp;DB=129&amp;ID1=67066G10&amp;VALUEID=02001&amp;SDATE=200402&amp;PERIODTYPE=QTR_STD&amp;SCFT=3&amp;window=popup_no_bar&amp;width=385&amp;height=120&amp;START_MAXIMIZED=FALSE&amp;creator=factset&amp;display_string=Audit"}</definedName>
    <definedName name="_3522__FDSAUDITLINK__" hidden="1">{"fdsup://Directions/FactSet Auditing Viewer?action=AUDIT_VALUE&amp;DB=129&amp;ID1=67066G10&amp;VALUEID=02001&amp;SDATE=200402&amp;PERIODTYPE=QTR_STD&amp;SCFT=3&amp;window=popup_no_bar&amp;width=385&amp;height=120&amp;START_MAXIMIZED=FALSE&amp;creator=factset&amp;display_string=Audit"}</definedName>
    <definedName name="_3523__FDSAUDITLINK__" hidden="1">{"fdsup://Directions/FactSet Auditing Viewer?action=AUDIT_VALUE&amp;DB=129&amp;ID1=67066G10&amp;VALUEID=02001&amp;SDATE=200401&amp;PERIODTYPE=QTR_STD&amp;SCFT=3&amp;window=popup_no_bar&amp;width=385&amp;height=120&amp;START_MAXIMIZED=FALSE&amp;creator=factset&amp;display_string=Audit"}</definedName>
    <definedName name="_3524__FDSAUDITLINK__" hidden="1">{"fdsup://Directions/FactSet Auditing Viewer?action=AUDIT_VALUE&amp;DB=129&amp;ID1=67066G10&amp;VALUEID=02001&amp;SDATE=200401&amp;PERIODTYPE=QTR_STD&amp;SCFT=3&amp;window=popup_no_bar&amp;width=385&amp;height=120&amp;START_MAXIMIZED=FALSE&amp;creator=factset&amp;display_string=Audit"}</definedName>
    <definedName name="_3525__FDSAUDITLINK__" hidden="1">{"fdsup://Directions/FactSet Auditing Viewer?action=AUDIT_VALUE&amp;DB=129&amp;ID1=63764010&amp;VALUEID=02001&amp;SDATE=200703&amp;PERIODTYPE=QTR_STD&amp;SCFT=3&amp;window=popup_no_bar&amp;width=385&amp;height=120&amp;START_MAXIMIZED=FALSE&amp;creator=factset&amp;display_string=Audit"}</definedName>
    <definedName name="_3526__FDSAUDITLINK__" hidden="1">{"fdsup://Directions/FactSet Auditing Viewer?action=AUDIT_VALUE&amp;DB=129&amp;ID1=63764010&amp;VALUEID=02001&amp;SDATE=200703&amp;PERIODTYPE=QTR_STD&amp;SCFT=3&amp;window=popup_no_bar&amp;width=385&amp;height=120&amp;START_MAXIMIZED=FALSE&amp;creator=factset&amp;display_string=Audit"}</definedName>
    <definedName name="_3527__FDSAUDITLINK__" hidden="1">{"fdsup://Directions/FactSet Auditing Viewer?action=AUDIT_VALUE&amp;DB=129&amp;ID1=63764010&amp;VALUEID=02001&amp;SDATE=200702&amp;PERIODTYPE=QTR_STD&amp;SCFT=3&amp;window=popup_no_bar&amp;width=385&amp;height=120&amp;START_MAXIMIZED=FALSE&amp;creator=factset&amp;display_string=Audit"}</definedName>
    <definedName name="_3528__FDSAUDITLINK__" hidden="1">{"fdsup://Directions/FactSet Auditing Viewer?action=AUDIT_VALUE&amp;DB=129&amp;ID1=63764010&amp;VALUEID=02001&amp;SDATE=200702&amp;PERIODTYPE=QTR_STD&amp;SCFT=3&amp;window=popup_no_bar&amp;width=385&amp;height=120&amp;START_MAXIMIZED=FALSE&amp;creator=factset&amp;display_string=Audit"}</definedName>
    <definedName name="_3529__FDSAUDITLINK__" hidden="1">{"fdsup://Directions/FactSet Auditing Viewer?action=AUDIT_VALUE&amp;DB=129&amp;ID1=63764010&amp;VALUEID=02001&amp;SDATE=200701&amp;PERIODTYPE=QTR_STD&amp;SCFT=3&amp;window=popup_no_bar&amp;width=385&amp;height=120&amp;START_MAXIMIZED=FALSE&amp;creator=factset&amp;display_string=Audit"}</definedName>
    <definedName name="_353__FDSAUDITLINK__" hidden="1">{"fdsup://Directions/FactSet Auditing Viewer?action=AUDIT_VALUE&amp;DB=129&amp;ID1=64118B10&amp;VALUEID=02001&amp;SDATE=201003&amp;PERIODTYPE=QTR_STD&amp;SCFT=3&amp;window=popup_no_bar&amp;width=385&amp;height=120&amp;START_MAXIMIZED=FALSE&amp;creator=factset&amp;display_string=Audit"}</definedName>
    <definedName name="_3530__FDSAUDITLINK__" hidden="1">{"fdsup://Directions/FactSet Auditing Viewer?action=AUDIT_VALUE&amp;DB=129&amp;ID1=63764010&amp;VALUEID=02001&amp;SDATE=200701&amp;PERIODTYPE=QTR_STD&amp;SCFT=3&amp;window=popup_no_bar&amp;width=385&amp;height=120&amp;START_MAXIMIZED=FALSE&amp;creator=factset&amp;display_string=Audit"}</definedName>
    <definedName name="_3531__FDSAUDITLINK__" hidden="1">{"fdsup://Directions/FactSet Auditing Viewer?action=AUDIT_VALUE&amp;DB=129&amp;ID1=63764010&amp;VALUEID=02001&amp;SDATE=200603&amp;PERIODTYPE=QTR_STD&amp;SCFT=3&amp;window=popup_no_bar&amp;width=385&amp;height=120&amp;START_MAXIMIZED=FALSE&amp;creator=factset&amp;display_string=Audit"}</definedName>
    <definedName name="_3532__FDSAUDITLINK__" hidden="1">{"fdsup://Directions/FactSet Auditing Viewer?action=AUDIT_VALUE&amp;DB=129&amp;ID1=63764010&amp;VALUEID=02001&amp;SDATE=200603&amp;PERIODTYPE=QTR_STD&amp;SCFT=3&amp;window=popup_no_bar&amp;width=385&amp;height=120&amp;START_MAXIMIZED=FALSE&amp;creator=factset&amp;display_string=Audit"}</definedName>
    <definedName name="_3533__FDSAUDITLINK__" hidden="1">{"fdsup://Directions/FactSet Auditing Viewer?action=AUDIT_VALUE&amp;DB=129&amp;ID1=63764010&amp;VALUEID=02001&amp;SDATE=200602&amp;PERIODTYPE=QTR_STD&amp;SCFT=3&amp;window=popup_no_bar&amp;width=385&amp;height=120&amp;START_MAXIMIZED=FALSE&amp;creator=factset&amp;display_string=Audit"}</definedName>
    <definedName name="_3534__FDSAUDITLINK__" hidden="1">{"fdsup://Directions/FactSet Auditing Viewer?action=AUDIT_VALUE&amp;DB=129&amp;ID1=63764010&amp;VALUEID=02001&amp;SDATE=200602&amp;PERIODTYPE=QTR_STD&amp;SCFT=3&amp;window=popup_no_bar&amp;width=385&amp;height=120&amp;START_MAXIMIZED=FALSE&amp;creator=factset&amp;display_string=Audit"}</definedName>
    <definedName name="_3535__FDSAUDITLINK__" hidden="1">{"fdsup://Directions/FactSet Auditing Viewer?action=AUDIT_VALUE&amp;DB=129&amp;ID1=63764010&amp;VALUEID=02001&amp;SDATE=200601&amp;PERIODTYPE=QTR_STD&amp;SCFT=3&amp;window=popup_no_bar&amp;width=385&amp;height=120&amp;START_MAXIMIZED=FALSE&amp;creator=factset&amp;display_string=Audit"}</definedName>
    <definedName name="_3536__FDSAUDITLINK__" hidden="1">{"fdsup://Directions/FactSet Auditing Viewer?action=AUDIT_VALUE&amp;DB=129&amp;ID1=63764010&amp;VALUEID=02001&amp;SDATE=200601&amp;PERIODTYPE=QTR_STD&amp;SCFT=3&amp;window=popup_no_bar&amp;width=385&amp;height=120&amp;START_MAXIMIZED=FALSE&amp;creator=factset&amp;display_string=Audit"}</definedName>
    <definedName name="_3537__FDSAUDITLINK__" hidden="1">{"fdsup://Directions/FactSet Auditing Viewer?action=AUDIT_VALUE&amp;DB=129&amp;ID1=63764010&amp;VALUEID=02001&amp;SDATE=200503&amp;PERIODTYPE=QTR_STD&amp;SCFT=3&amp;window=popup_no_bar&amp;width=385&amp;height=120&amp;START_MAXIMIZED=FALSE&amp;creator=factset&amp;display_string=Audit"}</definedName>
    <definedName name="_3538__FDSAUDITLINK__" hidden="1">{"fdsup://Directions/FactSet Auditing Viewer?action=AUDIT_VALUE&amp;DB=129&amp;ID1=63764010&amp;VALUEID=02001&amp;SDATE=200503&amp;PERIODTYPE=QTR_STD&amp;SCFT=3&amp;window=popup_no_bar&amp;width=385&amp;height=120&amp;START_MAXIMIZED=FALSE&amp;creator=factset&amp;display_string=Audit"}</definedName>
    <definedName name="_3539__FDSAUDITLINK__" hidden="1">{"fdsup://Directions/FactSet Auditing Viewer?action=AUDIT_VALUE&amp;DB=129&amp;ID1=63764010&amp;VALUEID=02001&amp;SDATE=200502&amp;PERIODTYPE=QTR_STD&amp;SCFT=3&amp;window=popup_no_bar&amp;width=385&amp;height=120&amp;START_MAXIMIZED=FALSE&amp;creator=factset&amp;display_string=Audit"}</definedName>
    <definedName name="_354__FDSAUDITLINK__" hidden="1">{"fdsup://Directions/FactSet Auditing Viewer?action=AUDIT_VALUE&amp;DB=129&amp;ID1=64118B10&amp;VALUEID=02001&amp;SDATE=201003&amp;PERIODTYPE=QTR_STD&amp;SCFT=3&amp;window=popup_no_bar&amp;width=385&amp;height=120&amp;START_MAXIMIZED=FALSE&amp;creator=factset&amp;display_string=Audit"}</definedName>
    <definedName name="_3540__FDSAUDITLINK__" hidden="1">{"fdsup://Directions/FactSet Auditing Viewer?action=AUDIT_VALUE&amp;DB=129&amp;ID1=63764010&amp;VALUEID=02001&amp;SDATE=200502&amp;PERIODTYPE=QTR_STD&amp;SCFT=3&amp;window=popup_no_bar&amp;width=385&amp;height=120&amp;START_MAXIMIZED=FALSE&amp;creator=factset&amp;display_string=Audit"}</definedName>
    <definedName name="_3541__FDSAUDITLINK__" hidden="1">{"fdsup://Directions/FactSet Auditing Viewer?action=AUDIT_VALUE&amp;DB=129&amp;ID1=63764010&amp;VALUEID=02001&amp;SDATE=200501&amp;PERIODTYPE=QTR_STD&amp;SCFT=3&amp;window=popup_no_bar&amp;width=385&amp;height=120&amp;START_MAXIMIZED=FALSE&amp;creator=factset&amp;display_string=Audit"}</definedName>
    <definedName name="_3542__FDSAUDITLINK__" hidden="1">{"fdsup://Directions/FactSet Auditing Viewer?action=AUDIT_VALUE&amp;DB=129&amp;ID1=63764010&amp;VALUEID=02001&amp;SDATE=200501&amp;PERIODTYPE=QTR_STD&amp;SCFT=3&amp;window=popup_no_bar&amp;width=385&amp;height=120&amp;START_MAXIMIZED=FALSE&amp;creator=factset&amp;display_string=Audit"}</definedName>
    <definedName name="_3543__FDSAUDITLINK__" hidden="1">{"fdsup://Directions/FactSet Auditing Viewer?action=AUDIT_VALUE&amp;DB=129&amp;ID1=63764010&amp;VALUEID=02001&amp;SDATE=200403&amp;PERIODTYPE=QTR_STD&amp;SCFT=3&amp;window=popup_no_bar&amp;width=385&amp;height=120&amp;START_MAXIMIZED=FALSE&amp;creator=factset&amp;display_string=Audit"}</definedName>
    <definedName name="_3544__FDSAUDITLINK__" hidden="1">{"fdsup://Directions/FactSet Auditing Viewer?action=AUDIT_VALUE&amp;DB=129&amp;ID1=63764010&amp;VALUEID=02001&amp;SDATE=200403&amp;PERIODTYPE=QTR_STD&amp;SCFT=3&amp;window=popup_no_bar&amp;width=385&amp;height=120&amp;START_MAXIMIZED=FALSE&amp;creator=factset&amp;display_string=Audit"}</definedName>
    <definedName name="_3545__FDSAUDITLINK__" hidden="1">{"fdsup://Directions/FactSet Auditing Viewer?action=AUDIT_VALUE&amp;DB=129&amp;ID1=63764010&amp;VALUEID=02001&amp;SDATE=200402&amp;PERIODTYPE=QTR_STD&amp;SCFT=3&amp;window=popup_no_bar&amp;width=385&amp;height=120&amp;START_MAXIMIZED=FALSE&amp;creator=factset&amp;display_string=Audit"}</definedName>
    <definedName name="_3546__FDSAUDITLINK__" hidden="1">{"fdsup://Directions/FactSet Auditing Viewer?action=AUDIT_VALUE&amp;DB=129&amp;ID1=63764010&amp;VALUEID=02001&amp;SDATE=200402&amp;PERIODTYPE=QTR_STD&amp;SCFT=3&amp;window=popup_no_bar&amp;width=385&amp;height=120&amp;START_MAXIMIZED=FALSE&amp;creator=factset&amp;display_string=Audit"}</definedName>
    <definedName name="_3547__FDSAUDITLINK__" hidden="1">{"fdsup://Directions/FactSet Auditing Viewer?action=AUDIT_VALUE&amp;DB=129&amp;ID1=63764010&amp;VALUEID=02001&amp;SDATE=200401&amp;PERIODTYPE=QTR_STD&amp;SCFT=3&amp;window=popup_no_bar&amp;width=385&amp;height=120&amp;START_MAXIMIZED=FALSE&amp;creator=factset&amp;display_string=Audit"}</definedName>
    <definedName name="_3548__FDSAUDITLINK__" hidden="1">{"fdsup://Directions/FactSet Auditing Viewer?action=AUDIT_VALUE&amp;DB=129&amp;ID1=63764010&amp;VALUEID=02001&amp;SDATE=200401&amp;PERIODTYPE=QTR_STD&amp;SCFT=3&amp;window=popup_no_bar&amp;width=385&amp;height=120&amp;START_MAXIMIZED=FALSE&amp;creator=factset&amp;display_string=Audit"}</definedName>
    <definedName name="_3549__FDSAUDITLINK__" hidden="1">{"fdsup://Directions/FactSet Auditing Viewer?action=AUDIT_VALUE&amp;DB=129&amp;ID1=63764010&amp;VALUEID=02001&amp;SDATE=200303&amp;PERIODTYPE=QTR_STD&amp;SCFT=3&amp;window=popup_no_bar&amp;width=385&amp;height=120&amp;START_MAXIMIZED=FALSE&amp;creator=factset&amp;display_string=Audit"}</definedName>
    <definedName name="_355__FDSAUDITLINK__" hidden="1">{"fdsup://Directions/FactSet Auditing Viewer?action=AUDIT_VALUE&amp;DB=129&amp;ID1=57772K10&amp;VALUEID=02001&amp;SDATE=201101&amp;PERIODTYPE=QTR_STD&amp;SCFT=3&amp;window=popup_no_bar&amp;width=385&amp;height=120&amp;START_MAXIMIZED=FALSE&amp;creator=factset&amp;display_string=Audit"}</definedName>
    <definedName name="_3550__FDSAUDITLINK__" hidden="1">{"fdsup://Directions/FactSet Auditing Viewer?action=AUDIT_VALUE&amp;DB=129&amp;ID1=63764010&amp;VALUEID=02001&amp;SDATE=200303&amp;PERIODTYPE=QTR_STD&amp;SCFT=3&amp;window=popup_no_bar&amp;width=385&amp;height=120&amp;START_MAXIMIZED=FALSE&amp;creator=factset&amp;display_string=Audit"}</definedName>
    <definedName name="_3551__FDSAUDITLINK__" hidden="1">{"fdsup://Directions/FactSet Auditing Viewer?action=AUDIT_VALUE&amp;DB=129&amp;ID1=64118B10&amp;VALUEID=02001&amp;SDATE=200801&amp;PERIODTYPE=QTR_STD&amp;SCFT=3&amp;window=popup_no_bar&amp;width=385&amp;height=120&amp;START_MAXIMIZED=FALSE&amp;creator=factset&amp;display_string=Audit"}</definedName>
    <definedName name="_3552__FDSAUDITLINK__" hidden="1">{"fdsup://Directions/FactSet Auditing Viewer?action=AUDIT_VALUE&amp;DB=129&amp;ID1=64118B10&amp;VALUEID=02001&amp;SDATE=200801&amp;PERIODTYPE=QTR_STD&amp;SCFT=3&amp;window=popup_no_bar&amp;width=385&amp;height=120&amp;START_MAXIMIZED=FALSE&amp;creator=factset&amp;display_string=Audit"}</definedName>
    <definedName name="_3553__FDSAUDITLINK__" hidden="1">{"fdsup://Directions/FactSet Auditing Viewer?action=AUDIT_VALUE&amp;DB=129&amp;ID1=64118B10&amp;VALUEID=02001&amp;SDATE=200703&amp;PERIODTYPE=QTR_STD&amp;SCFT=3&amp;window=popup_no_bar&amp;width=385&amp;height=120&amp;START_MAXIMIZED=FALSE&amp;creator=factset&amp;display_string=Audit"}</definedName>
    <definedName name="_3554__FDSAUDITLINK__" hidden="1">{"fdsup://Directions/FactSet Auditing Viewer?action=AUDIT_VALUE&amp;DB=129&amp;ID1=64118B10&amp;VALUEID=02001&amp;SDATE=200703&amp;PERIODTYPE=QTR_STD&amp;SCFT=3&amp;window=popup_no_bar&amp;width=385&amp;height=120&amp;START_MAXIMIZED=FALSE&amp;creator=factset&amp;display_string=Audit"}</definedName>
    <definedName name="_3555__FDSAUDITLINK__" hidden="1">{"fdsup://Directions/FactSet Auditing Viewer?action=AUDIT_VALUE&amp;DB=129&amp;ID1=64118B10&amp;VALUEID=02001&amp;SDATE=200702&amp;PERIODTYPE=QTR_STD&amp;SCFT=3&amp;window=popup_no_bar&amp;width=385&amp;height=120&amp;START_MAXIMIZED=FALSE&amp;creator=factset&amp;display_string=Audit"}</definedName>
    <definedName name="_3556__FDSAUDITLINK__" hidden="1">{"fdsup://Directions/FactSet Auditing Viewer?action=AUDIT_VALUE&amp;DB=129&amp;ID1=64118B10&amp;VALUEID=02001&amp;SDATE=200702&amp;PERIODTYPE=QTR_STD&amp;SCFT=3&amp;window=popup_no_bar&amp;width=385&amp;height=120&amp;START_MAXIMIZED=FALSE&amp;creator=factset&amp;display_string=Audit"}</definedName>
    <definedName name="_3557__FDSAUDITLINK__" hidden="1">{"fdsup://Directions/FactSet Auditing Viewer?action=AUDIT_VALUE&amp;DB=129&amp;ID1=64118B10&amp;VALUEID=02001&amp;SDATE=200701&amp;PERIODTYPE=QTR_STD&amp;SCFT=3&amp;window=popup_no_bar&amp;width=385&amp;height=120&amp;START_MAXIMIZED=FALSE&amp;creator=factset&amp;display_string=Audit"}</definedName>
    <definedName name="_3558__FDSAUDITLINK__" hidden="1">{"fdsup://Directions/FactSet Auditing Viewer?action=AUDIT_VALUE&amp;DB=129&amp;ID1=64118B10&amp;VALUEID=02001&amp;SDATE=200701&amp;PERIODTYPE=QTR_STD&amp;SCFT=3&amp;window=popup_no_bar&amp;width=385&amp;height=120&amp;START_MAXIMIZED=FALSE&amp;creator=factset&amp;display_string=Audit"}</definedName>
    <definedName name="_3559__FDSAUDITLINK__" hidden="1">{"fdsup://Directions/FactSet Auditing Viewer?action=AUDIT_VALUE&amp;DB=129&amp;ID1=64118B10&amp;VALUEID=02001&amp;SDATE=200603&amp;PERIODTYPE=QTR_STD&amp;SCFT=3&amp;window=popup_no_bar&amp;width=385&amp;height=120&amp;START_MAXIMIZED=FALSE&amp;creator=factset&amp;display_string=Audit"}</definedName>
    <definedName name="_356__FDSAUDITLINK__" hidden="1">{"fdsup://Directions/FactSet Auditing Viewer?action=AUDIT_VALUE&amp;DB=129&amp;ID1=57772K10&amp;VALUEID=02001&amp;SDATE=201101&amp;PERIODTYPE=QTR_STD&amp;SCFT=3&amp;window=popup_no_bar&amp;width=385&amp;height=120&amp;START_MAXIMIZED=FALSE&amp;creator=factset&amp;display_string=Audit"}</definedName>
    <definedName name="_3560__FDSAUDITLINK__" hidden="1">{"fdsup://Directions/FactSet Auditing Viewer?action=AUDIT_VALUE&amp;DB=129&amp;ID1=64118B10&amp;VALUEID=02001&amp;SDATE=200603&amp;PERIODTYPE=QTR_STD&amp;SCFT=3&amp;window=popup_no_bar&amp;width=385&amp;height=120&amp;START_MAXIMIZED=FALSE&amp;creator=factset&amp;display_string=Audit"}</definedName>
    <definedName name="_3561__FDSAUDITLINK__" hidden="1">{"fdsup://Directions/FactSet Auditing Viewer?action=AUDIT_VALUE&amp;DB=129&amp;ID1=64118B10&amp;VALUEID=02001&amp;SDATE=200602&amp;PERIODTYPE=QTR_STD&amp;SCFT=3&amp;window=popup_no_bar&amp;width=385&amp;height=120&amp;START_MAXIMIZED=FALSE&amp;creator=factset&amp;display_string=Audit"}</definedName>
    <definedName name="_3562__FDSAUDITLINK__" hidden="1">{"fdsup://Directions/FactSet Auditing Viewer?action=AUDIT_VALUE&amp;DB=129&amp;ID1=64118B10&amp;VALUEID=02001&amp;SDATE=200602&amp;PERIODTYPE=QTR_STD&amp;SCFT=3&amp;window=popup_no_bar&amp;width=385&amp;height=120&amp;START_MAXIMIZED=FALSE&amp;creator=factset&amp;display_string=Audit"}</definedName>
    <definedName name="_3563__FDSAUDITLINK__" hidden="1">{"fdsup://Directions/FactSet Auditing Viewer?action=AUDIT_VALUE&amp;DB=129&amp;ID1=64118B10&amp;VALUEID=02001&amp;SDATE=200601&amp;PERIODTYPE=QTR_STD&amp;SCFT=3&amp;window=popup_no_bar&amp;width=385&amp;height=120&amp;START_MAXIMIZED=FALSE&amp;creator=factset&amp;display_string=Audit"}</definedName>
    <definedName name="_3564__FDSAUDITLINK__" hidden="1">{"fdsup://Directions/FactSet Auditing Viewer?action=AUDIT_VALUE&amp;DB=129&amp;ID1=64118B10&amp;VALUEID=02001&amp;SDATE=200601&amp;PERIODTYPE=QTR_STD&amp;SCFT=3&amp;window=popup_no_bar&amp;width=385&amp;height=120&amp;START_MAXIMIZED=FALSE&amp;creator=factset&amp;display_string=Audit"}</definedName>
    <definedName name="_3565__FDSAUDITLINK__" hidden="1">{"fdsup://Directions/FactSet Auditing Viewer?action=AUDIT_VALUE&amp;DB=129&amp;ID1=64118B10&amp;VALUEID=02001&amp;SDATE=200503&amp;PERIODTYPE=QTR_STD&amp;SCFT=3&amp;window=popup_no_bar&amp;width=385&amp;height=120&amp;START_MAXIMIZED=FALSE&amp;creator=factset&amp;display_string=Audit"}</definedName>
    <definedName name="_3566__FDSAUDITLINK__" hidden="1">{"fdsup://Directions/FactSet Auditing Viewer?action=AUDIT_VALUE&amp;DB=129&amp;ID1=64118B10&amp;VALUEID=02001&amp;SDATE=200503&amp;PERIODTYPE=QTR_STD&amp;SCFT=3&amp;window=popup_no_bar&amp;width=385&amp;height=120&amp;START_MAXIMIZED=FALSE&amp;creator=factset&amp;display_string=Audit"}</definedName>
    <definedName name="_3567__FDSAUDITLINK__" hidden="1">{"fdsup://Directions/FactSet Auditing Viewer?action=AUDIT_VALUE&amp;DB=129&amp;ID1=64118B10&amp;VALUEID=02001&amp;SDATE=200502&amp;PERIODTYPE=QTR_STD&amp;SCFT=3&amp;window=popup_no_bar&amp;width=385&amp;height=120&amp;START_MAXIMIZED=FALSE&amp;creator=factset&amp;display_string=Audit"}</definedName>
    <definedName name="_3568__FDSAUDITLINK__" hidden="1">{"fdsup://Directions/FactSet Auditing Viewer?action=AUDIT_VALUE&amp;DB=129&amp;ID1=64118B10&amp;VALUEID=02001&amp;SDATE=200502&amp;PERIODTYPE=QTR_STD&amp;SCFT=3&amp;window=popup_no_bar&amp;width=385&amp;height=120&amp;START_MAXIMIZED=FALSE&amp;creator=factset&amp;display_string=Audit"}</definedName>
    <definedName name="_3569__FDSAUDITLINK__" hidden="1">{"fdsup://Directions/FactSet Auditing Viewer?action=AUDIT_VALUE&amp;DB=129&amp;ID1=64118B10&amp;VALUEID=02001&amp;SDATE=200501&amp;PERIODTYPE=QTR_STD&amp;SCFT=3&amp;window=popup_no_bar&amp;width=385&amp;height=120&amp;START_MAXIMIZED=FALSE&amp;creator=factset&amp;display_string=Audit"}</definedName>
    <definedName name="_357__FDSAUDITLINK__" hidden="1">{"fdsup://Directions/FactSet Auditing Viewer?action=AUDIT_VALUE&amp;DB=129&amp;ID1=59511210&amp;VALUEID=02001&amp;SDATE=201004&amp;PERIODTYPE=QTR_STD&amp;SCFT=3&amp;window=popup_no_bar&amp;width=385&amp;height=120&amp;START_MAXIMIZED=FALSE&amp;creator=factset&amp;display_string=Audit"}</definedName>
    <definedName name="_3570__FDSAUDITLINK__" hidden="1">{"fdsup://Directions/FactSet Auditing Viewer?action=AUDIT_VALUE&amp;DB=129&amp;ID1=64118B10&amp;VALUEID=02001&amp;SDATE=200501&amp;PERIODTYPE=QTR_STD&amp;SCFT=3&amp;window=popup_no_bar&amp;width=385&amp;height=120&amp;START_MAXIMIZED=FALSE&amp;creator=factset&amp;display_string=Audit"}</definedName>
    <definedName name="_3571__FDSAUDITLINK__" hidden="1">{"fdsup://Directions/FactSet Auditing Viewer?action=AUDIT_VALUE&amp;DB=129&amp;ID1=64118B10&amp;VALUEID=02001&amp;SDATE=200403&amp;PERIODTYPE=QTR_STD&amp;SCFT=3&amp;window=popup_no_bar&amp;width=385&amp;height=120&amp;START_MAXIMIZED=FALSE&amp;creator=factset&amp;display_string=Audit"}</definedName>
    <definedName name="_3572__FDSAUDITLINK__" hidden="1">{"fdsup://Directions/FactSet Auditing Viewer?action=AUDIT_VALUE&amp;DB=129&amp;ID1=64118B10&amp;VALUEID=02001&amp;SDATE=200403&amp;PERIODTYPE=QTR_STD&amp;SCFT=3&amp;window=popup_no_bar&amp;width=385&amp;height=120&amp;START_MAXIMIZED=FALSE&amp;creator=factset&amp;display_string=Audit"}</definedName>
    <definedName name="_3573__FDSAUDITLINK__" hidden="1">{"fdsup://Directions/FactSet Auditing Viewer?action=AUDIT_VALUE&amp;DB=129&amp;ID1=64118B10&amp;VALUEID=02001&amp;SDATE=200402&amp;PERIODTYPE=QTR_STD&amp;SCFT=3&amp;window=popup_no_bar&amp;width=385&amp;height=120&amp;START_MAXIMIZED=FALSE&amp;creator=factset&amp;display_string=Audit"}</definedName>
    <definedName name="_3574__FDSAUDITLINK__" hidden="1">{"fdsup://Directions/FactSet Auditing Viewer?action=AUDIT_VALUE&amp;DB=129&amp;ID1=64118B10&amp;VALUEID=02001&amp;SDATE=200402&amp;PERIODTYPE=QTR_STD&amp;SCFT=3&amp;window=popup_no_bar&amp;width=385&amp;height=120&amp;START_MAXIMIZED=FALSE&amp;creator=factset&amp;display_string=Audit"}</definedName>
    <definedName name="_3575__FDSAUDITLINK__" hidden="1">{"fdsup://Directions/FactSet Auditing Viewer?action=AUDIT_VALUE&amp;DB=129&amp;ID1=57772K10&amp;VALUEID=02001&amp;SDATE=200803&amp;PERIODTYPE=QTR_STD&amp;SCFT=3&amp;window=popup_no_bar&amp;width=385&amp;height=120&amp;START_MAXIMIZED=FALSE&amp;creator=factset&amp;display_string=Audit"}</definedName>
    <definedName name="_3576__FDSAUDITLINK__" hidden="1">{"fdsup://Directions/FactSet Auditing Viewer?action=AUDIT_VALUE&amp;DB=129&amp;ID1=57772K10&amp;VALUEID=02001&amp;SDATE=200803&amp;PERIODTYPE=QTR_STD&amp;SCFT=3&amp;window=popup_no_bar&amp;width=385&amp;height=120&amp;START_MAXIMIZED=FALSE&amp;creator=factset&amp;display_string=Audit"}</definedName>
    <definedName name="_3577__FDSAUDITLINK__" hidden="1">{"fdsup://Directions/FactSet Auditing Viewer?action=AUDIT_VALUE&amp;DB=129&amp;ID1=57772K10&amp;VALUEID=02001&amp;SDATE=200802&amp;PERIODTYPE=QTR_STD&amp;SCFT=3&amp;window=popup_no_bar&amp;width=385&amp;height=120&amp;START_MAXIMIZED=FALSE&amp;creator=factset&amp;display_string=Audit"}</definedName>
    <definedName name="_3578__FDSAUDITLINK__" hidden="1">{"fdsup://Directions/FactSet Auditing Viewer?action=AUDIT_VALUE&amp;DB=129&amp;ID1=57772K10&amp;VALUEID=02001&amp;SDATE=200802&amp;PERIODTYPE=QTR_STD&amp;SCFT=3&amp;window=popup_no_bar&amp;width=385&amp;height=120&amp;START_MAXIMIZED=FALSE&amp;creator=factset&amp;display_string=Audit"}</definedName>
    <definedName name="_3579__FDSAUDITLINK__" hidden="1">{"fdsup://Directions/FactSet Auditing Viewer?action=AUDIT_VALUE&amp;DB=129&amp;ID1=57772K10&amp;VALUEID=02001&amp;SDATE=200801&amp;PERIODTYPE=QTR_STD&amp;SCFT=3&amp;window=popup_no_bar&amp;width=385&amp;height=120&amp;START_MAXIMIZED=FALSE&amp;creator=factset&amp;display_string=Audit"}</definedName>
    <definedName name="_358__FDSAUDITLINK__" hidden="1">{"fdsup://Directions/FactSet Auditing Viewer?action=AUDIT_VALUE&amp;DB=129&amp;ID1=59511210&amp;VALUEID=02001&amp;SDATE=201004&amp;PERIODTYPE=QTR_STD&amp;SCFT=3&amp;window=popup_no_bar&amp;width=385&amp;height=120&amp;START_MAXIMIZED=FALSE&amp;creator=factset&amp;display_string=Audit"}</definedName>
    <definedName name="_3580__FDSAUDITLINK__" hidden="1">{"fdsup://Directions/FactSet Auditing Viewer?action=AUDIT_VALUE&amp;DB=129&amp;ID1=57772K10&amp;VALUEID=02001&amp;SDATE=200801&amp;PERIODTYPE=QTR_STD&amp;SCFT=3&amp;window=popup_no_bar&amp;width=385&amp;height=120&amp;START_MAXIMIZED=FALSE&amp;creator=factset&amp;display_string=Audit"}</definedName>
    <definedName name="_3581__FDSAUDITLINK__" hidden="1">{"fdsup://Directions/FactSet Auditing Viewer?action=AUDIT_VALUE&amp;DB=129&amp;ID1=57772K10&amp;VALUEID=02001&amp;SDATE=200703&amp;PERIODTYPE=QTR_STD&amp;SCFT=3&amp;window=popup_no_bar&amp;width=385&amp;height=120&amp;START_MAXIMIZED=FALSE&amp;creator=factset&amp;display_string=Audit"}</definedName>
    <definedName name="_3582__FDSAUDITLINK__" hidden="1">{"fdsup://Directions/FactSet Auditing Viewer?action=AUDIT_VALUE&amp;DB=129&amp;ID1=57772K10&amp;VALUEID=02001&amp;SDATE=200703&amp;PERIODTYPE=QTR_STD&amp;SCFT=3&amp;window=popup_no_bar&amp;width=385&amp;height=120&amp;START_MAXIMIZED=FALSE&amp;creator=factset&amp;display_string=Audit"}</definedName>
    <definedName name="_3583__FDSAUDITLINK__" hidden="1">{"fdsup://Directions/FactSet Auditing Viewer?action=AUDIT_VALUE&amp;DB=129&amp;ID1=57772K10&amp;VALUEID=02001&amp;SDATE=200702&amp;PERIODTYPE=QTR_STD&amp;SCFT=3&amp;window=popup_no_bar&amp;width=385&amp;height=120&amp;START_MAXIMIZED=FALSE&amp;creator=factset&amp;display_string=Audit"}</definedName>
    <definedName name="_3584__FDSAUDITLINK__" hidden="1">{"fdsup://Directions/FactSet Auditing Viewer?action=AUDIT_VALUE&amp;DB=129&amp;ID1=57772K10&amp;VALUEID=02001&amp;SDATE=200702&amp;PERIODTYPE=QTR_STD&amp;SCFT=3&amp;window=popup_no_bar&amp;width=385&amp;height=120&amp;START_MAXIMIZED=FALSE&amp;creator=factset&amp;display_string=Audit"}</definedName>
    <definedName name="_3585__FDSAUDITLINK__" hidden="1">{"fdsup://Directions/FactSet Auditing Viewer?action=AUDIT_VALUE&amp;DB=129&amp;ID1=57772K10&amp;VALUEID=02001&amp;SDATE=200701&amp;PERIODTYPE=QTR_STD&amp;SCFT=3&amp;window=popup_no_bar&amp;width=385&amp;height=120&amp;START_MAXIMIZED=FALSE&amp;creator=factset&amp;display_string=Audit"}</definedName>
    <definedName name="_3586__FDSAUDITLINK__" hidden="1">{"fdsup://Directions/FactSet Auditing Viewer?action=AUDIT_VALUE&amp;DB=129&amp;ID1=57772K10&amp;VALUEID=02001&amp;SDATE=200701&amp;PERIODTYPE=QTR_STD&amp;SCFT=3&amp;window=popup_no_bar&amp;width=385&amp;height=120&amp;START_MAXIMIZED=FALSE&amp;creator=factset&amp;display_string=Audit"}</definedName>
    <definedName name="_3587__FDSAUDITLINK__" hidden="1">{"fdsup://Directions/FactSet Auditing Viewer?action=AUDIT_VALUE&amp;DB=129&amp;ID1=57772K10&amp;VALUEID=02001&amp;SDATE=200603&amp;PERIODTYPE=QTR_STD&amp;SCFT=3&amp;window=popup_no_bar&amp;width=385&amp;height=120&amp;START_MAXIMIZED=FALSE&amp;creator=factset&amp;display_string=Audit"}</definedName>
    <definedName name="_3588__FDSAUDITLINK__" hidden="1">{"fdsup://Directions/FactSet Auditing Viewer?action=AUDIT_VALUE&amp;DB=129&amp;ID1=57772K10&amp;VALUEID=02001&amp;SDATE=200603&amp;PERIODTYPE=QTR_STD&amp;SCFT=3&amp;window=popup_no_bar&amp;width=385&amp;height=120&amp;START_MAXIMIZED=FALSE&amp;creator=factset&amp;display_string=Audit"}</definedName>
    <definedName name="_3589__FDSAUDITLINK__" hidden="1">{"fdsup://Directions/FactSet Auditing Viewer?action=AUDIT_VALUE&amp;DB=129&amp;ID1=57772K10&amp;VALUEID=02001&amp;SDATE=200602&amp;PERIODTYPE=QTR_STD&amp;SCFT=3&amp;window=popup_no_bar&amp;width=385&amp;height=120&amp;START_MAXIMIZED=FALSE&amp;creator=factset&amp;display_string=Audit"}</definedName>
    <definedName name="_359__FDSAUDITLINK__" hidden="1">{"fdsup://Directions/FactSet Auditing Viewer?action=AUDIT_VALUE&amp;DB=129&amp;ID1=59513710&amp;VALUEID=02001&amp;SDATE=201004&amp;PERIODTYPE=QTR_STD&amp;SCFT=3&amp;window=popup_no_bar&amp;width=385&amp;height=120&amp;START_MAXIMIZED=FALSE&amp;creator=factset&amp;display_string=Audit"}</definedName>
    <definedName name="_3590__FDSAUDITLINK__" hidden="1">{"fdsup://Directions/FactSet Auditing Viewer?action=AUDIT_VALUE&amp;DB=129&amp;ID1=57772K10&amp;VALUEID=02001&amp;SDATE=200602&amp;PERIODTYPE=QTR_STD&amp;SCFT=3&amp;window=popup_no_bar&amp;width=385&amp;height=120&amp;START_MAXIMIZED=FALSE&amp;creator=factset&amp;display_string=Audit"}</definedName>
    <definedName name="_3591__FDSAUDITLINK__" hidden="1">{"fdsup://Directions/FactSet Auditing Viewer?action=AUDIT_VALUE&amp;DB=129&amp;ID1=57772K10&amp;VALUEID=02001&amp;SDATE=200601&amp;PERIODTYPE=QTR_STD&amp;SCFT=3&amp;window=popup_no_bar&amp;width=385&amp;height=120&amp;START_MAXIMIZED=FALSE&amp;creator=factset&amp;display_string=Audit"}</definedName>
    <definedName name="_3592__FDSAUDITLINK__" hidden="1">{"fdsup://Directions/FactSet Auditing Viewer?action=AUDIT_VALUE&amp;DB=129&amp;ID1=57772K10&amp;VALUEID=02001&amp;SDATE=200601&amp;PERIODTYPE=QTR_STD&amp;SCFT=3&amp;window=popup_no_bar&amp;width=385&amp;height=120&amp;START_MAXIMIZED=FALSE&amp;creator=factset&amp;display_string=Audit"}</definedName>
    <definedName name="_3593__FDSAUDITLINK__" hidden="1">{"fdsup://Directions/FactSet Auditing Viewer?action=AUDIT_VALUE&amp;DB=129&amp;ID1=57772K10&amp;VALUEID=02001&amp;SDATE=200503&amp;PERIODTYPE=QTR_STD&amp;SCFT=3&amp;window=popup_no_bar&amp;width=385&amp;height=120&amp;START_MAXIMIZED=FALSE&amp;creator=factset&amp;display_string=Audit"}</definedName>
    <definedName name="_3594__FDSAUDITLINK__" hidden="1">{"fdsup://Directions/FactSet Auditing Viewer?action=AUDIT_VALUE&amp;DB=129&amp;ID1=57772K10&amp;VALUEID=02001&amp;SDATE=200503&amp;PERIODTYPE=QTR_STD&amp;SCFT=3&amp;window=popup_no_bar&amp;width=385&amp;height=120&amp;START_MAXIMIZED=FALSE&amp;creator=factset&amp;display_string=Audit"}</definedName>
    <definedName name="_3595__FDSAUDITLINK__" hidden="1">{"fdsup://Directions/FactSet Auditing Viewer?action=AUDIT_VALUE&amp;DB=129&amp;ID1=57772K10&amp;VALUEID=02001&amp;SDATE=200502&amp;PERIODTYPE=QTR_STD&amp;SCFT=3&amp;window=popup_no_bar&amp;width=385&amp;height=120&amp;START_MAXIMIZED=FALSE&amp;creator=factset&amp;display_string=Audit"}</definedName>
    <definedName name="_3596__FDSAUDITLINK__" hidden="1">{"fdsup://Directions/FactSet Auditing Viewer?action=AUDIT_VALUE&amp;DB=129&amp;ID1=57772K10&amp;VALUEID=02001&amp;SDATE=200502&amp;PERIODTYPE=QTR_STD&amp;SCFT=3&amp;window=popup_no_bar&amp;width=385&amp;height=120&amp;START_MAXIMIZED=FALSE&amp;creator=factset&amp;display_string=Audit"}</definedName>
    <definedName name="_3597__FDSAUDITLINK__" hidden="1">{"fdsup://Directions/FactSet Auditing Viewer?action=AUDIT_VALUE&amp;DB=129&amp;ID1=57772K10&amp;VALUEID=02001&amp;SDATE=200501&amp;PERIODTYPE=QTR_STD&amp;SCFT=3&amp;window=popup_no_bar&amp;width=385&amp;height=120&amp;START_MAXIMIZED=FALSE&amp;creator=factset&amp;display_string=Audit"}</definedName>
    <definedName name="_3598__FDSAUDITLINK__" hidden="1">{"fdsup://Directions/FactSet Auditing Viewer?action=AUDIT_VALUE&amp;DB=129&amp;ID1=57772K10&amp;VALUEID=02001&amp;SDATE=200501&amp;PERIODTYPE=QTR_STD&amp;SCFT=3&amp;window=popup_no_bar&amp;width=385&amp;height=120&amp;START_MAXIMIZED=FALSE&amp;creator=factset&amp;display_string=Audit"}</definedName>
    <definedName name="_3599__FDSAUDITLINK__" hidden="1">{"fdsup://Directions/FactSet Auditing Viewer?action=AUDIT_VALUE&amp;DB=129&amp;ID1=57772K10&amp;VALUEID=02001&amp;SDATE=200403&amp;PERIODTYPE=QTR_STD&amp;SCFT=3&amp;window=popup_no_bar&amp;width=385&amp;height=120&amp;START_MAXIMIZED=FALSE&amp;creator=factset&amp;display_string=Audit"}</definedName>
    <definedName name="_36__FDSAUDITLINK__" hidden="1">{"fdsup://Directions/FactSet Auditing Viewer?action=AUDIT_VALUE&amp;DB=129&amp;ID1=75091710&amp;VALUEID=02001&amp;SDATE=201101&amp;PERIODTYPE=QTR_STD&amp;SCFT=3&amp;window=popup_no_bar&amp;width=385&amp;height=120&amp;START_MAXIMIZED=FALSE&amp;creator=factset&amp;display_string=Audit"}</definedName>
    <definedName name="_360__FDSAUDITLINK__" hidden="1">{"fdsup://Directions/FactSet Auditing Viewer?action=AUDIT_VALUE&amp;DB=129&amp;ID1=59513710&amp;VALUEID=02001&amp;SDATE=201004&amp;PERIODTYPE=QTR_STD&amp;SCFT=3&amp;window=popup_no_bar&amp;width=385&amp;height=120&amp;START_MAXIMIZED=FALSE&amp;creator=factset&amp;display_string=Audit"}</definedName>
    <definedName name="_3600__FDSAUDITLINK__" hidden="1">{"fdsup://Directions/FactSet Auditing Viewer?action=AUDIT_VALUE&amp;DB=129&amp;ID1=57772K10&amp;VALUEID=02001&amp;SDATE=200403&amp;PERIODTYPE=QTR_STD&amp;SCFT=3&amp;window=popup_no_bar&amp;width=385&amp;height=120&amp;START_MAXIMIZED=FALSE&amp;creator=factset&amp;display_string=Audit"}</definedName>
    <definedName name="_3601__FDSAUDITLINK__" hidden="1">{"fdsup://Directions/FactSet Auditing Viewer?action=AUDIT_VALUE&amp;DB=129&amp;ID1=59511210&amp;VALUEID=02001&amp;SDATE=200802&amp;PERIODTYPE=QTR_STD&amp;SCFT=3&amp;window=popup_no_bar&amp;width=385&amp;height=120&amp;START_MAXIMIZED=FALSE&amp;creator=factset&amp;display_string=Audit"}</definedName>
    <definedName name="_3602__FDSAUDITLINK__" hidden="1">{"fdsup://Directions/FactSet Auditing Viewer?action=AUDIT_VALUE&amp;DB=129&amp;ID1=59511210&amp;VALUEID=02001&amp;SDATE=200802&amp;PERIODTYPE=QTR_STD&amp;SCFT=3&amp;window=popup_no_bar&amp;width=385&amp;height=120&amp;START_MAXIMIZED=FALSE&amp;creator=factset&amp;display_string=Audit"}</definedName>
    <definedName name="_3603__FDSAUDITLINK__" hidden="1">{"fdsup://Directions/FactSet Auditing Viewer?action=AUDIT_VALUE&amp;DB=129&amp;ID1=59511210&amp;VALUEID=02001&amp;SDATE=200801&amp;PERIODTYPE=QTR_STD&amp;SCFT=3&amp;window=popup_no_bar&amp;width=385&amp;height=120&amp;START_MAXIMIZED=FALSE&amp;creator=factset&amp;display_string=Audit"}</definedName>
    <definedName name="_3604__FDSAUDITLINK__" hidden="1">{"fdsup://Directions/FactSet Auditing Viewer?action=AUDIT_VALUE&amp;DB=129&amp;ID1=59511210&amp;VALUEID=02001&amp;SDATE=200801&amp;PERIODTYPE=QTR_STD&amp;SCFT=3&amp;window=popup_no_bar&amp;width=385&amp;height=120&amp;START_MAXIMIZED=FALSE&amp;creator=factset&amp;display_string=Audit"}</definedName>
    <definedName name="_3605__FDSAUDITLINK__" hidden="1">{"fdsup://Directions/FactSet Auditing Viewer?action=AUDIT_VALUE&amp;DB=129&amp;ID1=59511210&amp;VALUEID=02001&amp;SDATE=200703&amp;PERIODTYPE=QTR_STD&amp;SCFT=3&amp;window=popup_no_bar&amp;width=385&amp;height=120&amp;START_MAXIMIZED=FALSE&amp;creator=factset&amp;display_string=Audit"}</definedName>
    <definedName name="_3606__FDSAUDITLINK__" hidden="1">{"fdsup://Directions/FactSet Auditing Viewer?action=AUDIT_VALUE&amp;DB=129&amp;ID1=59511210&amp;VALUEID=02001&amp;SDATE=200703&amp;PERIODTYPE=QTR_STD&amp;SCFT=3&amp;window=popup_no_bar&amp;width=385&amp;height=120&amp;START_MAXIMIZED=FALSE&amp;creator=factset&amp;display_string=Audit"}</definedName>
    <definedName name="_3607__FDSAUDITLINK__" hidden="1">{"fdsup://Directions/FactSet Auditing Viewer?action=AUDIT_VALUE&amp;DB=129&amp;ID1=59511210&amp;VALUEID=02001&amp;SDATE=200702&amp;PERIODTYPE=QTR_STD&amp;SCFT=3&amp;window=popup_no_bar&amp;width=385&amp;height=120&amp;START_MAXIMIZED=FALSE&amp;creator=factset&amp;display_string=Audit"}</definedName>
    <definedName name="_3608__FDSAUDITLINK__" hidden="1">{"fdsup://Directions/FactSet Auditing Viewer?action=AUDIT_VALUE&amp;DB=129&amp;ID1=59511210&amp;VALUEID=02001&amp;SDATE=200702&amp;PERIODTYPE=QTR_STD&amp;SCFT=3&amp;window=popup_no_bar&amp;width=385&amp;height=120&amp;START_MAXIMIZED=FALSE&amp;creator=factset&amp;display_string=Audit"}</definedName>
    <definedName name="_3609__FDSAUDITLINK__" hidden="1">{"fdsup://Directions/FactSet Auditing Viewer?action=AUDIT_VALUE&amp;DB=129&amp;ID1=59511210&amp;VALUEID=02001&amp;SDATE=200701&amp;PERIODTYPE=QTR_STD&amp;SCFT=3&amp;window=popup_no_bar&amp;width=385&amp;height=120&amp;START_MAXIMIZED=FALSE&amp;creator=factset&amp;display_string=Audit"}</definedName>
    <definedName name="_361__FDSAUDITLINK__" hidden="1">{"fdsup://Directions/FactSet Auditing Viewer?action=AUDIT_VALUE&amp;DB=129&amp;ID1=G5876H10&amp;VALUEID=02001&amp;SDATE=201003&amp;PERIODTYPE=QTR_STD&amp;SCFT=3&amp;window=popup_no_bar&amp;width=385&amp;height=120&amp;START_MAXIMIZED=FALSE&amp;creator=factset&amp;display_string=Audit"}</definedName>
    <definedName name="_3610__FDSAUDITLINK__" hidden="1">{"fdsup://Directions/FactSet Auditing Viewer?action=AUDIT_VALUE&amp;DB=129&amp;ID1=59511210&amp;VALUEID=02001&amp;SDATE=200701&amp;PERIODTYPE=QTR_STD&amp;SCFT=3&amp;window=popup_no_bar&amp;width=385&amp;height=120&amp;START_MAXIMIZED=FALSE&amp;creator=factset&amp;display_string=Audit"}</definedName>
    <definedName name="_3611__FDSAUDITLINK__" hidden="1">{"fdsup://Directions/FactSet Auditing Viewer?action=AUDIT_VALUE&amp;DB=129&amp;ID1=59511210&amp;VALUEID=02001&amp;SDATE=200603&amp;PERIODTYPE=QTR_STD&amp;SCFT=3&amp;window=popup_no_bar&amp;width=385&amp;height=120&amp;START_MAXIMIZED=FALSE&amp;creator=factset&amp;display_string=Audit"}</definedName>
    <definedName name="_3612__FDSAUDITLINK__" hidden="1">{"fdsup://Directions/FactSet Auditing Viewer?action=AUDIT_VALUE&amp;DB=129&amp;ID1=59511210&amp;VALUEID=02001&amp;SDATE=200603&amp;PERIODTYPE=QTR_STD&amp;SCFT=3&amp;window=popup_no_bar&amp;width=385&amp;height=120&amp;START_MAXIMIZED=FALSE&amp;creator=factset&amp;display_string=Audit"}</definedName>
    <definedName name="_3613__FDSAUDITLINK__" hidden="1">{"fdsup://Directions/FactSet Auditing Viewer?action=AUDIT_VALUE&amp;DB=129&amp;ID1=59511210&amp;VALUEID=02001&amp;SDATE=200602&amp;PERIODTYPE=QTR_STD&amp;SCFT=3&amp;window=popup_no_bar&amp;width=385&amp;height=120&amp;START_MAXIMIZED=FALSE&amp;creator=factset&amp;display_string=Audit"}</definedName>
    <definedName name="_3614__FDSAUDITLINK__" hidden="1">{"fdsup://Directions/FactSet Auditing Viewer?action=AUDIT_VALUE&amp;DB=129&amp;ID1=59511210&amp;VALUEID=02001&amp;SDATE=200602&amp;PERIODTYPE=QTR_STD&amp;SCFT=3&amp;window=popup_no_bar&amp;width=385&amp;height=120&amp;START_MAXIMIZED=FALSE&amp;creator=factset&amp;display_string=Audit"}</definedName>
    <definedName name="_3615__FDSAUDITLINK__" hidden="1">{"fdsup://Directions/FactSet Auditing Viewer?action=AUDIT_VALUE&amp;DB=129&amp;ID1=59511210&amp;VALUEID=02001&amp;SDATE=200601&amp;PERIODTYPE=QTR_STD&amp;SCFT=3&amp;window=popup_no_bar&amp;width=385&amp;height=120&amp;START_MAXIMIZED=FALSE&amp;creator=factset&amp;display_string=Audit"}</definedName>
    <definedName name="_3616__FDSAUDITLINK__" hidden="1">{"fdsup://Directions/FactSet Auditing Viewer?action=AUDIT_VALUE&amp;DB=129&amp;ID1=59511210&amp;VALUEID=02001&amp;SDATE=200601&amp;PERIODTYPE=QTR_STD&amp;SCFT=3&amp;window=popup_no_bar&amp;width=385&amp;height=120&amp;START_MAXIMIZED=FALSE&amp;creator=factset&amp;display_string=Audit"}</definedName>
    <definedName name="_3617__FDSAUDITLINK__" hidden="1">{"fdsup://Directions/FactSet Auditing Viewer?action=AUDIT_VALUE&amp;DB=129&amp;ID1=59511210&amp;VALUEID=02001&amp;SDATE=200503&amp;PERIODTYPE=QTR_STD&amp;SCFT=3&amp;window=popup_no_bar&amp;width=385&amp;height=120&amp;START_MAXIMIZED=FALSE&amp;creator=factset&amp;display_string=Audit"}</definedName>
    <definedName name="_3618__FDSAUDITLINK__" hidden="1">{"fdsup://Directions/FactSet Auditing Viewer?action=AUDIT_VALUE&amp;DB=129&amp;ID1=59511210&amp;VALUEID=02001&amp;SDATE=200503&amp;PERIODTYPE=QTR_STD&amp;SCFT=3&amp;window=popup_no_bar&amp;width=385&amp;height=120&amp;START_MAXIMIZED=FALSE&amp;creator=factset&amp;display_string=Audit"}</definedName>
    <definedName name="_3619__FDSAUDITLINK__" hidden="1">{"fdsup://Directions/FactSet Auditing Viewer?action=AUDIT_VALUE&amp;DB=129&amp;ID1=59511210&amp;VALUEID=02001&amp;SDATE=200502&amp;PERIODTYPE=QTR_STD&amp;SCFT=3&amp;window=popup_no_bar&amp;width=385&amp;height=120&amp;START_MAXIMIZED=FALSE&amp;creator=factset&amp;display_string=Audit"}</definedName>
    <definedName name="_362__FDSAUDITLINK__" hidden="1">{"fdsup://Directions/FactSet Auditing Viewer?action=AUDIT_VALUE&amp;DB=129&amp;ID1=G5876H10&amp;VALUEID=02001&amp;SDATE=201003&amp;PERIODTYPE=QTR_STD&amp;SCFT=3&amp;window=popup_no_bar&amp;width=385&amp;height=120&amp;START_MAXIMIZED=FALSE&amp;creator=factset&amp;display_string=Audit"}</definedName>
    <definedName name="_3620__FDSAUDITLINK__" hidden="1">{"fdsup://Directions/FactSet Auditing Viewer?action=AUDIT_VALUE&amp;DB=129&amp;ID1=59511210&amp;VALUEID=02001&amp;SDATE=200502&amp;PERIODTYPE=QTR_STD&amp;SCFT=3&amp;window=popup_no_bar&amp;width=385&amp;height=120&amp;START_MAXIMIZED=FALSE&amp;creator=factset&amp;display_string=Audit"}</definedName>
    <definedName name="_3621__FDSAUDITLINK__" hidden="1">{"fdsup://Directions/FactSet Auditing Viewer?action=AUDIT_VALUE&amp;DB=129&amp;ID1=59511210&amp;VALUEID=02001&amp;SDATE=200501&amp;PERIODTYPE=QTR_STD&amp;SCFT=3&amp;window=popup_no_bar&amp;width=385&amp;height=120&amp;START_MAXIMIZED=FALSE&amp;creator=factset&amp;display_string=Audit"}</definedName>
    <definedName name="_3622__FDSAUDITLINK__" hidden="1">{"fdsup://Directions/FactSet Auditing Viewer?action=AUDIT_VALUE&amp;DB=129&amp;ID1=59511210&amp;VALUEID=02001&amp;SDATE=200501&amp;PERIODTYPE=QTR_STD&amp;SCFT=3&amp;window=popup_no_bar&amp;width=385&amp;height=120&amp;START_MAXIMIZED=FALSE&amp;creator=factset&amp;display_string=Audit"}</definedName>
    <definedName name="_3623__FDSAUDITLINK__" hidden="1">{"fdsup://Directions/FactSet Auditing Viewer?action=AUDIT_VALUE&amp;DB=129&amp;ID1=59511210&amp;VALUEID=02001&amp;SDATE=200403&amp;PERIODTYPE=QTR_STD&amp;SCFT=3&amp;window=popup_no_bar&amp;width=385&amp;height=120&amp;START_MAXIMIZED=FALSE&amp;creator=factset&amp;display_string=Audit"}</definedName>
    <definedName name="_3624__FDSAUDITLINK__" hidden="1">{"fdsup://Directions/FactSet Auditing Viewer?action=AUDIT_VALUE&amp;DB=129&amp;ID1=59511210&amp;VALUEID=02001&amp;SDATE=200403&amp;PERIODTYPE=QTR_STD&amp;SCFT=3&amp;window=popup_no_bar&amp;width=385&amp;height=120&amp;START_MAXIMIZED=FALSE&amp;creator=factset&amp;display_string=Audit"}</definedName>
    <definedName name="_3625__FDSAUDITLINK__" hidden="1">{"fdsup://Directions/FactSet Auditing Viewer?action=AUDIT_VALUE&amp;DB=129&amp;ID1=59511210&amp;VALUEID=02001&amp;SDATE=200402&amp;PERIODTYPE=QTR_STD&amp;SCFT=3&amp;window=popup_no_bar&amp;width=385&amp;height=120&amp;START_MAXIMIZED=FALSE&amp;creator=factset&amp;display_string=Audit"}</definedName>
    <definedName name="_3626__FDSAUDITLINK__" hidden="1">{"fdsup://Directions/FactSet Auditing Viewer?action=AUDIT_VALUE&amp;DB=129&amp;ID1=59511210&amp;VALUEID=02001&amp;SDATE=200402&amp;PERIODTYPE=QTR_STD&amp;SCFT=3&amp;window=popup_no_bar&amp;width=385&amp;height=120&amp;START_MAXIMIZED=FALSE&amp;creator=factset&amp;display_string=Audit"}</definedName>
    <definedName name="_3627__FDSAUDITLINK__" hidden="1">{"fdsup://Directions/FactSet Auditing Viewer?action=AUDIT_VALUE&amp;DB=129&amp;ID1=59513710&amp;VALUEID=02001&amp;SDATE=200802&amp;PERIODTYPE=QTR_STD&amp;SCFT=3&amp;window=popup_no_bar&amp;width=385&amp;height=120&amp;START_MAXIMIZED=FALSE&amp;creator=factset&amp;display_string=Audit"}</definedName>
    <definedName name="_3628__FDSAUDITLINK__" hidden="1">{"fdsup://Directions/FactSet Auditing Viewer?action=AUDIT_VALUE&amp;DB=129&amp;ID1=59513710&amp;VALUEID=02001&amp;SDATE=200802&amp;PERIODTYPE=QTR_STD&amp;SCFT=3&amp;window=popup_no_bar&amp;width=385&amp;height=120&amp;START_MAXIMIZED=FALSE&amp;creator=factset&amp;display_string=Audit"}</definedName>
    <definedName name="_3629__FDSAUDITLINK__" hidden="1">{"fdsup://Directions/FactSet Auditing Viewer?action=AUDIT_VALUE&amp;DB=129&amp;ID1=59513710&amp;VALUEID=02001&amp;SDATE=200801&amp;PERIODTYPE=QTR_STD&amp;SCFT=3&amp;window=popup_no_bar&amp;width=385&amp;height=120&amp;START_MAXIMIZED=FALSE&amp;creator=factset&amp;display_string=Audit"}</definedName>
    <definedName name="_363__FDSAUDITLINK__" hidden="1">{"fdsup://Directions/FactSet Auditing Viewer?action=AUDIT_VALUE&amp;DB=129&amp;ID1=62007630&amp;VALUEID=02001&amp;SDATE=201003&amp;PERIODTYPE=QTR_STD&amp;SCFT=3&amp;window=popup_no_bar&amp;width=385&amp;height=120&amp;START_MAXIMIZED=FALSE&amp;creator=factset&amp;display_string=Audit"}</definedName>
    <definedName name="_3630__FDSAUDITLINK__" hidden="1">{"fdsup://Directions/FactSet Auditing Viewer?action=AUDIT_VALUE&amp;DB=129&amp;ID1=59513710&amp;VALUEID=02001&amp;SDATE=200801&amp;PERIODTYPE=QTR_STD&amp;SCFT=3&amp;window=popup_no_bar&amp;width=385&amp;height=120&amp;START_MAXIMIZED=FALSE&amp;creator=factset&amp;display_string=Audit"}</definedName>
    <definedName name="_3631__FDSAUDITLINK__" hidden="1">{"fdsup://Directions/FactSet Auditing Viewer?action=AUDIT_VALUE&amp;DB=129&amp;ID1=59513710&amp;VALUEID=02001&amp;SDATE=200703&amp;PERIODTYPE=QTR_STD&amp;SCFT=3&amp;window=popup_no_bar&amp;width=385&amp;height=120&amp;START_MAXIMIZED=FALSE&amp;creator=factset&amp;display_string=Audit"}</definedName>
    <definedName name="_3632__FDSAUDITLINK__" hidden="1">{"fdsup://Directions/FactSet Auditing Viewer?action=AUDIT_VALUE&amp;DB=129&amp;ID1=59513710&amp;VALUEID=02001&amp;SDATE=200703&amp;PERIODTYPE=QTR_STD&amp;SCFT=3&amp;window=popup_no_bar&amp;width=385&amp;height=120&amp;START_MAXIMIZED=FALSE&amp;creator=factset&amp;display_string=Audit"}</definedName>
    <definedName name="_3633__FDSAUDITLINK__" hidden="1">{"fdsup://Directions/FactSet Auditing Viewer?action=AUDIT_VALUE&amp;DB=129&amp;ID1=59513710&amp;VALUEID=02001&amp;SDATE=200702&amp;PERIODTYPE=QTR_STD&amp;SCFT=3&amp;window=popup_no_bar&amp;width=385&amp;height=120&amp;START_MAXIMIZED=FALSE&amp;creator=factset&amp;display_string=Audit"}</definedName>
    <definedName name="_3634__FDSAUDITLINK__" hidden="1">{"fdsup://Directions/FactSet Auditing Viewer?action=AUDIT_VALUE&amp;DB=129&amp;ID1=59513710&amp;VALUEID=02001&amp;SDATE=200702&amp;PERIODTYPE=QTR_STD&amp;SCFT=3&amp;window=popup_no_bar&amp;width=385&amp;height=120&amp;START_MAXIMIZED=FALSE&amp;creator=factset&amp;display_string=Audit"}</definedName>
    <definedName name="_3635__FDSAUDITLINK__" hidden="1">{"fdsup://Directions/FactSet Auditing Viewer?action=AUDIT_VALUE&amp;DB=129&amp;ID1=59513710&amp;VALUEID=02001&amp;SDATE=200701&amp;PERIODTYPE=QTR_STD&amp;SCFT=3&amp;window=popup_no_bar&amp;width=385&amp;height=120&amp;START_MAXIMIZED=FALSE&amp;creator=factset&amp;display_string=Audit"}</definedName>
    <definedName name="_3636__FDSAUDITLINK__" hidden="1">{"fdsup://Directions/FactSet Auditing Viewer?action=AUDIT_VALUE&amp;DB=129&amp;ID1=59513710&amp;VALUEID=02001&amp;SDATE=200701&amp;PERIODTYPE=QTR_STD&amp;SCFT=3&amp;window=popup_no_bar&amp;width=385&amp;height=120&amp;START_MAXIMIZED=FALSE&amp;creator=factset&amp;display_string=Audit"}</definedName>
    <definedName name="_3637__FDSAUDITLINK__" hidden="1">{"fdsup://Directions/FactSet Auditing Viewer?action=AUDIT_VALUE&amp;DB=129&amp;ID1=59513710&amp;VALUEID=02001&amp;SDATE=200603&amp;PERIODTYPE=QTR_STD&amp;SCFT=3&amp;window=popup_no_bar&amp;width=385&amp;height=120&amp;START_MAXIMIZED=FALSE&amp;creator=factset&amp;display_string=Audit"}</definedName>
    <definedName name="_3638__FDSAUDITLINK__" hidden="1">{"fdsup://Directions/FactSet Auditing Viewer?action=AUDIT_VALUE&amp;DB=129&amp;ID1=59513710&amp;VALUEID=02001&amp;SDATE=200603&amp;PERIODTYPE=QTR_STD&amp;SCFT=3&amp;window=popup_no_bar&amp;width=385&amp;height=120&amp;START_MAXIMIZED=FALSE&amp;creator=factset&amp;display_string=Audit"}</definedName>
    <definedName name="_3639__FDSAUDITLINK__" hidden="1">{"fdsup://Directions/FactSet Auditing Viewer?action=AUDIT_VALUE&amp;DB=129&amp;ID1=59513710&amp;VALUEID=02001&amp;SDATE=200602&amp;PERIODTYPE=QTR_STD&amp;SCFT=3&amp;window=popup_no_bar&amp;width=385&amp;height=120&amp;START_MAXIMIZED=FALSE&amp;creator=factset&amp;display_string=Audit"}</definedName>
    <definedName name="_364__FDSAUDITLINK__" hidden="1">{"fdsup://Directions/FactSet Auditing Viewer?action=AUDIT_VALUE&amp;DB=129&amp;ID1=62007630&amp;VALUEID=02001&amp;SDATE=201003&amp;PERIODTYPE=QTR_STD&amp;SCFT=3&amp;window=popup_no_bar&amp;width=385&amp;height=120&amp;START_MAXIMIZED=FALSE&amp;creator=factset&amp;display_string=Audit"}</definedName>
    <definedName name="_3640__FDSAUDITLINK__" hidden="1">{"fdsup://Directions/FactSet Auditing Viewer?action=AUDIT_VALUE&amp;DB=129&amp;ID1=59513710&amp;VALUEID=02001&amp;SDATE=200602&amp;PERIODTYPE=QTR_STD&amp;SCFT=3&amp;window=popup_no_bar&amp;width=385&amp;height=120&amp;START_MAXIMIZED=FALSE&amp;creator=factset&amp;display_string=Audit"}</definedName>
    <definedName name="_3641__FDSAUDITLINK__" hidden="1">{"fdsup://Directions/FactSet Auditing Viewer?action=AUDIT_VALUE&amp;DB=129&amp;ID1=59513710&amp;VALUEID=02001&amp;SDATE=200601&amp;PERIODTYPE=QTR_STD&amp;SCFT=3&amp;window=popup_no_bar&amp;width=385&amp;height=120&amp;START_MAXIMIZED=FALSE&amp;creator=factset&amp;display_string=Audit"}</definedName>
    <definedName name="_3642__FDSAUDITLINK__" hidden="1">{"fdsup://Directions/FactSet Auditing Viewer?action=AUDIT_VALUE&amp;DB=129&amp;ID1=59513710&amp;VALUEID=02001&amp;SDATE=200601&amp;PERIODTYPE=QTR_STD&amp;SCFT=3&amp;window=popup_no_bar&amp;width=385&amp;height=120&amp;START_MAXIMIZED=FALSE&amp;creator=factset&amp;display_string=Audit"}</definedName>
    <definedName name="_3643__FDSAUDITLINK__" hidden="1">{"fdsup://Directions/FactSet Auditing Viewer?action=AUDIT_VALUE&amp;DB=129&amp;ID1=59513710&amp;VALUEID=02001&amp;SDATE=200503&amp;PERIODTYPE=QTR_STD&amp;SCFT=3&amp;window=popup_no_bar&amp;width=385&amp;height=120&amp;START_MAXIMIZED=FALSE&amp;creator=factset&amp;display_string=Audit"}</definedName>
    <definedName name="_3644__FDSAUDITLINK__" hidden="1">{"fdsup://Directions/FactSet Auditing Viewer?action=AUDIT_VALUE&amp;DB=129&amp;ID1=59513710&amp;VALUEID=02001&amp;SDATE=200503&amp;PERIODTYPE=QTR_STD&amp;SCFT=3&amp;window=popup_no_bar&amp;width=385&amp;height=120&amp;START_MAXIMIZED=FALSE&amp;creator=factset&amp;display_string=Audit"}</definedName>
    <definedName name="_3645__FDSAUDITLINK__" hidden="1">{"fdsup://Directions/FactSet Auditing Viewer?action=AUDIT_VALUE&amp;DB=129&amp;ID1=59513710&amp;VALUEID=02001&amp;SDATE=200502&amp;PERIODTYPE=QTR_STD&amp;SCFT=3&amp;window=popup_no_bar&amp;width=385&amp;height=120&amp;START_MAXIMIZED=FALSE&amp;creator=factset&amp;display_string=Audit"}</definedName>
    <definedName name="_3646__FDSAUDITLINK__" hidden="1">{"fdsup://Directions/FactSet Auditing Viewer?action=AUDIT_VALUE&amp;DB=129&amp;ID1=59513710&amp;VALUEID=02001&amp;SDATE=200502&amp;PERIODTYPE=QTR_STD&amp;SCFT=3&amp;window=popup_no_bar&amp;width=385&amp;height=120&amp;START_MAXIMIZED=FALSE&amp;creator=factset&amp;display_string=Audit"}</definedName>
    <definedName name="_3647__FDSAUDITLINK__" hidden="1">{"fdsup://Directions/FactSet Auditing Viewer?action=AUDIT_VALUE&amp;DB=129&amp;ID1=59513710&amp;VALUEID=02001&amp;SDATE=200501&amp;PERIODTYPE=QTR_STD&amp;SCFT=3&amp;window=popup_no_bar&amp;width=385&amp;height=120&amp;START_MAXIMIZED=FALSE&amp;creator=factset&amp;display_string=Audit"}</definedName>
    <definedName name="_3648__FDSAUDITLINK__" hidden="1">{"fdsup://Directions/FactSet Auditing Viewer?action=AUDIT_VALUE&amp;DB=129&amp;ID1=59513710&amp;VALUEID=02001&amp;SDATE=200501&amp;PERIODTYPE=QTR_STD&amp;SCFT=3&amp;window=popup_no_bar&amp;width=385&amp;height=120&amp;START_MAXIMIZED=FALSE&amp;creator=factset&amp;display_string=Audit"}</definedName>
    <definedName name="_3649__FDSAUDITLINK__" hidden="1">{"fdsup://Directions/FactSet Auditing Viewer?action=AUDIT_VALUE&amp;DB=129&amp;ID1=59513710&amp;VALUEID=02001&amp;SDATE=200403&amp;PERIODTYPE=QTR_STD&amp;SCFT=3&amp;window=popup_no_bar&amp;width=385&amp;height=120&amp;START_MAXIMIZED=FALSE&amp;creator=factset&amp;display_string=Audit"}</definedName>
    <definedName name="_365__FDSAUDITLINK__" hidden="1">{"fdsup://Directions/FactSet Auditing Viewer?action=AUDIT_VALUE&amp;DB=129&amp;ID1=60456710&amp;VALUEID=02001&amp;SDATE=201101&amp;PERIODTYPE=QTR_STD&amp;SCFT=3&amp;window=popup_no_bar&amp;width=385&amp;height=120&amp;START_MAXIMIZED=FALSE&amp;creator=factset&amp;display_string=Audit"}</definedName>
    <definedName name="_3650__FDSAUDITLINK__" hidden="1">{"fdsup://Directions/FactSet Auditing Viewer?action=AUDIT_VALUE&amp;DB=129&amp;ID1=59513710&amp;VALUEID=02001&amp;SDATE=200403&amp;PERIODTYPE=QTR_STD&amp;SCFT=3&amp;window=popup_no_bar&amp;width=385&amp;height=120&amp;START_MAXIMIZED=FALSE&amp;creator=factset&amp;display_string=Audit"}</definedName>
    <definedName name="_3651__FDSAUDITLINK__" hidden="1">{"fdsup://Directions/FactSet Auditing Viewer?action=AUDIT_VALUE&amp;DB=129&amp;ID1=59513710&amp;VALUEID=02001&amp;SDATE=200402&amp;PERIODTYPE=QTR_STD&amp;SCFT=3&amp;window=popup_no_bar&amp;width=385&amp;height=120&amp;START_MAXIMIZED=FALSE&amp;creator=factset&amp;display_string=Audit"}</definedName>
    <definedName name="_3652__FDSAUDITLINK__" hidden="1">{"fdsup://Directions/FactSet Auditing Viewer?action=AUDIT_VALUE&amp;DB=129&amp;ID1=59513710&amp;VALUEID=02001&amp;SDATE=200402&amp;PERIODTYPE=QTR_STD&amp;SCFT=3&amp;window=popup_no_bar&amp;width=385&amp;height=120&amp;START_MAXIMIZED=FALSE&amp;creator=factset&amp;display_string=Audit"}</definedName>
    <definedName name="_3653__FDSAUDITLINK__" hidden="1">{"fdsup://Directions/FactSet Auditing Viewer?action=AUDIT_VALUE&amp;DB=129&amp;ID1=G5876H10&amp;VALUEID=02001&amp;SDATE=200801&amp;PERIODTYPE=QTR_STD&amp;SCFT=3&amp;window=popup_no_bar&amp;width=385&amp;height=120&amp;START_MAXIMIZED=FALSE&amp;creator=factset&amp;display_string=Audit"}</definedName>
    <definedName name="_3654__FDSAUDITLINK__" hidden="1">{"fdsup://Directions/FactSet Auditing Viewer?action=AUDIT_VALUE&amp;DB=129&amp;ID1=G5876H10&amp;VALUEID=02001&amp;SDATE=200801&amp;PERIODTYPE=QTR_STD&amp;SCFT=3&amp;window=popup_no_bar&amp;width=385&amp;height=120&amp;START_MAXIMIZED=FALSE&amp;creator=factset&amp;display_string=Audit"}</definedName>
    <definedName name="_3655__FDSAUDITLINK__" hidden="1">{"fdsup://Directions/FactSet Auditing Viewer?action=AUDIT_VALUE&amp;DB=129&amp;ID1=G5876H10&amp;VALUEID=02001&amp;SDATE=200703&amp;PERIODTYPE=QTR_STD&amp;SCFT=3&amp;window=popup_no_bar&amp;width=385&amp;height=120&amp;START_MAXIMIZED=FALSE&amp;creator=factset&amp;display_string=Audit"}</definedName>
    <definedName name="_3656__FDSAUDITLINK__" hidden="1">{"fdsup://Directions/FactSet Auditing Viewer?action=AUDIT_VALUE&amp;DB=129&amp;ID1=G5876H10&amp;VALUEID=02001&amp;SDATE=200703&amp;PERIODTYPE=QTR_STD&amp;SCFT=3&amp;window=popup_no_bar&amp;width=385&amp;height=120&amp;START_MAXIMIZED=FALSE&amp;creator=factset&amp;display_string=Audit"}</definedName>
    <definedName name="_3657__FDSAUDITLINK__" hidden="1">{"fdsup://Directions/FactSet Auditing Viewer?action=AUDIT_VALUE&amp;DB=129&amp;ID1=G5876H10&amp;VALUEID=02001&amp;SDATE=200702&amp;PERIODTYPE=QTR_STD&amp;SCFT=3&amp;window=popup_no_bar&amp;width=385&amp;height=120&amp;START_MAXIMIZED=FALSE&amp;creator=factset&amp;display_string=Audit"}</definedName>
    <definedName name="_3658__FDSAUDITLINK__" hidden="1">{"fdsup://Directions/FactSet Auditing Viewer?action=AUDIT_VALUE&amp;DB=129&amp;ID1=G5876H10&amp;VALUEID=02001&amp;SDATE=200702&amp;PERIODTYPE=QTR_STD&amp;SCFT=3&amp;window=popup_no_bar&amp;width=385&amp;height=120&amp;START_MAXIMIZED=FALSE&amp;creator=factset&amp;display_string=Audit"}</definedName>
    <definedName name="_3659__FDSAUDITLINK__" hidden="1">{"fdsup://Directions/FactSet Auditing Viewer?action=AUDIT_VALUE&amp;DB=129&amp;ID1=G5876H10&amp;VALUEID=02001&amp;SDATE=200701&amp;PERIODTYPE=QTR_STD&amp;SCFT=3&amp;window=popup_no_bar&amp;width=385&amp;height=120&amp;START_MAXIMIZED=FALSE&amp;creator=factset&amp;display_string=Audit"}</definedName>
    <definedName name="_366__FDSAUDITLINK__" hidden="1">{"fdsup://Directions/FactSet Auditing Viewer?action=AUDIT_VALUE&amp;DB=129&amp;ID1=60456710&amp;VALUEID=02001&amp;SDATE=201101&amp;PERIODTYPE=QTR_STD&amp;SCFT=3&amp;window=popup_no_bar&amp;width=385&amp;height=120&amp;START_MAXIMIZED=FALSE&amp;creator=factset&amp;display_string=Audit"}</definedName>
    <definedName name="_3660__FDSAUDITLINK__" hidden="1">{"fdsup://Directions/FactSet Auditing Viewer?action=AUDIT_VALUE&amp;DB=129&amp;ID1=G5876H10&amp;VALUEID=02001&amp;SDATE=200701&amp;PERIODTYPE=QTR_STD&amp;SCFT=3&amp;window=popup_no_bar&amp;width=385&amp;height=120&amp;START_MAXIMIZED=FALSE&amp;creator=factset&amp;display_string=Audit"}</definedName>
    <definedName name="_3661__FDSAUDITLINK__" hidden="1">{"fdsup://Directions/FactSet Auditing Viewer?action=AUDIT_VALUE&amp;DB=129&amp;ID1=G5876H10&amp;VALUEID=02001&amp;SDATE=200603&amp;PERIODTYPE=QTR_STD&amp;SCFT=3&amp;window=popup_no_bar&amp;width=385&amp;height=120&amp;START_MAXIMIZED=FALSE&amp;creator=factset&amp;display_string=Audit"}</definedName>
    <definedName name="_3662__FDSAUDITLINK__" hidden="1">{"fdsup://Directions/FactSet Auditing Viewer?action=AUDIT_VALUE&amp;DB=129&amp;ID1=G5876H10&amp;VALUEID=02001&amp;SDATE=200603&amp;PERIODTYPE=QTR_STD&amp;SCFT=3&amp;window=popup_no_bar&amp;width=385&amp;height=120&amp;START_MAXIMIZED=FALSE&amp;creator=factset&amp;display_string=Audit"}</definedName>
    <definedName name="_3663__FDSAUDITLINK__" hidden="1">{"fdsup://Directions/FactSet Auditing Viewer?action=AUDIT_VALUE&amp;DB=129&amp;ID1=G5876H10&amp;VALUEID=02001&amp;SDATE=200602&amp;PERIODTYPE=QTR_STD&amp;SCFT=3&amp;window=popup_no_bar&amp;width=385&amp;height=120&amp;START_MAXIMIZED=FALSE&amp;creator=factset&amp;display_string=Audit"}</definedName>
    <definedName name="_3664__FDSAUDITLINK__" hidden="1">{"fdsup://Directions/FactSet Auditing Viewer?action=AUDIT_VALUE&amp;DB=129&amp;ID1=G5876H10&amp;VALUEID=02001&amp;SDATE=200602&amp;PERIODTYPE=QTR_STD&amp;SCFT=3&amp;window=popup_no_bar&amp;width=385&amp;height=120&amp;START_MAXIMIZED=FALSE&amp;creator=factset&amp;display_string=Audit"}</definedName>
    <definedName name="_3665__FDSAUDITLINK__" hidden="1">{"fdsup://Directions/FactSet Auditing Viewer?action=AUDIT_VALUE&amp;DB=129&amp;ID1=G5876H10&amp;VALUEID=02001&amp;SDATE=200601&amp;PERIODTYPE=QTR_STD&amp;SCFT=3&amp;window=popup_no_bar&amp;width=385&amp;height=120&amp;START_MAXIMIZED=FALSE&amp;creator=factset&amp;display_string=Audit"}</definedName>
    <definedName name="_3666__FDSAUDITLINK__" hidden="1">{"fdsup://Directions/FactSet Auditing Viewer?action=AUDIT_VALUE&amp;DB=129&amp;ID1=G5876H10&amp;VALUEID=02001&amp;SDATE=200601&amp;PERIODTYPE=QTR_STD&amp;SCFT=3&amp;window=popup_no_bar&amp;width=385&amp;height=120&amp;START_MAXIMIZED=FALSE&amp;creator=factset&amp;display_string=Audit"}</definedName>
    <definedName name="_3667__FDSAUDITLINK__" hidden="1">{"fdsup://Directions/FactSet Auditing Viewer?action=AUDIT_VALUE&amp;DB=129&amp;ID1=G5876H10&amp;VALUEID=02001&amp;SDATE=200503&amp;PERIODTYPE=QTR_STD&amp;SCFT=3&amp;window=popup_no_bar&amp;width=385&amp;height=120&amp;START_MAXIMIZED=FALSE&amp;creator=factset&amp;display_string=Audit"}</definedName>
    <definedName name="_3668__FDSAUDITLINK__" hidden="1">{"fdsup://Directions/FactSet Auditing Viewer?action=AUDIT_VALUE&amp;DB=129&amp;ID1=G5876H10&amp;VALUEID=02001&amp;SDATE=200503&amp;PERIODTYPE=QTR_STD&amp;SCFT=3&amp;window=popup_no_bar&amp;width=385&amp;height=120&amp;START_MAXIMIZED=FALSE&amp;creator=factset&amp;display_string=Audit"}</definedName>
    <definedName name="_3669__FDSAUDITLINK__" hidden="1">{"fdsup://Directions/FactSet Auditing Viewer?action=AUDIT_VALUE&amp;DB=129&amp;ID1=G5876H10&amp;VALUEID=02001&amp;SDATE=200502&amp;PERIODTYPE=QTR_STD&amp;SCFT=3&amp;window=popup_no_bar&amp;width=385&amp;height=120&amp;START_MAXIMIZED=FALSE&amp;creator=factset&amp;display_string=Audit"}</definedName>
    <definedName name="_367__FDSAUDITLINK__" hidden="1">{"fdsup://Directions/FactSet Auditing Viewer?action=AUDIT_VALUE&amp;DB=129&amp;ID1=59479310&amp;VALUEID=02001&amp;SDATE=201003&amp;PERIODTYPE=QTR_STD&amp;SCFT=3&amp;window=popup_no_bar&amp;width=385&amp;height=120&amp;START_MAXIMIZED=FALSE&amp;creator=factset&amp;display_string=Audit"}</definedName>
    <definedName name="_3670__FDSAUDITLINK__" hidden="1">{"fdsup://Directions/FactSet Auditing Viewer?action=AUDIT_VALUE&amp;DB=129&amp;ID1=G5876H10&amp;VALUEID=02001&amp;SDATE=200502&amp;PERIODTYPE=QTR_STD&amp;SCFT=3&amp;window=popup_no_bar&amp;width=385&amp;height=120&amp;START_MAXIMIZED=FALSE&amp;creator=factset&amp;display_string=Audit"}</definedName>
    <definedName name="_3671__FDSAUDITLINK__" hidden="1">{"fdsup://Directions/FactSet Auditing Viewer?action=AUDIT_VALUE&amp;DB=129&amp;ID1=G5876H10&amp;VALUEID=02001&amp;SDATE=200501&amp;PERIODTYPE=QTR_STD&amp;SCFT=3&amp;window=popup_no_bar&amp;width=385&amp;height=120&amp;START_MAXIMIZED=FALSE&amp;creator=factset&amp;display_string=Audit"}</definedName>
    <definedName name="_3672__FDSAUDITLINK__" hidden="1">{"fdsup://Directions/FactSet Auditing Viewer?action=AUDIT_VALUE&amp;DB=129&amp;ID1=G5876H10&amp;VALUEID=02001&amp;SDATE=200501&amp;PERIODTYPE=QTR_STD&amp;SCFT=3&amp;window=popup_no_bar&amp;width=385&amp;height=120&amp;START_MAXIMIZED=FALSE&amp;creator=factset&amp;display_string=Audit"}</definedName>
    <definedName name="_3673__FDSAUDITLINK__" hidden="1">{"fdsup://Directions/FactSet Auditing Viewer?action=AUDIT_VALUE&amp;DB=129&amp;ID1=G5876H10&amp;VALUEID=02001&amp;SDATE=200403&amp;PERIODTYPE=QTR_STD&amp;SCFT=3&amp;window=popup_no_bar&amp;width=385&amp;height=120&amp;START_MAXIMIZED=FALSE&amp;creator=factset&amp;display_string=Audit"}</definedName>
    <definedName name="_3674__FDSAUDITLINK__" hidden="1">{"fdsup://Directions/FactSet Auditing Viewer?action=AUDIT_VALUE&amp;DB=129&amp;ID1=G5876H10&amp;VALUEID=02001&amp;SDATE=200403&amp;PERIODTYPE=QTR_STD&amp;SCFT=3&amp;window=popup_no_bar&amp;width=385&amp;height=120&amp;START_MAXIMIZED=FALSE&amp;creator=factset&amp;display_string=Audit"}</definedName>
    <definedName name="_3675__FDSAUDITLINK__" hidden="1">{"fdsup://Directions/FactSet Auditing Viewer?action=AUDIT_VALUE&amp;DB=129&amp;ID1=G5876H10&amp;VALUEID=02001&amp;SDATE=200402&amp;PERIODTYPE=QTR_STD&amp;SCFT=3&amp;window=popup_no_bar&amp;width=385&amp;height=120&amp;START_MAXIMIZED=FALSE&amp;creator=factset&amp;display_string=Audit"}</definedName>
    <definedName name="_3676__FDSAUDITLINK__" hidden="1">{"fdsup://Directions/FactSet Auditing Viewer?action=AUDIT_VALUE&amp;DB=129&amp;ID1=G5876H10&amp;VALUEID=02001&amp;SDATE=200402&amp;PERIODTYPE=QTR_STD&amp;SCFT=3&amp;window=popup_no_bar&amp;width=385&amp;height=120&amp;START_MAXIMIZED=FALSE&amp;creator=factset&amp;display_string=Audit"}</definedName>
    <definedName name="_3677__FDSAUDITLINK__" hidden="1">{"fdsup://Directions/FactSet Auditing Viewer?action=AUDIT_VALUE&amp;DB=129&amp;ID1=G5876H10&amp;VALUEID=02001&amp;SDATE=200401&amp;PERIODTYPE=QTR_STD&amp;SCFT=3&amp;window=popup_no_bar&amp;width=385&amp;height=120&amp;START_MAXIMIZED=FALSE&amp;creator=factset&amp;display_string=Audit"}</definedName>
    <definedName name="_3678__FDSAUDITLINK__" hidden="1">{"fdsup://Directions/FactSet Auditing Viewer?action=AUDIT_VALUE&amp;DB=129&amp;ID1=G5876H10&amp;VALUEID=02001&amp;SDATE=200401&amp;PERIODTYPE=QTR_STD&amp;SCFT=3&amp;window=popup_no_bar&amp;width=385&amp;height=120&amp;START_MAXIMIZED=FALSE&amp;creator=factset&amp;display_string=Audit"}</definedName>
    <definedName name="_3679__FDSAUDITLINK__" hidden="1">{"fdsup://Directions/FactSet Auditing Viewer?action=AUDIT_VALUE&amp;DB=129&amp;ID1=62007630&amp;VALUEID=02001&amp;SDATE=200801&amp;PERIODTYPE=QTR_STD&amp;SCFT=3&amp;window=popup_no_bar&amp;width=385&amp;height=120&amp;START_MAXIMIZED=FALSE&amp;creator=factset&amp;display_string=Audit"}</definedName>
    <definedName name="_368__FDSAUDITLINK__" hidden="1">{"fdsup://Directions/FactSet Auditing Viewer?action=AUDIT_VALUE&amp;DB=129&amp;ID1=59479310&amp;VALUEID=02001&amp;SDATE=201003&amp;PERIODTYPE=QTR_STD&amp;SCFT=3&amp;window=popup_no_bar&amp;width=385&amp;height=120&amp;START_MAXIMIZED=FALSE&amp;creator=factset&amp;display_string=Audit"}</definedName>
    <definedName name="_3680__FDSAUDITLINK__" hidden="1">{"fdsup://Directions/FactSet Auditing Viewer?action=AUDIT_VALUE&amp;DB=129&amp;ID1=62007630&amp;VALUEID=02001&amp;SDATE=200801&amp;PERIODTYPE=QTR_STD&amp;SCFT=3&amp;window=popup_no_bar&amp;width=385&amp;height=120&amp;START_MAXIMIZED=FALSE&amp;creator=factset&amp;display_string=Audit"}</definedName>
    <definedName name="_3681__FDSAUDITLINK__" hidden="1">{"fdsup://Directions/FactSet Auditing Viewer?action=AUDIT_VALUE&amp;DB=129&amp;ID1=62007630&amp;VALUEID=02001&amp;SDATE=200703&amp;PERIODTYPE=QTR_STD&amp;SCFT=3&amp;window=popup_no_bar&amp;width=385&amp;height=120&amp;START_MAXIMIZED=FALSE&amp;creator=factset&amp;display_string=Audit"}</definedName>
    <definedName name="_3682__FDSAUDITLINK__" hidden="1">{"fdsup://Directions/FactSet Auditing Viewer?action=AUDIT_VALUE&amp;DB=129&amp;ID1=62007630&amp;VALUEID=02001&amp;SDATE=200703&amp;PERIODTYPE=QTR_STD&amp;SCFT=3&amp;window=popup_no_bar&amp;width=385&amp;height=120&amp;START_MAXIMIZED=FALSE&amp;creator=factset&amp;display_string=Audit"}</definedName>
    <definedName name="_3683__FDSAUDITLINK__" hidden="1">{"fdsup://Directions/FactSet Auditing Viewer?action=AUDIT_VALUE&amp;DB=129&amp;ID1=62007630&amp;VALUEID=02001&amp;SDATE=200702&amp;PERIODTYPE=QTR_STD&amp;SCFT=3&amp;window=popup_no_bar&amp;width=385&amp;height=120&amp;START_MAXIMIZED=FALSE&amp;creator=factset&amp;display_string=Audit"}</definedName>
    <definedName name="_3684__FDSAUDITLINK__" hidden="1">{"fdsup://Directions/FactSet Auditing Viewer?action=AUDIT_VALUE&amp;DB=129&amp;ID1=62007630&amp;VALUEID=02001&amp;SDATE=200702&amp;PERIODTYPE=QTR_STD&amp;SCFT=3&amp;window=popup_no_bar&amp;width=385&amp;height=120&amp;START_MAXIMIZED=FALSE&amp;creator=factset&amp;display_string=Audit"}</definedName>
    <definedName name="_3685__FDSAUDITLINK__" hidden="1">{"fdsup://Directions/FactSet Auditing Viewer?action=AUDIT_VALUE&amp;DB=129&amp;ID1=62007630&amp;VALUEID=02001&amp;SDATE=200701&amp;PERIODTYPE=QTR_STD&amp;SCFT=3&amp;window=popup_no_bar&amp;width=385&amp;height=120&amp;START_MAXIMIZED=FALSE&amp;creator=factset&amp;display_string=Audit"}</definedName>
    <definedName name="_3686__FDSAUDITLINK__" hidden="1">{"fdsup://Directions/FactSet Auditing Viewer?action=AUDIT_VALUE&amp;DB=129&amp;ID1=62007630&amp;VALUEID=02001&amp;SDATE=200701&amp;PERIODTYPE=QTR_STD&amp;SCFT=3&amp;window=popup_no_bar&amp;width=385&amp;height=120&amp;START_MAXIMIZED=FALSE&amp;creator=factset&amp;display_string=Audit"}</definedName>
    <definedName name="_3687__FDSAUDITLINK__" hidden="1">{"fdsup://Directions/FactSet Auditing Viewer?action=AUDIT_VALUE&amp;DB=129&amp;ID1=62007630&amp;VALUEID=02001&amp;SDATE=200603&amp;PERIODTYPE=QTR_STD&amp;SCFT=3&amp;window=popup_no_bar&amp;width=385&amp;height=120&amp;START_MAXIMIZED=FALSE&amp;creator=factset&amp;display_string=Audit"}</definedName>
    <definedName name="_3688__FDSAUDITLINK__" hidden="1">{"fdsup://Directions/FactSet Auditing Viewer?action=AUDIT_VALUE&amp;DB=129&amp;ID1=62007630&amp;VALUEID=02001&amp;SDATE=200603&amp;PERIODTYPE=QTR_STD&amp;SCFT=3&amp;window=popup_no_bar&amp;width=385&amp;height=120&amp;START_MAXIMIZED=FALSE&amp;creator=factset&amp;display_string=Audit"}</definedName>
    <definedName name="_3689__FDSAUDITLINK__" hidden="1">{"fdsup://Directions/FactSet Auditing Viewer?action=AUDIT_VALUE&amp;DB=129&amp;ID1=62007630&amp;VALUEID=02001&amp;SDATE=200602&amp;PERIODTYPE=QTR_STD&amp;SCFT=3&amp;window=popup_no_bar&amp;width=385&amp;height=120&amp;START_MAXIMIZED=FALSE&amp;creator=factset&amp;display_string=Audit"}</definedName>
    <definedName name="_369__FDSAUDITLINK__" hidden="1">{"fdsup://Directions/FactSet Auditing Viewer?action=AUDIT_VALUE&amp;DB=129&amp;ID1=59501710&amp;VALUEID=02001&amp;SDATE=201002&amp;PERIODTYPE=QTR_STD&amp;SCFT=3&amp;window=popup_no_bar&amp;width=385&amp;height=120&amp;START_MAXIMIZED=FALSE&amp;creator=factset&amp;display_string=Audit"}</definedName>
    <definedName name="_3690__FDSAUDITLINK__" hidden="1">{"fdsup://Directions/FactSet Auditing Viewer?action=AUDIT_VALUE&amp;DB=129&amp;ID1=62007630&amp;VALUEID=02001&amp;SDATE=200602&amp;PERIODTYPE=QTR_STD&amp;SCFT=3&amp;window=popup_no_bar&amp;width=385&amp;height=120&amp;START_MAXIMIZED=FALSE&amp;creator=factset&amp;display_string=Audit"}</definedName>
    <definedName name="_3691__FDSAUDITLINK__" hidden="1">{"fdsup://Directions/FactSet Auditing Viewer?action=AUDIT_VALUE&amp;DB=129&amp;ID1=62007630&amp;VALUEID=02001&amp;SDATE=200601&amp;PERIODTYPE=QTR_STD&amp;SCFT=3&amp;window=popup_no_bar&amp;width=385&amp;height=120&amp;START_MAXIMIZED=FALSE&amp;creator=factset&amp;display_string=Audit"}</definedName>
    <definedName name="_3692__FDSAUDITLINK__" hidden="1">{"fdsup://Directions/FactSet Auditing Viewer?action=AUDIT_VALUE&amp;DB=129&amp;ID1=62007630&amp;VALUEID=02001&amp;SDATE=200601&amp;PERIODTYPE=QTR_STD&amp;SCFT=3&amp;window=popup_no_bar&amp;width=385&amp;height=120&amp;START_MAXIMIZED=FALSE&amp;creator=factset&amp;display_string=Audit"}</definedName>
    <definedName name="_3693__FDSAUDITLINK__" hidden="1">{"fdsup://Directions/FactSet Auditing Viewer?action=AUDIT_VALUE&amp;DB=129&amp;ID1=62007630&amp;VALUEID=02001&amp;SDATE=200503&amp;PERIODTYPE=QTR_STD&amp;SCFT=3&amp;window=popup_no_bar&amp;width=385&amp;height=120&amp;START_MAXIMIZED=FALSE&amp;creator=factset&amp;display_string=Audit"}</definedName>
    <definedName name="_3694__FDSAUDITLINK__" hidden="1">{"fdsup://Directions/FactSet Auditing Viewer?action=AUDIT_VALUE&amp;DB=129&amp;ID1=62007630&amp;VALUEID=02001&amp;SDATE=200503&amp;PERIODTYPE=QTR_STD&amp;SCFT=3&amp;window=popup_no_bar&amp;width=385&amp;height=120&amp;START_MAXIMIZED=FALSE&amp;creator=factset&amp;display_string=Audit"}</definedName>
    <definedName name="_3695__FDSAUDITLINK__" hidden="1">{"fdsup://Directions/FactSet Auditing Viewer?action=AUDIT_VALUE&amp;DB=129&amp;ID1=62007630&amp;VALUEID=02001&amp;SDATE=200502&amp;PERIODTYPE=QTR_STD&amp;SCFT=3&amp;window=popup_no_bar&amp;width=385&amp;height=120&amp;START_MAXIMIZED=FALSE&amp;creator=factset&amp;display_string=Audit"}</definedName>
    <definedName name="_3696__FDSAUDITLINK__" hidden="1">{"fdsup://Directions/FactSet Auditing Viewer?action=AUDIT_VALUE&amp;DB=129&amp;ID1=62007630&amp;VALUEID=02001&amp;SDATE=200502&amp;PERIODTYPE=QTR_STD&amp;SCFT=3&amp;window=popup_no_bar&amp;width=385&amp;height=120&amp;START_MAXIMIZED=FALSE&amp;creator=factset&amp;display_string=Audit"}</definedName>
    <definedName name="_3697__FDSAUDITLINK__" hidden="1">{"fdsup://Directions/FactSet Auditing Viewer?action=AUDIT_VALUE&amp;DB=129&amp;ID1=62007630&amp;VALUEID=02001&amp;SDATE=200403&amp;PERIODTYPE=QTR_STD&amp;SCFT=3&amp;window=popup_no_bar&amp;width=385&amp;height=120&amp;START_MAXIMIZED=FALSE&amp;creator=factset&amp;display_string=Audit"}</definedName>
    <definedName name="_3698__FDSAUDITLINK__" hidden="1">{"fdsup://Directions/FactSet Auditing Viewer?action=AUDIT_VALUE&amp;DB=129&amp;ID1=62007630&amp;VALUEID=02001&amp;SDATE=200403&amp;PERIODTYPE=QTR_STD&amp;SCFT=3&amp;window=popup_no_bar&amp;width=385&amp;height=120&amp;START_MAXIMIZED=FALSE&amp;creator=factset&amp;display_string=Audit"}</definedName>
    <definedName name="_3699__FDSAUDITLINK__" hidden="1">{"fdsup://Directions/FactSet Auditing Viewer?action=AUDIT_VALUE&amp;DB=129&amp;ID1=62007630&amp;VALUEID=02001&amp;SDATE=200402&amp;PERIODTYPE=QTR_STD&amp;SCFT=3&amp;window=popup_no_bar&amp;width=385&amp;height=120&amp;START_MAXIMIZED=FALSE&amp;creator=factset&amp;display_string=Audit"}</definedName>
    <definedName name="_37__FDSAUDITLINK__" hidden="1">{"fdsup://Directions/FactSet Auditing Viewer?action=AUDIT_VALUE&amp;DB=129&amp;ID1=74994110&amp;VALUEID=02001&amp;SDATE=201004&amp;PERIODTYPE=QTR_STD&amp;SCFT=3&amp;window=popup_no_bar&amp;width=385&amp;height=120&amp;START_MAXIMIZED=FALSE&amp;creator=factset&amp;display_string=Audit"}</definedName>
    <definedName name="_370__FDSAUDITLINK__" hidden="1">{"fdsup://Directions/FactSet Auditing Viewer?action=AUDIT_VALUE&amp;DB=129&amp;ID1=59501710&amp;VALUEID=02001&amp;SDATE=201002&amp;PERIODTYPE=QTR_STD&amp;SCFT=3&amp;window=popup_no_bar&amp;width=385&amp;height=120&amp;START_MAXIMIZED=FALSE&amp;creator=factset&amp;display_string=Audit"}</definedName>
    <definedName name="_3700__FDSAUDITLINK__" hidden="1">{"fdsup://Directions/FactSet Auditing Viewer?action=AUDIT_VALUE&amp;DB=129&amp;ID1=62007630&amp;VALUEID=02001&amp;SDATE=200402&amp;PERIODTYPE=QTR_STD&amp;SCFT=3&amp;window=popup_no_bar&amp;width=385&amp;height=120&amp;START_MAXIMIZED=FALSE&amp;creator=factset&amp;display_string=Audit"}</definedName>
    <definedName name="_3701__FDSAUDITLINK__" hidden="1">{"fdsup://Directions/FactSet Auditing Viewer?action=AUDIT_VALUE&amp;DB=129&amp;ID1=62007630&amp;VALUEID=02001&amp;SDATE=200401&amp;PERIODTYPE=QTR_STD&amp;SCFT=3&amp;window=popup_no_bar&amp;width=385&amp;height=120&amp;START_MAXIMIZED=FALSE&amp;creator=factset&amp;display_string=Audit"}</definedName>
    <definedName name="_3702__FDSAUDITLINK__" hidden="1">{"fdsup://Directions/FactSet Auditing Viewer?action=AUDIT_VALUE&amp;DB=129&amp;ID1=62007630&amp;VALUEID=02001&amp;SDATE=200401&amp;PERIODTYPE=QTR_STD&amp;SCFT=3&amp;window=popup_no_bar&amp;width=385&amp;height=120&amp;START_MAXIMIZED=FALSE&amp;creator=factset&amp;display_string=Audit"}</definedName>
    <definedName name="_3703__FDSAUDITLINK__" hidden="1">{"fdsup://Directions/FactSet Auditing Viewer?action=AUDIT_VALUE&amp;DB=129&amp;ID1=60456710&amp;VALUEID=02001&amp;SDATE=200803&amp;PERIODTYPE=QTR_STD&amp;SCFT=3&amp;window=popup_no_bar&amp;width=385&amp;height=120&amp;START_MAXIMIZED=FALSE&amp;creator=factset&amp;display_string=Audit"}</definedName>
    <definedName name="_3704__FDSAUDITLINK__" hidden="1">{"fdsup://Directions/FactSet Auditing Viewer?action=AUDIT_VALUE&amp;DB=129&amp;ID1=60456710&amp;VALUEID=02001&amp;SDATE=200803&amp;PERIODTYPE=QTR_STD&amp;SCFT=3&amp;window=popup_no_bar&amp;width=385&amp;height=120&amp;START_MAXIMIZED=FALSE&amp;creator=factset&amp;display_string=Audit"}</definedName>
    <definedName name="_3705__FDSAUDITLINK__" hidden="1">{"fdsup://Directions/FactSet Auditing Viewer?action=AUDIT_VALUE&amp;DB=129&amp;ID1=60456710&amp;VALUEID=02001&amp;SDATE=200802&amp;PERIODTYPE=QTR_STD&amp;SCFT=3&amp;window=popup_no_bar&amp;width=385&amp;height=120&amp;START_MAXIMIZED=FALSE&amp;creator=factset&amp;display_string=Audit"}</definedName>
    <definedName name="_3706__FDSAUDITLINK__" hidden="1">{"fdsup://Directions/FactSet Auditing Viewer?action=AUDIT_VALUE&amp;DB=129&amp;ID1=60456710&amp;VALUEID=02001&amp;SDATE=200802&amp;PERIODTYPE=QTR_STD&amp;SCFT=3&amp;window=popup_no_bar&amp;width=385&amp;height=120&amp;START_MAXIMIZED=FALSE&amp;creator=factset&amp;display_string=Audit"}</definedName>
    <definedName name="_3707__FDSAUDITLINK__" hidden="1">{"fdsup://Directions/FactSet Auditing Viewer?action=AUDIT_VALUE&amp;DB=129&amp;ID1=60456710&amp;VALUEID=02001&amp;SDATE=200801&amp;PERIODTYPE=QTR_STD&amp;SCFT=3&amp;window=popup_no_bar&amp;width=385&amp;height=120&amp;START_MAXIMIZED=FALSE&amp;creator=factset&amp;display_string=Audit"}</definedName>
    <definedName name="_3708__FDSAUDITLINK__" hidden="1">{"fdsup://Directions/FactSet Auditing Viewer?action=AUDIT_VALUE&amp;DB=129&amp;ID1=60456710&amp;VALUEID=02001&amp;SDATE=200801&amp;PERIODTYPE=QTR_STD&amp;SCFT=3&amp;window=popup_no_bar&amp;width=385&amp;height=120&amp;START_MAXIMIZED=FALSE&amp;creator=factset&amp;display_string=Audit"}</definedName>
    <definedName name="_3709__FDSAUDITLINK__" hidden="1">{"fdsup://Directions/FactSet Auditing Viewer?action=AUDIT_VALUE&amp;DB=129&amp;ID1=60456710&amp;VALUEID=02001&amp;SDATE=200703&amp;PERIODTYPE=QTR_STD&amp;SCFT=3&amp;window=popup_no_bar&amp;width=385&amp;height=120&amp;START_MAXIMIZED=FALSE&amp;creator=factset&amp;display_string=Audit"}</definedName>
    <definedName name="_371__FDSAUDITLINK__" hidden="1">{"fdsup://Directions/FactSet Auditing Viewer?action=AUDIT_VALUE&amp;DB=129&amp;ID1=50216110&amp;VALUEID=02001&amp;SDATE=201003&amp;PERIODTYPE=QTR_STD&amp;SCFT=3&amp;window=popup_no_bar&amp;width=385&amp;height=120&amp;START_MAXIMIZED=FALSE&amp;creator=factset&amp;display_string=Audit"}</definedName>
    <definedName name="_3710__FDSAUDITLINK__" hidden="1">{"fdsup://Directions/FactSet Auditing Viewer?action=AUDIT_VALUE&amp;DB=129&amp;ID1=60456710&amp;VALUEID=02001&amp;SDATE=200703&amp;PERIODTYPE=QTR_STD&amp;SCFT=3&amp;window=popup_no_bar&amp;width=385&amp;height=120&amp;START_MAXIMIZED=FALSE&amp;creator=factset&amp;display_string=Audit"}</definedName>
    <definedName name="_3711__FDSAUDITLINK__" hidden="1">{"fdsup://Directions/FactSet Auditing Viewer?action=AUDIT_VALUE&amp;DB=129&amp;ID1=60456710&amp;VALUEID=02001&amp;SDATE=200702&amp;PERIODTYPE=QTR_STD&amp;SCFT=3&amp;window=popup_no_bar&amp;width=385&amp;height=120&amp;START_MAXIMIZED=FALSE&amp;creator=factset&amp;display_string=Audit"}</definedName>
    <definedName name="_3712__FDSAUDITLINK__" hidden="1">{"fdsup://Directions/FactSet Auditing Viewer?action=AUDIT_VALUE&amp;DB=129&amp;ID1=60456710&amp;VALUEID=02001&amp;SDATE=200702&amp;PERIODTYPE=QTR_STD&amp;SCFT=3&amp;window=popup_no_bar&amp;width=385&amp;height=120&amp;START_MAXIMIZED=FALSE&amp;creator=factset&amp;display_string=Audit"}</definedName>
    <definedName name="_3713__FDSAUDITLINK__" hidden="1">{"fdsup://Directions/FactSet Auditing Viewer?action=AUDIT_VALUE&amp;DB=129&amp;ID1=60456710&amp;VALUEID=02001&amp;SDATE=200701&amp;PERIODTYPE=QTR_STD&amp;SCFT=3&amp;window=popup_no_bar&amp;width=385&amp;height=120&amp;START_MAXIMIZED=FALSE&amp;creator=factset&amp;display_string=Audit"}</definedName>
    <definedName name="_3714__FDSAUDITLINK__" hidden="1">{"fdsup://Directions/FactSet Auditing Viewer?action=AUDIT_VALUE&amp;DB=129&amp;ID1=60456710&amp;VALUEID=02001&amp;SDATE=200701&amp;PERIODTYPE=QTR_STD&amp;SCFT=3&amp;window=popup_no_bar&amp;width=385&amp;height=120&amp;START_MAXIMIZED=FALSE&amp;creator=factset&amp;display_string=Audit"}</definedName>
    <definedName name="_3715__FDSAUDITLINK__" hidden="1">{"fdsup://Directions/FactSet Auditing Viewer?action=AUDIT_VALUE&amp;DB=129&amp;ID1=60456710&amp;VALUEID=02001&amp;SDATE=200603&amp;PERIODTYPE=QTR_STD&amp;SCFT=3&amp;window=popup_no_bar&amp;width=385&amp;height=120&amp;START_MAXIMIZED=FALSE&amp;creator=factset&amp;display_string=Audit"}</definedName>
    <definedName name="_3716__FDSAUDITLINK__" hidden="1">{"fdsup://Directions/FactSet Auditing Viewer?action=AUDIT_VALUE&amp;DB=129&amp;ID1=60456710&amp;VALUEID=02001&amp;SDATE=200603&amp;PERIODTYPE=QTR_STD&amp;SCFT=3&amp;window=popup_no_bar&amp;width=385&amp;height=120&amp;START_MAXIMIZED=FALSE&amp;creator=factset&amp;display_string=Audit"}</definedName>
    <definedName name="_3717__FDSAUDITLINK__" hidden="1">{"fdsup://Directions/FactSet Auditing Viewer?action=AUDIT_VALUE&amp;DB=129&amp;ID1=60456710&amp;VALUEID=02001&amp;SDATE=200602&amp;PERIODTYPE=QTR_STD&amp;SCFT=3&amp;window=popup_no_bar&amp;width=385&amp;height=120&amp;START_MAXIMIZED=FALSE&amp;creator=factset&amp;display_string=Audit"}</definedName>
    <definedName name="_3718__FDSAUDITLINK__" hidden="1">{"fdsup://Directions/FactSet Auditing Viewer?action=AUDIT_VALUE&amp;DB=129&amp;ID1=60456710&amp;VALUEID=02001&amp;SDATE=200602&amp;PERIODTYPE=QTR_STD&amp;SCFT=3&amp;window=popup_no_bar&amp;width=385&amp;height=120&amp;START_MAXIMIZED=FALSE&amp;creator=factset&amp;display_string=Audit"}</definedName>
    <definedName name="_3719__FDSAUDITLINK__" hidden="1">{"fdsup://Directions/FactSet Auditing Viewer?action=AUDIT_VALUE&amp;DB=129&amp;ID1=60456710&amp;VALUEID=02001&amp;SDATE=200601&amp;PERIODTYPE=QTR_STD&amp;SCFT=3&amp;window=popup_no_bar&amp;width=385&amp;height=120&amp;START_MAXIMIZED=FALSE&amp;creator=factset&amp;display_string=Audit"}</definedName>
    <definedName name="_372__FDSAUDITLINK__" hidden="1">{"fdsup://Directions/FactSet Auditing Viewer?action=AUDIT_VALUE&amp;DB=129&amp;ID1=50216110&amp;VALUEID=02001&amp;SDATE=201003&amp;PERIODTYPE=QTR_STD&amp;SCFT=3&amp;window=popup_no_bar&amp;width=385&amp;height=120&amp;START_MAXIMIZED=FALSE&amp;creator=factset&amp;display_string=Audit"}</definedName>
    <definedName name="_3720__FDSAUDITLINK__" hidden="1">{"fdsup://Directions/FactSet Auditing Viewer?action=AUDIT_VALUE&amp;DB=129&amp;ID1=60456710&amp;VALUEID=02001&amp;SDATE=200601&amp;PERIODTYPE=QTR_STD&amp;SCFT=3&amp;window=popup_no_bar&amp;width=385&amp;height=120&amp;START_MAXIMIZED=FALSE&amp;creator=factset&amp;display_string=Audit"}</definedName>
    <definedName name="_3721__FDSAUDITLINK__" hidden="1">{"fdsup://Directions/FactSet Auditing Viewer?action=AUDIT_VALUE&amp;DB=129&amp;ID1=60456710&amp;VALUEID=02001&amp;SDATE=200503&amp;PERIODTYPE=QTR_STD&amp;SCFT=3&amp;window=popup_no_bar&amp;width=385&amp;height=120&amp;START_MAXIMIZED=FALSE&amp;creator=factset&amp;display_string=Audit"}</definedName>
    <definedName name="_3722__FDSAUDITLINK__" hidden="1">{"fdsup://Directions/FactSet Auditing Viewer?action=AUDIT_VALUE&amp;DB=129&amp;ID1=60456710&amp;VALUEID=02001&amp;SDATE=200503&amp;PERIODTYPE=QTR_STD&amp;SCFT=3&amp;window=popup_no_bar&amp;width=385&amp;height=120&amp;START_MAXIMIZED=FALSE&amp;creator=factset&amp;display_string=Audit"}</definedName>
    <definedName name="_3723__FDSAUDITLINK__" hidden="1">{"fdsup://Directions/FactSet Auditing Viewer?action=AUDIT_VALUE&amp;DB=129&amp;ID1=60456710&amp;VALUEID=02001&amp;SDATE=200502&amp;PERIODTYPE=QTR_STD&amp;SCFT=3&amp;window=popup_no_bar&amp;width=385&amp;height=120&amp;START_MAXIMIZED=FALSE&amp;creator=factset&amp;display_string=Audit"}</definedName>
    <definedName name="_3724__FDSAUDITLINK__" hidden="1">{"fdsup://Directions/FactSet Auditing Viewer?action=AUDIT_VALUE&amp;DB=129&amp;ID1=60456710&amp;VALUEID=02001&amp;SDATE=200502&amp;PERIODTYPE=QTR_STD&amp;SCFT=3&amp;window=popup_no_bar&amp;width=385&amp;height=120&amp;START_MAXIMIZED=FALSE&amp;creator=factset&amp;display_string=Audit"}</definedName>
    <definedName name="_3725__FDSAUDITLINK__" hidden="1">{"fdsup://Directions/FactSet Auditing Viewer?action=AUDIT_VALUE&amp;DB=129&amp;ID1=60456710&amp;VALUEID=02001&amp;SDATE=200501&amp;PERIODTYPE=QTR_STD&amp;SCFT=3&amp;window=popup_no_bar&amp;width=385&amp;height=120&amp;START_MAXIMIZED=FALSE&amp;creator=factset&amp;display_string=Audit"}</definedName>
    <definedName name="_3726__FDSAUDITLINK__" hidden="1">{"fdsup://Directions/FactSet Auditing Viewer?action=AUDIT_VALUE&amp;DB=129&amp;ID1=60456710&amp;VALUEID=02001&amp;SDATE=200501&amp;PERIODTYPE=QTR_STD&amp;SCFT=3&amp;window=popup_no_bar&amp;width=385&amp;height=120&amp;START_MAXIMIZED=FALSE&amp;creator=factset&amp;display_string=Audit"}</definedName>
    <definedName name="_3727__FDSAUDITLINK__" hidden="1">{"fdsup://Directions/FactSet Auditing Viewer?action=AUDIT_VALUE&amp;DB=129&amp;ID1=60456710&amp;VALUEID=02001&amp;SDATE=200403&amp;PERIODTYPE=QTR_STD&amp;SCFT=3&amp;window=popup_no_bar&amp;width=385&amp;height=120&amp;START_MAXIMIZED=FALSE&amp;creator=factset&amp;display_string=Audit"}</definedName>
    <definedName name="_3728__FDSAUDITLINK__" hidden="1">{"fdsup://Directions/FactSet Auditing Viewer?action=AUDIT_VALUE&amp;DB=129&amp;ID1=60456710&amp;VALUEID=02001&amp;SDATE=200403&amp;PERIODTYPE=QTR_STD&amp;SCFT=3&amp;window=popup_no_bar&amp;width=385&amp;height=120&amp;START_MAXIMIZED=FALSE&amp;creator=factset&amp;display_string=Audit"}</definedName>
    <definedName name="_3729__FDSAUDITLINK__" hidden="1">{"fdsup://Directions/FactSet Auditing Viewer?action=AUDIT_VALUE&amp;DB=129&amp;ID1=59479310&amp;VALUEID=02001&amp;SDATE=200801&amp;PERIODTYPE=QTR_STD&amp;SCFT=3&amp;window=popup_no_bar&amp;width=385&amp;height=120&amp;START_MAXIMIZED=FALSE&amp;creator=factset&amp;display_string=Audit"}</definedName>
    <definedName name="_373__FDSAUDITLINK__" hidden="1">{"fdsup://Directions/FactSet Auditing Viewer?action=AUDIT_VALUE&amp;DB=129&amp;ID1=51841510&amp;VALUEID=02001&amp;SDATE=201003&amp;PERIODTYPE=QTR_STD&amp;SCFT=3&amp;window=popup_no_bar&amp;width=385&amp;height=120&amp;START_MAXIMIZED=FALSE&amp;creator=factset&amp;display_string=Audit"}</definedName>
    <definedName name="_3730__FDSAUDITLINK__" hidden="1">{"fdsup://Directions/FactSet Auditing Viewer?action=AUDIT_VALUE&amp;DB=129&amp;ID1=59479310&amp;VALUEID=02001&amp;SDATE=200801&amp;PERIODTYPE=QTR_STD&amp;SCFT=3&amp;window=popup_no_bar&amp;width=385&amp;height=120&amp;START_MAXIMIZED=FALSE&amp;creator=factset&amp;display_string=Audit"}</definedName>
    <definedName name="_3731__FDSAUDITLINK__" hidden="1">{"fdsup://Directions/FactSet Auditing Viewer?action=AUDIT_VALUE&amp;DB=129&amp;ID1=59479310&amp;VALUEID=02001&amp;SDATE=200703&amp;PERIODTYPE=QTR_STD&amp;SCFT=3&amp;window=popup_no_bar&amp;width=385&amp;height=120&amp;START_MAXIMIZED=FALSE&amp;creator=factset&amp;display_string=Audit"}</definedName>
    <definedName name="_3732__FDSAUDITLINK__" hidden="1">{"fdsup://Directions/FactSet Auditing Viewer?action=AUDIT_VALUE&amp;DB=129&amp;ID1=59479310&amp;VALUEID=02001&amp;SDATE=200703&amp;PERIODTYPE=QTR_STD&amp;SCFT=3&amp;window=popup_no_bar&amp;width=385&amp;height=120&amp;START_MAXIMIZED=FALSE&amp;creator=factset&amp;display_string=Audit"}</definedName>
    <definedName name="_3733__FDSAUDITLINK__" hidden="1">{"fdsup://Directions/FactSet Auditing Viewer?action=AUDIT_VALUE&amp;DB=129&amp;ID1=59479310&amp;VALUEID=02001&amp;SDATE=200702&amp;PERIODTYPE=QTR_STD&amp;SCFT=3&amp;window=popup_no_bar&amp;width=385&amp;height=120&amp;START_MAXIMIZED=FALSE&amp;creator=factset&amp;display_string=Audit"}</definedName>
    <definedName name="_3734__FDSAUDITLINK__" hidden="1">{"fdsup://Directions/FactSet Auditing Viewer?action=AUDIT_VALUE&amp;DB=129&amp;ID1=59479310&amp;VALUEID=02001&amp;SDATE=200702&amp;PERIODTYPE=QTR_STD&amp;SCFT=3&amp;window=popup_no_bar&amp;width=385&amp;height=120&amp;START_MAXIMIZED=FALSE&amp;creator=factset&amp;display_string=Audit"}</definedName>
    <definedName name="_3735__FDSAUDITLINK__" hidden="1">{"fdsup://Directions/FactSet Auditing Viewer?action=AUDIT_VALUE&amp;DB=129&amp;ID1=59479310&amp;VALUEID=02001&amp;SDATE=200701&amp;PERIODTYPE=QTR_STD&amp;SCFT=3&amp;window=popup_no_bar&amp;width=385&amp;height=120&amp;START_MAXIMIZED=FALSE&amp;creator=factset&amp;display_string=Audit"}</definedName>
    <definedName name="_3736__FDSAUDITLINK__" hidden="1">{"fdsup://Directions/FactSet Auditing Viewer?action=AUDIT_VALUE&amp;DB=129&amp;ID1=59479310&amp;VALUEID=02001&amp;SDATE=200701&amp;PERIODTYPE=QTR_STD&amp;SCFT=3&amp;window=popup_no_bar&amp;width=385&amp;height=120&amp;START_MAXIMIZED=FALSE&amp;creator=factset&amp;display_string=Audit"}</definedName>
    <definedName name="_3737__FDSAUDITLINK__" hidden="1">{"fdsup://Directions/FactSet Auditing Viewer?action=AUDIT_VALUE&amp;DB=129&amp;ID1=59479310&amp;VALUEID=02001&amp;SDATE=200603&amp;PERIODTYPE=QTR_STD&amp;SCFT=3&amp;window=popup_no_bar&amp;width=385&amp;height=120&amp;START_MAXIMIZED=FALSE&amp;creator=factset&amp;display_string=Audit"}</definedName>
    <definedName name="_3738__FDSAUDITLINK__" hidden="1">{"fdsup://Directions/FactSet Auditing Viewer?action=AUDIT_VALUE&amp;DB=129&amp;ID1=59479310&amp;VALUEID=02001&amp;SDATE=200603&amp;PERIODTYPE=QTR_STD&amp;SCFT=3&amp;window=popup_no_bar&amp;width=385&amp;height=120&amp;START_MAXIMIZED=FALSE&amp;creator=factset&amp;display_string=Audit"}</definedName>
    <definedName name="_3739__FDSAUDITLINK__" hidden="1">{"fdsup://Directions/FactSet Auditing Viewer?action=AUDIT_VALUE&amp;DB=129&amp;ID1=59479310&amp;VALUEID=02001&amp;SDATE=200602&amp;PERIODTYPE=QTR_STD&amp;SCFT=3&amp;window=popup_no_bar&amp;width=385&amp;height=120&amp;START_MAXIMIZED=FALSE&amp;creator=factset&amp;display_string=Audit"}</definedName>
    <definedName name="_374__FDSAUDITLINK__" hidden="1">{"fdsup://Directions/FactSet Auditing Viewer?action=AUDIT_VALUE&amp;DB=129&amp;ID1=51841510&amp;VALUEID=02001&amp;SDATE=201003&amp;PERIODTYPE=QTR_STD&amp;SCFT=3&amp;window=popup_no_bar&amp;width=385&amp;height=120&amp;START_MAXIMIZED=FALSE&amp;creator=factset&amp;display_string=Audit"}</definedName>
    <definedName name="_3740__FDSAUDITLINK__" hidden="1">{"fdsup://Directions/FactSet Auditing Viewer?action=AUDIT_VALUE&amp;DB=129&amp;ID1=59479310&amp;VALUEID=02001&amp;SDATE=200602&amp;PERIODTYPE=QTR_STD&amp;SCFT=3&amp;window=popup_no_bar&amp;width=385&amp;height=120&amp;START_MAXIMIZED=FALSE&amp;creator=factset&amp;display_string=Audit"}</definedName>
    <definedName name="_3741__FDSAUDITLINK__" hidden="1">{"fdsup://Directions/FactSet Auditing Viewer?action=AUDIT_VALUE&amp;DB=129&amp;ID1=59479310&amp;VALUEID=02001&amp;SDATE=200601&amp;PERIODTYPE=QTR_STD&amp;SCFT=3&amp;window=popup_no_bar&amp;width=385&amp;height=120&amp;START_MAXIMIZED=FALSE&amp;creator=factset&amp;display_string=Audit"}</definedName>
    <definedName name="_3742__FDSAUDITLINK__" hidden="1">{"fdsup://Directions/FactSet Auditing Viewer?action=AUDIT_VALUE&amp;DB=129&amp;ID1=59479310&amp;VALUEID=02001&amp;SDATE=200601&amp;PERIODTYPE=QTR_STD&amp;SCFT=3&amp;window=popup_no_bar&amp;width=385&amp;height=120&amp;START_MAXIMIZED=FALSE&amp;creator=factset&amp;display_string=Audit"}</definedName>
    <definedName name="_3743__FDSAUDITLINK__" hidden="1">{"fdsup://Directions/FactSet Auditing Viewer?action=AUDIT_VALUE&amp;DB=129&amp;ID1=59479310&amp;VALUEID=02001&amp;SDATE=200502&amp;PERIODTYPE=QTR_STD&amp;SCFT=3&amp;window=popup_no_bar&amp;width=385&amp;height=120&amp;START_MAXIMIZED=FALSE&amp;creator=factset&amp;display_string=Audit"}</definedName>
    <definedName name="_3744__FDSAUDITLINK__" hidden="1">{"fdsup://Directions/FactSet Auditing Viewer?action=AUDIT_VALUE&amp;DB=129&amp;ID1=59479310&amp;VALUEID=02001&amp;SDATE=200502&amp;PERIODTYPE=QTR_STD&amp;SCFT=3&amp;window=popup_no_bar&amp;width=385&amp;height=120&amp;START_MAXIMIZED=FALSE&amp;creator=factset&amp;display_string=Audit"}</definedName>
    <definedName name="_3745__FDSAUDITLINK__" hidden="1">{"fdsup://Directions/FactSet Auditing Viewer?action=AUDIT_VALUE&amp;DB=129&amp;ID1=59479310&amp;VALUEID=02001&amp;SDATE=200501&amp;PERIODTYPE=QTR_STD&amp;SCFT=3&amp;window=popup_no_bar&amp;width=385&amp;height=120&amp;START_MAXIMIZED=FALSE&amp;creator=factset&amp;display_string=Audit"}</definedName>
    <definedName name="_3746__FDSAUDITLINK__" hidden="1">{"fdsup://Directions/FactSet Auditing Viewer?action=AUDIT_VALUE&amp;DB=129&amp;ID1=59479310&amp;VALUEID=02001&amp;SDATE=200501&amp;PERIODTYPE=QTR_STD&amp;SCFT=3&amp;window=popup_no_bar&amp;width=385&amp;height=120&amp;START_MAXIMIZED=FALSE&amp;creator=factset&amp;display_string=Audit"}</definedName>
    <definedName name="_3747__FDSAUDITLINK__" hidden="1">{"fdsup://Directions/FactSet Auditing Viewer?action=AUDIT_VALUE&amp;DB=129&amp;ID1=59479310&amp;VALUEID=02001&amp;SDATE=200403&amp;PERIODTYPE=QTR_STD&amp;SCFT=3&amp;window=popup_no_bar&amp;width=385&amp;height=120&amp;START_MAXIMIZED=FALSE&amp;creator=factset&amp;display_string=Audit"}</definedName>
    <definedName name="_3748__FDSAUDITLINK__" hidden="1">{"fdsup://Directions/FactSet Auditing Viewer?action=AUDIT_VALUE&amp;DB=129&amp;ID1=59479310&amp;VALUEID=02001&amp;SDATE=200403&amp;PERIODTYPE=QTR_STD&amp;SCFT=3&amp;window=popup_no_bar&amp;width=385&amp;height=120&amp;START_MAXIMIZED=FALSE&amp;creator=factset&amp;display_string=Audit"}</definedName>
    <definedName name="_3749__FDSAUDITLINK__" hidden="1">{"fdsup://Directions/FactSet Auditing Viewer?action=AUDIT_VALUE&amp;DB=129&amp;ID1=59479310&amp;VALUEID=02001&amp;SDATE=200402&amp;PERIODTYPE=QTR_STD&amp;SCFT=3&amp;window=popup_no_bar&amp;width=385&amp;height=120&amp;START_MAXIMIZED=FALSE&amp;creator=factset&amp;display_string=Audit"}</definedName>
    <definedName name="_375__FDSAUDITLINK__" hidden="1">{"fdsup://Directions/FactSet Auditing Viewer?action=AUDIT_VALUE&amp;DB=129&amp;ID1=51280710&amp;VALUEID=02001&amp;SDATE=201101&amp;PERIODTYPE=QTR_STD&amp;SCFT=3&amp;window=popup_no_bar&amp;width=385&amp;height=120&amp;START_MAXIMIZED=FALSE&amp;creator=factset&amp;display_string=Audit"}</definedName>
    <definedName name="_3750__FDSAUDITLINK__" hidden="1">{"fdsup://Directions/FactSet Auditing Viewer?action=AUDIT_VALUE&amp;DB=129&amp;ID1=59479310&amp;VALUEID=02001&amp;SDATE=200402&amp;PERIODTYPE=QTR_STD&amp;SCFT=3&amp;window=popup_no_bar&amp;width=385&amp;height=120&amp;START_MAXIMIZED=FALSE&amp;creator=factset&amp;display_string=Audit"}</definedName>
    <definedName name="_3751__FDSAUDITLINK__" hidden="1">{"fdsup://Directions/FactSet Auditing Viewer?action=AUDIT_VALUE&amp;DB=129&amp;ID1=59479310&amp;VALUEID=02001&amp;SDATE=200401&amp;PERIODTYPE=QTR_STD&amp;SCFT=3&amp;window=popup_no_bar&amp;width=385&amp;height=120&amp;START_MAXIMIZED=FALSE&amp;creator=factset&amp;display_string=Audit"}</definedName>
    <definedName name="_3752__FDSAUDITLINK__" hidden="1">{"fdsup://Directions/FactSet Auditing Viewer?action=AUDIT_VALUE&amp;DB=129&amp;ID1=59479310&amp;VALUEID=02001&amp;SDATE=200401&amp;PERIODTYPE=QTR_STD&amp;SCFT=3&amp;window=popup_no_bar&amp;width=385&amp;height=120&amp;START_MAXIMIZED=FALSE&amp;creator=factset&amp;display_string=Audit"}</definedName>
    <definedName name="_3753__FDSAUDITLINK__" hidden="1">{"fdsup://Directions/FactSet Auditing Viewer?action=AUDIT_VALUE&amp;DB=129&amp;ID1=59501710&amp;VALUEID=02001&amp;SDATE=200704&amp;PERIODTYPE=QTR_STD&amp;SCFT=3&amp;window=popup_no_bar&amp;width=385&amp;height=120&amp;START_MAXIMIZED=FALSE&amp;creator=factset&amp;display_string=Audit"}</definedName>
    <definedName name="_3754__FDSAUDITLINK__" hidden="1">{"fdsup://Directions/FactSet Auditing Viewer?action=AUDIT_VALUE&amp;DB=129&amp;ID1=59501710&amp;VALUEID=02001&amp;SDATE=200704&amp;PERIODTYPE=QTR_STD&amp;SCFT=3&amp;window=popup_no_bar&amp;width=385&amp;height=120&amp;START_MAXIMIZED=FALSE&amp;creator=factset&amp;display_string=Audit"}</definedName>
    <definedName name="_3755__FDSAUDITLINK__" hidden="1">{"fdsup://Directions/FactSet Auditing Viewer?action=AUDIT_VALUE&amp;DB=129&amp;ID1=59501710&amp;VALUEID=02001&amp;SDATE=200703&amp;PERIODTYPE=QTR_STD&amp;SCFT=3&amp;window=popup_no_bar&amp;width=385&amp;height=120&amp;START_MAXIMIZED=FALSE&amp;creator=factset&amp;display_string=Audit"}</definedName>
    <definedName name="_3756__FDSAUDITLINK__" hidden="1">{"fdsup://Directions/FactSet Auditing Viewer?action=AUDIT_VALUE&amp;DB=129&amp;ID1=59501710&amp;VALUEID=02001&amp;SDATE=200703&amp;PERIODTYPE=QTR_STD&amp;SCFT=3&amp;window=popup_no_bar&amp;width=385&amp;height=120&amp;START_MAXIMIZED=FALSE&amp;creator=factset&amp;display_string=Audit"}</definedName>
    <definedName name="_3757__FDSAUDITLINK__" hidden="1">{"fdsup://Directions/FactSet Auditing Viewer?action=AUDIT_VALUE&amp;DB=129&amp;ID1=59501710&amp;VALUEID=02001&amp;SDATE=200702&amp;PERIODTYPE=QTR_STD&amp;SCFT=3&amp;window=popup_no_bar&amp;width=385&amp;height=120&amp;START_MAXIMIZED=FALSE&amp;creator=factset&amp;display_string=Audit"}</definedName>
    <definedName name="_3758__FDSAUDITLINK__" hidden="1">{"fdsup://Directions/FactSet Auditing Viewer?action=AUDIT_VALUE&amp;DB=129&amp;ID1=59501710&amp;VALUEID=02001&amp;SDATE=200702&amp;PERIODTYPE=QTR_STD&amp;SCFT=3&amp;window=popup_no_bar&amp;width=385&amp;height=120&amp;START_MAXIMIZED=FALSE&amp;creator=factset&amp;display_string=Audit"}</definedName>
    <definedName name="_3759__FDSAUDITLINK__" hidden="1">{"fdsup://Directions/FactSet Auditing Viewer?action=AUDIT_VALUE&amp;DB=129&amp;ID1=59501710&amp;VALUEID=02001&amp;SDATE=200701&amp;PERIODTYPE=QTR_STD&amp;SCFT=3&amp;window=popup_no_bar&amp;width=385&amp;height=120&amp;START_MAXIMIZED=FALSE&amp;creator=factset&amp;display_string=Audit"}</definedName>
    <definedName name="_376__FDSAUDITLINK__" hidden="1">{"fdsup://Directions/FactSet Auditing Viewer?action=AUDIT_VALUE&amp;DB=129&amp;ID1=51280710&amp;VALUEID=02001&amp;SDATE=201101&amp;PERIODTYPE=QTR_STD&amp;SCFT=3&amp;window=popup_no_bar&amp;width=385&amp;height=120&amp;START_MAXIMIZED=FALSE&amp;creator=factset&amp;display_string=Audit"}</definedName>
    <definedName name="_3760__FDSAUDITLINK__" hidden="1">{"fdsup://Directions/FactSet Auditing Viewer?action=AUDIT_VALUE&amp;DB=129&amp;ID1=59501710&amp;VALUEID=02001&amp;SDATE=200701&amp;PERIODTYPE=QTR_STD&amp;SCFT=3&amp;window=popup_no_bar&amp;width=385&amp;height=120&amp;START_MAXIMIZED=FALSE&amp;creator=factset&amp;display_string=Audit"}</definedName>
    <definedName name="_3761__FDSAUDITLINK__" hidden="1">{"fdsup://Directions/FactSet Auditing Viewer?action=AUDIT_VALUE&amp;DB=129&amp;ID1=59501710&amp;VALUEID=02001&amp;SDATE=200603&amp;PERIODTYPE=QTR_STD&amp;SCFT=3&amp;window=popup_no_bar&amp;width=385&amp;height=120&amp;START_MAXIMIZED=FALSE&amp;creator=factset&amp;display_string=Audit"}</definedName>
    <definedName name="_3762__FDSAUDITLINK__" hidden="1">{"fdsup://Directions/FactSet Auditing Viewer?action=AUDIT_VALUE&amp;DB=129&amp;ID1=59501710&amp;VALUEID=02001&amp;SDATE=200603&amp;PERIODTYPE=QTR_STD&amp;SCFT=3&amp;window=popup_no_bar&amp;width=385&amp;height=120&amp;START_MAXIMIZED=FALSE&amp;creator=factset&amp;display_string=Audit"}</definedName>
    <definedName name="_3763__FDSAUDITLINK__" hidden="1">{"fdsup://Directions/FactSet Auditing Viewer?action=AUDIT_VALUE&amp;DB=129&amp;ID1=59501710&amp;VALUEID=02001&amp;SDATE=200602&amp;PERIODTYPE=QTR_STD&amp;SCFT=3&amp;window=popup_no_bar&amp;width=385&amp;height=120&amp;START_MAXIMIZED=FALSE&amp;creator=factset&amp;display_string=Audit"}</definedName>
    <definedName name="_3764__FDSAUDITLINK__" hidden="1">{"fdsup://Directions/FactSet Auditing Viewer?action=AUDIT_VALUE&amp;DB=129&amp;ID1=59501710&amp;VALUEID=02001&amp;SDATE=200602&amp;PERIODTYPE=QTR_STD&amp;SCFT=3&amp;window=popup_no_bar&amp;width=385&amp;height=120&amp;START_MAXIMIZED=FALSE&amp;creator=factset&amp;display_string=Audit"}</definedName>
    <definedName name="_3765__FDSAUDITLINK__" hidden="1">{"fdsup://Directions/FactSet Auditing Viewer?action=AUDIT_VALUE&amp;DB=129&amp;ID1=59501710&amp;VALUEID=02001&amp;SDATE=200601&amp;PERIODTYPE=QTR_STD&amp;SCFT=3&amp;window=popup_no_bar&amp;width=385&amp;height=120&amp;START_MAXIMIZED=FALSE&amp;creator=factset&amp;display_string=Audit"}</definedName>
    <definedName name="_3766__FDSAUDITLINK__" hidden="1">{"fdsup://Directions/FactSet Auditing Viewer?action=AUDIT_VALUE&amp;DB=129&amp;ID1=59501710&amp;VALUEID=02001&amp;SDATE=200601&amp;PERIODTYPE=QTR_STD&amp;SCFT=3&amp;window=popup_no_bar&amp;width=385&amp;height=120&amp;START_MAXIMIZED=FALSE&amp;creator=factset&amp;display_string=Audit"}</definedName>
    <definedName name="_3767__FDSAUDITLINK__" hidden="1">{"fdsup://Directions/FactSet Auditing Viewer?action=AUDIT_VALUE&amp;DB=129&amp;ID1=59501710&amp;VALUEID=02001&amp;SDATE=200503&amp;PERIODTYPE=QTR_STD&amp;SCFT=3&amp;window=popup_no_bar&amp;width=385&amp;height=120&amp;START_MAXIMIZED=FALSE&amp;creator=factset&amp;display_string=Audit"}</definedName>
    <definedName name="_3768__FDSAUDITLINK__" hidden="1">{"fdsup://Directions/FactSet Auditing Viewer?action=AUDIT_VALUE&amp;DB=129&amp;ID1=59501710&amp;VALUEID=02001&amp;SDATE=200503&amp;PERIODTYPE=QTR_STD&amp;SCFT=3&amp;window=popup_no_bar&amp;width=385&amp;height=120&amp;START_MAXIMIZED=FALSE&amp;creator=factset&amp;display_string=Audit"}</definedName>
    <definedName name="_3769__FDSAUDITLINK__" hidden="1">{"fdsup://Directions/FactSet Auditing Viewer?action=AUDIT_VALUE&amp;DB=129&amp;ID1=59501710&amp;VALUEID=02001&amp;SDATE=200502&amp;PERIODTYPE=QTR_STD&amp;SCFT=3&amp;window=popup_no_bar&amp;width=385&amp;height=120&amp;START_MAXIMIZED=FALSE&amp;creator=factset&amp;display_string=Audit"}</definedName>
    <definedName name="_377__FDSAUDITLINK__" hidden="1">{"fdsup://Directions/FactSet Auditing Viewer?action=AUDIT_VALUE&amp;DB=129&amp;ID1=53567810&amp;VALUEID=02001&amp;SDATE=201101&amp;PERIODTYPE=QTR_STD&amp;SCFT=3&amp;window=popup_no_bar&amp;width=385&amp;height=120&amp;START_MAXIMIZED=FALSE&amp;creator=factset&amp;display_string=Audit"}</definedName>
    <definedName name="_3770__FDSAUDITLINK__" hidden="1">{"fdsup://Directions/FactSet Auditing Viewer?action=AUDIT_VALUE&amp;DB=129&amp;ID1=59501710&amp;VALUEID=02001&amp;SDATE=200502&amp;PERIODTYPE=QTR_STD&amp;SCFT=3&amp;window=popup_no_bar&amp;width=385&amp;height=120&amp;START_MAXIMIZED=FALSE&amp;creator=factset&amp;display_string=Audit"}</definedName>
    <definedName name="_3771__FDSAUDITLINK__" hidden="1">{"fdsup://Directions/FactSet Auditing Viewer?action=AUDIT_VALUE&amp;DB=129&amp;ID1=59501710&amp;VALUEID=02001&amp;SDATE=200501&amp;PERIODTYPE=QTR_STD&amp;SCFT=3&amp;window=popup_no_bar&amp;width=385&amp;height=120&amp;START_MAXIMIZED=FALSE&amp;creator=factset&amp;display_string=Audit"}</definedName>
    <definedName name="_3772__FDSAUDITLINK__" hidden="1">{"fdsup://Directions/FactSet Auditing Viewer?action=AUDIT_VALUE&amp;DB=129&amp;ID1=59501710&amp;VALUEID=02001&amp;SDATE=200501&amp;PERIODTYPE=QTR_STD&amp;SCFT=3&amp;window=popup_no_bar&amp;width=385&amp;height=120&amp;START_MAXIMIZED=FALSE&amp;creator=factset&amp;display_string=Audit"}</definedName>
    <definedName name="_3773__FDSAUDITLINK__" hidden="1">{"fdsup://Directions/FactSet Auditing Viewer?action=AUDIT_VALUE&amp;DB=129&amp;ID1=59501710&amp;VALUEID=02001&amp;SDATE=200403&amp;PERIODTYPE=QTR_STD&amp;SCFT=3&amp;window=popup_no_bar&amp;width=385&amp;height=120&amp;START_MAXIMIZED=FALSE&amp;creator=factset&amp;display_string=Audit"}</definedName>
    <definedName name="_3774__FDSAUDITLINK__" hidden="1">{"fdsup://Directions/FactSet Auditing Viewer?action=AUDIT_VALUE&amp;DB=129&amp;ID1=59501710&amp;VALUEID=02001&amp;SDATE=200403&amp;PERIODTYPE=QTR_STD&amp;SCFT=3&amp;window=popup_no_bar&amp;width=385&amp;height=120&amp;START_MAXIMIZED=FALSE&amp;creator=factset&amp;display_string=Audit"}</definedName>
    <definedName name="_3775__FDSAUDITLINK__" hidden="1">{"fdsup://Directions/FactSet Auditing Viewer?action=AUDIT_VALUE&amp;DB=129&amp;ID1=59501710&amp;VALUEID=02001&amp;SDATE=200402&amp;PERIODTYPE=QTR_STD&amp;SCFT=3&amp;window=popup_no_bar&amp;width=385&amp;height=120&amp;START_MAXIMIZED=FALSE&amp;creator=factset&amp;display_string=Audit"}</definedName>
    <definedName name="_3776__FDSAUDITLINK__" hidden="1">{"fdsup://Directions/FactSet Auditing Viewer?action=AUDIT_VALUE&amp;DB=129&amp;ID1=59501710&amp;VALUEID=02001&amp;SDATE=200402&amp;PERIODTYPE=QTR_STD&amp;SCFT=3&amp;window=popup_no_bar&amp;width=385&amp;height=120&amp;START_MAXIMIZED=FALSE&amp;creator=factset&amp;display_string=Audit"}</definedName>
    <definedName name="_3777__FDSAUDITLINK__" hidden="1">{"fdsup://Directions/FactSet Auditing Viewer?action=AUDIT_VALUE&amp;DB=129&amp;ID1=59501710&amp;VALUEID=02001&amp;SDATE=200401&amp;PERIODTYPE=QTR_STD&amp;SCFT=3&amp;window=popup_no_bar&amp;width=385&amp;height=120&amp;START_MAXIMIZED=FALSE&amp;creator=factset&amp;display_string=Audit"}</definedName>
    <definedName name="_3778__FDSAUDITLINK__" hidden="1">{"fdsup://Directions/FactSet Auditing Viewer?action=AUDIT_VALUE&amp;DB=129&amp;ID1=59501710&amp;VALUEID=02001&amp;SDATE=200401&amp;PERIODTYPE=QTR_STD&amp;SCFT=3&amp;window=popup_no_bar&amp;width=385&amp;height=120&amp;START_MAXIMIZED=FALSE&amp;creator=factset&amp;display_string=Audit"}</definedName>
    <definedName name="_3779__FDSAUDITLINK__" hidden="1">{"fdsup://Directions/FactSet Auditing Viewer?action=AUDIT_VALUE&amp;DB=129&amp;ID1=50216110&amp;VALUEID=02001&amp;SDATE=200801&amp;PERIODTYPE=QTR_STD&amp;SCFT=3&amp;window=popup_no_bar&amp;width=385&amp;height=120&amp;START_MAXIMIZED=FALSE&amp;creator=factset&amp;display_string=Audit"}</definedName>
    <definedName name="_378__FDSAUDITLINK__" hidden="1">{"fdsup://Directions/FactSet Auditing Viewer?action=AUDIT_VALUE&amp;DB=129&amp;ID1=53567810&amp;VALUEID=02001&amp;SDATE=201101&amp;PERIODTYPE=QTR_STD&amp;SCFT=3&amp;window=popup_no_bar&amp;width=385&amp;height=120&amp;START_MAXIMIZED=FALSE&amp;creator=factset&amp;display_string=Audit"}</definedName>
    <definedName name="_3780__FDSAUDITLINK__" hidden="1">{"fdsup://Directions/FactSet Auditing Viewer?action=AUDIT_VALUE&amp;DB=129&amp;ID1=50216110&amp;VALUEID=02001&amp;SDATE=200801&amp;PERIODTYPE=QTR_STD&amp;SCFT=3&amp;window=popup_no_bar&amp;width=385&amp;height=120&amp;START_MAXIMIZED=FALSE&amp;creator=factset&amp;display_string=Audit"}</definedName>
    <definedName name="_3781__FDSAUDITLINK__" hidden="1">{"fdsup://Directions/FactSet Auditing Viewer?action=AUDIT_VALUE&amp;DB=129&amp;ID1=50216110&amp;VALUEID=02001&amp;SDATE=200703&amp;PERIODTYPE=QTR_STD&amp;SCFT=3&amp;window=popup_no_bar&amp;width=385&amp;height=120&amp;START_MAXIMIZED=FALSE&amp;creator=factset&amp;display_string=Audit"}</definedName>
    <definedName name="_3782__FDSAUDITLINK__" hidden="1">{"fdsup://Directions/FactSet Auditing Viewer?action=AUDIT_VALUE&amp;DB=129&amp;ID1=50216110&amp;VALUEID=02001&amp;SDATE=200703&amp;PERIODTYPE=QTR_STD&amp;SCFT=3&amp;window=popup_no_bar&amp;width=385&amp;height=120&amp;START_MAXIMIZED=FALSE&amp;creator=factset&amp;display_string=Audit"}</definedName>
    <definedName name="_3783__FDSAUDITLINK__" hidden="1">{"fdsup://Directions/FactSet Auditing Viewer?action=AUDIT_VALUE&amp;DB=129&amp;ID1=50216110&amp;VALUEID=02001&amp;SDATE=200702&amp;PERIODTYPE=QTR_STD&amp;SCFT=3&amp;window=popup_no_bar&amp;width=385&amp;height=120&amp;START_MAXIMIZED=FALSE&amp;creator=factset&amp;display_string=Audit"}</definedName>
    <definedName name="_3784__FDSAUDITLINK__" hidden="1">{"fdsup://Directions/FactSet Auditing Viewer?action=AUDIT_VALUE&amp;DB=129&amp;ID1=50216110&amp;VALUEID=02001&amp;SDATE=200702&amp;PERIODTYPE=QTR_STD&amp;SCFT=3&amp;window=popup_no_bar&amp;width=385&amp;height=120&amp;START_MAXIMIZED=FALSE&amp;creator=factset&amp;display_string=Audit"}</definedName>
    <definedName name="_3785__FDSAUDITLINK__" hidden="1">{"fdsup://Directions/FactSet Auditing Viewer?action=AUDIT_VALUE&amp;DB=129&amp;ID1=50216110&amp;VALUEID=02001&amp;SDATE=200701&amp;PERIODTYPE=QTR_STD&amp;SCFT=3&amp;window=popup_no_bar&amp;width=385&amp;height=120&amp;START_MAXIMIZED=FALSE&amp;creator=factset&amp;display_string=Audit"}</definedName>
    <definedName name="_3786__FDSAUDITLINK__" hidden="1">{"fdsup://Directions/FactSet Auditing Viewer?action=AUDIT_VALUE&amp;DB=129&amp;ID1=50216110&amp;VALUEID=02001&amp;SDATE=200701&amp;PERIODTYPE=QTR_STD&amp;SCFT=3&amp;window=popup_no_bar&amp;width=385&amp;height=120&amp;START_MAXIMIZED=FALSE&amp;creator=factset&amp;display_string=Audit"}</definedName>
    <definedName name="_3787__FDSAUDITLINK__" hidden="1">{"fdsup://Directions/FactSet Auditing Viewer?action=AUDIT_VALUE&amp;DB=129&amp;ID1=50216110&amp;VALUEID=02001&amp;SDATE=200603&amp;PERIODTYPE=QTR_STD&amp;SCFT=3&amp;window=popup_no_bar&amp;width=385&amp;height=120&amp;START_MAXIMIZED=FALSE&amp;creator=factset&amp;display_string=Audit"}</definedName>
    <definedName name="_3788__FDSAUDITLINK__" hidden="1">{"fdsup://Directions/FactSet Auditing Viewer?action=AUDIT_VALUE&amp;DB=129&amp;ID1=50216110&amp;VALUEID=02001&amp;SDATE=200603&amp;PERIODTYPE=QTR_STD&amp;SCFT=3&amp;window=popup_no_bar&amp;width=385&amp;height=120&amp;START_MAXIMIZED=FALSE&amp;creator=factset&amp;display_string=Audit"}</definedName>
    <definedName name="_3789__FDSAUDITLINK__" hidden="1">{"fdsup://Directions/FactSet Auditing Viewer?action=AUDIT_VALUE&amp;DB=129&amp;ID1=50216110&amp;VALUEID=02001&amp;SDATE=200602&amp;PERIODTYPE=QTR_STD&amp;SCFT=3&amp;window=popup_no_bar&amp;width=385&amp;height=120&amp;START_MAXIMIZED=FALSE&amp;creator=factset&amp;display_string=Audit"}</definedName>
    <definedName name="_379__FDSAUDITLINK__" hidden="1">{"fdsup://Directions/FactSet Auditing Viewer?action=AUDIT_VALUE&amp;DB=129&amp;ID1=48248010&amp;VALUEID=02001&amp;SDATE=201101&amp;PERIODTYPE=QTR_STD&amp;SCFT=3&amp;window=popup_no_bar&amp;width=385&amp;height=120&amp;START_MAXIMIZED=FALSE&amp;creator=factset&amp;display_string=Audit"}</definedName>
    <definedName name="_3790__FDSAUDITLINK__" hidden="1">{"fdsup://Directions/FactSet Auditing Viewer?action=AUDIT_VALUE&amp;DB=129&amp;ID1=50216110&amp;VALUEID=02001&amp;SDATE=200602&amp;PERIODTYPE=QTR_STD&amp;SCFT=3&amp;window=popup_no_bar&amp;width=385&amp;height=120&amp;START_MAXIMIZED=FALSE&amp;creator=factset&amp;display_string=Audit"}</definedName>
    <definedName name="_3791__FDSAUDITLINK__" hidden="1">{"fdsup://Directions/FactSet Auditing Viewer?action=AUDIT_VALUE&amp;DB=129&amp;ID1=50216110&amp;VALUEID=02001&amp;SDATE=200601&amp;PERIODTYPE=QTR_STD&amp;SCFT=3&amp;window=popup_no_bar&amp;width=385&amp;height=120&amp;START_MAXIMIZED=FALSE&amp;creator=factset&amp;display_string=Audit"}</definedName>
    <definedName name="_3792__FDSAUDITLINK__" hidden="1">{"fdsup://Directions/FactSet Auditing Viewer?action=AUDIT_VALUE&amp;DB=129&amp;ID1=50216110&amp;VALUEID=02001&amp;SDATE=200601&amp;PERIODTYPE=QTR_STD&amp;SCFT=3&amp;window=popup_no_bar&amp;width=385&amp;height=120&amp;START_MAXIMIZED=FALSE&amp;creator=factset&amp;display_string=Audit"}</definedName>
    <definedName name="_3793__FDSAUDITLINK__" hidden="1">{"fdsup://Directions/FactSet Auditing Viewer?action=AUDIT_VALUE&amp;DB=129&amp;ID1=50216110&amp;VALUEID=02001&amp;SDATE=200503&amp;PERIODTYPE=QTR_STD&amp;SCFT=3&amp;window=popup_no_bar&amp;width=385&amp;height=120&amp;START_MAXIMIZED=FALSE&amp;creator=factset&amp;display_string=Audit"}</definedName>
    <definedName name="_3794__FDSAUDITLINK__" hidden="1">{"fdsup://Directions/FactSet Auditing Viewer?action=AUDIT_VALUE&amp;DB=129&amp;ID1=50216110&amp;VALUEID=02001&amp;SDATE=200503&amp;PERIODTYPE=QTR_STD&amp;SCFT=3&amp;window=popup_no_bar&amp;width=385&amp;height=120&amp;START_MAXIMIZED=FALSE&amp;creator=factset&amp;display_string=Audit"}</definedName>
    <definedName name="_3795__FDSAUDITLINK__" hidden="1">{"fdsup://Directions/FactSet Auditing Viewer?action=AUDIT_VALUE&amp;DB=129&amp;ID1=50216110&amp;VALUEID=02001&amp;SDATE=200502&amp;PERIODTYPE=QTR_STD&amp;SCFT=3&amp;window=popup_no_bar&amp;width=385&amp;height=120&amp;START_MAXIMIZED=FALSE&amp;creator=factset&amp;display_string=Audit"}</definedName>
    <definedName name="_3796__FDSAUDITLINK__" hidden="1">{"fdsup://Directions/FactSet Auditing Viewer?action=AUDIT_VALUE&amp;DB=129&amp;ID1=50216110&amp;VALUEID=02001&amp;SDATE=200502&amp;PERIODTYPE=QTR_STD&amp;SCFT=3&amp;window=popup_no_bar&amp;width=385&amp;height=120&amp;START_MAXIMIZED=FALSE&amp;creator=factset&amp;display_string=Audit"}</definedName>
    <definedName name="_3797__FDSAUDITLINK__" hidden="1">{"fdsup://Directions/FactSet Auditing Viewer?action=AUDIT_VALUE&amp;DB=129&amp;ID1=50216110&amp;VALUEID=02001&amp;SDATE=200501&amp;PERIODTYPE=QTR_STD&amp;SCFT=3&amp;window=popup_no_bar&amp;width=385&amp;height=120&amp;START_MAXIMIZED=FALSE&amp;creator=factset&amp;display_string=Audit"}</definedName>
    <definedName name="_3798__FDSAUDITLINK__" hidden="1">{"fdsup://Directions/FactSet Auditing Viewer?action=AUDIT_VALUE&amp;DB=129&amp;ID1=50216110&amp;VALUEID=02001&amp;SDATE=200501&amp;PERIODTYPE=QTR_STD&amp;SCFT=3&amp;window=popup_no_bar&amp;width=385&amp;height=120&amp;START_MAXIMIZED=FALSE&amp;creator=factset&amp;display_string=Audit"}</definedName>
    <definedName name="_3799__FDSAUDITLINK__" hidden="1">{"fdsup://Directions/FactSet Auditing Viewer?action=AUDIT_VALUE&amp;DB=129&amp;ID1=50216110&amp;VALUEID=02001&amp;SDATE=200403&amp;PERIODTYPE=QTR_STD&amp;SCFT=3&amp;window=popup_no_bar&amp;width=385&amp;height=120&amp;START_MAXIMIZED=FALSE&amp;creator=factset&amp;display_string=Audit"}</definedName>
    <definedName name="_38__FDSAUDITLINK__" hidden="1">{"fdsup://Directions/FactSet Auditing Viewer?action=AUDIT_VALUE&amp;DB=129&amp;ID1=74994110&amp;VALUEID=02001&amp;SDATE=201004&amp;PERIODTYPE=QTR_STD&amp;SCFT=3&amp;window=popup_no_bar&amp;width=385&amp;height=120&amp;START_MAXIMIZED=FALSE&amp;creator=factset&amp;display_string=Audit"}</definedName>
    <definedName name="_380__FDSAUDITLINK__" hidden="1">{"fdsup://Directions/FactSet Auditing Viewer?action=AUDIT_VALUE&amp;DB=129&amp;ID1=48248010&amp;VALUEID=02001&amp;SDATE=201101&amp;PERIODTYPE=QTR_STD&amp;SCFT=3&amp;window=popup_no_bar&amp;width=385&amp;height=120&amp;START_MAXIMIZED=FALSE&amp;creator=factset&amp;display_string=Audit"}</definedName>
    <definedName name="_3800__FDSAUDITLINK__" hidden="1">{"fdsup://Directions/FactSet Auditing Viewer?action=AUDIT_VALUE&amp;DB=129&amp;ID1=50216110&amp;VALUEID=02001&amp;SDATE=200403&amp;PERIODTYPE=QTR_STD&amp;SCFT=3&amp;window=popup_no_bar&amp;width=385&amp;height=120&amp;START_MAXIMIZED=FALSE&amp;creator=factset&amp;display_string=Audit"}</definedName>
    <definedName name="_3801__FDSAUDITLINK__" hidden="1">{"fdsup://Directions/FactSet Auditing Viewer?action=AUDIT_VALUE&amp;DB=129&amp;ID1=50216110&amp;VALUEID=02001&amp;SDATE=200402&amp;PERIODTYPE=QTR_STD&amp;SCFT=3&amp;window=popup_no_bar&amp;width=385&amp;height=120&amp;START_MAXIMIZED=FALSE&amp;creator=factset&amp;display_string=Audit"}</definedName>
    <definedName name="_3802__FDSAUDITLINK__" hidden="1">{"fdsup://Directions/FactSet Auditing Viewer?action=AUDIT_VALUE&amp;DB=129&amp;ID1=50216110&amp;VALUEID=02001&amp;SDATE=200402&amp;PERIODTYPE=QTR_STD&amp;SCFT=3&amp;window=popup_no_bar&amp;width=385&amp;height=120&amp;START_MAXIMIZED=FALSE&amp;creator=factset&amp;display_string=Audit"}</definedName>
    <definedName name="_3803__FDSAUDITLINK__" hidden="1">{"fdsup://Directions/FactSet Auditing Viewer?action=AUDIT_VALUE&amp;DB=129&amp;ID1=50216110&amp;VALUEID=02001&amp;SDATE=200401&amp;PERIODTYPE=QTR_STD&amp;SCFT=3&amp;window=popup_no_bar&amp;width=385&amp;height=120&amp;START_MAXIMIZED=FALSE&amp;creator=factset&amp;display_string=Audit"}</definedName>
    <definedName name="_3804__FDSAUDITLINK__" hidden="1">{"fdsup://Directions/FactSet Auditing Viewer?action=AUDIT_VALUE&amp;DB=129&amp;ID1=50216110&amp;VALUEID=02001&amp;SDATE=200401&amp;PERIODTYPE=QTR_STD&amp;SCFT=3&amp;window=popup_no_bar&amp;width=385&amp;height=120&amp;START_MAXIMIZED=FALSE&amp;creator=factset&amp;display_string=Audit"}</definedName>
    <definedName name="_3805__FDSAUDITLINK__" hidden="1">{"fdsup://Directions/FactSet Auditing Viewer?action=AUDIT_VALUE&amp;DB=129&amp;ID1=51841510&amp;VALUEID=02001&amp;SDATE=200801&amp;PERIODTYPE=QTR_STD&amp;SCFT=3&amp;window=popup_no_bar&amp;width=385&amp;height=120&amp;START_MAXIMIZED=FALSE&amp;creator=factset&amp;display_string=Audit"}</definedName>
    <definedName name="_3806__FDSAUDITLINK__" hidden="1">{"fdsup://Directions/FactSet Auditing Viewer?action=AUDIT_VALUE&amp;DB=129&amp;ID1=51841510&amp;VALUEID=02001&amp;SDATE=200801&amp;PERIODTYPE=QTR_STD&amp;SCFT=3&amp;window=popup_no_bar&amp;width=385&amp;height=120&amp;START_MAXIMIZED=FALSE&amp;creator=factset&amp;display_string=Audit"}</definedName>
    <definedName name="_3807__FDSAUDITLINK__" hidden="1">{"fdsup://Directions/FactSet Auditing Viewer?action=AUDIT_VALUE&amp;DB=129&amp;ID1=51841510&amp;VALUEID=02001&amp;SDATE=200703&amp;PERIODTYPE=QTR_STD&amp;SCFT=3&amp;window=popup_no_bar&amp;width=385&amp;height=120&amp;START_MAXIMIZED=FALSE&amp;creator=factset&amp;display_string=Audit"}</definedName>
    <definedName name="_3808__FDSAUDITLINK__" hidden="1">{"fdsup://Directions/FactSet Auditing Viewer?action=AUDIT_VALUE&amp;DB=129&amp;ID1=51841510&amp;VALUEID=02001&amp;SDATE=200703&amp;PERIODTYPE=QTR_STD&amp;SCFT=3&amp;window=popup_no_bar&amp;width=385&amp;height=120&amp;START_MAXIMIZED=FALSE&amp;creator=factset&amp;display_string=Audit"}</definedName>
    <definedName name="_3809__FDSAUDITLINK__" hidden="1">{"fdsup://Directions/FactSet Auditing Viewer?action=AUDIT_VALUE&amp;DB=129&amp;ID1=51841510&amp;VALUEID=02001&amp;SDATE=200702&amp;PERIODTYPE=QTR_STD&amp;SCFT=3&amp;window=popup_no_bar&amp;width=385&amp;height=120&amp;START_MAXIMIZED=FALSE&amp;creator=factset&amp;display_string=Audit"}</definedName>
    <definedName name="_381__FDSAUDITLINK__" hidden="1">{"fdsup://Directions/FactSet Auditing Viewer?action=AUDIT_VALUE&amp;DB=129&amp;ID1=48836020&amp;VALUEID=02001&amp;SDATE=201002&amp;PERIODTYPE=QTR_STD&amp;SCFT=3&amp;window=popup_no_bar&amp;width=385&amp;height=120&amp;START_MAXIMIZED=FALSE&amp;creator=factset&amp;display_string=Audit"}</definedName>
    <definedName name="_3810__FDSAUDITLINK__" hidden="1">{"fdsup://Directions/FactSet Auditing Viewer?action=AUDIT_VALUE&amp;DB=129&amp;ID1=51841510&amp;VALUEID=02001&amp;SDATE=200702&amp;PERIODTYPE=QTR_STD&amp;SCFT=3&amp;window=popup_no_bar&amp;width=385&amp;height=120&amp;START_MAXIMIZED=FALSE&amp;creator=factset&amp;display_string=Audit"}</definedName>
    <definedName name="_3811__FDSAUDITLINK__" hidden="1">{"fdsup://Directions/FactSet Auditing Viewer?action=AUDIT_VALUE&amp;DB=129&amp;ID1=51841510&amp;VALUEID=02001&amp;SDATE=200701&amp;PERIODTYPE=QTR_STD&amp;SCFT=3&amp;window=popup_no_bar&amp;width=385&amp;height=120&amp;START_MAXIMIZED=FALSE&amp;creator=factset&amp;display_string=Audit"}</definedName>
    <definedName name="_3812__FDSAUDITLINK__" hidden="1">{"fdsup://Directions/FactSet Auditing Viewer?action=AUDIT_VALUE&amp;DB=129&amp;ID1=51841510&amp;VALUEID=02001&amp;SDATE=200701&amp;PERIODTYPE=QTR_STD&amp;SCFT=3&amp;window=popup_no_bar&amp;width=385&amp;height=120&amp;START_MAXIMIZED=FALSE&amp;creator=factset&amp;display_string=Audit"}</definedName>
    <definedName name="_3813__FDSAUDITLINK__" hidden="1">{"fdsup://Directions/FactSet Auditing Viewer?action=AUDIT_VALUE&amp;DB=129&amp;ID1=51841510&amp;VALUEID=02001&amp;SDATE=200603&amp;PERIODTYPE=QTR_STD&amp;SCFT=3&amp;window=popup_no_bar&amp;width=385&amp;height=120&amp;START_MAXIMIZED=FALSE&amp;creator=factset&amp;display_string=Audit"}</definedName>
    <definedName name="_3814__FDSAUDITLINK__" hidden="1">{"fdsup://Directions/FactSet Auditing Viewer?action=AUDIT_VALUE&amp;DB=129&amp;ID1=51841510&amp;VALUEID=02001&amp;SDATE=200603&amp;PERIODTYPE=QTR_STD&amp;SCFT=3&amp;window=popup_no_bar&amp;width=385&amp;height=120&amp;START_MAXIMIZED=FALSE&amp;creator=factset&amp;display_string=Audit"}</definedName>
    <definedName name="_3815__FDSAUDITLINK__" hidden="1">{"fdsup://Directions/FactSet Auditing Viewer?action=AUDIT_VALUE&amp;DB=129&amp;ID1=51841510&amp;VALUEID=02001&amp;SDATE=200602&amp;PERIODTYPE=QTR_STD&amp;SCFT=3&amp;window=popup_no_bar&amp;width=385&amp;height=120&amp;START_MAXIMIZED=FALSE&amp;creator=factset&amp;display_string=Audit"}</definedName>
    <definedName name="_3816__FDSAUDITLINK__" hidden="1">{"fdsup://Directions/FactSet Auditing Viewer?action=AUDIT_VALUE&amp;DB=129&amp;ID1=51841510&amp;VALUEID=02001&amp;SDATE=200602&amp;PERIODTYPE=QTR_STD&amp;SCFT=3&amp;window=popup_no_bar&amp;width=385&amp;height=120&amp;START_MAXIMIZED=FALSE&amp;creator=factset&amp;display_string=Audit"}</definedName>
    <definedName name="_3817__FDSAUDITLINK__" hidden="1">{"fdsup://Directions/FactSet Auditing Viewer?action=AUDIT_VALUE&amp;DB=129&amp;ID1=51841510&amp;VALUEID=02001&amp;SDATE=200601&amp;PERIODTYPE=QTR_STD&amp;SCFT=3&amp;window=popup_no_bar&amp;width=385&amp;height=120&amp;START_MAXIMIZED=FALSE&amp;creator=factset&amp;display_string=Audit"}</definedName>
    <definedName name="_3818__FDSAUDITLINK__" hidden="1">{"fdsup://Directions/FactSet Auditing Viewer?action=AUDIT_VALUE&amp;DB=129&amp;ID1=51841510&amp;VALUEID=02001&amp;SDATE=200601&amp;PERIODTYPE=QTR_STD&amp;SCFT=3&amp;window=popup_no_bar&amp;width=385&amp;height=120&amp;START_MAXIMIZED=FALSE&amp;creator=factset&amp;display_string=Audit"}</definedName>
    <definedName name="_3819__FDSAUDITLINK__" hidden="1">{"fdsup://Directions/FactSet Auditing Viewer?action=AUDIT_VALUE&amp;DB=129&amp;ID1=51841510&amp;VALUEID=02001&amp;SDATE=200503&amp;PERIODTYPE=QTR_STD&amp;SCFT=3&amp;window=popup_no_bar&amp;width=385&amp;height=120&amp;START_MAXIMIZED=FALSE&amp;creator=factset&amp;display_string=Audit"}</definedName>
    <definedName name="_382__FDSAUDITLINK__" hidden="1">{"fdsup://Directions/FactSet Auditing Viewer?action=AUDIT_VALUE&amp;DB=129&amp;ID1=48836020&amp;VALUEID=02001&amp;SDATE=201002&amp;PERIODTYPE=QTR_STD&amp;SCFT=3&amp;window=popup_no_bar&amp;width=385&amp;height=120&amp;START_MAXIMIZED=FALSE&amp;creator=factset&amp;display_string=Audit"}</definedName>
    <definedName name="_3820__FDSAUDITLINK__" hidden="1">{"fdsup://Directions/FactSet Auditing Viewer?action=AUDIT_VALUE&amp;DB=129&amp;ID1=51841510&amp;VALUEID=02001&amp;SDATE=200503&amp;PERIODTYPE=QTR_STD&amp;SCFT=3&amp;window=popup_no_bar&amp;width=385&amp;height=120&amp;START_MAXIMIZED=FALSE&amp;creator=factset&amp;display_string=Audit"}</definedName>
    <definedName name="_3821__FDSAUDITLINK__" hidden="1">{"fdsup://Directions/FactSet Auditing Viewer?action=AUDIT_VALUE&amp;DB=129&amp;ID1=51841510&amp;VALUEID=02001&amp;SDATE=200502&amp;PERIODTYPE=QTR_STD&amp;SCFT=3&amp;window=popup_no_bar&amp;width=385&amp;height=120&amp;START_MAXIMIZED=FALSE&amp;creator=factset&amp;display_string=Audit"}</definedName>
    <definedName name="_3822__FDSAUDITLINK__" hidden="1">{"fdsup://Directions/FactSet Auditing Viewer?action=AUDIT_VALUE&amp;DB=129&amp;ID1=51841510&amp;VALUEID=02001&amp;SDATE=200502&amp;PERIODTYPE=QTR_STD&amp;SCFT=3&amp;window=popup_no_bar&amp;width=385&amp;height=120&amp;START_MAXIMIZED=FALSE&amp;creator=factset&amp;display_string=Audit"}</definedName>
    <definedName name="_3823__FDSAUDITLINK__" hidden="1">{"fdsup://Directions/FactSet Auditing Viewer?action=AUDIT_VALUE&amp;DB=129&amp;ID1=51841510&amp;VALUEID=02001&amp;SDATE=200403&amp;PERIODTYPE=QTR_STD&amp;SCFT=3&amp;window=popup_no_bar&amp;width=385&amp;height=120&amp;START_MAXIMIZED=FALSE&amp;creator=factset&amp;display_string=Audit"}</definedName>
    <definedName name="_3824__FDSAUDITLINK__" hidden="1">{"fdsup://Directions/FactSet Auditing Viewer?action=AUDIT_VALUE&amp;DB=129&amp;ID1=51841510&amp;VALUEID=02001&amp;SDATE=200403&amp;PERIODTYPE=QTR_STD&amp;SCFT=3&amp;window=popup_no_bar&amp;width=385&amp;height=120&amp;START_MAXIMIZED=FALSE&amp;creator=factset&amp;display_string=Audit"}</definedName>
    <definedName name="_3825__FDSAUDITLINK__" hidden="1">{"fdsup://Directions/FactSet Auditing Viewer?action=AUDIT_VALUE&amp;DB=129&amp;ID1=51841510&amp;VALUEID=02001&amp;SDATE=200402&amp;PERIODTYPE=QTR_STD&amp;SCFT=3&amp;window=popup_no_bar&amp;width=385&amp;height=120&amp;START_MAXIMIZED=FALSE&amp;creator=factset&amp;display_string=Audit"}</definedName>
    <definedName name="_3826__FDSAUDITLINK__" hidden="1">{"fdsup://Directions/FactSet Auditing Viewer?action=AUDIT_VALUE&amp;DB=129&amp;ID1=51841510&amp;VALUEID=02001&amp;SDATE=200402&amp;PERIODTYPE=QTR_STD&amp;SCFT=3&amp;window=popup_no_bar&amp;width=385&amp;height=120&amp;START_MAXIMIZED=FALSE&amp;creator=factset&amp;display_string=Audit"}</definedName>
    <definedName name="_3827__FDSAUDITLINK__" hidden="1">{"fdsup://Directions/FactSet Auditing Viewer?action=AUDIT_VALUE&amp;DB=129&amp;ID1=51841510&amp;VALUEID=02001&amp;SDATE=200401&amp;PERIODTYPE=QTR_STD&amp;SCFT=3&amp;window=popup_no_bar&amp;width=385&amp;height=120&amp;START_MAXIMIZED=FALSE&amp;creator=factset&amp;display_string=Audit"}</definedName>
    <definedName name="_3828__FDSAUDITLINK__" hidden="1">{"fdsup://Directions/FactSet Auditing Viewer?action=AUDIT_VALUE&amp;DB=129&amp;ID1=51841510&amp;VALUEID=02001&amp;SDATE=200401&amp;PERIODTYPE=QTR_STD&amp;SCFT=3&amp;window=popup_no_bar&amp;width=385&amp;height=120&amp;START_MAXIMIZED=FALSE&amp;creator=factset&amp;display_string=Audit"}</definedName>
    <definedName name="_3829__FDSAUDITLINK__" hidden="1">{"fdsup://Directions/FactSet Auditing Viewer?action=AUDIT_VALUE&amp;DB=129&amp;ID1=51280710&amp;VALUEID=02001&amp;SDATE=200803&amp;PERIODTYPE=QTR_STD&amp;SCFT=3&amp;window=popup_no_bar&amp;width=385&amp;height=120&amp;START_MAXIMIZED=FALSE&amp;creator=factset&amp;display_string=Audit"}</definedName>
    <definedName name="_383__FDSAUDITLINK__" hidden="1">{"fdsup://Directions/FactSet Auditing Viewer?action=AUDIT_VALUE&amp;DB=129&amp;ID1=48203R10&amp;VALUEID=02001&amp;SDATE=201003&amp;PERIODTYPE=QTR_STD&amp;SCFT=3&amp;window=popup_no_bar&amp;width=385&amp;height=120&amp;START_MAXIMIZED=FALSE&amp;creator=factset&amp;display_string=Audit"}</definedName>
    <definedName name="_3830__FDSAUDITLINK__" hidden="1">{"fdsup://Directions/FactSet Auditing Viewer?action=AUDIT_VALUE&amp;DB=129&amp;ID1=51280710&amp;VALUEID=02001&amp;SDATE=200803&amp;PERIODTYPE=QTR_STD&amp;SCFT=3&amp;window=popup_no_bar&amp;width=385&amp;height=120&amp;START_MAXIMIZED=FALSE&amp;creator=factset&amp;display_string=Audit"}</definedName>
    <definedName name="_3831__FDSAUDITLINK__" hidden="1">{"fdsup://Directions/FactSet Auditing Viewer?action=AUDIT_VALUE&amp;DB=129&amp;ID1=51280710&amp;VALUEID=02001&amp;SDATE=200802&amp;PERIODTYPE=QTR_STD&amp;SCFT=3&amp;window=popup_no_bar&amp;width=385&amp;height=120&amp;START_MAXIMIZED=FALSE&amp;creator=factset&amp;display_string=Audit"}</definedName>
    <definedName name="_3832__FDSAUDITLINK__" hidden="1">{"fdsup://Directions/FactSet Auditing Viewer?action=AUDIT_VALUE&amp;DB=129&amp;ID1=51280710&amp;VALUEID=02001&amp;SDATE=200802&amp;PERIODTYPE=QTR_STD&amp;SCFT=3&amp;window=popup_no_bar&amp;width=385&amp;height=120&amp;START_MAXIMIZED=FALSE&amp;creator=factset&amp;display_string=Audit"}</definedName>
    <definedName name="_3833__FDSAUDITLINK__" hidden="1">{"fdsup://Directions/FactSet Auditing Viewer?action=AUDIT_VALUE&amp;DB=129&amp;ID1=51280710&amp;VALUEID=02001&amp;SDATE=200801&amp;PERIODTYPE=QTR_STD&amp;SCFT=3&amp;window=popup_no_bar&amp;width=385&amp;height=120&amp;START_MAXIMIZED=FALSE&amp;creator=factset&amp;display_string=Audit"}</definedName>
    <definedName name="_3834__FDSAUDITLINK__" hidden="1">{"fdsup://Directions/FactSet Auditing Viewer?action=AUDIT_VALUE&amp;DB=129&amp;ID1=51280710&amp;VALUEID=02001&amp;SDATE=200801&amp;PERIODTYPE=QTR_STD&amp;SCFT=3&amp;window=popup_no_bar&amp;width=385&amp;height=120&amp;START_MAXIMIZED=FALSE&amp;creator=factset&amp;display_string=Audit"}</definedName>
    <definedName name="_3835__FDSAUDITLINK__" hidden="1">{"fdsup://Directions/FactSet Auditing Viewer?action=AUDIT_VALUE&amp;DB=129&amp;ID1=51280710&amp;VALUEID=02001&amp;SDATE=200703&amp;PERIODTYPE=QTR_STD&amp;SCFT=3&amp;window=popup_no_bar&amp;width=385&amp;height=120&amp;START_MAXIMIZED=FALSE&amp;creator=factset&amp;display_string=Audit"}</definedName>
    <definedName name="_3836__FDSAUDITLINK__" hidden="1">{"fdsup://Directions/FactSet Auditing Viewer?action=AUDIT_VALUE&amp;DB=129&amp;ID1=51280710&amp;VALUEID=02001&amp;SDATE=200703&amp;PERIODTYPE=QTR_STD&amp;SCFT=3&amp;window=popup_no_bar&amp;width=385&amp;height=120&amp;START_MAXIMIZED=FALSE&amp;creator=factset&amp;display_string=Audit"}</definedName>
    <definedName name="_3837__FDSAUDITLINK__" hidden="1">{"fdsup://Directions/FactSet Auditing Viewer?action=AUDIT_VALUE&amp;DB=129&amp;ID1=51280710&amp;VALUEID=02001&amp;SDATE=200702&amp;PERIODTYPE=QTR_STD&amp;SCFT=3&amp;window=popup_no_bar&amp;width=385&amp;height=120&amp;START_MAXIMIZED=FALSE&amp;creator=factset&amp;display_string=Audit"}</definedName>
    <definedName name="_3838__FDSAUDITLINK__" hidden="1">{"fdsup://Directions/FactSet Auditing Viewer?action=AUDIT_VALUE&amp;DB=129&amp;ID1=51280710&amp;VALUEID=02001&amp;SDATE=200702&amp;PERIODTYPE=QTR_STD&amp;SCFT=3&amp;window=popup_no_bar&amp;width=385&amp;height=120&amp;START_MAXIMIZED=FALSE&amp;creator=factset&amp;display_string=Audit"}</definedName>
    <definedName name="_3839__FDSAUDITLINK__" hidden="1">{"fdsup://Directions/FactSet Auditing Viewer?action=AUDIT_VALUE&amp;DB=129&amp;ID1=51280710&amp;VALUEID=02001&amp;SDATE=200701&amp;PERIODTYPE=QTR_STD&amp;SCFT=3&amp;window=popup_no_bar&amp;width=385&amp;height=120&amp;START_MAXIMIZED=FALSE&amp;creator=factset&amp;display_string=Audit"}</definedName>
    <definedName name="_384__FDSAUDITLINK__" hidden="1">{"fdsup://Directions/FactSet Auditing Viewer?action=AUDIT_VALUE&amp;DB=129&amp;ID1=48203R10&amp;VALUEID=02001&amp;SDATE=201003&amp;PERIODTYPE=QTR_STD&amp;SCFT=3&amp;window=popup_no_bar&amp;width=385&amp;height=120&amp;START_MAXIMIZED=FALSE&amp;creator=factset&amp;display_string=Audit"}</definedName>
    <definedName name="_3840__FDSAUDITLINK__" hidden="1">{"fdsup://Directions/FactSet Auditing Viewer?action=AUDIT_VALUE&amp;DB=129&amp;ID1=51280710&amp;VALUEID=02001&amp;SDATE=200701&amp;PERIODTYPE=QTR_STD&amp;SCFT=3&amp;window=popup_no_bar&amp;width=385&amp;height=120&amp;START_MAXIMIZED=FALSE&amp;creator=factset&amp;display_string=Audit"}</definedName>
    <definedName name="_3841__FDSAUDITLINK__" hidden="1">{"fdsup://Directions/FactSet Auditing Viewer?action=AUDIT_VALUE&amp;DB=129&amp;ID1=51280710&amp;VALUEID=02001&amp;SDATE=200603&amp;PERIODTYPE=QTR_STD&amp;SCFT=3&amp;window=popup_no_bar&amp;width=385&amp;height=120&amp;START_MAXIMIZED=FALSE&amp;creator=factset&amp;display_string=Audit"}</definedName>
    <definedName name="_3842__FDSAUDITLINK__" hidden="1">{"fdsup://Directions/FactSet Auditing Viewer?action=AUDIT_VALUE&amp;DB=129&amp;ID1=51280710&amp;VALUEID=02001&amp;SDATE=200603&amp;PERIODTYPE=QTR_STD&amp;SCFT=3&amp;window=popup_no_bar&amp;width=385&amp;height=120&amp;START_MAXIMIZED=FALSE&amp;creator=factset&amp;display_string=Audit"}</definedName>
    <definedName name="_3843__FDSAUDITLINK__" hidden="1">{"fdsup://Directions/FactSet Auditing Viewer?action=AUDIT_VALUE&amp;DB=129&amp;ID1=51280710&amp;VALUEID=02001&amp;SDATE=200602&amp;PERIODTYPE=QTR_STD&amp;SCFT=3&amp;window=popup_no_bar&amp;width=385&amp;height=120&amp;START_MAXIMIZED=FALSE&amp;creator=factset&amp;display_string=Audit"}</definedName>
    <definedName name="_3844__FDSAUDITLINK__" hidden="1">{"fdsup://Directions/FactSet Auditing Viewer?action=AUDIT_VALUE&amp;DB=129&amp;ID1=51280710&amp;VALUEID=02001&amp;SDATE=200602&amp;PERIODTYPE=QTR_STD&amp;SCFT=3&amp;window=popup_no_bar&amp;width=385&amp;height=120&amp;START_MAXIMIZED=FALSE&amp;creator=factset&amp;display_string=Audit"}</definedName>
    <definedName name="_3845__FDSAUDITLINK__" hidden="1">{"fdsup://Directions/FactSet Auditing Viewer?action=AUDIT_VALUE&amp;DB=129&amp;ID1=51280710&amp;VALUEID=02001&amp;SDATE=200601&amp;PERIODTYPE=QTR_STD&amp;SCFT=3&amp;window=popup_no_bar&amp;width=385&amp;height=120&amp;START_MAXIMIZED=FALSE&amp;creator=factset&amp;display_string=Audit"}</definedName>
    <definedName name="_3846__FDSAUDITLINK__" hidden="1">{"fdsup://Directions/FactSet Auditing Viewer?action=AUDIT_VALUE&amp;DB=129&amp;ID1=51280710&amp;VALUEID=02001&amp;SDATE=200601&amp;PERIODTYPE=QTR_STD&amp;SCFT=3&amp;window=popup_no_bar&amp;width=385&amp;height=120&amp;START_MAXIMIZED=FALSE&amp;creator=factset&amp;display_string=Audit"}</definedName>
    <definedName name="_3847__FDSAUDITLINK__" hidden="1">{"fdsup://Directions/FactSet Auditing Viewer?action=AUDIT_VALUE&amp;DB=129&amp;ID1=51280710&amp;VALUEID=02001&amp;SDATE=200502&amp;PERIODTYPE=QTR_STD&amp;SCFT=3&amp;window=popup_no_bar&amp;width=385&amp;height=120&amp;START_MAXIMIZED=FALSE&amp;creator=factset&amp;display_string=Audit"}</definedName>
    <definedName name="_3848__FDSAUDITLINK__" hidden="1">{"fdsup://Directions/FactSet Auditing Viewer?action=AUDIT_VALUE&amp;DB=129&amp;ID1=51280710&amp;VALUEID=02001&amp;SDATE=200502&amp;PERIODTYPE=QTR_STD&amp;SCFT=3&amp;window=popup_no_bar&amp;width=385&amp;height=120&amp;START_MAXIMIZED=FALSE&amp;creator=factset&amp;display_string=Audit"}</definedName>
    <definedName name="_3849__FDSAUDITLINK__" hidden="1">{"fdsup://Directions/FactSet Auditing Viewer?action=AUDIT_VALUE&amp;DB=129&amp;ID1=51280710&amp;VALUEID=02001&amp;SDATE=200501&amp;PERIODTYPE=QTR_STD&amp;SCFT=3&amp;window=popup_no_bar&amp;width=385&amp;height=120&amp;START_MAXIMIZED=FALSE&amp;creator=factset&amp;display_string=Audit"}</definedName>
    <definedName name="_385__FDSAUDITLINK__" hidden="1">{"fdsup://Directions/FactSet Auditing Viewer?action=AUDIT_VALUE&amp;DB=129&amp;ID1=46069S10&amp;VALUEID=02001&amp;SDATE=201003&amp;PERIODTYPE=QTR_STD&amp;SCFT=3&amp;window=popup_no_bar&amp;width=385&amp;height=120&amp;START_MAXIMIZED=FALSE&amp;creator=factset&amp;display_string=Audit"}</definedName>
    <definedName name="_3850__FDSAUDITLINK__" hidden="1">{"fdsup://Directions/FactSet Auditing Viewer?action=AUDIT_VALUE&amp;DB=129&amp;ID1=51280710&amp;VALUEID=02001&amp;SDATE=200501&amp;PERIODTYPE=QTR_STD&amp;SCFT=3&amp;window=popup_no_bar&amp;width=385&amp;height=120&amp;START_MAXIMIZED=FALSE&amp;creator=factset&amp;display_string=Audit"}</definedName>
    <definedName name="_3851__FDSAUDITLINK__" hidden="1">{"fdsup://Directions/FactSet Auditing Viewer?action=AUDIT_VALUE&amp;DB=129&amp;ID1=51280710&amp;VALUEID=02001&amp;SDATE=200403&amp;PERIODTYPE=QTR_STD&amp;SCFT=3&amp;window=popup_no_bar&amp;width=385&amp;height=120&amp;START_MAXIMIZED=FALSE&amp;creator=factset&amp;display_string=Audit"}</definedName>
    <definedName name="_3852__FDSAUDITLINK__" hidden="1">{"fdsup://Directions/FactSet Auditing Viewer?action=AUDIT_VALUE&amp;DB=129&amp;ID1=51280710&amp;VALUEID=02001&amp;SDATE=200403&amp;PERIODTYPE=QTR_STD&amp;SCFT=3&amp;window=popup_no_bar&amp;width=385&amp;height=120&amp;START_MAXIMIZED=FALSE&amp;creator=factset&amp;display_string=Audit"}</definedName>
    <definedName name="_3853__FDSAUDITLINK__" hidden="1">{"fdsup://Directions/FactSet Auditing Viewer?action=AUDIT_VALUE&amp;DB=129&amp;ID1=53567810&amp;VALUEID=02001&amp;SDATE=200803&amp;PERIODTYPE=QTR_STD&amp;SCFT=3&amp;window=popup_no_bar&amp;width=385&amp;height=120&amp;START_MAXIMIZED=FALSE&amp;creator=factset&amp;display_string=Audit"}</definedName>
    <definedName name="_3854__FDSAUDITLINK__" hidden="1">{"fdsup://Directions/FactSet Auditing Viewer?action=AUDIT_VALUE&amp;DB=129&amp;ID1=53567810&amp;VALUEID=02001&amp;SDATE=200803&amp;PERIODTYPE=QTR_STD&amp;SCFT=3&amp;window=popup_no_bar&amp;width=385&amp;height=120&amp;START_MAXIMIZED=FALSE&amp;creator=factset&amp;display_string=Audit"}</definedName>
    <definedName name="_3855__FDSAUDITLINK__" hidden="1">{"fdsup://Directions/FactSet Auditing Viewer?action=AUDIT_VALUE&amp;DB=129&amp;ID1=53567810&amp;VALUEID=02001&amp;SDATE=200802&amp;PERIODTYPE=QTR_STD&amp;SCFT=3&amp;window=popup_no_bar&amp;width=385&amp;height=120&amp;START_MAXIMIZED=FALSE&amp;creator=factset&amp;display_string=Audit"}</definedName>
    <definedName name="_3856__FDSAUDITLINK__" hidden="1">{"fdsup://Directions/FactSet Auditing Viewer?action=AUDIT_VALUE&amp;DB=129&amp;ID1=53567810&amp;VALUEID=02001&amp;SDATE=200802&amp;PERIODTYPE=QTR_STD&amp;SCFT=3&amp;window=popup_no_bar&amp;width=385&amp;height=120&amp;START_MAXIMIZED=FALSE&amp;creator=factset&amp;display_string=Audit"}</definedName>
    <definedName name="_3857__FDSAUDITLINK__" hidden="1">{"fdsup://Directions/FactSet Auditing Viewer?action=AUDIT_VALUE&amp;DB=129&amp;ID1=53567810&amp;VALUEID=02001&amp;SDATE=200801&amp;PERIODTYPE=QTR_STD&amp;SCFT=3&amp;window=popup_no_bar&amp;width=385&amp;height=120&amp;START_MAXIMIZED=FALSE&amp;creator=factset&amp;display_string=Audit"}</definedName>
    <definedName name="_3858__FDSAUDITLINK__" hidden="1">{"fdsup://Directions/FactSet Auditing Viewer?action=AUDIT_VALUE&amp;DB=129&amp;ID1=53567810&amp;VALUEID=02001&amp;SDATE=200801&amp;PERIODTYPE=QTR_STD&amp;SCFT=3&amp;window=popup_no_bar&amp;width=385&amp;height=120&amp;START_MAXIMIZED=FALSE&amp;creator=factset&amp;display_string=Audit"}</definedName>
    <definedName name="_3859__FDSAUDITLINK__" hidden="1">{"fdsup://Directions/FactSet Auditing Viewer?action=AUDIT_VALUE&amp;DB=129&amp;ID1=53567810&amp;VALUEID=02001&amp;SDATE=200703&amp;PERIODTYPE=QTR_STD&amp;SCFT=3&amp;window=popup_no_bar&amp;width=385&amp;height=120&amp;START_MAXIMIZED=FALSE&amp;creator=factset&amp;display_string=Audit"}</definedName>
    <definedName name="_386__FDSAUDITLINK__" hidden="1">{"fdsup://Directions/FactSet Auditing Viewer?action=AUDIT_VALUE&amp;DB=129&amp;ID1=46069S10&amp;VALUEID=02001&amp;SDATE=201003&amp;PERIODTYPE=QTR_STD&amp;SCFT=3&amp;window=popup_no_bar&amp;width=385&amp;height=120&amp;START_MAXIMIZED=FALSE&amp;creator=factset&amp;display_string=Audit"}</definedName>
    <definedName name="_3860__FDSAUDITLINK__" hidden="1">{"fdsup://Directions/FactSet Auditing Viewer?action=AUDIT_VALUE&amp;DB=129&amp;ID1=53567810&amp;VALUEID=02001&amp;SDATE=200703&amp;PERIODTYPE=QTR_STD&amp;SCFT=3&amp;window=popup_no_bar&amp;width=385&amp;height=120&amp;START_MAXIMIZED=FALSE&amp;creator=factset&amp;display_string=Audit"}</definedName>
    <definedName name="_3861__FDSAUDITLINK__" hidden="1">{"fdsup://Directions/FactSet Auditing Viewer?action=AUDIT_VALUE&amp;DB=129&amp;ID1=53567810&amp;VALUEID=02001&amp;SDATE=200702&amp;PERIODTYPE=QTR_STD&amp;SCFT=3&amp;window=popup_no_bar&amp;width=385&amp;height=120&amp;START_MAXIMIZED=FALSE&amp;creator=factset&amp;display_string=Audit"}</definedName>
    <definedName name="_3862__FDSAUDITLINK__" hidden="1">{"fdsup://Directions/FactSet Auditing Viewer?action=AUDIT_VALUE&amp;DB=129&amp;ID1=53567810&amp;VALUEID=02001&amp;SDATE=200702&amp;PERIODTYPE=QTR_STD&amp;SCFT=3&amp;window=popup_no_bar&amp;width=385&amp;height=120&amp;START_MAXIMIZED=FALSE&amp;creator=factset&amp;display_string=Audit"}</definedName>
    <definedName name="_3863__FDSAUDITLINK__" hidden="1">{"fdsup://Directions/FactSet Auditing Viewer?action=AUDIT_VALUE&amp;DB=129&amp;ID1=53567810&amp;VALUEID=02001&amp;SDATE=200701&amp;PERIODTYPE=QTR_STD&amp;SCFT=3&amp;window=popup_no_bar&amp;width=385&amp;height=120&amp;START_MAXIMIZED=FALSE&amp;creator=factset&amp;display_string=Audit"}</definedName>
    <definedName name="_3864__FDSAUDITLINK__" hidden="1">{"fdsup://Directions/FactSet Auditing Viewer?action=AUDIT_VALUE&amp;DB=129&amp;ID1=53567810&amp;VALUEID=02001&amp;SDATE=200701&amp;PERIODTYPE=QTR_STD&amp;SCFT=3&amp;window=popup_no_bar&amp;width=385&amp;height=120&amp;START_MAXIMIZED=FALSE&amp;creator=factset&amp;display_string=Audit"}</definedName>
    <definedName name="_3865__FDSAUDITLINK__" hidden="1">{"fdsup://Directions/FactSet Auditing Viewer?action=AUDIT_VALUE&amp;DB=129&amp;ID1=53567810&amp;VALUEID=02001&amp;SDATE=200603&amp;PERIODTYPE=QTR_STD&amp;SCFT=3&amp;window=popup_no_bar&amp;width=385&amp;height=120&amp;START_MAXIMIZED=FALSE&amp;creator=factset&amp;display_string=Audit"}</definedName>
    <definedName name="_3866__FDSAUDITLINK__" hidden="1">{"fdsup://Directions/FactSet Auditing Viewer?action=AUDIT_VALUE&amp;DB=129&amp;ID1=53567810&amp;VALUEID=02001&amp;SDATE=200603&amp;PERIODTYPE=QTR_STD&amp;SCFT=3&amp;window=popup_no_bar&amp;width=385&amp;height=120&amp;START_MAXIMIZED=FALSE&amp;creator=factset&amp;display_string=Audit"}</definedName>
    <definedName name="_3867__FDSAUDITLINK__" hidden="1">{"fdsup://Directions/FactSet Auditing Viewer?action=AUDIT_VALUE&amp;DB=129&amp;ID1=53567810&amp;VALUEID=02001&amp;SDATE=200602&amp;PERIODTYPE=QTR_STD&amp;SCFT=3&amp;window=popup_no_bar&amp;width=385&amp;height=120&amp;START_MAXIMIZED=FALSE&amp;creator=factset&amp;display_string=Audit"}</definedName>
    <definedName name="_3868__FDSAUDITLINK__" hidden="1">{"fdsup://Directions/FactSet Auditing Viewer?action=AUDIT_VALUE&amp;DB=129&amp;ID1=53567810&amp;VALUEID=02001&amp;SDATE=200602&amp;PERIODTYPE=QTR_STD&amp;SCFT=3&amp;window=popup_no_bar&amp;width=385&amp;height=120&amp;START_MAXIMIZED=FALSE&amp;creator=factset&amp;display_string=Audit"}</definedName>
    <definedName name="_3869__FDSAUDITLINK__" hidden="1">{"fdsup://Directions/FactSet Auditing Viewer?action=AUDIT_VALUE&amp;DB=129&amp;ID1=53567810&amp;VALUEID=02001&amp;SDATE=200601&amp;PERIODTYPE=QTR_STD&amp;SCFT=3&amp;window=popup_no_bar&amp;width=385&amp;height=120&amp;START_MAXIMIZED=FALSE&amp;creator=factset&amp;display_string=Audit"}</definedName>
    <definedName name="_387__FDSAUDITLINK__" hidden="1">{"fdsup://Directions/FactSet Auditing Viewer?action=AUDIT_VALUE&amp;DB=129&amp;ID1=46025410&amp;VALUEID=02001&amp;SDATE=201101&amp;PERIODTYPE=QTR_STD&amp;SCFT=3&amp;window=popup_no_bar&amp;width=385&amp;height=120&amp;START_MAXIMIZED=FALSE&amp;creator=factset&amp;display_string=Audit"}</definedName>
    <definedName name="_3870__FDSAUDITLINK__" hidden="1">{"fdsup://Directions/FactSet Auditing Viewer?action=AUDIT_VALUE&amp;DB=129&amp;ID1=53567810&amp;VALUEID=02001&amp;SDATE=200601&amp;PERIODTYPE=QTR_STD&amp;SCFT=3&amp;window=popup_no_bar&amp;width=385&amp;height=120&amp;START_MAXIMIZED=FALSE&amp;creator=factset&amp;display_string=Audit"}</definedName>
    <definedName name="_3871__FDSAUDITLINK__" hidden="1">{"fdsup://Directions/FactSet Auditing Viewer?action=AUDIT_VALUE&amp;DB=129&amp;ID1=53567810&amp;VALUEID=02001&amp;SDATE=200503&amp;PERIODTYPE=QTR_STD&amp;SCFT=3&amp;window=popup_no_bar&amp;width=385&amp;height=120&amp;START_MAXIMIZED=FALSE&amp;creator=factset&amp;display_string=Audit"}</definedName>
    <definedName name="_3872__FDSAUDITLINK__" hidden="1">{"fdsup://Directions/FactSet Auditing Viewer?action=AUDIT_VALUE&amp;DB=129&amp;ID1=53567810&amp;VALUEID=02001&amp;SDATE=200503&amp;PERIODTYPE=QTR_STD&amp;SCFT=3&amp;window=popup_no_bar&amp;width=385&amp;height=120&amp;START_MAXIMIZED=FALSE&amp;creator=factset&amp;display_string=Audit"}</definedName>
    <definedName name="_3873__FDSAUDITLINK__" hidden="1">{"fdsup://Directions/FactSet Auditing Viewer?action=AUDIT_VALUE&amp;DB=129&amp;ID1=53567810&amp;VALUEID=02001&amp;SDATE=200502&amp;PERIODTYPE=QTR_STD&amp;SCFT=3&amp;window=popup_no_bar&amp;width=385&amp;height=120&amp;START_MAXIMIZED=FALSE&amp;creator=factset&amp;display_string=Audit"}</definedName>
    <definedName name="_3874__FDSAUDITLINK__" hidden="1">{"fdsup://Directions/FactSet Auditing Viewer?action=AUDIT_VALUE&amp;DB=129&amp;ID1=53567810&amp;VALUEID=02001&amp;SDATE=200502&amp;PERIODTYPE=QTR_STD&amp;SCFT=3&amp;window=popup_no_bar&amp;width=385&amp;height=120&amp;START_MAXIMIZED=FALSE&amp;creator=factset&amp;display_string=Audit"}</definedName>
    <definedName name="_3875__FDSAUDITLINK__" hidden="1">{"fdsup://Directions/FactSet Auditing Viewer?action=AUDIT_VALUE&amp;DB=129&amp;ID1=53567810&amp;VALUEID=02001&amp;SDATE=200501&amp;PERIODTYPE=QTR_STD&amp;SCFT=3&amp;window=popup_no_bar&amp;width=385&amp;height=120&amp;START_MAXIMIZED=FALSE&amp;creator=factset&amp;display_string=Audit"}</definedName>
    <definedName name="_3876__FDSAUDITLINK__" hidden="1">{"fdsup://Directions/FactSet Auditing Viewer?action=AUDIT_VALUE&amp;DB=129&amp;ID1=53567810&amp;VALUEID=02001&amp;SDATE=200501&amp;PERIODTYPE=QTR_STD&amp;SCFT=3&amp;window=popup_no_bar&amp;width=385&amp;height=120&amp;START_MAXIMIZED=FALSE&amp;creator=factset&amp;display_string=Audit"}</definedName>
    <definedName name="_3877__FDSAUDITLINK__" hidden="1">{"fdsup://Directions/FactSet Auditing Viewer?action=AUDIT_VALUE&amp;DB=129&amp;ID1=53567810&amp;VALUEID=02001&amp;SDATE=200403&amp;PERIODTYPE=QTR_STD&amp;SCFT=3&amp;window=popup_no_bar&amp;width=385&amp;height=120&amp;START_MAXIMIZED=FALSE&amp;creator=factset&amp;display_string=Audit"}</definedName>
    <definedName name="_3878__FDSAUDITLINK__" hidden="1">{"fdsup://Directions/FactSet Auditing Viewer?action=AUDIT_VALUE&amp;DB=129&amp;ID1=53567810&amp;VALUEID=02001&amp;SDATE=200403&amp;PERIODTYPE=QTR_STD&amp;SCFT=3&amp;window=popup_no_bar&amp;width=385&amp;height=120&amp;START_MAXIMIZED=FALSE&amp;creator=factset&amp;display_string=Audit"}</definedName>
    <definedName name="_3879__FDSAUDITLINK__" hidden="1">{"fdsup://Directions/FactSet Auditing Viewer?action=AUDIT_VALUE&amp;DB=129&amp;ID1=48248010&amp;VALUEID=02001&amp;SDATE=200803&amp;PERIODTYPE=QTR_STD&amp;SCFT=3&amp;window=popup_no_bar&amp;width=385&amp;height=120&amp;START_MAXIMIZED=FALSE&amp;creator=factset&amp;display_string=Audit"}</definedName>
    <definedName name="_388__FDSAUDITLINK__" hidden="1">{"fdsup://Directions/FactSet Auditing Viewer?action=AUDIT_VALUE&amp;DB=129&amp;ID1=46025410&amp;VALUEID=02001&amp;SDATE=201101&amp;PERIODTYPE=QTR_STD&amp;SCFT=3&amp;window=popup_no_bar&amp;width=385&amp;height=120&amp;START_MAXIMIZED=FALSE&amp;creator=factset&amp;display_string=Audit"}</definedName>
    <definedName name="_3880__FDSAUDITLINK__" hidden="1">{"fdsup://Directions/FactSet Auditing Viewer?action=AUDIT_VALUE&amp;DB=129&amp;ID1=48248010&amp;VALUEID=02001&amp;SDATE=200803&amp;PERIODTYPE=QTR_STD&amp;SCFT=3&amp;window=popup_no_bar&amp;width=385&amp;height=120&amp;START_MAXIMIZED=FALSE&amp;creator=factset&amp;display_string=Audit"}</definedName>
    <definedName name="_3881__FDSAUDITLINK__" hidden="1">{"fdsup://Directions/FactSet Auditing Viewer?action=AUDIT_VALUE&amp;DB=129&amp;ID1=48248010&amp;VALUEID=02001&amp;SDATE=200802&amp;PERIODTYPE=QTR_STD&amp;SCFT=3&amp;window=popup_no_bar&amp;width=385&amp;height=120&amp;START_MAXIMIZED=FALSE&amp;creator=factset&amp;display_string=Audit"}</definedName>
    <definedName name="_3882__FDSAUDITLINK__" hidden="1">{"fdsup://Directions/FactSet Auditing Viewer?action=AUDIT_VALUE&amp;DB=129&amp;ID1=48248010&amp;VALUEID=02001&amp;SDATE=200802&amp;PERIODTYPE=QTR_STD&amp;SCFT=3&amp;window=popup_no_bar&amp;width=385&amp;height=120&amp;START_MAXIMIZED=FALSE&amp;creator=factset&amp;display_string=Audit"}</definedName>
    <definedName name="_3883__FDSAUDITLINK__" hidden="1">{"fdsup://Directions/FactSet Auditing Viewer?action=AUDIT_VALUE&amp;DB=129&amp;ID1=48248010&amp;VALUEID=02001&amp;SDATE=200801&amp;PERIODTYPE=QTR_STD&amp;SCFT=3&amp;window=popup_no_bar&amp;width=385&amp;height=120&amp;START_MAXIMIZED=FALSE&amp;creator=factset&amp;display_string=Audit"}</definedName>
    <definedName name="_3884__FDSAUDITLINK__" hidden="1">{"fdsup://Directions/FactSet Auditing Viewer?action=AUDIT_VALUE&amp;DB=129&amp;ID1=48248010&amp;VALUEID=02001&amp;SDATE=200801&amp;PERIODTYPE=QTR_STD&amp;SCFT=3&amp;window=popup_no_bar&amp;width=385&amp;height=120&amp;START_MAXIMIZED=FALSE&amp;creator=factset&amp;display_string=Audit"}</definedName>
    <definedName name="_3885__FDSAUDITLINK__" hidden="1">{"fdsup://Directions/FactSet Auditing Viewer?action=AUDIT_VALUE&amp;DB=129&amp;ID1=48248010&amp;VALUEID=02001&amp;SDATE=200703&amp;PERIODTYPE=QTR_STD&amp;SCFT=3&amp;window=popup_no_bar&amp;width=385&amp;height=120&amp;START_MAXIMIZED=FALSE&amp;creator=factset&amp;display_string=Audit"}</definedName>
    <definedName name="_3886__FDSAUDITLINK__" hidden="1">{"fdsup://Directions/FactSet Auditing Viewer?action=AUDIT_VALUE&amp;DB=129&amp;ID1=48248010&amp;VALUEID=02001&amp;SDATE=200703&amp;PERIODTYPE=QTR_STD&amp;SCFT=3&amp;window=popup_no_bar&amp;width=385&amp;height=120&amp;START_MAXIMIZED=FALSE&amp;creator=factset&amp;display_string=Audit"}</definedName>
    <definedName name="_3887__FDSAUDITLINK__" hidden="1">{"fdsup://Directions/FactSet Auditing Viewer?action=AUDIT_VALUE&amp;DB=129&amp;ID1=48248010&amp;VALUEID=02001&amp;SDATE=200702&amp;PERIODTYPE=QTR_STD&amp;SCFT=3&amp;window=popup_no_bar&amp;width=385&amp;height=120&amp;START_MAXIMIZED=FALSE&amp;creator=factset&amp;display_string=Audit"}</definedName>
    <definedName name="_3888__FDSAUDITLINK__" hidden="1">{"fdsup://Directions/FactSet Auditing Viewer?action=AUDIT_VALUE&amp;DB=129&amp;ID1=48248010&amp;VALUEID=02001&amp;SDATE=200702&amp;PERIODTYPE=QTR_STD&amp;SCFT=3&amp;window=popup_no_bar&amp;width=385&amp;height=120&amp;START_MAXIMIZED=FALSE&amp;creator=factset&amp;display_string=Audit"}</definedName>
    <definedName name="_3889__FDSAUDITLINK__" hidden="1">{"fdsup://Directions/FactSet Auditing Viewer?action=AUDIT_VALUE&amp;DB=129&amp;ID1=48248010&amp;VALUEID=02001&amp;SDATE=200701&amp;PERIODTYPE=QTR_STD&amp;SCFT=3&amp;window=popup_no_bar&amp;width=385&amp;height=120&amp;START_MAXIMIZED=FALSE&amp;creator=factset&amp;display_string=Audit"}</definedName>
    <definedName name="_389__FDSAUDITLINK__" hidden="1">{"fdsup://Directions/FactSet Auditing Viewer?action=AUDIT_VALUE&amp;DB=129&amp;ID1=45772F10&amp;VALUEID=02001&amp;SDATE=201003&amp;PERIODTYPE=QTR_STD&amp;SCFT=3&amp;window=popup_no_bar&amp;width=385&amp;height=120&amp;START_MAXIMIZED=FALSE&amp;creator=factset&amp;display_string=Audit"}</definedName>
    <definedName name="_3890__FDSAUDITLINK__" hidden="1">{"fdsup://Directions/FactSet Auditing Viewer?action=AUDIT_VALUE&amp;DB=129&amp;ID1=48248010&amp;VALUEID=02001&amp;SDATE=200701&amp;PERIODTYPE=QTR_STD&amp;SCFT=3&amp;window=popup_no_bar&amp;width=385&amp;height=120&amp;START_MAXIMIZED=FALSE&amp;creator=factset&amp;display_string=Audit"}</definedName>
    <definedName name="_3891__FDSAUDITLINK__" hidden="1">{"fdsup://Directions/FactSet Auditing Viewer?action=AUDIT_VALUE&amp;DB=129&amp;ID1=48248010&amp;VALUEID=02001&amp;SDATE=200603&amp;PERIODTYPE=QTR_STD&amp;SCFT=3&amp;window=popup_no_bar&amp;width=385&amp;height=120&amp;START_MAXIMIZED=FALSE&amp;creator=factset&amp;display_string=Audit"}</definedName>
    <definedName name="_3892__FDSAUDITLINK__" hidden="1">{"fdsup://Directions/FactSet Auditing Viewer?action=AUDIT_VALUE&amp;DB=129&amp;ID1=48248010&amp;VALUEID=02001&amp;SDATE=200603&amp;PERIODTYPE=QTR_STD&amp;SCFT=3&amp;window=popup_no_bar&amp;width=385&amp;height=120&amp;START_MAXIMIZED=FALSE&amp;creator=factset&amp;display_string=Audit"}</definedName>
    <definedName name="_3893__FDSAUDITLINK__" hidden="1">{"fdsup://Directions/FactSet Auditing Viewer?action=AUDIT_VALUE&amp;DB=129&amp;ID1=48248010&amp;VALUEID=02001&amp;SDATE=200602&amp;PERIODTYPE=QTR_STD&amp;SCFT=3&amp;window=popup_no_bar&amp;width=385&amp;height=120&amp;START_MAXIMIZED=FALSE&amp;creator=factset&amp;display_string=Audit"}</definedName>
    <definedName name="_3894__FDSAUDITLINK__" hidden="1">{"fdsup://Directions/FactSet Auditing Viewer?action=AUDIT_VALUE&amp;DB=129&amp;ID1=48248010&amp;VALUEID=02001&amp;SDATE=200602&amp;PERIODTYPE=QTR_STD&amp;SCFT=3&amp;window=popup_no_bar&amp;width=385&amp;height=120&amp;START_MAXIMIZED=FALSE&amp;creator=factset&amp;display_string=Audit"}</definedName>
    <definedName name="_3895__FDSAUDITLINK__" hidden="1">{"fdsup://Directions/FactSet Auditing Viewer?action=AUDIT_VALUE&amp;DB=129&amp;ID1=48248010&amp;VALUEID=02001&amp;SDATE=200601&amp;PERIODTYPE=QTR_STD&amp;SCFT=3&amp;window=popup_no_bar&amp;width=385&amp;height=120&amp;START_MAXIMIZED=FALSE&amp;creator=factset&amp;display_string=Audit"}</definedName>
    <definedName name="_3896__FDSAUDITLINK__" hidden="1">{"fdsup://Directions/FactSet Auditing Viewer?action=AUDIT_VALUE&amp;DB=129&amp;ID1=48248010&amp;VALUEID=02001&amp;SDATE=200601&amp;PERIODTYPE=QTR_STD&amp;SCFT=3&amp;window=popup_no_bar&amp;width=385&amp;height=120&amp;START_MAXIMIZED=FALSE&amp;creator=factset&amp;display_string=Audit"}</definedName>
    <definedName name="_3897__FDSAUDITLINK__" hidden="1">{"fdsup://Directions/FactSet Auditing Viewer?action=AUDIT_VALUE&amp;DB=129&amp;ID1=48248010&amp;VALUEID=02001&amp;SDATE=200503&amp;PERIODTYPE=QTR_STD&amp;SCFT=3&amp;window=popup_no_bar&amp;width=385&amp;height=120&amp;START_MAXIMIZED=FALSE&amp;creator=factset&amp;display_string=Audit"}</definedName>
    <definedName name="_3898__FDSAUDITLINK__" hidden="1">{"fdsup://Directions/FactSet Auditing Viewer?action=AUDIT_VALUE&amp;DB=129&amp;ID1=48248010&amp;VALUEID=02001&amp;SDATE=200503&amp;PERIODTYPE=QTR_STD&amp;SCFT=3&amp;window=popup_no_bar&amp;width=385&amp;height=120&amp;START_MAXIMIZED=FALSE&amp;creator=factset&amp;display_string=Audit"}</definedName>
    <definedName name="_3899__FDSAUDITLINK__" hidden="1">{"fdsup://Directions/FactSet Auditing Viewer?action=AUDIT_VALUE&amp;DB=129&amp;ID1=48248010&amp;VALUEID=02001&amp;SDATE=200502&amp;PERIODTYPE=QTR_STD&amp;SCFT=3&amp;window=popup_no_bar&amp;width=385&amp;height=120&amp;START_MAXIMIZED=FALSE&amp;creator=factset&amp;display_string=Audit"}</definedName>
    <definedName name="_39__FDSAUDITLINK__" hidden="1">{"fdsup://Directions/FactSet Auditing Viewer?action=AUDIT_VALUE&amp;DB=129&amp;ID1=74727710&amp;VALUEID=02001&amp;SDATE=201004&amp;PERIODTYPE=QTR_STD&amp;SCFT=3&amp;window=popup_no_bar&amp;width=385&amp;height=120&amp;START_MAXIMIZED=FALSE&amp;creator=factset&amp;display_string=Audit"}</definedName>
    <definedName name="_390__FDSAUDITLINK__" hidden="1">{"fdsup://Directions/FactSet Auditing Viewer?action=AUDIT_VALUE&amp;DB=129&amp;ID1=45772F10&amp;VALUEID=02001&amp;SDATE=201003&amp;PERIODTYPE=QTR_STD&amp;SCFT=3&amp;window=popup_no_bar&amp;width=385&amp;height=120&amp;START_MAXIMIZED=FALSE&amp;creator=factset&amp;display_string=Audit"}</definedName>
    <definedName name="_3900__FDSAUDITLINK__" hidden="1">{"fdsup://Directions/FactSet Auditing Viewer?action=AUDIT_VALUE&amp;DB=129&amp;ID1=48248010&amp;VALUEID=02001&amp;SDATE=200502&amp;PERIODTYPE=QTR_STD&amp;SCFT=3&amp;window=popup_no_bar&amp;width=385&amp;height=120&amp;START_MAXIMIZED=FALSE&amp;creator=factset&amp;display_string=Audit"}</definedName>
    <definedName name="_3901__FDSAUDITLINK__" hidden="1">{"fdsup://Directions/FactSet Auditing Viewer?action=AUDIT_VALUE&amp;DB=129&amp;ID1=48248010&amp;VALUEID=02001&amp;SDATE=200501&amp;PERIODTYPE=QTR_STD&amp;SCFT=3&amp;window=popup_no_bar&amp;width=385&amp;height=120&amp;START_MAXIMIZED=FALSE&amp;creator=factset&amp;display_string=Audit"}</definedName>
    <definedName name="_3902__FDSAUDITLINK__" hidden="1">{"fdsup://Directions/FactSet Auditing Viewer?action=AUDIT_VALUE&amp;DB=129&amp;ID1=48248010&amp;VALUEID=02001&amp;SDATE=200501&amp;PERIODTYPE=QTR_STD&amp;SCFT=3&amp;window=popup_no_bar&amp;width=385&amp;height=120&amp;START_MAXIMIZED=FALSE&amp;creator=factset&amp;display_string=Audit"}</definedName>
    <definedName name="_3903__FDSAUDITLINK__" hidden="1">{"fdsup://Directions/FactSet Auditing Viewer?action=AUDIT_VALUE&amp;DB=129&amp;ID1=48248010&amp;VALUEID=02001&amp;SDATE=200403&amp;PERIODTYPE=QTR_STD&amp;SCFT=3&amp;window=popup_no_bar&amp;width=385&amp;height=120&amp;START_MAXIMIZED=FALSE&amp;creator=factset&amp;display_string=Audit"}</definedName>
    <definedName name="_3904__FDSAUDITLINK__" hidden="1">{"fdsup://Directions/FactSet Auditing Viewer?action=AUDIT_VALUE&amp;DB=129&amp;ID1=48248010&amp;VALUEID=02001&amp;SDATE=200403&amp;PERIODTYPE=QTR_STD&amp;SCFT=3&amp;window=popup_no_bar&amp;width=385&amp;height=120&amp;START_MAXIMIZED=FALSE&amp;creator=factset&amp;display_string=Audit"}</definedName>
    <definedName name="_3905__FDSAUDITLINK__" hidden="1">{"fdsup://Directions/FactSet Auditing Viewer?action=AUDIT_VALUE&amp;DB=129&amp;ID1=48836020&amp;VALUEID=02001&amp;SDATE=200703&amp;PERIODTYPE=QTR_STD&amp;SCFT=3&amp;window=popup_no_bar&amp;width=385&amp;height=120&amp;START_MAXIMIZED=FALSE&amp;creator=factset&amp;display_string=Audit"}</definedName>
    <definedName name="_3906__FDSAUDITLINK__" hidden="1">{"fdsup://Directions/FactSet Auditing Viewer?action=AUDIT_VALUE&amp;DB=129&amp;ID1=48836020&amp;VALUEID=02001&amp;SDATE=200703&amp;PERIODTYPE=QTR_STD&amp;SCFT=3&amp;window=popup_no_bar&amp;width=385&amp;height=120&amp;START_MAXIMIZED=FALSE&amp;creator=factset&amp;display_string=Audit"}</definedName>
    <definedName name="_3907__FDSAUDITLINK__" hidden="1">{"fdsup://Directions/FactSet Auditing Viewer?action=AUDIT_VALUE&amp;DB=129&amp;ID1=48836020&amp;VALUEID=02001&amp;SDATE=200702&amp;PERIODTYPE=QTR_STD&amp;SCFT=3&amp;window=popup_no_bar&amp;width=385&amp;height=120&amp;START_MAXIMIZED=FALSE&amp;creator=factset&amp;display_string=Audit"}</definedName>
    <definedName name="_3908__FDSAUDITLINK__" hidden="1">{"fdsup://Directions/FactSet Auditing Viewer?action=AUDIT_VALUE&amp;DB=129&amp;ID1=48836020&amp;VALUEID=02001&amp;SDATE=200702&amp;PERIODTYPE=QTR_STD&amp;SCFT=3&amp;window=popup_no_bar&amp;width=385&amp;height=120&amp;START_MAXIMIZED=FALSE&amp;creator=factset&amp;display_string=Audit"}</definedName>
    <definedName name="_3909__FDSAUDITLINK__" hidden="1">{"fdsup://Directions/FactSet Auditing Viewer?action=AUDIT_VALUE&amp;DB=129&amp;ID1=48836020&amp;VALUEID=02001&amp;SDATE=200701&amp;PERIODTYPE=QTR_STD&amp;SCFT=3&amp;window=popup_no_bar&amp;width=385&amp;height=120&amp;START_MAXIMIZED=FALSE&amp;creator=factset&amp;display_string=Audit"}</definedName>
    <definedName name="_391__FDSAUDITLINK__" hidden="1">{"fdsup://Directions/FactSet Auditing Viewer?action=AUDIT_VALUE&amp;DB=129&amp;ID1=45814010&amp;VALUEID=02001&amp;SDATE=201003&amp;PERIODTYPE=QTR_STD&amp;SCFT=3&amp;window=popup_no_bar&amp;width=385&amp;height=120&amp;START_MAXIMIZED=FALSE&amp;creator=factset&amp;display_string=Audit"}</definedName>
    <definedName name="_3910__FDSAUDITLINK__" hidden="1">{"fdsup://Directions/FactSet Auditing Viewer?action=AUDIT_VALUE&amp;DB=129&amp;ID1=48836020&amp;VALUEID=02001&amp;SDATE=200701&amp;PERIODTYPE=QTR_STD&amp;SCFT=3&amp;window=popup_no_bar&amp;width=385&amp;height=120&amp;START_MAXIMIZED=FALSE&amp;creator=factset&amp;display_string=Audit"}</definedName>
    <definedName name="_3911__FDSAUDITLINK__" hidden="1">{"fdsup://Directions/FactSet Auditing Viewer?action=AUDIT_VALUE&amp;DB=129&amp;ID1=48836020&amp;VALUEID=02001&amp;SDATE=200603&amp;PERIODTYPE=QTR_STD&amp;SCFT=3&amp;window=popup_no_bar&amp;width=385&amp;height=120&amp;START_MAXIMIZED=FALSE&amp;creator=factset&amp;display_string=Audit"}</definedName>
    <definedName name="_3912__FDSAUDITLINK__" hidden="1">{"fdsup://Directions/FactSet Auditing Viewer?action=AUDIT_VALUE&amp;DB=129&amp;ID1=48836020&amp;VALUEID=02001&amp;SDATE=200603&amp;PERIODTYPE=QTR_STD&amp;SCFT=3&amp;window=popup_no_bar&amp;width=385&amp;height=120&amp;START_MAXIMIZED=FALSE&amp;creator=factset&amp;display_string=Audit"}</definedName>
    <definedName name="_3913__FDSAUDITLINK__" hidden="1">{"fdsup://Directions/FactSet Auditing Viewer?action=AUDIT_VALUE&amp;DB=129&amp;ID1=48836020&amp;VALUEID=02001&amp;SDATE=200602&amp;PERIODTYPE=QTR_STD&amp;SCFT=3&amp;window=popup_no_bar&amp;width=385&amp;height=120&amp;START_MAXIMIZED=FALSE&amp;creator=factset&amp;display_string=Audit"}</definedName>
    <definedName name="_3914__FDSAUDITLINK__" hidden="1">{"fdsup://Directions/FactSet Auditing Viewer?action=AUDIT_VALUE&amp;DB=129&amp;ID1=48836020&amp;VALUEID=02001&amp;SDATE=200602&amp;PERIODTYPE=QTR_STD&amp;SCFT=3&amp;window=popup_no_bar&amp;width=385&amp;height=120&amp;START_MAXIMIZED=FALSE&amp;creator=factset&amp;display_string=Audit"}</definedName>
    <definedName name="_3915__FDSAUDITLINK__" hidden="1">{"fdsup://Directions/FactSet Auditing Viewer?action=AUDIT_VALUE&amp;DB=129&amp;ID1=48836020&amp;VALUEID=02001&amp;SDATE=200601&amp;PERIODTYPE=QTR_STD&amp;SCFT=3&amp;window=popup_no_bar&amp;width=385&amp;height=120&amp;START_MAXIMIZED=FALSE&amp;creator=factset&amp;display_string=Audit"}</definedName>
    <definedName name="_3916__FDSAUDITLINK__" hidden="1">{"fdsup://Directions/FactSet Auditing Viewer?action=AUDIT_VALUE&amp;DB=129&amp;ID1=48836020&amp;VALUEID=02001&amp;SDATE=200601&amp;PERIODTYPE=QTR_STD&amp;SCFT=3&amp;window=popup_no_bar&amp;width=385&amp;height=120&amp;START_MAXIMIZED=FALSE&amp;creator=factset&amp;display_string=Audit"}</definedName>
    <definedName name="_3917__FDSAUDITLINK__" hidden="1">{"fdsup://Directions/FactSet Auditing Viewer?action=AUDIT_VALUE&amp;DB=129&amp;ID1=48836020&amp;VALUEID=02001&amp;SDATE=200503&amp;PERIODTYPE=QTR_STD&amp;SCFT=3&amp;window=popup_no_bar&amp;width=385&amp;height=120&amp;START_MAXIMIZED=FALSE&amp;creator=factset&amp;display_string=Audit"}</definedName>
    <definedName name="_3918__FDSAUDITLINK__" hidden="1">{"fdsup://Directions/FactSet Auditing Viewer?action=AUDIT_VALUE&amp;DB=129&amp;ID1=48836020&amp;VALUEID=02001&amp;SDATE=200503&amp;PERIODTYPE=QTR_STD&amp;SCFT=3&amp;window=popup_no_bar&amp;width=385&amp;height=120&amp;START_MAXIMIZED=FALSE&amp;creator=factset&amp;display_string=Audit"}</definedName>
    <definedName name="_3919__FDSAUDITLINK__" hidden="1">{"fdsup://Directions/FactSet Auditing Viewer?action=AUDIT_VALUE&amp;DB=129&amp;ID1=48203R10&amp;VALUEID=02001&amp;SDATE=200801&amp;PERIODTYPE=QTR_STD&amp;SCFT=3&amp;window=popup_no_bar&amp;width=385&amp;height=120&amp;START_MAXIMIZED=FALSE&amp;creator=factset&amp;display_string=Audit"}</definedName>
    <definedName name="_392__FDSAUDITLINK__" hidden="1">{"fdsup://Directions/FactSet Auditing Viewer?action=AUDIT_VALUE&amp;DB=129&amp;ID1=45814010&amp;VALUEID=02001&amp;SDATE=201003&amp;PERIODTYPE=QTR_STD&amp;SCFT=3&amp;window=popup_no_bar&amp;width=385&amp;height=120&amp;START_MAXIMIZED=FALSE&amp;creator=factset&amp;display_string=Audit"}</definedName>
    <definedName name="_3920__FDSAUDITLINK__" hidden="1">{"fdsup://Directions/FactSet Auditing Viewer?action=AUDIT_VALUE&amp;DB=129&amp;ID1=48203R10&amp;VALUEID=02001&amp;SDATE=200801&amp;PERIODTYPE=QTR_STD&amp;SCFT=3&amp;window=popup_no_bar&amp;width=385&amp;height=120&amp;START_MAXIMIZED=FALSE&amp;creator=factset&amp;display_string=Audit"}</definedName>
    <definedName name="_3921__FDSAUDITLINK__" hidden="1">{"fdsup://Directions/FactSet Auditing Viewer?action=AUDIT_VALUE&amp;DB=129&amp;ID1=48203R10&amp;VALUEID=02001&amp;SDATE=200703&amp;PERIODTYPE=QTR_STD&amp;SCFT=3&amp;window=popup_no_bar&amp;width=385&amp;height=120&amp;START_MAXIMIZED=FALSE&amp;creator=factset&amp;display_string=Audit"}</definedName>
    <definedName name="_3922__FDSAUDITLINK__" hidden="1">{"fdsup://Directions/FactSet Auditing Viewer?action=AUDIT_VALUE&amp;DB=129&amp;ID1=48203R10&amp;VALUEID=02001&amp;SDATE=200703&amp;PERIODTYPE=QTR_STD&amp;SCFT=3&amp;window=popup_no_bar&amp;width=385&amp;height=120&amp;START_MAXIMIZED=FALSE&amp;creator=factset&amp;display_string=Audit"}</definedName>
    <definedName name="_3923__FDSAUDITLINK__" hidden="1">{"fdsup://Directions/FactSet Auditing Viewer?action=AUDIT_VALUE&amp;DB=129&amp;ID1=48203R10&amp;VALUEID=02001&amp;SDATE=200702&amp;PERIODTYPE=QTR_STD&amp;SCFT=3&amp;window=popup_no_bar&amp;width=385&amp;height=120&amp;START_MAXIMIZED=FALSE&amp;creator=factset&amp;display_string=Audit"}</definedName>
    <definedName name="_3924__FDSAUDITLINK__" hidden="1">{"fdsup://Directions/FactSet Auditing Viewer?action=AUDIT_VALUE&amp;DB=129&amp;ID1=48203R10&amp;VALUEID=02001&amp;SDATE=200702&amp;PERIODTYPE=QTR_STD&amp;SCFT=3&amp;window=popup_no_bar&amp;width=385&amp;height=120&amp;START_MAXIMIZED=FALSE&amp;creator=factset&amp;display_string=Audit"}</definedName>
    <definedName name="_3925__FDSAUDITLINK__" hidden="1">{"fdsup://Directions/FactSet Auditing Viewer?action=AUDIT_VALUE&amp;DB=129&amp;ID1=48203R10&amp;VALUEID=02001&amp;SDATE=200701&amp;PERIODTYPE=QTR_STD&amp;SCFT=3&amp;window=popup_no_bar&amp;width=385&amp;height=120&amp;START_MAXIMIZED=FALSE&amp;creator=factset&amp;display_string=Audit"}</definedName>
    <definedName name="_3926__FDSAUDITLINK__" hidden="1">{"fdsup://Directions/FactSet Auditing Viewer?action=AUDIT_VALUE&amp;DB=129&amp;ID1=48203R10&amp;VALUEID=02001&amp;SDATE=200701&amp;PERIODTYPE=QTR_STD&amp;SCFT=3&amp;window=popup_no_bar&amp;width=385&amp;height=120&amp;START_MAXIMIZED=FALSE&amp;creator=factset&amp;display_string=Audit"}</definedName>
    <definedName name="_3927__FDSAUDITLINK__" hidden="1">{"fdsup://Directions/FactSet Auditing Viewer?action=AUDIT_VALUE&amp;DB=129&amp;ID1=48203R10&amp;VALUEID=02001&amp;SDATE=200603&amp;PERIODTYPE=QTR_STD&amp;SCFT=3&amp;window=popup_no_bar&amp;width=385&amp;height=120&amp;START_MAXIMIZED=FALSE&amp;creator=factset&amp;display_string=Audit"}</definedName>
    <definedName name="_3928__FDSAUDITLINK__" hidden="1">{"fdsup://Directions/FactSet Auditing Viewer?action=AUDIT_VALUE&amp;DB=129&amp;ID1=48203R10&amp;VALUEID=02001&amp;SDATE=200603&amp;PERIODTYPE=QTR_STD&amp;SCFT=3&amp;window=popup_no_bar&amp;width=385&amp;height=120&amp;START_MAXIMIZED=FALSE&amp;creator=factset&amp;display_string=Audit"}</definedName>
    <definedName name="_3929__FDSAUDITLINK__" hidden="1">{"fdsup://Directions/FactSet Auditing Viewer?action=AUDIT_VALUE&amp;DB=129&amp;ID1=48203R10&amp;VALUEID=02001&amp;SDATE=200602&amp;PERIODTYPE=QTR_STD&amp;SCFT=3&amp;window=popup_no_bar&amp;width=385&amp;height=120&amp;START_MAXIMIZED=FALSE&amp;creator=factset&amp;display_string=Audit"}</definedName>
    <definedName name="_393__FDSAUDITLINK__" hidden="1">{"fdsup://Directions/FactSet Auditing Viewer?action=AUDIT_VALUE&amp;DB=129&amp;ID1=45811810&amp;VALUEID=02001&amp;SDATE=201002&amp;PERIODTYPE=QTR_STD&amp;SCFT=3&amp;window=popup_no_bar&amp;width=385&amp;height=120&amp;START_MAXIMIZED=FALSE&amp;creator=factset&amp;display_string=Audit"}</definedName>
    <definedName name="_3930__FDSAUDITLINK__" hidden="1">{"fdsup://Directions/FactSet Auditing Viewer?action=AUDIT_VALUE&amp;DB=129&amp;ID1=48203R10&amp;VALUEID=02001&amp;SDATE=200602&amp;PERIODTYPE=QTR_STD&amp;SCFT=3&amp;window=popup_no_bar&amp;width=385&amp;height=120&amp;START_MAXIMIZED=FALSE&amp;creator=factset&amp;display_string=Audit"}</definedName>
    <definedName name="_3931__FDSAUDITLINK__" hidden="1">{"fdsup://Directions/FactSet Auditing Viewer?action=AUDIT_VALUE&amp;DB=129&amp;ID1=48203R10&amp;VALUEID=02001&amp;SDATE=200601&amp;PERIODTYPE=QTR_STD&amp;SCFT=3&amp;window=popup_no_bar&amp;width=385&amp;height=120&amp;START_MAXIMIZED=FALSE&amp;creator=factset&amp;display_string=Audit"}</definedName>
    <definedName name="_3932__FDSAUDITLINK__" hidden="1">{"fdsup://Directions/FactSet Auditing Viewer?action=AUDIT_VALUE&amp;DB=129&amp;ID1=48203R10&amp;VALUEID=02001&amp;SDATE=200601&amp;PERIODTYPE=QTR_STD&amp;SCFT=3&amp;window=popup_no_bar&amp;width=385&amp;height=120&amp;START_MAXIMIZED=FALSE&amp;creator=factset&amp;display_string=Audit"}</definedName>
    <definedName name="_3933__FDSAUDITLINK__" hidden="1">{"fdsup://Directions/FactSet Auditing Viewer?action=AUDIT_VALUE&amp;DB=129&amp;ID1=48203R10&amp;VALUEID=02001&amp;SDATE=200503&amp;PERIODTYPE=QTR_STD&amp;SCFT=3&amp;window=popup_no_bar&amp;width=385&amp;height=120&amp;START_MAXIMIZED=FALSE&amp;creator=factset&amp;display_string=Audit"}</definedName>
    <definedName name="_3934__FDSAUDITLINK__" hidden="1">{"fdsup://Directions/FactSet Auditing Viewer?action=AUDIT_VALUE&amp;DB=129&amp;ID1=48203R10&amp;VALUEID=02001&amp;SDATE=200503&amp;PERIODTYPE=QTR_STD&amp;SCFT=3&amp;window=popup_no_bar&amp;width=385&amp;height=120&amp;START_MAXIMIZED=FALSE&amp;creator=factset&amp;display_string=Audit"}</definedName>
    <definedName name="_3935__FDSAUDITLINK__" hidden="1">{"fdsup://Directions/FactSet Auditing Viewer?action=AUDIT_VALUE&amp;DB=129&amp;ID1=48203R10&amp;VALUEID=02001&amp;SDATE=200502&amp;PERIODTYPE=QTR_STD&amp;SCFT=3&amp;window=popup_no_bar&amp;width=385&amp;height=120&amp;START_MAXIMIZED=FALSE&amp;creator=factset&amp;display_string=Audit"}</definedName>
    <definedName name="_3936__FDSAUDITLINK__" hidden="1">{"fdsup://Directions/FactSet Auditing Viewer?action=AUDIT_VALUE&amp;DB=129&amp;ID1=48203R10&amp;VALUEID=02001&amp;SDATE=200502&amp;PERIODTYPE=QTR_STD&amp;SCFT=3&amp;window=popup_no_bar&amp;width=385&amp;height=120&amp;START_MAXIMIZED=FALSE&amp;creator=factset&amp;display_string=Audit"}</definedName>
    <definedName name="_3937__FDSAUDITLINK__" hidden="1">{"fdsup://Directions/FactSet Auditing Viewer?action=AUDIT_VALUE&amp;DB=129&amp;ID1=48203R10&amp;VALUEID=02001&amp;SDATE=200501&amp;PERIODTYPE=QTR_STD&amp;SCFT=3&amp;window=popup_no_bar&amp;width=385&amp;height=120&amp;START_MAXIMIZED=FALSE&amp;creator=factset&amp;display_string=Audit"}</definedName>
    <definedName name="_3938__FDSAUDITLINK__" hidden="1">{"fdsup://Directions/FactSet Auditing Viewer?action=AUDIT_VALUE&amp;DB=129&amp;ID1=48203R10&amp;VALUEID=02001&amp;SDATE=200501&amp;PERIODTYPE=QTR_STD&amp;SCFT=3&amp;window=popup_no_bar&amp;width=385&amp;height=120&amp;START_MAXIMIZED=FALSE&amp;creator=factset&amp;display_string=Audit"}</definedName>
    <definedName name="_3939__FDSAUDITLINK__" hidden="1">{"fdsup://Directions/FactSet Auditing Viewer?action=AUDIT_VALUE&amp;DB=129&amp;ID1=48203R10&amp;VALUEID=02001&amp;SDATE=200403&amp;PERIODTYPE=QTR_STD&amp;SCFT=3&amp;window=popup_no_bar&amp;width=385&amp;height=120&amp;START_MAXIMIZED=FALSE&amp;creator=factset&amp;display_string=Audit"}</definedName>
    <definedName name="_394__FDSAUDITLINK__" hidden="1">{"fdsup://Directions/FactSet Auditing Viewer?action=AUDIT_VALUE&amp;DB=129&amp;ID1=45811810&amp;VALUEID=02001&amp;SDATE=201002&amp;PERIODTYPE=QTR_STD&amp;SCFT=3&amp;window=popup_no_bar&amp;width=385&amp;height=120&amp;START_MAXIMIZED=FALSE&amp;creator=factset&amp;display_string=Audit"}</definedName>
    <definedName name="_3940__FDSAUDITLINK__" hidden="1">{"fdsup://Directions/FactSet Auditing Viewer?action=AUDIT_VALUE&amp;DB=129&amp;ID1=48203R10&amp;VALUEID=02001&amp;SDATE=200403&amp;PERIODTYPE=QTR_STD&amp;SCFT=3&amp;window=popup_no_bar&amp;width=385&amp;height=120&amp;START_MAXIMIZED=FALSE&amp;creator=factset&amp;display_string=Audit"}</definedName>
    <definedName name="_3941__FDSAUDITLINK__" hidden="1">{"fdsup://Directions/FactSet Auditing Viewer?action=AUDIT_VALUE&amp;DB=129&amp;ID1=48203R10&amp;VALUEID=02001&amp;SDATE=200402&amp;PERIODTYPE=QTR_STD&amp;SCFT=3&amp;window=popup_no_bar&amp;width=385&amp;height=120&amp;START_MAXIMIZED=FALSE&amp;creator=factset&amp;display_string=Audit"}</definedName>
    <definedName name="_3942__FDSAUDITLINK__" hidden="1">{"fdsup://Directions/FactSet Auditing Viewer?action=AUDIT_VALUE&amp;DB=129&amp;ID1=48203R10&amp;VALUEID=02001&amp;SDATE=200402&amp;PERIODTYPE=QTR_STD&amp;SCFT=3&amp;window=popup_no_bar&amp;width=385&amp;height=120&amp;START_MAXIMIZED=FALSE&amp;creator=factset&amp;display_string=Audit"}</definedName>
    <definedName name="_3943__FDSAUDITLINK__" hidden="1">{"fdsup://Directions/FactSet Auditing Viewer?action=AUDIT_VALUE&amp;DB=129&amp;ID1=48203R10&amp;VALUEID=02001&amp;SDATE=200401&amp;PERIODTYPE=QTR_STD&amp;SCFT=3&amp;window=popup_no_bar&amp;width=385&amp;height=120&amp;START_MAXIMIZED=FALSE&amp;creator=factset&amp;display_string=Audit"}</definedName>
    <definedName name="_3944__FDSAUDITLINK__" hidden="1">{"fdsup://Directions/FactSet Auditing Viewer?action=AUDIT_VALUE&amp;DB=129&amp;ID1=48203R10&amp;VALUEID=02001&amp;SDATE=200401&amp;PERIODTYPE=QTR_STD&amp;SCFT=3&amp;window=popup_no_bar&amp;width=385&amp;height=120&amp;START_MAXIMIZED=FALSE&amp;creator=factset&amp;display_string=Audit"}</definedName>
    <definedName name="_3945__FDSAUDITLINK__" hidden="1">{"fdsup://Directions/FactSet Auditing Viewer?action=AUDIT_VALUE&amp;DB=129&amp;ID1=86681020&amp;VALUEID=02001&amp;SDATE=200803&amp;PERIODTYPE=QTR_STD&amp;SCFT=3&amp;window=popup_no_bar&amp;width=385&amp;height=120&amp;START_MAXIMIZED=FALSE&amp;creator=factset&amp;display_string=Audit"}</definedName>
    <definedName name="_3946__FDSAUDITLINK__" hidden="1">{"fdsup://Directions/FactSet Auditing Viewer?action=AUDIT_VALUE&amp;DB=129&amp;ID1=86681020&amp;VALUEID=02001&amp;SDATE=200803&amp;PERIODTYPE=QTR_STD&amp;SCFT=3&amp;window=popup_no_bar&amp;width=385&amp;height=120&amp;START_MAXIMIZED=FALSE&amp;creator=factset&amp;display_string=Audit"}</definedName>
    <definedName name="_3947__FDSAUDITLINK__" hidden="1">{"fdsup://Directions/FactSet Auditing Viewer?action=AUDIT_VALUE&amp;DB=129&amp;ID1=86681020&amp;VALUEID=02001&amp;SDATE=200802&amp;PERIODTYPE=QTR_STD&amp;SCFT=3&amp;window=popup_no_bar&amp;width=385&amp;height=120&amp;START_MAXIMIZED=FALSE&amp;creator=factset&amp;display_string=Audit"}</definedName>
    <definedName name="_3948__FDSAUDITLINK__" hidden="1">{"fdsup://Directions/FactSet Auditing Viewer?action=AUDIT_VALUE&amp;DB=129&amp;ID1=86681020&amp;VALUEID=02001&amp;SDATE=200802&amp;PERIODTYPE=QTR_STD&amp;SCFT=3&amp;window=popup_no_bar&amp;width=385&amp;height=120&amp;START_MAXIMIZED=FALSE&amp;creator=factset&amp;display_string=Audit"}</definedName>
    <definedName name="_3949__FDSAUDITLINK__" hidden="1">{"fdsup://Directions/FactSet Auditing Viewer?action=AUDIT_VALUE&amp;DB=129&amp;ID1=86681020&amp;VALUEID=02001&amp;SDATE=200801&amp;PERIODTYPE=QTR_STD&amp;SCFT=3&amp;window=popup_no_bar&amp;width=385&amp;height=120&amp;START_MAXIMIZED=FALSE&amp;creator=factset&amp;display_string=Audit"}</definedName>
    <definedName name="_395__FDSAUDITLINK__" hidden="1">{"fdsup://Directions/FactSet Auditing Viewer?action=AUDIT_VALUE&amp;DB=129&amp;ID1=42823610&amp;VALUEID=02001&amp;SDATE=201004&amp;PERIODTYPE=QTR_STD&amp;SCFT=3&amp;window=popup_no_bar&amp;width=385&amp;height=120&amp;START_MAXIMIZED=FALSE&amp;creator=factset&amp;display_string=Audit"}</definedName>
    <definedName name="_3950__FDSAUDITLINK__" hidden="1">{"fdsup://Directions/FactSet Auditing Viewer?action=AUDIT_VALUE&amp;DB=129&amp;ID1=86681020&amp;VALUEID=02001&amp;SDATE=200801&amp;PERIODTYPE=QTR_STD&amp;SCFT=3&amp;window=popup_no_bar&amp;width=385&amp;height=120&amp;START_MAXIMIZED=FALSE&amp;creator=factset&amp;display_string=Audit"}</definedName>
    <definedName name="_3951__FDSAUDITLINK__" hidden="1">{"fdsup://Directions/FactSet Auditing Viewer?action=AUDIT_VALUE&amp;DB=129&amp;ID1=86681020&amp;VALUEID=02001&amp;SDATE=200703&amp;PERIODTYPE=QTR_STD&amp;SCFT=3&amp;window=popup_no_bar&amp;width=385&amp;height=120&amp;START_MAXIMIZED=FALSE&amp;creator=factset&amp;display_string=Audit"}</definedName>
    <definedName name="_3952__FDSAUDITLINK__" hidden="1">{"fdsup://Directions/FactSet Auditing Viewer?action=AUDIT_VALUE&amp;DB=129&amp;ID1=86681020&amp;VALUEID=02001&amp;SDATE=200703&amp;PERIODTYPE=QTR_STD&amp;SCFT=3&amp;window=popup_no_bar&amp;width=385&amp;height=120&amp;START_MAXIMIZED=FALSE&amp;creator=factset&amp;display_string=Audit"}</definedName>
    <definedName name="_3953__FDSAUDITLINK__" hidden="1">{"fdsup://Directions/FactSet Auditing Viewer?action=AUDIT_VALUE&amp;DB=129&amp;ID1=86681020&amp;VALUEID=02001&amp;SDATE=200702&amp;PERIODTYPE=QTR_STD&amp;SCFT=3&amp;window=popup_no_bar&amp;width=385&amp;height=120&amp;START_MAXIMIZED=FALSE&amp;creator=factset&amp;display_string=Audit"}</definedName>
    <definedName name="_3954__FDSAUDITLINK__" hidden="1">{"fdsup://Directions/FactSet Auditing Viewer?action=AUDIT_VALUE&amp;DB=129&amp;ID1=86681020&amp;VALUEID=02001&amp;SDATE=200702&amp;PERIODTYPE=QTR_STD&amp;SCFT=3&amp;window=popup_no_bar&amp;width=385&amp;height=120&amp;START_MAXIMIZED=FALSE&amp;creator=factset&amp;display_string=Audit"}</definedName>
    <definedName name="_3955__FDSAUDITLINK__" hidden="1">{"fdsup://Directions/FactSet Auditing Viewer?action=AUDIT_VALUE&amp;DB=129&amp;ID1=86681020&amp;VALUEID=02001&amp;SDATE=200701&amp;PERIODTYPE=QTR_STD&amp;SCFT=3&amp;window=popup_no_bar&amp;width=385&amp;height=120&amp;START_MAXIMIZED=FALSE&amp;creator=factset&amp;display_string=Audit"}</definedName>
    <definedName name="_3956__FDSAUDITLINK__" hidden="1">{"fdsup://Directions/FactSet Auditing Viewer?action=AUDIT_VALUE&amp;DB=129&amp;ID1=86681020&amp;VALUEID=02001&amp;SDATE=200701&amp;PERIODTYPE=QTR_STD&amp;SCFT=3&amp;window=popup_no_bar&amp;width=385&amp;height=120&amp;START_MAXIMIZED=FALSE&amp;creator=factset&amp;display_string=Audit"}</definedName>
    <definedName name="_3957__FDSAUDITLINK__" hidden="1">{"fdsup://Directions/FactSet Auditing Viewer?action=AUDIT_VALUE&amp;DB=129&amp;ID1=86681020&amp;VALUEID=02001&amp;SDATE=200603&amp;PERIODTYPE=QTR_STD&amp;SCFT=3&amp;window=popup_no_bar&amp;width=385&amp;height=120&amp;START_MAXIMIZED=FALSE&amp;creator=factset&amp;display_string=Audit"}</definedName>
    <definedName name="_3958__FDSAUDITLINK__" hidden="1">{"fdsup://Directions/FactSet Auditing Viewer?action=AUDIT_VALUE&amp;DB=129&amp;ID1=86681020&amp;VALUEID=02001&amp;SDATE=200603&amp;PERIODTYPE=QTR_STD&amp;SCFT=3&amp;window=popup_no_bar&amp;width=385&amp;height=120&amp;START_MAXIMIZED=FALSE&amp;creator=factset&amp;display_string=Audit"}</definedName>
    <definedName name="_3959__FDSAUDITLINK__" hidden="1">{"fdsup://Directions/FactSet Auditing Viewer?action=AUDIT_VALUE&amp;DB=129&amp;ID1=86681020&amp;VALUEID=02001&amp;SDATE=200602&amp;PERIODTYPE=QTR_STD&amp;SCFT=3&amp;window=popup_no_bar&amp;width=385&amp;height=120&amp;START_MAXIMIZED=FALSE&amp;creator=factset&amp;display_string=Audit"}</definedName>
    <definedName name="_396__FDSAUDITLINK__" hidden="1">{"fdsup://Directions/FactSet Auditing Viewer?action=AUDIT_VALUE&amp;DB=129&amp;ID1=42823610&amp;VALUEID=02001&amp;SDATE=201004&amp;PERIODTYPE=QTR_STD&amp;SCFT=3&amp;window=popup_no_bar&amp;width=385&amp;height=120&amp;START_MAXIMIZED=FALSE&amp;creator=factset&amp;display_string=Audit"}</definedName>
    <definedName name="_3960__FDSAUDITLINK__" hidden="1">{"fdsup://Directions/FactSet Auditing Viewer?action=AUDIT_VALUE&amp;DB=129&amp;ID1=86681020&amp;VALUEID=02001&amp;SDATE=200602&amp;PERIODTYPE=QTR_STD&amp;SCFT=3&amp;window=popup_no_bar&amp;width=385&amp;height=120&amp;START_MAXIMIZED=FALSE&amp;creator=factset&amp;display_string=Audit"}</definedName>
    <definedName name="_3961__FDSAUDITLINK__" hidden="1">{"fdsup://Directions/FactSet Auditing Viewer?action=AUDIT_VALUE&amp;DB=129&amp;ID1=86681020&amp;VALUEID=02001&amp;SDATE=200601&amp;PERIODTYPE=QTR_STD&amp;SCFT=3&amp;window=popup_no_bar&amp;width=385&amp;height=120&amp;START_MAXIMIZED=FALSE&amp;creator=factset&amp;display_string=Audit"}</definedName>
    <definedName name="_3962__FDSAUDITLINK__" hidden="1">{"fdsup://Directions/FactSet Auditing Viewer?action=AUDIT_VALUE&amp;DB=129&amp;ID1=86681020&amp;VALUEID=02001&amp;SDATE=200601&amp;PERIODTYPE=QTR_STD&amp;SCFT=3&amp;window=popup_no_bar&amp;width=385&amp;height=120&amp;START_MAXIMIZED=FALSE&amp;creator=factset&amp;display_string=Audit"}</definedName>
    <definedName name="_3963__FDSAUDITLINK__" hidden="1">{"fdsup://Directions/FactSet Auditing Viewer?action=AUDIT_VALUE&amp;DB=129&amp;ID1=86681020&amp;VALUEID=02001&amp;SDATE=200503&amp;PERIODTYPE=QTR_STD&amp;SCFT=3&amp;window=popup_no_bar&amp;width=385&amp;height=120&amp;START_MAXIMIZED=FALSE&amp;creator=factset&amp;display_string=Audit"}</definedName>
    <definedName name="_3964__FDSAUDITLINK__" hidden="1">{"fdsup://Directions/FactSet Auditing Viewer?action=AUDIT_VALUE&amp;DB=129&amp;ID1=86681020&amp;VALUEID=02001&amp;SDATE=200503&amp;PERIODTYPE=QTR_STD&amp;SCFT=3&amp;window=popup_no_bar&amp;width=385&amp;height=120&amp;START_MAXIMIZED=FALSE&amp;creator=factset&amp;display_string=Audit"}</definedName>
    <definedName name="_3965__FDSAUDITLINK__" hidden="1">{"fdsup://Directions/FactSet Auditing Viewer?action=AUDIT_VALUE&amp;DB=129&amp;ID1=86681020&amp;VALUEID=02001&amp;SDATE=200502&amp;PERIODTYPE=QTR_STD&amp;SCFT=3&amp;window=popup_no_bar&amp;width=385&amp;height=120&amp;START_MAXIMIZED=FALSE&amp;creator=factset&amp;display_string=Audit"}</definedName>
    <definedName name="_3966__FDSAUDITLINK__" hidden="1">{"fdsup://Directions/FactSet Auditing Viewer?action=AUDIT_VALUE&amp;DB=129&amp;ID1=86681020&amp;VALUEID=02001&amp;SDATE=200502&amp;PERIODTYPE=QTR_STD&amp;SCFT=3&amp;window=popup_no_bar&amp;width=385&amp;height=120&amp;START_MAXIMIZED=FALSE&amp;creator=factset&amp;display_string=Audit"}</definedName>
    <definedName name="_3967__FDSAUDITLINK__" hidden="1">{"fdsup://Directions/FactSet Auditing Viewer?action=AUDIT_VALUE&amp;DB=129&amp;ID1=86681020&amp;VALUEID=02001&amp;SDATE=200501&amp;PERIODTYPE=QTR_STD&amp;SCFT=3&amp;window=popup_no_bar&amp;width=385&amp;height=120&amp;START_MAXIMIZED=FALSE&amp;creator=factset&amp;display_string=Audit"}</definedName>
    <definedName name="_3968__FDSAUDITLINK__" hidden="1">{"fdsup://Directions/FactSet Auditing Viewer?action=AUDIT_VALUE&amp;DB=129&amp;ID1=86681020&amp;VALUEID=02001&amp;SDATE=200501&amp;PERIODTYPE=QTR_STD&amp;SCFT=3&amp;window=popup_no_bar&amp;width=385&amp;height=120&amp;START_MAXIMIZED=FALSE&amp;creator=factset&amp;display_string=Audit"}</definedName>
    <definedName name="_3969__FDSAUDITLINK__" hidden="1">{"fdsup://Directions/FactSet Auditing Viewer?action=AUDIT_VALUE&amp;DB=129&amp;ID1=86681020&amp;VALUEID=02001&amp;SDATE=200403&amp;PERIODTYPE=QTR_STD&amp;SCFT=3&amp;window=popup_no_bar&amp;width=385&amp;height=120&amp;START_MAXIMIZED=FALSE&amp;creator=factset&amp;display_string=Audit"}</definedName>
    <definedName name="_397__FDSAUDITLINK__" hidden="1">{"fdsup://Directions/FactSet Auditing Viewer?action=AUDIT_VALUE&amp;DB=129&amp;ID1=H2906T10&amp;VALUEID=02001&amp;SDATE=201003&amp;PERIODTYPE=QTR_STD&amp;SCFT=3&amp;window=popup_no_bar&amp;width=385&amp;height=120&amp;START_MAXIMIZED=FALSE&amp;creator=factset&amp;display_string=Audit"}</definedName>
    <definedName name="_3970__FDSAUDITLINK__" hidden="1">{"fdsup://Directions/FactSet Auditing Viewer?action=AUDIT_VALUE&amp;DB=129&amp;ID1=86681020&amp;VALUEID=02001&amp;SDATE=200403&amp;PERIODTYPE=QTR_STD&amp;SCFT=3&amp;window=popup_no_bar&amp;width=385&amp;height=120&amp;START_MAXIMIZED=FALSE&amp;creator=factset&amp;display_string=Audit"}</definedName>
    <definedName name="_3971__FDSAUDITLINK__" hidden="1">{"fdsup://Directions/FactSet Auditing Viewer?action=AUDIT_VALUE&amp;DB=129&amp;ID1=46069S10&amp;VALUEID=02001&amp;SDATE=200801&amp;PERIODTYPE=QTR_STD&amp;SCFT=3&amp;window=popup_no_bar&amp;width=385&amp;height=120&amp;START_MAXIMIZED=FALSE&amp;creator=factset&amp;display_string=Audit"}</definedName>
    <definedName name="_3972__FDSAUDITLINK__" hidden="1">{"fdsup://Directions/FactSet Auditing Viewer?action=AUDIT_VALUE&amp;DB=129&amp;ID1=46069S10&amp;VALUEID=02001&amp;SDATE=200801&amp;PERIODTYPE=QTR_STD&amp;SCFT=3&amp;window=popup_no_bar&amp;width=385&amp;height=120&amp;START_MAXIMIZED=FALSE&amp;creator=factset&amp;display_string=Audit"}</definedName>
    <definedName name="_3973__FDSAUDITLINK__" hidden="1">{"fdsup://Directions/FactSet Auditing Viewer?action=AUDIT_VALUE&amp;DB=129&amp;ID1=46069S10&amp;VALUEID=02001&amp;SDATE=200703&amp;PERIODTYPE=QTR_STD&amp;SCFT=3&amp;window=popup_no_bar&amp;width=385&amp;height=120&amp;START_MAXIMIZED=FALSE&amp;creator=factset&amp;display_string=Audit"}</definedName>
    <definedName name="_3974__FDSAUDITLINK__" hidden="1">{"fdsup://Directions/FactSet Auditing Viewer?action=AUDIT_VALUE&amp;DB=129&amp;ID1=46069S10&amp;VALUEID=02001&amp;SDATE=200703&amp;PERIODTYPE=QTR_STD&amp;SCFT=3&amp;window=popup_no_bar&amp;width=385&amp;height=120&amp;START_MAXIMIZED=FALSE&amp;creator=factset&amp;display_string=Audit"}</definedName>
    <definedName name="_3975__FDSAUDITLINK__" hidden="1">{"fdsup://Directions/FactSet Auditing Viewer?action=AUDIT_VALUE&amp;DB=129&amp;ID1=46069S10&amp;VALUEID=02001&amp;SDATE=200702&amp;PERIODTYPE=QTR_STD&amp;SCFT=3&amp;window=popup_no_bar&amp;width=385&amp;height=120&amp;START_MAXIMIZED=FALSE&amp;creator=factset&amp;display_string=Audit"}</definedName>
    <definedName name="_3976__FDSAUDITLINK__" hidden="1">{"fdsup://Directions/FactSet Auditing Viewer?action=AUDIT_VALUE&amp;DB=129&amp;ID1=46069S10&amp;VALUEID=02001&amp;SDATE=200702&amp;PERIODTYPE=QTR_STD&amp;SCFT=3&amp;window=popup_no_bar&amp;width=385&amp;height=120&amp;START_MAXIMIZED=FALSE&amp;creator=factset&amp;display_string=Audit"}</definedName>
    <definedName name="_3977__FDSAUDITLINK__" hidden="1">{"fdsup://Directions/FactSet Auditing Viewer?action=AUDIT_VALUE&amp;DB=129&amp;ID1=46069S10&amp;VALUEID=02001&amp;SDATE=200701&amp;PERIODTYPE=QTR_STD&amp;SCFT=3&amp;window=popup_no_bar&amp;width=385&amp;height=120&amp;START_MAXIMIZED=FALSE&amp;creator=factset&amp;display_string=Audit"}</definedName>
    <definedName name="_3978__FDSAUDITLINK__" hidden="1">{"fdsup://Directions/FactSet Auditing Viewer?action=AUDIT_VALUE&amp;DB=129&amp;ID1=46069S10&amp;VALUEID=02001&amp;SDATE=200701&amp;PERIODTYPE=QTR_STD&amp;SCFT=3&amp;window=popup_no_bar&amp;width=385&amp;height=120&amp;START_MAXIMIZED=FALSE&amp;creator=factset&amp;display_string=Audit"}</definedName>
    <definedName name="_3979__FDSAUDITLINK__" hidden="1">{"fdsup://Directions/FactSet Auditing Viewer?action=AUDIT_VALUE&amp;DB=129&amp;ID1=46069S10&amp;VALUEID=02001&amp;SDATE=200603&amp;PERIODTYPE=QTR_STD&amp;SCFT=3&amp;window=popup_no_bar&amp;width=385&amp;height=120&amp;START_MAXIMIZED=FALSE&amp;creator=factset&amp;display_string=Audit"}</definedName>
    <definedName name="_398__FDSAUDITLINK__" hidden="1">{"fdsup://Directions/FactSet Auditing Viewer?action=AUDIT_VALUE&amp;DB=129&amp;ID1=H2906T10&amp;VALUEID=02001&amp;SDATE=201003&amp;PERIODTYPE=QTR_STD&amp;SCFT=3&amp;window=popup_no_bar&amp;width=385&amp;height=120&amp;START_MAXIMIZED=FALSE&amp;creator=factset&amp;display_string=Audit"}</definedName>
    <definedName name="_3980__FDSAUDITLINK__" hidden="1">{"fdsup://Directions/FactSet Auditing Viewer?action=AUDIT_VALUE&amp;DB=129&amp;ID1=46069S10&amp;VALUEID=02001&amp;SDATE=200603&amp;PERIODTYPE=QTR_STD&amp;SCFT=3&amp;window=popup_no_bar&amp;width=385&amp;height=120&amp;START_MAXIMIZED=FALSE&amp;creator=factset&amp;display_string=Audit"}</definedName>
    <definedName name="_3981__FDSAUDITLINK__" hidden="1">{"fdsup://Directions/FactSet Auditing Viewer?action=AUDIT_VALUE&amp;DB=129&amp;ID1=46069S10&amp;VALUEID=02001&amp;SDATE=200602&amp;PERIODTYPE=QTR_STD&amp;SCFT=3&amp;window=popup_no_bar&amp;width=385&amp;height=120&amp;START_MAXIMIZED=FALSE&amp;creator=factset&amp;display_string=Audit"}</definedName>
    <definedName name="_3982__FDSAUDITLINK__" hidden="1">{"fdsup://Directions/FactSet Auditing Viewer?action=AUDIT_VALUE&amp;DB=129&amp;ID1=46069S10&amp;VALUEID=02001&amp;SDATE=200602&amp;PERIODTYPE=QTR_STD&amp;SCFT=3&amp;window=popup_no_bar&amp;width=385&amp;height=120&amp;START_MAXIMIZED=FALSE&amp;creator=factset&amp;display_string=Audit"}</definedName>
    <definedName name="_3983__FDSAUDITLINK__" hidden="1">{"fdsup://Directions/FactSet Auditing Viewer?action=AUDIT_VALUE&amp;DB=129&amp;ID1=46069S10&amp;VALUEID=02001&amp;SDATE=200601&amp;PERIODTYPE=QTR_STD&amp;SCFT=3&amp;window=popup_no_bar&amp;width=385&amp;height=120&amp;START_MAXIMIZED=FALSE&amp;creator=factset&amp;display_string=Audit"}</definedName>
    <definedName name="_3984__FDSAUDITLINK__" hidden="1">{"fdsup://Directions/FactSet Auditing Viewer?action=AUDIT_VALUE&amp;DB=129&amp;ID1=46069S10&amp;VALUEID=02001&amp;SDATE=200601&amp;PERIODTYPE=QTR_STD&amp;SCFT=3&amp;window=popup_no_bar&amp;width=385&amp;height=120&amp;START_MAXIMIZED=FALSE&amp;creator=factset&amp;display_string=Audit"}</definedName>
    <definedName name="_3985__FDSAUDITLINK__" hidden="1">{"fdsup://Directions/FactSet Auditing Viewer?action=AUDIT_VALUE&amp;DB=129&amp;ID1=46069S10&amp;VALUEID=02001&amp;SDATE=200503&amp;PERIODTYPE=QTR_STD&amp;SCFT=3&amp;window=popup_no_bar&amp;width=385&amp;height=120&amp;START_MAXIMIZED=FALSE&amp;creator=factset&amp;display_string=Audit"}</definedName>
    <definedName name="_3986__FDSAUDITLINK__" hidden="1">{"fdsup://Directions/FactSet Auditing Viewer?action=AUDIT_VALUE&amp;DB=129&amp;ID1=46069S10&amp;VALUEID=02001&amp;SDATE=200503&amp;PERIODTYPE=QTR_STD&amp;SCFT=3&amp;window=popup_no_bar&amp;width=385&amp;height=120&amp;START_MAXIMIZED=FALSE&amp;creator=factset&amp;display_string=Audit"}</definedName>
    <definedName name="_3987__FDSAUDITLINK__" hidden="1">{"fdsup://Directions/FactSet Auditing Viewer?action=AUDIT_VALUE&amp;DB=129&amp;ID1=46069S10&amp;VALUEID=02001&amp;SDATE=200502&amp;PERIODTYPE=QTR_STD&amp;SCFT=3&amp;window=popup_no_bar&amp;width=385&amp;height=120&amp;START_MAXIMIZED=FALSE&amp;creator=factset&amp;display_string=Audit"}</definedName>
    <definedName name="_3988__FDSAUDITLINK__" hidden="1">{"fdsup://Directions/FactSet Auditing Viewer?action=AUDIT_VALUE&amp;DB=129&amp;ID1=46069S10&amp;VALUEID=02001&amp;SDATE=200502&amp;PERIODTYPE=QTR_STD&amp;SCFT=3&amp;window=popup_no_bar&amp;width=385&amp;height=120&amp;START_MAXIMIZED=FALSE&amp;creator=factset&amp;display_string=Audit"}</definedName>
    <definedName name="_3989__FDSAUDITLINK__" hidden="1">{"fdsup://Directions/FactSet Auditing Viewer?action=AUDIT_VALUE&amp;DB=129&amp;ID1=46069S10&amp;VALUEID=02001&amp;SDATE=200501&amp;PERIODTYPE=QTR_STD&amp;SCFT=3&amp;window=popup_no_bar&amp;width=385&amp;height=120&amp;START_MAXIMIZED=FALSE&amp;creator=factset&amp;display_string=Audit"}</definedName>
    <definedName name="_399__FDSAUDITLINK__" hidden="1">{"fdsup://Directions/FactSet Auditing Viewer?action=AUDIT_VALUE&amp;DB=129&amp;ID1=34637510&amp;VALUEID=02001&amp;SDATE=201003&amp;PERIODTYPE=QTR_STD&amp;SCFT=3&amp;window=popup_no_bar&amp;width=385&amp;height=120&amp;START_MAXIMIZED=FALSE&amp;creator=factset&amp;display_string=Audit"}</definedName>
    <definedName name="_3990__FDSAUDITLINK__" hidden="1">{"fdsup://Directions/FactSet Auditing Viewer?action=AUDIT_VALUE&amp;DB=129&amp;ID1=46069S10&amp;VALUEID=02001&amp;SDATE=200501&amp;PERIODTYPE=QTR_STD&amp;SCFT=3&amp;window=popup_no_bar&amp;width=385&amp;height=120&amp;START_MAXIMIZED=FALSE&amp;creator=factset&amp;display_string=Audit"}</definedName>
    <definedName name="_3991__FDSAUDITLINK__" hidden="1">{"fdsup://Directions/FactSet Auditing Viewer?action=AUDIT_VALUE&amp;DB=129&amp;ID1=46069S10&amp;VALUEID=02001&amp;SDATE=200403&amp;PERIODTYPE=QTR_STD&amp;SCFT=3&amp;window=popup_no_bar&amp;width=385&amp;height=120&amp;START_MAXIMIZED=FALSE&amp;creator=factset&amp;display_string=Audit"}</definedName>
    <definedName name="_3992__FDSAUDITLINK__" hidden="1">{"fdsup://Directions/FactSet Auditing Viewer?action=AUDIT_VALUE&amp;DB=129&amp;ID1=46069S10&amp;VALUEID=02001&amp;SDATE=200403&amp;PERIODTYPE=QTR_STD&amp;SCFT=3&amp;window=popup_no_bar&amp;width=385&amp;height=120&amp;START_MAXIMIZED=FALSE&amp;creator=factset&amp;display_string=Audit"}</definedName>
    <definedName name="_3993__FDSAUDITLINK__" hidden="1">{"fdsup://Directions/FactSet Auditing Viewer?action=AUDIT_VALUE&amp;DB=129&amp;ID1=46069S10&amp;VALUEID=02001&amp;SDATE=200402&amp;PERIODTYPE=QTR_STD&amp;SCFT=3&amp;window=popup_no_bar&amp;width=385&amp;height=120&amp;START_MAXIMIZED=FALSE&amp;creator=factset&amp;display_string=Audit"}</definedName>
    <definedName name="_3994__FDSAUDITLINK__" hidden="1">{"fdsup://Directions/FactSet Auditing Viewer?action=AUDIT_VALUE&amp;DB=129&amp;ID1=46069S10&amp;VALUEID=02001&amp;SDATE=200402&amp;PERIODTYPE=QTR_STD&amp;SCFT=3&amp;window=popup_no_bar&amp;width=385&amp;height=120&amp;START_MAXIMIZED=FALSE&amp;creator=factset&amp;display_string=Audit"}</definedName>
    <definedName name="_3995__FDSAUDITLINK__" hidden="1">{"fdsup://Directions/FactSet Auditing Viewer?action=AUDIT_VALUE&amp;DB=129&amp;ID1=46069S10&amp;VALUEID=02001&amp;SDATE=200401&amp;PERIODTYPE=QTR_STD&amp;SCFT=3&amp;window=popup_no_bar&amp;width=385&amp;height=120&amp;START_MAXIMIZED=FALSE&amp;creator=factset&amp;display_string=Audit"}</definedName>
    <definedName name="_3996__FDSAUDITLINK__" hidden="1">{"fdsup://Directions/FactSet Auditing Viewer?action=AUDIT_VALUE&amp;DB=129&amp;ID1=46069S10&amp;VALUEID=02001&amp;SDATE=200401&amp;PERIODTYPE=QTR_STD&amp;SCFT=3&amp;window=popup_no_bar&amp;width=385&amp;height=120&amp;START_MAXIMIZED=FALSE&amp;creator=factset&amp;display_string=Audit"}</definedName>
    <definedName name="_3997__FDSAUDITLINK__" hidden="1">{"fdsup://Directions/FactSet Auditing Viewer?action=AUDIT_VALUE&amp;DB=129&amp;ID1=46025410&amp;VALUEID=02001&amp;SDATE=200803&amp;PERIODTYPE=QTR_STD&amp;SCFT=3&amp;window=popup_no_bar&amp;width=385&amp;height=120&amp;START_MAXIMIZED=FALSE&amp;creator=factset&amp;display_string=Audit"}</definedName>
    <definedName name="_3998__FDSAUDITLINK__" hidden="1">{"fdsup://Directions/FactSet Auditing Viewer?action=AUDIT_VALUE&amp;DB=129&amp;ID1=46025410&amp;VALUEID=02001&amp;SDATE=200803&amp;PERIODTYPE=QTR_STD&amp;SCFT=3&amp;window=popup_no_bar&amp;width=385&amp;height=120&amp;START_MAXIMIZED=FALSE&amp;creator=factset&amp;display_string=Audit"}</definedName>
    <definedName name="_3999__FDSAUDITLINK__" hidden="1">{"fdsup://Directions/FactSet Auditing Viewer?action=AUDIT_VALUE&amp;DB=129&amp;ID1=46025410&amp;VALUEID=02001&amp;SDATE=200802&amp;PERIODTYPE=QTR_STD&amp;SCFT=3&amp;window=popup_no_bar&amp;width=385&amp;height=120&amp;START_MAXIMIZED=FALSE&amp;creator=factset&amp;display_string=Audit"}</definedName>
    <definedName name="_4__FDSAUDITLINK__" hidden="1">{"fdsup://Directions/FactSet Auditing Viewer?action=AUDIT_VALUE&amp;DB=129&amp;ID1=74752510&amp;VALUEID=02001&amp;SDATE=201104&amp;PERIODTYPE=QTR_STD&amp;SCFT=3&amp;window=popup_no_bar&amp;width=385&amp;height=120&amp;START_MAXIMIZED=FALSE&amp;creator=factset&amp;display_string=Audit"}</definedName>
    <definedName name="_40__FDSAUDITLINK__" hidden="1">{"fdsup://Directions/FactSet Auditing Viewer?action=AUDIT_VALUE&amp;DB=129&amp;ID1=74727710&amp;VALUEID=02001&amp;SDATE=201004&amp;PERIODTYPE=QTR_STD&amp;SCFT=3&amp;window=popup_no_bar&amp;width=385&amp;height=120&amp;START_MAXIMIZED=FALSE&amp;creator=factset&amp;display_string=Audit"}</definedName>
    <definedName name="_400__FDSAUDITLINK__" hidden="1">{"fdsup://Directions/FactSet Auditing Viewer?action=AUDIT_VALUE&amp;DB=129&amp;ID1=34637510&amp;VALUEID=02001&amp;SDATE=201003&amp;PERIODTYPE=QTR_STD&amp;SCFT=3&amp;window=popup_no_bar&amp;width=385&amp;height=120&amp;START_MAXIMIZED=FALSE&amp;creator=factset&amp;display_string=Audit"}</definedName>
    <definedName name="_4000__FDSAUDITLINK__" hidden="1">{"fdsup://Directions/FactSet Auditing Viewer?action=AUDIT_VALUE&amp;DB=129&amp;ID1=46025410&amp;VALUEID=02001&amp;SDATE=200802&amp;PERIODTYPE=QTR_STD&amp;SCFT=3&amp;window=popup_no_bar&amp;width=385&amp;height=120&amp;START_MAXIMIZED=FALSE&amp;creator=factset&amp;display_string=Audit"}</definedName>
    <definedName name="_4001__FDSAUDITLINK__" hidden="1">{"fdsup://Directions/FactSet Auditing Viewer?action=AUDIT_VALUE&amp;DB=129&amp;ID1=46025410&amp;VALUEID=02001&amp;SDATE=200801&amp;PERIODTYPE=QTR_STD&amp;SCFT=3&amp;window=popup_no_bar&amp;width=385&amp;height=120&amp;START_MAXIMIZED=FALSE&amp;creator=factset&amp;display_string=Audit"}</definedName>
    <definedName name="_4002__FDSAUDITLINK__" hidden="1">{"fdsup://Directions/FactSet Auditing Viewer?action=AUDIT_VALUE&amp;DB=129&amp;ID1=46025410&amp;VALUEID=02001&amp;SDATE=200801&amp;PERIODTYPE=QTR_STD&amp;SCFT=3&amp;window=popup_no_bar&amp;width=385&amp;height=120&amp;START_MAXIMIZED=FALSE&amp;creator=factset&amp;display_string=Audit"}</definedName>
    <definedName name="_4003__FDSAUDITLINK__" hidden="1">{"fdsup://Directions/FactSet Auditing Viewer?action=AUDIT_VALUE&amp;DB=129&amp;ID1=46025410&amp;VALUEID=02001&amp;SDATE=200703&amp;PERIODTYPE=QTR_STD&amp;SCFT=3&amp;window=popup_no_bar&amp;width=385&amp;height=120&amp;START_MAXIMIZED=FALSE&amp;creator=factset&amp;display_string=Audit"}</definedName>
    <definedName name="_4004__FDSAUDITLINK__" hidden="1">{"fdsup://Directions/FactSet Auditing Viewer?action=AUDIT_VALUE&amp;DB=129&amp;ID1=46025410&amp;VALUEID=02001&amp;SDATE=200703&amp;PERIODTYPE=QTR_STD&amp;SCFT=3&amp;window=popup_no_bar&amp;width=385&amp;height=120&amp;START_MAXIMIZED=FALSE&amp;creator=factset&amp;display_string=Audit"}</definedName>
    <definedName name="_4005__FDSAUDITLINK__" hidden="1">{"fdsup://Directions/FactSet Auditing Viewer?action=AUDIT_VALUE&amp;DB=129&amp;ID1=46025410&amp;VALUEID=02001&amp;SDATE=200702&amp;PERIODTYPE=QTR_STD&amp;SCFT=3&amp;window=popup_no_bar&amp;width=385&amp;height=120&amp;START_MAXIMIZED=FALSE&amp;creator=factset&amp;display_string=Audit"}</definedName>
    <definedName name="_4006__FDSAUDITLINK__" hidden="1">{"fdsup://Directions/FactSet Auditing Viewer?action=AUDIT_VALUE&amp;DB=129&amp;ID1=46025410&amp;VALUEID=02001&amp;SDATE=200702&amp;PERIODTYPE=QTR_STD&amp;SCFT=3&amp;window=popup_no_bar&amp;width=385&amp;height=120&amp;START_MAXIMIZED=FALSE&amp;creator=factset&amp;display_string=Audit"}</definedName>
    <definedName name="_4007__FDSAUDITLINK__" hidden="1">{"fdsup://Directions/FactSet Auditing Viewer?action=AUDIT_VALUE&amp;DB=129&amp;ID1=46025410&amp;VALUEID=02001&amp;SDATE=200701&amp;PERIODTYPE=QTR_STD&amp;SCFT=3&amp;window=popup_no_bar&amp;width=385&amp;height=120&amp;START_MAXIMIZED=FALSE&amp;creator=factset&amp;display_string=Audit"}</definedName>
    <definedName name="_4008__FDSAUDITLINK__" hidden="1">{"fdsup://Directions/FactSet Auditing Viewer?action=AUDIT_VALUE&amp;DB=129&amp;ID1=46025410&amp;VALUEID=02001&amp;SDATE=200701&amp;PERIODTYPE=QTR_STD&amp;SCFT=3&amp;window=popup_no_bar&amp;width=385&amp;height=120&amp;START_MAXIMIZED=FALSE&amp;creator=factset&amp;display_string=Audit"}</definedName>
    <definedName name="_4009__FDSAUDITLINK__" hidden="1">{"fdsup://Directions/FactSet Auditing Viewer?action=AUDIT_VALUE&amp;DB=129&amp;ID1=46025410&amp;VALUEID=02001&amp;SDATE=200603&amp;PERIODTYPE=QTR_STD&amp;SCFT=3&amp;window=popup_no_bar&amp;width=385&amp;height=120&amp;START_MAXIMIZED=FALSE&amp;creator=factset&amp;display_string=Audit"}</definedName>
    <definedName name="_401__FDSAUDITLINK__" hidden="1">{"fdsup://Directions/FactSet Auditing Viewer?action=AUDIT_VALUE&amp;DB=129&amp;ID1=31561610&amp;VALUEID=02001&amp;SDATE=201004&amp;PERIODTYPE=QTR_STD&amp;SCFT=3&amp;window=popup_no_bar&amp;width=385&amp;height=120&amp;START_MAXIMIZED=FALSE&amp;creator=factset&amp;display_string=Audit"}</definedName>
    <definedName name="_4010__FDSAUDITLINK__" hidden="1">{"fdsup://Directions/FactSet Auditing Viewer?action=AUDIT_VALUE&amp;DB=129&amp;ID1=46025410&amp;VALUEID=02001&amp;SDATE=200603&amp;PERIODTYPE=QTR_STD&amp;SCFT=3&amp;window=popup_no_bar&amp;width=385&amp;height=120&amp;START_MAXIMIZED=FALSE&amp;creator=factset&amp;display_string=Audit"}</definedName>
    <definedName name="_4011__FDSAUDITLINK__" hidden="1">{"fdsup://Directions/FactSet Auditing Viewer?action=AUDIT_VALUE&amp;DB=129&amp;ID1=46025410&amp;VALUEID=02001&amp;SDATE=200602&amp;PERIODTYPE=QTR_STD&amp;SCFT=3&amp;window=popup_no_bar&amp;width=385&amp;height=120&amp;START_MAXIMIZED=FALSE&amp;creator=factset&amp;display_string=Audit"}</definedName>
    <definedName name="_4012__FDSAUDITLINK__" hidden="1">{"fdsup://Directions/FactSet Auditing Viewer?action=AUDIT_VALUE&amp;DB=129&amp;ID1=46025410&amp;VALUEID=02001&amp;SDATE=200602&amp;PERIODTYPE=QTR_STD&amp;SCFT=3&amp;window=popup_no_bar&amp;width=385&amp;height=120&amp;START_MAXIMIZED=FALSE&amp;creator=factset&amp;display_string=Audit"}</definedName>
    <definedName name="_4013__FDSAUDITLINK__" hidden="1">{"fdsup://Directions/FactSet Auditing Viewer?action=AUDIT_VALUE&amp;DB=129&amp;ID1=46025410&amp;VALUEID=02001&amp;SDATE=200601&amp;PERIODTYPE=QTR_STD&amp;SCFT=3&amp;window=popup_no_bar&amp;width=385&amp;height=120&amp;START_MAXIMIZED=FALSE&amp;creator=factset&amp;display_string=Audit"}</definedName>
    <definedName name="_4014__FDSAUDITLINK__" hidden="1">{"fdsup://Directions/FactSet Auditing Viewer?action=AUDIT_VALUE&amp;DB=129&amp;ID1=46025410&amp;VALUEID=02001&amp;SDATE=200601&amp;PERIODTYPE=QTR_STD&amp;SCFT=3&amp;window=popup_no_bar&amp;width=385&amp;height=120&amp;START_MAXIMIZED=FALSE&amp;creator=factset&amp;display_string=Audit"}</definedName>
    <definedName name="_4015__FDSAUDITLINK__" hidden="1">{"fdsup://Directions/FactSet Auditing Viewer?action=AUDIT_VALUE&amp;DB=129&amp;ID1=46025410&amp;VALUEID=02001&amp;SDATE=200504&amp;PERIODTYPE=QTR_STD&amp;SCFT=3&amp;window=popup_no_bar&amp;width=385&amp;height=120&amp;START_MAXIMIZED=FALSE&amp;creator=factset&amp;display_string=Audit"}</definedName>
    <definedName name="_4016__FDSAUDITLINK__" hidden="1">{"fdsup://Directions/FactSet Auditing Viewer?action=AUDIT_VALUE&amp;DB=129&amp;ID1=46025410&amp;VALUEID=02001&amp;SDATE=200504&amp;PERIODTYPE=QTR_STD&amp;SCFT=3&amp;window=popup_no_bar&amp;width=385&amp;height=120&amp;START_MAXIMIZED=FALSE&amp;creator=factset&amp;display_string=Audit"}</definedName>
    <definedName name="_4017__FDSAUDITLINK__" hidden="1">{"fdsup://Directions/FactSet Auditing Viewer?action=AUDIT_VALUE&amp;DB=129&amp;ID1=46025410&amp;VALUEID=02001&amp;SDATE=200503&amp;PERIODTYPE=QTR_STD&amp;SCFT=3&amp;window=popup_no_bar&amp;width=385&amp;height=120&amp;START_MAXIMIZED=FALSE&amp;creator=factset&amp;display_string=Audit"}</definedName>
    <definedName name="_4018__FDSAUDITLINK__" hidden="1">{"fdsup://Directions/FactSet Auditing Viewer?action=AUDIT_VALUE&amp;DB=129&amp;ID1=46025410&amp;VALUEID=02001&amp;SDATE=200503&amp;PERIODTYPE=QTR_STD&amp;SCFT=3&amp;window=popup_no_bar&amp;width=385&amp;height=120&amp;START_MAXIMIZED=FALSE&amp;creator=factset&amp;display_string=Audit"}</definedName>
    <definedName name="_4019__FDSAUDITLINK__" hidden="1">{"fdsup://Directions/FactSet Auditing Viewer?action=AUDIT_VALUE&amp;DB=129&amp;ID1=46025410&amp;VALUEID=02001&amp;SDATE=200502&amp;PERIODTYPE=QTR_STD&amp;SCFT=3&amp;window=popup_no_bar&amp;width=385&amp;height=120&amp;START_MAXIMIZED=FALSE&amp;creator=factset&amp;display_string=Audit"}</definedName>
    <definedName name="_402__FDSAUDITLINK__" hidden="1">{"fdsup://Directions/FactSet Auditing Viewer?action=AUDIT_VALUE&amp;DB=129&amp;ID1=31561610&amp;VALUEID=02001&amp;SDATE=201004&amp;PERIODTYPE=QTR_STD&amp;SCFT=3&amp;window=popup_no_bar&amp;width=385&amp;height=120&amp;START_MAXIMIZED=FALSE&amp;creator=factset&amp;display_string=Audit"}</definedName>
    <definedName name="_4020__FDSAUDITLINK__" hidden="1">{"fdsup://Directions/FactSet Auditing Viewer?action=AUDIT_VALUE&amp;DB=129&amp;ID1=46025410&amp;VALUEID=02001&amp;SDATE=200502&amp;PERIODTYPE=QTR_STD&amp;SCFT=3&amp;window=popup_no_bar&amp;width=385&amp;height=120&amp;START_MAXIMIZED=FALSE&amp;creator=factset&amp;display_string=Audit"}</definedName>
    <definedName name="_4021__FDSAUDITLINK__" hidden="1">{"fdsup://Directions/FactSet Auditing Viewer?action=AUDIT_VALUE&amp;DB=129&amp;ID1=46025410&amp;VALUEID=02001&amp;SDATE=200501&amp;PERIODTYPE=QTR_STD&amp;SCFT=3&amp;window=popup_no_bar&amp;width=385&amp;height=120&amp;START_MAXIMIZED=FALSE&amp;creator=factset&amp;display_string=Audit"}</definedName>
    <definedName name="_4022__FDSAUDITLINK__" hidden="1">{"fdsup://Directions/FactSet Auditing Viewer?action=AUDIT_VALUE&amp;DB=129&amp;ID1=46025410&amp;VALUEID=02001&amp;SDATE=200501&amp;PERIODTYPE=QTR_STD&amp;SCFT=3&amp;window=popup_no_bar&amp;width=385&amp;height=120&amp;START_MAXIMIZED=FALSE&amp;creator=factset&amp;display_string=Audit"}</definedName>
    <definedName name="_4023__FDSAUDITLINK__" hidden="1">{"fdsup://Directions/FactSet Auditing Viewer?action=AUDIT_VALUE&amp;DB=129&amp;ID1=46025410&amp;VALUEID=02001&amp;SDATE=200404&amp;PERIODTYPE=QTR_STD&amp;SCFT=3&amp;window=popup_no_bar&amp;width=385&amp;height=120&amp;START_MAXIMIZED=FALSE&amp;creator=factset&amp;display_string=Audit"}</definedName>
    <definedName name="_4024__FDSAUDITLINK__" hidden="1">{"fdsup://Directions/FactSet Auditing Viewer?action=AUDIT_VALUE&amp;DB=129&amp;ID1=46025410&amp;VALUEID=02001&amp;SDATE=200404&amp;PERIODTYPE=QTR_STD&amp;SCFT=3&amp;window=popup_no_bar&amp;width=385&amp;height=120&amp;START_MAXIMIZED=FALSE&amp;creator=factset&amp;display_string=Audit"}</definedName>
    <definedName name="_4025__FDSAUDITLINK__" hidden="1">{"fdsup://Directions/FactSet Auditing Viewer?action=AUDIT_VALUE&amp;DB=129&amp;ID1=45814010&amp;VALUEID=02001&amp;SDATE=200801&amp;PERIODTYPE=QTR_STD&amp;SCFT=3&amp;window=popup_no_bar&amp;width=385&amp;height=120&amp;START_MAXIMIZED=FALSE&amp;creator=factset&amp;display_string=Audit"}</definedName>
    <definedName name="_4026__FDSAUDITLINK__" hidden="1">{"fdsup://Directions/FactSet Auditing Viewer?action=AUDIT_VALUE&amp;DB=129&amp;ID1=45814010&amp;VALUEID=02001&amp;SDATE=200801&amp;PERIODTYPE=QTR_STD&amp;SCFT=3&amp;window=popup_no_bar&amp;width=385&amp;height=120&amp;START_MAXIMIZED=FALSE&amp;creator=factset&amp;display_string=Audit"}</definedName>
    <definedName name="_4027__FDSAUDITLINK__" hidden="1">{"fdsup://Directions/FactSet Auditing Viewer?action=AUDIT_VALUE&amp;DB=129&amp;ID1=45814010&amp;VALUEID=02001&amp;SDATE=200703&amp;PERIODTYPE=QTR_STD&amp;SCFT=3&amp;window=popup_no_bar&amp;width=385&amp;height=120&amp;START_MAXIMIZED=FALSE&amp;creator=factset&amp;display_string=Audit"}</definedName>
    <definedName name="_4028__FDSAUDITLINK__" hidden="1">{"fdsup://Directions/FactSet Auditing Viewer?action=AUDIT_VALUE&amp;DB=129&amp;ID1=45814010&amp;VALUEID=02001&amp;SDATE=200703&amp;PERIODTYPE=QTR_STD&amp;SCFT=3&amp;window=popup_no_bar&amp;width=385&amp;height=120&amp;START_MAXIMIZED=FALSE&amp;creator=factset&amp;display_string=Audit"}</definedName>
    <definedName name="_4029__FDSAUDITLINK__" hidden="1">{"fdsup://Directions/FactSet Auditing Viewer?action=AUDIT_VALUE&amp;DB=129&amp;ID1=45814010&amp;VALUEID=02001&amp;SDATE=200702&amp;PERIODTYPE=QTR_STD&amp;SCFT=3&amp;window=popup_no_bar&amp;width=385&amp;height=120&amp;START_MAXIMIZED=FALSE&amp;creator=factset&amp;display_string=Audit"}</definedName>
    <definedName name="_403__FDSAUDITLINK__" hidden="1">{"fdsup://Directions/FactSet Auditing Viewer?action=AUDIT_VALUE&amp;DB=129&amp;ID1=29247520&amp;VALUEID=02001&amp;SDATE=201101&amp;PERIODTYPE=QTR_STD&amp;SCFT=3&amp;window=popup_no_bar&amp;width=385&amp;height=120&amp;START_MAXIMIZED=FALSE&amp;creator=factset&amp;display_string=Audit"}</definedName>
    <definedName name="_4030__FDSAUDITLINK__" hidden="1">{"fdsup://Directions/FactSet Auditing Viewer?action=AUDIT_VALUE&amp;DB=129&amp;ID1=45814010&amp;VALUEID=02001&amp;SDATE=200702&amp;PERIODTYPE=QTR_STD&amp;SCFT=3&amp;window=popup_no_bar&amp;width=385&amp;height=120&amp;START_MAXIMIZED=FALSE&amp;creator=factset&amp;display_string=Audit"}</definedName>
    <definedName name="_4031__FDSAUDITLINK__" hidden="1">{"fdsup://Directions/FactSet Auditing Viewer?action=AUDIT_VALUE&amp;DB=129&amp;ID1=45814010&amp;VALUEID=02001&amp;SDATE=200701&amp;PERIODTYPE=QTR_STD&amp;SCFT=3&amp;window=popup_no_bar&amp;width=385&amp;height=120&amp;START_MAXIMIZED=FALSE&amp;creator=factset&amp;display_string=Audit"}</definedName>
    <definedName name="_4032__FDSAUDITLINK__" hidden="1">{"fdsup://Directions/FactSet Auditing Viewer?action=AUDIT_VALUE&amp;DB=129&amp;ID1=45814010&amp;VALUEID=02001&amp;SDATE=200701&amp;PERIODTYPE=QTR_STD&amp;SCFT=3&amp;window=popup_no_bar&amp;width=385&amp;height=120&amp;START_MAXIMIZED=FALSE&amp;creator=factset&amp;display_string=Audit"}</definedName>
    <definedName name="_4033__FDSAUDITLINK__" hidden="1">{"fdsup://Directions/FactSet Auditing Viewer?action=AUDIT_VALUE&amp;DB=129&amp;ID1=45814010&amp;VALUEID=02001&amp;SDATE=200603&amp;PERIODTYPE=QTR_STD&amp;SCFT=3&amp;window=popup_no_bar&amp;width=385&amp;height=120&amp;START_MAXIMIZED=FALSE&amp;creator=factset&amp;display_string=Audit"}</definedName>
    <definedName name="_4034__FDSAUDITLINK__" hidden="1">{"fdsup://Directions/FactSet Auditing Viewer?action=AUDIT_VALUE&amp;DB=129&amp;ID1=45814010&amp;VALUEID=02001&amp;SDATE=200603&amp;PERIODTYPE=QTR_STD&amp;SCFT=3&amp;window=popup_no_bar&amp;width=385&amp;height=120&amp;START_MAXIMIZED=FALSE&amp;creator=factset&amp;display_string=Audit"}</definedName>
    <definedName name="_4035__FDSAUDITLINK__" hidden="1">{"fdsup://Directions/FactSet Auditing Viewer?action=AUDIT_VALUE&amp;DB=129&amp;ID1=45814010&amp;VALUEID=02001&amp;SDATE=200602&amp;PERIODTYPE=QTR_STD&amp;SCFT=3&amp;window=popup_no_bar&amp;width=385&amp;height=120&amp;START_MAXIMIZED=FALSE&amp;creator=factset&amp;display_string=Audit"}</definedName>
    <definedName name="_4036__FDSAUDITLINK__" hidden="1">{"fdsup://Directions/FactSet Auditing Viewer?action=AUDIT_VALUE&amp;DB=129&amp;ID1=45814010&amp;VALUEID=02001&amp;SDATE=200602&amp;PERIODTYPE=QTR_STD&amp;SCFT=3&amp;window=popup_no_bar&amp;width=385&amp;height=120&amp;START_MAXIMIZED=FALSE&amp;creator=factset&amp;display_string=Audit"}</definedName>
    <definedName name="_4037__FDSAUDITLINK__" hidden="1">{"fdsup://Directions/FactSet Auditing Viewer?action=AUDIT_VALUE&amp;DB=129&amp;ID1=45814010&amp;VALUEID=02001&amp;SDATE=200601&amp;PERIODTYPE=QTR_STD&amp;SCFT=3&amp;window=popup_no_bar&amp;width=385&amp;height=120&amp;START_MAXIMIZED=FALSE&amp;creator=factset&amp;display_string=Audit"}</definedName>
    <definedName name="_4038__FDSAUDITLINK__" hidden="1">{"fdsup://Directions/FactSet Auditing Viewer?action=AUDIT_VALUE&amp;DB=129&amp;ID1=45814010&amp;VALUEID=02001&amp;SDATE=200601&amp;PERIODTYPE=QTR_STD&amp;SCFT=3&amp;window=popup_no_bar&amp;width=385&amp;height=120&amp;START_MAXIMIZED=FALSE&amp;creator=factset&amp;display_string=Audit"}</definedName>
    <definedName name="_4039__FDSAUDITLINK__" hidden="1">{"fdsup://Directions/FactSet Auditing Viewer?action=AUDIT_VALUE&amp;DB=129&amp;ID1=45814010&amp;VALUEID=02001&amp;SDATE=200503&amp;PERIODTYPE=QTR_STD&amp;SCFT=3&amp;window=popup_no_bar&amp;width=385&amp;height=120&amp;START_MAXIMIZED=FALSE&amp;creator=factset&amp;display_string=Audit"}</definedName>
    <definedName name="_404__FDSAUDITLINK__" hidden="1">{"fdsup://Directions/FactSet Auditing Viewer?action=AUDIT_VALUE&amp;DB=129&amp;ID1=29247520&amp;VALUEID=02001&amp;SDATE=201101&amp;PERIODTYPE=QTR_STD&amp;SCFT=3&amp;window=popup_no_bar&amp;width=385&amp;height=120&amp;START_MAXIMIZED=FALSE&amp;creator=factset&amp;display_string=Audit"}</definedName>
    <definedName name="_4040__FDSAUDITLINK__" hidden="1">{"fdsup://Directions/FactSet Auditing Viewer?action=AUDIT_VALUE&amp;DB=129&amp;ID1=45814010&amp;VALUEID=02001&amp;SDATE=200503&amp;PERIODTYPE=QTR_STD&amp;SCFT=3&amp;window=popup_no_bar&amp;width=385&amp;height=120&amp;START_MAXIMIZED=FALSE&amp;creator=factset&amp;display_string=Audit"}</definedName>
    <definedName name="_4041__FDSAUDITLINK__" hidden="1">{"fdsup://Directions/FactSet Auditing Viewer?action=AUDIT_VALUE&amp;DB=129&amp;ID1=45814010&amp;VALUEID=02001&amp;SDATE=200502&amp;PERIODTYPE=QTR_STD&amp;SCFT=3&amp;window=popup_no_bar&amp;width=385&amp;height=120&amp;START_MAXIMIZED=FALSE&amp;creator=factset&amp;display_string=Audit"}</definedName>
    <definedName name="_4042__FDSAUDITLINK__" hidden="1">{"fdsup://Directions/FactSet Auditing Viewer?action=AUDIT_VALUE&amp;DB=129&amp;ID1=45814010&amp;VALUEID=02001&amp;SDATE=200502&amp;PERIODTYPE=QTR_STD&amp;SCFT=3&amp;window=popup_no_bar&amp;width=385&amp;height=120&amp;START_MAXIMIZED=FALSE&amp;creator=factset&amp;display_string=Audit"}</definedName>
    <definedName name="_4043__FDSAUDITLINK__" hidden="1">{"fdsup://Directions/FactSet Auditing Viewer?action=AUDIT_VALUE&amp;DB=129&amp;ID1=45814010&amp;VALUEID=02001&amp;SDATE=200501&amp;PERIODTYPE=QTR_STD&amp;SCFT=3&amp;window=popup_no_bar&amp;width=385&amp;height=120&amp;START_MAXIMIZED=FALSE&amp;creator=factset&amp;display_string=Audit"}</definedName>
    <definedName name="_4044__FDSAUDITLINK__" hidden="1">{"fdsup://Directions/FactSet Auditing Viewer?action=AUDIT_VALUE&amp;DB=129&amp;ID1=45814010&amp;VALUEID=02001&amp;SDATE=200501&amp;PERIODTYPE=QTR_STD&amp;SCFT=3&amp;window=popup_no_bar&amp;width=385&amp;height=120&amp;START_MAXIMIZED=FALSE&amp;creator=factset&amp;display_string=Audit"}</definedName>
    <definedName name="_4045__FDSAUDITLINK__" hidden="1">{"fdsup://Directions/FactSet Auditing Viewer?action=AUDIT_VALUE&amp;DB=129&amp;ID1=45814010&amp;VALUEID=02001&amp;SDATE=200403&amp;PERIODTYPE=QTR_STD&amp;SCFT=3&amp;window=popup_no_bar&amp;width=385&amp;height=120&amp;START_MAXIMIZED=FALSE&amp;creator=factset&amp;display_string=Audit"}</definedName>
    <definedName name="_4046__FDSAUDITLINK__" hidden="1">{"fdsup://Directions/FactSet Auditing Viewer?action=AUDIT_VALUE&amp;DB=129&amp;ID1=45814010&amp;VALUEID=02001&amp;SDATE=200403&amp;PERIODTYPE=QTR_STD&amp;SCFT=3&amp;window=popup_no_bar&amp;width=385&amp;height=120&amp;START_MAXIMIZED=FALSE&amp;creator=factset&amp;display_string=Audit"}</definedName>
    <definedName name="_4047__FDSAUDITLINK__" hidden="1">{"fdsup://Directions/FactSet Auditing Viewer?action=AUDIT_VALUE&amp;DB=129&amp;ID1=45814010&amp;VALUEID=02001&amp;SDATE=200402&amp;PERIODTYPE=QTR_STD&amp;SCFT=3&amp;window=popup_no_bar&amp;width=385&amp;height=120&amp;START_MAXIMIZED=FALSE&amp;creator=factset&amp;display_string=Audit"}</definedName>
    <definedName name="_4048__FDSAUDITLINK__" hidden="1">{"fdsup://Directions/FactSet Auditing Viewer?action=AUDIT_VALUE&amp;DB=129&amp;ID1=45814010&amp;VALUEID=02001&amp;SDATE=200402&amp;PERIODTYPE=QTR_STD&amp;SCFT=3&amp;window=popup_no_bar&amp;width=385&amp;height=120&amp;START_MAXIMIZED=FALSE&amp;creator=factset&amp;display_string=Audit"}</definedName>
    <definedName name="_4049__FDSAUDITLINK__" hidden="1">{"fdsup://Directions/FactSet Auditing Viewer?action=AUDIT_VALUE&amp;DB=129&amp;ID1=45814010&amp;VALUEID=02001&amp;SDATE=200401&amp;PERIODTYPE=QTR_STD&amp;SCFT=3&amp;window=popup_no_bar&amp;width=385&amp;height=120&amp;START_MAXIMIZED=FALSE&amp;creator=factset&amp;display_string=Audit"}</definedName>
    <definedName name="_405__FDSAUDITLINK__" hidden="1">{"fdsup://Directions/FactSet Auditing Viewer?action=AUDIT_VALUE&amp;DB=129&amp;ID1=25454310&amp;VALUEID=02001&amp;SDATE=201003&amp;PERIODTYPE=QTR_STD&amp;SCFT=3&amp;window=popup_no_bar&amp;width=385&amp;height=120&amp;START_MAXIMIZED=FALSE&amp;creator=factset&amp;display_string=Audit"}</definedName>
    <definedName name="_4050__FDSAUDITLINK__" hidden="1">{"fdsup://Directions/FactSet Auditing Viewer?action=AUDIT_VALUE&amp;DB=129&amp;ID1=45814010&amp;VALUEID=02001&amp;SDATE=200401&amp;PERIODTYPE=QTR_STD&amp;SCFT=3&amp;window=popup_no_bar&amp;width=385&amp;height=120&amp;START_MAXIMIZED=FALSE&amp;creator=factset&amp;display_string=Audit"}</definedName>
    <definedName name="_4051__FDSAUDITLINK__" hidden="1">{"fdsup://Directions/FactSet Auditing Viewer?action=AUDIT_VALUE&amp;DB=129&amp;ID1=45811810&amp;VALUEID=02001&amp;SDATE=200703&amp;PERIODTYPE=QTR_STD&amp;SCFT=3&amp;window=popup_no_bar&amp;width=385&amp;height=120&amp;START_MAXIMIZED=FALSE&amp;creator=factset&amp;display_string=Audit"}</definedName>
    <definedName name="_4052__FDSAUDITLINK__" hidden="1">{"fdsup://Directions/FactSet Auditing Viewer?action=AUDIT_VALUE&amp;DB=129&amp;ID1=45811810&amp;VALUEID=02001&amp;SDATE=200703&amp;PERIODTYPE=QTR_STD&amp;SCFT=3&amp;window=popup_no_bar&amp;width=385&amp;height=120&amp;START_MAXIMIZED=FALSE&amp;creator=factset&amp;display_string=Audit"}</definedName>
    <definedName name="_4053__FDSAUDITLINK__" hidden="1">{"fdsup://Directions/FactSet Auditing Viewer?action=AUDIT_VALUE&amp;DB=129&amp;ID1=45811810&amp;VALUEID=02001&amp;SDATE=200702&amp;PERIODTYPE=QTR_STD&amp;SCFT=3&amp;window=popup_no_bar&amp;width=385&amp;height=120&amp;START_MAXIMIZED=FALSE&amp;creator=factset&amp;display_string=Audit"}</definedName>
    <definedName name="_4054__FDSAUDITLINK__" hidden="1">{"fdsup://Directions/FactSet Auditing Viewer?action=AUDIT_VALUE&amp;DB=129&amp;ID1=45811810&amp;VALUEID=02001&amp;SDATE=200702&amp;PERIODTYPE=QTR_STD&amp;SCFT=3&amp;window=popup_no_bar&amp;width=385&amp;height=120&amp;START_MAXIMIZED=FALSE&amp;creator=factset&amp;display_string=Audit"}</definedName>
    <definedName name="_4055__FDSAUDITLINK__" hidden="1">{"fdsup://Directions/FactSet Auditing Viewer?action=AUDIT_VALUE&amp;DB=129&amp;ID1=45811810&amp;VALUEID=02001&amp;SDATE=200701&amp;PERIODTYPE=QTR_STD&amp;SCFT=3&amp;window=popup_no_bar&amp;width=385&amp;height=120&amp;START_MAXIMIZED=FALSE&amp;creator=factset&amp;display_string=Audit"}</definedName>
    <definedName name="_4056__FDSAUDITLINK__" hidden="1">{"fdsup://Directions/FactSet Auditing Viewer?action=AUDIT_VALUE&amp;DB=129&amp;ID1=45811810&amp;VALUEID=02001&amp;SDATE=200701&amp;PERIODTYPE=QTR_STD&amp;SCFT=3&amp;window=popup_no_bar&amp;width=385&amp;height=120&amp;START_MAXIMIZED=FALSE&amp;creator=factset&amp;display_string=Audit"}</definedName>
    <definedName name="_4057__FDSAUDITLINK__" hidden="1">{"fdsup://Directions/FactSet Auditing Viewer?action=AUDIT_VALUE&amp;DB=129&amp;ID1=45811810&amp;VALUEID=02001&amp;SDATE=200603&amp;PERIODTYPE=QTR_STD&amp;SCFT=3&amp;window=popup_no_bar&amp;width=385&amp;height=120&amp;START_MAXIMIZED=FALSE&amp;creator=factset&amp;display_string=Audit"}</definedName>
    <definedName name="_4058__FDSAUDITLINK__" hidden="1">{"fdsup://Directions/FactSet Auditing Viewer?action=AUDIT_VALUE&amp;DB=129&amp;ID1=45811810&amp;VALUEID=02001&amp;SDATE=200603&amp;PERIODTYPE=QTR_STD&amp;SCFT=3&amp;window=popup_no_bar&amp;width=385&amp;height=120&amp;START_MAXIMIZED=FALSE&amp;creator=factset&amp;display_string=Audit"}</definedName>
    <definedName name="_4059__FDSAUDITLINK__" hidden="1">{"fdsup://Directions/FactSet Auditing Viewer?action=AUDIT_VALUE&amp;DB=129&amp;ID1=45811810&amp;VALUEID=02001&amp;SDATE=200602&amp;PERIODTYPE=QTR_STD&amp;SCFT=3&amp;window=popup_no_bar&amp;width=385&amp;height=120&amp;START_MAXIMIZED=FALSE&amp;creator=factset&amp;display_string=Audit"}</definedName>
    <definedName name="_406__FDSAUDITLINK__" hidden="1">{"fdsup://Directions/FactSet Auditing Viewer?action=AUDIT_VALUE&amp;DB=129&amp;ID1=25454310&amp;VALUEID=02001&amp;SDATE=201003&amp;PERIODTYPE=QTR_STD&amp;SCFT=3&amp;window=popup_no_bar&amp;width=385&amp;height=120&amp;START_MAXIMIZED=FALSE&amp;creator=factset&amp;display_string=Audit"}</definedName>
    <definedName name="_4060__FDSAUDITLINK__" hidden="1">{"fdsup://Directions/FactSet Auditing Viewer?action=AUDIT_VALUE&amp;DB=129&amp;ID1=45811810&amp;VALUEID=02001&amp;SDATE=200602&amp;PERIODTYPE=QTR_STD&amp;SCFT=3&amp;window=popup_no_bar&amp;width=385&amp;height=120&amp;START_MAXIMIZED=FALSE&amp;creator=factset&amp;display_string=Audit"}</definedName>
    <definedName name="_4061__FDSAUDITLINK__" hidden="1">{"fdsup://Directions/FactSet Auditing Viewer?action=AUDIT_VALUE&amp;DB=129&amp;ID1=45811810&amp;VALUEID=02001&amp;SDATE=200601&amp;PERIODTYPE=QTR_STD&amp;SCFT=3&amp;window=popup_no_bar&amp;width=385&amp;height=120&amp;START_MAXIMIZED=FALSE&amp;creator=factset&amp;display_string=Audit"}</definedName>
    <definedName name="_4062__FDSAUDITLINK__" hidden="1">{"fdsup://Directions/FactSet Auditing Viewer?action=AUDIT_VALUE&amp;DB=129&amp;ID1=45811810&amp;VALUEID=02001&amp;SDATE=200601&amp;PERIODTYPE=QTR_STD&amp;SCFT=3&amp;window=popup_no_bar&amp;width=385&amp;height=120&amp;START_MAXIMIZED=FALSE&amp;creator=factset&amp;display_string=Audit"}</definedName>
    <definedName name="_4063__FDSAUDITLINK__" hidden="1">{"fdsup://Directions/FactSet Auditing Viewer?action=AUDIT_VALUE&amp;DB=129&amp;ID1=45811810&amp;VALUEID=02001&amp;SDATE=200503&amp;PERIODTYPE=QTR_STD&amp;SCFT=3&amp;window=popup_no_bar&amp;width=385&amp;height=120&amp;START_MAXIMIZED=FALSE&amp;creator=factset&amp;display_string=Audit"}</definedName>
    <definedName name="_4064__FDSAUDITLINK__" hidden="1">{"fdsup://Directions/FactSet Auditing Viewer?action=AUDIT_VALUE&amp;DB=129&amp;ID1=45811810&amp;VALUEID=02001&amp;SDATE=200503&amp;PERIODTYPE=QTR_STD&amp;SCFT=3&amp;window=popup_no_bar&amp;width=385&amp;height=120&amp;START_MAXIMIZED=FALSE&amp;creator=factset&amp;display_string=Audit"}</definedName>
    <definedName name="_4065__FDSAUDITLINK__" hidden="1">{"fdsup://Directions/FactSet Auditing Viewer?action=AUDIT_VALUE&amp;DB=129&amp;ID1=45811810&amp;VALUEID=02001&amp;SDATE=200502&amp;PERIODTYPE=QTR_STD&amp;SCFT=3&amp;window=popup_no_bar&amp;width=385&amp;height=120&amp;START_MAXIMIZED=FALSE&amp;creator=factset&amp;display_string=Audit"}</definedName>
    <definedName name="_4066__FDSAUDITLINK__" hidden="1">{"fdsup://Directions/FactSet Auditing Viewer?action=AUDIT_VALUE&amp;DB=129&amp;ID1=45811810&amp;VALUEID=02001&amp;SDATE=200502&amp;PERIODTYPE=QTR_STD&amp;SCFT=3&amp;window=popup_no_bar&amp;width=385&amp;height=120&amp;START_MAXIMIZED=FALSE&amp;creator=factset&amp;display_string=Audit"}</definedName>
    <definedName name="_4067__FDSAUDITLINK__" hidden="1">{"fdsup://Directions/FactSet Auditing Viewer?action=AUDIT_VALUE&amp;DB=129&amp;ID1=45811810&amp;VALUEID=02001&amp;SDATE=200501&amp;PERIODTYPE=QTR_STD&amp;SCFT=3&amp;window=popup_no_bar&amp;width=385&amp;height=120&amp;START_MAXIMIZED=FALSE&amp;creator=factset&amp;display_string=Audit"}</definedName>
    <definedName name="_4068__FDSAUDITLINK__" hidden="1">{"fdsup://Directions/FactSet Auditing Viewer?action=AUDIT_VALUE&amp;DB=129&amp;ID1=45811810&amp;VALUEID=02001&amp;SDATE=200501&amp;PERIODTYPE=QTR_STD&amp;SCFT=3&amp;window=popup_no_bar&amp;width=385&amp;height=120&amp;START_MAXIMIZED=FALSE&amp;creator=factset&amp;display_string=Audit"}</definedName>
    <definedName name="_4069__FDSAUDITLINK__" hidden="1">{"fdsup://Directions/FactSet Auditing Viewer?action=AUDIT_VALUE&amp;DB=129&amp;ID1=45811810&amp;VALUEID=02001&amp;SDATE=200403&amp;PERIODTYPE=QTR_STD&amp;SCFT=3&amp;window=popup_no_bar&amp;width=385&amp;height=120&amp;START_MAXIMIZED=FALSE&amp;creator=factset&amp;display_string=Audit"}</definedName>
    <definedName name="_407__FDSAUDITLINK__" hidden="1">{"fdsup://Directions/FactSet Auditing Viewer?action=AUDIT_VALUE&amp;DB=129&amp;ID1=24702R10&amp;VALUEID=02001&amp;SDATE=201003&amp;PERIODTYPE=QTR_STD&amp;SCFT=3&amp;window=popup_no_bar&amp;width=385&amp;height=120&amp;START_MAXIMIZED=FALSE&amp;creator=factset&amp;display_string=Audit"}</definedName>
    <definedName name="_4070__FDSAUDITLINK__" hidden="1">{"fdsup://Directions/FactSet Auditing Viewer?action=AUDIT_VALUE&amp;DB=129&amp;ID1=45811810&amp;VALUEID=02001&amp;SDATE=200403&amp;PERIODTYPE=QTR_STD&amp;SCFT=3&amp;window=popup_no_bar&amp;width=385&amp;height=120&amp;START_MAXIMIZED=FALSE&amp;creator=factset&amp;display_string=Audit"}</definedName>
    <definedName name="_4071__FDSAUDITLINK__" hidden="1">{"fdsup://Directions/FactSet Auditing Viewer?action=AUDIT_VALUE&amp;DB=129&amp;ID1=45811810&amp;VALUEID=02001&amp;SDATE=200402&amp;PERIODTYPE=QTR_STD&amp;SCFT=3&amp;window=popup_no_bar&amp;width=385&amp;height=120&amp;START_MAXIMIZED=FALSE&amp;creator=factset&amp;display_string=Audit"}</definedName>
    <definedName name="_4072__FDSAUDITLINK__" hidden="1">{"fdsup://Directions/FactSet Auditing Viewer?action=AUDIT_VALUE&amp;DB=129&amp;ID1=45811810&amp;VALUEID=02001&amp;SDATE=200402&amp;PERIODTYPE=QTR_STD&amp;SCFT=3&amp;window=popup_no_bar&amp;width=385&amp;height=120&amp;START_MAXIMIZED=FALSE&amp;creator=factset&amp;display_string=Audit"}</definedName>
    <definedName name="_4073__FDSAUDITLINK__" hidden="1">{"fdsup://Directions/FactSet Auditing Viewer?action=AUDIT_VALUE&amp;DB=129&amp;ID1=45811810&amp;VALUEID=02001&amp;SDATE=200401&amp;PERIODTYPE=QTR_STD&amp;SCFT=3&amp;window=popup_no_bar&amp;width=385&amp;height=120&amp;START_MAXIMIZED=FALSE&amp;creator=factset&amp;display_string=Audit"}</definedName>
    <definedName name="_4074__FDSAUDITLINK__" hidden="1">{"fdsup://Directions/FactSet Auditing Viewer?action=AUDIT_VALUE&amp;DB=129&amp;ID1=45811810&amp;VALUEID=02001&amp;SDATE=200401&amp;PERIODTYPE=QTR_STD&amp;SCFT=3&amp;window=popup_no_bar&amp;width=385&amp;height=120&amp;START_MAXIMIZED=FALSE&amp;creator=factset&amp;display_string=Audit"}</definedName>
    <definedName name="_4075__FDSAUDITLINK__" hidden="1">{"fdsup://Directions/FactSet Auditing Viewer?action=AUDIT_VALUE&amp;DB=129&amp;ID1=42823610&amp;VALUEID=02001&amp;SDATE=200802&amp;PERIODTYPE=QTR_STD&amp;SCFT=3&amp;window=popup_no_bar&amp;width=385&amp;height=120&amp;START_MAXIMIZED=FALSE&amp;creator=factset&amp;display_string=Audit"}</definedName>
    <definedName name="_4076__FDSAUDITLINK__" hidden="1">{"fdsup://Directions/FactSet Auditing Viewer?action=AUDIT_VALUE&amp;DB=129&amp;ID1=42823610&amp;VALUEID=02001&amp;SDATE=200802&amp;PERIODTYPE=QTR_STD&amp;SCFT=3&amp;window=popup_no_bar&amp;width=385&amp;height=120&amp;START_MAXIMIZED=FALSE&amp;creator=factset&amp;display_string=Audit"}</definedName>
    <definedName name="_4077__FDSAUDITLINK__" hidden="1">{"fdsup://Directions/FactSet Auditing Viewer?action=AUDIT_VALUE&amp;DB=129&amp;ID1=42823610&amp;VALUEID=02001&amp;SDATE=200801&amp;PERIODTYPE=QTR_STD&amp;SCFT=3&amp;window=popup_no_bar&amp;width=385&amp;height=120&amp;START_MAXIMIZED=FALSE&amp;creator=factset&amp;display_string=Audit"}</definedName>
    <definedName name="_4078__FDSAUDITLINK__" hidden="1">{"fdsup://Directions/FactSet Auditing Viewer?action=AUDIT_VALUE&amp;DB=129&amp;ID1=42823610&amp;VALUEID=02001&amp;SDATE=200801&amp;PERIODTYPE=QTR_STD&amp;SCFT=3&amp;window=popup_no_bar&amp;width=385&amp;height=120&amp;START_MAXIMIZED=FALSE&amp;creator=factset&amp;display_string=Audit"}</definedName>
    <definedName name="_4079__FDSAUDITLINK__" hidden="1">{"fdsup://Directions/FactSet Auditing Viewer?action=AUDIT_VALUE&amp;DB=129&amp;ID1=42823610&amp;VALUEID=02001&amp;SDATE=200703&amp;PERIODTYPE=QTR_STD&amp;SCFT=3&amp;window=popup_no_bar&amp;width=385&amp;height=120&amp;START_MAXIMIZED=FALSE&amp;creator=factset&amp;display_string=Audit"}</definedName>
    <definedName name="_408__FDSAUDITLINK__" hidden="1">{"fdsup://Directions/FactSet Auditing Viewer?action=AUDIT_VALUE&amp;DB=129&amp;ID1=24702R10&amp;VALUEID=02001&amp;SDATE=201003&amp;PERIODTYPE=QTR_STD&amp;SCFT=3&amp;window=popup_no_bar&amp;width=385&amp;height=120&amp;START_MAXIMIZED=FALSE&amp;creator=factset&amp;display_string=Audit"}</definedName>
    <definedName name="_4080__FDSAUDITLINK__" hidden="1">{"fdsup://Directions/FactSet Auditing Viewer?action=AUDIT_VALUE&amp;DB=129&amp;ID1=42823610&amp;VALUEID=02001&amp;SDATE=200703&amp;PERIODTYPE=QTR_STD&amp;SCFT=3&amp;window=popup_no_bar&amp;width=385&amp;height=120&amp;START_MAXIMIZED=FALSE&amp;creator=factset&amp;display_string=Audit"}</definedName>
    <definedName name="_4081__FDSAUDITLINK__" hidden="1">{"fdsup://Directions/FactSet Auditing Viewer?action=AUDIT_VALUE&amp;DB=129&amp;ID1=42823610&amp;VALUEID=02001&amp;SDATE=200702&amp;PERIODTYPE=QTR_STD&amp;SCFT=3&amp;window=popup_no_bar&amp;width=385&amp;height=120&amp;START_MAXIMIZED=FALSE&amp;creator=factset&amp;display_string=Audit"}</definedName>
    <definedName name="_4082__FDSAUDITLINK__" hidden="1">{"fdsup://Directions/FactSet Auditing Viewer?action=AUDIT_VALUE&amp;DB=129&amp;ID1=42823610&amp;VALUEID=02001&amp;SDATE=200702&amp;PERIODTYPE=QTR_STD&amp;SCFT=3&amp;window=popup_no_bar&amp;width=385&amp;height=120&amp;START_MAXIMIZED=FALSE&amp;creator=factset&amp;display_string=Audit"}</definedName>
    <definedName name="_4083__FDSAUDITLINK__" hidden="1">{"fdsup://Directions/FactSet Auditing Viewer?action=AUDIT_VALUE&amp;DB=129&amp;ID1=42823610&amp;VALUEID=02001&amp;SDATE=200701&amp;PERIODTYPE=QTR_STD&amp;SCFT=3&amp;window=popup_no_bar&amp;width=385&amp;height=120&amp;START_MAXIMIZED=FALSE&amp;creator=factset&amp;display_string=Audit"}</definedName>
    <definedName name="_4084__FDSAUDITLINK__" hidden="1">{"fdsup://Directions/FactSet Auditing Viewer?action=AUDIT_VALUE&amp;DB=129&amp;ID1=42823610&amp;VALUEID=02001&amp;SDATE=200701&amp;PERIODTYPE=QTR_STD&amp;SCFT=3&amp;window=popup_no_bar&amp;width=385&amp;height=120&amp;START_MAXIMIZED=FALSE&amp;creator=factset&amp;display_string=Audit"}</definedName>
    <definedName name="_4085__FDSAUDITLINK__" hidden="1">{"fdsup://Directions/FactSet Auditing Viewer?action=AUDIT_VALUE&amp;DB=129&amp;ID1=42823610&amp;VALUEID=02001&amp;SDATE=200603&amp;PERIODTYPE=QTR_STD&amp;SCFT=3&amp;window=popup_no_bar&amp;width=385&amp;height=120&amp;START_MAXIMIZED=FALSE&amp;creator=factset&amp;display_string=Audit"}</definedName>
    <definedName name="_4086__FDSAUDITLINK__" hidden="1">{"fdsup://Directions/FactSet Auditing Viewer?action=AUDIT_VALUE&amp;DB=129&amp;ID1=42823610&amp;VALUEID=02001&amp;SDATE=200603&amp;PERIODTYPE=QTR_STD&amp;SCFT=3&amp;window=popup_no_bar&amp;width=385&amp;height=120&amp;START_MAXIMIZED=FALSE&amp;creator=factset&amp;display_string=Audit"}</definedName>
    <definedName name="_4087__FDSAUDITLINK__" hidden="1">{"fdsup://Directions/FactSet Auditing Viewer?action=AUDIT_VALUE&amp;DB=129&amp;ID1=42823610&amp;VALUEID=02001&amp;SDATE=200602&amp;PERIODTYPE=QTR_STD&amp;SCFT=3&amp;window=popup_no_bar&amp;width=385&amp;height=120&amp;START_MAXIMIZED=FALSE&amp;creator=factset&amp;display_string=Audit"}</definedName>
    <definedName name="_4088__FDSAUDITLINK__" hidden="1">{"fdsup://Directions/FactSet Auditing Viewer?action=AUDIT_VALUE&amp;DB=129&amp;ID1=42823610&amp;VALUEID=02001&amp;SDATE=200602&amp;PERIODTYPE=QTR_STD&amp;SCFT=3&amp;window=popup_no_bar&amp;width=385&amp;height=120&amp;START_MAXIMIZED=FALSE&amp;creator=factset&amp;display_string=Audit"}</definedName>
    <definedName name="_4089__FDSAUDITLINK__" hidden="1">{"fdsup://Directions/FactSet Auditing Viewer?action=AUDIT_VALUE&amp;DB=129&amp;ID1=42823610&amp;VALUEID=02001&amp;SDATE=200601&amp;PERIODTYPE=QTR_STD&amp;SCFT=3&amp;window=popup_no_bar&amp;width=385&amp;height=120&amp;START_MAXIMIZED=FALSE&amp;creator=factset&amp;display_string=Audit"}</definedName>
    <definedName name="_409__FDSAUDITLINK__" hidden="1">{"fdsup://Directions/FactSet Auditing Viewer?action=AUDIT_VALUE&amp;DB=129&amp;ID1=23257210&amp;VALUEID=02001&amp;SDATE=201003&amp;PERIODTYPE=QTR_STD&amp;SCFT=3&amp;window=popup_no_bar&amp;width=385&amp;height=120&amp;START_MAXIMIZED=FALSE&amp;creator=factset&amp;display_string=Audit"}</definedName>
    <definedName name="_4090__FDSAUDITLINK__" hidden="1">{"fdsup://Directions/FactSet Auditing Viewer?action=AUDIT_VALUE&amp;DB=129&amp;ID1=42823610&amp;VALUEID=02001&amp;SDATE=200601&amp;PERIODTYPE=QTR_STD&amp;SCFT=3&amp;window=popup_no_bar&amp;width=385&amp;height=120&amp;START_MAXIMIZED=FALSE&amp;creator=factset&amp;display_string=Audit"}</definedName>
    <definedName name="_4091__FDSAUDITLINK__" hidden="1">{"fdsup://Directions/FactSet Auditing Viewer?action=AUDIT_VALUE&amp;DB=129&amp;ID1=42823610&amp;VALUEID=02001&amp;SDATE=200503&amp;PERIODTYPE=QTR_STD&amp;SCFT=3&amp;window=popup_no_bar&amp;width=385&amp;height=120&amp;START_MAXIMIZED=FALSE&amp;creator=factset&amp;display_string=Audit"}</definedName>
    <definedName name="_4092__FDSAUDITLINK__" hidden="1">{"fdsup://Directions/FactSet Auditing Viewer?action=AUDIT_VALUE&amp;DB=129&amp;ID1=42823610&amp;VALUEID=02001&amp;SDATE=200503&amp;PERIODTYPE=QTR_STD&amp;SCFT=3&amp;window=popup_no_bar&amp;width=385&amp;height=120&amp;START_MAXIMIZED=FALSE&amp;creator=factset&amp;display_string=Audit"}</definedName>
    <definedName name="_4093__FDSAUDITLINK__" hidden="1">{"fdsup://Directions/FactSet Auditing Viewer?action=AUDIT_VALUE&amp;DB=129&amp;ID1=42823610&amp;VALUEID=02001&amp;SDATE=200502&amp;PERIODTYPE=QTR_STD&amp;SCFT=3&amp;window=popup_no_bar&amp;width=385&amp;height=120&amp;START_MAXIMIZED=FALSE&amp;creator=factset&amp;display_string=Audit"}</definedName>
    <definedName name="_4094__FDSAUDITLINK__" hidden="1">{"fdsup://Directions/FactSet Auditing Viewer?action=AUDIT_VALUE&amp;DB=129&amp;ID1=42823610&amp;VALUEID=02001&amp;SDATE=200502&amp;PERIODTYPE=QTR_STD&amp;SCFT=3&amp;window=popup_no_bar&amp;width=385&amp;height=120&amp;START_MAXIMIZED=FALSE&amp;creator=factset&amp;display_string=Audit"}</definedName>
    <definedName name="_4095__FDSAUDITLINK__" hidden="1">{"fdsup://Directions/FactSet Auditing Viewer?action=AUDIT_VALUE&amp;DB=129&amp;ID1=42823610&amp;VALUEID=02001&amp;SDATE=200501&amp;PERIODTYPE=QTR_STD&amp;SCFT=3&amp;window=popup_no_bar&amp;width=385&amp;height=120&amp;START_MAXIMIZED=FALSE&amp;creator=factset&amp;display_string=Audit"}</definedName>
    <definedName name="_4096__FDSAUDITLINK__" hidden="1">{"fdsup://Directions/FactSet Auditing Viewer?action=AUDIT_VALUE&amp;DB=129&amp;ID1=42823610&amp;VALUEID=02001&amp;SDATE=200501&amp;PERIODTYPE=QTR_STD&amp;SCFT=3&amp;window=popup_no_bar&amp;width=385&amp;height=120&amp;START_MAXIMIZED=FALSE&amp;creator=factset&amp;display_string=Audit"}</definedName>
    <definedName name="_4097__FDSAUDITLINK__" hidden="1">{"fdsup://Directions/FactSet Auditing Viewer?action=AUDIT_VALUE&amp;DB=129&amp;ID1=42823610&amp;VALUEID=02001&amp;SDATE=200403&amp;PERIODTYPE=QTR_STD&amp;SCFT=3&amp;window=popup_no_bar&amp;width=385&amp;height=120&amp;START_MAXIMIZED=FALSE&amp;creator=factset&amp;display_string=Audit"}</definedName>
    <definedName name="_4098__FDSAUDITLINK__" hidden="1">{"fdsup://Directions/FactSet Auditing Viewer?action=AUDIT_VALUE&amp;DB=129&amp;ID1=42823610&amp;VALUEID=02001&amp;SDATE=200403&amp;PERIODTYPE=QTR_STD&amp;SCFT=3&amp;window=popup_no_bar&amp;width=385&amp;height=120&amp;START_MAXIMIZED=FALSE&amp;creator=factset&amp;display_string=Audit"}</definedName>
    <definedName name="_4099__FDSAUDITLINK__" hidden="1">{"fdsup://Directions/FactSet Auditing Viewer?action=AUDIT_VALUE&amp;DB=129&amp;ID1=42823610&amp;VALUEID=02001&amp;SDATE=200402&amp;PERIODTYPE=QTR_STD&amp;SCFT=3&amp;window=popup_no_bar&amp;width=385&amp;height=120&amp;START_MAXIMIZED=FALSE&amp;creator=factset&amp;display_string=Audit"}</definedName>
    <definedName name="_41__FDSAUDITLINK__" hidden="1">{"fdsup://Directions/FactSet Auditing Viewer?action=AUDIT_VALUE&amp;DB=129&amp;ID1=74752510&amp;VALUEID=02001&amp;SDATE=201102&amp;PERIODTYPE=QTR_STD&amp;SCFT=3&amp;window=popup_no_bar&amp;width=385&amp;height=120&amp;START_MAXIMIZED=FALSE&amp;creator=factset&amp;display_string=Audit"}</definedName>
    <definedName name="_410__FDSAUDITLINK__" hidden="1">{"fdsup://Directions/FactSet Auditing Viewer?action=AUDIT_VALUE&amp;DB=129&amp;ID1=23257210&amp;VALUEID=02001&amp;SDATE=201003&amp;PERIODTYPE=QTR_STD&amp;SCFT=3&amp;window=popup_no_bar&amp;width=385&amp;height=120&amp;START_MAXIMIZED=FALSE&amp;creator=factset&amp;display_string=Audit"}</definedName>
    <definedName name="_4100__FDSAUDITLINK__" hidden="1">{"fdsup://Directions/FactSet Auditing Viewer?action=AUDIT_VALUE&amp;DB=129&amp;ID1=42823610&amp;VALUEID=02001&amp;SDATE=200402&amp;PERIODTYPE=QTR_STD&amp;SCFT=3&amp;window=popup_no_bar&amp;width=385&amp;height=120&amp;START_MAXIMIZED=FALSE&amp;creator=factset&amp;display_string=Audit"}</definedName>
    <definedName name="_4101__FDSAUDITLINK__" hidden="1">{"fdsup://Directions/FactSet Auditing Viewer?action=AUDIT_VALUE&amp;DB=129&amp;ID1=H2906T10&amp;VALUEID=02001&amp;SDATE=200801&amp;PERIODTYPE=QTR_STD&amp;SCFT=3&amp;window=popup_no_bar&amp;width=385&amp;height=120&amp;START_MAXIMIZED=FALSE&amp;creator=factset&amp;display_string=Audit"}</definedName>
    <definedName name="_4102__FDSAUDITLINK__" hidden="1">{"fdsup://Directions/FactSet Auditing Viewer?action=AUDIT_VALUE&amp;DB=129&amp;ID1=H2906T10&amp;VALUEID=02001&amp;SDATE=200801&amp;PERIODTYPE=QTR_STD&amp;SCFT=3&amp;window=popup_no_bar&amp;width=385&amp;height=120&amp;START_MAXIMIZED=FALSE&amp;creator=factset&amp;display_string=Audit"}</definedName>
    <definedName name="_4103__FDSAUDITLINK__" hidden="1">{"fdsup://Directions/FactSet Auditing Viewer?action=AUDIT_VALUE&amp;DB=129&amp;ID1=H2906T10&amp;VALUEID=02001&amp;SDATE=200703&amp;PERIODTYPE=QTR_STD&amp;SCFT=3&amp;window=popup_no_bar&amp;width=385&amp;height=120&amp;START_MAXIMIZED=FALSE&amp;creator=factset&amp;display_string=Audit"}</definedName>
    <definedName name="_4104__FDSAUDITLINK__" hidden="1">{"fdsup://Directions/FactSet Auditing Viewer?action=AUDIT_VALUE&amp;DB=129&amp;ID1=H2906T10&amp;VALUEID=02001&amp;SDATE=200703&amp;PERIODTYPE=QTR_STD&amp;SCFT=3&amp;window=popup_no_bar&amp;width=385&amp;height=120&amp;START_MAXIMIZED=FALSE&amp;creator=factset&amp;display_string=Audit"}</definedName>
    <definedName name="_4105__FDSAUDITLINK__" hidden="1">{"fdsup://Directions/FactSet Auditing Viewer?action=AUDIT_VALUE&amp;DB=129&amp;ID1=H2906T10&amp;VALUEID=02001&amp;SDATE=200702&amp;PERIODTYPE=QTR_STD&amp;SCFT=3&amp;window=popup_no_bar&amp;width=385&amp;height=120&amp;START_MAXIMIZED=FALSE&amp;creator=factset&amp;display_string=Audit"}</definedName>
    <definedName name="_4106__FDSAUDITLINK__" hidden="1">{"fdsup://Directions/FactSet Auditing Viewer?action=AUDIT_VALUE&amp;DB=129&amp;ID1=H2906T10&amp;VALUEID=02001&amp;SDATE=200702&amp;PERIODTYPE=QTR_STD&amp;SCFT=3&amp;window=popup_no_bar&amp;width=385&amp;height=120&amp;START_MAXIMIZED=FALSE&amp;creator=factset&amp;display_string=Audit"}</definedName>
    <definedName name="_4107__FDSAUDITLINK__" hidden="1">{"fdsup://Directions/FactSet Auditing Viewer?action=AUDIT_VALUE&amp;DB=129&amp;ID1=H2906T10&amp;VALUEID=02001&amp;SDATE=200701&amp;PERIODTYPE=QTR_STD&amp;SCFT=3&amp;window=popup_no_bar&amp;width=385&amp;height=120&amp;START_MAXIMIZED=FALSE&amp;creator=factset&amp;display_string=Audit"}</definedName>
    <definedName name="_4108__FDSAUDITLINK__" hidden="1">{"fdsup://Directions/FactSet Auditing Viewer?action=AUDIT_VALUE&amp;DB=129&amp;ID1=H2906T10&amp;VALUEID=02001&amp;SDATE=200701&amp;PERIODTYPE=QTR_STD&amp;SCFT=3&amp;window=popup_no_bar&amp;width=385&amp;height=120&amp;START_MAXIMIZED=FALSE&amp;creator=factset&amp;display_string=Audit"}</definedName>
    <definedName name="_4109__FDSAUDITLINK__" hidden="1">{"fdsup://Directions/FactSet Auditing Viewer?action=AUDIT_VALUE&amp;DB=129&amp;ID1=H2906T10&amp;VALUEID=02001&amp;SDATE=200603&amp;PERIODTYPE=QTR_STD&amp;SCFT=3&amp;window=popup_no_bar&amp;width=385&amp;height=120&amp;START_MAXIMIZED=FALSE&amp;creator=factset&amp;display_string=Audit"}</definedName>
    <definedName name="_411__FDSAUDITLINK__" hidden="1">{"fdsup://Directions/FactSet Auditing Viewer?action=AUDIT_VALUE&amp;DB=129&amp;ID1=23280610&amp;VALUEID=02001&amp;SDATE=201003&amp;PERIODTYPE=QTR_STD&amp;SCFT=3&amp;window=popup_no_bar&amp;width=385&amp;height=120&amp;START_MAXIMIZED=FALSE&amp;creator=factset&amp;display_string=Audit"}</definedName>
    <definedName name="_4110__FDSAUDITLINK__" hidden="1">{"fdsup://Directions/FactSet Auditing Viewer?action=AUDIT_VALUE&amp;DB=129&amp;ID1=H2906T10&amp;VALUEID=02001&amp;SDATE=200603&amp;PERIODTYPE=QTR_STD&amp;SCFT=3&amp;window=popup_no_bar&amp;width=385&amp;height=120&amp;START_MAXIMIZED=FALSE&amp;creator=factset&amp;display_string=Audit"}</definedName>
    <definedName name="_4111__FDSAUDITLINK__" hidden="1">{"fdsup://Directions/FactSet Auditing Viewer?action=AUDIT_VALUE&amp;DB=129&amp;ID1=H2906T10&amp;VALUEID=02001&amp;SDATE=200602&amp;PERIODTYPE=QTR_STD&amp;SCFT=3&amp;window=popup_no_bar&amp;width=385&amp;height=120&amp;START_MAXIMIZED=FALSE&amp;creator=factset&amp;display_string=Audit"}</definedName>
    <definedName name="_4112__FDSAUDITLINK__" hidden="1">{"fdsup://Directions/FactSet Auditing Viewer?action=AUDIT_VALUE&amp;DB=129&amp;ID1=H2906T10&amp;VALUEID=02001&amp;SDATE=200602&amp;PERIODTYPE=QTR_STD&amp;SCFT=3&amp;window=popup_no_bar&amp;width=385&amp;height=120&amp;START_MAXIMIZED=FALSE&amp;creator=factset&amp;display_string=Audit"}</definedName>
    <definedName name="_4113__FDSAUDITLINK__" hidden="1">{"fdsup://Directions/FactSet Auditing Viewer?action=AUDIT_VALUE&amp;DB=129&amp;ID1=H2906T10&amp;VALUEID=02001&amp;SDATE=200601&amp;PERIODTYPE=QTR_STD&amp;SCFT=3&amp;window=popup_no_bar&amp;width=385&amp;height=120&amp;START_MAXIMIZED=FALSE&amp;creator=factset&amp;display_string=Audit"}</definedName>
    <definedName name="_4114__FDSAUDITLINK__" hidden="1">{"fdsup://Directions/FactSet Auditing Viewer?action=AUDIT_VALUE&amp;DB=129&amp;ID1=H2906T10&amp;VALUEID=02001&amp;SDATE=200601&amp;PERIODTYPE=QTR_STD&amp;SCFT=3&amp;window=popup_no_bar&amp;width=385&amp;height=120&amp;START_MAXIMIZED=FALSE&amp;creator=factset&amp;display_string=Audit"}</definedName>
    <definedName name="_4115__FDSAUDITLINK__" hidden="1">{"fdsup://Directions/FactSet Auditing Viewer?action=AUDIT_VALUE&amp;DB=129&amp;ID1=34637510&amp;VALUEID=02001&amp;SDATE=200801&amp;PERIODTYPE=QTR_STD&amp;SCFT=3&amp;window=popup_no_bar&amp;width=385&amp;height=120&amp;START_MAXIMIZED=FALSE&amp;creator=factset&amp;display_string=Audit"}</definedName>
    <definedName name="_4116__FDSAUDITLINK__" hidden="1">{"fdsup://Directions/FactSet Auditing Viewer?action=AUDIT_VALUE&amp;DB=129&amp;ID1=34637510&amp;VALUEID=02001&amp;SDATE=200801&amp;PERIODTYPE=QTR_STD&amp;SCFT=3&amp;window=popup_no_bar&amp;width=385&amp;height=120&amp;START_MAXIMIZED=FALSE&amp;creator=factset&amp;display_string=Audit"}</definedName>
    <definedName name="_4117__FDSAUDITLINK__" hidden="1">{"fdsup://Directions/FactSet Auditing Viewer?action=AUDIT_VALUE&amp;DB=129&amp;ID1=34637510&amp;VALUEID=02001&amp;SDATE=200703&amp;PERIODTYPE=QTR_STD&amp;SCFT=3&amp;window=popup_no_bar&amp;width=385&amp;height=120&amp;START_MAXIMIZED=FALSE&amp;creator=factset&amp;display_string=Audit"}</definedName>
    <definedName name="_4118__FDSAUDITLINK__" hidden="1">{"fdsup://Directions/FactSet Auditing Viewer?action=AUDIT_VALUE&amp;DB=129&amp;ID1=34637510&amp;VALUEID=02001&amp;SDATE=200703&amp;PERIODTYPE=QTR_STD&amp;SCFT=3&amp;window=popup_no_bar&amp;width=385&amp;height=120&amp;START_MAXIMIZED=FALSE&amp;creator=factset&amp;display_string=Audit"}</definedName>
    <definedName name="_4119__FDSAUDITLINK__" hidden="1">{"fdsup://Directions/FactSet Auditing Viewer?action=AUDIT_VALUE&amp;DB=129&amp;ID1=34637510&amp;VALUEID=02001&amp;SDATE=200701&amp;PERIODTYPE=QTR_STD&amp;SCFT=3&amp;window=popup_no_bar&amp;width=385&amp;height=120&amp;START_MAXIMIZED=FALSE&amp;creator=factset&amp;display_string=Audit"}</definedName>
    <definedName name="_412__FDSAUDITLINK__" hidden="1">{"fdsup://Directions/FactSet Auditing Viewer?action=AUDIT_VALUE&amp;DB=129&amp;ID1=23280610&amp;VALUEID=02001&amp;SDATE=201003&amp;PERIODTYPE=QTR_STD&amp;SCFT=3&amp;window=popup_no_bar&amp;width=385&amp;height=120&amp;START_MAXIMIZED=FALSE&amp;creator=factset&amp;display_string=Audit"}</definedName>
    <definedName name="_4120__FDSAUDITLINK__" hidden="1">{"fdsup://Directions/FactSet Auditing Viewer?action=AUDIT_VALUE&amp;DB=129&amp;ID1=34637510&amp;VALUEID=02001&amp;SDATE=200701&amp;PERIODTYPE=QTR_STD&amp;SCFT=3&amp;window=popup_no_bar&amp;width=385&amp;height=120&amp;START_MAXIMIZED=FALSE&amp;creator=factset&amp;display_string=Audit"}</definedName>
    <definedName name="_4121__FDSAUDITLINK__" hidden="1">{"fdsup://Directions/FactSet Auditing Viewer?action=AUDIT_VALUE&amp;DB=129&amp;ID1=34637510&amp;VALUEID=02001&amp;SDATE=200603&amp;PERIODTYPE=QTR_STD&amp;SCFT=3&amp;window=popup_no_bar&amp;width=385&amp;height=120&amp;START_MAXIMIZED=FALSE&amp;creator=factset&amp;display_string=Audit"}</definedName>
    <definedName name="_4122__FDSAUDITLINK__" hidden="1">{"fdsup://Directions/FactSet Auditing Viewer?action=AUDIT_VALUE&amp;DB=129&amp;ID1=34637510&amp;VALUEID=02001&amp;SDATE=200603&amp;PERIODTYPE=QTR_STD&amp;SCFT=3&amp;window=popup_no_bar&amp;width=385&amp;height=120&amp;START_MAXIMIZED=FALSE&amp;creator=factset&amp;display_string=Audit"}</definedName>
    <definedName name="_4123__FDSAUDITLINK__" hidden="1">{"fdsup://Directions/FactSet Auditing Viewer?action=AUDIT_VALUE&amp;DB=129&amp;ID1=34637510&amp;VALUEID=02001&amp;SDATE=200602&amp;PERIODTYPE=QTR_STD&amp;SCFT=3&amp;window=popup_no_bar&amp;width=385&amp;height=120&amp;START_MAXIMIZED=FALSE&amp;creator=factset&amp;display_string=Audit"}</definedName>
    <definedName name="_4124__FDSAUDITLINK__" hidden="1">{"fdsup://Directions/FactSet Auditing Viewer?action=AUDIT_VALUE&amp;DB=129&amp;ID1=34637510&amp;VALUEID=02001&amp;SDATE=200602&amp;PERIODTYPE=QTR_STD&amp;SCFT=3&amp;window=popup_no_bar&amp;width=385&amp;height=120&amp;START_MAXIMIZED=FALSE&amp;creator=factset&amp;display_string=Audit"}</definedName>
    <definedName name="_4125__FDSAUDITLINK__" hidden="1">{"fdsup://Directions/FactSet Auditing Viewer?action=AUDIT_VALUE&amp;DB=129&amp;ID1=34637510&amp;VALUEID=02001&amp;SDATE=200601&amp;PERIODTYPE=QTR_STD&amp;SCFT=3&amp;window=popup_no_bar&amp;width=385&amp;height=120&amp;START_MAXIMIZED=FALSE&amp;creator=factset&amp;display_string=Audit"}</definedName>
    <definedName name="_4126__FDSAUDITLINK__" hidden="1">{"fdsup://Directions/FactSet Auditing Viewer?action=AUDIT_VALUE&amp;DB=129&amp;ID1=34637510&amp;VALUEID=02001&amp;SDATE=200601&amp;PERIODTYPE=QTR_STD&amp;SCFT=3&amp;window=popup_no_bar&amp;width=385&amp;height=120&amp;START_MAXIMIZED=FALSE&amp;creator=factset&amp;display_string=Audit"}</definedName>
    <definedName name="_4127__FDSAUDITLINK__" hidden="1">{"fdsup://Directions/FactSet Auditing Viewer?action=AUDIT_VALUE&amp;DB=129&amp;ID1=34637510&amp;VALUEID=02001&amp;SDATE=200503&amp;PERIODTYPE=QTR_STD&amp;SCFT=3&amp;window=popup_no_bar&amp;width=385&amp;height=120&amp;START_MAXIMIZED=FALSE&amp;creator=factset&amp;display_string=Audit"}</definedName>
    <definedName name="_4128__FDSAUDITLINK__" hidden="1">{"fdsup://Directions/FactSet Auditing Viewer?action=AUDIT_VALUE&amp;DB=129&amp;ID1=34637510&amp;VALUEID=02001&amp;SDATE=200503&amp;PERIODTYPE=QTR_STD&amp;SCFT=3&amp;window=popup_no_bar&amp;width=385&amp;height=120&amp;START_MAXIMIZED=FALSE&amp;creator=factset&amp;display_string=Audit"}</definedName>
    <definedName name="_4129__FDSAUDITLINK__" hidden="1">{"fdsup://Directions/FactSet Auditing Viewer?action=AUDIT_VALUE&amp;DB=129&amp;ID1=34637510&amp;VALUEID=02001&amp;SDATE=200502&amp;PERIODTYPE=QTR_STD&amp;SCFT=3&amp;window=popup_no_bar&amp;width=385&amp;height=120&amp;START_MAXIMIZED=FALSE&amp;creator=factset&amp;display_string=Audit"}</definedName>
    <definedName name="_413__FDSAUDITLINK__" hidden="1">{"fdsup://Directions/FactSet Auditing Viewer?action=AUDIT_VALUE&amp;DB=129&amp;ID1=17275R10&amp;VALUEID=02001&amp;SDATE=201101&amp;PERIODTYPE=QTR_STD&amp;SCFT=3&amp;window=popup_no_bar&amp;width=385&amp;height=120&amp;START_MAXIMIZED=FALSE&amp;creator=factset&amp;display_string=Audit"}</definedName>
    <definedName name="_4130__FDSAUDITLINK__" hidden="1">{"fdsup://Directions/FactSet Auditing Viewer?action=AUDIT_VALUE&amp;DB=129&amp;ID1=34637510&amp;VALUEID=02001&amp;SDATE=200502&amp;PERIODTYPE=QTR_STD&amp;SCFT=3&amp;window=popup_no_bar&amp;width=385&amp;height=120&amp;START_MAXIMIZED=FALSE&amp;creator=factset&amp;display_string=Audit"}</definedName>
    <definedName name="_4131__FDSAUDITLINK__" hidden="1">{"fdsup://Directions/FactSet Auditing Viewer?action=AUDIT_VALUE&amp;DB=129&amp;ID1=34637510&amp;VALUEID=02001&amp;SDATE=200501&amp;PERIODTYPE=QTR_STD&amp;SCFT=3&amp;window=popup_no_bar&amp;width=385&amp;height=120&amp;START_MAXIMIZED=FALSE&amp;creator=factset&amp;display_string=Audit"}</definedName>
    <definedName name="_4132__FDSAUDITLINK__" hidden="1">{"fdsup://Directions/FactSet Auditing Viewer?action=AUDIT_VALUE&amp;DB=129&amp;ID1=34637510&amp;VALUEID=02001&amp;SDATE=200501&amp;PERIODTYPE=QTR_STD&amp;SCFT=3&amp;window=popup_no_bar&amp;width=385&amp;height=120&amp;START_MAXIMIZED=FALSE&amp;creator=factset&amp;display_string=Audit"}</definedName>
    <definedName name="_4133__FDSAUDITLINK__" hidden="1">{"fdsup://Directions/FactSet Auditing Viewer?action=AUDIT_VALUE&amp;DB=129&amp;ID1=34637510&amp;VALUEID=02001&amp;SDATE=200403&amp;PERIODTYPE=QTR_STD&amp;SCFT=3&amp;window=popup_no_bar&amp;width=385&amp;height=120&amp;START_MAXIMIZED=FALSE&amp;creator=factset&amp;display_string=Audit"}</definedName>
    <definedName name="_4134__FDSAUDITLINK__" hidden="1">{"fdsup://Directions/FactSet Auditing Viewer?action=AUDIT_VALUE&amp;DB=129&amp;ID1=34637510&amp;VALUEID=02001&amp;SDATE=200403&amp;PERIODTYPE=QTR_STD&amp;SCFT=3&amp;window=popup_no_bar&amp;width=385&amp;height=120&amp;START_MAXIMIZED=FALSE&amp;creator=factset&amp;display_string=Audit"}</definedName>
    <definedName name="_4135__FDSAUDITLINK__" hidden="1">{"fdsup://Directions/FactSet Auditing Viewer?action=AUDIT_VALUE&amp;DB=129&amp;ID1=34637510&amp;VALUEID=02001&amp;SDATE=200402&amp;PERIODTYPE=QTR_STD&amp;SCFT=3&amp;window=popup_no_bar&amp;width=385&amp;height=120&amp;START_MAXIMIZED=FALSE&amp;creator=factset&amp;display_string=Audit"}</definedName>
    <definedName name="_4136__FDSAUDITLINK__" hidden="1">{"fdsup://Directions/FactSet Auditing Viewer?action=AUDIT_VALUE&amp;DB=129&amp;ID1=34637510&amp;VALUEID=02001&amp;SDATE=200402&amp;PERIODTYPE=QTR_STD&amp;SCFT=3&amp;window=popup_no_bar&amp;width=385&amp;height=120&amp;START_MAXIMIZED=FALSE&amp;creator=factset&amp;display_string=Audit"}</definedName>
    <definedName name="_4137__FDSAUDITLINK__" hidden="1">{"fdsup://Directions/FactSet Auditing Viewer?action=AUDIT_VALUE&amp;DB=129&amp;ID1=34637510&amp;VALUEID=02001&amp;SDATE=200401&amp;PERIODTYPE=QTR_STD&amp;SCFT=3&amp;window=popup_no_bar&amp;width=385&amp;height=120&amp;START_MAXIMIZED=FALSE&amp;creator=factset&amp;display_string=Audit"}</definedName>
    <definedName name="_4138__FDSAUDITLINK__" hidden="1">{"fdsup://Directions/FactSet Auditing Viewer?action=AUDIT_VALUE&amp;DB=129&amp;ID1=34637510&amp;VALUEID=02001&amp;SDATE=200401&amp;PERIODTYPE=QTR_STD&amp;SCFT=3&amp;window=popup_no_bar&amp;width=385&amp;height=120&amp;START_MAXIMIZED=FALSE&amp;creator=factset&amp;display_string=Audit"}</definedName>
    <definedName name="_4139__FDSAUDITLINK__" hidden="1">{"fdsup://Directions/FactSet Auditing Viewer?action=AUDIT_VALUE&amp;DB=129&amp;ID1=31561610&amp;VALUEID=02001&amp;SDATE=200802&amp;PERIODTYPE=QTR_STD&amp;SCFT=3&amp;window=popup_no_bar&amp;width=385&amp;height=120&amp;START_MAXIMIZED=FALSE&amp;creator=factset&amp;display_string=Audit"}</definedName>
    <definedName name="_414__FDSAUDITLINK__" hidden="1">{"fdsup://Directions/FactSet Auditing Viewer?action=AUDIT_VALUE&amp;DB=129&amp;ID1=17275R10&amp;VALUEID=02001&amp;SDATE=201101&amp;PERIODTYPE=QTR_STD&amp;SCFT=3&amp;window=popup_no_bar&amp;width=385&amp;height=120&amp;START_MAXIMIZED=FALSE&amp;creator=factset&amp;display_string=Audit"}</definedName>
    <definedName name="_4140__FDSAUDITLINK__" hidden="1">{"fdsup://Directions/FactSet Auditing Viewer?action=AUDIT_VALUE&amp;DB=129&amp;ID1=31561610&amp;VALUEID=02001&amp;SDATE=200802&amp;PERIODTYPE=QTR_STD&amp;SCFT=3&amp;window=popup_no_bar&amp;width=385&amp;height=120&amp;START_MAXIMIZED=FALSE&amp;creator=factset&amp;display_string=Audit"}</definedName>
    <definedName name="_4141__FDSAUDITLINK__" hidden="1">{"fdsup://Directions/FactSet Auditing Viewer?action=AUDIT_VALUE&amp;DB=129&amp;ID1=31561610&amp;VALUEID=02001&amp;SDATE=200801&amp;PERIODTYPE=QTR_STD&amp;SCFT=3&amp;window=popup_no_bar&amp;width=385&amp;height=120&amp;START_MAXIMIZED=FALSE&amp;creator=factset&amp;display_string=Audit"}</definedName>
    <definedName name="_4142__FDSAUDITLINK__" hidden="1">{"fdsup://Directions/FactSet Auditing Viewer?action=AUDIT_VALUE&amp;DB=129&amp;ID1=31561610&amp;VALUEID=02001&amp;SDATE=200801&amp;PERIODTYPE=QTR_STD&amp;SCFT=3&amp;window=popup_no_bar&amp;width=385&amp;height=120&amp;START_MAXIMIZED=FALSE&amp;creator=factset&amp;display_string=Audit"}</definedName>
    <definedName name="_4143__FDSAUDITLINK__" hidden="1">{"fdsup://Directions/FactSet Auditing Viewer?action=AUDIT_VALUE&amp;DB=129&amp;ID1=31561610&amp;VALUEID=02001&amp;SDATE=200703&amp;PERIODTYPE=QTR_STD&amp;SCFT=3&amp;window=popup_no_bar&amp;width=385&amp;height=120&amp;START_MAXIMIZED=FALSE&amp;creator=factset&amp;display_string=Audit"}</definedName>
    <definedName name="_4144__FDSAUDITLINK__" hidden="1">{"fdsup://Directions/FactSet Auditing Viewer?action=AUDIT_VALUE&amp;DB=129&amp;ID1=31561610&amp;VALUEID=02001&amp;SDATE=200703&amp;PERIODTYPE=QTR_STD&amp;SCFT=3&amp;window=popup_no_bar&amp;width=385&amp;height=120&amp;START_MAXIMIZED=FALSE&amp;creator=factset&amp;display_string=Audit"}</definedName>
    <definedName name="_4145__FDSAUDITLINK__" hidden="1">{"fdsup://Directions/FactSet Auditing Viewer?action=AUDIT_VALUE&amp;DB=129&amp;ID1=31561610&amp;VALUEID=02001&amp;SDATE=200702&amp;PERIODTYPE=QTR_STD&amp;SCFT=3&amp;window=popup_no_bar&amp;width=385&amp;height=120&amp;START_MAXIMIZED=FALSE&amp;creator=factset&amp;display_string=Audit"}</definedName>
    <definedName name="_4146__FDSAUDITLINK__" hidden="1">{"fdsup://Directions/FactSet Auditing Viewer?action=AUDIT_VALUE&amp;DB=129&amp;ID1=31561610&amp;VALUEID=02001&amp;SDATE=200702&amp;PERIODTYPE=QTR_STD&amp;SCFT=3&amp;window=popup_no_bar&amp;width=385&amp;height=120&amp;START_MAXIMIZED=FALSE&amp;creator=factset&amp;display_string=Audit"}</definedName>
    <definedName name="_4147__FDSAUDITLINK__" hidden="1">{"fdsup://Directions/FactSet Auditing Viewer?action=AUDIT_VALUE&amp;DB=129&amp;ID1=31561610&amp;VALUEID=02001&amp;SDATE=200701&amp;PERIODTYPE=QTR_STD&amp;SCFT=3&amp;window=popup_no_bar&amp;width=385&amp;height=120&amp;START_MAXIMIZED=FALSE&amp;creator=factset&amp;display_string=Audit"}</definedName>
    <definedName name="_4148__FDSAUDITLINK__" hidden="1">{"fdsup://Directions/FactSet Auditing Viewer?action=AUDIT_VALUE&amp;DB=129&amp;ID1=31561610&amp;VALUEID=02001&amp;SDATE=200701&amp;PERIODTYPE=QTR_STD&amp;SCFT=3&amp;window=popup_no_bar&amp;width=385&amp;height=120&amp;START_MAXIMIZED=FALSE&amp;creator=factset&amp;display_string=Audit"}</definedName>
    <definedName name="_4149__FDSAUDITLINK__" hidden="1">{"fdsup://Directions/FactSet Auditing Viewer?action=AUDIT_VALUE&amp;DB=129&amp;ID1=31561610&amp;VALUEID=02001&amp;SDATE=200603&amp;PERIODTYPE=QTR_STD&amp;SCFT=3&amp;window=popup_no_bar&amp;width=385&amp;height=120&amp;START_MAXIMIZED=FALSE&amp;creator=factset&amp;display_string=Audit"}</definedName>
    <definedName name="_415__FDSAUDITLINK__" hidden="1">{"fdsup://Directions/FactSet Auditing Viewer?action=AUDIT_VALUE&amp;DB=129&amp;ID1=22544710&amp;VALUEID=02001&amp;SDATE=201101&amp;PERIODTYPE=QTR_STD&amp;SCFT=3&amp;window=popup_no_bar&amp;width=385&amp;height=120&amp;START_MAXIMIZED=FALSE&amp;creator=factset&amp;display_string=Audit"}</definedName>
    <definedName name="_4150__FDSAUDITLINK__" hidden="1">{"fdsup://Directions/FactSet Auditing Viewer?action=AUDIT_VALUE&amp;DB=129&amp;ID1=31561610&amp;VALUEID=02001&amp;SDATE=200603&amp;PERIODTYPE=QTR_STD&amp;SCFT=3&amp;window=popup_no_bar&amp;width=385&amp;height=120&amp;START_MAXIMIZED=FALSE&amp;creator=factset&amp;display_string=Audit"}</definedName>
    <definedName name="_4151__FDSAUDITLINK__" hidden="1">{"fdsup://Directions/FactSet Auditing Viewer?action=AUDIT_VALUE&amp;DB=129&amp;ID1=31561610&amp;VALUEID=02001&amp;SDATE=200602&amp;PERIODTYPE=QTR_STD&amp;SCFT=3&amp;window=popup_no_bar&amp;width=385&amp;height=120&amp;START_MAXIMIZED=FALSE&amp;creator=factset&amp;display_string=Audit"}</definedName>
    <definedName name="_4152__FDSAUDITLINK__" hidden="1">{"fdsup://Directions/FactSet Auditing Viewer?action=AUDIT_VALUE&amp;DB=129&amp;ID1=31561610&amp;VALUEID=02001&amp;SDATE=200602&amp;PERIODTYPE=QTR_STD&amp;SCFT=3&amp;window=popup_no_bar&amp;width=385&amp;height=120&amp;START_MAXIMIZED=FALSE&amp;creator=factset&amp;display_string=Audit"}</definedName>
    <definedName name="_4153__FDSAUDITLINK__" hidden="1">{"fdsup://Directions/FactSet Auditing Viewer?action=AUDIT_VALUE&amp;DB=129&amp;ID1=31561610&amp;VALUEID=02001&amp;SDATE=200601&amp;PERIODTYPE=QTR_STD&amp;SCFT=3&amp;window=popup_no_bar&amp;width=385&amp;height=120&amp;START_MAXIMIZED=FALSE&amp;creator=factset&amp;display_string=Audit"}</definedName>
    <definedName name="_4154__FDSAUDITLINK__" hidden="1">{"fdsup://Directions/FactSet Auditing Viewer?action=AUDIT_VALUE&amp;DB=129&amp;ID1=31561610&amp;VALUEID=02001&amp;SDATE=200601&amp;PERIODTYPE=QTR_STD&amp;SCFT=3&amp;window=popup_no_bar&amp;width=385&amp;height=120&amp;START_MAXIMIZED=FALSE&amp;creator=factset&amp;display_string=Audit"}</definedName>
    <definedName name="_4155__FDSAUDITLINK__" hidden="1">{"fdsup://Directions/FactSet Auditing Viewer?action=AUDIT_VALUE&amp;DB=129&amp;ID1=31561610&amp;VALUEID=02001&amp;SDATE=200503&amp;PERIODTYPE=QTR_STD&amp;SCFT=3&amp;window=popup_no_bar&amp;width=385&amp;height=120&amp;START_MAXIMIZED=FALSE&amp;creator=factset&amp;display_string=Audit"}</definedName>
    <definedName name="_4156__FDSAUDITLINK__" hidden="1">{"fdsup://Directions/FactSet Auditing Viewer?action=AUDIT_VALUE&amp;DB=129&amp;ID1=31561610&amp;VALUEID=02001&amp;SDATE=200503&amp;PERIODTYPE=QTR_STD&amp;SCFT=3&amp;window=popup_no_bar&amp;width=385&amp;height=120&amp;START_MAXIMIZED=FALSE&amp;creator=factset&amp;display_string=Audit"}</definedName>
    <definedName name="_4157__FDSAUDITLINK__" hidden="1">{"fdsup://Directions/FactSet Auditing Viewer?action=AUDIT_VALUE&amp;DB=129&amp;ID1=31561610&amp;VALUEID=02001&amp;SDATE=200502&amp;PERIODTYPE=QTR_STD&amp;SCFT=3&amp;window=popup_no_bar&amp;width=385&amp;height=120&amp;START_MAXIMIZED=FALSE&amp;creator=factset&amp;display_string=Audit"}</definedName>
    <definedName name="_4158__FDSAUDITLINK__" hidden="1">{"fdsup://Directions/FactSet Auditing Viewer?action=AUDIT_VALUE&amp;DB=129&amp;ID1=31561610&amp;VALUEID=02001&amp;SDATE=200502&amp;PERIODTYPE=QTR_STD&amp;SCFT=3&amp;window=popup_no_bar&amp;width=385&amp;height=120&amp;START_MAXIMIZED=FALSE&amp;creator=factset&amp;display_string=Audit"}</definedName>
    <definedName name="_4159__FDSAUDITLINK__" hidden="1">{"fdsup://Directions/FactSet Auditing Viewer?action=AUDIT_VALUE&amp;DB=129&amp;ID1=31561610&amp;VALUEID=02001&amp;SDATE=200501&amp;PERIODTYPE=QTR_STD&amp;SCFT=3&amp;window=popup_no_bar&amp;width=385&amp;height=120&amp;START_MAXIMIZED=FALSE&amp;creator=factset&amp;display_string=Audit"}</definedName>
    <definedName name="_416__FDSAUDITLINK__" hidden="1">{"fdsup://Directions/FactSet Auditing Viewer?action=AUDIT_VALUE&amp;DB=129&amp;ID1=22544710&amp;VALUEID=02001&amp;SDATE=201101&amp;PERIODTYPE=QTR_STD&amp;SCFT=3&amp;window=popup_no_bar&amp;width=385&amp;height=120&amp;START_MAXIMIZED=FALSE&amp;creator=factset&amp;display_string=Audit"}</definedName>
    <definedName name="_4160__FDSAUDITLINK__" hidden="1">{"fdsup://Directions/FactSet Auditing Viewer?action=AUDIT_VALUE&amp;DB=129&amp;ID1=31561610&amp;VALUEID=02001&amp;SDATE=200501&amp;PERIODTYPE=QTR_STD&amp;SCFT=3&amp;window=popup_no_bar&amp;width=385&amp;height=120&amp;START_MAXIMIZED=FALSE&amp;creator=factset&amp;display_string=Audit"}</definedName>
    <definedName name="_4161__FDSAUDITLINK__" hidden="1">{"fdsup://Directions/FactSet Auditing Viewer?action=AUDIT_VALUE&amp;DB=129&amp;ID1=31561610&amp;VALUEID=02001&amp;SDATE=200403&amp;PERIODTYPE=QTR_STD&amp;SCFT=3&amp;window=popup_no_bar&amp;width=385&amp;height=120&amp;START_MAXIMIZED=FALSE&amp;creator=factset&amp;display_string=Audit"}</definedName>
    <definedName name="_4162__FDSAUDITLINK__" hidden="1">{"fdsup://Directions/FactSet Auditing Viewer?action=AUDIT_VALUE&amp;DB=129&amp;ID1=31561610&amp;VALUEID=02001&amp;SDATE=200403&amp;PERIODTYPE=QTR_STD&amp;SCFT=3&amp;window=popup_no_bar&amp;width=385&amp;height=120&amp;START_MAXIMIZED=FALSE&amp;creator=factset&amp;display_string=Audit"}</definedName>
    <definedName name="_4163__FDSAUDITLINK__" hidden="1">{"fdsup://Directions/FactSet Auditing Viewer?action=AUDIT_VALUE&amp;DB=129&amp;ID1=31561610&amp;VALUEID=02001&amp;SDATE=200402&amp;PERIODTYPE=QTR_STD&amp;SCFT=3&amp;window=popup_no_bar&amp;width=385&amp;height=120&amp;START_MAXIMIZED=FALSE&amp;creator=factset&amp;display_string=Audit"}</definedName>
    <definedName name="_4164__FDSAUDITLINK__" hidden="1">{"fdsup://Directions/FactSet Auditing Viewer?action=AUDIT_VALUE&amp;DB=129&amp;ID1=31561610&amp;VALUEID=02001&amp;SDATE=200402&amp;PERIODTYPE=QTR_STD&amp;SCFT=3&amp;window=popup_no_bar&amp;width=385&amp;height=120&amp;START_MAXIMIZED=FALSE&amp;creator=factset&amp;display_string=Audit"}</definedName>
    <definedName name="_4165__FDSAUDITLINK__" hidden="1">{"fdsup://Directions/FactSet Auditing Viewer?action=AUDIT_VALUE&amp;DB=129&amp;ID1=29247520&amp;VALUEID=02001&amp;SDATE=200803&amp;PERIODTYPE=QTR_STD&amp;SCFT=3&amp;window=popup_no_bar&amp;width=385&amp;height=120&amp;START_MAXIMIZED=FALSE&amp;creator=factset&amp;display_string=Audit"}</definedName>
    <definedName name="_4166__FDSAUDITLINK__" hidden="1">{"fdsup://Directions/FactSet Auditing Viewer?action=AUDIT_VALUE&amp;DB=129&amp;ID1=29247520&amp;VALUEID=02001&amp;SDATE=200803&amp;PERIODTYPE=QTR_STD&amp;SCFT=3&amp;window=popup_no_bar&amp;width=385&amp;height=120&amp;START_MAXIMIZED=FALSE&amp;creator=factset&amp;display_string=Audit"}</definedName>
    <definedName name="_4167__FDSAUDITLINK__" hidden="1">{"fdsup://Directions/FactSet Auditing Viewer?action=AUDIT_VALUE&amp;DB=129&amp;ID1=29247520&amp;VALUEID=02001&amp;SDATE=200802&amp;PERIODTYPE=QTR_STD&amp;SCFT=3&amp;window=popup_no_bar&amp;width=385&amp;height=120&amp;START_MAXIMIZED=FALSE&amp;creator=factset&amp;display_string=Audit"}</definedName>
    <definedName name="_4168__FDSAUDITLINK__" hidden="1">{"fdsup://Directions/FactSet Auditing Viewer?action=AUDIT_VALUE&amp;DB=129&amp;ID1=29247520&amp;VALUEID=02001&amp;SDATE=200802&amp;PERIODTYPE=QTR_STD&amp;SCFT=3&amp;window=popup_no_bar&amp;width=385&amp;height=120&amp;START_MAXIMIZED=FALSE&amp;creator=factset&amp;display_string=Audit"}</definedName>
    <definedName name="_4169__FDSAUDITLINK__" hidden="1">{"fdsup://Directions/FactSet Auditing Viewer?action=AUDIT_VALUE&amp;DB=129&amp;ID1=29247520&amp;VALUEID=02001&amp;SDATE=200801&amp;PERIODTYPE=QTR_STD&amp;SCFT=3&amp;window=popup_no_bar&amp;width=385&amp;height=120&amp;START_MAXIMIZED=FALSE&amp;creator=factset&amp;display_string=Audit"}</definedName>
    <definedName name="_417__FDSAUDITLINK__" hidden="1">{"fdsup://Directions/FactSet Auditing Viewer?action=AUDIT_VALUE&amp;DB=129&amp;ID1=20714230&amp;VALUEID=02001&amp;SDATE=201004&amp;PERIODTYPE=QTR_STD&amp;SCFT=3&amp;window=popup_no_bar&amp;width=385&amp;height=120&amp;START_MAXIMIZED=FALSE&amp;creator=factset&amp;display_string=Audit"}</definedName>
    <definedName name="_4170__FDSAUDITLINK__" hidden="1">{"fdsup://Directions/FactSet Auditing Viewer?action=AUDIT_VALUE&amp;DB=129&amp;ID1=29247520&amp;VALUEID=02001&amp;SDATE=200801&amp;PERIODTYPE=QTR_STD&amp;SCFT=3&amp;window=popup_no_bar&amp;width=385&amp;height=120&amp;START_MAXIMIZED=FALSE&amp;creator=factset&amp;display_string=Audit"}</definedName>
    <definedName name="_4171__FDSAUDITLINK__" hidden="1">{"fdsup://Directions/FactSet Auditing Viewer?action=AUDIT_VALUE&amp;DB=129&amp;ID1=29247520&amp;VALUEID=02001&amp;SDATE=200703&amp;PERIODTYPE=QTR_STD&amp;SCFT=3&amp;window=popup_no_bar&amp;width=385&amp;height=120&amp;START_MAXIMIZED=FALSE&amp;creator=factset&amp;display_string=Audit"}</definedName>
    <definedName name="_4172__FDSAUDITLINK__" hidden="1">{"fdsup://Directions/FactSet Auditing Viewer?action=AUDIT_VALUE&amp;DB=129&amp;ID1=29247520&amp;VALUEID=02001&amp;SDATE=200703&amp;PERIODTYPE=QTR_STD&amp;SCFT=3&amp;window=popup_no_bar&amp;width=385&amp;height=120&amp;START_MAXIMIZED=FALSE&amp;creator=factset&amp;display_string=Audit"}</definedName>
    <definedName name="_4173__FDSAUDITLINK__" hidden="1">{"fdsup://Directions/FactSet Auditing Viewer?action=AUDIT_VALUE&amp;DB=129&amp;ID1=29247520&amp;VALUEID=02001&amp;SDATE=200702&amp;PERIODTYPE=QTR_STD&amp;SCFT=3&amp;window=popup_no_bar&amp;width=385&amp;height=120&amp;START_MAXIMIZED=FALSE&amp;creator=factset&amp;display_string=Audit"}</definedName>
    <definedName name="_4174__FDSAUDITLINK__" hidden="1">{"fdsup://Directions/FactSet Auditing Viewer?action=AUDIT_VALUE&amp;DB=129&amp;ID1=29247520&amp;VALUEID=02001&amp;SDATE=200702&amp;PERIODTYPE=QTR_STD&amp;SCFT=3&amp;window=popup_no_bar&amp;width=385&amp;height=120&amp;START_MAXIMIZED=FALSE&amp;creator=factset&amp;display_string=Audit"}</definedName>
    <definedName name="_4175__FDSAUDITLINK__" hidden="1">{"fdsup://Directions/FactSet Auditing Viewer?action=AUDIT_VALUE&amp;DB=129&amp;ID1=29247520&amp;VALUEID=02001&amp;SDATE=200701&amp;PERIODTYPE=QTR_STD&amp;SCFT=3&amp;window=popup_no_bar&amp;width=385&amp;height=120&amp;START_MAXIMIZED=FALSE&amp;creator=factset&amp;display_string=Audit"}</definedName>
    <definedName name="_4176__FDSAUDITLINK__" hidden="1">{"fdsup://Directions/FactSet Auditing Viewer?action=AUDIT_VALUE&amp;DB=129&amp;ID1=29247520&amp;VALUEID=02001&amp;SDATE=200701&amp;PERIODTYPE=QTR_STD&amp;SCFT=3&amp;window=popup_no_bar&amp;width=385&amp;height=120&amp;START_MAXIMIZED=FALSE&amp;creator=factset&amp;display_string=Audit"}</definedName>
    <definedName name="_4177__FDSAUDITLINK__" hidden="1">{"fdsup://Directions/FactSet Auditing Viewer?action=AUDIT_VALUE&amp;DB=129&amp;ID1=29247520&amp;VALUEID=02001&amp;SDATE=200603&amp;PERIODTYPE=QTR_STD&amp;SCFT=3&amp;window=popup_no_bar&amp;width=385&amp;height=120&amp;START_MAXIMIZED=FALSE&amp;creator=factset&amp;display_string=Audit"}</definedName>
    <definedName name="_4178__FDSAUDITLINK__" hidden="1">{"fdsup://Directions/FactSet Auditing Viewer?action=AUDIT_VALUE&amp;DB=129&amp;ID1=29247520&amp;VALUEID=02001&amp;SDATE=200603&amp;PERIODTYPE=QTR_STD&amp;SCFT=3&amp;window=popup_no_bar&amp;width=385&amp;height=120&amp;START_MAXIMIZED=FALSE&amp;creator=factset&amp;display_string=Audit"}</definedName>
    <definedName name="_4179__FDSAUDITLINK__" hidden="1">{"fdsup://Directions/FactSet Auditing Viewer?action=AUDIT_VALUE&amp;DB=129&amp;ID1=29247520&amp;VALUEID=02001&amp;SDATE=200602&amp;PERIODTYPE=QTR_STD&amp;SCFT=3&amp;window=popup_no_bar&amp;width=385&amp;height=120&amp;START_MAXIMIZED=FALSE&amp;creator=factset&amp;display_string=Audit"}</definedName>
    <definedName name="_418__FDSAUDITLINK__" hidden="1">{"fdsup://Directions/FactSet Auditing Viewer?action=AUDIT_VALUE&amp;DB=129&amp;ID1=20714230&amp;VALUEID=02001&amp;SDATE=201004&amp;PERIODTYPE=QTR_STD&amp;SCFT=3&amp;window=popup_no_bar&amp;width=385&amp;height=120&amp;START_MAXIMIZED=FALSE&amp;creator=factset&amp;display_string=Audit"}</definedName>
    <definedName name="_4180__FDSAUDITLINK__" hidden="1">{"fdsup://Directions/FactSet Auditing Viewer?action=AUDIT_VALUE&amp;DB=129&amp;ID1=29247520&amp;VALUEID=02001&amp;SDATE=200602&amp;PERIODTYPE=QTR_STD&amp;SCFT=3&amp;window=popup_no_bar&amp;width=385&amp;height=120&amp;START_MAXIMIZED=FALSE&amp;creator=factset&amp;display_string=Audit"}</definedName>
    <definedName name="_4181__FDSAUDITLINK__" hidden="1">{"fdsup://Directions/FactSet Auditing Viewer?action=AUDIT_VALUE&amp;DB=129&amp;ID1=29247520&amp;VALUEID=02001&amp;SDATE=200601&amp;PERIODTYPE=QTR_STD&amp;SCFT=3&amp;window=popup_no_bar&amp;width=385&amp;height=120&amp;START_MAXIMIZED=FALSE&amp;creator=factset&amp;display_string=Audit"}</definedName>
    <definedName name="_4182__FDSAUDITLINK__" hidden="1">{"fdsup://Directions/FactSet Auditing Viewer?action=AUDIT_VALUE&amp;DB=129&amp;ID1=29247520&amp;VALUEID=02001&amp;SDATE=200601&amp;PERIODTYPE=QTR_STD&amp;SCFT=3&amp;window=popup_no_bar&amp;width=385&amp;height=120&amp;START_MAXIMIZED=FALSE&amp;creator=factset&amp;display_string=Audit"}</definedName>
    <definedName name="_4183__FDSAUDITLINK__" hidden="1">{"fdsup://Directions/FactSet Auditing Viewer?action=AUDIT_VALUE&amp;DB=129&amp;ID1=29247520&amp;VALUEID=02001&amp;SDATE=200503&amp;PERIODTYPE=QTR_STD&amp;SCFT=3&amp;window=popup_no_bar&amp;width=385&amp;height=120&amp;START_MAXIMIZED=FALSE&amp;creator=factset&amp;display_string=Audit"}</definedName>
    <definedName name="_4184__FDSAUDITLINK__" hidden="1">{"fdsup://Directions/FactSet Auditing Viewer?action=AUDIT_VALUE&amp;DB=129&amp;ID1=29247520&amp;VALUEID=02001&amp;SDATE=200503&amp;PERIODTYPE=QTR_STD&amp;SCFT=3&amp;window=popup_no_bar&amp;width=385&amp;height=120&amp;START_MAXIMIZED=FALSE&amp;creator=factset&amp;display_string=Audit"}</definedName>
    <definedName name="_4185__FDSAUDITLINK__" hidden="1">{"fdsup://Directions/FactSet Auditing Viewer?action=AUDIT_VALUE&amp;DB=129&amp;ID1=29247520&amp;VALUEID=02001&amp;SDATE=200502&amp;PERIODTYPE=QTR_STD&amp;SCFT=3&amp;window=popup_no_bar&amp;width=385&amp;height=120&amp;START_MAXIMIZED=FALSE&amp;creator=factset&amp;display_string=Audit"}</definedName>
    <definedName name="_4186__FDSAUDITLINK__" hidden="1">{"fdsup://Directions/FactSet Auditing Viewer?action=AUDIT_VALUE&amp;DB=129&amp;ID1=29247520&amp;VALUEID=02001&amp;SDATE=200502&amp;PERIODTYPE=QTR_STD&amp;SCFT=3&amp;window=popup_no_bar&amp;width=385&amp;height=120&amp;START_MAXIMIZED=FALSE&amp;creator=factset&amp;display_string=Audit"}</definedName>
    <definedName name="_4187__FDSAUDITLINK__" hidden="1">{"fdsup://Directions/FactSet Auditing Viewer?action=AUDIT_VALUE&amp;DB=129&amp;ID1=29247520&amp;VALUEID=02001&amp;SDATE=200501&amp;PERIODTYPE=QTR_STD&amp;SCFT=3&amp;window=popup_no_bar&amp;width=385&amp;height=120&amp;START_MAXIMIZED=FALSE&amp;creator=factset&amp;display_string=Audit"}</definedName>
    <definedName name="_4188__FDSAUDITLINK__" hidden="1">{"fdsup://Directions/FactSet Auditing Viewer?action=AUDIT_VALUE&amp;DB=129&amp;ID1=29247520&amp;VALUEID=02001&amp;SDATE=200501&amp;PERIODTYPE=QTR_STD&amp;SCFT=3&amp;window=popup_no_bar&amp;width=385&amp;height=120&amp;START_MAXIMIZED=FALSE&amp;creator=factset&amp;display_string=Audit"}</definedName>
    <definedName name="_4189__FDSAUDITLINK__" hidden="1">{"fdsup://Directions/FactSet Auditing Viewer?action=AUDIT_VALUE&amp;DB=129&amp;ID1=29247520&amp;VALUEID=02001&amp;SDATE=200403&amp;PERIODTYPE=QTR_STD&amp;SCFT=3&amp;window=popup_no_bar&amp;width=385&amp;height=120&amp;START_MAXIMIZED=FALSE&amp;creator=factset&amp;display_string=Audit"}</definedName>
    <definedName name="_419__FDSAUDITLINK__" hidden="1">{"fdsup://Directions/FactSet Auditing Viewer?action=AUDIT_VALUE&amp;DB=129&amp;ID1=12738710&amp;VALUEID=02001&amp;SDATE=201003&amp;PERIODTYPE=QTR_STD&amp;SCFT=3&amp;window=popup_no_bar&amp;width=385&amp;height=120&amp;START_MAXIMIZED=FALSE&amp;creator=factset&amp;display_string=Audit"}</definedName>
    <definedName name="_4190__FDSAUDITLINK__" hidden="1">{"fdsup://Directions/FactSet Auditing Viewer?action=AUDIT_VALUE&amp;DB=129&amp;ID1=29247520&amp;VALUEID=02001&amp;SDATE=200403&amp;PERIODTYPE=QTR_STD&amp;SCFT=3&amp;window=popup_no_bar&amp;width=385&amp;height=120&amp;START_MAXIMIZED=FALSE&amp;creator=factset&amp;display_string=Audit"}</definedName>
    <definedName name="_4191__FDSAUDITLINK__" hidden="1">{"fdsup://Directions/FactSet Auditing Viewer?action=AUDIT_VALUE&amp;DB=129&amp;ID1=25454310&amp;VALUEID=02001&amp;SDATE=200801&amp;PERIODTYPE=QTR_STD&amp;SCFT=3&amp;window=popup_no_bar&amp;width=385&amp;height=120&amp;START_MAXIMIZED=FALSE&amp;creator=factset&amp;display_string=Audit"}</definedName>
    <definedName name="_4192__FDSAUDITLINK__" hidden="1">{"fdsup://Directions/FactSet Auditing Viewer?action=AUDIT_VALUE&amp;DB=129&amp;ID1=25454310&amp;VALUEID=02001&amp;SDATE=200801&amp;PERIODTYPE=QTR_STD&amp;SCFT=3&amp;window=popup_no_bar&amp;width=385&amp;height=120&amp;START_MAXIMIZED=FALSE&amp;creator=factset&amp;display_string=Audit"}</definedName>
    <definedName name="_4193__FDSAUDITLINK__" hidden="1">{"fdsup://Directions/FactSet Auditing Viewer?action=AUDIT_VALUE&amp;DB=129&amp;ID1=25454310&amp;VALUEID=02001&amp;SDATE=200703&amp;PERIODTYPE=QTR_STD&amp;SCFT=3&amp;window=popup_no_bar&amp;width=385&amp;height=120&amp;START_MAXIMIZED=FALSE&amp;creator=factset&amp;display_string=Audit"}</definedName>
    <definedName name="_4194__FDSAUDITLINK__" hidden="1">{"fdsup://Directions/FactSet Auditing Viewer?action=AUDIT_VALUE&amp;DB=129&amp;ID1=25454310&amp;VALUEID=02001&amp;SDATE=200703&amp;PERIODTYPE=QTR_STD&amp;SCFT=3&amp;window=popup_no_bar&amp;width=385&amp;height=120&amp;START_MAXIMIZED=FALSE&amp;creator=factset&amp;display_string=Audit"}</definedName>
    <definedName name="_4195__FDSAUDITLINK__" hidden="1">{"fdsup://Directions/FactSet Auditing Viewer?action=AUDIT_VALUE&amp;DB=129&amp;ID1=25454310&amp;VALUEID=02001&amp;SDATE=200701&amp;PERIODTYPE=QTR_STD&amp;SCFT=3&amp;window=popup_no_bar&amp;width=385&amp;height=120&amp;START_MAXIMIZED=FALSE&amp;creator=factset&amp;display_string=Audit"}</definedName>
    <definedName name="_4196__FDSAUDITLINK__" hidden="1">{"fdsup://Directions/FactSet Auditing Viewer?action=AUDIT_VALUE&amp;DB=129&amp;ID1=25454310&amp;VALUEID=02001&amp;SDATE=200701&amp;PERIODTYPE=QTR_STD&amp;SCFT=3&amp;window=popup_no_bar&amp;width=385&amp;height=120&amp;START_MAXIMIZED=FALSE&amp;creator=factset&amp;display_string=Audit"}</definedName>
    <definedName name="_4197__FDSAUDITLINK__" hidden="1">{"fdsup://Directions/FactSet Auditing Viewer?action=AUDIT_VALUE&amp;DB=129&amp;ID1=25454310&amp;VALUEID=02001&amp;SDATE=200603&amp;PERIODTYPE=QTR_STD&amp;SCFT=3&amp;window=popup_no_bar&amp;width=385&amp;height=120&amp;START_MAXIMIZED=FALSE&amp;creator=factset&amp;display_string=Audit"}</definedName>
    <definedName name="_4198__FDSAUDITLINK__" hidden="1">{"fdsup://Directions/FactSet Auditing Viewer?action=AUDIT_VALUE&amp;DB=129&amp;ID1=25454310&amp;VALUEID=02001&amp;SDATE=200603&amp;PERIODTYPE=QTR_STD&amp;SCFT=3&amp;window=popup_no_bar&amp;width=385&amp;height=120&amp;START_MAXIMIZED=FALSE&amp;creator=factset&amp;display_string=Audit"}</definedName>
    <definedName name="_4199__FDSAUDITLINK__" hidden="1">{"fdsup://Directions/FactSet Auditing Viewer?action=AUDIT_VALUE&amp;DB=129&amp;ID1=25454310&amp;VALUEID=02001&amp;SDATE=200602&amp;PERIODTYPE=QTR_STD&amp;SCFT=3&amp;window=popup_no_bar&amp;width=385&amp;height=120&amp;START_MAXIMIZED=FALSE&amp;creator=factset&amp;display_string=Audit"}</definedName>
    <definedName name="_42__FDSAUDITLINK__" hidden="1">{"fdsup://Directions/FactSet Auditing Viewer?action=AUDIT_VALUE&amp;DB=129&amp;ID1=74752510&amp;VALUEID=02001&amp;SDATE=201102&amp;PERIODTYPE=QTR_STD&amp;SCFT=3&amp;window=popup_no_bar&amp;width=385&amp;height=120&amp;START_MAXIMIZED=FALSE&amp;creator=factset&amp;display_string=Audit"}</definedName>
    <definedName name="_420__FDSAUDITLINK__" hidden="1">{"fdsup://Directions/FactSet Auditing Viewer?action=AUDIT_VALUE&amp;DB=129&amp;ID1=12738710&amp;VALUEID=02001&amp;SDATE=201003&amp;PERIODTYPE=QTR_STD&amp;SCFT=3&amp;window=popup_no_bar&amp;width=385&amp;height=120&amp;START_MAXIMIZED=FALSE&amp;creator=factset&amp;display_string=Audit"}</definedName>
    <definedName name="_4200__FDSAUDITLINK__" hidden="1">{"fdsup://Directions/FactSet Auditing Viewer?action=AUDIT_VALUE&amp;DB=129&amp;ID1=25454310&amp;VALUEID=02001&amp;SDATE=200602&amp;PERIODTYPE=QTR_STD&amp;SCFT=3&amp;window=popup_no_bar&amp;width=385&amp;height=120&amp;START_MAXIMIZED=FALSE&amp;creator=factset&amp;display_string=Audit"}</definedName>
    <definedName name="_4201__FDSAUDITLINK__" hidden="1">{"fdsup://Directions/FactSet Auditing Viewer?action=AUDIT_VALUE&amp;DB=129&amp;ID1=25454310&amp;VALUEID=02001&amp;SDATE=200601&amp;PERIODTYPE=QTR_STD&amp;SCFT=3&amp;window=popup_no_bar&amp;width=385&amp;height=120&amp;START_MAXIMIZED=FALSE&amp;creator=factset&amp;display_string=Audit"}</definedName>
    <definedName name="_4202__FDSAUDITLINK__" hidden="1">{"fdsup://Directions/FactSet Auditing Viewer?action=AUDIT_VALUE&amp;DB=129&amp;ID1=25454310&amp;VALUEID=02001&amp;SDATE=200601&amp;PERIODTYPE=QTR_STD&amp;SCFT=3&amp;window=popup_no_bar&amp;width=385&amp;height=120&amp;START_MAXIMIZED=FALSE&amp;creator=factset&amp;display_string=Audit"}</definedName>
    <definedName name="_4203__FDSAUDITLINK__" hidden="1">{"fdsup://Directions/FactSet Auditing Viewer?action=AUDIT_VALUE&amp;DB=129&amp;ID1=25454310&amp;VALUEID=02001&amp;SDATE=200503&amp;PERIODTYPE=QTR_STD&amp;SCFT=3&amp;window=popup_no_bar&amp;width=385&amp;height=120&amp;START_MAXIMIZED=FALSE&amp;creator=factset&amp;display_string=Audit"}</definedName>
    <definedName name="_4204__FDSAUDITLINK__" hidden="1">{"fdsup://Directions/FactSet Auditing Viewer?action=AUDIT_VALUE&amp;DB=129&amp;ID1=25454310&amp;VALUEID=02001&amp;SDATE=200503&amp;PERIODTYPE=QTR_STD&amp;SCFT=3&amp;window=popup_no_bar&amp;width=385&amp;height=120&amp;START_MAXIMIZED=FALSE&amp;creator=factset&amp;display_string=Audit"}</definedName>
    <definedName name="_4205__FDSAUDITLINK__" hidden="1">{"fdsup://Directions/FactSet Auditing Viewer?action=AUDIT_VALUE&amp;DB=129&amp;ID1=25454310&amp;VALUEID=02001&amp;SDATE=200502&amp;PERIODTYPE=QTR_STD&amp;SCFT=3&amp;window=popup_no_bar&amp;width=385&amp;height=120&amp;START_MAXIMIZED=FALSE&amp;creator=factset&amp;display_string=Audit"}</definedName>
    <definedName name="_4206__FDSAUDITLINK__" hidden="1">{"fdsup://Directions/FactSet Auditing Viewer?action=AUDIT_VALUE&amp;DB=129&amp;ID1=25454310&amp;VALUEID=02001&amp;SDATE=200502&amp;PERIODTYPE=QTR_STD&amp;SCFT=3&amp;window=popup_no_bar&amp;width=385&amp;height=120&amp;START_MAXIMIZED=FALSE&amp;creator=factset&amp;display_string=Audit"}</definedName>
    <definedName name="_4207__FDSAUDITLINK__" hidden="1">{"fdsup://Directions/FactSet Auditing Viewer?action=AUDIT_VALUE&amp;DB=129&amp;ID1=25454310&amp;VALUEID=02001&amp;SDATE=200501&amp;PERIODTYPE=QTR_STD&amp;SCFT=3&amp;window=popup_no_bar&amp;width=385&amp;height=120&amp;START_MAXIMIZED=FALSE&amp;creator=factset&amp;display_string=Audit"}</definedName>
    <definedName name="_4208__FDSAUDITLINK__" hidden="1">{"fdsup://Directions/FactSet Auditing Viewer?action=AUDIT_VALUE&amp;DB=129&amp;ID1=25454310&amp;VALUEID=02001&amp;SDATE=200501&amp;PERIODTYPE=QTR_STD&amp;SCFT=3&amp;window=popup_no_bar&amp;width=385&amp;height=120&amp;START_MAXIMIZED=FALSE&amp;creator=factset&amp;display_string=Audit"}</definedName>
    <definedName name="_4209__FDSAUDITLINK__" hidden="1">{"fdsup://Directions/FactSet Auditing Viewer?action=AUDIT_VALUE&amp;DB=129&amp;ID1=25454310&amp;VALUEID=02001&amp;SDATE=200403&amp;PERIODTYPE=QTR_STD&amp;SCFT=3&amp;window=popup_no_bar&amp;width=385&amp;height=120&amp;START_MAXIMIZED=FALSE&amp;creator=factset&amp;display_string=Audit"}</definedName>
    <definedName name="_421__FDSAUDITLINK__" hidden="1">{"fdsup://Directions/FactSet Auditing Viewer?action=AUDIT_VALUE&amp;DB=129&amp;ID1=14964U10&amp;VALUEID=02001&amp;SDATE=201003&amp;PERIODTYPE=QTR_STD&amp;SCFT=3&amp;window=popup_no_bar&amp;width=385&amp;height=120&amp;START_MAXIMIZED=FALSE&amp;creator=factset&amp;display_string=Audit"}</definedName>
    <definedName name="_4210__FDSAUDITLINK__" hidden="1">{"fdsup://Directions/FactSet Auditing Viewer?action=AUDIT_VALUE&amp;DB=129&amp;ID1=25454310&amp;VALUEID=02001&amp;SDATE=200403&amp;PERIODTYPE=QTR_STD&amp;SCFT=3&amp;window=popup_no_bar&amp;width=385&amp;height=120&amp;START_MAXIMIZED=FALSE&amp;creator=factset&amp;display_string=Audit"}</definedName>
    <definedName name="_4211__FDSAUDITLINK__" hidden="1">{"fdsup://Directions/FactSet Auditing Viewer?action=AUDIT_VALUE&amp;DB=129&amp;ID1=25454310&amp;VALUEID=02001&amp;SDATE=200402&amp;PERIODTYPE=QTR_STD&amp;SCFT=3&amp;window=popup_no_bar&amp;width=385&amp;height=120&amp;START_MAXIMIZED=FALSE&amp;creator=factset&amp;display_string=Audit"}</definedName>
    <definedName name="_4212__FDSAUDITLINK__" hidden="1">{"fdsup://Directions/FactSet Auditing Viewer?action=AUDIT_VALUE&amp;DB=129&amp;ID1=25454310&amp;VALUEID=02001&amp;SDATE=200402&amp;PERIODTYPE=QTR_STD&amp;SCFT=3&amp;window=popup_no_bar&amp;width=385&amp;height=120&amp;START_MAXIMIZED=FALSE&amp;creator=factset&amp;display_string=Audit"}</definedName>
    <definedName name="_4213__FDSAUDITLINK__" hidden="1">{"fdsup://Directions/FactSet Auditing Viewer?action=AUDIT_VALUE&amp;DB=129&amp;ID1=25454310&amp;VALUEID=02001&amp;SDATE=200401&amp;PERIODTYPE=QTR_STD&amp;SCFT=3&amp;window=popup_no_bar&amp;width=385&amp;height=120&amp;START_MAXIMIZED=FALSE&amp;creator=factset&amp;display_string=Audit"}</definedName>
    <definedName name="_4214__FDSAUDITLINK__" hidden="1">{"fdsup://Directions/FactSet Auditing Viewer?action=AUDIT_VALUE&amp;DB=129&amp;ID1=25454310&amp;VALUEID=02001&amp;SDATE=200401&amp;PERIODTYPE=QTR_STD&amp;SCFT=3&amp;window=popup_no_bar&amp;width=385&amp;height=120&amp;START_MAXIMIZED=FALSE&amp;creator=factset&amp;display_string=Audit"}</definedName>
    <definedName name="_4215__FDSAUDITLINK__" hidden="1">{"fdsup://Directions/FactSet Auditing Viewer?action=AUDIT_VALUE&amp;DB=129&amp;ID1=24702R10&amp;VALUEID=02001&amp;SDATE=200801&amp;PERIODTYPE=QTR_STD&amp;SCFT=3&amp;window=popup_no_bar&amp;width=385&amp;height=120&amp;START_MAXIMIZED=FALSE&amp;creator=factset&amp;display_string=Audit"}</definedName>
    <definedName name="_4216__FDSAUDITLINK__" hidden="1">{"fdsup://Directions/FactSet Auditing Viewer?action=AUDIT_VALUE&amp;DB=129&amp;ID1=24702R10&amp;VALUEID=02001&amp;SDATE=200801&amp;PERIODTYPE=QTR_STD&amp;SCFT=3&amp;window=popup_no_bar&amp;width=385&amp;height=120&amp;START_MAXIMIZED=FALSE&amp;creator=factset&amp;display_string=Audit"}</definedName>
    <definedName name="_4217__FDSAUDITLINK__" hidden="1">{"fdsup://Directions/FactSet Auditing Viewer?action=AUDIT_VALUE&amp;DB=129&amp;ID1=24702R10&amp;VALUEID=02001&amp;SDATE=200703&amp;PERIODTYPE=QTR_STD&amp;SCFT=3&amp;window=popup_no_bar&amp;width=385&amp;height=120&amp;START_MAXIMIZED=FALSE&amp;creator=factset&amp;display_string=Audit"}</definedName>
    <definedName name="_4218__FDSAUDITLINK__" hidden="1">{"fdsup://Directions/FactSet Auditing Viewer?action=AUDIT_VALUE&amp;DB=129&amp;ID1=24702R10&amp;VALUEID=02001&amp;SDATE=200703&amp;PERIODTYPE=QTR_STD&amp;SCFT=3&amp;window=popup_no_bar&amp;width=385&amp;height=120&amp;START_MAXIMIZED=FALSE&amp;creator=factset&amp;display_string=Audit"}</definedName>
    <definedName name="_4219__FDSAUDITLINK__" hidden="1">{"fdsup://Directions/FactSet Auditing Viewer?action=AUDIT_VALUE&amp;DB=129&amp;ID1=24702R10&amp;VALUEID=02001&amp;SDATE=200702&amp;PERIODTYPE=QTR_STD&amp;SCFT=3&amp;window=popup_no_bar&amp;width=385&amp;height=120&amp;START_MAXIMIZED=FALSE&amp;creator=factset&amp;display_string=Audit"}</definedName>
    <definedName name="_422__FDSAUDITLINK__" hidden="1">{"fdsup://Directions/FactSet Auditing Viewer?action=AUDIT_VALUE&amp;DB=129&amp;ID1=14964U10&amp;VALUEID=02001&amp;SDATE=201003&amp;PERIODTYPE=QTR_STD&amp;SCFT=3&amp;window=popup_no_bar&amp;width=385&amp;height=120&amp;START_MAXIMIZED=FALSE&amp;creator=factset&amp;display_string=Audit"}</definedName>
    <definedName name="_4220__FDSAUDITLINK__" hidden="1">{"fdsup://Directions/FactSet Auditing Viewer?action=AUDIT_VALUE&amp;DB=129&amp;ID1=24702R10&amp;VALUEID=02001&amp;SDATE=200702&amp;PERIODTYPE=QTR_STD&amp;SCFT=3&amp;window=popup_no_bar&amp;width=385&amp;height=120&amp;START_MAXIMIZED=FALSE&amp;creator=factset&amp;display_string=Audit"}</definedName>
    <definedName name="_4221__FDSAUDITLINK__" hidden="1">{"fdsup://Directions/FactSet Auditing Viewer?action=AUDIT_VALUE&amp;DB=129&amp;ID1=24702R10&amp;VALUEID=02001&amp;SDATE=200701&amp;PERIODTYPE=QTR_STD&amp;SCFT=3&amp;window=popup_no_bar&amp;width=385&amp;height=120&amp;START_MAXIMIZED=FALSE&amp;creator=factset&amp;display_string=Audit"}</definedName>
    <definedName name="_4222__FDSAUDITLINK__" hidden="1">{"fdsup://Directions/FactSet Auditing Viewer?action=AUDIT_VALUE&amp;DB=129&amp;ID1=24702R10&amp;VALUEID=02001&amp;SDATE=200701&amp;PERIODTYPE=QTR_STD&amp;SCFT=3&amp;window=popup_no_bar&amp;width=385&amp;height=120&amp;START_MAXIMIZED=FALSE&amp;creator=factset&amp;display_string=Audit"}</definedName>
    <definedName name="_4223__FDSAUDITLINK__" hidden="1">{"fdsup://Directions/FactSet Auditing Viewer?action=AUDIT_VALUE&amp;DB=129&amp;ID1=24702R10&amp;VALUEID=02001&amp;SDATE=200603&amp;PERIODTYPE=QTR_STD&amp;SCFT=3&amp;window=popup_no_bar&amp;width=385&amp;height=120&amp;START_MAXIMIZED=FALSE&amp;creator=factset&amp;display_string=Audit"}</definedName>
    <definedName name="_4224__FDSAUDITLINK__" hidden="1">{"fdsup://Directions/FactSet Auditing Viewer?action=AUDIT_VALUE&amp;DB=129&amp;ID1=24702R10&amp;VALUEID=02001&amp;SDATE=200603&amp;PERIODTYPE=QTR_STD&amp;SCFT=3&amp;window=popup_no_bar&amp;width=385&amp;height=120&amp;START_MAXIMIZED=FALSE&amp;creator=factset&amp;display_string=Audit"}</definedName>
    <definedName name="_4225__FDSAUDITLINK__" hidden="1">{"fdsup://Directions/FactSet Auditing Viewer?action=AUDIT_VALUE&amp;DB=129&amp;ID1=24702R10&amp;VALUEID=02001&amp;SDATE=200602&amp;PERIODTYPE=QTR_STD&amp;SCFT=3&amp;window=popup_no_bar&amp;width=385&amp;height=120&amp;START_MAXIMIZED=FALSE&amp;creator=factset&amp;display_string=Audit"}</definedName>
    <definedName name="_4226__FDSAUDITLINK__" hidden="1">{"fdsup://Directions/FactSet Auditing Viewer?action=AUDIT_VALUE&amp;DB=129&amp;ID1=24702R10&amp;VALUEID=02001&amp;SDATE=200602&amp;PERIODTYPE=QTR_STD&amp;SCFT=3&amp;window=popup_no_bar&amp;width=385&amp;height=120&amp;START_MAXIMIZED=FALSE&amp;creator=factset&amp;display_string=Audit"}</definedName>
    <definedName name="_4227__FDSAUDITLINK__" hidden="1">{"fdsup://Directions/FactSet Auditing Viewer?action=AUDIT_VALUE&amp;DB=129&amp;ID1=24702R10&amp;VALUEID=02001&amp;SDATE=200601&amp;PERIODTYPE=QTR_STD&amp;SCFT=3&amp;window=popup_no_bar&amp;width=385&amp;height=120&amp;START_MAXIMIZED=FALSE&amp;creator=factset&amp;display_string=Audit"}</definedName>
    <definedName name="_4228__FDSAUDITLINK__" hidden="1">{"fdsup://Directions/FactSet Auditing Viewer?action=AUDIT_VALUE&amp;DB=129&amp;ID1=24702R10&amp;VALUEID=02001&amp;SDATE=200601&amp;PERIODTYPE=QTR_STD&amp;SCFT=3&amp;window=popup_no_bar&amp;width=385&amp;height=120&amp;START_MAXIMIZED=FALSE&amp;creator=factset&amp;display_string=Audit"}</definedName>
    <definedName name="_4229__FDSAUDITLINK__" hidden="1">{"fdsup://Directions/FactSet Auditing Viewer?action=AUDIT_VALUE&amp;DB=129&amp;ID1=24702R10&amp;VALUEID=02001&amp;SDATE=200502&amp;PERIODTYPE=QTR_STD&amp;SCFT=3&amp;window=popup_no_bar&amp;width=385&amp;height=120&amp;START_MAXIMIZED=FALSE&amp;creator=factset&amp;display_string=Audit"}</definedName>
    <definedName name="_423__FDSAUDITLINK__" hidden="1">{"fdsup://Directions/FactSet Auditing Viewer?action=AUDIT_VALUE&amp;DB=129&amp;ID1=11162130&amp;VALUEID=02001&amp;SDATE=201004&amp;PERIODTYPE=QTR_STD&amp;SCFT=3&amp;window=popup_no_bar&amp;width=385&amp;height=120&amp;START_MAXIMIZED=FALSE&amp;creator=factset&amp;display_string=Audit"}</definedName>
    <definedName name="_4230__FDSAUDITLINK__" hidden="1">{"fdsup://Directions/FactSet Auditing Viewer?action=AUDIT_VALUE&amp;DB=129&amp;ID1=24702R10&amp;VALUEID=02001&amp;SDATE=200502&amp;PERIODTYPE=QTR_STD&amp;SCFT=3&amp;window=popup_no_bar&amp;width=385&amp;height=120&amp;START_MAXIMIZED=FALSE&amp;creator=factset&amp;display_string=Audit"}</definedName>
    <definedName name="_4231__FDSAUDITLINK__" hidden="1">{"fdsup://Directions/FactSet Auditing Viewer?action=AUDIT_VALUE&amp;DB=129&amp;ID1=24702R10&amp;VALUEID=02001&amp;SDATE=200501&amp;PERIODTYPE=QTR_STD&amp;SCFT=3&amp;window=popup_no_bar&amp;width=385&amp;height=120&amp;START_MAXIMIZED=FALSE&amp;creator=factset&amp;display_string=Audit"}</definedName>
    <definedName name="_4232__FDSAUDITLINK__" hidden="1">{"fdsup://Directions/FactSet Auditing Viewer?action=AUDIT_VALUE&amp;DB=129&amp;ID1=24702R10&amp;VALUEID=02001&amp;SDATE=200501&amp;PERIODTYPE=QTR_STD&amp;SCFT=3&amp;window=popup_no_bar&amp;width=385&amp;height=120&amp;START_MAXIMIZED=FALSE&amp;creator=factset&amp;display_string=Audit"}</definedName>
    <definedName name="_4233__FDSAUDITLINK__" hidden="1">{"fdsup://Directions/FactSet Auditing Viewer?action=AUDIT_VALUE&amp;DB=129&amp;ID1=24702R10&amp;VALUEID=02001&amp;SDATE=200402&amp;PERIODTYPE=QTR_STD&amp;SCFT=3&amp;window=popup_no_bar&amp;width=385&amp;height=120&amp;START_MAXIMIZED=FALSE&amp;creator=factset&amp;display_string=Audit"}</definedName>
    <definedName name="_4234__FDSAUDITLINK__" hidden="1">{"fdsup://Directions/FactSet Auditing Viewer?action=AUDIT_VALUE&amp;DB=129&amp;ID1=24702R10&amp;VALUEID=02001&amp;SDATE=200402&amp;PERIODTYPE=QTR_STD&amp;SCFT=3&amp;window=popup_no_bar&amp;width=385&amp;height=120&amp;START_MAXIMIZED=FALSE&amp;creator=factset&amp;display_string=Audit"}</definedName>
    <definedName name="_4235__FDSAUDITLINK__" hidden="1">{"fdsup://Directions/FactSet Auditing Viewer?action=AUDIT_VALUE&amp;DB=129&amp;ID1=24702R10&amp;VALUEID=02001&amp;SDATE=200401&amp;PERIODTYPE=QTR_STD&amp;SCFT=3&amp;window=popup_no_bar&amp;width=385&amp;height=120&amp;START_MAXIMIZED=FALSE&amp;creator=factset&amp;display_string=Audit"}</definedName>
    <definedName name="_4236__FDSAUDITLINK__" hidden="1">{"fdsup://Directions/FactSet Auditing Viewer?action=AUDIT_VALUE&amp;DB=129&amp;ID1=24702R10&amp;VALUEID=02001&amp;SDATE=200401&amp;PERIODTYPE=QTR_STD&amp;SCFT=3&amp;window=popup_no_bar&amp;width=385&amp;height=120&amp;START_MAXIMIZED=FALSE&amp;creator=factset&amp;display_string=Audit"}</definedName>
    <definedName name="_4237__FDSAUDITLINK__" hidden="1">{"fdsup://Directions/FactSet Auditing Viewer?action=AUDIT_VALUE&amp;DB=129&amp;ID1=23257210&amp;VALUEID=02001&amp;SDATE=200801&amp;PERIODTYPE=QTR_STD&amp;SCFT=3&amp;window=popup_no_bar&amp;width=385&amp;height=120&amp;START_MAXIMIZED=FALSE&amp;creator=factset&amp;display_string=Audit"}</definedName>
    <definedName name="_4238__FDSAUDITLINK__" hidden="1">{"fdsup://Directions/FactSet Auditing Viewer?action=AUDIT_VALUE&amp;DB=129&amp;ID1=23257210&amp;VALUEID=02001&amp;SDATE=200801&amp;PERIODTYPE=QTR_STD&amp;SCFT=3&amp;window=popup_no_bar&amp;width=385&amp;height=120&amp;START_MAXIMIZED=FALSE&amp;creator=factset&amp;display_string=Audit"}</definedName>
    <definedName name="_4239__FDSAUDITLINK__" hidden="1">{"fdsup://Directions/FactSet Auditing Viewer?action=AUDIT_VALUE&amp;DB=129&amp;ID1=23257210&amp;VALUEID=02001&amp;SDATE=200703&amp;PERIODTYPE=QTR_STD&amp;SCFT=3&amp;window=popup_no_bar&amp;width=385&amp;height=120&amp;START_MAXIMIZED=FALSE&amp;creator=factset&amp;display_string=Audit"}</definedName>
    <definedName name="_424__FDSAUDITLINK__" hidden="1">{"fdsup://Directions/FactSet Auditing Viewer?action=AUDIT_VALUE&amp;DB=129&amp;ID1=11162130&amp;VALUEID=02001&amp;SDATE=201004&amp;PERIODTYPE=QTR_STD&amp;SCFT=3&amp;window=popup_no_bar&amp;width=385&amp;height=120&amp;START_MAXIMIZED=FALSE&amp;creator=factset&amp;display_string=Audit"}</definedName>
    <definedName name="_4240__FDSAUDITLINK__" hidden="1">{"fdsup://Directions/FactSet Auditing Viewer?action=AUDIT_VALUE&amp;DB=129&amp;ID1=23257210&amp;VALUEID=02001&amp;SDATE=200703&amp;PERIODTYPE=QTR_STD&amp;SCFT=3&amp;window=popup_no_bar&amp;width=385&amp;height=120&amp;START_MAXIMIZED=FALSE&amp;creator=factset&amp;display_string=Audit"}</definedName>
    <definedName name="_4241__FDSAUDITLINK__" hidden="1">{"fdsup://Directions/FactSet Auditing Viewer?action=AUDIT_VALUE&amp;DB=129&amp;ID1=23257210&amp;VALUEID=02001&amp;SDATE=200702&amp;PERIODTYPE=QTR_STD&amp;SCFT=3&amp;window=popup_no_bar&amp;width=385&amp;height=120&amp;START_MAXIMIZED=FALSE&amp;creator=factset&amp;display_string=Audit"}</definedName>
    <definedName name="_4242__FDSAUDITLINK__" hidden="1">{"fdsup://Directions/FactSet Auditing Viewer?action=AUDIT_VALUE&amp;DB=129&amp;ID1=23257210&amp;VALUEID=02001&amp;SDATE=200702&amp;PERIODTYPE=QTR_STD&amp;SCFT=3&amp;window=popup_no_bar&amp;width=385&amp;height=120&amp;START_MAXIMIZED=FALSE&amp;creator=factset&amp;display_string=Audit"}</definedName>
    <definedName name="_4243__FDSAUDITLINK__" hidden="1">{"fdsup://Directions/FactSet Auditing Viewer?action=AUDIT_VALUE&amp;DB=129&amp;ID1=23257210&amp;VALUEID=02001&amp;SDATE=200701&amp;PERIODTYPE=QTR_STD&amp;SCFT=3&amp;window=popup_no_bar&amp;width=385&amp;height=120&amp;START_MAXIMIZED=FALSE&amp;creator=factset&amp;display_string=Audit"}</definedName>
    <definedName name="_4244__FDSAUDITLINK__" hidden="1">{"fdsup://Directions/FactSet Auditing Viewer?action=AUDIT_VALUE&amp;DB=129&amp;ID1=23257210&amp;VALUEID=02001&amp;SDATE=200701&amp;PERIODTYPE=QTR_STD&amp;SCFT=3&amp;window=popup_no_bar&amp;width=385&amp;height=120&amp;START_MAXIMIZED=FALSE&amp;creator=factset&amp;display_string=Audit"}</definedName>
    <definedName name="_4245__FDSAUDITLINK__" hidden="1">{"fdsup://Directions/FactSet Auditing Viewer?action=AUDIT_VALUE&amp;DB=129&amp;ID1=23257210&amp;VALUEID=02001&amp;SDATE=200603&amp;PERIODTYPE=QTR_STD&amp;SCFT=3&amp;window=popup_no_bar&amp;width=385&amp;height=120&amp;START_MAXIMIZED=FALSE&amp;creator=factset&amp;display_string=Audit"}</definedName>
    <definedName name="_4246__FDSAUDITLINK__" hidden="1">{"fdsup://Directions/FactSet Auditing Viewer?action=AUDIT_VALUE&amp;DB=129&amp;ID1=23257210&amp;VALUEID=02001&amp;SDATE=200603&amp;PERIODTYPE=QTR_STD&amp;SCFT=3&amp;window=popup_no_bar&amp;width=385&amp;height=120&amp;START_MAXIMIZED=FALSE&amp;creator=factset&amp;display_string=Audit"}</definedName>
    <definedName name="_4247__FDSAUDITLINK__" hidden="1">{"fdsup://Directions/FactSet Auditing Viewer?action=AUDIT_VALUE&amp;DB=129&amp;ID1=23257210&amp;VALUEID=02001&amp;SDATE=200602&amp;PERIODTYPE=QTR_STD&amp;SCFT=3&amp;window=popup_no_bar&amp;width=385&amp;height=120&amp;START_MAXIMIZED=FALSE&amp;creator=factset&amp;display_string=Audit"}</definedName>
    <definedName name="_4248__FDSAUDITLINK__" hidden="1">{"fdsup://Directions/FactSet Auditing Viewer?action=AUDIT_VALUE&amp;DB=129&amp;ID1=23257210&amp;VALUEID=02001&amp;SDATE=200602&amp;PERIODTYPE=QTR_STD&amp;SCFT=3&amp;window=popup_no_bar&amp;width=385&amp;height=120&amp;START_MAXIMIZED=FALSE&amp;creator=factset&amp;display_string=Audit"}</definedName>
    <definedName name="_4249__FDSAUDITLINK__" hidden="1">{"fdsup://Directions/FactSet Auditing Viewer?action=AUDIT_VALUE&amp;DB=129&amp;ID1=23257210&amp;VALUEID=02001&amp;SDATE=200601&amp;PERIODTYPE=QTR_STD&amp;SCFT=3&amp;window=popup_no_bar&amp;width=385&amp;height=120&amp;START_MAXIMIZED=FALSE&amp;creator=factset&amp;display_string=Audit"}</definedName>
    <definedName name="_425__FDSAUDITLINK__" hidden="1">{"fdsup://Directions/FactSet Auditing Viewer?action=AUDIT_VALUE&amp;DB=129&amp;ID1=Y0486S10&amp;VALUEID=02001&amp;SDATE=201004&amp;PERIODTYPE=QTR_STD&amp;SCFT=3&amp;window=popup_no_bar&amp;width=385&amp;height=120&amp;START_MAXIMIZED=FALSE&amp;creator=factset&amp;display_string=Audit"}</definedName>
    <definedName name="_4250__FDSAUDITLINK__" hidden="1">{"fdsup://Directions/FactSet Auditing Viewer?action=AUDIT_VALUE&amp;DB=129&amp;ID1=23257210&amp;VALUEID=02001&amp;SDATE=200601&amp;PERIODTYPE=QTR_STD&amp;SCFT=3&amp;window=popup_no_bar&amp;width=385&amp;height=120&amp;START_MAXIMIZED=FALSE&amp;creator=factset&amp;display_string=Audit"}</definedName>
    <definedName name="_4251__FDSAUDITLINK__" hidden="1">{"fdsup://Directions/FactSet Auditing Viewer?action=AUDIT_VALUE&amp;DB=129&amp;ID1=23257210&amp;VALUEID=02001&amp;SDATE=200503&amp;PERIODTYPE=QTR_STD&amp;SCFT=3&amp;window=popup_no_bar&amp;width=385&amp;height=120&amp;START_MAXIMIZED=FALSE&amp;creator=factset&amp;display_string=Audit"}</definedName>
    <definedName name="_4252__FDSAUDITLINK__" hidden="1">{"fdsup://Directions/FactSet Auditing Viewer?action=AUDIT_VALUE&amp;DB=129&amp;ID1=23257210&amp;VALUEID=02001&amp;SDATE=200503&amp;PERIODTYPE=QTR_STD&amp;SCFT=3&amp;window=popup_no_bar&amp;width=385&amp;height=120&amp;START_MAXIMIZED=FALSE&amp;creator=factset&amp;display_string=Audit"}</definedName>
    <definedName name="_4253__FDSAUDITLINK__" hidden="1">{"fdsup://Directions/FactSet Auditing Viewer?action=AUDIT_VALUE&amp;DB=129&amp;ID1=23257210&amp;VALUEID=02001&amp;SDATE=200502&amp;PERIODTYPE=QTR_STD&amp;SCFT=3&amp;window=popup_no_bar&amp;width=385&amp;height=120&amp;START_MAXIMIZED=FALSE&amp;creator=factset&amp;display_string=Audit"}</definedName>
    <definedName name="_4254__FDSAUDITLINK__" hidden="1">{"fdsup://Directions/FactSet Auditing Viewer?action=AUDIT_VALUE&amp;DB=129&amp;ID1=23257210&amp;VALUEID=02001&amp;SDATE=200502&amp;PERIODTYPE=QTR_STD&amp;SCFT=3&amp;window=popup_no_bar&amp;width=385&amp;height=120&amp;START_MAXIMIZED=FALSE&amp;creator=factset&amp;display_string=Audit"}</definedName>
    <definedName name="_4255__FDSAUDITLINK__" hidden="1">{"fdsup://Directions/FactSet Auditing Viewer?action=AUDIT_VALUE&amp;DB=129&amp;ID1=23257210&amp;VALUEID=02001&amp;SDATE=200501&amp;PERIODTYPE=QTR_STD&amp;SCFT=3&amp;window=popup_no_bar&amp;width=385&amp;height=120&amp;START_MAXIMIZED=FALSE&amp;creator=factset&amp;display_string=Audit"}</definedName>
    <definedName name="_4256__FDSAUDITLINK__" hidden="1">{"fdsup://Directions/FactSet Auditing Viewer?action=AUDIT_VALUE&amp;DB=129&amp;ID1=23257210&amp;VALUEID=02001&amp;SDATE=200501&amp;PERIODTYPE=QTR_STD&amp;SCFT=3&amp;window=popup_no_bar&amp;width=385&amp;height=120&amp;START_MAXIMIZED=FALSE&amp;creator=factset&amp;display_string=Audit"}</definedName>
    <definedName name="_4257__FDSAUDITLINK__" hidden="1">{"fdsup://Directions/FactSet Auditing Viewer?action=AUDIT_VALUE&amp;DB=129&amp;ID1=23257210&amp;VALUEID=02001&amp;SDATE=200403&amp;PERIODTYPE=QTR_STD&amp;SCFT=3&amp;window=popup_no_bar&amp;width=385&amp;height=120&amp;START_MAXIMIZED=FALSE&amp;creator=factset&amp;display_string=Audit"}</definedName>
    <definedName name="_4258__FDSAUDITLINK__" hidden="1">{"fdsup://Directions/FactSet Auditing Viewer?action=AUDIT_VALUE&amp;DB=129&amp;ID1=23257210&amp;VALUEID=02001&amp;SDATE=200403&amp;PERIODTYPE=QTR_STD&amp;SCFT=3&amp;window=popup_no_bar&amp;width=385&amp;height=120&amp;START_MAXIMIZED=FALSE&amp;creator=factset&amp;display_string=Audit"}</definedName>
    <definedName name="_4259__FDSAUDITLINK__" hidden="1">{"fdsup://Directions/FactSet Auditing Viewer?action=AUDIT_VALUE&amp;DB=129&amp;ID1=23257210&amp;VALUEID=02001&amp;SDATE=200402&amp;PERIODTYPE=QTR_STD&amp;SCFT=3&amp;window=popup_no_bar&amp;width=385&amp;height=120&amp;START_MAXIMIZED=FALSE&amp;creator=factset&amp;display_string=Audit"}</definedName>
    <definedName name="_426__FDSAUDITLINK__" hidden="1">{"fdsup://Directions/FactSet Auditing Viewer?action=AUDIT_VALUE&amp;DB=129&amp;ID1=Y0486S10&amp;VALUEID=02001&amp;SDATE=201004&amp;PERIODTYPE=QTR_STD&amp;SCFT=3&amp;window=popup_no_bar&amp;width=385&amp;height=120&amp;START_MAXIMIZED=FALSE&amp;creator=factset&amp;display_string=Audit"}</definedName>
    <definedName name="_4260__FDSAUDITLINK__" hidden="1">{"fdsup://Directions/FactSet Auditing Viewer?action=AUDIT_VALUE&amp;DB=129&amp;ID1=23257210&amp;VALUEID=02001&amp;SDATE=200402&amp;PERIODTYPE=QTR_STD&amp;SCFT=3&amp;window=popup_no_bar&amp;width=385&amp;height=120&amp;START_MAXIMIZED=FALSE&amp;creator=factset&amp;display_string=Audit"}</definedName>
    <definedName name="_4261__FDSAUDITLINK__" hidden="1">{"fdsup://Directions/FactSet Auditing Viewer?action=AUDIT_VALUE&amp;DB=129&amp;ID1=23280610&amp;VALUEID=02001&amp;SDATE=200801&amp;PERIODTYPE=QTR_STD&amp;SCFT=3&amp;window=popup_no_bar&amp;width=385&amp;height=120&amp;START_MAXIMIZED=FALSE&amp;creator=factset&amp;display_string=Audit"}</definedName>
    <definedName name="_4262__FDSAUDITLINK__" hidden="1">{"fdsup://Directions/FactSet Auditing Viewer?action=AUDIT_VALUE&amp;DB=129&amp;ID1=23280610&amp;VALUEID=02001&amp;SDATE=200801&amp;PERIODTYPE=QTR_STD&amp;SCFT=3&amp;window=popup_no_bar&amp;width=385&amp;height=120&amp;START_MAXIMIZED=FALSE&amp;creator=factset&amp;display_string=Audit"}</definedName>
    <definedName name="_4263__FDSAUDITLINK__" hidden="1">{"fdsup://Directions/FactSet Auditing Viewer?action=AUDIT_VALUE&amp;DB=129&amp;ID1=23280610&amp;VALUEID=02001&amp;SDATE=200703&amp;PERIODTYPE=QTR_STD&amp;SCFT=3&amp;window=popup_no_bar&amp;width=385&amp;height=120&amp;START_MAXIMIZED=FALSE&amp;creator=factset&amp;display_string=Audit"}</definedName>
    <definedName name="_4264__FDSAUDITLINK__" hidden="1">{"fdsup://Directions/FactSet Auditing Viewer?action=AUDIT_VALUE&amp;DB=129&amp;ID1=23280610&amp;VALUEID=02001&amp;SDATE=200703&amp;PERIODTYPE=QTR_STD&amp;SCFT=3&amp;window=popup_no_bar&amp;width=385&amp;height=120&amp;START_MAXIMIZED=FALSE&amp;creator=factset&amp;display_string=Audit"}</definedName>
    <definedName name="_4265__FDSAUDITLINK__" hidden="1">{"fdsup://Directions/FactSet Auditing Viewer?action=AUDIT_VALUE&amp;DB=129&amp;ID1=23280610&amp;VALUEID=02001&amp;SDATE=200702&amp;PERIODTYPE=QTR_STD&amp;SCFT=3&amp;window=popup_no_bar&amp;width=385&amp;height=120&amp;START_MAXIMIZED=FALSE&amp;creator=factset&amp;display_string=Audit"}</definedName>
    <definedName name="_4266__FDSAUDITLINK__" hidden="1">{"fdsup://Directions/FactSet Auditing Viewer?action=AUDIT_VALUE&amp;DB=129&amp;ID1=23280610&amp;VALUEID=02001&amp;SDATE=200702&amp;PERIODTYPE=QTR_STD&amp;SCFT=3&amp;window=popup_no_bar&amp;width=385&amp;height=120&amp;START_MAXIMIZED=FALSE&amp;creator=factset&amp;display_string=Audit"}</definedName>
    <definedName name="_4267__FDSAUDITLINK__" hidden="1">{"fdsup://Directions/FactSet Auditing Viewer?action=AUDIT_VALUE&amp;DB=129&amp;ID1=23280610&amp;VALUEID=02001&amp;SDATE=200701&amp;PERIODTYPE=QTR_STD&amp;SCFT=3&amp;window=popup_no_bar&amp;width=385&amp;height=120&amp;START_MAXIMIZED=FALSE&amp;creator=factset&amp;display_string=Audit"}</definedName>
    <definedName name="_4268__FDSAUDITLINK__" hidden="1">{"fdsup://Directions/FactSet Auditing Viewer?action=AUDIT_VALUE&amp;DB=129&amp;ID1=23280610&amp;VALUEID=02001&amp;SDATE=200701&amp;PERIODTYPE=QTR_STD&amp;SCFT=3&amp;window=popup_no_bar&amp;width=385&amp;height=120&amp;START_MAXIMIZED=FALSE&amp;creator=factset&amp;display_string=Audit"}</definedName>
    <definedName name="_4269__FDSAUDITLINK__" hidden="1">{"fdsup://Directions/FactSet Auditing Viewer?action=AUDIT_VALUE&amp;DB=129&amp;ID1=23280610&amp;VALUEID=02001&amp;SDATE=200603&amp;PERIODTYPE=QTR_STD&amp;SCFT=3&amp;window=popup_no_bar&amp;width=385&amp;height=120&amp;START_MAXIMIZED=FALSE&amp;creator=factset&amp;display_string=Audit"}</definedName>
    <definedName name="_427__FDSAUDITLINK__" hidden="1">{"fdsup://Directions/FactSet Auditing Viewer?action=AUDIT_VALUE&amp;DB=129&amp;ID1=04743P10&amp;VALUEID=02001&amp;SDATE=201003&amp;PERIODTYPE=QTR_STD&amp;SCFT=3&amp;window=popup_no_bar&amp;width=385&amp;height=120&amp;START_MAXIMIZED=FALSE&amp;creator=factset&amp;display_string=Audit"}</definedName>
    <definedName name="_4270__FDSAUDITLINK__" hidden="1">{"fdsup://Directions/FactSet Auditing Viewer?action=AUDIT_VALUE&amp;DB=129&amp;ID1=23280610&amp;VALUEID=02001&amp;SDATE=200603&amp;PERIODTYPE=QTR_STD&amp;SCFT=3&amp;window=popup_no_bar&amp;width=385&amp;height=120&amp;START_MAXIMIZED=FALSE&amp;creator=factset&amp;display_string=Audit"}</definedName>
    <definedName name="_4271__FDSAUDITLINK__" hidden="1">{"fdsup://Directions/FactSet Auditing Viewer?action=AUDIT_VALUE&amp;DB=129&amp;ID1=23280610&amp;VALUEID=02001&amp;SDATE=200602&amp;PERIODTYPE=QTR_STD&amp;SCFT=3&amp;window=popup_no_bar&amp;width=385&amp;height=120&amp;START_MAXIMIZED=FALSE&amp;creator=factset&amp;display_string=Audit"}</definedName>
    <definedName name="_4272__FDSAUDITLINK__" hidden="1">{"fdsup://Directions/FactSet Auditing Viewer?action=AUDIT_VALUE&amp;DB=129&amp;ID1=23280610&amp;VALUEID=02001&amp;SDATE=200602&amp;PERIODTYPE=QTR_STD&amp;SCFT=3&amp;window=popup_no_bar&amp;width=385&amp;height=120&amp;START_MAXIMIZED=FALSE&amp;creator=factset&amp;display_string=Audit"}</definedName>
    <definedName name="_4273__FDSAUDITLINK__" hidden="1">{"fdsup://Directions/FactSet Auditing Viewer?action=AUDIT_VALUE&amp;DB=129&amp;ID1=23280610&amp;VALUEID=02001&amp;SDATE=200601&amp;PERIODTYPE=QTR_STD&amp;SCFT=3&amp;window=popup_no_bar&amp;width=385&amp;height=120&amp;START_MAXIMIZED=FALSE&amp;creator=factset&amp;display_string=Audit"}</definedName>
    <definedName name="_4274__FDSAUDITLINK__" hidden="1">{"fdsup://Directions/FactSet Auditing Viewer?action=AUDIT_VALUE&amp;DB=129&amp;ID1=23280610&amp;VALUEID=02001&amp;SDATE=200601&amp;PERIODTYPE=QTR_STD&amp;SCFT=3&amp;window=popup_no_bar&amp;width=385&amp;height=120&amp;START_MAXIMIZED=FALSE&amp;creator=factset&amp;display_string=Audit"}</definedName>
    <definedName name="_4275__FDSAUDITLINK__" hidden="1">{"fdsup://Directions/FactSet Auditing Viewer?action=AUDIT_VALUE&amp;DB=129&amp;ID1=23280610&amp;VALUEID=02001&amp;SDATE=200503&amp;PERIODTYPE=QTR_STD&amp;SCFT=3&amp;window=popup_no_bar&amp;width=385&amp;height=120&amp;START_MAXIMIZED=FALSE&amp;creator=factset&amp;display_string=Audit"}</definedName>
    <definedName name="_4276__FDSAUDITLINK__" hidden="1">{"fdsup://Directions/FactSet Auditing Viewer?action=AUDIT_VALUE&amp;DB=129&amp;ID1=23280610&amp;VALUEID=02001&amp;SDATE=200503&amp;PERIODTYPE=QTR_STD&amp;SCFT=3&amp;window=popup_no_bar&amp;width=385&amp;height=120&amp;START_MAXIMIZED=FALSE&amp;creator=factset&amp;display_string=Audit"}</definedName>
    <definedName name="_4277__FDSAUDITLINK__" hidden="1">{"fdsup://Directions/FactSet Auditing Viewer?action=AUDIT_VALUE&amp;DB=129&amp;ID1=23280610&amp;VALUEID=02001&amp;SDATE=200502&amp;PERIODTYPE=QTR_STD&amp;SCFT=3&amp;window=popup_no_bar&amp;width=385&amp;height=120&amp;START_MAXIMIZED=FALSE&amp;creator=factset&amp;display_string=Audit"}</definedName>
    <definedName name="_4278__FDSAUDITLINK__" hidden="1">{"fdsup://Directions/FactSet Auditing Viewer?action=AUDIT_VALUE&amp;DB=129&amp;ID1=23280610&amp;VALUEID=02001&amp;SDATE=200502&amp;PERIODTYPE=QTR_STD&amp;SCFT=3&amp;window=popup_no_bar&amp;width=385&amp;height=120&amp;START_MAXIMIZED=FALSE&amp;creator=factset&amp;display_string=Audit"}</definedName>
    <definedName name="_4279__FDSAUDITLINK__" hidden="1">{"fdsup://Directions/FactSet Auditing Viewer?action=AUDIT_VALUE&amp;DB=129&amp;ID1=23280610&amp;VALUEID=02001&amp;SDATE=200501&amp;PERIODTYPE=QTR_STD&amp;SCFT=3&amp;window=popup_no_bar&amp;width=385&amp;height=120&amp;START_MAXIMIZED=FALSE&amp;creator=factset&amp;display_string=Audit"}</definedName>
    <definedName name="_428__FDSAUDITLINK__" hidden="1">{"fdsup://Directions/FactSet Auditing Viewer?action=AUDIT_VALUE&amp;DB=129&amp;ID1=04743P10&amp;VALUEID=02001&amp;SDATE=201003&amp;PERIODTYPE=QTR_STD&amp;SCFT=3&amp;window=popup_no_bar&amp;width=385&amp;height=120&amp;START_MAXIMIZED=FALSE&amp;creator=factset&amp;display_string=Audit"}</definedName>
    <definedName name="_4280__FDSAUDITLINK__" hidden="1">{"fdsup://Directions/FactSet Auditing Viewer?action=AUDIT_VALUE&amp;DB=129&amp;ID1=23280610&amp;VALUEID=02001&amp;SDATE=200501&amp;PERIODTYPE=QTR_STD&amp;SCFT=3&amp;window=popup_no_bar&amp;width=385&amp;height=120&amp;START_MAXIMIZED=FALSE&amp;creator=factset&amp;display_string=Audit"}</definedName>
    <definedName name="_4281__FDSAUDITLINK__" hidden="1">{"fdsup://Directions/FactSet Auditing Viewer?action=AUDIT_VALUE&amp;DB=129&amp;ID1=23280610&amp;VALUEID=02001&amp;SDATE=200403&amp;PERIODTYPE=QTR_STD&amp;SCFT=3&amp;window=popup_no_bar&amp;width=385&amp;height=120&amp;START_MAXIMIZED=FALSE&amp;creator=factset&amp;display_string=Audit"}</definedName>
    <definedName name="_4282__FDSAUDITLINK__" hidden="1">{"fdsup://Directions/FactSet Auditing Viewer?action=AUDIT_VALUE&amp;DB=129&amp;ID1=23280610&amp;VALUEID=02001&amp;SDATE=200403&amp;PERIODTYPE=QTR_STD&amp;SCFT=3&amp;window=popup_no_bar&amp;width=385&amp;height=120&amp;START_MAXIMIZED=FALSE&amp;creator=factset&amp;display_string=Audit"}</definedName>
    <definedName name="_4283__FDSAUDITLINK__" hidden="1">{"fdsup://Directions/FactSet Auditing Viewer?action=AUDIT_VALUE&amp;DB=129&amp;ID1=23280610&amp;VALUEID=02001&amp;SDATE=200402&amp;PERIODTYPE=QTR_STD&amp;SCFT=3&amp;window=popup_no_bar&amp;width=385&amp;height=120&amp;START_MAXIMIZED=FALSE&amp;creator=factset&amp;display_string=Audit"}</definedName>
    <definedName name="_4284__FDSAUDITLINK__" hidden="1">{"fdsup://Directions/FactSet Auditing Viewer?action=AUDIT_VALUE&amp;DB=129&amp;ID1=23280610&amp;VALUEID=02001&amp;SDATE=200402&amp;PERIODTYPE=QTR_STD&amp;SCFT=3&amp;window=popup_no_bar&amp;width=385&amp;height=120&amp;START_MAXIMIZED=FALSE&amp;creator=factset&amp;display_string=Audit"}</definedName>
    <definedName name="_4285__FDSAUDITLINK__" hidden="1">{"fdsup://Directions/FactSet Auditing Viewer?action=AUDIT_VALUE&amp;DB=129&amp;ID1=23280610&amp;VALUEID=02001&amp;SDATE=200401&amp;PERIODTYPE=QTR_STD&amp;SCFT=3&amp;window=popup_no_bar&amp;width=385&amp;height=120&amp;START_MAXIMIZED=FALSE&amp;creator=factset&amp;display_string=Audit"}</definedName>
    <definedName name="_4286__FDSAUDITLINK__" hidden="1">{"fdsup://Directions/FactSet Auditing Viewer?action=AUDIT_VALUE&amp;DB=129&amp;ID1=23280610&amp;VALUEID=02001&amp;SDATE=200401&amp;PERIODTYPE=QTR_STD&amp;SCFT=3&amp;window=popup_no_bar&amp;width=385&amp;height=120&amp;START_MAXIMIZED=FALSE&amp;creator=factset&amp;display_string=Audit"}</definedName>
    <definedName name="_4287__FDSAUDITLINK__" hidden="1">{"fdsup://Directions/FactSet Auditing Viewer?action=AUDIT_VALUE&amp;DB=129&amp;ID1=17275R10&amp;VALUEID=02001&amp;SDATE=200803&amp;PERIODTYPE=QTR_STD&amp;SCFT=3&amp;window=popup_no_bar&amp;width=385&amp;height=120&amp;START_MAXIMIZED=FALSE&amp;creator=factset&amp;display_string=Audit"}</definedName>
    <definedName name="_4288__FDSAUDITLINK__" hidden="1">{"fdsup://Directions/FactSet Auditing Viewer?action=AUDIT_VALUE&amp;DB=129&amp;ID1=17275R10&amp;VALUEID=02001&amp;SDATE=200803&amp;PERIODTYPE=QTR_STD&amp;SCFT=3&amp;window=popup_no_bar&amp;width=385&amp;height=120&amp;START_MAXIMIZED=FALSE&amp;creator=factset&amp;display_string=Audit"}</definedName>
    <definedName name="_4289__FDSAUDITLINK__" hidden="1">{"fdsup://Directions/FactSet Auditing Viewer?action=AUDIT_VALUE&amp;DB=129&amp;ID1=17275R10&amp;VALUEID=02001&amp;SDATE=200802&amp;PERIODTYPE=QTR_STD&amp;SCFT=3&amp;window=popup_no_bar&amp;width=385&amp;height=120&amp;START_MAXIMIZED=FALSE&amp;creator=factset&amp;display_string=Audit"}</definedName>
    <definedName name="_429__FDSAUDITLINK__" hidden="1">{"fdsup://Directions/FactSet Auditing Viewer?action=AUDIT_VALUE&amp;DB=129&amp;ID1=03251510&amp;VALUEID=02001&amp;SDATE=201003&amp;PERIODTYPE=QTR_STD&amp;SCFT=3&amp;window=popup_no_bar&amp;width=385&amp;height=120&amp;START_MAXIMIZED=FALSE&amp;creator=factset&amp;display_string=Audit"}</definedName>
    <definedName name="_4290__FDSAUDITLINK__" hidden="1">{"fdsup://Directions/FactSet Auditing Viewer?action=AUDIT_VALUE&amp;DB=129&amp;ID1=17275R10&amp;VALUEID=02001&amp;SDATE=200802&amp;PERIODTYPE=QTR_STD&amp;SCFT=3&amp;window=popup_no_bar&amp;width=385&amp;height=120&amp;START_MAXIMIZED=FALSE&amp;creator=factset&amp;display_string=Audit"}</definedName>
    <definedName name="_4291__FDSAUDITLINK__" hidden="1">{"fdsup://Directions/FactSet Auditing Viewer?action=AUDIT_VALUE&amp;DB=129&amp;ID1=17275R10&amp;VALUEID=02001&amp;SDATE=200801&amp;PERIODTYPE=QTR_STD&amp;SCFT=3&amp;window=popup_no_bar&amp;width=385&amp;height=120&amp;START_MAXIMIZED=FALSE&amp;creator=factset&amp;display_string=Audit"}</definedName>
    <definedName name="_4292__FDSAUDITLINK__" hidden="1">{"fdsup://Directions/FactSet Auditing Viewer?action=AUDIT_VALUE&amp;DB=129&amp;ID1=17275R10&amp;VALUEID=02001&amp;SDATE=200801&amp;PERIODTYPE=QTR_STD&amp;SCFT=3&amp;window=popup_no_bar&amp;width=385&amp;height=120&amp;START_MAXIMIZED=FALSE&amp;creator=factset&amp;display_string=Audit"}</definedName>
    <definedName name="_4293__FDSAUDITLINK__" hidden="1">{"fdsup://Directions/FactSet Auditing Viewer?action=AUDIT_VALUE&amp;DB=129&amp;ID1=17275R10&amp;VALUEID=02001&amp;SDATE=200703&amp;PERIODTYPE=QTR_STD&amp;SCFT=3&amp;window=popup_no_bar&amp;width=385&amp;height=120&amp;START_MAXIMIZED=FALSE&amp;creator=factset&amp;display_string=Audit"}</definedName>
    <definedName name="_4294__FDSAUDITLINK__" hidden="1">{"fdsup://Directions/FactSet Auditing Viewer?action=AUDIT_VALUE&amp;DB=129&amp;ID1=17275R10&amp;VALUEID=02001&amp;SDATE=200703&amp;PERIODTYPE=QTR_STD&amp;SCFT=3&amp;window=popup_no_bar&amp;width=385&amp;height=120&amp;START_MAXIMIZED=FALSE&amp;creator=factset&amp;display_string=Audit"}</definedName>
    <definedName name="_4295__FDSAUDITLINK__" hidden="1">{"fdsup://Directions/FactSet Auditing Viewer?action=AUDIT_VALUE&amp;DB=129&amp;ID1=17275R10&amp;VALUEID=02001&amp;SDATE=200702&amp;PERIODTYPE=QTR_STD&amp;SCFT=3&amp;window=popup_no_bar&amp;width=385&amp;height=120&amp;START_MAXIMIZED=FALSE&amp;creator=factset&amp;display_string=Audit"}</definedName>
    <definedName name="_4296__FDSAUDITLINK__" hidden="1">{"fdsup://Directions/FactSet Auditing Viewer?action=AUDIT_VALUE&amp;DB=129&amp;ID1=17275R10&amp;VALUEID=02001&amp;SDATE=200702&amp;PERIODTYPE=QTR_STD&amp;SCFT=3&amp;window=popup_no_bar&amp;width=385&amp;height=120&amp;START_MAXIMIZED=FALSE&amp;creator=factset&amp;display_string=Audit"}</definedName>
    <definedName name="_4297__FDSAUDITLINK__" hidden="1">{"fdsup://Directions/FactSet Auditing Viewer?action=AUDIT_VALUE&amp;DB=129&amp;ID1=17275R10&amp;VALUEID=02001&amp;SDATE=200701&amp;PERIODTYPE=QTR_STD&amp;SCFT=3&amp;window=popup_no_bar&amp;width=385&amp;height=120&amp;START_MAXIMIZED=FALSE&amp;creator=factset&amp;display_string=Audit"}</definedName>
    <definedName name="_4298__FDSAUDITLINK__" hidden="1">{"fdsup://Directions/FactSet Auditing Viewer?action=AUDIT_VALUE&amp;DB=129&amp;ID1=17275R10&amp;VALUEID=02001&amp;SDATE=200701&amp;PERIODTYPE=QTR_STD&amp;SCFT=3&amp;window=popup_no_bar&amp;width=385&amp;height=120&amp;START_MAXIMIZED=FALSE&amp;creator=factset&amp;display_string=Audit"}</definedName>
    <definedName name="_4299__FDSAUDITLINK__" hidden="1">{"fdsup://Directions/FactSet Auditing Viewer?action=AUDIT_VALUE&amp;DB=129&amp;ID1=17275R10&amp;VALUEID=02001&amp;SDATE=200603&amp;PERIODTYPE=QTR_STD&amp;SCFT=3&amp;window=popup_no_bar&amp;width=385&amp;height=120&amp;START_MAXIMIZED=FALSE&amp;creator=factset&amp;display_string=Audit"}</definedName>
    <definedName name="_43__FDSAUDITLINK__" hidden="1">{"fdsup://Directions/FactSet Auditing Viewer?action=AUDIT_VALUE&amp;DB=129&amp;ID1=72581M30&amp;VALUEID=02001&amp;SDATE=201101&amp;PERIODTYPE=QTR_STD&amp;SCFT=3&amp;window=popup_no_bar&amp;width=385&amp;height=120&amp;START_MAXIMIZED=FALSE&amp;creator=factset&amp;display_string=Audit"}</definedName>
    <definedName name="_430__FDSAUDITLINK__" hidden="1">{"fdsup://Directions/FactSet Auditing Viewer?action=AUDIT_VALUE&amp;DB=129&amp;ID1=03251510&amp;VALUEID=02001&amp;SDATE=201003&amp;PERIODTYPE=QTR_STD&amp;SCFT=3&amp;window=popup_no_bar&amp;width=385&amp;height=120&amp;START_MAXIMIZED=FALSE&amp;creator=factset&amp;display_string=Audit"}</definedName>
    <definedName name="_4300__FDSAUDITLINK__" hidden="1">{"fdsup://Directions/FactSet Auditing Viewer?action=AUDIT_VALUE&amp;DB=129&amp;ID1=17275R10&amp;VALUEID=02001&amp;SDATE=200603&amp;PERIODTYPE=QTR_STD&amp;SCFT=3&amp;window=popup_no_bar&amp;width=385&amp;height=120&amp;START_MAXIMIZED=FALSE&amp;creator=factset&amp;display_string=Audit"}</definedName>
    <definedName name="_4301__FDSAUDITLINK__" hidden="1">{"fdsup://Directions/FactSet Auditing Viewer?action=AUDIT_VALUE&amp;DB=129&amp;ID1=17275R10&amp;VALUEID=02001&amp;SDATE=200602&amp;PERIODTYPE=QTR_STD&amp;SCFT=3&amp;window=popup_no_bar&amp;width=385&amp;height=120&amp;START_MAXIMIZED=FALSE&amp;creator=factset&amp;display_string=Audit"}</definedName>
    <definedName name="_4302__FDSAUDITLINK__" hidden="1">{"fdsup://Directions/FactSet Auditing Viewer?action=AUDIT_VALUE&amp;DB=129&amp;ID1=17275R10&amp;VALUEID=02001&amp;SDATE=200602&amp;PERIODTYPE=QTR_STD&amp;SCFT=3&amp;window=popup_no_bar&amp;width=385&amp;height=120&amp;START_MAXIMIZED=FALSE&amp;creator=factset&amp;display_string=Audit"}</definedName>
    <definedName name="_4303__FDSAUDITLINK__" hidden="1">{"fdsup://Directions/FactSet Auditing Viewer?action=AUDIT_VALUE&amp;DB=129&amp;ID1=17275R10&amp;VALUEID=02001&amp;SDATE=200601&amp;PERIODTYPE=QTR_STD&amp;SCFT=3&amp;window=popup_no_bar&amp;width=385&amp;height=120&amp;START_MAXIMIZED=FALSE&amp;creator=factset&amp;display_string=Audit"}</definedName>
    <definedName name="_4304__FDSAUDITLINK__" hidden="1">{"fdsup://Directions/FactSet Auditing Viewer?action=AUDIT_VALUE&amp;DB=129&amp;ID1=17275R10&amp;VALUEID=02001&amp;SDATE=200601&amp;PERIODTYPE=QTR_STD&amp;SCFT=3&amp;window=popup_no_bar&amp;width=385&amp;height=120&amp;START_MAXIMIZED=FALSE&amp;creator=factset&amp;display_string=Audit"}</definedName>
    <definedName name="_4305__FDSAUDITLINK__" hidden="1">{"fdsup://Directions/FactSet Auditing Viewer?action=AUDIT_VALUE&amp;DB=129&amp;ID1=17275R10&amp;VALUEID=02001&amp;SDATE=200503&amp;PERIODTYPE=QTR_STD&amp;SCFT=3&amp;window=popup_no_bar&amp;width=385&amp;height=120&amp;START_MAXIMIZED=FALSE&amp;creator=factset&amp;display_string=Audit"}</definedName>
    <definedName name="_4306__FDSAUDITLINK__" hidden="1">{"fdsup://Directions/FactSet Auditing Viewer?action=AUDIT_VALUE&amp;DB=129&amp;ID1=17275R10&amp;VALUEID=02001&amp;SDATE=200503&amp;PERIODTYPE=QTR_STD&amp;SCFT=3&amp;window=popup_no_bar&amp;width=385&amp;height=120&amp;START_MAXIMIZED=FALSE&amp;creator=factset&amp;display_string=Audit"}</definedName>
    <definedName name="_4307__FDSAUDITLINK__" hidden="1">{"fdsup://Directions/FactSet Auditing Viewer?action=AUDIT_VALUE&amp;DB=129&amp;ID1=17275R10&amp;VALUEID=02001&amp;SDATE=200502&amp;PERIODTYPE=QTR_STD&amp;SCFT=3&amp;window=popup_no_bar&amp;width=385&amp;height=120&amp;START_MAXIMIZED=FALSE&amp;creator=factset&amp;display_string=Audit"}</definedName>
    <definedName name="_4308__FDSAUDITLINK__" hidden="1">{"fdsup://Directions/FactSet Auditing Viewer?action=AUDIT_VALUE&amp;DB=129&amp;ID1=17275R10&amp;VALUEID=02001&amp;SDATE=200502&amp;PERIODTYPE=QTR_STD&amp;SCFT=3&amp;window=popup_no_bar&amp;width=385&amp;height=120&amp;START_MAXIMIZED=FALSE&amp;creator=factset&amp;display_string=Audit"}</definedName>
    <definedName name="_4309__FDSAUDITLINK__" hidden="1">{"fdsup://Directions/FactSet Auditing Viewer?action=AUDIT_VALUE&amp;DB=129&amp;ID1=17275R10&amp;VALUEID=02001&amp;SDATE=200501&amp;PERIODTYPE=QTR_STD&amp;SCFT=3&amp;window=popup_no_bar&amp;width=385&amp;height=120&amp;START_MAXIMIZED=FALSE&amp;creator=factset&amp;display_string=Audit"}</definedName>
    <definedName name="_431__FDSAUDITLINK__" hidden="1">{"fdsup://Directions/FactSet Auditing Viewer?action=AUDIT_VALUE&amp;DB=129&amp;ID1=00790310&amp;VALUEID=02001&amp;SDATE=201003&amp;PERIODTYPE=QTR_STD&amp;SCFT=3&amp;window=popup_no_bar&amp;width=385&amp;height=120&amp;START_MAXIMIZED=FALSE&amp;creator=factset&amp;display_string=Audit"}</definedName>
    <definedName name="_4310__FDSAUDITLINK__" hidden="1">{"fdsup://Directions/FactSet Auditing Viewer?action=AUDIT_VALUE&amp;DB=129&amp;ID1=17275R10&amp;VALUEID=02001&amp;SDATE=200501&amp;PERIODTYPE=QTR_STD&amp;SCFT=3&amp;window=popup_no_bar&amp;width=385&amp;height=120&amp;START_MAXIMIZED=FALSE&amp;creator=factset&amp;display_string=Audit"}</definedName>
    <definedName name="_4311__FDSAUDITLINK__" hidden="1">{"fdsup://Directions/FactSet Auditing Viewer?action=AUDIT_VALUE&amp;DB=129&amp;ID1=17275R10&amp;VALUEID=02001&amp;SDATE=200403&amp;PERIODTYPE=QTR_STD&amp;SCFT=3&amp;window=popup_no_bar&amp;width=385&amp;height=120&amp;START_MAXIMIZED=FALSE&amp;creator=factset&amp;display_string=Audit"}</definedName>
    <definedName name="_4312__FDSAUDITLINK__" hidden="1">{"fdsup://Directions/FactSet Auditing Viewer?action=AUDIT_VALUE&amp;DB=129&amp;ID1=17275R10&amp;VALUEID=02001&amp;SDATE=200403&amp;PERIODTYPE=QTR_STD&amp;SCFT=3&amp;window=popup_no_bar&amp;width=385&amp;height=120&amp;START_MAXIMIZED=FALSE&amp;creator=factset&amp;display_string=Audit"}</definedName>
    <definedName name="_4313__FDSAUDITLINK__" hidden="1">{"fdsup://Directions/FactSet Auditing Viewer?action=AUDIT_VALUE&amp;DB=129&amp;ID1=22544710&amp;VALUEID=02001&amp;SDATE=200803&amp;PERIODTYPE=QTR_STD&amp;SCFT=3&amp;window=popup_no_bar&amp;width=385&amp;height=120&amp;START_MAXIMIZED=FALSE&amp;creator=factset&amp;display_string=Audit"}</definedName>
    <definedName name="_4314__FDSAUDITLINK__" hidden="1">{"fdsup://Directions/FactSet Auditing Viewer?action=AUDIT_VALUE&amp;DB=129&amp;ID1=22544710&amp;VALUEID=02001&amp;SDATE=200803&amp;PERIODTYPE=QTR_STD&amp;SCFT=3&amp;window=popup_no_bar&amp;width=385&amp;height=120&amp;START_MAXIMIZED=FALSE&amp;creator=factset&amp;display_string=Audit"}</definedName>
    <definedName name="_4315__FDSAUDITLINK__" hidden="1">{"fdsup://Directions/FactSet Auditing Viewer?action=AUDIT_VALUE&amp;DB=129&amp;ID1=22544710&amp;VALUEID=02001&amp;SDATE=200802&amp;PERIODTYPE=QTR_STD&amp;SCFT=3&amp;window=popup_no_bar&amp;width=385&amp;height=120&amp;START_MAXIMIZED=FALSE&amp;creator=factset&amp;display_string=Audit"}</definedName>
    <definedName name="_4316__FDSAUDITLINK__" hidden="1">{"fdsup://Directions/FactSet Auditing Viewer?action=AUDIT_VALUE&amp;DB=129&amp;ID1=22544710&amp;VALUEID=02001&amp;SDATE=200802&amp;PERIODTYPE=QTR_STD&amp;SCFT=3&amp;window=popup_no_bar&amp;width=385&amp;height=120&amp;START_MAXIMIZED=FALSE&amp;creator=factset&amp;display_string=Audit"}</definedName>
    <definedName name="_4317__FDSAUDITLINK__" hidden="1">{"fdsup://Directions/FactSet Auditing Viewer?action=AUDIT_VALUE&amp;DB=129&amp;ID1=22544710&amp;VALUEID=02001&amp;SDATE=200801&amp;PERIODTYPE=QTR_STD&amp;SCFT=3&amp;window=popup_no_bar&amp;width=385&amp;height=120&amp;START_MAXIMIZED=FALSE&amp;creator=factset&amp;display_string=Audit"}</definedName>
    <definedName name="_4318__FDSAUDITLINK__" hidden="1">{"fdsup://Directions/FactSet Auditing Viewer?action=AUDIT_VALUE&amp;DB=129&amp;ID1=22544710&amp;VALUEID=02001&amp;SDATE=200801&amp;PERIODTYPE=QTR_STD&amp;SCFT=3&amp;window=popup_no_bar&amp;width=385&amp;height=120&amp;START_MAXIMIZED=FALSE&amp;creator=factset&amp;display_string=Audit"}</definedName>
    <definedName name="_4319__FDSAUDITLINK__" hidden="1">{"fdsup://Directions/FactSet Auditing Viewer?action=AUDIT_VALUE&amp;DB=129&amp;ID1=22544710&amp;VALUEID=02001&amp;SDATE=200703&amp;PERIODTYPE=QTR_STD&amp;SCFT=3&amp;window=popup_no_bar&amp;width=385&amp;height=120&amp;START_MAXIMIZED=FALSE&amp;creator=factset&amp;display_string=Audit"}</definedName>
    <definedName name="_432__FDSAUDITLINK__" hidden="1">{"fdsup://Directions/FactSet Auditing Viewer?action=AUDIT_VALUE&amp;DB=129&amp;ID1=00790310&amp;VALUEID=02001&amp;SDATE=201003&amp;PERIODTYPE=QTR_STD&amp;SCFT=3&amp;window=popup_no_bar&amp;width=385&amp;height=120&amp;START_MAXIMIZED=FALSE&amp;creator=factset&amp;display_string=Audit"}</definedName>
    <definedName name="_4320__FDSAUDITLINK__" hidden="1">{"fdsup://Directions/FactSet Auditing Viewer?action=AUDIT_VALUE&amp;DB=129&amp;ID1=22544710&amp;VALUEID=02001&amp;SDATE=200703&amp;PERIODTYPE=QTR_STD&amp;SCFT=3&amp;window=popup_no_bar&amp;width=385&amp;height=120&amp;START_MAXIMIZED=FALSE&amp;creator=factset&amp;display_string=Audit"}</definedName>
    <definedName name="_4321__FDSAUDITLINK__" hidden="1">{"fdsup://Directions/FactSet Auditing Viewer?action=AUDIT_VALUE&amp;DB=129&amp;ID1=22544710&amp;VALUEID=02001&amp;SDATE=200702&amp;PERIODTYPE=QTR_STD&amp;SCFT=3&amp;window=popup_no_bar&amp;width=385&amp;height=120&amp;START_MAXIMIZED=FALSE&amp;creator=factset&amp;display_string=Audit"}</definedName>
    <definedName name="_4322__FDSAUDITLINK__" hidden="1">{"fdsup://Directions/FactSet Auditing Viewer?action=AUDIT_VALUE&amp;DB=129&amp;ID1=22544710&amp;VALUEID=02001&amp;SDATE=200702&amp;PERIODTYPE=QTR_STD&amp;SCFT=3&amp;window=popup_no_bar&amp;width=385&amp;height=120&amp;START_MAXIMIZED=FALSE&amp;creator=factset&amp;display_string=Audit"}</definedName>
    <definedName name="_4323__FDSAUDITLINK__" hidden="1">{"fdsup://Directions/FactSet Auditing Viewer?action=AUDIT_VALUE&amp;DB=129&amp;ID1=22544710&amp;VALUEID=02001&amp;SDATE=200701&amp;PERIODTYPE=QTR_STD&amp;SCFT=3&amp;window=popup_no_bar&amp;width=385&amp;height=120&amp;START_MAXIMIZED=FALSE&amp;creator=factset&amp;display_string=Audit"}</definedName>
    <definedName name="_4324__FDSAUDITLINK__" hidden="1">{"fdsup://Directions/FactSet Auditing Viewer?action=AUDIT_VALUE&amp;DB=129&amp;ID1=22544710&amp;VALUEID=02001&amp;SDATE=200701&amp;PERIODTYPE=QTR_STD&amp;SCFT=3&amp;window=popup_no_bar&amp;width=385&amp;height=120&amp;START_MAXIMIZED=FALSE&amp;creator=factset&amp;display_string=Audit"}</definedName>
    <definedName name="_4325__FDSAUDITLINK__" hidden="1">{"fdsup://Directions/FactSet Auditing Viewer?action=AUDIT_VALUE&amp;DB=129&amp;ID1=22544710&amp;VALUEID=02001&amp;SDATE=200603&amp;PERIODTYPE=QTR_STD&amp;SCFT=3&amp;window=popup_no_bar&amp;width=385&amp;height=120&amp;START_MAXIMIZED=FALSE&amp;creator=factset&amp;display_string=Audit"}</definedName>
    <definedName name="_4326__FDSAUDITLINK__" hidden="1">{"fdsup://Directions/FactSet Auditing Viewer?action=AUDIT_VALUE&amp;DB=129&amp;ID1=22544710&amp;VALUEID=02001&amp;SDATE=200603&amp;PERIODTYPE=QTR_STD&amp;SCFT=3&amp;window=popup_no_bar&amp;width=385&amp;height=120&amp;START_MAXIMIZED=FALSE&amp;creator=factset&amp;display_string=Audit"}</definedName>
    <definedName name="_4327__FDSAUDITLINK__" hidden="1">{"fdsup://Directions/FactSet Auditing Viewer?action=AUDIT_VALUE&amp;DB=129&amp;ID1=22544710&amp;VALUEID=02001&amp;SDATE=200602&amp;PERIODTYPE=QTR_STD&amp;SCFT=3&amp;window=popup_no_bar&amp;width=385&amp;height=120&amp;START_MAXIMIZED=FALSE&amp;creator=factset&amp;display_string=Audit"}</definedName>
    <definedName name="_4328__FDSAUDITLINK__" hidden="1">{"fdsup://Directions/FactSet Auditing Viewer?action=AUDIT_VALUE&amp;DB=129&amp;ID1=22544710&amp;VALUEID=02001&amp;SDATE=200602&amp;PERIODTYPE=QTR_STD&amp;SCFT=3&amp;window=popup_no_bar&amp;width=385&amp;height=120&amp;START_MAXIMIZED=FALSE&amp;creator=factset&amp;display_string=Audit"}</definedName>
    <definedName name="_4329__FDSAUDITLINK__" hidden="1">{"fdsup://Directions/FactSet Auditing Viewer?action=AUDIT_VALUE&amp;DB=129&amp;ID1=22544710&amp;VALUEID=02001&amp;SDATE=200601&amp;PERIODTYPE=QTR_STD&amp;SCFT=3&amp;window=popup_no_bar&amp;width=385&amp;height=120&amp;START_MAXIMIZED=FALSE&amp;creator=factset&amp;display_string=Audit"}</definedName>
    <definedName name="_433__FDSAUDITLINK__" hidden="1">{"fdsup://Directions/FactSet Auditing Viewer?action=AUDIT_VALUE&amp;DB=129&amp;ID1=03822W40&amp;VALUEID=02001&amp;SDATE=201002&amp;PERIODTYPE=QTR_STD&amp;SCFT=3&amp;window=popup_no_bar&amp;width=385&amp;height=120&amp;START_MAXIMIZED=FALSE&amp;creator=factset&amp;display_string=Audit"}</definedName>
    <definedName name="_4330__FDSAUDITLINK__" hidden="1">{"fdsup://Directions/FactSet Auditing Viewer?action=AUDIT_VALUE&amp;DB=129&amp;ID1=22544710&amp;VALUEID=02001&amp;SDATE=200601&amp;PERIODTYPE=QTR_STD&amp;SCFT=3&amp;window=popup_no_bar&amp;width=385&amp;height=120&amp;START_MAXIMIZED=FALSE&amp;creator=factset&amp;display_string=Audit"}</definedName>
    <definedName name="_4331__FDSAUDITLINK__" hidden="1">{"fdsup://Directions/FactSet Auditing Viewer?action=AUDIT_VALUE&amp;DB=129&amp;ID1=22544710&amp;VALUEID=02001&amp;SDATE=200502&amp;PERIODTYPE=QTR_STD&amp;SCFT=3&amp;window=popup_no_bar&amp;width=385&amp;height=120&amp;START_MAXIMIZED=FALSE&amp;creator=factset&amp;display_string=Audit"}</definedName>
    <definedName name="_4332__FDSAUDITLINK__" hidden="1">{"fdsup://Directions/FactSet Auditing Viewer?action=AUDIT_VALUE&amp;DB=129&amp;ID1=22544710&amp;VALUEID=02001&amp;SDATE=200502&amp;PERIODTYPE=QTR_STD&amp;SCFT=3&amp;window=popup_no_bar&amp;width=385&amp;height=120&amp;START_MAXIMIZED=FALSE&amp;creator=factset&amp;display_string=Audit"}</definedName>
    <definedName name="_4333__FDSAUDITLINK__" hidden="1">{"fdsup://Directions/FactSet Auditing Viewer?action=AUDIT_VALUE&amp;DB=129&amp;ID1=22544710&amp;VALUEID=02001&amp;SDATE=200501&amp;PERIODTYPE=QTR_STD&amp;SCFT=3&amp;window=popup_no_bar&amp;width=385&amp;height=120&amp;START_MAXIMIZED=FALSE&amp;creator=factset&amp;display_string=Audit"}</definedName>
    <definedName name="_4334__FDSAUDITLINK__" hidden="1">{"fdsup://Directions/FactSet Auditing Viewer?action=AUDIT_VALUE&amp;DB=129&amp;ID1=22544710&amp;VALUEID=02001&amp;SDATE=200501&amp;PERIODTYPE=QTR_STD&amp;SCFT=3&amp;window=popup_no_bar&amp;width=385&amp;height=120&amp;START_MAXIMIZED=FALSE&amp;creator=factset&amp;display_string=Audit"}</definedName>
    <definedName name="_4335__FDSAUDITLINK__" hidden="1">{"fdsup://Directions/FactSet Auditing Viewer?action=AUDIT_VALUE&amp;DB=129&amp;ID1=22544710&amp;VALUEID=02001&amp;SDATE=200403&amp;PERIODTYPE=QTR_STD&amp;SCFT=3&amp;window=popup_no_bar&amp;width=385&amp;height=120&amp;START_MAXIMIZED=FALSE&amp;creator=factset&amp;display_string=Audit"}</definedName>
    <definedName name="_4336__FDSAUDITLINK__" hidden="1">{"fdsup://Directions/FactSet Auditing Viewer?action=AUDIT_VALUE&amp;DB=129&amp;ID1=22544710&amp;VALUEID=02001&amp;SDATE=200403&amp;PERIODTYPE=QTR_STD&amp;SCFT=3&amp;window=popup_no_bar&amp;width=385&amp;height=120&amp;START_MAXIMIZED=FALSE&amp;creator=factset&amp;display_string=Audit"}</definedName>
    <definedName name="_4337__FDSAUDITLINK__" hidden="1">{"fdsup://Directions/FactSet Auditing Viewer?action=AUDIT_VALUE&amp;DB=129&amp;ID1=20714230&amp;VALUEID=02001&amp;SDATE=200802&amp;PERIODTYPE=QTR_STD&amp;SCFT=3&amp;window=popup_no_bar&amp;width=385&amp;height=120&amp;START_MAXIMIZED=FALSE&amp;creator=factset&amp;display_string=Audit"}</definedName>
    <definedName name="_4338__FDSAUDITLINK__" hidden="1">{"fdsup://Directions/FactSet Auditing Viewer?action=AUDIT_VALUE&amp;DB=129&amp;ID1=20714230&amp;VALUEID=02001&amp;SDATE=200802&amp;PERIODTYPE=QTR_STD&amp;SCFT=3&amp;window=popup_no_bar&amp;width=385&amp;height=120&amp;START_MAXIMIZED=FALSE&amp;creator=factset&amp;display_string=Audit"}</definedName>
    <definedName name="_4339__FDSAUDITLINK__" hidden="1">{"fdsup://Directions/FactSet Auditing Viewer?action=AUDIT_VALUE&amp;DB=129&amp;ID1=20714230&amp;VALUEID=02001&amp;SDATE=200801&amp;PERIODTYPE=QTR_STD&amp;SCFT=3&amp;window=popup_no_bar&amp;width=385&amp;height=120&amp;START_MAXIMIZED=FALSE&amp;creator=factset&amp;display_string=Audit"}</definedName>
    <definedName name="_434__FDSAUDITLINK__" hidden="1">{"fdsup://Directions/FactSet Auditing Viewer?action=AUDIT_VALUE&amp;DB=129&amp;ID1=03822W40&amp;VALUEID=02001&amp;SDATE=201002&amp;PERIODTYPE=QTR_STD&amp;SCFT=3&amp;window=popup_no_bar&amp;width=385&amp;height=120&amp;START_MAXIMIZED=FALSE&amp;creator=factset&amp;display_string=Audit"}</definedName>
    <definedName name="_4340__FDSAUDITLINK__" hidden="1">{"fdsup://Directions/FactSet Auditing Viewer?action=AUDIT_VALUE&amp;DB=129&amp;ID1=20714230&amp;VALUEID=02001&amp;SDATE=200801&amp;PERIODTYPE=QTR_STD&amp;SCFT=3&amp;window=popup_no_bar&amp;width=385&amp;height=120&amp;START_MAXIMIZED=FALSE&amp;creator=factset&amp;display_string=Audit"}</definedName>
    <definedName name="_4341__FDSAUDITLINK__" hidden="1">{"fdsup://Directions/FactSet Auditing Viewer?action=AUDIT_VALUE&amp;DB=129&amp;ID1=20714230&amp;VALUEID=02001&amp;SDATE=200703&amp;PERIODTYPE=QTR_STD&amp;SCFT=3&amp;window=popup_no_bar&amp;width=385&amp;height=120&amp;START_MAXIMIZED=FALSE&amp;creator=factset&amp;display_string=Audit"}</definedName>
    <definedName name="_4342__FDSAUDITLINK__" hidden="1">{"fdsup://Directions/FactSet Auditing Viewer?action=AUDIT_VALUE&amp;DB=129&amp;ID1=20714230&amp;VALUEID=02001&amp;SDATE=200703&amp;PERIODTYPE=QTR_STD&amp;SCFT=3&amp;window=popup_no_bar&amp;width=385&amp;height=120&amp;START_MAXIMIZED=FALSE&amp;creator=factset&amp;display_string=Audit"}</definedName>
    <definedName name="_4343__FDSAUDITLINK__" hidden="1">{"fdsup://Directions/FactSet Auditing Viewer?action=AUDIT_VALUE&amp;DB=129&amp;ID1=20714230&amp;VALUEID=02001&amp;SDATE=200702&amp;PERIODTYPE=QTR_STD&amp;SCFT=3&amp;window=popup_no_bar&amp;width=385&amp;height=120&amp;START_MAXIMIZED=FALSE&amp;creator=factset&amp;display_string=Audit"}</definedName>
    <definedName name="_4344__FDSAUDITLINK__" hidden="1">{"fdsup://Directions/FactSet Auditing Viewer?action=AUDIT_VALUE&amp;DB=129&amp;ID1=20714230&amp;VALUEID=02001&amp;SDATE=200702&amp;PERIODTYPE=QTR_STD&amp;SCFT=3&amp;window=popup_no_bar&amp;width=385&amp;height=120&amp;START_MAXIMIZED=FALSE&amp;creator=factset&amp;display_string=Audit"}</definedName>
    <definedName name="_4345__FDSAUDITLINK__" hidden="1">{"fdsup://Directions/FactSet Auditing Viewer?action=AUDIT_VALUE&amp;DB=129&amp;ID1=20714230&amp;VALUEID=02001&amp;SDATE=200701&amp;PERIODTYPE=QTR_STD&amp;SCFT=3&amp;window=popup_no_bar&amp;width=385&amp;height=120&amp;START_MAXIMIZED=FALSE&amp;creator=factset&amp;display_string=Audit"}</definedName>
    <definedName name="_4346__FDSAUDITLINK__" hidden="1">{"fdsup://Directions/FactSet Auditing Viewer?action=AUDIT_VALUE&amp;DB=129&amp;ID1=20714230&amp;VALUEID=02001&amp;SDATE=200701&amp;PERIODTYPE=QTR_STD&amp;SCFT=3&amp;window=popup_no_bar&amp;width=385&amp;height=120&amp;START_MAXIMIZED=FALSE&amp;creator=factset&amp;display_string=Audit"}</definedName>
    <definedName name="_4347__FDSAUDITLINK__" hidden="1">{"fdsup://Directions/FactSet Auditing Viewer?action=AUDIT_VALUE&amp;DB=129&amp;ID1=20714230&amp;VALUEID=02001&amp;SDATE=200603&amp;PERIODTYPE=QTR_STD&amp;SCFT=3&amp;window=popup_no_bar&amp;width=385&amp;height=120&amp;START_MAXIMIZED=FALSE&amp;creator=factset&amp;display_string=Audit"}</definedName>
    <definedName name="_4348__FDSAUDITLINK__" hidden="1">{"fdsup://Directions/FactSet Auditing Viewer?action=AUDIT_VALUE&amp;DB=129&amp;ID1=20714230&amp;VALUEID=02001&amp;SDATE=200603&amp;PERIODTYPE=QTR_STD&amp;SCFT=3&amp;window=popup_no_bar&amp;width=385&amp;height=120&amp;START_MAXIMIZED=FALSE&amp;creator=factset&amp;display_string=Audit"}</definedName>
    <definedName name="_4349__FDSAUDITLINK__" hidden="1">{"fdsup://Directions/FactSet Auditing Viewer?action=AUDIT_VALUE&amp;DB=129&amp;ID1=20714230&amp;VALUEID=02001&amp;SDATE=200602&amp;PERIODTYPE=QTR_STD&amp;SCFT=3&amp;window=popup_no_bar&amp;width=385&amp;height=120&amp;START_MAXIMIZED=FALSE&amp;creator=factset&amp;display_string=Audit"}</definedName>
    <definedName name="_435__FDSAUDITLINK__" hidden="1">{"fdsup://Directions/FactSet Auditing Viewer?action=AUDIT_VALUE&amp;DB=129&amp;ID1=03822210&amp;VALUEID=02001&amp;SDATE=201004&amp;PERIODTYPE=QTR_STD&amp;SCFT=3&amp;window=popup_no_bar&amp;width=385&amp;height=120&amp;START_MAXIMIZED=FALSE&amp;creator=factset&amp;display_string=Audit"}</definedName>
    <definedName name="_4350__FDSAUDITLINK__" hidden="1">{"fdsup://Directions/FactSet Auditing Viewer?action=AUDIT_VALUE&amp;DB=129&amp;ID1=20714230&amp;VALUEID=02001&amp;SDATE=200602&amp;PERIODTYPE=QTR_STD&amp;SCFT=3&amp;window=popup_no_bar&amp;width=385&amp;height=120&amp;START_MAXIMIZED=FALSE&amp;creator=factset&amp;display_string=Audit"}</definedName>
    <definedName name="_4351__FDSAUDITLINK__" hidden="1">{"fdsup://Directions/FactSet Auditing Viewer?action=AUDIT_VALUE&amp;DB=129&amp;ID1=20714230&amp;VALUEID=02001&amp;SDATE=200503&amp;PERIODTYPE=QTR_STD&amp;SCFT=3&amp;window=popup_no_bar&amp;width=385&amp;height=120&amp;START_MAXIMIZED=FALSE&amp;creator=factset&amp;display_string=Audit"}</definedName>
    <definedName name="_4352__FDSAUDITLINK__" hidden="1">{"fdsup://Directions/FactSet Auditing Viewer?action=AUDIT_VALUE&amp;DB=129&amp;ID1=20714230&amp;VALUEID=02001&amp;SDATE=200503&amp;PERIODTYPE=QTR_STD&amp;SCFT=3&amp;window=popup_no_bar&amp;width=385&amp;height=120&amp;START_MAXIMIZED=FALSE&amp;creator=factset&amp;display_string=Audit"}</definedName>
    <definedName name="_4353__FDSAUDITLINK__" hidden="1">{"fdsup://Directions/FactSet Auditing Viewer?action=AUDIT_VALUE&amp;DB=129&amp;ID1=20714230&amp;VALUEID=02001&amp;SDATE=200502&amp;PERIODTYPE=QTR_STD&amp;SCFT=3&amp;window=popup_no_bar&amp;width=385&amp;height=120&amp;START_MAXIMIZED=FALSE&amp;creator=factset&amp;display_string=Audit"}</definedName>
    <definedName name="_4354__FDSAUDITLINK__" hidden="1">{"fdsup://Directions/FactSet Auditing Viewer?action=AUDIT_VALUE&amp;DB=129&amp;ID1=20714230&amp;VALUEID=02001&amp;SDATE=200502&amp;PERIODTYPE=QTR_STD&amp;SCFT=3&amp;window=popup_no_bar&amp;width=385&amp;height=120&amp;START_MAXIMIZED=FALSE&amp;creator=factset&amp;display_string=Audit"}</definedName>
    <definedName name="_4355__FDSAUDITLINK__" hidden="1">{"fdsup://Directions/FactSet Auditing Viewer?action=AUDIT_VALUE&amp;DB=129&amp;ID1=20714230&amp;VALUEID=02001&amp;SDATE=200501&amp;PERIODTYPE=QTR_STD&amp;SCFT=3&amp;window=popup_no_bar&amp;width=385&amp;height=120&amp;START_MAXIMIZED=FALSE&amp;creator=factset&amp;display_string=Audit"}</definedName>
    <definedName name="_4356__FDSAUDITLINK__" hidden="1">{"fdsup://Directions/FactSet Auditing Viewer?action=AUDIT_VALUE&amp;DB=129&amp;ID1=20714230&amp;VALUEID=02001&amp;SDATE=200501&amp;PERIODTYPE=QTR_STD&amp;SCFT=3&amp;window=popup_no_bar&amp;width=385&amp;height=120&amp;START_MAXIMIZED=FALSE&amp;creator=factset&amp;display_string=Audit"}</definedName>
    <definedName name="_4357__FDSAUDITLINK__" hidden="1">{"fdsup://Directions/FactSet Auditing Viewer?action=AUDIT_VALUE&amp;DB=129&amp;ID1=20714230&amp;VALUEID=02001&amp;SDATE=200403&amp;PERIODTYPE=QTR_STD&amp;SCFT=3&amp;window=popup_no_bar&amp;width=385&amp;height=120&amp;START_MAXIMIZED=FALSE&amp;creator=factset&amp;display_string=Audit"}</definedName>
    <definedName name="_4358__FDSAUDITLINK__" hidden="1">{"fdsup://Directions/FactSet Auditing Viewer?action=AUDIT_VALUE&amp;DB=129&amp;ID1=20714230&amp;VALUEID=02001&amp;SDATE=200403&amp;PERIODTYPE=QTR_STD&amp;SCFT=3&amp;window=popup_no_bar&amp;width=385&amp;height=120&amp;START_MAXIMIZED=FALSE&amp;creator=factset&amp;display_string=Audit"}</definedName>
    <definedName name="_4359__FDSAUDITLINK__" hidden="1">{"fdsup://Directions/FactSet Auditing Viewer?action=AUDIT_VALUE&amp;DB=129&amp;ID1=20714230&amp;VALUEID=02001&amp;SDATE=200402&amp;PERIODTYPE=QTR_STD&amp;SCFT=3&amp;window=popup_no_bar&amp;width=385&amp;height=120&amp;START_MAXIMIZED=FALSE&amp;creator=factset&amp;display_string=Audit"}</definedName>
    <definedName name="_436__FDSAUDITLINK__" hidden="1">{"fdsup://Directions/FactSet Auditing Viewer?action=AUDIT_VALUE&amp;DB=129&amp;ID1=03822210&amp;VALUEID=02001&amp;SDATE=201004&amp;PERIODTYPE=QTR_STD&amp;SCFT=3&amp;window=popup_no_bar&amp;width=385&amp;height=120&amp;START_MAXIMIZED=FALSE&amp;creator=factset&amp;display_string=Audit"}</definedName>
    <definedName name="_4360__FDSAUDITLINK__" hidden="1">{"fdsup://Directions/FactSet Auditing Viewer?action=AUDIT_VALUE&amp;DB=129&amp;ID1=20714230&amp;VALUEID=02001&amp;SDATE=200402&amp;PERIODTYPE=QTR_STD&amp;SCFT=3&amp;window=popup_no_bar&amp;width=385&amp;height=120&amp;START_MAXIMIZED=FALSE&amp;creator=factset&amp;display_string=Audit"}</definedName>
    <definedName name="_4361__FDSAUDITLINK__" hidden="1">{"fdsup://Directions/FactSet Auditing Viewer?action=AUDIT_VALUE&amp;DB=129&amp;ID1=12738710&amp;VALUEID=02001&amp;SDATE=200801&amp;PERIODTYPE=QTR_STD&amp;SCFT=3&amp;window=popup_no_bar&amp;width=385&amp;height=120&amp;START_MAXIMIZED=FALSE&amp;creator=factset&amp;display_string=Audit"}</definedName>
    <definedName name="_4362__FDSAUDITLINK__" hidden="1">{"fdsup://Directions/FactSet Auditing Viewer?action=AUDIT_VALUE&amp;DB=129&amp;ID1=12738710&amp;VALUEID=02001&amp;SDATE=200801&amp;PERIODTYPE=QTR_STD&amp;SCFT=3&amp;window=popup_no_bar&amp;width=385&amp;height=120&amp;START_MAXIMIZED=FALSE&amp;creator=factset&amp;display_string=Audit"}</definedName>
    <definedName name="_4363__FDSAUDITLINK__" hidden="1">{"fdsup://Directions/FactSet Auditing Viewer?action=AUDIT_VALUE&amp;DB=129&amp;ID1=12738710&amp;VALUEID=02001&amp;SDATE=200703&amp;PERIODTYPE=QTR_STD&amp;SCFT=3&amp;window=popup_no_bar&amp;width=385&amp;height=120&amp;START_MAXIMIZED=FALSE&amp;creator=factset&amp;display_string=Audit"}</definedName>
    <definedName name="_4364__FDSAUDITLINK__" hidden="1">{"fdsup://Directions/FactSet Auditing Viewer?action=AUDIT_VALUE&amp;DB=129&amp;ID1=12738710&amp;VALUEID=02001&amp;SDATE=200703&amp;PERIODTYPE=QTR_STD&amp;SCFT=3&amp;window=popup_no_bar&amp;width=385&amp;height=120&amp;START_MAXIMIZED=FALSE&amp;creator=factset&amp;display_string=Audit"}</definedName>
    <definedName name="_4365__FDSAUDITLINK__" hidden="1">{"fdsup://Directions/FactSet Auditing Viewer?action=AUDIT_VALUE&amp;DB=129&amp;ID1=12738710&amp;VALUEID=02001&amp;SDATE=200702&amp;PERIODTYPE=QTR_STD&amp;SCFT=3&amp;window=popup_no_bar&amp;width=385&amp;height=120&amp;START_MAXIMIZED=FALSE&amp;creator=factset&amp;display_string=Audit"}</definedName>
    <definedName name="_4366__FDSAUDITLINK__" hidden="1">{"fdsup://Directions/FactSet Auditing Viewer?action=AUDIT_VALUE&amp;DB=129&amp;ID1=12738710&amp;VALUEID=02001&amp;SDATE=200702&amp;PERIODTYPE=QTR_STD&amp;SCFT=3&amp;window=popup_no_bar&amp;width=385&amp;height=120&amp;START_MAXIMIZED=FALSE&amp;creator=factset&amp;display_string=Audit"}</definedName>
    <definedName name="_4367__FDSAUDITLINK__" hidden="1">{"fdsup://Directions/FactSet Auditing Viewer?action=AUDIT_VALUE&amp;DB=129&amp;ID1=12738710&amp;VALUEID=02001&amp;SDATE=200701&amp;PERIODTYPE=QTR_STD&amp;SCFT=3&amp;window=popup_no_bar&amp;width=385&amp;height=120&amp;START_MAXIMIZED=FALSE&amp;creator=factset&amp;display_string=Audit"}</definedName>
    <definedName name="_4368__FDSAUDITLINK__" hidden="1">{"fdsup://Directions/FactSet Auditing Viewer?action=AUDIT_VALUE&amp;DB=129&amp;ID1=12738710&amp;VALUEID=02001&amp;SDATE=200701&amp;PERIODTYPE=QTR_STD&amp;SCFT=3&amp;window=popup_no_bar&amp;width=385&amp;height=120&amp;START_MAXIMIZED=FALSE&amp;creator=factset&amp;display_string=Audit"}</definedName>
    <definedName name="_4369__FDSAUDITLINK__" hidden="1">{"fdsup://Directions/FactSet Auditing Viewer?action=AUDIT_VALUE&amp;DB=129&amp;ID1=12738710&amp;VALUEID=02001&amp;SDATE=200603&amp;PERIODTYPE=QTR_STD&amp;SCFT=3&amp;window=popup_no_bar&amp;width=385&amp;height=120&amp;START_MAXIMIZED=FALSE&amp;creator=factset&amp;display_string=Audit"}</definedName>
    <definedName name="_437__FDSAUDITLINK__" hidden="1">{"fdsup://Directions/FactSet Auditing Viewer?action=AUDIT_VALUE&amp;DB=129&amp;ID1=02144110&amp;VALUEID=02001&amp;SDATE=201003&amp;PERIODTYPE=QTR_STD&amp;SCFT=3&amp;window=popup_no_bar&amp;width=385&amp;height=120&amp;START_MAXIMIZED=FALSE&amp;creator=factset&amp;display_string=Audit"}</definedName>
    <definedName name="_4370__FDSAUDITLINK__" hidden="1">{"fdsup://Directions/FactSet Auditing Viewer?action=AUDIT_VALUE&amp;DB=129&amp;ID1=12738710&amp;VALUEID=02001&amp;SDATE=200603&amp;PERIODTYPE=QTR_STD&amp;SCFT=3&amp;window=popup_no_bar&amp;width=385&amp;height=120&amp;START_MAXIMIZED=FALSE&amp;creator=factset&amp;display_string=Audit"}</definedName>
    <definedName name="_4371__FDSAUDITLINK__" hidden="1">{"fdsup://Directions/FactSet Auditing Viewer?action=AUDIT_VALUE&amp;DB=129&amp;ID1=12738710&amp;VALUEID=02001&amp;SDATE=200602&amp;PERIODTYPE=QTR_STD&amp;SCFT=3&amp;window=popup_no_bar&amp;width=385&amp;height=120&amp;START_MAXIMIZED=FALSE&amp;creator=factset&amp;display_string=Audit"}</definedName>
    <definedName name="_4372__FDSAUDITLINK__" hidden="1">{"fdsup://Directions/FactSet Auditing Viewer?action=AUDIT_VALUE&amp;DB=129&amp;ID1=12738710&amp;VALUEID=02001&amp;SDATE=200602&amp;PERIODTYPE=QTR_STD&amp;SCFT=3&amp;window=popup_no_bar&amp;width=385&amp;height=120&amp;START_MAXIMIZED=FALSE&amp;creator=factset&amp;display_string=Audit"}</definedName>
    <definedName name="_4373__FDSAUDITLINK__" hidden="1">{"fdsup://Directions/FactSet Auditing Viewer?action=AUDIT_VALUE&amp;DB=129&amp;ID1=12738710&amp;VALUEID=02001&amp;SDATE=200601&amp;PERIODTYPE=QTR_STD&amp;SCFT=3&amp;window=popup_no_bar&amp;width=385&amp;height=120&amp;START_MAXIMIZED=FALSE&amp;creator=factset&amp;display_string=Audit"}</definedName>
    <definedName name="_4374__FDSAUDITLINK__" hidden="1">{"fdsup://Directions/FactSet Auditing Viewer?action=AUDIT_VALUE&amp;DB=129&amp;ID1=12738710&amp;VALUEID=02001&amp;SDATE=200601&amp;PERIODTYPE=QTR_STD&amp;SCFT=3&amp;window=popup_no_bar&amp;width=385&amp;height=120&amp;START_MAXIMIZED=FALSE&amp;creator=factset&amp;display_string=Audit"}</definedName>
    <definedName name="_4375__FDSAUDITLINK__" hidden="1">{"fdsup://Directions/FactSet Auditing Viewer?action=AUDIT_VALUE&amp;DB=129&amp;ID1=12738710&amp;VALUEID=02001&amp;SDATE=200504&amp;PERIODTYPE=QTR_STD&amp;SCFT=3&amp;window=popup_no_bar&amp;width=385&amp;height=120&amp;START_MAXIMIZED=FALSE&amp;creator=factset&amp;display_string=Audit"}</definedName>
    <definedName name="_4376__FDSAUDITLINK__" hidden="1">{"fdsup://Directions/FactSet Auditing Viewer?action=AUDIT_VALUE&amp;DB=129&amp;ID1=12738710&amp;VALUEID=02001&amp;SDATE=200504&amp;PERIODTYPE=QTR_STD&amp;SCFT=3&amp;window=popup_no_bar&amp;width=385&amp;height=120&amp;START_MAXIMIZED=FALSE&amp;creator=factset&amp;display_string=Audit"}</definedName>
    <definedName name="_4377__FDSAUDITLINK__" hidden="1">{"fdsup://Directions/FactSet Auditing Viewer?action=AUDIT_VALUE&amp;DB=129&amp;ID1=12738710&amp;VALUEID=02001&amp;SDATE=200503&amp;PERIODTYPE=QTR_STD&amp;SCFT=3&amp;window=popup_no_bar&amp;width=385&amp;height=120&amp;START_MAXIMIZED=FALSE&amp;creator=factset&amp;display_string=Audit"}</definedName>
    <definedName name="_4378__FDSAUDITLINK__" hidden="1">{"fdsup://Directions/FactSet Auditing Viewer?action=AUDIT_VALUE&amp;DB=129&amp;ID1=12738710&amp;VALUEID=02001&amp;SDATE=200503&amp;PERIODTYPE=QTR_STD&amp;SCFT=3&amp;window=popup_no_bar&amp;width=385&amp;height=120&amp;START_MAXIMIZED=FALSE&amp;creator=factset&amp;display_string=Audit"}</definedName>
    <definedName name="_4379__FDSAUDITLINK__" hidden="1">{"fdsup://Directions/FactSet Auditing Viewer?action=AUDIT_VALUE&amp;DB=129&amp;ID1=12738710&amp;VALUEID=02001&amp;SDATE=200502&amp;PERIODTYPE=QTR_STD&amp;SCFT=3&amp;window=popup_no_bar&amp;width=385&amp;height=120&amp;START_MAXIMIZED=FALSE&amp;creator=factset&amp;display_string=Audit"}</definedName>
    <definedName name="_438__FDSAUDITLINK__" hidden="1">{"fdsup://Directions/FactSet Auditing Viewer?action=AUDIT_VALUE&amp;DB=129&amp;ID1=02144110&amp;VALUEID=02001&amp;SDATE=201003&amp;PERIODTYPE=QTR_STD&amp;SCFT=3&amp;window=popup_no_bar&amp;width=385&amp;height=120&amp;START_MAXIMIZED=FALSE&amp;creator=factset&amp;display_string=Audit"}</definedName>
    <definedName name="_4380__FDSAUDITLINK__" hidden="1">{"fdsup://Directions/FactSet Auditing Viewer?action=AUDIT_VALUE&amp;DB=129&amp;ID1=12738710&amp;VALUEID=02001&amp;SDATE=200502&amp;PERIODTYPE=QTR_STD&amp;SCFT=3&amp;window=popup_no_bar&amp;width=385&amp;height=120&amp;START_MAXIMIZED=FALSE&amp;creator=factset&amp;display_string=Audit"}</definedName>
    <definedName name="_4381__FDSAUDITLINK__" hidden="1">{"fdsup://Directions/FactSet Auditing Viewer?action=AUDIT_VALUE&amp;DB=129&amp;ID1=12738710&amp;VALUEID=02001&amp;SDATE=200501&amp;PERIODTYPE=QTR_STD&amp;SCFT=3&amp;window=popup_no_bar&amp;width=385&amp;height=120&amp;START_MAXIMIZED=FALSE&amp;creator=factset&amp;display_string=Audit"}</definedName>
    <definedName name="_4382__FDSAUDITLINK__" hidden="1">{"fdsup://Directions/FactSet Auditing Viewer?action=AUDIT_VALUE&amp;DB=129&amp;ID1=12738710&amp;VALUEID=02001&amp;SDATE=200501&amp;PERIODTYPE=QTR_STD&amp;SCFT=3&amp;window=popup_no_bar&amp;width=385&amp;height=120&amp;START_MAXIMIZED=FALSE&amp;creator=factset&amp;display_string=Audit"}</definedName>
    <definedName name="_4383__FDSAUDITLINK__" hidden="1">{"fdsup://Directions/FactSet Auditing Viewer?action=AUDIT_VALUE&amp;DB=129&amp;ID1=12738710&amp;VALUEID=02001&amp;SDATE=200403&amp;PERIODTYPE=QTR_STD&amp;SCFT=3&amp;window=popup_no_bar&amp;width=385&amp;height=120&amp;START_MAXIMIZED=FALSE&amp;creator=factset&amp;display_string=Audit"}</definedName>
    <definedName name="_4384__FDSAUDITLINK__" hidden="1">{"fdsup://Directions/FactSet Auditing Viewer?action=AUDIT_VALUE&amp;DB=129&amp;ID1=12738710&amp;VALUEID=02001&amp;SDATE=200403&amp;PERIODTYPE=QTR_STD&amp;SCFT=3&amp;window=popup_no_bar&amp;width=385&amp;height=120&amp;START_MAXIMIZED=FALSE&amp;creator=factset&amp;display_string=Audit"}</definedName>
    <definedName name="_4385__FDSAUDITLINK__" hidden="1">{"fdsup://Directions/FactSet Auditing Viewer?action=AUDIT_VALUE&amp;DB=129&amp;ID1=12738710&amp;VALUEID=02001&amp;SDATE=200402&amp;PERIODTYPE=QTR_STD&amp;SCFT=3&amp;window=popup_no_bar&amp;width=385&amp;height=120&amp;START_MAXIMIZED=FALSE&amp;creator=factset&amp;display_string=Audit"}</definedName>
    <definedName name="_4386__FDSAUDITLINK__" hidden="1">{"fdsup://Directions/FactSet Auditing Viewer?action=AUDIT_VALUE&amp;DB=129&amp;ID1=12738710&amp;VALUEID=02001&amp;SDATE=200402&amp;PERIODTYPE=QTR_STD&amp;SCFT=3&amp;window=popup_no_bar&amp;width=385&amp;height=120&amp;START_MAXIMIZED=FALSE&amp;creator=factset&amp;display_string=Audit"}</definedName>
    <definedName name="_4387__FDSAUDITLINK__" hidden="1">{"fdsup://Directions/FactSet Auditing Viewer?action=AUDIT_VALUE&amp;DB=129&amp;ID1=12738710&amp;VALUEID=02001&amp;SDATE=200401&amp;PERIODTYPE=QTR_STD&amp;SCFT=3&amp;window=popup_no_bar&amp;width=385&amp;height=120&amp;START_MAXIMIZED=FALSE&amp;creator=factset&amp;display_string=Audit"}</definedName>
    <definedName name="_4388__FDSAUDITLINK__" hidden="1">{"fdsup://Directions/FactSet Auditing Viewer?action=AUDIT_VALUE&amp;DB=129&amp;ID1=12738710&amp;VALUEID=02001&amp;SDATE=200401&amp;PERIODTYPE=QTR_STD&amp;SCFT=3&amp;window=popup_no_bar&amp;width=385&amp;height=120&amp;START_MAXIMIZED=FALSE&amp;creator=factset&amp;display_string=Audit"}</definedName>
    <definedName name="_4389__FDSAUDITLINK__" hidden="1">{"fdsup://Directions/FactSet Auditing Viewer?action=AUDIT_VALUE&amp;DB=129&amp;ID1=14964U10&amp;VALUEID=02001&amp;SDATE=200801&amp;PERIODTYPE=QTR_STD&amp;SCFT=3&amp;window=popup_no_bar&amp;width=385&amp;height=120&amp;START_MAXIMIZED=FALSE&amp;creator=factset&amp;display_string=Audit"}</definedName>
    <definedName name="_439__FDSAUDITLINK__" hidden="1">{"fdsup://Directions/FactSet Auditing Viewer?action=AUDIT_VALUE&amp;DB=129&amp;ID1=03265410&amp;VALUEID=02001&amp;SDATE=201004&amp;PERIODTYPE=QTR_STD&amp;SCFT=3&amp;window=popup_no_bar&amp;width=385&amp;height=120&amp;START_MAXIMIZED=FALSE&amp;creator=factset&amp;display_string=Audit"}</definedName>
    <definedName name="_4390__FDSAUDITLINK__" hidden="1">{"fdsup://Directions/FactSet Auditing Viewer?action=AUDIT_VALUE&amp;DB=129&amp;ID1=14964U10&amp;VALUEID=02001&amp;SDATE=200801&amp;PERIODTYPE=QTR_STD&amp;SCFT=3&amp;window=popup_no_bar&amp;width=385&amp;height=120&amp;START_MAXIMIZED=FALSE&amp;creator=factset&amp;display_string=Audit"}</definedName>
    <definedName name="_4391__FDSAUDITLINK__" hidden="1">{"fdsup://Directions/FactSet Auditing Viewer?action=AUDIT_VALUE&amp;DB=129&amp;ID1=14964U10&amp;VALUEID=02001&amp;SDATE=200703&amp;PERIODTYPE=QTR_STD&amp;SCFT=3&amp;window=popup_no_bar&amp;width=385&amp;height=120&amp;START_MAXIMIZED=FALSE&amp;creator=factset&amp;display_string=Audit"}</definedName>
    <definedName name="_4392__FDSAUDITLINK__" hidden="1">{"fdsup://Directions/FactSet Auditing Viewer?action=AUDIT_VALUE&amp;DB=129&amp;ID1=14964U10&amp;VALUEID=02001&amp;SDATE=200703&amp;PERIODTYPE=QTR_STD&amp;SCFT=3&amp;window=popup_no_bar&amp;width=385&amp;height=120&amp;START_MAXIMIZED=FALSE&amp;creator=factset&amp;display_string=Audit"}</definedName>
    <definedName name="_4393__FDSAUDITLINK__" hidden="1">{"fdsup://Directions/FactSet Auditing Viewer?action=AUDIT_VALUE&amp;DB=129&amp;ID1=14964U10&amp;VALUEID=02001&amp;SDATE=200702&amp;PERIODTYPE=QTR_STD&amp;SCFT=3&amp;window=popup_no_bar&amp;width=385&amp;height=120&amp;START_MAXIMIZED=FALSE&amp;creator=factset&amp;display_string=Audit"}</definedName>
    <definedName name="_4394__FDSAUDITLINK__" hidden="1">{"fdsup://Directions/FactSet Auditing Viewer?action=AUDIT_VALUE&amp;DB=129&amp;ID1=14964U10&amp;VALUEID=02001&amp;SDATE=200702&amp;PERIODTYPE=QTR_STD&amp;SCFT=3&amp;window=popup_no_bar&amp;width=385&amp;height=120&amp;START_MAXIMIZED=FALSE&amp;creator=factset&amp;display_string=Audit"}</definedName>
    <definedName name="_4395__FDSAUDITLINK__" hidden="1">{"fdsup://Directions/FactSet Auditing Viewer?action=AUDIT_VALUE&amp;DB=129&amp;ID1=11162130&amp;VALUEID=02001&amp;SDATE=200802&amp;PERIODTYPE=QTR_STD&amp;SCFT=3&amp;window=popup_no_bar&amp;width=385&amp;height=120&amp;START_MAXIMIZED=FALSE&amp;creator=factset&amp;display_string=Audit"}</definedName>
    <definedName name="_4396__FDSAUDITLINK__" hidden="1">{"fdsup://Directions/FactSet Auditing Viewer?action=AUDIT_VALUE&amp;DB=129&amp;ID1=11162130&amp;VALUEID=02001&amp;SDATE=200802&amp;PERIODTYPE=QTR_STD&amp;SCFT=3&amp;window=popup_no_bar&amp;width=385&amp;height=120&amp;START_MAXIMIZED=FALSE&amp;creator=factset&amp;display_string=Audit"}</definedName>
    <definedName name="_4397__FDSAUDITLINK__" hidden="1">{"fdsup://Directions/FactSet Auditing Viewer?action=AUDIT_VALUE&amp;DB=129&amp;ID1=11162130&amp;VALUEID=02001&amp;SDATE=200801&amp;PERIODTYPE=QTR_STD&amp;SCFT=3&amp;window=popup_no_bar&amp;width=385&amp;height=120&amp;START_MAXIMIZED=FALSE&amp;creator=factset&amp;display_string=Audit"}</definedName>
    <definedName name="_4398__FDSAUDITLINK__" hidden="1">{"fdsup://Directions/FactSet Auditing Viewer?action=AUDIT_VALUE&amp;DB=129&amp;ID1=11162130&amp;VALUEID=02001&amp;SDATE=200801&amp;PERIODTYPE=QTR_STD&amp;SCFT=3&amp;window=popup_no_bar&amp;width=385&amp;height=120&amp;START_MAXIMIZED=FALSE&amp;creator=factset&amp;display_string=Audit"}</definedName>
    <definedName name="_4399__FDSAUDITLINK__" hidden="1">{"fdsup://Directions/FactSet Auditing Viewer?action=AUDIT_VALUE&amp;DB=129&amp;ID1=11162130&amp;VALUEID=02001&amp;SDATE=200703&amp;PERIODTYPE=QTR_STD&amp;SCFT=3&amp;window=popup_no_bar&amp;width=385&amp;height=120&amp;START_MAXIMIZED=FALSE&amp;creator=factset&amp;display_string=Audit"}</definedName>
    <definedName name="_44__FDSAUDITLINK__" hidden="1">{"fdsup://Directions/FactSet Auditing Viewer?action=AUDIT_VALUE&amp;DB=129&amp;ID1=72581M30&amp;VALUEID=02001&amp;SDATE=201101&amp;PERIODTYPE=QTR_STD&amp;SCFT=3&amp;window=popup_no_bar&amp;width=385&amp;height=120&amp;START_MAXIMIZED=FALSE&amp;creator=factset&amp;display_string=Audit"}</definedName>
    <definedName name="_440__FDSAUDITLINK__" hidden="1">{"fdsup://Directions/FactSet Auditing Viewer?action=AUDIT_VALUE&amp;DB=129&amp;ID1=03265410&amp;VALUEID=02001&amp;SDATE=201004&amp;PERIODTYPE=QTR_STD&amp;SCFT=3&amp;window=popup_no_bar&amp;width=385&amp;height=120&amp;START_MAXIMIZED=FALSE&amp;creator=factset&amp;display_string=Audit"}</definedName>
    <definedName name="_4400__FDSAUDITLINK__" hidden="1">{"fdsup://Directions/FactSet Auditing Viewer?action=AUDIT_VALUE&amp;DB=129&amp;ID1=11162130&amp;VALUEID=02001&amp;SDATE=200703&amp;PERIODTYPE=QTR_STD&amp;SCFT=3&amp;window=popup_no_bar&amp;width=385&amp;height=120&amp;START_MAXIMIZED=FALSE&amp;creator=factset&amp;display_string=Audit"}</definedName>
    <definedName name="_4401__FDSAUDITLINK__" hidden="1">{"fdsup://Directions/FactSet Auditing Viewer?action=AUDIT_VALUE&amp;DB=129&amp;ID1=11162130&amp;VALUEID=02001&amp;SDATE=200702&amp;PERIODTYPE=QTR_STD&amp;SCFT=3&amp;window=popup_no_bar&amp;width=385&amp;height=120&amp;START_MAXIMIZED=FALSE&amp;creator=factset&amp;display_string=Audit"}</definedName>
    <definedName name="_4402__FDSAUDITLINK__" hidden="1">{"fdsup://Directions/FactSet Auditing Viewer?action=AUDIT_VALUE&amp;DB=129&amp;ID1=11162130&amp;VALUEID=02001&amp;SDATE=200702&amp;PERIODTYPE=QTR_STD&amp;SCFT=3&amp;window=popup_no_bar&amp;width=385&amp;height=120&amp;START_MAXIMIZED=FALSE&amp;creator=factset&amp;display_string=Audit"}</definedName>
    <definedName name="_4403__FDSAUDITLINK__" hidden="1">{"fdsup://Directions/FactSet Auditing Viewer?action=AUDIT_VALUE&amp;DB=129&amp;ID1=11162130&amp;VALUEID=02001&amp;SDATE=200701&amp;PERIODTYPE=QTR_STD&amp;SCFT=3&amp;window=popup_no_bar&amp;width=385&amp;height=120&amp;START_MAXIMIZED=FALSE&amp;creator=factset&amp;display_string=Audit"}</definedName>
    <definedName name="_4404__FDSAUDITLINK__" hidden="1">{"fdsup://Directions/FactSet Auditing Viewer?action=AUDIT_VALUE&amp;DB=129&amp;ID1=11162130&amp;VALUEID=02001&amp;SDATE=200701&amp;PERIODTYPE=QTR_STD&amp;SCFT=3&amp;window=popup_no_bar&amp;width=385&amp;height=120&amp;START_MAXIMIZED=FALSE&amp;creator=factset&amp;display_string=Audit"}</definedName>
    <definedName name="_4405__FDSAUDITLINK__" hidden="1">{"fdsup://Directions/FactSet Auditing Viewer?action=AUDIT_VALUE&amp;DB=129&amp;ID1=11162130&amp;VALUEID=02001&amp;SDATE=200603&amp;PERIODTYPE=QTR_STD&amp;SCFT=3&amp;window=popup_no_bar&amp;width=385&amp;height=120&amp;START_MAXIMIZED=FALSE&amp;creator=factset&amp;display_string=Audit"}</definedName>
    <definedName name="_4406__FDSAUDITLINK__" hidden="1">{"fdsup://Directions/FactSet Auditing Viewer?action=AUDIT_VALUE&amp;DB=129&amp;ID1=11162130&amp;VALUEID=02001&amp;SDATE=200603&amp;PERIODTYPE=QTR_STD&amp;SCFT=3&amp;window=popup_no_bar&amp;width=385&amp;height=120&amp;START_MAXIMIZED=FALSE&amp;creator=factset&amp;display_string=Audit"}</definedName>
    <definedName name="_4407__FDSAUDITLINK__" hidden="1">{"fdsup://Directions/FactSet Auditing Viewer?action=AUDIT_VALUE&amp;DB=129&amp;ID1=11162130&amp;VALUEID=02001&amp;SDATE=200602&amp;PERIODTYPE=QTR_STD&amp;SCFT=3&amp;window=popup_no_bar&amp;width=385&amp;height=120&amp;START_MAXIMIZED=FALSE&amp;creator=factset&amp;display_string=Audit"}</definedName>
    <definedName name="_4408__FDSAUDITLINK__" hidden="1">{"fdsup://Directions/FactSet Auditing Viewer?action=AUDIT_VALUE&amp;DB=129&amp;ID1=11162130&amp;VALUEID=02001&amp;SDATE=200602&amp;PERIODTYPE=QTR_STD&amp;SCFT=3&amp;window=popup_no_bar&amp;width=385&amp;height=120&amp;START_MAXIMIZED=FALSE&amp;creator=factset&amp;display_string=Audit"}</definedName>
    <definedName name="_4409__FDSAUDITLINK__" hidden="1">{"fdsup://Directions/FactSet Auditing Viewer?action=AUDIT_VALUE&amp;DB=129&amp;ID1=11162130&amp;VALUEID=02001&amp;SDATE=200601&amp;PERIODTYPE=QTR_STD&amp;SCFT=3&amp;window=popup_no_bar&amp;width=385&amp;height=120&amp;START_MAXIMIZED=FALSE&amp;creator=factset&amp;display_string=Audit"}</definedName>
    <definedName name="_441__FDSAUDITLINK__" hidden="1">{"fdsup://Directions/FactSet Auditing Viewer?action=AUDIT_VALUE&amp;DB=129&amp;ID1=00752J10&amp;VALUEID=02001&amp;SDATE=201003&amp;PERIODTYPE=QTR_STD&amp;SCFT=3&amp;window=popup_no_bar&amp;width=385&amp;height=120&amp;START_MAXIMIZED=FALSE&amp;creator=factset&amp;display_string=Audit"}</definedName>
    <definedName name="_4410__FDSAUDITLINK__" hidden="1">{"fdsup://Directions/FactSet Auditing Viewer?action=AUDIT_VALUE&amp;DB=129&amp;ID1=11162130&amp;VALUEID=02001&amp;SDATE=200601&amp;PERIODTYPE=QTR_STD&amp;SCFT=3&amp;window=popup_no_bar&amp;width=385&amp;height=120&amp;START_MAXIMIZED=FALSE&amp;creator=factset&amp;display_string=Audit"}</definedName>
    <definedName name="_4411__FDSAUDITLINK__" hidden="1">{"fdsup://Directions/FactSet Auditing Viewer?action=AUDIT_VALUE&amp;DB=129&amp;ID1=11162130&amp;VALUEID=02001&amp;SDATE=200503&amp;PERIODTYPE=QTR_STD&amp;SCFT=3&amp;window=popup_no_bar&amp;width=385&amp;height=120&amp;START_MAXIMIZED=FALSE&amp;creator=factset&amp;display_string=Audit"}</definedName>
    <definedName name="_4412__FDSAUDITLINK__" hidden="1">{"fdsup://Directions/FactSet Auditing Viewer?action=AUDIT_VALUE&amp;DB=129&amp;ID1=11162130&amp;VALUEID=02001&amp;SDATE=200503&amp;PERIODTYPE=QTR_STD&amp;SCFT=3&amp;window=popup_no_bar&amp;width=385&amp;height=120&amp;START_MAXIMIZED=FALSE&amp;creator=factset&amp;display_string=Audit"}</definedName>
    <definedName name="_4413__FDSAUDITLINK__" hidden="1">{"fdsup://Directions/FactSet Auditing Viewer?action=AUDIT_VALUE&amp;DB=129&amp;ID1=11162130&amp;VALUEID=02001&amp;SDATE=200502&amp;PERIODTYPE=QTR_STD&amp;SCFT=3&amp;window=popup_no_bar&amp;width=385&amp;height=120&amp;START_MAXIMIZED=FALSE&amp;creator=factset&amp;display_string=Audit"}</definedName>
    <definedName name="_4414__FDSAUDITLINK__" hidden="1">{"fdsup://Directions/FactSet Auditing Viewer?action=AUDIT_VALUE&amp;DB=129&amp;ID1=11162130&amp;VALUEID=02001&amp;SDATE=200502&amp;PERIODTYPE=QTR_STD&amp;SCFT=3&amp;window=popup_no_bar&amp;width=385&amp;height=120&amp;START_MAXIMIZED=FALSE&amp;creator=factset&amp;display_string=Audit"}</definedName>
    <definedName name="_4415__FDSAUDITLINK__" hidden="1">{"fdsup://Directions/FactSet Auditing Viewer?action=AUDIT_VALUE&amp;DB=129&amp;ID1=11162130&amp;VALUEID=02001&amp;SDATE=200403&amp;PERIODTYPE=QTR_STD&amp;SCFT=3&amp;window=popup_no_bar&amp;width=385&amp;height=120&amp;START_MAXIMIZED=FALSE&amp;creator=factset&amp;display_string=Audit"}</definedName>
    <definedName name="_4416__FDSAUDITLINK__" hidden="1">{"fdsup://Directions/FactSet Auditing Viewer?action=AUDIT_VALUE&amp;DB=129&amp;ID1=11162130&amp;VALUEID=02001&amp;SDATE=200403&amp;PERIODTYPE=QTR_STD&amp;SCFT=3&amp;window=popup_no_bar&amp;width=385&amp;height=120&amp;START_MAXIMIZED=FALSE&amp;creator=factset&amp;display_string=Audit"}</definedName>
    <definedName name="_4417__FDSAUDITLINK__" hidden="1">{"fdsup://Directions/FactSet Auditing Viewer?action=AUDIT_VALUE&amp;DB=129&amp;ID1=11162130&amp;VALUEID=02001&amp;SDATE=200402&amp;PERIODTYPE=QTR_STD&amp;SCFT=3&amp;window=popup_no_bar&amp;width=385&amp;height=120&amp;START_MAXIMIZED=FALSE&amp;creator=factset&amp;display_string=Audit"}</definedName>
    <definedName name="_4418__FDSAUDITLINK__" hidden="1">{"fdsup://Directions/FactSet Auditing Viewer?action=AUDIT_VALUE&amp;DB=129&amp;ID1=11162130&amp;VALUEID=02001&amp;SDATE=200402&amp;PERIODTYPE=QTR_STD&amp;SCFT=3&amp;window=popup_no_bar&amp;width=385&amp;height=120&amp;START_MAXIMIZED=FALSE&amp;creator=factset&amp;display_string=Audit"}</definedName>
    <definedName name="_4419__FDSAUDITLINK__" hidden="1">{"fdsup://Directions/FactSet Auditing Viewer?action=AUDIT_VALUE&amp;DB=129&amp;ID1=04743P10&amp;VALUEID=02001&amp;SDATE=200801&amp;PERIODTYPE=QTR_STD&amp;SCFT=3&amp;window=popup_no_bar&amp;width=385&amp;height=120&amp;START_MAXIMIZED=FALSE&amp;creator=factset&amp;display_string=Audit"}</definedName>
    <definedName name="_442__FDSAUDITLINK__" hidden="1">{"fdsup://Directions/FactSet Auditing Viewer?action=AUDIT_VALUE&amp;DB=129&amp;ID1=00752J10&amp;VALUEID=02001&amp;SDATE=201003&amp;PERIODTYPE=QTR_STD&amp;SCFT=3&amp;window=popup_no_bar&amp;width=385&amp;height=120&amp;START_MAXIMIZED=FALSE&amp;creator=factset&amp;display_string=Audit"}</definedName>
    <definedName name="_4420__FDSAUDITLINK__" hidden="1">{"fdsup://Directions/FactSet Auditing Viewer?action=AUDIT_VALUE&amp;DB=129&amp;ID1=04743P10&amp;VALUEID=02001&amp;SDATE=200801&amp;PERIODTYPE=QTR_STD&amp;SCFT=3&amp;window=popup_no_bar&amp;width=385&amp;height=120&amp;START_MAXIMIZED=FALSE&amp;creator=factset&amp;display_string=Audit"}</definedName>
    <definedName name="_4421__FDSAUDITLINK__" hidden="1">{"fdsup://Directions/FactSet Auditing Viewer?action=AUDIT_VALUE&amp;DB=129&amp;ID1=04743P10&amp;VALUEID=02001&amp;SDATE=200703&amp;PERIODTYPE=QTR_STD&amp;SCFT=3&amp;window=popup_no_bar&amp;width=385&amp;height=120&amp;START_MAXIMIZED=FALSE&amp;creator=factset&amp;display_string=Audit"}</definedName>
    <definedName name="_4422__FDSAUDITLINK__" hidden="1">{"fdsup://Directions/FactSet Auditing Viewer?action=AUDIT_VALUE&amp;DB=129&amp;ID1=04743P10&amp;VALUEID=02001&amp;SDATE=200703&amp;PERIODTYPE=QTR_STD&amp;SCFT=3&amp;window=popup_no_bar&amp;width=385&amp;height=120&amp;START_MAXIMIZED=FALSE&amp;creator=factset&amp;display_string=Audit"}</definedName>
    <definedName name="_4423__FDSAUDITLINK__" hidden="1">{"fdsup://Directions/FactSet Auditing Viewer?action=AUDIT_VALUE&amp;DB=129&amp;ID1=04743P10&amp;VALUEID=02001&amp;SDATE=200702&amp;PERIODTYPE=QTR_STD&amp;SCFT=3&amp;window=popup_no_bar&amp;width=385&amp;height=120&amp;START_MAXIMIZED=FALSE&amp;creator=factset&amp;display_string=Audit"}</definedName>
    <definedName name="_4424__FDSAUDITLINK__" hidden="1">{"fdsup://Directions/FactSet Auditing Viewer?action=AUDIT_VALUE&amp;DB=129&amp;ID1=04743P10&amp;VALUEID=02001&amp;SDATE=200702&amp;PERIODTYPE=QTR_STD&amp;SCFT=3&amp;window=popup_no_bar&amp;width=385&amp;height=120&amp;START_MAXIMIZED=FALSE&amp;creator=factset&amp;display_string=Audit"}</definedName>
    <definedName name="_4425__FDSAUDITLINK__" hidden="1">{"fdsup://Directions/FactSet Auditing Viewer?action=AUDIT_VALUE&amp;DB=129&amp;ID1=04743P10&amp;VALUEID=02001&amp;SDATE=200701&amp;PERIODTYPE=QTR_STD&amp;SCFT=3&amp;window=popup_no_bar&amp;width=385&amp;height=120&amp;START_MAXIMIZED=FALSE&amp;creator=factset&amp;display_string=Audit"}</definedName>
    <definedName name="_4426__FDSAUDITLINK__" hidden="1">{"fdsup://Directions/FactSet Auditing Viewer?action=AUDIT_VALUE&amp;DB=129&amp;ID1=04743P10&amp;VALUEID=02001&amp;SDATE=200701&amp;PERIODTYPE=QTR_STD&amp;SCFT=3&amp;window=popup_no_bar&amp;width=385&amp;height=120&amp;START_MAXIMIZED=FALSE&amp;creator=factset&amp;display_string=Audit"}</definedName>
    <definedName name="_4427__FDSAUDITLINK__" hidden="1">{"fdsup://Directions/FactSet Auditing Viewer?action=AUDIT_VALUE&amp;DB=129&amp;ID1=04743P10&amp;VALUEID=02001&amp;SDATE=200603&amp;PERIODTYPE=QTR_STD&amp;SCFT=3&amp;window=popup_no_bar&amp;width=385&amp;height=120&amp;START_MAXIMIZED=FALSE&amp;creator=factset&amp;display_string=Audit"}</definedName>
    <definedName name="_4428__FDSAUDITLINK__" hidden="1">{"fdsup://Directions/FactSet Auditing Viewer?action=AUDIT_VALUE&amp;DB=129&amp;ID1=04743P10&amp;VALUEID=02001&amp;SDATE=200603&amp;PERIODTYPE=QTR_STD&amp;SCFT=3&amp;window=popup_no_bar&amp;width=385&amp;height=120&amp;START_MAXIMIZED=FALSE&amp;creator=factset&amp;display_string=Audit"}</definedName>
    <definedName name="_4429__FDSAUDITLINK__" hidden="1">{"fdsup://Directions/FactSet Auditing Viewer?action=AUDIT_VALUE&amp;DB=129&amp;ID1=04743P10&amp;VALUEID=02001&amp;SDATE=200602&amp;PERIODTYPE=QTR_STD&amp;SCFT=3&amp;window=popup_no_bar&amp;width=385&amp;height=120&amp;START_MAXIMIZED=FALSE&amp;creator=factset&amp;display_string=Audit"}</definedName>
    <definedName name="_443__FDSAUDITLINK__" hidden="1">{"fdsup://Directions/FactSet Auditing Viewer?action=AUDIT_VALUE&amp;DB=129&amp;ID1=98975F10&amp;VALUEID=02001&amp;SDATE=201002&amp;PERIODTYPE=QTR_STD&amp;SCFT=3&amp;window=popup_no_bar&amp;width=385&amp;height=120&amp;START_MAXIMIZED=FALSE&amp;creator=factset&amp;display_string=Audit"}</definedName>
    <definedName name="_4430__FDSAUDITLINK__" hidden="1">{"fdsup://Directions/FactSet Auditing Viewer?action=AUDIT_VALUE&amp;DB=129&amp;ID1=04743P10&amp;VALUEID=02001&amp;SDATE=200602&amp;PERIODTYPE=QTR_STD&amp;SCFT=3&amp;window=popup_no_bar&amp;width=385&amp;height=120&amp;START_MAXIMIZED=FALSE&amp;creator=factset&amp;display_string=Audit"}</definedName>
    <definedName name="_4431__FDSAUDITLINK__" hidden="1">{"fdsup://Directions/FactSet Auditing Viewer?action=AUDIT_VALUE&amp;DB=129&amp;ID1=04743P10&amp;VALUEID=02001&amp;SDATE=200601&amp;PERIODTYPE=QTR_STD&amp;SCFT=3&amp;window=popup_no_bar&amp;width=385&amp;height=120&amp;START_MAXIMIZED=FALSE&amp;creator=factset&amp;display_string=Audit"}</definedName>
    <definedName name="_4432__FDSAUDITLINK__" hidden="1">{"fdsup://Directions/FactSet Auditing Viewer?action=AUDIT_VALUE&amp;DB=129&amp;ID1=04743P10&amp;VALUEID=02001&amp;SDATE=200601&amp;PERIODTYPE=QTR_STD&amp;SCFT=3&amp;window=popup_no_bar&amp;width=385&amp;height=120&amp;START_MAXIMIZED=FALSE&amp;creator=factset&amp;display_string=Audit"}</definedName>
    <definedName name="_4433__FDSAUDITLINK__" hidden="1">{"fdsup://Directions/FactSet Auditing Viewer?action=AUDIT_VALUE&amp;DB=129&amp;ID1=04743P10&amp;VALUEID=02001&amp;SDATE=200503&amp;PERIODTYPE=QTR_STD&amp;SCFT=3&amp;window=popup_no_bar&amp;width=385&amp;height=120&amp;START_MAXIMIZED=FALSE&amp;creator=factset&amp;display_string=Audit"}</definedName>
    <definedName name="_4434__FDSAUDITLINK__" hidden="1">{"fdsup://Directions/FactSet Auditing Viewer?action=AUDIT_VALUE&amp;DB=129&amp;ID1=04743P10&amp;VALUEID=02001&amp;SDATE=200503&amp;PERIODTYPE=QTR_STD&amp;SCFT=3&amp;window=popup_no_bar&amp;width=385&amp;height=120&amp;START_MAXIMIZED=FALSE&amp;creator=factset&amp;display_string=Audit"}</definedName>
    <definedName name="_4435__FDSAUDITLINK__" hidden="1">{"fdsup://Directions/FactSet Auditing Viewer?action=AUDIT_VALUE&amp;DB=129&amp;ID1=04743P10&amp;VALUEID=02001&amp;SDATE=200502&amp;PERIODTYPE=QTR_STD&amp;SCFT=3&amp;window=popup_no_bar&amp;width=385&amp;height=120&amp;START_MAXIMIZED=FALSE&amp;creator=factset&amp;display_string=Audit"}</definedName>
    <definedName name="_4436__FDSAUDITLINK__" hidden="1">{"fdsup://Directions/FactSet Auditing Viewer?action=AUDIT_VALUE&amp;DB=129&amp;ID1=04743P10&amp;VALUEID=02001&amp;SDATE=200502&amp;PERIODTYPE=QTR_STD&amp;SCFT=3&amp;window=popup_no_bar&amp;width=385&amp;height=120&amp;START_MAXIMIZED=FALSE&amp;creator=factset&amp;display_string=Audit"}</definedName>
    <definedName name="_4437__FDSAUDITLINK__" hidden="1">{"fdsup://Directions/FactSet Auditing Viewer?action=AUDIT_VALUE&amp;DB=129&amp;ID1=04743P10&amp;VALUEID=02001&amp;SDATE=200501&amp;PERIODTYPE=QTR_STD&amp;SCFT=3&amp;window=popup_no_bar&amp;width=385&amp;height=120&amp;START_MAXIMIZED=FALSE&amp;creator=factset&amp;display_string=Audit"}</definedName>
    <definedName name="_4438__FDSAUDITLINK__" hidden="1">{"fdsup://Directions/FactSet Auditing Viewer?action=AUDIT_VALUE&amp;DB=129&amp;ID1=04743P10&amp;VALUEID=02001&amp;SDATE=200501&amp;PERIODTYPE=QTR_STD&amp;SCFT=3&amp;window=popup_no_bar&amp;width=385&amp;height=120&amp;START_MAXIMIZED=FALSE&amp;creator=factset&amp;display_string=Audit"}</definedName>
    <definedName name="_4439__FDSAUDITLINK__" hidden="1">{"fdsup://Directions/FactSet Auditing Viewer?action=AUDIT_VALUE&amp;DB=129&amp;ID1=04743P10&amp;VALUEID=02001&amp;SDATE=200403&amp;PERIODTYPE=QTR_STD&amp;SCFT=3&amp;window=popup_no_bar&amp;width=385&amp;height=120&amp;START_MAXIMIZED=FALSE&amp;creator=factset&amp;display_string=Audit"}</definedName>
    <definedName name="_444__FDSAUDITLINK__" hidden="1">{"fdsup://Directions/FactSet Auditing Viewer?action=AUDIT_VALUE&amp;DB=129&amp;ID1=98975F10&amp;VALUEID=02001&amp;SDATE=201002&amp;PERIODTYPE=QTR_STD&amp;SCFT=3&amp;window=popup_no_bar&amp;width=385&amp;height=120&amp;START_MAXIMIZED=FALSE&amp;creator=factset&amp;display_string=Audit"}</definedName>
    <definedName name="_4440__FDSAUDITLINK__" hidden="1">{"fdsup://Directions/FactSet Auditing Viewer?action=AUDIT_VALUE&amp;DB=129&amp;ID1=04743P10&amp;VALUEID=02001&amp;SDATE=200403&amp;PERIODTYPE=QTR_STD&amp;SCFT=3&amp;window=popup_no_bar&amp;width=385&amp;height=120&amp;START_MAXIMIZED=FALSE&amp;creator=factset&amp;display_string=Audit"}</definedName>
    <definedName name="_4441__FDSAUDITLINK__" hidden="1">{"fdsup://Directions/FactSet Auditing Viewer?action=AUDIT_VALUE&amp;DB=129&amp;ID1=04743P10&amp;VALUEID=02001&amp;SDATE=200402&amp;PERIODTYPE=QTR_STD&amp;SCFT=3&amp;window=popup_no_bar&amp;width=385&amp;height=120&amp;START_MAXIMIZED=FALSE&amp;creator=factset&amp;display_string=Audit"}</definedName>
    <definedName name="_4442__FDSAUDITLINK__" hidden="1">{"fdsup://Directions/FactSet Auditing Viewer?action=AUDIT_VALUE&amp;DB=129&amp;ID1=04743P10&amp;VALUEID=02001&amp;SDATE=200402&amp;PERIODTYPE=QTR_STD&amp;SCFT=3&amp;window=popup_no_bar&amp;width=385&amp;height=120&amp;START_MAXIMIZED=FALSE&amp;creator=factset&amp;display_string=Audit"}</definedName>
    <definedName name="_4443__FDSAUDITLINK__" hidden="1">{"fdsup://Directions/FactSet Auditing Viewer?action=AUDIT_VALUE&amp;DB=129&amp;ID1=04743P10&amp;VALUEID=02001&amp;SDATE=200401&amp;PERIODTYPE=QTR_STD&amp;SCFT=3&amp;window=popup_no_bar&amp;width=385&amp;height=120&amp;START_MAXIMIZED=FALSE&amp;creator=factset&amp;display_string=Audit"}</definedName>
    <definedName name="_4444__FDSAUDITLINK__" hidden="1">{"fdsup://Directions/FactSet Auditing Viewer?action=AUDIT_VALUE&amp;DB=129&amp;ID1=04743P10&amp;VALUEID=02001&amp;SDATE=200401&amp;PERIODTYPE=QTR_STD&amp;SCFT=3&amp;window=popup_no_bar&amp;width=385&amp;height=120&amp;START_MAXIMIZED=FALSE&amp;creator=factset&amp;display_string=Audit"}</definedName>
    <definedName name="_4445__FDSAUDITLINK__" hidden="1">{"fdsup://Directions/FactSet Auditing Viewer?action=AUDIT_VALUE&amp;DB=129&amp;ID1=03251510&amp;VALUEID=02001&amp;SDATE=200801&amp;PERIODTYPE=QTR_STD&amp;SCFT=3&amp;window=popup_no_bar&amp;width=385&amp;height=120&amp;START_MAXIMIZED=FALSE&amp;creator=factset&amp;display_string=Audit"}</definedName>
    <definedName name="_4446__FDSAUDITLINK__" hidden="1">{"fdsup://Directions/FactSet Auditing Viewer?action=AUDIT_VALUE&amp;DB=129&amp;ID1=03251510&amp;VALUEID=02001&amp;SDATE=200801&amp;PERIODTYPE=QTR_STD&amp;SCFT=3&amp;window=popup_no_bar&amp;width=385&amp;height=120&amp;START_MAXIMIZED=FALSE&amp;creator=factset&amp;display_string=Audit"}</definedName>
    <definedName name="_4447__FDSAUDITLINK__" hidden="1">{"fdsup://Directions/FactSet Auditing Viewer?action=AUDIT_VALUE&amp;DB=129&amp;ID1=03251510&amp;VALUEID=02001&amp;SDATE=200703&amp;PERIODTYPE=QTR_STD&amp;SCFT=3&amp;window=popup_no_bar&amp;width=385&amp;height=120&amp;START_MAXIMIZED=FALSE&amp;creator=factset&amp;display_string=Audit"}</definedName>
    <definedName name="_4448__FDSAUDITLINK__" hidden="1">{"fdsup://Directions/FactSet Auditing Viewer?action=AUDIT_VALUE&amp;DB=129&amp;ID1=03251510&amp;VALUEID=02001&amp;SDATE=200703&amp;PERIODTYPE=QTR_STD&amp;SCFT=3&amp;window=popup_no_bar&amp;width=385&amp;height=120&amp;START_MAXIMIZED=FALSE&amp;creator=factset&amp;display_string=Audit"}</definedName>
    <definedName name="_4449__FDSAUDITLINK__" hidden="1">{"fdsup://Directions/FactSet Auditing Viewer?action=AUDIT_VALUE&amp;DB=129&amp;ID1=03251510&amp;VALUEID=02001&amp;SDATE=200702&amp;PERIODTYPE=QTR_STD&amp;SCFT=3&amp;window=popup_no_bar&amp;width=385&amp;height=120&amp;START_MAXIMIZED=FALSE&amp;creator=factset&amp;display_string=Audit"}</definedName>
    <definedName name="_445__FDSAUDITLINK__" hidden="1">{"fdsup://Directions/FactSet Auditing Viewer?action=AUDIT_VALUE&amp;DB=129&amp;ID1=98391910&amp;VALUEID=02001&amp;SDATE=201001&amp;PERIODTYPE=QTR_STD&amp;SCFT=3&amp;window=popup_no_bar&amp;width=385&amp;height=120&amp;START_MAXIMIZED=FALSE&amp;creator=factset&amp;display_string=Audit"}</definedName>
    <definedName name="_4450__FDSAUDITLINK__" hidden="1">{"fdsup://Directions/FactSet Auditing Viewer?action=AUDIT_VALUE&amp;DB=129&amp;ID1=03251510&amp;VALUEID=02001&amp;SDATE=200702&amp;PERIODTYPE=QTR_STD&amp;SCFT=3&amp;window=popup_no_bar&amp;width=385&amp;height=120&amp;START_MAXIMIZED=FALSE&amp;creator=factset&amp;display_string=Audit"}</definedName>
    <definedName name="_4451__FDSAUDITLINK__" hidden="1">{"fdsup://Directions/FactSet Auditing Viewer?action=AUDIT_VALUE&amp;DB=129&amp;ID1=03251510&amp;VALUEID=02001&amp;SDATE=200701&amp;PERIODTYPE=QTR_STD&amp;SCFT=3&amp;window=popup_no_bar&amp;width=385&amp;height=120&amp;START_MAXIMIZED=FALSE&amp;creator=factset&amp;display_string=Audit"}</definedName>
    <definedName name="_4452__FDSAUDITLINK__" hidden="1">{"fdsup://Directions/FactSet Auditing Viewer?action=AUDIT_VALUE&amp;DB=129&amp;ID1=03251510&amp;VALUEID=02001&amp;SDATE=200701&amp;PERIODTYPE=QTR_STD&amp;SCFT=3&amp;window=popup_no_bar&amp;width=385&amp;height=120&amp;START_MAXIMIZED=FALSE&amp;creator=factset&amp;display_string=Audit"}</definedName>
    <definedName name="_4453__FDSAUDITLINK__" hidden="1">{"fdsup://Directions/FactSet Auditing Viewer?action=AUDIT_VALUE&amp;DB=129&amp;ID1=03251510&amp;VALUEID=02001&amp;SDATE=200603&amp;PERIODTYPE=QTR_STD&amp;SCFT=3&amp;window=popup_no_bar&amp;width=385&amp;height=120&amp;START_MAXIMIZED=FALSE&amp;creator=factset&amp;display_string=Audit"}</definedName>
    <definedName name="_4454__FDSAUDITLINK__" hidden="1">{"fdsup://Directions/FactSet Auditing Viewer?action=AUDIT_VALUE&amp;DB=129&amp;ID1=03251510&amp;VALUEID=02001&amp;SDATE=200603&amp;PERIODTYPE=QTR_STD&amp;SCFT=3&amp;window=popup_no_bar&amp;width=385&amp;height=120&amp;START_MAXIMIZED=FALSE&amp;creator=factset&amp;display_string=Audit"}</definedName>
    <definedName name="_4455__FDSAUDITLINK__" hidden="1">{"fdsup://Directions/FactSet Auditing Viewer?action=AUDIT_VALUE&amp;DB=129&amp;ID1=03251510&amp;VALUEID=02001&amp;SDATE=200602&amp;PERIODTYPE=QTR_STD&amp;SCFT=3&amp;window=popup_no_bar&amp;width=385&amp;height=120&amp;START_MAXIMIZED=FALSE&amp;creator=factset&amp;display_string=Audit"}</definedName>
    <definedName name="_4456__FDSAUDITLINK__" hidden="1">{"fdsup://Directions/FactSet Auditing Viewer?action=AUDIT_VALUE&amp;DB=129&amp;ID1=03251510&amp;VALUEID=02001&amp;SDATE=200602&amp;PERIODTYPE=QTR_STD&amp;SCFT=3&amp;window=popup_no_bar&amp;width=385&amp;height=120&amp;START_MAXIMIZED=FALSE&amp;creator=factset&amp;display_string=Audit"}</definedName>
    <definedName name="_4457__FDSAUDITLINK__" hidden="1">{"fdsup://Directions/FactSet Auditing Viewer?action=AUDIT_VALUE&amp;DB=129&amp;ID1=03251510&amp;VALUEID=02001&amp;SDATE=200601&amp;PERIODTYPE=QTR_STD&amp;SCFT=3&amp;window=popup_no_bar&amp;width=385&amp;height=120&amp;START_MAXIMIZED=FALSE&amp;creator=factset&amp;display_string=Audit"}</definedName>
    <definedName name="_4458__FDSAUDITLINK__" hidden="1">{"fdsup://Directions/FactSet Auditing Viewer?action=AUDIT_VALUE&amp;DB=129&amp;ID1=03251510&amp;VALUEID=02001&amp;SDATE=200601&amp;PERIODTYPE=QTR_STD&amp;SCFT=3&amp;window=popup_no_bar&amp;width=385&amp;height=120&amp;START_MAXIMIZED=FALSE&amp;creator=factset&amp;display_string=Audit"}</definedName>
    <definedName name="_4459__FDSAUDITLINK__" hidden="1">{"fdsup://Directions/FactSet Auditing Viewer?action=AUDIT_VALUE&amp;DB=129&amp;ID1=00790310&amp;VALUEID=02001&amp;SDATE=200801&amp;PERIODTYPE=QTR_STD&amp;SCFT=3&amp;window=popup_no_bar&amp;width=385&amp;height=120&amp;START_MAXIMIZED=FALSE&amp;creator=factset&amp;display_string=Audit"}</definedName>
    <definedName name="_446__FDSAUDITLINK__" hidden="1">{"fdsup://Directions/FactSet Auditing Viewer?action=AUDIT_VALUE&amp;DB=129&amp;ID1=98391910&amp;VALUEID=02001&amp;SDATE=201001&amp;PERIODTYPE=QTR_STD&amp;SCFT=3&amp;window=popup_no_bar&amp;width=385&amp;height=120&amp;START_MAXIMIZED=FALSE&amp;creator=factset&amp;display_string=Audit"}</definedName>
    <definedName name="_4460__FDSAUDITLINK__" hidden="1">{"fdsup://Directions/FactSet Auditing Viewer?action=AUDIT_VALUE&amp;DB=129&amp;ID1=00790310&amp;VALUEID=02001&amp;SDATE=200801&amp;PERIODTYPE=QTR_STD&amp;SCFT=3&amp;window=popup_no_bar&amp;width=385&amp;height=120&amp;START_MAXIMIZED=FALSE&amp;creator=factset&amp;display_string=Audit"}</definedName>
    <definedName name="_4461__FDSAUDITLINK__" hidden="1">{"fdsup://Directions/FactSet Auditing Viewer?action=AUDIT_VALUE&amp;DB=129&amp;ID1=00790310&amp;VALUEID=02001&amp;SDATE=200703&amp;PERIODTYPE=QTR_STD&amp;SCFT=3&amp;window=popup_no_bar&amp;width=385&amp;height=120&amp;START_MAXIMIZED=FALSE&amp;creator=factset&amp;display_string=Audit"}</definedName>
    <definedName name="_4462__FDSAUDITLINK__" hidden="1">{"fdsup://Directions/FactSet Auditing Viewer?action=AUDIT_VALUE&amp;DB=129&amp;ID1=00790310&amp;VALUEID=02001&amp;SDATE=200703&amp;PERIODTYPE=QTR_STD&amp;SCFT=3&amp;window=popup_no_bar&amp;width=385&amp;height=120&amp;START_MAXIMIZED=FALSE&amp;creator=factset&amp;display_string=Audit"}</definedName>
    <definedName name="_4463__FDSAUDITLINK__" hidden="1">{"fdsup://Directions/FactSet Auditing Viewer?action=AUDIT_VALUE&amp;DB=129&amp;ID1=00790310&amp;VALUEID=02001&amp;SDATE=200702&amp;PERIODTYPE=QTR_STD&amp;SCFT=3&amp;window=popup_no_bar&amp;width=385&amp;height=120&amp;START_MAXIMIZED=FALSE&amp;creator=factset&amp;display_string=Audit"}</definedName>
    <definedName name="_4464__FDSAUDITLINK__" hidden="1">{"fdsup://Directions/FactSet Auditing Viewer?action=AUDIT_VALUE&amp;DB=129&amp;ID1=00790310&amp;VALUEID=02001&amp;SDATE=200702&amp;PERIODTYPE=QTR_STD&amp;SCFT=3&amp;window=popup_no_bar&amp;width=385&amp;height=120&amp;START_MAXIMIZED=FALSE&amp;creator=factset&amp;display_string=Audit"}</definedName>
    <definedName name="_4465__FDSAUDITLINK__" hidden="1">{"fdsup://Directions/FactSet Auditing Viewer?action=AUDIT_VALUE&amp;DB=129&amp;ID1=00790310&amp;VALUEID=02001&amp;SDATE=200701&amp;PERIODTYPE=QTR_STD&amp;SCFT=3&amp;window=popup_no_bar&amp;width=385&amp;height=120&amp;START_MAXIMIZED=FALSE&amp;creator=factset&amp;display_string=Audit"}</definedName>
    <definedName name="_4466__FDSAUDITLINK__" hidden="1">{"fdsup://Directions/FactSet Auditing Viewer?action=AUDIT_VALUE&amp;DB=129&amp;ID1=00790310&amp;VALUEID=02001&amp;SDATE=200701&amp;PERIODTYPE=QTR_STD&amp;SCFT=3&amp;window=popup_no_bar&amp;width=385&amp;height=120&amp;START_MAXIMIZED=FALSE&amp;creator=factset&amp;display_string=Audit"}</definedName>
    <definedName name="_4467__FDSAUDITLINK__" hidden="1">{"fdsup://Directions/FactSet Auditing Viewer?action=AUDIT_VALUE&amp;DB=129&amp;ID1=00790310&amp;VALUEID=02001&amp;SDATE=200603&amp;PERIODTYPE=QTR_STD&amp;SCFT=3&amp;window=popup_no_bar&amp;width=385&amp;height=120&amp;START_MAXIMIZED=FALSE&amp;creator=factset&amp;display_string=Audit"}</definedName>
    <definedName name="_4468__FDSAUDITLINK__" hidden="1">{"fdsup://Directions/FactSet Auditing Viewer?action=AUDIT_VALUE&amp;DB=129&amp;ID1=00790310&amp;VALUEID=02001&amp;SDATE=200603&amp;PERIODTYPE=QTR_STD&amp;SCFT=3&amp;window=popup_no_bar&amp;width=385&amp;height=120&amp;START_MAXIMIZED=FALSE&amp;creator=factset&amp;display_string=Audit"}</definedName>
    <definedName name="_4469__FDSAUDITLINK__" hidden="1">{"fdsup://Directions/FactSet Auditing Viewer?action=AUDIT_VALUE&amp;DB=129&amp;ID1=00790310&amp;VALUEID=02001&amp;SDATE=200602&amp;PERIODTYPE=QTR_STD&amp;SCFT=3&amp;window=popup_no_bar&amp;width=385&amp;height=120&amp;START_MAXIMIZED=FALSE&amp;creator=factset&amp;display_string=Audit"}</definedName>
    <definedName name="_447__FDSAUDITLINK__" hidden="1">{"fdsup://Directions/FactSet Auditing Viewer?action=AUDIT_VALUE&amp;DB=129&amp;ID1=95810210&amp;VALUEID=02001&amp;SDATE=201004&amp;PERIODTYPE=QTR_STD&amp;SCFT=3&amp;window=popup_no_bar&amp;width=385&amp;height=120&amp;START_MAXIMIZED=FALSE&amp;creator=factset&amp;display_string=Audit"}</definedName>
    <definedName name="_4470__FDSAUDITLINK__" hidden="1">{"fdsup://Directions/FactSet Auditing Viewer?action=AUDIT_VALUE&amp;DB=129&amp;ID1=00790310&amp;VALUEID=02001&amp;SDATE=200602&amp;PERIODTYPE=QTR_STD&amp;SCFT=3&amp;window=popup_no_bar&amp;width=385&amp;height=120&amp;START_MAXIMIZED=FALSE&amp;creator=factset&amp;display_string=Audit"}</definedName>
    <definedName name="_4471__FDSAUDITLINK__" hidden="1">{"fdsup://Directions/FactSet Auditing Viewer?action=AUDIT_VALUE&amp;DB=129&amp;ID1=00790310&amp;VALUEID=02001&amp;SDATE=200601&amp;PERIODTYPE=QTR_STD&amp;SCFT=3&amp;window=popup_no_bar&amp;width=385&amp;height=120&amp;START_MAXIMIZED=FALSE&amp;creator=factset&amp;display_string=Audit"}</definedName>
    <definedName name="_4472__FDSAUDITLINK__" hidden="1">{"fdsup://Directions/FactSet Auditing Viewer?action=AUDIT_VALUE&amp;DB=129&amp;ID1=00790310&amp;VALUEID=02001&amp;SDATE=200601&amp;PERIODTYPE=QTR_STD&amp;SCFT=3&amp;window=popup_no_bar&amp;width=385&amp;height=120&amp;START_MAXIMIZED=FALSE&amp;creator=factset&amp;display_string=Audit"}</definedName>
    <definedName name="_4473__FDSAUDITLINK__" hidden="1">{"fdsup://Directions/FactSet Auditing Viewer?action=AUDIT_VALUE&amp;DB=129&amp;ID1=00790310&amp;VALUEID=02001&amp;SDATE=200503&amp;PERIODTYPE=QTR_STD&amp;SCFT=3&amp;window=popup_no_bar&amp;width=385&amp;height=120&amp;START_MAXIMIZED=FALSE&amp;creator=factset&amp;display_string=Audit"}</definedName>
    <definedName name="_4474__FDSAUDITLINK__" hidden="1">{"fdsup://Directions/FactSet Auditing Viewer?action=AUDIT_VALUE&amp;DB=129&amp;ID1=00790310&amp;VALUEID=02001&amp;SDATE=200503&amp;PERIODTYPE=QTR_STD&amp;SCFT=3&amp;window=popup_no_bar&amp;width=385&amp;height=120&amp;START_MAXIMIZED=FALSE&amp;creator=factset&amp;display_string=Audit"}</definedName>
    <definedName name="_4475__FDSAUDITLINK__" hidden="1">{"fdsup://Directions/FactSet Auditing Viewer?action=AUDIT_VALUE&amp;DB=129&amp;ID1=00790310&amp;VALUEID=02001&amp;SDATE=200502&amp;PERIODTYPE=QTR_STD&amp;SCFT=3&amp;window=popup_no_bar&amp;width=385&amp;height=120&amp;START_MAXIMIZED=FALSE&amp;creator=factset&amp;display_string=Audit"}</definedName>
    <definedName name="_4476__FDSAUDITLINK__" hidden="1">{"fdsup://Directions/FactSet Auditing Viewer?action=AUDIT_VALUE&amp;DB=129&amp;ID1=00790310&amp;VALUEID=02001&amp;SDATE=200502&amp;PERIODTYPE=QTR_STD&amp;SCFT=3&amp;window=popup_no_bar&amp;width=385&amp;height=120&amp;START_MAXIMIZED=FALSE&amp;creator=factset&amp;display_string=Audit"}</definedName>
    <definedName name="_4477__FDSAUDITLINK__" hidden="1">{"fdsup://Directions/FactSet Auditing Viewer?action=AUDIT_VALUE&amp;DB=129&amp;ID1=00790310&amp;VALUEID=02001&amp;SDATE=200403&amp;PERIODTYPE=QTR_STD&amp;SCFT=3&amp;window=popup_no_bar&amp;width=385&amp;height=120&amp;START_MAXIMIZED=FALSE&amp;creator=factset&amp;display_string=Audit"}</definedName>
    <definedName name="_4478__FDSAUDITLINK__" hidden="1">{"fdsup://Directions/FactSet Auditing Viewer?action=AUDIT_VALUE&amp;DB=129&amp;ID1=00790310&amp;VALUEID=02001&amp;SDATE=200403&amp;PERIODTYPE=QTR_STD&amp;SCFT=3&amp;window=popup_no_bar&amp;width=385&amp;height=120&amp;START_MAXIMIZED=FALSE&amp;creator=factset&amp;display_string=Audit"}</definedName>
    <definedName name="_4479__FDSAUDITLINK__" hidden="1">{"fdsup://Directions/FactSet Auditing Viewer?action=AUDIT_VALUE&amp;DB=129&amp;ID1=00790310&amp;VALUEID=02001&amp;SDATE=200402&amp;PERIODTYPE=QTR_STD&amp;SCFT=3&amp;window=popup_no_bar&amp;width=385&amp;height=120&amp;START_MAXIMIZED=FALSE&amp;creator=factset&amp;display_string=Audit"}</definedName>
    <definedName name="_448__FDSAUDITLINK__" hidden="1">{"fdsup://Directions/FactSet Auditing Viewer?action=AUDIT_VALUE&amp;DB=129&amp;ID1=95810210&amp;VALUEID=02001&amp;SDATE=201004&amp;PERIODTYPE=QTR_STD&amp;SCFT=3&amp;window=popup_no_bar&amp;width=385&amp;height=120&amp;START_MAXIMIZED=FALSE&amp;creator=factset&amp;display_string=Audit"}</definedName>
    <definedName name="_4480__FDSAUDITLINK__" hidden="1">{"fdsup://Directions/FactSet Auditing Viewer?action=AUDIT_VALUE&amp;DB=129&amp;ID1=00790310&amp;VALUEID=02001&amp;SDATE=200402&amp;PERIODTYPE=QTR_STD&amp;SCFT=3&amp;window=popup_no_bar&amp;width=385&amp;height=120&amp;START_MAXIMIZED=FALSE&amp;creator=factset&amp;display_string=Audit"}</definedName>
    <definedName name="_4481__FDSAUDITLINK__" hidden="1">{"fdsup://Directions/FactSet Auditing Viewer?action=AUDIT_VALUE&amp;DB=129&amp;ID1=00790310&amp;VALUEID=02001&amp;SDATE=200401&amp;PERIODTYPE=QTR_STD&amp;SCFT=3&amp;window=popup_no_bar&amp;width=385&amp;height=120&amp;START_MAXIMIZED=FALSE&amp;creator=factset&amp;display_string=Audit"}</definedName>
    <definedName name="_4482__FDSAUDITLINK__" hidden="1">{"fdsup://Directions/FactSet Auditing Viewer?action=AUDIT_VALUE&amp;DB=129&amp;ID1=00790310&amp;VALUEID=02001&amp;SDATE=200401&amp;PERIODTYPE=QTR_STD&amp;SCFT=3&amp;window=popup_no_bar&amp;width=385&amp;height=120&amp;START_MAXIMIZED=FALSE&amp;creator=factset&amp;display_string=Audit"}</definedName>
    <definedName name="_4483__FDSAUDITLINK__" hidden="1">{"fdsup://Directions/FactSet Auditing Viewer?action=AUDIT_VALUE&amp;DB=129&amp;ID1=03822W40&amp;VALUEID=02001&amp;SDATE=200703&amp;PERIODTYPE=QTR_STD&amp;SCFT=3&amp;window=popup_no_bar&amp;width=385&amp;height=120&amp;START_MAXIMIZED=FALSE&amp;creator=factset&amp;display_string=Audit"}</definedName>
    <definedName name="_4484__FDSAUDITLINK__" hidden="1">{"fdsup://Directions/FactSet Auditing Viewer?action=AUDIT_VALUE&amp;DB=129&amp;ID1=03822W40&amp;VALUEID=02001&amp;SDATE=200703&amp;PERIODTYPE=QTR_STD&amp;SCFT=3&amp;window=popup_no_bar&amp;width=385&amp;height=120&amp;START_MAXIMIZED=FALSE&amp;creator=factset&amp;display_string=Audit"}</definedName>
    <definedName name="_4485__FDSAUDITLINK__" hidden="1">{"fdsup://Directions/FactSet Auditing Viewer?action=AUDIT_VALUE&amp;DB=129&amp;ID1=03822W40&amp;VALUEID=02001&amp;SDATE=200702&amp;PERIODTYPE=QTR_STD&amp;SCFT=3&amp;window=popup_no_bar&amp;width=385&amp;height=120&amp;START_MAXIMIZED=FALSE&amp;creator=factset&amp;display_string=Audit"}</definedName>
    <definedName name="_4486__FDSAUDITLINK__" hidden="1">{"fdsup://Directions/FactSet Auditing Viewer?action=AUDIT_VALUE&amp;DB=129&amp;ID1=03822W40&amp;VALUEID=02001&amp;SDATE=200702&amp;PERIODTYPE=QTR_STD&amp;SCFT=3&amp;window=popup_no_bar&amp;width=385&amp;height=120&amp;START_MAXIMIZED=FALSE&amp;creator=factset&amp;display_string=Audit"}</definedName>
    <definedName name="_4487__FDSAUDITLINK__" hidden="1">{"fdsup://Directions/FactSet Auditing Viewer?action=AUDIT_VALUE&amp;DB=129&amp;ID1=03822W40&amp;VALUEID=02001&amp;SDATE=200701&amp;PERIODTYPE=QTR_STD&amp;SCFT=3&amp;window=popup_no_bar&amp;width=385&amp;height=120&amp;START_MAXIMIZED=FALSE&amp;creator=factset&amp;display_string=Audit"}</definedName>
    <definedName name="_4488__FDSAUDITLINK__" hidden="1">{"fdsup://Directions/FactSet Auditing Viewer?action=AUDIT_VALUE&amp;DB=129&amp;ID1=03822W40&amp;VALUEID=02001&amp;SDATE=200701&amp;PERIODTYPE=QTR_STD&amp;SCFT=3&amp;window=popup_no_bar&amp;width=385&amp;height=120&amp;START_MAXIMIZED=FALSE&amp;creator=factset&amp;display_string=Audit"}</definedName>
    <definedName name="_4489__FDSAUDITLINK__" hidden="1">{"fdsup://Directions/FactSet Auditing Viewer?action=AUDIT_VALUE&amp;DB=129&amp;ID1=03822W40&amp;VALUEID=02001&amp;SDATE=200603&amp;PERIODTYPE=QTR_STD&amp;SCFT=3&amp;window=popup_no_bar&amp;width=385&amp;height=120&amp;START_MAXIMIZED=FALSE&amp;creator=factset&amp;display_string=Audit"}</definedName>
    <definedName name="_449__FDSAUDITLINK__" hidden="1">{"fdsup://Directions/FactSet Auditing Viewer?action=AUDIT_VALUE&amp;DB=129&amp;ID1=92849730&amp;VALUEID=02001&amp;SDATE=201003&amp;PERIODTYPE=QTR_STD&amp;SCFT=3&amp;window=popup_no_bar&amp;width=385&amp;height=120&amp;START_MAXIMIZED=FALSE&amp;creator=factset&amp;display_string=Audit"}</definedName>
    <definedName name="_4490__FDSAUDITLINK__" hidden="1">{"fdsup://Directions/FactSet Auditing Viewer?action=AUDIT_VALUE&amp;DB=129&amp;ID1=03822W40&amp;VALUEID=02001&amp;SDATE=200603&amp;PERIODTYPE=QTR_STD&amp;SCFT=3&amp;window=popup_no_bar&amp;width=385&amp;height=120&amp;START_MAXIMIZED=FALSE&amp;creator=factset&amp;display_string=Audit"}</definedName>
    <definedName name="_4491__FDSAUDITLINK__" hidden="1">{"fdsup://Directions/FactSet Auditing Viewer?action=AUDIT_VALUE&amp;DB=129&amp;ID1=03822W40&amp;VALUEID=02001&amp;SDATE=200602&amp;PERIODTYPE=QTR_STD&amp;SCFT=3&amp;window=popup_no_bar&amp;width=385&amp;height=120&amp;START_MAXIMIZED=FALSE&amp;creator=factset&amp;display_string=Audit"}</definedName>
    <definedName name="_4492__FDSAUDITLINK__" hidden="1">{"fdsup://Directions/FactSet Auditing Viewer?action=AUDIT_VALUE&amp;DB=129&amp;ID1=03822W40&amp;VALUEID=02001&amp;SDATE=200602&amp;PERIODTYPE=QTR_STD&amp;SCFT=3&amp;window=popup_no_bar&amp;width=385&amp;height=120&amp;START_MAXIMIZED=FALSE&amp;creator=factset&amp;display_string=Audit"}</definedName>
    <definedName name="_4493__FDSAUDITLINK__" hidden="1">{"fdsup://Directions/FactSet Auditing Viewer?action=AUDIT_VALUE&amp;DB=129&amp;ID1=03822W40&amp;VALUEID=02001&amp;SDATE=200601&amp;PERIODTYPE=QTR_STD&amp;SCFT=3&amp;window=popup_no_bar&amp;width=385&amp;height=120&amp;START_MAXIMIZED=FALSE&amp;creator=factset&amp;display_string=Audit"}</definedName>
    <definedName name="_4494__FDSAUDITLINK__" hidden="1">{"fdsup://Directions/FactSet Auditing Viewer?action=AUDIT_VALUE&amp;DB=129&amp;ID1=03822W40&amp;VALUEID=02001&amp;SDATE=200601&amp;PERIODTYPE=QTR_STD&amp;SCFT=3&amp;window=popup_no_bar&amp;width=385&amp;height=120&amp;START_MAXIMIZED=FALSE&amp;creator=factset&amp;display_string=Audit"}</definedName>
    <definedName name="_4495__FDSAUDITLINK__" hidden="1">{"fdsup://Directions/FactSet Auditing Viewer?action=AUDIT_VALUE&amp;DB=129&amp;ID1=03822W40&amp;VALUEID=02001&amp;SDATE=200503&amp;PERIODTYPE=QTR_STD&amp;SCFT=3&amp;window=popup_no_bar&amp;width=385&amp;height=120&amp;START_MAXIMIZED=FALSE&amp;creator=factset&amp;display_string=Audit"}</definedName>
    <definedName name="_4496__FDSAUDITLINK__" hidden="1">{"fdsup://Directions/FactSet Auditing Viewer?action=AUDIT_VALUE&amp;DB=129&amp;ID1=03822W40&amp;VALUEID=02001&amp;SDATE=200503&amp;PERIODTYPE=QTR_STD&amp;SCFT=3&amp;window=popup_no_bar&amp;width=385&amp;height=120&amp;START_MAXIMIZED=FALSE&amp;creator=factset&amp;display_string=Audit"}</definedName>
    <definedName name="_4497__FDSAUDITLINK__" hidden="1">{"fdsup://Directions/FactSet Auditing Viewer?action=AUDIT_VALUE&amp;DB=129&amp;ID1=03822W40&amp;VALUEID=02001&amp;SDATE=200502&amp;PERIODTYPE=QTR_STD&amp;SCFT=3&amp;window=popup_no_bar&amp;width=385&amp;height=120&amp;START_MAXIMIZED=FALSE&amp;creator=factset&amp;display_string=Audit"}</definedName>
    <definedName name="_4498__FDSAUDITLINK__" hidden="1">{"fdsup://Directions/FactSet Auditing Viewer?action=AUDIT_VALUE&amp;DB=129&amp;ID1=03822W40&amp;VALUEID=02001&amp;SDATE=200502&amp;PERIODTYPE=QTR_STD&amp;SCFT=3&amp;window=popup_no_bar&amp;width=385&amp;height=120&amp;START_MAXIMIZED=FALSE&amp;creator=factset&amp;display_string=Audit"}</definedName>
    <definedName name="_4499__FDSAUDITLINK__" hidden="1">{"fdsup://Directions/FactSet Auditing Viewer?action=AUDIT_VALUE&amp;DB=129&amp;ID1=03822W40&amp;VALUEID=02001&amp;SDATE=200501&amp;PERIODTYPE=QTR_STD&amp;SCFT=3&amp;window=popup_no_bar&amp;width=385&amp;height=120&amp;START_MAXIMIZED=FALSE&amp;creator=factset&amp;display_string=Audit"}</definedName>
    <definedName name="_45__FDSAUDITLINK__" hidden="1">{"fdsup://Directions/FactSet Auditing Viewer?action=AUDIT_VALUE&amp;DB=129&amp;ID1=73927610&amp;VALUEID=02001&amp;SDATE=201101&amp;PERIODTYPE=QTR_STD&amp;SCFT=3&amp;window=popup_no_bar&amp;width=385&amp;height=120&amp;START_MAXIMIZED=FALSE&amp;creator=factset&amp;display_string=Audit"}</definedName>
    <definedName name="_450__FDSAUDITLINK__" hidden="1">{"fdsup://Directions/FactSet Auditing Viewer?action=AUDIT_VALUE&amp;DB=129&amp;ID1=92849730&amp;VALUEID=02001&amp;SDATE=201003&amp;PERIODTYPE=QTR_STD&amp;SCFT=3&amp;window=popup_no_bar&amp;width=385&amp;height=120&amp;START_MAXIMIZED=FALSE&amp;creator=factset&amp;display_string=Audit"}</definedName>
    <definedName name="_4500__FDSAUDITLINK__" hidden="1">{"fdsup://Directions/FactSet Auditing Viewer?action=AUDIT_VALUE&amp;DB=129&amp;ID1=03822W40&amp;VALUEID=02001&amp;SDATE=200501&amp;PERIODTYPE=QTR_STD&amp;SCFT=3&amp;window=popup_no_bar&amp;width=385&amp;height=120&amp;START_MAXIMIZED=FALSE&amp;creator=factset&amp;display_string=Audit"}</definedName>
    <definedName name="_4501__FDSAUDITLINK__" hidden="1">{"fdsup://Directions/FactSet Auditing Viewer?action=AUDIT_VALUE&amp;DB=129&amp;ID1=03822W40&amp;VALUEID=02001&amp;SDATE=200403&amp;PERIODTYPE=QTR_STD&amp;SCFT=3&amp;window=popup_no_bar&amp;width=385&amp;height=120&amp;START_MAXIMIZED=FALSE&amp;creator=factset&amp;display_string=Audit"}</definedName>
    <definedName name="_4502__FDSAUDITLINK__" hidden="1">{"fdsup://Directions/FactSet Auditing Viewer?action=AUDIT_VALUE&amp;DB=129&amp;ID1=03822W40&amp;VALUEID=02001&amp;SDATE=200403&amp;PERIODTYPE=QTR_STD&amp;SCFT=3&amp;window=popup_no_bar&amp;width=385&amp;height=120&amp;START_MAXIMIZED=FALSE&amp;creator=factset&amp;display_string=Audit"}</definedName>
    <definedName name="_4503__FDSAUDITLINK__" hidden="1">{"fdsup://Directions/FactSet Auditing Viewer?action=AUDIT_VALUE&amp;DB=129&amp;ID1=03822W40&amp;VALUEID=02001&amp;SDATE=200402&amp;PERIODTYPE=QTR_STD&amp;SCFT=3&amp;window=popup_no_bar&amp;width=385&amp;height=120&amp;START_MAXIMIZED=FALSE&amp;creator=factset&amp;display_string=Audit"}</definedName>
    <definedName name="_4504__FDSAUDITLINK__" hidden="1">{"fdsup://Directions/FactSet Auditing Viewer?action=AUDIT_VALUE&amp;DB=129&amp;ID1=03822W40&amp;VALUEID=02001&amp;SDATE=200402&amp;PERIODTYPE=QTR_STD&amp;SCFT=3&amp;window=popup_no_bar&amp;width=385&amp;height=120&amp;START_MAXIMIZED=FALSE&amp;creator=factset&amp;display_string=Audit"}</definedName>
    <definedName name="_4505__FDSAUDITLINK__" hidden="1">{"fdsup://Directions/FactSet Auditing Viewer?action=AUDIT_VALUE&amp;DB=129&amp;ID1=03822W40&amp;VALUEID=02001&amp;SDATE=200401&amp;PERIODTYPE=QTR_STD&amp;SCFT=3&amp;window=popup_no_bar&amp;width=385&amp;height=120&amp;START_MAXIMIZED=FALSE&amp;creator=factset&amp;display_string=Audit"}</definedName>
    <definedName name="_4506__FDSAUDITLINK__" hidden="1">{"fdsup://Directions/FactSet Auditing Viewer?action=AUDIT_VALUE&amp;DB=129&amp;ID1=03822W40&amp;VALUEID=02001&amp;SDATE=200401&amp;PERIODTYPE=QTR_STD&amp;SCFT=3&amp;window=popup_no_bar&amp;width=385&amp;height=120&amp;START_MAXIMIZED=FALSE&amp;creator=factset&amp;display_string=Audit"}</definedName>
    <definedName name="_4507__FDSAUDITLINK__" hidden="1">{"fdsup://Directions/FactSet Auditing Viewer?action=AUDIT_VALUE&amp;DB=129&amp;ID1=03822210&amp;VALUEID=02001&amp;SDATE=200802&amp;PERIODTYPE=QTR_STD&amp;SCFT=3&amp;window=popup_no_bar&amp;width=385&amp;height=120&amp;START_MAXIMIZED=FALSE&amp;creator=factset&amp;display_string=Audit"}</definedName>
    <definedName name="_4508__FDSAUDITLINK__" hidden="1">{"fdsup://Directions/FactSet Auditing Viewer?action=AUDIT_VALUE&amp;DB=129&amp;ID1=03822210&amp;VALUEID=02001&amp;SDATE=200802&amp;PERIODTYPE=QTR_STD&amp;SCFT=3&amp;window=popup_no_bar&amp;width=385&amp;height=120&amp;START_MAXIMIZED=FALSE&amp;creator=factset&amp;display_string=Audit"}</definedName>
    <definedName name="_4509__FDSAUDITLINK__" hidden="1">{"fdsup://Directions/FactSet Auditing Viewer?action=AUDIT_VALUE&amp;DB=129&amp;ID1=03822210&amp;VALUEID=02001&amp;SDATE=200801&amp;PERIODTYPE=QTR_STD&amp;SCFT=3&amp;window=popup_no_bar&amp;width=385&amp;height=120&amp;START_MAXIMIZED=FALSE&amp;creator=factset&amp;display_string=Audit"}</definedName>
    <definedName name="_451__FDSAUDITLINK__" hidden="1">{"fdsup://Directions/FactSet Auditing Viewer?action=AUDIT_VALUE&amp;DB=129&amp;ID1=92829810&amp;VALUEID=02001&amp;SDATE=201002&amp;PERIODTYPE=QTR_STD&amp;SCFT=3&amp;window=popup_no_bar&amp;width=385&amp;height=120&amp;START_MAXIMIZED=FALSE&amp;creator=factset&amp;display_string=Audit"}</definedName>
    <definedName name="_4510__FDSAUDITLINK__" hidden="1">{"fdsup://Directions/FactSet Auditing Viewer?action=AUDIT_VALUE&amp;DB=129&amp;ID1=03822210&amp;VALUEID=02001&amp;SDATE=200801&amp;PERIODTYPE=QTR_STD&amp;SCFT=3&amp;window=popup_no_bar&amp;width=385&amp;height=120&amp;START_MAXIMIZED=FALSE&amp;creator=factset&amp;display_string=Audit"}</definedName>
    <definedName name="_4511__FDSAUDITLINK__" hidden="1">{"fdsup://Directions/FactSet Auditing Viewer?action=AUDIT_VALUE&amp;DB=129&amp;ID1=03822210&amp;VALUEID=02001&amp;SDATE=200703&amp;PERIODTYPE=QTR_STD&amp;SCFT=3&amp;window=popup_no_bar&amp;width=385&amp;height=120&amp;START_MAXIMIZED=FALSE&amp;creator=factset&amp;display_string=Audit"}</definedName>
    <definedName name="_4512__FDSAUDITLINK__" hidden="1">{"fdsup://Directions/FactSet Auditing Viewer?action=AUDIT_VALUE&amp;DB=129&amp;ID1=03822210&amp;VALUEID=02001&amp;SDATE=200703&amp;PERIODTYPE=QTR_STD&amp;SCFT=3&amp;window=popup_no_bar&amp;width=385&amp;height=120&amp;START_MAXIMIZED=FALSE&amp;creator=factset&amp;display_string=Audit"}</definedName>
    <definedName name="_4513__FDSAUDITLINK__" hidden="1">{"fdsup://Directions/FactSet Auditing Viewer?action=AUDIT_VALUE&amp;DB=129&amp;ID1=03822210&amp;VALUEID=02001&amp;SDATE=200702&amp;PERIODTYPE=QTR_STD&amp;SCFT=3&amp;window=popup_no_bar&amp;width=385&amp;height=120&amp;START_MAXIMIZED=FALSE&amp;creator=factset&amp;display_string=Audit"}</definedName>
    <definedName name="_4514__FDSAUDITLINK__" hidden="1">{"fdsup://Directions/FactSet Auditing Viewer?action=AUDIT_VALUE&amp;DB=129&amp;ID1=03822210&amp;VALUEID=02001&amp;SDATE=200702&amp;PERIODTYPE=QTR_STD&amp;SCFT=3&amp;window=popup_no_bar&amp;width=385&amp;height=120&amp;START_MAXIMIZED=FALSE&amp;creator=factset&amp;display_string=Audit"}</definedName>
    <definedName name="_4515__FDSAUDITLINK__" hidden="1">{"fdsup://Directions/FactSet Auditing Viewer?action=AUDIT_VALUE&amp;DB=129&amp;ID1=03822210&amp;VALUEID=02001&amp;SDATE=200701&amp;PERIODTYPE=QTR_STD&amp;SCFT=3&amp;window=popup_no_bar&amp;width=385&amp;height=120&amp;START_MAXIMIZED=FALSE&amp;creator=factset&amp;display_string=Audit"}</definedName>
    <definedName name="_4516__FDSAUDITLINK__" hidden="1">{"fdsup://Directions/FactSet Auditing Viewer?action=AUDIT_VALUE&amp;DB=129&amp;ID1=03822210&amp;VALUEID=02001&amp;SDATE=200701&amp;PERIODTYPE=QTR_STD&amp;SCFT=3&amp;window=popup_no_bar&amp;width=385&amp;height=120&amp;START_MAXIMIZED=FALSE&amp;creator=factset&amp;display_string=Audit"}</definedName>
    <definedName name="_4517__FDSAUDITLINK__" hidden="1">{"fdsup://Directions/FactSet Auditing Viewer?action=AUDIT_VALUE&amp;DB=129&amp;ID1=03822210&amp;VALUEID=02001&amp;SDATE=200603&amp;PERIODTYPE=QTR_STD&amp;SCFT=3&amp;window=popup_no_bar&amp;width=385&amp;height=120&amp;START_MAXIMIZED=FALSE&amp;creator=factset&amp;display_string=Audit"}</definedName>
    <definedName name="_4518__FDSAUDITLINK__" hidden="1">{"fdsup://Directions/FactSet Auditing Viewer?action=AUDIT_VALUE&amp;DB=129&amp;ID1=03822210&amp;VALUEID=02001&amp;SDATE=200603&amp;PERIODTYPE=QTR_STD&amp;SCFT=3&amp;window=popup_no_bar&amp;width=385&amp;height=120&amp;START_MAXIMIZED=FALSE&amp;creator=factset&amp;display_string=Audit"}</definedName>
    <definedName name="_4519__FDSAUDITLINK__" hidden="1">{"fdsup://Directions/FactSet Auditing Viewer?action=AUDIT_VALUE&amp;DB=129&amp;ID1=03822210&amp;VALUEID=02001&amp;SDATE=200602&amp;PERIODTYPE=QTR_STD&amp;SCFT=3&amp;window=popup_no_bar&amp;width=385&amp;height=120&amp;START_MAXIMIZED=FALSE&amp;creator=factset&amp;display_string=Audit"}</definedName>
    <definedName name="_452__FDSAUDITLINK__" hidden="1">{"fdsup://Directions/FactSet Auditing Viewer?action=AUDIT_VALUE&amp;DB=129&amp;ID1=92829810&amp;VALUEID=02001&amp;SDATE=201002&amp;PERIODTYPE=QTR_STD&amp;SCFT=3&amp;window=popup_no_bar&amp;width=385&amp;height=120&amp;START_MAXIMIZED=FALSE&amp;creator=factset&amp;display_string=Audit"}</definedName>
    <definedName name="_4520__FDSAUDITLINK__" hidden="1">{"fdsup://Directions/FactSet Auditing Viewer?action=AUDIT_VALUE&amp;DB=129&amp;ID1=03822210&amp;VALUEID=02001&amp;SDATE=200602&amp;PERIODTYPE=QTR_STD&amp;SCFT=3&amp;window=popup_no_bar&amp;width=385&amp;height=120&amp;START_MAXIMIZED=FALSE&amp;creator=factset&amp;display_string=Audit"}</definedName>
    <definedName name="_4521__FDSAUDITLINK__" hidden="1">{"fdsup://Directions/FactSet Auditing Viewer?action=AUDIT_VALUE&amp;DB=129&amp;ID1=03822210&amp;VALUEID=02001&amp;SDATE=200601&amp;PERIODTYPE=QTR_STD&amp;SCFT=3&amp;window=popup_no_bar&amp;width=385&amp;height=120&amp;START_MAXIMIZED=FALSE&amp;creator=factset&amp;display_string=Audit"}</definedName>
    <definedName name="_4522__FDSAUDITLINK__" hidden="1">{"fdsup://Directions/FactSet Auditing Viewer?action=AUDIT_VALUE&amp;DB=129&amp;ID1=03822210&amp;VALUEID=02001&amp;SDATE=200601&amp;PERIODTYPE=QTR_STD&amp;SCFT=3&amp;window=popup_no_bar&amp;width=385&amp;height=120&amp;START_MAXIMIZED=FALSE&amp;creator=factset&amp;display_string=Audit"}</definedName>
    <definedName name="_4523__FDSAUDITLINK__" hidden="1">{"fdsup://Directions/FactSet Auditing Viewer?action=AUDIT_VALUE&amp;DB=129&amp;ID1=03822210&amp;VALUEID=02001&amp;SDATE=200503&amp;PERIODTYPE=QTR_STD&amp;SCFT=3&amp;window=popup_no_bar&amp;width=385&amp;height=120&amp;START_MAXIMIZED=FALSE&amp;creator=factset&amp;display_string=Audit"}</definedName>
    <definedName name="_4524__FDSAUDITLINK__" hidden="1">{"fdsup://Directions/FactSet Auditing Viewer?action=AUDIT_VALUE&amp;DB=129&amp;ID1=03822210&amp;VALUEID=02001&amp;SDATE=200503&amp;PERIODTYPE=QTR_STD&amp;SCFT=3&amp;window=popup_no_bar&amp;width=385&amp;height=120&amp;START_MAXIMIZED=FALSE&amp;creator=factset&amp;display_string=Audit"}</definedName>
    <definedName name="_4525__FDSAUDITLINK__" hidden="1">{"fdsup://Directions/FactSet Auditing Viewer?action=AUDIT_VALUE&amp;DB=129&amp;ID1=03822210&amp;VALUEID=02001&amp;SDATE=200502&amp;PERIODTYPE=QTR_STD&amp;SCFT=3&amp;window=popup_no_bar&amp;width=385&amp;height=120&amp;START_MAXIMIZED=FALSE&amp;creator=factset&amp;display_string=Audit"}</definedName>
    <definedName name="_4526__FDSAUDITLINK__" hidden="1">{"fdsup://Directions/FactSet Auditing Viewer?action=AUDIT_VALUE&amp;DB=129&amp;ID1=03822210&amp;VALUEID=02001&amp;SDATE=200502&amp;PERIODTYPE=QTR_STD&amp;SCFT=3&amp;window=popup_no_bar&amp;width=385&amp;height=120&amp;START_MAXIMIZED=FALSE&amp;creator=factset&amp;display_string=Audit"}</definedName>
    <definedName name="_4527__FDSAUDITLINK__" hidden="1">{"fdsup://Directions/FactSet Auditing Viewer?action=AUDIT_VALUE&amp;DB=129&amp;ID1=03822210&amp;VALUEID=02001&amp;SDATE=200501&amp;PERIODTYPE=QTR_STD&amp;SCFT=3&amp;window=popup_no_bar&amp;width=385&amp;height=120&amp;START_MAXIMIZED=FALSE&amp;creator=factset&amp;display_string=Audit"}</definedName>
    <definedName name="_4528__FDSAUDITLINK__" hidden="1">{"fdsup://Directions/FactSet Auditing Viewer?action=AUDIT_VALUE&amp;DB=129&amp;ID1=03822210&amp;VALUEID=02001&amp;SDATE=200501&amp;PERIODTYPE=QTR_STD&amp;SCFT=3&amp;window=popup_no_bar&amp;width=385&amp;height=120&amp;START_MAXIMIZED=FALSE&amp;creator=factset&amp;display_string=Audit"}</definedName>
    <definedName name="_4529__FDSAUDITLINK__" hidden="1">{"fdsup://Directions/FactSet Auditing Viewer?action=AUDIT_VALUE&amp;DB=129&amp;ID1=03822210&amp;VALUEID=02001&amp;SDATE=200403&amp;PERIODTYPE=QTR_STD&amp;SCFT=3&amp;window=popup_no_bar&amp;width=385&amp;height=120&amp;START_MAXIMIZED=FALSE&amp;creator=factset&amp;display_string=Audit"}</definedName>
    <definedName name="_453__FDSAUDITLINK__" hidden="1">{"fdsup://Directions/FactSet Auditing Viewer?action=AUDIT_VALUE&amp;DB=129&amp;ID1=88250810&amp;VALUEID=02001&amp;SDATE=201002&amp;PERIODTYPE=QTR_STD&amp;SCFT=3&amp;window=popup_no_bar&amp;width=385&amp;height=120&amp;START_MAXIMIZED=FALSE&amp;creator=factset&amp;display_string=Audit"}</definedName>
    <definedName name="_4530__FDSAUDITLINK__" hidden="1">{"fdsup://Directions/FactSet Auditing Viewer?action=AUDIT_VALUE&amp;DB=129&amp;ID1=03822210&amp;VALUEID=02001&amp;SDATE=200403&amp;PERIODTYPE=QTR_STD&amp;SCFT=3&amp;window=popup_no_bar&amp;width=385&amp;height=120&amp;START_MAXIMIZED=FALSE&amp;creator=factset&amp;display_string=Audit"}</definedName>
    <definedName name="_4531__FDSAUDITLINK__" hidden="1">{"fdsup://Directions/FactSet Auditing Viewer?action=AUDIT_VALUE&amp;DB=129&amp;ID1=03822210&amp;VALUEID=02001&amp;SDATE=200402&amp;PERIODTYPE=QTR_STD&amp;SCFT=3&amp;window=popup_no_bar&amp;width=385&amp;height=120&amp;START_MAXIMIZED=FALSE&amp;creator=factset&amp;display_string=Audit"}</definedName>
    <definedName name="_4532__FDSAUDITLINK__" hidden="1">{"fdsup://Directions/FactSet Auditing Viewer?action=AUDIT_VALUE&amp;DB=129&amp;ID1=03822210&amp;VALUEID=02001&amp;SDATE=200402&amp;PERIODTYPE=QTR_STD&amp;SCFT=3&amp;window=popup_no_bar&amp;width=385&amp;height=120&amp;START_MAXIMIZED=FALSE&amp;creator=factset&amp;display_string=Audit"}</definedName>
    <definedName name="_4533__FDSAUDITLINK__" hidden="1">{"fdsup://Directions/FactSet Auditing Viewer?action=AUDIT_VALUE&amp;DB=129&amp;ID1=02144110&amp;VALUEID=02001&amp;SDATE=200801&amp;PERIODTYPE=QTR_STD&amp;SCFT=3&amp;window=popup_no_bar&amp;width=385&amp;height=120&amp;START_MAXIMIZED=FALSE&amp;creator=factset&amp;display_string=Audit"}</definedName>
    <definedName name="_4534__FDSAUDITLINK__" hidden="1">{"fdsup://Directions/FactSet Auditing Viewer?action=AUDIT_VALUE&amp;DB=129&amp;ID1=02144110&amp;VALUEID=02001&amp;SDATE=200801&amp;PERIODTYPE=QTR_STD&amp;SCFT=3&amp;window=popup_no_bar&amp;width=385&amp;height=120&amp;START_MAXIMIZED=FALSE&amp;creator=factset&amp;display_string=Audit"}</definedName>
    <definedName name="_4535__FDSAUDITLINK__" hidden="1">{"fdsup://Directions/FactSet Auditing Viewer?action=AUDIT_VALUE&amp;DB=129&amp;ID1=02144110&amp;VALUEID=02001&amp;SDATE=200703&amp;PERIODTYPE=QTR_STD&amp;SCFT=3&amp;window=popup_no_bar&amp;width=385&amp;height=120&amp;START_MAXIMIZED=FALSE&amp;creator=factset&amp;display_string=Audit"}</definedName>
    <definedName name="_4536__FDSAUDITLINK__" hidden="1">{"fdsup://Directions/FactSet Auditing Viewer?action=AUDIT_VALUE&amp;DB=129&amp;ID1=02144110&amp;VALUEID=02001&amp;SDATE=200703&amp;PERIODTYPE=QTR_STD&amp;SCFT=3&amp;window=popup_no_bar&amp;width=385&amp;height=120&amp;START_MAXIMIZED=FALSE&amp;creator=factset&amp;display_string=Audit"}</definedName>
    <definedName name="_4537__FDSAUDITLINK__" hidden="1">{"fdsup://Directions/FactSet Auditing Viewer?action=AUDIT_VALUE&amp;DB=129&amp;ID1=02144110&amp;VALUEID=02001&amp;SDATE=200702&amp;PERIODTYPE=QTR_STD&amp;SCFT=3&amp;window=popup_no_bar&amp;width=385&amp;height=120&amp;START_MAXIMIZED=FALSE&amp;creator=factset&amp;display_string=Audit"}</definedName>
    <definedName name="_4538__FDSAUDITLINK__" hidden="1">{"fdsup://Directions/FactSet Auditing Viewer?action=AUDIT_VALUE&amp;DB=129&amp;ID1=02144110&amp;VALUEID=02001&amp;SDATE=200702&amp;PERIODTYPE=QTR_STD&amp;SCFT=3&amp;window=popup_no_bar&amp;width=385&amp;height=120&amp;START_MAXIMIZED=FALSE&amp;creator=factset&amp;display_string=Audit"}</definedName>
    <definedName name="_4539__FDSAUDITLINK__" hidden="1">{"fdsup://Directions/FactSet Auditing Viewer?action=AUDIT_VALUE&amp;DB=129&amp;ID1=02144110&amp;VALUEID=02001&amp;SDATE=200701&amp;PERIODTYPE=QTR_STD&amp;SCFT=3&amp;window=popup_no_bar&amp;width=385&amp;height=120&amp;START_MAXIMIZED=FALSE&amp;creator=factset&amp;display_string=Audit"}</definedName>
    <definedName name="_454__FDSAUDITLINK__" hidden="1">{"fdsup://Directions/FactSet Auditing Viewer?action=AUDIT_VALUE&amp;DB=129&amp;ID1=88250810&amp;VALUEID=02001&amp;SDATE=201002&amp;PERIODTYPE=QTR_STD&amp;SCFT=3&amp;window=popup_no_bar&amp;width=385&amp;height=120&amp;START_MAXIMIZED=FALSE&amp;creator=factset&amp;display_string=Audit"}</definedName>
    <definedName name="_4540__FDSAUDITLINK__" hidden="1">{"fdsup://Directions/FactSet Auditing Viewer?action=AUDIT_VALUE&amp;DB=129&amp;ID1=02144110&amp;VALUEID=02001&amp;SDATE=200701&amp;PERIODTYPE=QTR_STD&amp;SCFT=3&amp;window=popup_no_bar&amp;width=385&amp;height=120&amp;START_MAXIMIZED=FALSE&amp;creator=factset&amp;display_string=Audit"}</definedName>
    <definedName name="_4541__FDSAUDITLINK__" hidden="1">{"fdsup://Directions/FactSet Auditing Viewer?action=AUDIT_VALUE&amp;DB=129&amp;ID1=02144110&amp;VALUEID=02001&amp;SDATE=200603&amp;PERIODTYPE=QTR_STD&amp;SCFT=3&amp;window=popup_no_bar&amp;width=385&amp;height=120&amp;START_MAXIMIZED=FALSE&amp;creator=factset&amp;display_string=Audit"}</definedName>
    <definedName name="_4542__FDSAUDITLINK__" hidden="1">{"fdsup://Directions/FactSet Auditing Viewer?action=AUDIT_VALUE&amp;DB=129&amp;ID1=02144110&amp;VALUEID=02001&amp;SDATE=200603&amp;PERIODTYPE=QTR_STD&amp;SCFT=3&amp;window=popup_no_bar&amp;width=385&amp;height=120&amp;START_MAXIMIZED=FALSE&amp;creator=factset&amp;display_string=Audit"}</definedName>
    <definedName name="_4543__FDSAUDITLINK__" hidden="1">{"fdsup://Directions/FactSet Auditing Viewer?action=AUDIT_VALUE&amp;DB=129&amp;ID1=02144110&amp;VALUEID=02001&amp;SDATE=200602&amp;PERIODTYPE=QTR_STD&amp;SCFT=3&amp;window=popup_no_bar&amp;width=385&amp;height=120&amp;START_MAXIMIZED=FALSE&amp;creator=factset&amp;display_string=Audit"}</definedName>
    <definedName name="_4544__FDSAUDITLINK__" hidden="1">{"fdsup://Directions/FactSet Auditing Viewer?action=AUDIT_VALUE&amp;DB=129&amp;ID1=02144110&amp;VALUEID=02001&amp;SDATE=200602&amp;PERIODTYPE=QTR_STD&amp;SCFT=3&amp;window=popup_no_bar&amp;width=385&amp;height=120&amp;START_MAXIMIZED=FALSE&amp;creator=factset&amp;display_string=Audit"}</definedName>
    <definedName name="_4545__FDSAUDITLINK__" hidden="1">{"fdsup://Directions/FactSet Auditing Viewer?action=AUDIT_VALUE&amp;DB=129&amp;ID1=02144110&amp;VALUEID=02001&amp;SDATE=200601&amp;PERIODTYPE=QTR_STD&amp;SCFT=3&amp;window=popup_no_bar&amp;width=385&amp;height=120&amp;START_MAXIMIZED=FALSE&amp;creator=factset&amp;display_string=Audit"}</definedName>
    <definedName name="_4546__FDSAUDITLINK__" hidden="1">{"fdsup://Directions/FactSet Auditing Viewer?action=AUDIT_VALUE&amp;DB=129&amp;ID1=02144110&amp;VALUEID=02001&amp;SDATE=200601&amp;PERIODTYPE=QTR_STD&amp;SCFT=3&amp;window=popup_no_bar&amp;width=385&amp;height=120&amp;START_MAXIMIZED=FALSE&amp;creator=factset&amp;display_string=Audit"}</definedName>
    <definedName name="_4547__FDSAUDITLINK__" hidden="1">{"fdsup://Directions/FactSet Auditing Viewer?action=AUDIT_VALUE&amp;DB=129&amp;ID1=02144110&amp;VALUEID=02001&amp;SDATE=200503&amp;PERIODTYPE=QTR_STD&amp;SCFT=3&amp;window=popup_no_bar&amp;width=385&amp;height=120&amp;START_MAXIMIZED=FALSE&amp;creator=factset&amp;display_string=Audit"}</definedName>
    <definedName name="_4548__FDSAUDITLINK__" hidden="1">{"fdsup://Directions/FactSet Auditing Viewer?action=AUDIT_VALUE&amp;DB=129&amp;ID1=02144110&amp;VALUEID=02001&amp;SDATE=200503&amp;PERIODTYPE=QTR_STD&amp;SCFT=3&amp;window=popup_no_bar&amp;width=385&amp;height=120&amp;START_MAXIMIZED=FALSE&amp;creator=factset&amp;display_string=Audit"}</definedName>
    <definedName name="_4549__FDSAUDITLINK__" hidden="1">{"fdsup://Directions/FactSet Auditing Viewer?action=AUDIT_VALUE&amp;DB=129&amp;ID1=02144110&amp;VALUEID=02001&amp;SDATE=200502&amp;PERIODTYPE=QTR_STD&amp;SCFT=3&amp;window=popup_no_bar&amp;width=385&amp;height=120&amp;START_MAXIMIZED=FALSE&amp;creator=factset&amp;display_string=Audit"}</definedName>
    <definedName name="_455__FDSAUDITLINK__" hidden="1">{"fdsup://Directions/FactSet Auditing Viewer?action=AUDIT_VALUE&amp;DB=129&amp;ID1=89674K10&amp;VALUEID=02001&amp;SDATE=201002&amp;PERIODTYPE=QTR_STD&amp;SCFT=3&amp;window=popup_no_bar&amp;width=385&amp;height=120&amp;START_MAXIMIZED=FALSE&amp;creator=factset&amp;display_string=Audit"}</definedName>
    <definedName name="_4550__FDSAUDITLINK__" hidden="1">{"fdsup://Directions/FactSet Auditing Viewer?action=AUDIT_VALUE&amp;DB=129&amp;ID1=02144110&amp;VALUEID=02001&amp;SDATE=200502&amp;PERIODTYPE=QTR_STD&amp;SCFT=3&amp;window=popup_no_bar&amp;width=385&amp;height=120&amp;START_MAXIMIZED=FALSE&amp;creator=factset&amp;display_string=Audit"}</definedName>
    <definedName name="_4551__FDSAUDITLINK__" hidden="1">{"fdsup://Directions/FactSet Auditing Viewer?action=AUDIT_VALUE&amp;DB=129&amp;ID1=02144110&amp;VALUEID=02001&amp;SDATE=200501&amp;PERIODTYPE=QTR_STD&amp;SCFT=3&amp;window=popup_no_bar&amp;width=385&amp;height=120&amp;START_MAXIMIZED=FALSE&amp;creator=factset&amp;display_string=Audit"}</definedName>
    <definedName name="_4552__FDSAUDITLINK__" hidden="1">{"fdsup://Directions/FactSet Auditing Viewer?action=AUDIT_VALUE&amp;DB=129&amp;ID1=02144110&amp;VALUEID=02001&amp;SDATE=200501&amp;PERIODTYPE=QTR_STD&amp;SCFT=3&amp;window=popup_no_bar&amp;width=385&amp;height=120&amp;START_MAXIMIZED=FALSE&amp;creator=factset&amp;display_string=Audit"}</definedName>
    <definedName name="_4553__FDSAUDITLINK__" hidden="1">{"fdsup://Directions/FactSet Auditing Viewer?action=AUDIT_VALUE&amp;DB=129&amp;ID1=02144110&amp;VALUEID=02001&amp;SDATE=200403&amp;PERIODTYPE=QTR_STD&amp;SCFT=3&amp;window=popup_no_bar&amp;width=385&amp;height=120&amp;START_MAXIMIZED=FALSE&amp;creator=factset&amp;display_string=Audit"}</definedName>
    <definedName name="_4554__FDSAUDITLINK__" hidden="1">{"fdsup://Directions/FactSet Auditing Viewer?action=AUDIT_VALUE&amp;DB=129&amp;ID1=02144110&amp;VALUEID=02001&amp;SDATE=200403&amp;PERIODTYPE=QTR_STD&amp;SCFT=3&amp;window=popup_no_bar&amp;width=385&amp;height=120&amp;START_MAXIMIZED=FALSE&amp;creator=factset&amp;display_string=Audit"}</definedName>
    <definedName name="_4555__FDSAUDITLINK__" hidden="1">{"fdsup://Directions/FactSet Auditing Viewer?action=AUDIT_VALUE&amp;DB=129&amp;ID1=02144110&amp;VALUEID=02001&amp;SDATE=200402&amp;PERIODTYPE=QTR_STD&amp;SCFT=3&amp;window=popup_no_bar&amp;width=385&amp;height=120&amp;START_MAXIMIZED=FALSE&amp;creator=factset&amp;display_string=Audit"}</definedName>
    <definedName name="_4556__FDSAUDITLINK__" hidden="1">{"fdsup://Directions/FactSet Auditing Viewer?action=AUDIT_VALUE&amp;DB=129&amp;ID1=02144110&amp;VALUEID=02001&amp;SDATE=200402&amp;PERIODTYPE=QTR_STD&amp;SCFT=3&amp;window=popup_no_bar&amp;width=385&amp;height=120&amp;START_MAXIMIZED=FALSE&amp;creator=factset&amp;display_string=Audit"}</definedName>
    <definedName name="_4557__FDSAUDITLINK__" hidden="1">{"fdsup://Directions/FactSet Auditing Viewer?action=AUDIT_VALUE&amp;DB=129&amp;ID1=02144110&amp;VALUEID=02001&amp;SDATE=200401&amp;PERIODTYPE=QTR_STD&amp;SCFT=3&amp;window=popup_no_bar&amp;width=385&amp;height=120&amp;START_MAXIMIZED=FALSE&amp;creator=factset&amp;display_string=Audit"}</definedName>
    <definedName name="_4558__FDSAUDITLINK__" hidden="1">{"fdsup://Directions/FactSet Auditing Viewer?action=AUDIT_VALUE&amp;DB=129&amp;ID1=02144110&amp;VALUEID=02001&amp;SDATE=200401&amp;PERIODTYPE=QTR_STD&amp;SCFT=3&amp;window=popup_no_bar&amp;width=385&amp;height=120&amp;START_MAXIMIZED=FALSE&amp;creator=factset&amp;display_string=Audit"}</definedName>
    <definedName name="_4559__FDSAUDITLINK__" hidden="1">{"fdsup://Directions/FactSet Auditing Viewer?action=AUDIT_VALUE&amp;DB=129&amp;ID1=03265410&amp;VALUEID=02001&amp;SDATE=200802&amp;PERIODTYPE=QTR_STD&amp;SCFT=3&amp;window=popup_no_bar&amp;width=385&amp;height=120&amp;START_MAXIMIZED=FALSE&amp;creator=factset&amp;display_string=Audit"}</definedName>
    <definedName name="_456__FDSAUDITLINK__" hidden="1">{"fdsup://Directions/FactSet Auditing Viewer?action=AUDIT_VALUE&amp;DB=129&amp;ID1=89674K10&amp;VALUEID=02001&amp;SDATE=201002&amp;PERIODTYPE=QTR_STD&amp;SCFT=3&amp;window=popup_no_bar&amp;width=385&amp;height=120&amp;START_MAXIMIZED=FALSE&amp;creator=factset&amp;display_string=Audit"}</definedName>
    <definedName name="_4560__FDSAUDITLINK__" hidden="1">{"fdsup://Directions/FactSet Auditing Viewer?action=AUDIT_VALUE&amp;DB=129&amp;ID1=03265410&amp;VALUEID=02001&amp;SDATE=200802&amp;PERIODTYPE=QTR_STD&amp;SCFT=3&amp;window=popup_no_bar&amp;width=385&amp;height=120&amp;START_MAXIMIZED=FALSE&amp;creator=factset&amp;display_string=Audit"}</definedName>
    <definedName name="_4561__FDSAUDITLINK__" hidden="1">{"fdsup://Directions/FactSet Auditing Viewer?action=AUDIT_VALUE&amp;DB=129&amp;ID1=03265410&amp;VALUEID=02001&amp;SDATE=200801&amp;PERIODTYPE=QTR_STD&amp;SCFT=3&amp;window=popup_no_bar&amp;width=385&amp;height=120&amp;START_MAXIMIZED=FALSE&amp;creator=factset&amp;display_string=Audit"}</definedName>
    <definedName name="_4562__FDSAUDITLINK__" hidden="1">{"fdsup://Directions/FactSet Auditing Viewer?action=AUDIT_VALUE&amp;DB=129&amp;ID1=03265410&amp;VALUEID=02001&amp;SDATE=200801&amp;PERIODTYPE=QTR_STD&amp;SCFT=3&amp;window=popup_no_bar&amp;width=385&amp;height=120&amp;START_MAXIMIZED=FALSE&amp;creator=factset&amp;display_string=Audit"}</definedName>
    <definedName name="_4563__FDSAUDITLINK__" hidden="1">{"fdsup://Directions/FactSet Auditing Viewer?action=AUDIT_VALUE&amp;DB=129&amp;ID1=03265410&amp;VALUEID=02001&amp;SDATE=200703&amp;PERIODTYPE=QTR_STD&amp;SCFT=3&amp;window=popup_no_bar&amp;width=385&amp;height=120&amp;START_MAXIMIZED=FALSE&amp;creator=factset&amp;display_string=Audit"}</definedName>
    <definedName name="_4564__FDSAUDITLINK__" hidden="1">{"fdsup://Directions/FactSet Auditing Viewer?action=AUDIT_VALUE&amp;DB=129&amp;ID1=03265410&amp;VALUEID=02001&amp;SDATE=200703&amp;PERIODTYPE=QTR_STD&amp;SCFT=3&amp;window=popup_no_bar&amp;width=385&amp;height=120&amp;START_MAXIMIZED=FALSE&amp;creator=factset&amp;display_string=Audit"}</definedName>
    <definedName name="_4565__FDSAUDITLINK__" hidden="1">{"fdsup://Directions/FactSet Auditing Viewer?action=AUDIT_VALUE&amp;DB=129&amp;ID1=03265410&amp;VALUEID=02001&amp;SDATE=200702&amp;PERIODTYPE=QTR_STD&amp;SCFT=3&amp;window=popup_no_bar&amp;width=385&amp;height=120&amp;START_MAXIMIZED=FALSE&amp;creator=factset&amp;display_string=Audit"}</definedName>
    <definedName name="_4566__FDSAUDITLINK__" hidden="1">{"fdsup://Directions/FactSet Auditing Viewer?action=AUDIT_VALUE&amp;DB=129&amp;ID1=03265410&amp;VALUEID=02001&amp;SDATE=200702&amp;PERIODTYPE=QTR_STD&amp;SCFT=3&amp;window=popup_no_bar&amp;width=385&amp;height=120&amp;START_MAXIMIZED=FALSE&amp;creator=factset&amp;display_string=Audit"}</definedName>
    <definedName name="_4567__FDSAUDITLINK__" hidden="1">{"fdsup://Directions/FactSet Auditing Viewer?action=AUDIT_VALUE&amp;DB=129&amp;ID1=03265410&amp;VALUEID=02001&amp;SDATE=200701&amp;PERIODTYPE=QTR_STD&amp;SCFT=3&amp;window=popup_no_bar&amp;width=385&amp;height=120&amp;START_MAXIMIZED=FALSE&amp;creator=factset&amp;display_string=Audit"}</definedName>
    <definedName name="_4568__FDSAUDITLINK__" hidden="1">{"fdsup://Directions/FactSet Auditing Viewer?action=AUDIT_VALUE&amp;DB=129&amp;ID1=03265410&amp;VALUEID=02001&amp;SDATE=200701&amp;PERIODTYPE=QTR_STD&amp;SCFT=3&amp;window=popup_no_bar&amp;width=385&amp;height=120&amp;START_MAXIMIZED=FALSE&amp;creator=factset&amp;display_string=Audit"}</definedName>
    <definedName name="_4569__FDSAUDITLINK__" hidden="1">{"fdsup://Directions/FactSet Auditing Viewer?action=AUDIT_VALUE&amp;DB=129&amp;ID1=03265410&amp;VALUEID=02001&amp;SDATE=200603&amp;PERIODTYPE=QTR_STD&amp;SCFT=3&amp;window=popup_no_bar&amp;width=385&amp;height=120&amp;START_MAXIMIZED=FALSE&amp;creator=factset&amp;display_string=Audit"}</definedName>
    <definedName name="_457__FDSAUDITLINK__" hidden="1">{"fdsup://Directions/FactSet Auditing Viewer?action=AUDIT_VALUE&amp;DB=129&amp;ID1=83088M10&amp;VALUEID=02001&amp;SDATE=201003&amp;PERIODTYPE=QTR_STD&amp;SCFT=3&amp;window=popup_no_bar&amp;width=385&amp;height=120&amp;START_MAXIMIZED=FALSE&amp;creator=factset&amp;display_string=Audit"}</definedName>
    <definedName name="_4570__FDSAUDITLINK__" hidden="1">{"fdsup://Directions/FactSet Auditing Viewer?action=AUDIT_VALUE&amp;DB=129&amp;ID1=03265410&amp;VALUEID=02001&amp;SDATE=200603&amp;PERIODTYPE=QTR_STD&amp;SCFT=3&amp;window=popup_no_bar&amp;width=385&amp;height=120&amp;START_MAXIMIZED=FALSE&amp;creator=factset&amp;display_string=Audit"}</definedName>
    <definedName name="_4571__FDSAUDITLINK__" hidden="1">{"fdsup://Directions/FactSet Auditing Viewer?action=AUDIT_VALUE&amp;DB=129&amp;ID1=03265410&amp;VALUEID=02001&amp;SDATE=200601&amp;PERIODTYPE=QTR_STD&amp;SCFT=3&amp;window=popup_no_bar&amp;width=385&amp;height=120&amp;START_MAXIMIZED=FALSE&amp;creator=factset&amp;display_string=Audit"}</definedName>
    <definedName name="_4572__FDSAUDITLINK__" hidden="1">{"fdsup://Directions/FactSet Auditing Viewer?action=AUDIT_VALUE&amp;DB=129&amp;ID1=03265410&amp;VALUEID=02001&amp;SDATE=200601&amp;PERIODTYPE=QTR_STD&amp;SCFT=3&amp;window=popup_no_bar&amp;width=385&amp;height=120&amp;START_MAXIMIZED=FALSE&amp;creator=factset&amp;display_string=Audit"}</definedName>
    <definedName name="_4573__FDSAUDITLINK__" hidden="1">{"fdsup://Directions/FactSet Auditing Viewer?action=AUDIT_VALUE&amp;DB=129&amp;ID1=03265410&amp;VALUEID=02001&amp;SDATE=200503&amp;PERIODTYPE=QTR_STD&amp;SCFT=3&amp;window=popup_no_bar&amp;width=385&amp;height=120&amp;START_MAXIMIZED=FALSE&amp;creator=factset&amp;display_string=Audit"}</definedName>
    <definedName name="_4574__FDSAUDITLINK__" hidden="1">{"fdsup://Directions/FactSet Auditing Viewer?action=AUDIT_VALUE&amp;DB=129&amp;ID1=03265410&amp;VALUEID=02001&amp;SDATE=200503&amp;PERIODTYPE=QTR_STD&amp;SCFT=3&amp;window=popup_no_bar&amp;width=385&amp;height=120&amp;START_MAXIMIZED=FALSE&amp;creator=factset&amp;display_string=Audit"}</definedName>
    <definedName name="_4575__FDSAUDITLINK__" hidden="1">{"fdsup://Directions/FactSet Auditing Viewer?action=AUDIT_VALUE&amp;DB=129&amp;ID1=03265410&amp;VALUEID=02001&amp;SDATE=200502&amp;PERIODTYPE=QTR_STD&amp;SCFT=3&amp;window=popup_no_bar&amp;width=385&amp;height=120&amp;START_MAXIMIZED=FALSE&amp;creator=factset&amp;display_string=Audit"}</definedName>
    <definedName name="_4576__FDSAUDITLINK__" hidden="1">{"fdsup://Directions/FactSet Auditing Viewer?action=AUDIT_VALUE&amp;DB=129&amp;ID1=03265410&amp;VALUEID=02001&amp;SDATE=200502&amp;PERIODTYPE=QTR_STD&amp;SCFT=3&amp;window=popup_no_bar&amp;width=385&amp;height=120&amp;START_MAXIMIZED=FALSE&amp;creator=factset&amp;display_string=Audit"}</definedName>
    <definedName name="_4577__FDSAUDITLINK__" hidden="1">{"fdsup://Directions/FactSet Auditing Viewer?action=AUDIT_VALUE&amp;DB=129&amp;ID1=03265410&amp;VALUEID=02001&amp;SDATE=200501&amp;PERIODTYPE=QTR_STD&amp;SCFT=3&amp;window=popup_no_bar&amp;width=385&amp;height=120&amp;START_MAXIMIZED=FALSE&amp;creator=factset&amp;display_string=Audit"}</definedName>
    <definedName name="_4578__FDSAUDITLINK__" hidden="1">{"fdsup://Directions/FactSet Auditing Viewer?action=AUDIT_VALUE&amp;DB=129&amp;ID1=03265410&amp;VALUEID=02001&amp;SDATE=200501&amp;PERIODTYPE=QTR_STD&amp;SCFT=3&amp;window=popup_no_bar&amp;width=385&amp;height=120&amp;START_MAXIMIZED=FALSE&amp;creator=factset&amp;display_string=Audit"}</definedName>
    <definedName name="_4579__FDSAUDITLINK__" hidden="1">{"fdsup://Directions/FactSet Auditing Viewer?action=AUDIT_VALUE&amp;DB=129&amp;ID1=03265410&amp;VALUEID=02001&amp;SDATE=200403&amp;PERIODTYPE=QTR_STD&amp;SCFT=3&amp;window=popup_no_bar&amp;width=385&amp;height=120&amp;START_MAXIMIZED=FALSE&amp;creator=factset&amp;display_string=Audit"}</definedName>
    <definedName name="_458__FDSAUDITLINK__" hidden="1">{"fdsup://Directions/FactSet Auditing Viewer?action=AUDIT_VALUE&amp;DB=129&amp;ID1=83088M10&amp;VALUEID=02001&amp;SDATE=201003&amp;PERIODTYPE=QTR_STD&amp;SCFT=3&amp;window=popup_no_bar&amp;width=385&amp;height=120&amp;START_MAXIMIZED=FALSE&amp;creator=factset&amp;display_string=Audit"}</definedName>
    <definedName name="_4580__FDSAUDITLINK__" hidden="1">{"fdsup://Directions/FactSet Auditing Viewer?action=AUDIT_VALUE&amp;DB=129&amp;ID1=03265410&amp;VALUEID=02001&amp;SDATE=200403&amp;PERIODTYPE=QTR_STD&amp;SCFT=3&amp;window=popup_no_bar&amp;width=385&amp;height=120&amp;START_MAXIMIZED=FALSE&amp;creator=factset&amp;display_string=Audit"}</definedName>
    <definedName name="_4581__FDSAUDITLINK__" hidden="1">{"fdsup://Directions/FactSet Auditing Viewer?action=AUDIT_VALUE&amp;DB=129&amp;ID1=03265410&amp;VALUEID=02001&amp;SDATE=200402&amp;PERIODTYPE=QTR_STD&amp;SCFT=3&amp;window=popup_no_bar&amp;width=385&amp;height=120&amp;START_MAXIMIZED=FALSE&amp;creator=factset&amp;display_string=Audit"}</definedName>
    <definedName name="_4582__FDSAUDITLINK__" hidden="1">{"fdsup://Directions/FactSet Auditing Viewer?action=AUDIT_VALUE&amp;DB=129&amp;ID1=03265410&amp;VALUEID=02001&amp;SDATE=200402&amp;PERIODTYPE=QTR_STD&amp;SCFT=3&amp;window=popup_no_bar&amp;width=385&amp;height=120&amp;START_MAXIMIZED=FALSE&amp;creator=factset&amp;display_string=Audit"}</definedName>
    <definedName name="_4583__FDSAUDITLINK__" hidden="1">{"fdsup://Directions/FactSet Auditing Viewer?action=AUDIT_VALUE&amp;DB=129&amp;ID1=00752J10&amp;VALUEID=02001&amp;SDATE=200801&amp;PERIODTYPE=QTR_STD&amp;SCFT=3&amp;window=popup_no_bar&amp;width=385&amp;height=120&amp;START_MAXIMIZED=FALSE&amp;creator=factset&amp;display_string=Audit"}</definedName>
    <definedName name="_4584__FDSAUDITLINK__" hidden="1">{"fdsup://Directions/FactSet Auditing Viewer?action=AUDIT_VALUE&amp;DB=129&amp;ID1=00752J10&amp;VALUEID=02001&amp;SDATE=200801&amp;PERIODTYPE=QTR_STD&amp;SCFT=3&amp;window=popup_no_bar&amp;width=385&amp;height=120&amp;START_MAXIMIZED=FALSE&amp;creator=factset&amp;display_string=Audit"}</definedName>
    <definedName name="_4585__FDSAUDITLINK__" hidden="1">{"fdsup://Directions/FactSet Auditing Viewer?action=AUDIT_VALUE&amp;DB=129&amp;ID1=00752J10&amp;VALUEID=02001&amp;SDATE=200703&amp;PERIODTYPE=QTR_STD&amp;SCFT=3&amp;window=popup_no_bar&amp;width=385&amp;height=120&amp;START_MAXIMIZED=FALSE&amp;creator=factset&amp;display_string=Audit"}</definedName>
    <definedName name="_4586__FDSAUDITLINK__" hidden="1">{"fdsup://Directions/FactSet Auditing Viewer?action=AUDIT_VALUE&amp;DB=129&amp;ID1=00752J10&amp;VALUEID=02001&amp;SDATE=200703&amp;PERIODTYPE=QTR_STD&amp;SCFT=3&amp;window=popup_no_bar&amp;width=385&amp;height=120&amp;START_MAXIMIZED=FALSE&amp;creator=factset&amp;display_string=Audit"}</definedName>
    <definedName name="_4587__FDSAUDITLINK__" hidden="1">{"fdsup://Directions/FactSet Auditing Viewer?action=AUDIT_VALUE&amp;DB=129&amp;ID1=00752J10&amp;VALUEID=02001&amp;SDATE=200702&amp;PERIODTYPE=QTR_STD&amp;SCFT=3&amp;window=popup_no_bar&amp;width=385&amp;height=120&amp;START_MAXIMIZED=FALSE&amp;creator=factset&amp;display_string=Audit"}</definedName>
    <definedName name="_4588__FDSAUDITLINK__" hidden="1">{"fdsup://Directions/FactSet Auditing Viewer?action=AUDIT_VALUE&amp;DB=129&amp;ID1=00752J10&amp;VALUEID=02001&amp;SDATE=200702&amp;PERIODTYPE=QTR_STD&amp;SCFT=3&amp;window=popup_no_bar&amp;width=385&amp;height=120&amp;START_MAXIMIZED=FALSE&amp;creator=factset&amp;display_string=Audit"}</definedName>
    <definedName name="_4589__FDSAUDITLINK__" hidden="1">{"fdsup://Directions/FactSet Auditing Viewer?action=AUDIT_VALUE&amp;DB=129&amp;ID1=00752J10&amp;VALUEID=02001&amp;SDATE=200701&amp;PERIODTYPE=QTR_STD&amp;SCFT=3&amp;window=popup_no_bar&amp;width=385&amp;height=120&amp;START_MAXIMIZED=FALSE&amp;creator=factset&amp;display_string=Audit"}</definedName>
    <definedName name="_459__FDSAUDITLINK__" hidden="1">{"fdsup://Directions/FactSet Auditing Viewer?action=AUDIT_VALUE&amp;DB=129&amp;ID1=G7945M10&amp;VALUEID=02001&amp;SDATE=201004&amp;PERIODTYPE=QTR_STD&amp;SCFT=3&amp;window=popup_no_bar&amp;width=385&amp;height=120&amp;START_MAXIMIZED=FALSE&amp;creator=factset&amp;display_string=Audit"}</definedName>
    <definedName name="_4590__FDSAUDITLINK__" hidden="1">{"fdsup://Directions/FactSet Auditing Viewer?action=AUDIT_VALUE&amp;DB=129&amp;ID1=00752J10&amp;VALUEID=02001&amp;SDATE=200701&amp;PERIODTYPE=QTR_STD&amp;SCFT=3&amp;window=popup_no_bar&amp;width=385&amp;height=120&amp;START_MAXIMIZED=FALSE&amp;creator=factset&amp;display_string=Audit"}</definedName>
    <definedName name="_4591__FDSAUDITLINK__" hidden="1">{"fdsup://Directions/FactSet Auditing Viewer?action=AUDIT_VALUE&amp;DB=129&amp;ID1=00752J10&amp;VALUEID=02001&amp;SDATE=200603&amp;PERIODTYPE=QTR_STD&amp;SCFT=3&amp;window=popup_no_bar&amp;width=385&amp;height=120&amp;START_MAXIMIZED=FALSE&amp;creator=factset&amp;display_string=Audit"}</definedName>
    <definedName name="_4592__FDSAUDITLINK__" hidden="1">{"fdsup://Directions/FactSet Auditing Viewer?action=AUDIT_VALUE&amp;DB=129&amp;ID1=00752J10&amp;VALUEID=02001&amp;SDATE=200603&amp;PERIODTYPE=QTR_STD&amp;SCFT=3&amp;window=popup_no_bar&amp;width=385&amp;height=120&amp;START_MAXIMIZED=FALSE&amp;creator=factset&amp;display_string=Audit"}</definedName>
    <definedName name="_4593__FDSAUDITLINK__" hidden="1">{"fdsup://Directions/FactSet Auditing Viewer?action=AUDIT_VALUE&amp;DB=129&amp;ID1=00752J10&amp;VALUEID=02001&amp;SDATE=200602&amp;PERIODTYPE=QTR_STD&amp;SCFT=3&amp;window=popup_no_bar&amp;width=385&amp;height=120&amp;START_MAXIMIZED=FALSE&amp;creator=factset&amp;display_string=Audit"}</definedName>
    <definedName name="_4594__FDSAUDITLINK__" hidden="1">{"fdsup://Directions/FactSet Auditing Viewer?action=AUDIT_VALUE&amp;DB=129&amp;ID1=00752J10&amp;VALUEID=02001&amp;SDATE=200602&amp;PERIODTYPE=QTR_STD&amp;SCFT=3&amp;window=popup_no_bar&amp;width=385&amp;height=120&amp;START_MAXIMIZED=FALSE&amp;creator=factset&amp;display_string=Audit"}</definedName>
    <definedName name="_4595__FDSAUDITLINK__" hidden="1">{"fdsup://Directions/FactSet Auditing Viewer?action=AUDIT_VALUE&amp;DB=129&amp;ID1=00752J10&amp;VALUEID=02001&amp;SDATE=200601&amp;PERIODTYPE=QTR_STD&amp;SCFT=3&amp;window=popup_no_bar&amp;width=385&amp;height=120&amp;START_MAXIMIZED=FALSE&amp;creator=factset&amp;display_string=Audit"}</definedName>
    <definedName name="_4596__FDSAUDITLINK__" hidden="1">{"fdsup://Directions/FactSet Auditing Viewer?action=AUDIT_VALUE&amp;DB=129&amp;ID1=00752J10&amp;VALUEID=02001&amp;SDATE=200601&amp;PERIODTYPE=QTR_STD&amp;SCFT=3&amp;window=popup_no_bar&amp;width=385&amp;height=120&amp;START_MAXIMIZED=FALSE&amp;creator=factset&amp;display_string=Audit"}</definedName>
    <definedName name="_4597__FDSAUDITLINK__" hidden="1">{"fdsup://Directions/FactSet Auditing Viewer?action=AUDIT_VALUE&amp;DB=129&amp;ID1=00752J10&amp;VALUEID=02001&amp;SDATE=200503&amp;PERIODTYPE=QTR_STD&amp;SCFT=3&amp;window=popup_no_bar&amp;width=385&amp;height=120&amp;START_MAXIMIZED=FALSE&amp;creator=factset&amp;display_string=Audit"}</definedName>
    <definedName name="_4598__FDSAUDITLINK__" hidden="1">{"fdsup://Directions/FactSet Auditing Viewer?action=AUDIT_VALUE&amp;DB=129&amp;ID1=00752J10&amp;VALUEID=02001&amp;SDATE=200503&amp;PERIODTYPE=QTR_STD&amp;SCFT=3&amp;window=popup_no_bar&amp;width=385&amp;height=120&amp;START_MAXIMIZED=FALSE&amp;creator=factset&amp;display_string=Audit"}</definedName>
    <definedName name="_4599__FDSAUDITLINK__" hidden="1">{"fdsup://Directions/FactSet Auditing Viewer?action=AUDIT_VALUE&amp;DB=129&amp;ID1=00752J10&amp;VALUEID=02001&amp;SDATE=200502&amp;PERIODTYPE=QTR_STD&amp;SCFT=3&amp;window=popup_no_bar&amp;width=385&amp;height=120&amp;START_MAXIMIZED=FALSE&amp;creator=factset&amp;display_string=Audit"}</definedName>
    <definedName name="_46__FDSAUDITLINK__" hidden="1">{"fdsup://Directions/FactSet Auditing Viewer?action=AUDIT_VALUE&amp;DB=129&amp;ID1=73927610&amp;VALUEID=02001&amp;SDATE=201101&amp;PERIODTYPE=QTR_STD&amp;SCFT=3&amp;window=popup_no_bar&amp;width=385&amp;height=120&amp;START_MAXIMIZED=FALSE&amp;creator=factset&amp;display_string=Audit"}</definedName>
    <definedName name="_460__FDSAUDITLINK__" hidden="1">{"fdsup://Directions/FactSet Auditing Viewer?action=AUDIT_VALUE&amp;DB=129&amp;ID1=G7945M10&amp;VALUEID=02001&amp;SDATE=201004&amp;PERIODTYPE=QTR_STD&amp;SCFT=3&amp;window=popup_no_bar&amp;width=385&amp;height=120&amp;START_MAXIMIZED=FALSE&amp;creator=factset&amp;display_string=Audit"}</definedName>
    <definedName name="_4600__FDSAUDITLINK__" hidden="1">{"fdsup://Directions/FactSet Auditing Viewer?action=AUDIT_VALUE&amp;DB=129&amp;ID1=00752J10&amp;VALUEID=02001&amp;SDATE=200502&amp;PERIODTYPE=QTR_STD&amp;SCFT=3&amp;window=popup_no_bar&amp;width=385&amp;height=120&amp;START_MAXIMIZED=FALSE&amp;creator=factset&amp;display_string=Audit"}</definedName>
    <definedName name="_4601__FDSAUDITLINK__" hidden="1">{"fdsup://Directions/FactSet Auditing Viewer?action=AUDIT_VALUE&amp;DB=129&amp;ID1=03265410&amp;VALUEID=02001&amp;SDATE=201102&amp;PERIODTYPE=QTR_STD&amp;SCFT=3&amp;window=popup_no_bar&amp;width=385&amp;height=120&amp;START_MAXIMIZED=FALSE&amp;creator=factset&amp;display_string=Audit"}</definedName>
    <definedName name="_4602__FDSAUDITLINK__" hidden="1">{"fdsup://Directions/FactSet Auditing Viewer?action=AUDIT_VALUE&amp;DB=129&amp;ID1=03265410&amp;VALUEID=05194&amp;SDATE=201102&amp;PERIODTYPE=QTR_STD&amp;SCFT=3&amp;window=popup_no_bar&amp;width=385&amp;height=120&amp;START_MAXIMIZED=FALSE&amp;creator=factset&amp;display_string=Audit"}</definedName>
    <definedName name="_4603__FDSAUDITLINK__" hidden="1">{"fdsup://Directions/FactSet Auditing Viewer?action=AUDIT_VALUE&amp;DB=129&amp;ID1=74752510&amp;VALUEID=02001&amp;SDATE=201102&amp;PERIODTYPE=QTR_STD&amp;SCFT=3&amp;window=popup_no_bar&amp;width=385&amp;height=120&amp;START_MAXIMIZED=FALSE&amp;creator=factset&amp;display_string=Audit"}</definedName>
    <definedName name="_4604__FDSAUDITLINK__" hidden="1">{"fdsup://Directions/FactSet Auditing Viewer?action=AUDIT_VALUE&amp;DB=129&amp;ID1=67066G10&amp;VALUEID=02001&amp;SDATE=201101&amp;PERIODTYPE=QTR_STD&amp;SCFT=3&amp;window=popup_no_bar&amp;width=385&amp;height=120&amp;START_MAXIMIZED=FALSE&amp;creator=factset&amp;display_string=Audit"}</definedName>
    <definedName name="_4605__FDSAUDITLINK__" hidden="1">{"fdsup://Directions/FactSet Auditing Viewer?action=AUDIT_VALUE&amp;DB=129&amp;ID1=74752510&amp;VALUEID=05194&amp;SDATE=201102&amp;PERIODTYPE=QTR_STD&amp;SCFT=3&amp;window=popup_no_bar&amp;width=385&amp;height=120&amp;START_MAXIMIZED=FALSE&amp;creator=factset&amp;display_string=Audit"}</definedName>
    <definedName name="_4606__FDSAUDITLINK__" hidden="1">{"fdsup://Directions/FactSet Auditing Viewer?action=AUDIT_VALUE&amp;DB=129&amp;ID1=67066G10&amp;VALUEID=05194&amp;SDATE=201101&amp;PERIODTYPE=QTR_STD&amp;SCFT=3&amp;window=popup_no_bar&amp;width=385&amp;height=120&amp;START_MAXIMIZED=FALSE&amp;creator=factset&amp;display_string=Audit"}</definedName>
    <definedName name="_4607__FDSAUDITLINK__" hidden="1">{"fdsup://Directions/FactSet Auditing Viewer?action=AUDIT_VALUE&amp;DB=129&amp;ID1=637248&amp;VALUEID=02001&amp;SDATE=201101&amp;PERIODTYPE=QTR_STD&amp;SCFT=3&amp;window=popup_no_bar&amp;width=385&amp;height=120&amp;START_MAXIMIZED=FALSE&amp;creator=factset&amp;display_string=Audit"}</definedName>
    <definedName name="_4608__FDSAUDITLINK__" hidden="1">{"fdsup://Directions/FactSet Auditing Viewer?action=AUDIT_VALUE&amp;DB=129&amp;ID1=45814010&amp;VALUEID=02001&amp;SDATE=201101&amp;PERIODTYPE=QTR_STD&amp;SCFT=3&amp;window=popup_no_bar&amp;width=385&amp;height=120&amp;START_MAXIMIZED=FALSE&amp;creator=factset&amp;display_string=Audit"}</definedName>
    <definedName name="_4609__FDSAUDITLINK__" hidden="1">{"fdsup://Directions/FactSet Auditing Viewer?action=AUDIT_VALUE&amp;DB=129&amp;ID1=45814010&amp;VALUEID=05194&amp;SDATE=201101&amp;PERIODTYPE=QTR_STD&amp;SCFT=3&amp;window=popup_no_bar&amp;width=385&amp;height=120&amp;START_MAXIMIZED=FALSE&amp;creator=factset&amp;display_string=Audit"}</definedName>
    <definedName name="_461__FDSAUDITLINK__" hidden="1">{"fdsup://Directions/FactSet Auditing Viewer?action=AUDIT_VALUE&amp;DB=129&amp;ID1=78477410&amp;VALUEID=02001&amp;SDATE=201002&amp;PERIODTYPE=QTR_STD&amp;SCFT=3&amp;window=popup_no_bar&amp;width=385&amp;height=120&amp;START_MAXIMIZED=FALSE&amp;creator=factset&amp;display_string=Audit"}</definedName>
    <definedName name="_462__FDSAUDITLINK__" hidden="1">{"fdsup://Directions/FactSet Auditing Viewer?action=AUDIT_VALUE&amp;DB=129&amp;ID1=78477410&amp;VALUEID=02001&amp;SDATE=201002&amp;PERIODTYPE=QTR_STD&amp;SCFT=3&amp;window=popup_no_bar&amp;width=385&amp;height=120&amp;START_MAXIMIZED=FALSE&amp;creator=factset&amp;display_string=Audit"}</definedName>
    <definedName name="_463__FDSAUDITLINK__" hidden="1">{"fdsup://Directions/FactSet Auditing Viewer?action=AUDIT_VALUE&amp;DB=129&amp;ID1=87160710&amp;VALUEID=02001&amp;SDATE=201003&amp;PERIODTYPE=QTR_STD&amp;SCFT=3&amp;window=popup_no_bar&amp;width=385&amp;height=120&amp;START_MAXIMIZED=FALSE&amp;creator=factset&amp;display_string=Audit"}</definedName>
    <definedName name="_464__FDSAUDITLINK__" hidden="1">{"fdsup://Directions/FactSet Auditing Viewer?action=AUDIT_VALUE&amp;DB=129&amp;ID1=87160710&amp;VALUEID=02001&amp;SDATE=201003&amp;PERIODTYPE=QTR_STD&amp;SCFT=3&amp;window=popup_no_bar&amp;width=385&amp;height=120&amp;START_MAXIMIZED=FALSE&amp;creator=factset&amp;display_string=Audit"}</definedName>
    <definedName name="_465__FDSAUDITLINK__" hidden="1">{"fdsup://Directions/FactSet Auditing Viewer?action=AUDIT_VALUE&amp;DB=129&amp;ID1=80004C10&amp;VALUEID=02001&amp;SDATE=201002&amp;PERIODTYPE=QTR_STD&amp;SCFT=3&amp;window=popup_no_bar&amp;width=385&amp;height=120&amp;START_MAXIMIZED=FALSE&amp;creator=factset&amp;display_string=Audit"}</definedName>
    <definedName name="_466__FDSAUDITLINK__" hidden="1">{"fdsup://Directions/FactSet Auditing Viewer?action=AUDIT_VALUE&amp;DB=129&amp;ID1=80004C10&amp;VALUEID=02001&amp;SDATE=201002&amp;PERIODTYPE=QTR_STD&amp;SCFT=3&amp;window=popup_no_bar&amp;width=385&amp;height=120&amp;START_MAXIMIZED=FALSE&amp;creator=factset&amp;display_string=Audit"}</definedName>
    <definedName name="_467__FDSAUDITLINK__" hidden="1">{"fdsup://Directions/FactSet Auditing Viewer?action=AUDIT_VALUE&amp;DB=129&amp;ID1=81685010&amp;VALUEID=02001&amp;SDATE=201002&amp;PERIODTYPE=QTR_STD&amp;SCFT=3&amp;window=popup_no_bar&amp;width=385&amp;height=120&amp;START_MAXIMIZED=FALSE&amp;creator=factset&amp;display_string=Audit"}</definedName>
    <definedName name="_468__FDSAUDITLINK__" hidden="1">{"fdsup://Directions/FactSet Auditing Viewer?action=AUDIT_VALUE&amp;DB=129&amp;ID1=81685010&amp;VALUEID=02001&amp;SDATE=201002&amp;PERIODTYPE=QTR_STD&amp;SCFT=3&amp;window=popup_no_bar&amp;width=385&amp;height=120&amp;START_MAXIMIZED=FALSE&amp;creator=factset&amp;display_string=Audit"}</definedName>
    <definedName name="_469__FDSAUDITLINK__" hidden="1">{"fdsup://Directions/FactSet Auditing Viewer?action=AUDIT_VALUE&amp;DB=129&amp;ID1=82691910&amp;VALUEID=02001&amp;SDATE=201002&amp;PERIODTYPE=QTR_STD&amp;SCFT=3&amp;window=popup_no_bar&amp;width=385&amp;height=120&amp;START_MAXIMIZED=FALSE&amp;creator=factset&amp;display_string=Audit"}</definedName>
    <definedName name="_47__FDSAUDITLINK__" hidden="1">{"fdsup://Directions/FactSet Auditing Viewer?action=AUDIT_VALUE&amp;DB=129&amp;ID1=69344F10&amp;VALUEID=02001&amp;SDATE=201101&amp;PERIODTYPE=QTR_STD&amp;SCFT=3&amp;window=popup_no_bar&amp;width=385&amp;height=120&amp;START_MAXIMIZED=FALSE&amp;creator=factset&amp;display_string=Audit"}</definedName>
    <definedName name="_470__FDSAUDITLINK__" hidden="1">{"fdsup://Directions/FactSet Auditing Viewer?action=AUDIT_VALUE&amp;DB=129&amp;ID1=82691910&amp;VALUEID=02001&amp;SDATE=201002&amp;PERIODTYPE=QTR_STD&amp;SCFT=3&amp;window=popup_no_bar&amp;width=385&amp;height=120&amp;START_MAXIMIZED=FALSE&amp;creator=factset&amp;display_string=Audit"}</definedName>
    <definedName name="_471__FDSAUDITLINK__" hidden="1">{"fdsup://Directions/FactSet Auditing Viewer?action=AUDIT_VALUE&amp;DB=129&amp;ID1=82705T10&amp;VALUEID=02001&amp;SDATE=201002&amp;PERIODTYPE=QTR_STD&amp;SCFT=3&amp;window=popup_no_bar&amp;width=385&amp;height=120&amp;START_MAXIMIZED=FALSE&amp;creator=factset&amp;display_string=Audit"}</definedName>
    <definedName name="_472__FDSAUDITLINK__" hidden="1">{"fdsup://Directions/FactSet Auditing Viewer?action=AUDIT_VALUE&amp;DB=129&amp;ID1=82705T10&amp;VALUEID=02001&amp;SDATE=201002&amp;PERIODTYPE=QTR_STD&amp;SCFT=3&amp;window=popup_no_bar&amp;width=385&amp;height=120&amp;START_MAXIMIZED=FALSE&amp;creator=factset&amp;display_string=Audit"}</definedName>
    <definedName name="_473__FDSAUDITLINK__" hidden="1">{"fdsup://Directions/FactSet Auditing Viewer?action=AUDIT_VALUE&amp;DB=129&amp;ID1=75091710&amp;VALUEID=02001&amp;SDATE=201002&amp;PERIODTYPE=QTR_STD&amp;SCFT=3&amp;window=popup_no_bar&amp;width=385&amp;height=120&amp;START_MAXIMIZED=FALSE&amp;creator=factset&amp;display_string=Audit"}</definedName>
    <definedName name="_474__FDSAUDITLINK__" hidden="1">{"fdsup://Directions/FactSet Auditing Viewer?action=AUDIT_VALUE&amp;DB=129&amp;ID1=75091710&amp;VALUEID=02001&amp;SDATE=201002&amp;PERIODTYPE=QTR_STD&amp;SCFT=3&amp;window=popup_no_bar&amp;width=385&amp;height=120&amp;START_MAXIMIZED=FALSE&amp;creator=factset&amp;display_string=Audit"}</definedName>
    <definedName name="_475__FDSAUDITLINK__" hidden="1">{"fdsup://Directions/FactSet Auditing Viewer?action=AUDIT_VALUE&amp;DB=129&amp;ID1=74994110&amp;VALUEID=02001&amp;SDATE=201001&amp;PERIODTYPE=QTR_STD&amp;SCFT=3&amp;window=popup_no_bar&amp;width=385&amp;height=120&amp;START_MAXIMIZED=FALSE&amp;creator=factset&amp;display_string=Audit"}</definedName>
    <definedName name="_476__FDSAUDITLINK__" hidden="1">{"fdsup://Directions/FactSet Auditing Viewer?action=AUDIT_VALUE&amp;DB=129&amp;ID1=74994110&amp;VALUEID=02001&amp;SDATE=201001&amp;PERIODTYPE=QTR_STD&amp;SCFT=3&amp;window=popup_no_bar&amp;width=385&amp;height=120&amp;START_MAXIMIZED=FALSE&amp;creator=factset&amp;display_string=Audit"}</definedName>
    <definedName name="_477__FDSAUDITLINK__" hidden="1">{"fdsup://Directions/FactSet Auditing Viewer?action=AUDIT_VALUE&amp;DB=129&amp;ID1=74727710&amp;VALUEID=02001&amp;SDATE=201001&amp;PERIODTYPE=QTR_STD&amp;SCFT=3&amp;window=popup_no_bar&amp;width=385&amp;height=120&amp;START_MAXIMIZED=FALSE&amp;creator=factset&amp;display_string=Audit"}</definedName>
    <definedName name="_478__FDSAUDITLINK__" hidden="1">{"fdsup://Directions/FactSet Auditing Viewer?action=AUDIT_VALUE&amp;DB=129&amp;ID1=74727710&amp;VALUEID=02001&amp;SDATE=201001&amp;PERIODTYPE=QTR_STD&amp;SCFT=3&amp;window=popup_no_bar&amp;width=385&amp;height=120&amp;START_MAXIMIZED=FALSE&amp;creator=factset&amp;display_string=Audit"}</definedName>
    <definedName name="_479__FDSAUDITLINK__" hidden="1">{"fdsup://Directions/FactSet Auditing Viewer?action=AUDIT_VALUE&amp;DB=129&amp;ID1=74752510&amp;VALUEID=02001&amp;SDATE=201003&amp;PERIODTYPE=QTR_STD&amp;SCFT=3&amp;window=popup_no_bar&amp;width=385&amp;height=120&amp;START_MAXIMIZED=FALSE&amp;creator=factset&amp;display_string=Audit"}</definedName>
    <definedName name="_48__FDSAUDITLINK__" hidden="1">{"fdsup://Directions/FactSet Auditing Viewer?action=AUDIT_VALUE&amp;DB=129&amp;ID1=69344F10&amp;VALUEID=02001&amp;SDATE=201101&amp;PERIODTYPE=QTR_STD&amp;SCFT=3&amp;window=popup_no_bar&amp;width=385&amp;height=120&amp;START_MAXIMIZED=FALSE&amp;creator=factset&amp;display_string=Audit"}</definedName>
    <definedName name="_480__FDSAUDITLINK__" hidden="1">{"fdsup://Directions/FactSet Auditing Viewer?action=AUDIT_VALUE&amp;DB=129&amp;ID1=74752510&amp;VALUEID=02001&amp;SDATE=201003&amp;PERIODTYPE=QTR_STD&amp;SCFT=3&amp;window=popup_no_bar&amp;width=385&amp;height=120&amp;START_MAXIMIZED=FALSE&amp;creator=factset&amp;display_string=Audit"}</definedName>
    <definedName name="_481__FDSAUDITLINK__" hidden="1">{"fdsup://Directions/FactSet Auditing Viewer?action=AUDIT_VALUE&amp;DB=129&amp;ID1=72581M30&amp;VALUEID=02001&amp;SDATE=201002&amp;PERIODTYPE=QTR_STD&amp;SCFT=3&amp;window=popup_no_bar&amp;width=385&amp;height=120&amp;START_MAXIMIZED=FALSE&amp;creator=factset&amp;display_string=Audit"}</definedName>
    <definedName name="_482__FDSAUDITLINK__" hidden="1">{"fdsup://Directions/FactSet Auditing Viewer?action=AUDIT_VALUE&amp;DB=129&amp;ID1=72581M30&amp;VALUEID=02001&amp;SDATE=201002&amp;PERIODTYPE=QTR_STD&amp;SCFT=3&amp;window=popup_no_bar&amp;width=385&amp;height=120&amp;START_MAXIMIZED=FALSE&amp;creator=factset&amp;display_string=Audit"}</definedName>
    <definedName name="_483__FDSAUDITLINK__" hidden="1">{"fdsup://Directions/FactSet Auditing Viewer?action=AUDIT_VALUE&amp;DB=129&amp;ID1=73927610&amp;VALUEID=02001&amp;SDATE=201002&amp;PERIODTYPE=QTR_STD&amp;SCFT=3&amp;window=popup_no_bar&amp;width=385&amp;height=120&amp;START_MAXIMIZED=FALSE&amp;creator=factset&amp;display_string=Audit"}</definedName>
    <definedName name="_484__FDSAUDITLINK__" hidden="1">{"fdsup://Directions/FactSet Auditing Viewer?action=AUDIT_VALUE&amp;DB=129&amp;ID1=73927610&amp;VALUEID=02001&amp;SDATE=201002&amp;PERIODTYPE=QTR_STD&amp;SCFT=3&amp;window=popup_no_bar&amp;width=385&amp;height=120&amp;START_MAXIMIZED=FALSE&amp;creator=factset&amp;display_string=Audit"}</definedName>
    <definedName name="_485__FDSAUDITLINK__" hidden="1">{"fdsup://Directions/FactSet Auditing Viewer?action=AUDIT_VALUE&amp;DB=129&amp;ID1=69344F10&amp;VALUEID=02001&amp;SDATE=201002&amp;PERIODTYPE=QTR_STD&amp;SCFT=3&amp;window=popup_no_bar&amp;width=385&amp;height=120&amp;START_MAXIMIZED=FALSE&amp;creator=factset&amp;display_string=Audit"}</definedName>
    <definedName name="_486__FDSAUDITLINK__" hidden="1">{"fdsup://Directions/FactSet Auditing Viewer?action=AUDIT_VALUE&amp;DB=129&amp;ID1=69344F10&amp;VALUEID=02001&amp;SDATE=201002&amp;PERIODTYPE=QTR_STD&amp;SCFT=3&amp;window=popup_no_bar&amp;width=385&amp;height=120&amp;START_MAXIMIZED=FALSE&amp;creator=factset&amp;display_string=Audit"}</definedName>
    <definedName name="_487__FDSAUDITLINK__" hidden="1">{"fdsup://Directions/FactSet Auditing Viewer?action=AUDIT_VALUE&amp;DB=129&amp;ID1=69341710&amp;VALUEID=02001&amp;SDATE=201002&amp;PERIODTYPE=QTR_STD&amp;SCFT=3&amp;window=popup_no_bar&amp;width=385&amp;height=120&amp;START_MAXIMIZED=FALSE&amp;creator=factset&amp;display_string=Audit"}</definedName>
    <definedName name="_488__FDSAUDITLINK__" hidden="1">{"fdsup://Directions/FactSet Auditing Viewer?action=AUDIT_VALUE&amp;DB=129&amp;ID1=69341710&amp;VALUEID=02001&amp;SDATE=201002&amp;PERIODTYPE=QTR_STD&amp;SCFT=3&amp;window=popup_no_bar&amp;width=385&amp;height=120&amp;START_MAXIMIZED=FALSE&amp;creator=factset&amp;display_string=Audit"}</definedName>
    <definedName name="_489__FDSAUDITLINK__" hidden="1">{"fdsup://Directions/FactSet Auditing Viewer?action=AUDIT_VALUE&amp;DB=129&amp;ID1=68218910&amp;VALUEID=02001&amp;SDATE=201002&amp;PERIODTYPE=QTR_STD&amp;SCFT=3&amp;window=popup_no_bar&amp;width=385&amp;height=120&amp;START_MAXIMIZED=FALSE&amp;creator=factset&amp;display_string=Audit"}</definedName>
    <definedName name="_49__FDSAUDITLINK__" hidden="1">{"fdsup://Directions/FactSet Auditing Viewer?action=AUDIT_VALUE&amp;DB=129&amp;ID1=69341710&amp;VALUEID=02001&amp;SDATE=201101&amp;PERIODTYPE=QTR_STD&amp;SCFT=3&amp;window=popup_no_bar&amp;width=385&amp;height=120&amp;START_MAXIMIZED=FALSE&amp;creator=factset&amp;display_string=Audit"}</definedName>
    <definedName name="_490__FDSAUDITLINK__" hidden="1">{"fdsup://Directions/FactSet Auditing Viewer?action=AUDIT_VALUE&amp;DB=129&amp;ID1=68218910&amp;VALUEID=02001&amp;SDATE=201002&amp;PERIODTYPE=QTR_STD&amp;SCFT=3&amp;window=popup_no_bar&amp;width=385&amp;height=120&amp;START_MAXIMIZED=FALSE&amp;creator=factset&amp;display_string=Audit"}</definedName>
    <definedName name="_491__FDSAUDITLINK__" hidden="1">{"fdsup://Directions/FactSet Auditing Viewer?action=AUDIT_VALUE&amp;DB=129&amp;ID1=B505PN&amp;VALUEID=02001&amp;SDATE=201002&amp;PERIODTYPE=QTR_STD&amp;SCFT=3&amp;window=popup_no_bar&amp;width=385&amp;height=120&amp;START_MAXIMIZED=FALSE&amp;creator=factset&amp;display_string=Audit"}</definedName>
    <definedName name="_492__FDSAUDITLINK__" hidden="1">{"fdsup://Directions/FactSet Auditing Viewer?action=AUDIT_VALUE&amp;DB=129&amp;ID1=B505PN&amp;VALUEID=02001&amp;SDATE=201002&amp;PERIODTYPE=QTR_STD&amp;SCFT=3&amp;window=popup_no_bar&amp;width=385&amp;height=120&amp;START_MAXIMIZED=FALSE&amp;creator=factset&amp;display_string=Audit"}</definedName>
    <definedName name="_493__FDSAUDITLINK__" hidden="1">{"fdsup://Directions/FactSet Auditing Viewer?action=AUDIT_VALUE&amp;DB=129&amp;ID1=67000810&amp;VALUEID=02001&amp;SDATE=201002&amp;PERIODTYPE=QTR_STD&amp;SCFT=3&amp;window=popup_no_bar&amp;width=385&amp;height=120&amp;START_MAXIMIZED=FALSE&amp;creator=factset&amp;display_string=Audit"}</definedName>
    <definedName name="_494__FDSAUDITLINK__" hidden="1">{"fdsup://Directions/FactSet Auditing Viewer?action=AUDIT_VALUE&amp;DB=129&amp;ID1=67000810&amp;VALUEID=02001&amp;SDATE=201002&amp;PERIODTYPE=QTR_STD&amp;SCFT=3&amp;window=popup_no_bar&amp;width=385&amp;height=120&amp;START_MAXIMIZED=FALSE&amp;creator=factset&amp;display_string=Audit"}</definedName>
    <definedName name="_495__FDSAUDITLINK__" hidden="1">{"fdsup://Directions/FactSet Auditing Viewer?action=AUDIT_VALUE&amp;DB=129&amp;ID1=67066G10&amp;VALUEID=02001&amp;SDATE=201002&amp;PERIODTYPE=QTR_STD&amp;SCFT=3&amp;window=popup_no_bar&amp;width=385&amp;height=120&amp;START_MAXIMIZED=FALSE&amp;creator=factset&amp;display_string=Audit"}</definedName>
    <definedName name="_496__FDSAUDITLINK__" hidden="1">{"fdsup://Directions/FactSet Auditing Viewer?action=AUDIT_VALUE&amp;DB=129&amp;ID1=67066G10&amp;VALUEID=02001&amp;SDATE=201002&amp;PERIODTYPE=QTR_STD&amp;SCFT=3&amp;window=popup_no_bar&amp;width=385&amp;height=120&amp;START_MAXIMIZED=FALSE&amp;creator=factset&amp;display_string=Audit"}</definedName>
    <definedName name="_497__FDSAUDITLINK__" hidden="1">{"fdsup://Directions/FactSet Auditing Viewer?action=AUDIT_VALUE&amp;DB=129&amp;ID1=64118B10&amp;VALUEID=02001&amp;SDATE=201002&amp;PERIODTYPE=QTR_STD&amp;SCFT=3&amp;window=popup_no_bar&amp;width=385&amp;height=120&amp;START_MAXIMIZED=FALSE&amp;creator=factset&amp;display_string=Audit"}</definedName>
    <definedName name="_498__FDSAUDITLINK__" hidden="1">{"fdsup://Directions/FactSet Auditing Viewer?action=AUDIT_VALUE&amp;DB=129&amp;ID1=64118B10&amp;VALUEID=02001&amp;SDATE=201002&amp;PERIODTYPE=QTR_STD&amp;SCFT=3&amp;window=popup_no_bar&amp;width=385&amp;height=120&amp;START_MAXIMIZED=FALSE&amp;creator=factset&amp;display_string=Audit"}</definedName>
    <definedName name="_499__FDSAUDITLINK__" hidden="1">{"fdsup://Directions/FactSet Auditing Viewer?action=AUDIT_VALUE&amp;DB=129&amp;ID1=57772K10&amp;VALUEID=02001&amp;SDATE=201004&amp;PERIODTYPE=QTR_STD&amp;SCFT=3&amp;window=popup_no_bar&amp;width=385&amp;height=120&amp;START_MAXIMIZED=FALSE&amp;creator=factset&amp;display_string=Audit"}</definedName>
    <definedName name="_5__FDSAUDITLINK__" hidden="1">{"fdsup://Directions/FactSet Auditing Viewer?action=AUDIT_VALUE&amp;DB=129&amp;ID1=74752510&amp;VALUEID=05194&amp;SDATE=201104&amp;PERIODTYPE=QTR_STD&amp;SCFT=3&amp;window=popup_no_bar&amp;width=385&amp;height=120&amp;START_MAXIMIZED=FALSE&amp;creator=factset&amp;display_string=Audit"}</definedName>
    <definedName name="_50__FDSAUDITLINK__" hidden="1">{"fdsup://Directions/FactSet Auditing Viewer?action=AUDIT_VALUE&amp;DB=129&amp;ID1=69341710&amp;VALUEID=02001&amp;SDATE=201101&amp;PERIODTYPE=QTR_STD&amp;SCFT=3&amp;window=popup_no_bar&amp;width=385&amp;height=120&amp;START_MAXIMIZED=FALSE&amp;creator=factset&amp;display_string=Audit"}</definedName>
    <definedName name="_500__FDSAUDITLINK__" hidden="1">{"fdsup://Directions/FactSet Auditing Viewer?action=AUDIT_VALUE&amp;DB=129&amp;ID1=57772K10&amp;VALUEID=02001&amp;SDATE=201004&amp;PERIODTYPE=QTR_STD&amp;SCFT=3&amp;window=popup_no_bar&amp;width=385&amp;height=120&amp;START_MAXIMIZED=FALSE&amp;creator=factset&amp;display_string=Audit"}</definedName>
    <definedName name="_501__FDSAUDITLINK__" hidden="1">{"fdsup://Directions/FactSet Auditing Viewer?action=AUDIT_VALUE&amp;DB=129&amp;ID1=59511210&amp;VALUEID=02001&amp;SDATE=201003&amp;PERIODTYPE=QTR_STD&amp;SCFT=3&amp;window=popup_no_bar&amp;width=385&amp;height=120&amp;START_MAXIMIZED=FALSE&amp;creator=factset&amp;display_string=Audit"}</definedName>
    <definedName name="_502__FDSAUDITLINK__" hidden="1">{"fdsup://Directions/FactSet Auditing Viewer?action=AUDIT_VALUE&amp;DB=129&amp;ID1=59511210&amp;VALUEID=02001&amp;SDATE=201003&amp;PERIODTYPE=QTR_STD&amp;SCFT=3&amp;window=popup_no_bar&amp;width=385&amp;height=120&amp;START_MAXIMIZED=FALSE&amp;creator=factset&amp;display_string=Audit"}</definedName>
    <definedName name="_503__FDSAUDITLINK__" hidden="1">{"fdsup://Directions/FactSet Auditing Viewer?action=AUDIT_VALUE&amp;DB=129&amp;ID1=59513710&amp;VALUEID=02001&amp;SDATE=201003&amp;PERIODTYPE=QTR_STD&amp;SCFT=3&amp;window=popup_no_bar&amp;width=385&amp;height=120&amp;START_MAXIMIZED=FALSE&amp;creator=factset&amp;display_string=Audit"}</definedName>
    <definedName name="_504__FDSAUDITLINK__" hidden="1">{"fdsup://Directions/FactSet Auditing Viewer?action=AUDIT_VALUE&amp;DB=129&amp;ID1=59513710&amp;VALUEID=02001&amp;SDATE=201003&amp;PERIODTYPE=QTR_STD&amp;SCFT=3&amp;window=popup_no_bar&amp;width=385&amp;height=120&amp;START_MAXIMIZED=FALSE&amp;creator=factset&amp;display_string=Audit"}</definedName>
    <definedName name="_505__FDSAUDITLINK__" hidden="1">{"fdsup://Directions/FactSet Auditing Viewer?action=AUDIT_VALUE&amp;DB=129&amp;ID1=G5876H10&amp;VALUEID=02001&amp;SDATE=201002&amp;PERIODTYPE=QTR_STD&amp;SCFT=3&amp;window=popup_no_bar&amp;width=385&amp;height=120&amp;START_MAXIMIZED=FALSE&amp;creator=factset&amp;display_string=Audit"}</definedName>
    <definedName name="_506__FDSAUDITLINK__" hidden="1">{"fdsup://Directions/FactSet Auditing Viewer?action=AUDIT_VALUE&amp;DB=129&amp;ID1=G5876H10&amp;VALUEID=02001&amp;SDATE=201002&amp;PERIODTYPE=QTR_STD&amp;SCFT=3&amp;window=popup_no_bar&amp;width=385&amp;height=120&amp;START_MAXIMIZED=FALSE&amp;creator=factset&amp;display_string=Audit"}</definedName>
    <definedName name="_507__FDSAUDITLINK__" hidden="1">{"fdsup://Directions/FactSet Auditing Viewer?action=AUDIT_VALUE&amp;DB=129&amp;ID1=62007630&amp;VALUEID=02001&amp;SDATE=201002&amp;PERIODTYPE=QTR_STD&amp;SCFT=3&amp;window=popup_no_bar&amp;width=385&amp;height=120&amp;START_MAXIMIZED=FALSE&amp;creator=factset&amp;display_string=Audit"}</definedName>
    <definedName name="_508__FDSAUDITLINK__" hidden="1">{"fdsup://Directions/FactSet Auditing Viewer?action=AUDIT_VALUE&amp;DB=129&amp;ID1=62007630&amp;VALUEID=02001&amp;SDATE=201002&amp;PERIODTYPE=QTR_STD&amp;SCFT=3&amp;window=popup_no_bar&amp;width=385&amp;height=120&amp;START_MAXIMIZED=FALSE&amp;creator=factset&amp;display_string=Audit"}</definedName>
    <definedName name="_509__FDSAUDITLINK__" hidden="1">{"fdsup://Directions/FactSet Auditing Viewer?action=AUDIT_VALUE&amp;DB=129&amp;ID1=60456710&amp;VALUEID=02001&amp;SDATE=201004&amp;PERIODTYPE=QTR_STD&amp;SCFT=3&amp;window=popup_no_bar&amp;width=385&amp;height=120&amp;START_MAXIMIZED=FALSE&amp;creator=factset&amp;display_string=Audit"}</definedName>
    <definedName name="_51__FDSAUDITLINK__" hidden="1">{"fdsup://Directions/FactSet Auditing Viewer?action=AUDIT_VALUE&amp;DB=129&amp;ID1=68218910&amp;VALUEID=02001&amp;SDATE=201101&amp;PERIODTYPE=QTR_STD&amp;SCFT=3&amp;window=popup_no_bar&amp;width=385&amp;height=120&amp;START_MAXIMIZED=FALSE&amp;creator=factset&amp;display_string=Audit"}</definedName>
    <definedName name="_510__FDSAUDITLINK__" hidden="1">{"fdsup://Directions/FactSet Auditing Viewer?action=AUDIT_VALUE&amp;DB=129&amp;ID1=60456710&amp;VALUEID=02001&amp;SDATE=201004&amp;PERIODTYPE=QTR_STD&amp;SCFT=3&amp;window=popup_no_bar&amp;width=385&amp;height=120&amp;START_MAXIMIZED=FALSE&amp;creator=factset&amp;display_string=Audit"}</definedName>
    <definedName name="_511__FDSAUDITLINK__" hidden="1">{"fdsup://Directions/FactSet Auditing Viewer?action=AUDIT_VALUE&amp;DB=129&amp;ID1=59479310&amp;VALUEID=02001&amp;SDATE=201002&amp;PERIODTYPE=QTR_STD&amp;SCFT=3&amp;window=popup_no_bar&amp;width=385&amp;height=120&amp;START_MAXIMIZED=FALSE&amp;creator=factset&amp;display_string=Audit"}</definedName>
    <definedName name="_512__FDSAUDITLINK__" hidden="1">{"fdsup://Directions/FactSet Auditing Viewer?action=AUDIT_VALUE&amp;DB=129&amp;ID1=59479310&amp;VALUEID=02001&amp;SDATE=201002&amp;PERIODTYPE=QTR_STD&amp;SCFT=3&amp;window=popup_no_bar&amp;width=385&amp;height=120&amp;START_MAXIMIZED=FALSE&amp;creator=factset&amp;display_string=Audit"}</definedName>
    <definedName name="_513__FDSAUDITLINK__" hidden="1">{"fdsup://Directions/FactSet Auditing Viewer?action=AUDIT_VALUE&amp;DB=129&amp;ID1=59501710&amp;VALUEID=02001&amp;SDATE=201001&amp;PERIODTYPE=QTR_STD&amp;SCFT=3&amp;window=popup_no_bar&amp;width=385&amp;height=120&amp;START_MAXIMIZED=FALSE&amp;creator=factset&amp;display_string=Audit"}</definedName>
    <definedName name="_514__FDSAUDITLINK__" hidden="1">{"fdsup://Directions/FactSet Auditing Viewer?action=AUDIT_VALUE&amp;DB=129&amp;ID1=59501710&amp;VALUEID=02001&amp;SDATE=201001&amp;PERIODTYPE=QTR_STD&amp;SCFT=3&amp;window=popup_no_bar&amp;width=385&amp;height=120&amp;START_MAXIMIZED=FALSE&amp;creator=factset&amp;display_string=Audit"}</definedName>
    <definedName name="_515__FDSAUDITLINK__" hidden="1">{"fdsup://Directions/FactSet Auditing Viewer?action=AUDIT_VALUE&amp;DB=129&amp;ID1=50216110&amp;VALUEID=02001&amp;SDATE=201002&amp;PERIODTYPE=QTR_STD&amp;SCFT=3&amp;window=popup_no_bar&amp;width=385&amp;height=120&amp;START_MAXIMIZED=FALSE&amp;creator=factset&amp;display_string=Audit"}</definedName>
    <definedName name="_516__FDSAUDITLINK__" hidden="1">{"fdsup://Directions/FactSet Auditing Viewer?action=AUDIT_VALUE&amp;DB=129&amp;ID1=50216110&amp;VALUEID=02001&amp;SDATE=201002&amp;PERIODTYPE=QTR_STD&amp;SCFT=3&amp;window=popup_no_bar&amp;width=385&amp;height=120&amp;START_MAXIMIZED=FALSE&amp;creator=factset&amp;display_string=Audit"}</definedName>
    <definedName name="_517__FDSAUDITLINK__" hidden="1">{"fdsup://Directions/FactSet Auditing Viewer?action=AUDIT_VALUE&amp;DB=129&amp;ID1=51841510&amp;VALUEID=02001&amp;SDATE=201002&amp;PERIODTYPE=QTR_STD&amp;SCFT=3&amp;window=popup_no_bar&amp;width=385&amp;height=120&amp;START_MAXIMIZED=FALSE&amp;creator=factset&amp;display_string=Audit"}</definedName>
    <definedName name="_518__FDSAUDITLINK__" hidden="1">{"fdsup://Directions/FactSet Auditing Viewer?action=AUDIT_VALUE&amp;DB=129&amp;ID1=51841510&amp;VALUEID=02001&amp;SDATE=201002&amp;PERIODTYPE=QTR_STD&amp;SCFT=3&amp;window=popup_no_bar&amp;width=385&amp;height=120&amp;START_MAXIMIZED=FALSE&amp;creator=factset&amp;display_string=Audit"}</definedName>
    <definedName name="_519__FDSAUDITLINK__" hidden="1">{"fdsup://Directions/FactSet Auditing Viewer?action=AUDIT_VALUE&amp;DB=129&amp;ID1=51280710&amp;VALUEID=02001&amp;SDATE=201004&amp;PERIODTYPE=QTR_STD&amp;SCFT=3&amp;window=popup_no_bar&amp;width=385&amp;height=120&amp;START_MAXIMIZED=FALSE&amp;creator=factset&amp;display_string=Audit"}</definedName>
    <definedName name="_52__FDSAUDITLINK__" hidden="1">{"fdsup://Directions/FactSet Auditing Viewer?action=AUDIT_VALUE&amp;DB=129&amp;ID1=68218910&amp;VALUEID=02001&amp;SDATE=201101&amp;PERIODTYPE=QTR_STD&amp;SCFT=3&amp;window=popup_no_bar&amp;width=385&amp;height=120&amp;START_MAXIMIZED=FALSE&amp;creator=factset&amp;display_string=Audit"}</definedName>
    <definedName name="_520__FDSAUDITLINK__" hidden="1">{"fdsup://Directions/FactSet Auditing Viewer?action=AUDIT_VALUE&amp;DB=129&amp;ID1=51280710&amp;VALUEID=02001&amp;SDATE=201004&amp;PERIODTYPE=QTR_STD&amp;SCFT=3&amp;window=popup_no_bar&amp;width=385&amp;height=120&amp;START_MAXIMIZED=FALSE&amp;creator=factset&amp;display_string=Audit"}</definedName>
    <definedName name="_521__FDSAUDITLINK__" hidden="1">{"fdsup://Directions/FactSet Auditing Viewer?action=AUDIT_VALUE&amp;DB=129&amp;ID1=53567810&amp;VALUEID=02001&amp;SDATE=201004&amp;PERIODTYPE=QTR_STD&amp;SCFT=3&amp;window=popup_no_bar&amp;width=385&amp;height=120&amp;START_MAXIMIZED=FALSE&amp;creator=factset&amp;display_string=Audit"}</definedName>
    <definedName name="_522__FDSAUDITLINK__" hidden="1">{"fdsup://Directions/FactSet Auditing Viewer?action=AUDIT_VALUE&amp;DB=129&amp;ID1=53567810&amp;VALUEID=02001&amp;SDATE=201004&amp;PERIODTYPE=QTR_STD&amp;SCFT=3&amp;window=popup_no_bar&amp;width=385&amp;height=120&amp;START_MAXIMIZED=FALSE&amp;creator=factset&amp;display_string=Audit"}</definedName>
    <definedName name="_523__FDSAUDITLINK__" hidden="1">{"fdsup://Directions/FactSet Auditing Viewer?action=AUDIT_VALUE&amp;DB=129&amp;ID1=48248010&amp;VALUEID=02001&amp;SDATE=201004&amp;PERIODTYPE=QTR_STD&amp;SCFT=3&amp;window=popup_no_bar&amp;width=385&amp;height=120&amp;START_MAXIMIZED=FALSE&amp;creator=factset&amp;display_string=Audit"}</definedName>
    <definedName name="_524__FDSAUDITLINK__" hidden="1">{"fdsup://Directions/FactSet Auditing Viewer?action=AUDIT_VALUE&amp;DB=129&amp;ID1=48248010&amp;VALUEID=02001&amp;SDATE=201004&amp;PERIODTYPE=QTR_STD&amp;SCFT=3&amp;window=popup_no_bar&amp;width=385&amp;height=120&amp;START_MAXIMIZED=FALSE&amp;creator=factset&amp;display_string=Audit"}</definedName>
    <definedName name="_525__FDSAUDITLINK__" hidden="1">{"fdsup://Directions/FactSet Auditing Viewer?action=AUDIT_VALUE&amp;DB=129&amp;ID1=48836020&amp;VALUEID=02001&amp;SDATE=201001&amp;PERIODTYPE=QTR_STD&amp;SCFT=3&amp;window=popup_no_bar&amp;width=385&amp;height=120&amp;START_MAXIMIZED=FALSE&amp;creator=factset&amp;display_string=Audit"}</definedName>
    <definedName name="_526__FDSAUDITLINK__" hidden="1">{"fdsup://Directions/FactSet Auditing Viewer?action=AUDIT_VALUE&amp;DB=129&amp;ID1=48836020&amp;VALUEID=02001&amp;SDATE=201001&amp;PERIODTYPE=QTR_STD&amp;SCFT=3&amp;window=popup_no_bar&amp;width=385&amp;height=120&amp;START_MAXIMIZED=FALSE&amp;creator=factset&amp;display_string=Audit"}</definedName>
    <definedName name="_527__FDSAUDITLINK__" hidden="1">{"fdsup://Directions/FactSet Auditing Viewer?action=AUDIT_VALUE&amp;DB=129&amp;ID1=48203R10&amp;VALUEID=02001&amp;SDATE=201002&amp;PERIODTYPE=QTR_STD&amp;SCFT=3&amp;window=popup_no_bar&amp;width=385&amp;height=120&amp;START_MAXIMIZED=FALSE&amp;creator=factset&amp;display_string=Audit"}</definedName>
    <definedName name="_528__FDSAUDITLINK__" hidden="1">{"fdsup://Directions/FactSet Auditing Viewer?action=AUDIT_VALUE&amp;DB=129&amp;ID1=48203R10&amp;VALUEID=02001&amp;SDATE=201002&amp;PERIODTYPE=QTR_STD&amp;SCFT=3&amp;window=popup_no_bar&amp;width=385&amp;height=120&amp;START_MAXIMIZED=FALSE&amp;creator=factset&amp;display_string=Audit"}</definedName>
    <definedName name="_529__FDSAUDITLINK__" hidden="1">{"fdsup://Directions/FactSet Auditing Viewer?action=AUDIT_VALUE&amp;DB=129&amp;ID1=46069S10&amp;VALUEID=02001&amp;SDATE=201002&amp;PERIODTYPE=QTR_STD&amp;SCFT=3&amp;window=popup_no_bar&amp;width=385&amp;height=120&amp;START_MAXIMIZED=FALSE&amp;creator=factset&amp;display_string=Audit"}</definedName>
    <definedName name="_53__FDSAUDITLINK__" hidden="1">{"fdsup://Directions/FactSet Auditing Viewer?action=AUDIT_VALUE&amp;DB=129&amp;ID1=B505PN&amp;VALUEID=02001&amp;SDATE=201101&amp;PERIODTYPE=QTR_STD&amp;SCFT=3&amp;window=popup_no_bar&amp;width=385&amp;height=120&amp;START_MAXIMIZED=FALSE&amp;creator=factset&amp;display_string=Audit"}</definedName>
    <definedName name="_530__FDSAUDITLINK__" hidden="1">{"fdsup://Directions/FactSet Auditing Viewer?action=AUDIT_VALUE&amp;DB=129&amp;ID1=46069S10&amp;VALUEID=02001&amp;SDATE=201002&amp;PERIODTYPE=QTR_STD&amp;SCFT=3&amp;window=popup_no_bar&amp;width=385&amp;height=120&amp;START_MAXIMIZED=FALSE&amp;creator=factset&amp;display_string=Audit"}</definedName>
    <definedName name="_531__FDSAUDITLINK__" hidden="1">{"fdsup://Directions/FactSet Auditing Viewer?action=AUDIT_VALUE&amp;DB=129&amp;ID1=46025410&amp;VALUEID=02001&amp;SDATE=201004&amp;PERIODTYPE=QTR_STD&amp;SCFT=3&amp;window=popup_no_bar&amp;width=385&amp;height=120&amp;START_MAXIMIZED=FALSE&amp;creator=factset&amp;display_string=Audit"}</definedName>
    <definedName name="_532__FDSAUDITLINK__" hidden="1">{"fdsup://Directions/FactSet Auditing Viewer?action=AUDIT_VALUE&amp;DB=129&amp;ID1=46025410&amp;VALUEID=02001&amp;SDATE=201004&amp;PERIODTYPE=QTR_STD&amp;SCFT=3&amp;window=popup_no_bar&amp;width=385&amp;height=120&amp;START_MAXIMIZED=FALSE&amp;creator=factset&amp;display_string=Audit"}</definedName>
    <definedName name="_533__FDSAUDITLINK__" hidden="1">{"fdsup://Directions/FactSet Auditing Viewer?action=AUDIT_VALUE&amp;DB=129&amp;ID1=45814010&amp;VALUEID=02001&amp;SDATE=201002&amp;PERIODTYPE=QTR_STD&amp;SCFT=3&amp;window=popup_no_bar&amp;width=385&amp;height=120&amp;START_MAXIMIZED=FALSE&amp;creator=factset&amp;display_string=Audit"}</definedName>
    <definedName name="_534__FDSAUDITLINK__" hidden="1">{"fdsup://Directions/FactSet Auditing Viewer?action=AUDIT_VALUE&amp;DB=129&amp;ID1=45814010&amp;VALUEID=02001&amp;SDATE=201002&amp;PERIODTYPE=QTR_STD&amp;SCFT=3&amp;window=popup_no_bar&amp;width=385&amp;height=120&amp;START_MAXIMIZED=FALSE&amp;creator=factset&amp;display_string=Audit"}</definedName>
    <definedName name="_535__FDSAUDITLINK__" hidden="1">{"fdsup://Directions/FactSet Auditing Viewer?action=AUDIT_VALUE&amp;DB=129&amp;ID1=45811810&amp;VALUEID=02001&amp;SDATE=201001&amp;PERIODTYPE=QTR_STD&amp;SCFT=3&amp;window=popup_no_bar&amp;width=385&amp;height=120&amp;START_MAXIMIZED=FALSE&amp;creator=factset&amp;display_string=Audit"}</definedName>
    <definedName name="_536__FDSAUDITLINK__" hidden="1">{"fdsup://Directions/FactSet Auditing Viewer?action=AUDIT_VALUE&amp;DB=129&amp;ID1=45811810&amp;VALUEID=02001&amp;SDATE=201001&amp;PERIODTYPE=QTR_STD&amp;SCFT=3&amp;window=popup_no_bar&amp;width=385&amp;height=120&amp;START_MAXIMIZED=FALSE&amp;creator=factset&amp;display_string=Audit"}</definedName>
    <definedName name="_537__FDSAUDITLINK__" hidden="1">{"fdsup://Directions/FactSet Auditing Viewer?action=AUDIT_VALUE&amp;DB=129&amp;ID1=42823610&amp;VALUEID=02001&amp;SDATE=201003&amp;PERIODTYPE=QTR_STD&amp;SCFT=3&amp;window=popup_no_bar&amp;width=385&amp;height=120&amp;START_MAXIMIZED=FALSE&amp;creator=factset&amp;display_string=Audit"}</definedName>
    <definedName name="_538__FDSAUDITLINK__" hidden="1">{"fdsup://Directions/FactSet Auditing Viewer?action=AUDIT_VALUE&amp;DB=129&amp;ID1=42823610&amp;VALUEID=02001&amp;SDATE=201003&amp;PERIODTYPE=QTR_STD&amp;SCFT=3&amp;window=popup_no_bar&amp;width=385&amp;height=120&amp;START_MAXIMIZED=FALSE&amp;creator=factset&amp;display_string=Audit"}</definedName>
    <definedName name="_539__FDSAUDITLINK__" hidden="1">{"fdsup://Directions/FactSet Auditing Viewer?action=AUDIT_VALUE&amp;DB=129&amp;ID1=H2906T10&amp;VALUEID=02001&amp;SDATE=201002&amp;PERIODTYPE=QTR_STD&amp;SCFT=3&amp;window=popup_no_bar&amp;width=385&amp;height=120&amp;START_MAXIMIZED=FALSE&amp;creator=factset&amp;display_string=Audit"}</definedName>
    <definedName name="_54__FDSAUDITLINK__" hidden="1">{"fdsup://Directions/FactSet Auditing Viewer?action=AUDIT_VALUE&amp;DB=129&amp;ID1=B505PN&amp;VALUEID=02001&amp;SDATE=201101&amp;PERIODTYPE=QTR_STD&amp;SCFT=3&amp;window=popup_no_bar&amp;width=385&amp;height=120&amp;START_MAXIMIZED=FALSE&amp;creator=factset&amp;display_string=Audit"}</definedName>
    <definedName name="_540__FDSAUDITLINK__" hidden="1">{"fdsup://Directions/FactSet Auditing Viewer?action=AUDIT_VALUE&amp;DB=129&amp;ID1=H2906T10&amp;VALUEID=02001&amp;SDATE=201002&amp;PERIODTYPE=QTR_STD&amp;SCFT=3&amp;window=popup_no_bar&amp;width=385&amp;height=120&amp;START_MAXIMIZED=FALSE&amp;creator=factset&amp;display_string=Audit"}</definedName>
    <definedName name="_541__FDSAUDITLINK__" hidden="1">{"fdsup://Directions/FactSet Auditing Viewer?action=AUDIT_VALUE&amp;DB=129&amp;ID1=34637510&amp;VALUEID=02001&amp;SDATE=201002&amp;PERIODTYPE=QTR_STD&amp;SCFT=3&amp;window=popup_no_bar&amp;width=385&amp;height=120&amp;START_MAXIMIZED=FALSE&amp;creator=factset&amp;display_string=Audit"}</definedName>
    <definedName name="_542__FDSAUDITLINK__" hidden="1">{"fdsup://Directions/FactSet Auditing Viewer?action=AUDIT_VALUE&amp;DB=129&amp;ID1=34637510&amp;VALUEID=02001&amp;SDATE=201002&amp;PERIODTYPE=QTR_STD&amp;SCFT=3&amp;window=popup_no_bar&amp;width=385&amp;height=120&amp;START_MAXIMIZED=FALSE&amp;creator=factset&amp;display_string=Audit"}</definedName>
    <definedName name="_543__FDSAUDITLINK__" hidden="1">{"fdsup://Directions/FactSet Auditing Viewer?action=AUDIT_VALUE&amp;DB=129&amp;ID1=31561610&amp;VALUEID=02001&amp;SDATE=201003&amp;PERIODTYPE=QTR_STD&amp;SCFT=3&amp;window=popup_no_bar&amp;width=385&amp;height=120&amp;START_MAXIMIZED=FALSE&amp;creator=factset&amp;display_string=Audit"}</definedName>
    <definedName name="_544__FDSAUDITLINK__" hidden="1">{"fdsup://Directions/FactSet Auditing Viewer?action=AUDIT_VALUE&amp;DB=129&amp;ID1=31561610&amp;VALUEID=02001&amp;SDATE=201003&amp;PERIODTYPE=QTR_STD&amp;SCFT=3&amp;window=popup_no_bar&amp;width=385&amp;height=120&amp;START_MAXIMIZED=FALSE&amp;creator=factset&amp;display_string=Audit"}</definedName>
    <definedName name="_545__FDSAUDITLINK__" hidden="1">{"fdsup://Directions/FactSet Auditing Viewer?action=AUDIT_VALUE&amp;DB=129&amp;ID1=29247520&amp;VALUEID=02001&amp;SDATE=201004&amp;PERIODTYPE=QTR_STD&amp;SCFT=3&amp;window=popup_no_bar&amp;width=385&amp;height=120&amp;START_MAXIMIZED=FALSE&amp;creator=factset&amp;display_string=Audit"}</definedName>
    <definedName name="_546__FDSAUDITLINK__" hidden="1">{"fdsup://Directions/FactSet Auditing Viewer?action=AUDIT_VALUE&amp;DB=129&amp;ID1=29247520&amp;VALUEID=02001&amp;SDATE=201004&amp;PERIODTYPE=QTR_STD&amp;SCFT=3&amp;window=popup_no_bar&amp;width=385&amp;height=120&amp;START_MAXIMIZED=FALSE&amp;creator=factset&amp;display_string=Audit"}</definedName>
    <definedName name="_547__FDSAUDITLINK__" hidden="1">{"fdsup://Directions/FactSet Auditing Viewer?action=AUDIT_VALUE&amp;DB=129&amp;ID1=25454310&amp;VALUEID=02001&amp;SDATE=201002&amp;PERIODTYPE=QTR_STD&amp;SCFT=3&amp;window=popup_no_bar&amp;width=385&amp;height=120&amp;START_MAXIMIZED=FALSE&amp;creator=factset&amp;display_string=Audit"}</definedName>
    <definedName name="_548__FDSAUDITLINK__" hidden="1">{"fdsup://Directions/FactSet Auditing Viewer?action=AUDIT_VALUE&amp;DB=129&amp;ID1=25454310&amp;VALUEID=02001&amp;SDATE=201002&amp;PERIODTYPE=QTR_STD&amp;SCFT=3&amp;window=popup_no_bar&amp;width=385&amp;height=120&amp;START_MAXIMIZED=FALSE&amp;creator=factset&amp;display_string=Audit"}</definedName>
    <definedName name="_549__FDSAUDITLINK__" hidden="1">{"fdsup://Directions/FactSet Auditing Viewer?action=AUDIT_VALUE&amp;DB=129&amp;ID1=24702R10&amp;VALUEID=02001&amp;SDATE=201002&amp;PERIODTYPE=QTR_STD&amp;SCFT=3&amp;window=popup_no_bar&amp;width=385&amp;height=120&amp;START_MAXIMIZED=FALSE&amp;creator=factset&amp;display_string=Audit"}</definedName>
    <definedName name="_55__FDSAUDITLINK__" hidden="1">{"fdsup://Directions/FactSet Auditing Viewer?action=AUDIT_VALUE&amp;DB=129&amp;ID1=67000810&amp;VALUEID=02001&amp;SDATE=201101&amp;PERIODTYPE=QTR_STD&amp;SCFT=3&amp;window=popup_no_bar&amp;width=385&amp;height=120&amp;START_MAXIMIZED=FALSE&amp;creator=factset&amp;display_string=Audit"}</definedName>
    <definedName name="_550__FDSAUDITLINK__" hidden="1">{"fdsup://Directions/FactSet Auditing Viewer?action=AUDIT_VALUE&amp;DB=129&amp;ID1=24702R10&amp;VALUEID=02001&amp;SDATE=201002&amp;PERIODTYPE=QTR_STD&amp;SCFT=3&amp;window=popup_no_bar&amp;width=385&amp;height=120&amp;START_MAXIMIZED=FALSE&amp;creator=factset&amp;display_string=Audit"}</definedName>
    <definedName name="_551__FDSAUDITLINK__" hidden="1">{"fdsup://Directions/FactSet Auditing Viewer?action=AUDIT_VALUE&amp;DB=129&amp;ID1=23257210&amp;VALUEID=02001&amp;SDATE=201002&amp;PERIODTYPE=QTR_STD&amp;SCFT=3&amp;window=popup_no_bar&amp;width=385&amp;height=120&amp;START_MAXIMIZED=FALSE&amp;creator=factset&amp;display_string=Audit"}</definedName>
    <definedName name="_552__FDSAUDITLINK__" hidden="1">{"fdsup://Directions/FactSet Auditing Viewer?action=AUDIT_VALUE&amp;DB=129&amp;ID1=23257210&amp;VALUEID=02001&amp;SDATE=201002&amp;PERIODTYPE=QTR_STD&amp;SCFT=3&amp;window=popup_no_bar&amp;width=385&amp;height=120&amp;START_MAXIMIZED=FALSE&amp;creator=factset&amp;display_string=Audit"}</definedName>
    <definedName name="_553__FDSAUDITLINK__" hidden="1">{"fdsup://Directions/FactSet Auditing Viewer?action=AUDIT_VALUE&amp;DB=129&amp;ID1=23280610&amp;VALUEID=02001&amp;SDATE=201002&amp;PERIODTYPE=QTR_STD&amp;SCFT=3&amp;window=popup_no_bar&amp;width=385&amp;height=120&amp;START_MAXIMIZED=FALSE&amp;creator=factset&amp;display_string=Audit"}</definedName>
    <definedName name="_554__FDSAUDITLINK__" hidden="1">{"fdsup://Directions/FactSet Auditing Viewer?action=AUDIT_VALUE&amp;DB=129&amp;ID1=23280610&amp;VALUEID=02001&amp;SDATE=201002&amp;PERIODTYPE=QTR_STD&amp;SCFT=3&amp;window=popup_no_bar&amp;width=385&amp;height=120&amp;START_MAXIMIZED=FALSE&amp;creator=factset&amp;display_string=Audit"}</definedName>
    <definedName name="_555__FDSAUDITLINK__" hidden="1">{"fdsup://Directions/FactSet Auditing Viewer?action=AUDIT_VALUE&amp;DB=129&amp;ID1=17275R10&amp;VALUEID=02001&amp;SDATE=201004&amp;PERIODTYPE=QTR_STD&amp;SCFT=3&amp;window=popup_no_bar&amp;width=385&amp;height=120&amp;START_MAXIMIZED=FALSE&amp;creator=factset&amp;display_string=Audit"}</definedName>
    <definedName name="_556__FDSAUDITLINK__" hidden="1">{"fdsup://Directions/FactSet Auditing Viewer?action=AUDIT_VALUE&amp;DB=129&amp;ID1=17275R10&amp;VALUEID=02001&amp;SDATE=201004&amp;PERIODTYPE=QTR_STD&amp;SCFT=3&amp;window=popup_no_bar&amp;width=385&amp;height=120&amp;START_MAXIMIZED=FALSE&amp;creator=factset&amp;display_string=Audit"}</definedName>
    <definedName name="_557__FDSAUDITLINK__" hidden="1">{"fdsup://Directions/FactSet Auditing Viewer?action=AUDIT_VALUE&amp;DB=129&amp;ID1=22544710&amp;VALUEID=02001&amp;SDATE=201004&amp;PERIODTYPE=QTR_STD&amp;SCFT=3&amp;window=popup_no_bar&amp;width=385&amp;height=120&amp;START_MAXIMIZED=FALSE&amp;creator=factset&amp;display_string=Audit"}</definedName>
    <definedName name="_558__FDSAUDITLINK__" hidden="1">{"fdsup://Directions/FactSet Auditing Viewer?action=AUDIT_VALUE&amp;DB=129&amp;ID1=22544710&amp;VALUEID=02001&amp;SDATE=201004&amp;PERIODTYPE=QTR_STD&amp;SCFT=3&amp;window=popup_no_bar&amp;width=385&amp;height=120&amp;START_MAXIMIZED=FALSE&amp;creator=factset&amp;display_string=Audit"}</definedName>
    <definedName name="_559__FDSAUDITLINK__" hidden="1">{"fdsup://Directions/FactSet Auditing Viewer?action=AUDIT_VALUE&amp;DB=129&amp;ID1=20714230&amp;VALUEID=02001&amp;SDATE=201003&amp;PERIODTYPE=QTR_STD&amp;SCFT=3&amp;window=popup_no_bar&amp;width=385&amp;height=120&amp;START_MAXIMIZED=FALSE&amp;creator=factset&amp;display_string=Audit"}</definedName>
    <definedName name="_56__FDSAUDITLINK__" hidden="1">{"fdsup://Directions/FactSet Auditing Viewer?action=AUDIT_VALUE&amp;DB=129&amp;ID1=67000810&amp;VALUEID=02001&amp;SDATE=201101&amp;PERIODTYPE=QTR_STD&amp;SCFT=3&amp;window=popup_no_bar&amp;width=385&amp;height=120&amp;START_MAXIMIZED=FALSE&amp;creator=factset&amp;display_string=Audit"}</definedName>
    <definedName name="_560__FDSAUDITLINK__" hidden="1">{"fdsup://Directions/FactSet Auditing Viewer?action=AUDIT_VALUE&amp;DB=129&amp;ID1=20714230&amp;VALUEID=02001&amp;SDATE=201003&amp;PERIODTYPE=QTR_STD&amp;SCFT=3&amp;window=popup_no_bar&amp;width=385&amp;height=120&amp;START_MAXIMIZED=FALSE&amp;creator=factset&amp;display_string=Audit"}</definedName>
    <definedName name="_561__FDSAUDITLINK__" hidden="1">{"fdsup://Directions/FactSet Auditing Viewer?action=AUDIT_VALUE&amp;DB=129&amp;ID1=12738710&amp;VALUEID=02001&amp;SDATE=201002&amp;PERIODTYPE=QTR_STD&amp;SCFT=3&amp;window=popup_no_bar&amp;width=385&amp;height=120&amp;START_MAXIMIZED=FALSE&amp;creator=factset&amp;display_string=Audit"}</definedName>
    <definedName name="_562__FDSAUDITLINK__" hidden="1">{"fdsup://Directions/FactSet Auditing Viewer?action=AUDIT_VALUE&amp;DB=129&amp;ID1=12738710&amp;VALUEID=02001&amp;SDATE=201002&amp;PERIODTYPE=QTR_STD&amp;SCFT=3&amp;window=popup_no_bar&amp;width=385&amp;height=120&amp;START_MAXIMIZED=FALSE&amp;creator=factset&amp;display_string=Audit"}</definedName>
    <definedName name="_563__FDSAUDITLINK__" hidden="1">{"fdsup://Directions/FactSet Auditing Viewer?action=AUDIT_VALUE&amp;DB=129&amp;ID1=14964U10&amp;VALUEID=02001&amp;SDATE=201002&amp;PERIODTYPE=QTR_STD&amp;SCFT=3&amp;window=popup_no_bar&amp;width=385&amp;height=120&amp;START_MAXIMIZED=FALSE&amp;creator=factset&amp;display_string=Audit"}</definedName>
    <definedName name="_564__FDSAUDITLINK__" hidden="1">{"fdsup://Directions/FactSet Auditing Viewer?action=AUDIT_VALUE&amp;DB=129&amp;ID1=14964U10&amp;VALUEID=02001&amp;SDATE=201002&amp;PERIODTYPE=QTR_STD&amp;SCFT=3&amp;window=popup_no_bar&amp;width=385&amp;height=120&amp;START_MAXIMIZED=FALSE&amp;creator=factset&amp;display_string=Audit"}</definedName>
    <definedName name="_565__FDSAUDITLINK__" hidden="1">{"fdsup://Directions/FactSet Auditing Viewer?action=AUDIT_VALUE&amp;DB=129&amp;ID1=11162130&amp;VALUEID=02001&amp;SDATE=201003&amp;PERIODTYPE=QTR_STD&amp;SCFT=3&amp;window=popup_no_bar&amp;width=385&amp;height=120&amp;START_MAXIMIZED=FALSE&amp;creator=factset&amp;display_string=Audit"}</definedName>
    <definedName name="_566__FDSAUDITLINK__" hidden="1">{"fdsup://Directions/FactSet Auditing Viewer?action=AUDIT_VALUE&amp;DB=129&amp;ID1=11162130&amp;VALUEID=02001&amp;SDATE=201003&amp;PERIODTYPE=QTR_STD&amp;SCFT=3&amp;window=popup_no_bar&amp;width=385&amp;height=120&amp;START_MAXIMIZED=FALSE&amp;creator=factset&amp;display_string=Audit"}</definedName>
    <definedName name="_567__FDSAUDITLINK__" hidden="1">{"fdsup://Directions/FactSet Auditing Viewer?action=AUDIT_VALUE&amp;DB=129&amp;ID1=Y0486S10&amp;VALUEID=02001&amp;SDATE=201003&amp;PERIODTYPE=QTR_STD&amp;SCFT=3&amp;window=popup_no_bar&amp;width=385&amp;height=120&amp;START_MAXIMIZED=FALSE&amp;creator=factset&amp;display_string=Audit"}</definedName>
    <definedName name="_568__FDSAUDITLINK__" hidden="1">{"fdsup://Directions/FactSet Auditing Viewer?action=AUDIT_VALUE&amp;DB=129&amp;ID1=Y0486S10&amp;VALUEID=02001&amp;SDATE=201003&amp;PERIODTYPE=QTR_STD&amp;SCFT=3&amp;window=popup_no_bar&amp;width=385&amp;height=120&amp;START_MAXIMIZED=FALSE&amp;creator=factset&amp;display_string=Audit"}</definedName>
    <definedName name="_569__FDSAUDITLINK__" hidden="1">{"fdsup://Directions/FactSet Auditing Viewer?action=AUDIT_VALUE&amp;DB=129&amp;ID1=04743P10&amp;VALUEID=02001&amp;SDATE=201002&amp;PERIODTYPE=QTR_STD&amp;SCFT=3&amp;window=popup_no_bar&amp;width=385&amp;height=120&amp;START_MAXIMIZED=FALSE&amp;creator=factset&amp;display_string=Audit"}</definedName>
    <definedName name="_57__FDSAUDITLINK__" hidden="1">{"fdsup://Directions/FactSet Auditing Viewer?action=AUDIT_VALUE&amp;DB=129&amp;ID1=67066G10&amp;VALUEID=02001&amp;SDATE=201101&amp;PERIODTYPE=QTR_STD&amp;SCFT=3&amp;window=popup_no_bar&amp;width=385&amp;height=120&amp;START_MAXIMIZED=FALSE&amp;creator=factset&amp;display_string=Audit"}</definedName>
    <definedName name="_570__FDSAUDITLINK__" hidden="1">{"fdsup://Directions/FactSet Auditing Viewer?action=AUDIT_VALUE&amp;DB=129&amp;ID1=04743P10&amp;VALUEID=02001&amp;SDATE=201002&amp;PERIODTYPE=QTR_STD&amp;SCFT=3&amp;window=popup_no_bar&amp;width=385&amp;height=120&amp;START_MAXIMIZED=FALSE&amp;creator=factset&amp;display_string=Audit"}</definedName>
    <definedName name="_571__FDSAUDITLINK__" hidden="1">{"fdsup://Directions/FactSet Auditing Viewer?action=AUDIT_VALUE&amp;DB=129&amp;ID1=03251510&amp;VALUEID=02001&amp;SDATE=201002&amp;PERIODTYPE=QTR_STD&amp;SCFT=3&amp;window=popup_no_bar&amp;width=385&amp;height=120&amp;START_MAXIMIZED=FALSE&amp;creator=factset&amp;display_string=Audit"}</definedName>
    <definedName name="_572__FDSAUDITLINK__" hidden="1">{"fdsup://Directions/FactSet Auditing Viewer?action=AUDIT_VALUE&amp;DB=129&amp;ID1=03251510&amp;VALUEID=02001&amp;SDATE=201002&amp;PERIODTYPE=QTR_STD&amp;SCFT=3&amp;window=popup_no_bar&amp;width=385&amp;height=120&amp;START_MAXIMIZED=FALSE&amp;creator=factset&amp;display_string=Audit"}</definedName>
    <definedName name="_573__FDSAUDITLINK__" hidden="1">{"fdsup://Directions/FactSet Auditing Viewer?action=AUDIT_VALUE&amp;DB=129&amp;ID1=00790310&amp;VALUEID=02001&amp;SDATE=201002&amp;PERIODTYPE=QTR_STD&amp;SCFT=3&amp;window=popup_no_bar&amp;width=385&amp;height=120&amp;START_MAXIMIZED=FALSE&amp;creator=factset&amp;display_string=Audit"}</definedName>
    <definedName name="_574__FDSAUDITLINK__" hidden="1">{"fdsup://Directions/FactSet Auditing Viewer?action=AUDIT_VALUE&amp;DB=129&amp;ID1=00790310&amp;VALUEID=02001&amp;SDATE=201002&amp;PERIODTYPE=QTR_STD&amp;SCFT=3&amp;window=popup_no_bar&amp;width=385&amp;height=120&amp;START_MAXIMIZED=FALSE&amp;creator=factset&amp;display_string=Audit"}</definedName>
    <definedName name="_575__FDSAUDITLINK__" hidden="1">{"fdsup://Directions/FactSet Auditing Viewer?action=AUDIT_VALUE&amp;DB=129&amp;ID1=03822W40&amp;VALUEID=02001&amp;SDATE=201001&amp;PERIODTYPE=QTR_STD&amp;SCFT=3&amp;window=popup_no_bar&amp;width=385&amp;height=120&amp;START_MAXIMIZED=FALSE&amp;creator=factset&amp;display_string=Audit"}</definedName>
    <definedName name="_576__FDSAUDITLINK__" hidden="1">{"fdsup://Directions/FactSet Auditing Viewer?action=AUDIT_VALUE&amp;DB=129&amp;ID1=03822W40&amp;VALUEID=02001&amp;SDATE=201001&amp;PERIODTYPE=QTR_STD&amp;SCFT=3&amp;window=popup_no_bar&amp;width=385&amp;height=120&amp;START_MAXIMIZED=FALSE&amp;creator=factset&amp;display_string=Audit"}</definedName>
    <definedName name="_577__FDSAUDITLINK__" hidden="1">{"fdsup://Directions/FactSet Auditing Viewer?action=AUDIT_VALUE&amp;DB=129&amp;ID1=03822210&amp;VALUEID=02001&amp;SDATE=201003&amp;PERIODTYPE=QTR_STD&amp;SCFT=3&amp;window=popup_no_bar&amp;width=385&amp;height=120&amp;START_MAXIMIZED=FALSE&amp;creator=factset&amp;display_string=Audit"}</definedName>
    <definedName name="_578__FDSAUDITLINK__" hidden="1">{"fdsup://Directions/FactSet Auditing Viewer?action=AUDIT_VALUE&amp;DB=129&amp;ID1=03822210&amp;VALUEID=02001&amp;SDATE=201003&amp;PERIODTYPE=QTR_STD&amp;SCFT=3&amp;window=popup_no_bar&amp;width=385&amp;height=120&amp;START_MAXIMIZED=FALSE&amp;creator=factset&amp;display_string=Audit"}</definedName>
    <definedName name="_579__FDSAUDITLINK__" hidden="1">{"fdsup://Directions/FactSet Auditing Viewer?action=AUDIT_VALUE&amp;DB=129&amp;ID1=02144110&amp;VALUEID=02001&amp;SDATE=201002&amp;PERIODTYPE=QTR_STD&amp;SCFT=3&amp;window=popup_no_bar&amp;width=385&amp;height=120&amp;START_MAXIMIZED=FALSE&amp;creator=factset&amp;display_string=Audit"}</definedName>
    <definedName name="_58__FDSAUDITLINK__" hidden="1">{"fdsup://Directions/FactSet Auditing Viewer?action=AUDIT_VALUE&amp;DB=129&amp;ID1=67066G10&amp;VALUEID=02001&amp;SDATE=201101&amp;PERIODTYPE=QTR_STD&amp;SCFT=3&amp;window=popup_no_bar&amp;width=385&amp;height=120&amp;START_MAXIMIZED=FALSE&amp;creator=factset&amp;display_string=Audit"}</definedName>
    <definedName name="_580__FDSAUDITLINK__" hidden="1">{"fdsup://Directions/FactSet Auditing Viewer?action=AUDIT_VALUE&amp;DB=129&amp;ID1=02144110&amp;VALUEID=02001&amp;SDATE=201002&amp;PERIODTYPE=QTR_STD&amp;SCFT=3&amp;window=popup_no_bar&amp;width=385&amp;height=120&amp;START_MAXIMIZED=FALSE&amp;creator=factset&amp;display_string=Audit"}</definedName>
    <definedName name="_581__FDSAUDITLINK__" hidden="1">{"fdsup://Directions/FactSet Auditing Viewer?action=AUDIT_VALUE&amp;DB=129&amp;ID1=03265410&amp;VALUEID=02001&amp;SDATE=201003&amp;PERIODTYPE=QTR_STD&amp;SCFT=3&amp;window=popup_no_bar&amp;width=385&amp;height=120&amp;START_MAXIMIZED=FALSE&amp;creator=factset&amp;display_string=Audit"}</definedName>
    <definedName name="_582__FDSAUDITLINK__" hidden="1">{"fdsup://Directions/FactSet Auditing Viewer?action=AUDIT_VALUE&amp;DB=129&amp;ID1=03265410&amp;VALUEID=02001&amp;SDATE=201003&amp;PERIODTYPE=QTR_STD&amp;SCFT=3&amp;window=popup_no_bar&amp;width=385&amp;height=120&amp;START_MAXIMIZED=FALSE&amp;creator=factset&amp;display_string=Audit"}</definedName>
    <definedName name="_583__FDSAUDITLINK__" hidden="1">{"fdsup://Directions/FactSet Auditing Viewer?action=AUDIT_VALUE&amp;DB=129&amp;ID1=00752J10&amp;VALUEID=02001&amp;SDATE=201002&amp;PERIODTYPE=QTR_STD&amp;SCFT=3&amp;window=popup_no_bar&amp;width=385&amp;height=120&amp;START_MAXIMIZED=FALSE&amp;creator=factset&amp;display_string=Audit"}</definedName>
    <definedName name="_584__FDSAUDITLINK__" hidden="1">{"fdsup://Directions/FactSet Auditing Viewer?action=AUDIT_VALUE&amp;DB=129&amp;ID1=00752J10&amp;VALUEID=02001&amp;SDATE=201002&amp;PERIODTYPE=QTR_STD&amp;SCFT=3&amp;window=popup_no_bar&amp;width=385&amp;height=120&amp;START_MAXIMIZED=FALSE&amp;creator=factset&amp;display_string=Audit"}</definedName>
    <definedName name="_585__FDSAUDITLINK__" hidden="1">{"fdsup://Directions/FactSet Auditing Viewer?action=AUDIT_VALUE&amp;DB=129&amp;ID1=98975F10&amp;VALUEID=02001&amp;SDATE=201001&amp;PERIODTYPE=QTR_STD&amp;SCFT=3&amp;window=popup_no_bar&amp;width=385&amp;height=120&amp;START_MAXIMIZED=FALSE&amp;creator=factset&amp;display_string=Audit"}</definedName>
    <definedName name="_586__FDSAUDITLINK__" hidden="1">{"fdsup://Directions/FactSet Auditing Viewer?action=AUDIT_VALUE&amp;DB=129&amp;ID1=98975F10&amp;VALUEID=02001&amp;SDATE=201001&amp;PERIODTYPE=QTR_STD&amp;SCFT=3&amp;window=popup_no_bar&amp;width=385&amp;height=120&amp;START_MAXIMIZED=FALSE&amp;creator=factset&amp;display_string=Audit"}</definedName>
    <definedName name="_587__FDSAUDITLINK__" hidden="1">{"fdsup://Directions/FactSet Auditing Viewer?action=AUDIT_VALUE&amp;DB=129&amp;ID1=95810210&amp;VALUEID=02001&amp;SDATE=201003&amp;PERIODTYPE=QTR_STD&amp;SCFT=3&amp;window=popup_no_bar&amp;width=385&amp;height=120&amp;START_MAXIMIZED=FALSE&amp;creator=factset&amp;display_string=Audit"}</definedName>
    <definedName name="_588__FDSAUDITLINK__" hidden="1">{"fdsup://Directions/FactSet Auditing Viewer?action=AUDIT_VALUE&amp;DB=129&amp;ID1=95810210&amp;VALUEID=02001&amp;SDATE=201003&amp;PERIODTYPE=QTR_STD&amp;SCFT=3&amp;window=popup_no_bar&amp;width=385&amp;height=120&amp;START_MAXIMIZED=FALSE&amp;creator=factset&amp;display_string=Audit"}</definedName>
    <definedName name="_589__FDSAUDITLINK__" hidden="1">{"fdsup://Directions/FactSet Auditing Viewer?action=AUDIT_VALUE&amp;DB=129&amp;ID1=92849730&amp;VALUEID=02001&amp;SDATE=201002&amp;PERIODTYPE=QTR_STD&amp;SCFT=3&amp;window=popup_no_bar&amp;width=385&amp;height=120&amp;START_MAXIMIZED=FALSE&amp;creator=factset&amp;display_string=Audit"}</definedName>
    <definedName name="_59__FDSAUDITLINK__" hidden="1">{"fdsup://Directions/FactSet Auditing Viewer?action=AUDIT_VALUE&amp;DB=129&amp;ID1=63764010&amp;VALUEID=02001&amp;SDATE=201003&amp;PERIODTYPE=QTR_STD&amp;SCFT=3&amp;window=popup_no_bar&amp;width=385&amp;height=120&amp;START_MAXIMIZED=FALSE&amp;creator=factset&amp;display_string=Audit"}</definedName>
    <definedName name="_590__FDSAUDITLINK__" hidden="1">{"fdsup://Directions/FactSet Auditing Viewer?action=AUDIT_VALUE&amp;DB=129&amp;ID1=92849730&amp;VALUEID=02001&amp;SDATE=201002&amp;PERIODTYPE=QTR_STD&amp;SCFT=3&amp;window=popup_no_bar&amp;width=385&amp;height=120&amp;START_MAXIMIZED=FALSE&amp;creator=factset&amp;display_string=Audit"}</definedName>
    <definedName name="_591__FDSAUDITLINK__" hidden="1">{"fdsup://Directions/FactSet Auditing Viewer?action=AUDIT_VALUE&amp;DB=129&amp;ID1=92829810&amp;VALUEID=02001&amp;SDATE=201001&amp;PERIODTYPE=QTR_STD&amp;SCFT=3&amp;window=popup_no_bar&amp;width=385&amp;height=120&amp;START_MAXIMIZED=FALSE&amp;creator=factset&amp;display_string=Audit"}</definedName>
    <definedName name="_592__FDSAUDITLINK__" hidden="1">{"fdsup://Directions/FactSet Auditing Viewer?action=AUDIT_VALUE&amp;DB=129&amp;ID1=92829810&amp;VALUEID=02001&amp;SDATE=201001&amp;PERIODTYPE=QTR_STD&amp;SCFT=3&amp;window=popup_no_bar&amp;width=385&amp;height=120&amp;START_MAXIMIZED=FALSE&amp;creator=factset&amp;display_string=Audit"}</definedName>
    <definedName name="_593__FDSAUDITLINK__" hidden="1">{"fdsup://Directions/FactSet Auditing Viewer?action=AUDIT_VALUE&amp;DB=129&amp;ID1=88250810&amp;VALUEID=02001&amp;SDATE=201001&amp;PERIODTYPE=QTR_STD&amp;SCFT=3&amp;window=popup_no_bar&amp;width=385&amp;height=120&amp;START_MAXIMIZED=FALSE&amp;creator=factset&amp;display_string=Audit"}</definedName>
    <definedName name="_594__FDSAUDITLINK__" hidden="1">{"fdsup://Directions/FactSet Auditing Viewer?action=AUDIT_VALUE&amp;DB=129&amp;ID1=88250810&amp;VALUEID=02001&amp;SDATE=201001&amp;PERIODTYPE=QTR_STD&amp;SCFT=3&amp;window=popup_no_bar&amp;width=385&amp;height=120&amp;START_MAXIMIZED=FALSE&amp;creator=factset&amp;display_string=Audit"}</definedName>
    <definedName name="_595__FDSAUDITLINK__" hidden="1">{"fdsup://Directions/FactSet Auditing Viewer?action=AUDIT_VALUE&amp;DB=129&amp;ID1=89674K10&amp;VALUEID=02001&amp;SDATE=201001&amp;PERIODTYPE=QTR_STD&amp;SCFT=3&amp;window=popup_no_bar&amp;width=385&amp;height=120&amp;START_MAXIMIZED=FALSE&amp;creator=factset&amp;display_string=Audit"}</definedName>
    <definedName name="_596__FDSAUDITLINK__" hidden="1">{"fdsup://Directions/FactSet Auditing Viewer?action=AUDIT_VALUE&amp;DB=129&amp;ID1=89674K10&amp;VALUEID=02001&amp;SDATE=201001&amp;PERIODTYPE=QTR_STD&amp;SCFT=3&amp;window=popup_no_bar&amp;width=385&amp;height=120&amp;START_MAXIMIZED=FALSE&amp;creator=factset&amp;display_string=Audit"}</definedName>
    <definedName name="_597__FDSAUDITLINK__" hidden="1">{"fdsup://Directions/FactSet Auditing Viewer?action=AUDIT_VALUE&amp;DB=129&amp;ID1=83088M10&amp;VALUEID=02001&amp;SDATE=201002&amp;PERIODTYPE=QTR_STD&amp;SCFT=3&amp;window=popup_no_bar&amp;width=385&amp;height=120&amp;START_MAXIMIZED=FALSE&amp;creator=factset&amp;display_string=Audit"}</definedName>
    <definedName name="_598__FDSAUDITLINK__" hidden="1">{"fdsup://Directions/FactSet Auditing Viewer?action=AUDIT_VALUE&amp;DB=129&amp;ID1=83088M10&amp;VALUEID=02001&amp;SDATE=201002&amp;PERIODTYPE=QTR_STD&amp;SCFT=3&amp;window=popup_no_bar&amp;width=385&amp;height=120&amp;START_MAXIMIZED=FALSE&amp;creator=factset&amp;display_string=Audit"}</definedName>
    <definedName name="_599__FDSAUDITLINK__" hidden="1">{"fdsup://Directions/FactSet Auditing Viewer?action=AUDIT_VALUE&amp;DB=129&amp;ID1=G7945M10&amp;VALUEID=02001&amp;SDATE=201003&amp;PERIODTYPE=QTR_STD&amp;SCFT=3&amp;window=popup_no_bar&amp;width=385&amp;height=120&amp;START_MAXIMIZED=FALSE&amp;creator=factset&amp;display_string=Audit"}</definedName>
    <definedName name="_6__FDSAUDITLINK__" hidden="1">{"fdsup://Directions/FactSet Auditing Viewer?action=AUDIT_VALUE&amp;DB=129&amp;ID1=67066G10&amp;VALUEID=02001&amp;SDATE=201103&amp;PERIODTYPE=QTR_STD&amp;SCFT=3&amp;window=popup_no_bar&amp;width=385&amp;height=120&amp;START_MAXIMIZED=FALSE&amp;creator=factset&amp;display_string=Audit"}</definedName>
    <definedName name="_60__FDSAUDITLINK__" hidden="1">{"fdsup://Directions/FactSet Auditing Viewer?action=AUDIT_VALUE&amp;DB=129&amp;ID1=63764010&amp;VALUEID=02001&amp;SDATE=201003&amp;PERIODTYPE=QTR_STD&amp;SCFT=3&amp;window=popup_no_bar&amp;width=385&amp;height=120&amp;START_MAXIMIZED=FALSE&amp;creator=factset&amp;display_string=Audit"}</definedName>
    <definedName name="_600__FDSAUDITLINK__" hidden="1">{"fdsup://Directions/FactSet Auditing Viewer?action=AUDIT_VALUE&amp;DB=129&amp;ID1=G7945M10&amp;VALUEID=02001&amp;SDATE=201003&amp;PERIODTYPE=QTR_STD&amp;SCFT=3&amp;window=popup_no_bar&amp;width=385&amp;height=120&amp;START_MAXIMIZED=FALSE&amp;creator=factset&amp;display_string=Audit"}</definedName>
    <definedName name="_601__FDSAUDITLINK__" hidden="1">{"fdsup://Directions/FactSet Auditing Viewer?action=AUDIT_VALUE&amp;DB=129&amp;ID1=78477410&amp;VALUEID=02001&amp;SDATE=201001&amp;PERIODTYPE=QTR_STD&amp;SCFT=3&amp;window=popup_no_bar&amp;width=385&amp;height=120&amp;START_MAXIMIZED=FALSE&amp;creator=factset&amp;display_string=Audit"}</definedName>
    <definedName name="_602__FDSAUDITLINK__" hidden="1">{"fdsup://Directions/FactSet Auditing Viewer?action=AUDIT_VALUE&amp;DB=129&amp;ID1=78477410&amp;VALUEID=02001&amp;SDATE=201001&amp;PERIODTYPE=QTR_STD&amp;SCFT=3&amp;window=popup_no_bar&amp;width=385&amp;height=120&amp;START_MAXIMIZED=FALSE&amp;creator=factset&amp;display_string=Audit"}</definedName>
    <definedName name="_603__FDSAUDITLINK__" hidden="1">{"fdsup://Directions/FactSet Auditing Viewer?action=AUDIT_VALUE&amp;DB=129&amp;ID1=83547010&amp;VALUEID=02001&amp;SDATE=201001&amp;PERIODTYPE=QTR_STD&amp;SCFT=3&amp;window=popup_no_bar&amp;width=385&amp;height=120&amp;START_MAXIMIZED=FALSE&amp;creator=factset&amp;display_string=Audit"}</definedName>
    <definedName name="_604__FDSAUDITLINK__" hidden="1">{"fdsup://Directions/FactSet Auditing Viewer?action=AUDIT_VALUE&amp;DB=129&amp;ID1=83547010&amp;VALUEID=02001&amp;SDATE=201001&amp;PERIODTYPE=QTR_STD&amp;SCFT=3&amp;window=popup_no_bar&amp;width=385&amp;height=120&amp;START_MAXIMIZED=FALSE&amp;creator=factset&amp;display_string=Audit"}</definedName>
    <definedName name="_605__FDSAUDITLINK__" hidden="1">{"fdsup://Directions/FactSet Auditing Viewer?action=AUDIT_VALUE&amp;DB=129&amp;ID1=87160710&amp;VALUEID=02001&amp;SDATE=201002&amp;PERIODTYPE=QTR_STD&amp;SCFT=3&amp;window=popup_no_bar&amp;width=385&amp;height=120&amp;START_MAXIMIZED=FALSE&amp;creator=factset&amp;display_string=Audit"}</definedName>
    <definedName name="_606__FDSAUDITLINK__" hidden="1">{"fdsup://Directions/FactSet Auditing Viewer?action=AUDIT_VALUE&amp;DB=129&amp;ID1=87160710&amp;VALUEID=02001&amp;SDATE=201002&amp;PERIODTYPE=QTR_STD&amp;SCFT=3&amp;window=popup_no_bar&amp;width=385&amp;height=120&amp;START_MAXIMIZED=FALSE&amp;creator=factset&amp;display_string=Audit"}</definedName>
    <definedName name="_607__FDSAUDITLINK__" hidden="1">{"fdsup://Directions/FactSet Auditing Viewer?action=AUDIT_VALUE&amp;DB=129&amp;ID1=80004C10&amp;VALUEID=02001&amp;SDATE=201001&amp;PERIODTYPE=QTR_STD&amp;SCFT=3&amp;window=popup_no_bar&amp;width=385&amp;height=120&amp;START_MAXIMIZED=FALSE&amp;creator=factset&amp;display_string=Audit"}</definedName>
    <definedName name="_608__FDSAUDITLINK__" hidden="1">{"fdsup://Directions/FactSet Auditing Viewer?action=AUDIT_VALUE&amp;DB=129&amp;ID1=80004C10&amp;VALUEID=02001&amp;SDATE=201001&amp;PERIODTYPE=QTR_STD&amp;SCFT=3&amp;window=popup_no_bar&amp;width=385&amp;height=120&amp;START_MAXIMIZED=FALSE&amp;creator=factset&amp;display_string=Audit"}</definedName>
    <definedName name="_609__FDSAUDITLINK__" hidden="1">{"fdsup://Directions/FactSet Auditing Viewer?action=AUDIT_VALUE&amp;DB=129&amp;ID1=81685010&amp;VALUEID=02001&amp;SDATE=201001&amp;PERIODTYPE=QTR_STD&amp;SCFT=3&amp;window=popup_no_bar&amp;width=385&amp;height=120&amp;START_MAXIMIZED=FALSE&amp;creator=factset&amp;display_string=Audit"}</definedName>
    <definedName name="_61__FDSAUDITLINK__" hidden="1">{"fdsup://Directions/FactSet Auditing Viewer?action=AUDIT_VALUE&amp;DB=129&amp;ID1=64118B10&amp;VALUEID=02001&amp;SDATE=201101&amp;PERIODTYPE=QTR_STD&amp;SCFT=3&amp;window=popup_no_bar&amp;width=385&amp;height=120&amp;START_MAXIMIZED=FALSE&amp;creator=factset&amp;display_string=Audit"}</definedName>
    <definedName name="_610__FDSAUDITLINK__" hidden="1">{"fdsup://Directions/FactSet Auditing Viewer?action=AUDIT_VALUE&amp;DB=129&amp;ID1=81685010&amp;VALUEID=02001&amp;SDATE=201001&amp;PERIODTYPE=QTR_STD&amp;SCFT=3&amp;window=popup_no_bar&amp;width=385&amp;height=120&amp;START_MAXIMIZED=FALSE&amp;creator=factset&amp;display_string=Audit"}</definedName>
    <definedName name="_611__FDSAUDITLINK__" hidden="1">{"fdsup://Directions/FactSet Auditing Viewer?action=AUDIT_VALUE&amp;DB=129&amp;ID1=82691910&amp;VALUEID=02001&amp;SDATE=201001&amp;PERIODTYPE=QTR_STD&amp;SCFT=3&amp;window=popup_no_bar&amp;width=385&amp;height=120&amp;START_MAXIMIZED=FALSE&amp;creator=factset&amp;display_string=Audit"}</definedName>
    <definedName name="_612__FDSAUDITLINK__" hidden="1">{"fdsup://Directions/FactSet Auditing Viewer?action=AUDIT_VALUE&amp;DB=129&amp;ID1=82691910&amp;VALUEID=02001&amp;SDATE=201001&amp;PERIODTYPE=QTR_STD&amp;SCFT=3&amp;window=popup_no_bar&amp;width=385&amp;height=120&amp;START_MAXIMIZED=FALSE&amp;creator=factset&amp;display_string=Audit"}</definedName>
    <definedName name="_613__FDSAUDITLINK__" hidden="1">{"fdsup://Directions/FactSet Auditing Viewer?action=AUDIT_VALUE&amp;DB=129&amp;ID1=82705T10&amp;VALUEID=02001&amp;SDATE=201001&amp;PERIODTYPE=QTR_STD&amp;SCFT=3&amp;window=popup_no_bar&amp;width=385&amp;height=120&amp;START_MAXIMIZED=FALSE&amp;creator=factset&amp;display_string=Audit"}</definedName>
    <definedName name="_614__FDSAUDITLINK__" hidden="1">{"fdsup://Directions/FactSet Auditing Viewer?action=AUDIT_VALUE&amp;DB=129&amp;ID1=82705T10&amp;VALUEID=02001&amp;SDATE=201001&amp;PERIODTYPE=QTR_STD&amp;SCFT=3&amp;window=popup_no_bar&amp;width=385&amp;height=120&amp;START_MAXIMIZED=FALSE&amp;creator=factset&amp;display_string=Audit"}</definedName>
    <definedName name="_615__FDSAUDITLINK__" hidden="1">{"fdsup://Directions/FactSet Auditing Viewer?action=AUDIT_VALUE&amp;DB=129&amp;ID1=75091710&amp;VALUEID=02001&amp;SDATE=201001&amp;PERIODTYPE=QTR_STD&amp;SCFT=3&amp;window=popup_no_bar&amp;width=385&amp;height=120&amp;START_MAXIMIZED=FALSE&amp;creator=factset&amp;display_string=Audit"}</definedName>
    <definedName name="_616__FDSAUDITLINK__" hidden="1">{"fdsup://Directions/FactSet Auditing Viewer?action=AUDIT_VALUE&amp;DB=129&amp;ID1=75091710&amp;VALUEID=02001&amp;SDATE=201001&amp;PERIODTYPE=QTR_STD&amp;SCFT=3&amp;window=popup_no_bar&amp;width=385&amp;height=120&amp;START_MAXIMIZED=FALSE&amp;creator=factset&amp;display_string=Audit"}</definedName>
    <definedName name="_617__FDSAUDITLINK__" hidden="1">{"fdsup://Directions/FactSet Auditing Viewer?action=AUDIT_VALUE&amp;DB=129&amp;ID1=74752510&amp;VALUEID=02001&amp;SDATE=201002&amp;PERIODTYPE=QTR_STD&amp;SCFT=3&amp;window=popup_no_bar&amp;width=385&amp;height=120&amp;START_MAXIMIZED=FALSE&amp;creator=factset&amp;display_string=Audit"}</definedName>
    <definedName name="_618__FDSAUDITLINK__" hidden="1">{"fdsup://Directions/FactSet Auditing Viewer?action=AUDIT_VALUE&amp;DB=129&amp;ID1=74752510&amp;VALUEID=02001&amp;SDATE=201002&amp;PERIODTYPE=QTR_STD&amp;SCFT=3&amp;window=popup_no_bar&amp;width=385&amp;height=120&amp;START_MAXIMIZED=FALSE&amp;creator=factset&amp;display_string=Audit"}</definedName>
    <definedName name="_619__FDSAUDITLINK__" hidden="1">{"fdsup://Directions/FactSet Auditing Viewer?action=AUDIT_VALUE&amp;DB=129&amp;ID1=72581M30&amp;VALUEID=02001&amp;SDATE=201001&amp;PERIODTYPE=QTR_STD&amp;SCFT=3&amp;window=popup_no_bar&amp;width=385&amp;height=120&amp;START_MAXIMIZED=FALSE&amp;creator=factset&amp;display_string=Audit"}</definedName>
    <definedName name="_62__FDSAUDITLINK__" hidden="1">{"fdsup://Directions/FactSet Auditing Viewer?action=AUDIT_VALUE&amp;DB=129&amp;ID1=64118B10&amp;VALUEID=02001&amp;SDATE=201101&amp;PERIODTYPE=QTR_STD&amp;SCFT=3&amp;window=popup_no_bar&amp;width=385&amp;height=120&amp;START_MAXIMIZED=FALSE&amp;creator=factset&amp;display_string=Audit"}</definedName>
    <definedName name="_620__FDSAUDITLINK__" hidden="1">{"fdsup://Directions/FactSet Auditing Viewer?action=AUDIT_VALUE&amp;DB=129&amp;ID1=72581M30&amp;VALUEID=02001&amp;SDATE=201001&amp;PERIODTYPE=QTR_STD&amp;SCFT=3&amp;window=popup_no_bar&amp;width=385&amp;height=120&amp;START_MAXIMIZED=FALSE&amp;creator=factset&amp;display_string=Audit"}</definedName>
    <definedName name="_621__FDSAUDITLINK__" hidden="1">{"fdsup://Directions/FactSet Auditing Viewer?action=AUDIT_VALUE&amp;DB=129&amp;ID1=73927610&amp;VALUEID=02001&amp;SDATE=201001&amp;PERIODTYPE=QTR_STD&amp;SCFT=3&amp;window=popup_no_bar&amp;width=385&amp;height=120&amp;START_MAXIMIZED=FALSE&amp;creator=factset&amp;display_string=Audit"}</definedName>
    <definedName name="_622__FDSAUDITLINK__" hidden="1">{"fdsup://Directions/FactSet Auditing Viewer?action=AUDIT_VALUE&amp;DB=129&amp;ID1=73927610&amp;VALUEID=02001&amp;SDATE=201001&amp;PERIODTYPE=QTR_STD&amp;SCFT=3&amp;window=popup_no_bar&amp;width=385&amp;height=120&amp;START_MAXIMIZED=FALSE&amp;creator=factset&amp;display_string=Audit"}</definedName>
    <definedName name="_623__FDSAUDITLINK__" hidden="1">{"fdsup://Directions/FactSet Auditing Viewer?action=AUDIT_VALUE&amp;DB=129&amp;ID1=69344F10&amp;VALUEID=02001&amp;SDATE=201001&amp;PERIODTYPE=QTR_STD&amp;SCFT=3&amp;window=popup_no_bar&amp;width=385&amp;height=120&amp;START_MAXIMIZED=FALSE&amp;creator=factset&amp;display_string=Audit"}</definedName>
    <definedName name="_624__FDSAUDITLINK__" hidden="1">{"fdsup://Directions/FactSet Auditing Viewer?action=AUDIT_VALUE&amp;DB=129&amp;ID1=69344F10&amp;VALUEID=02001&amp;SDATE=201001&amp;PERIODTYPE=QTR_STD&amp;SCFT=3&amp;window=popup_no_bar&amp;width=385&amp;height=120&amp;START_MAXIMIZED=FALSE&amp;creator=factset&amp;display_string=Audit"}</definedName>
    <definedName name="_625__FDSAUDITLINK__" hidden="1">{"fdsup://Directions/FactSet Auditing Viewer?action=AUDIT_VALUE&amp;DB=129&amp;ID1=69341710&amp;VALUEID=02001&amp;SDATE=201001&amp;PERIODTYPE=QTR_STD&amp;SCFT=3&amp;window=popup_no_bar&amp;width=385&amp;height=120&amp;START_MAXIMIZED=FALSE&amp;creator=factset&amp;display_string=Audit"}</definedName>
    <definedName name="_626__FDSAUDITLINK__" hidden="1">{"fdsup://Directions/FactSet Auditing Viewer?action=AUDIT_VALUE&amp;DB=129&amp;ID1=69341710&amp;VALUEID=02001&amp;SDATE=201001&amp;PERIODTYPE=QTR_STD&amp;SCFT=3&amp;window=popup_no_bar&amp;width=385&amp;height=120&amp;START_MAXIMIZED=FALSE&amp;creator=factset&amp;display_string=Audit"}</definedName>
    <definedName name="_627__FDSAUDITLINK__" hidden="1">{"fdsup://Directions/FactSet Auditing Viewer?action=AUDIT_VALUE&amp;DB=129&amp;ID1=68218910&amp;VALUEID=02001&amp;SDATE=201001&amp;PERIODTYPE=QTR_STD&amp;SCFT=3&amp;window=popup_no_bar&amp;width=385&amp;height=120&amp;START_MAXIMIZED=FALSE&amp;creator=factset&amp;display_string=Audit"}</definedName>
    <definedName name="_628__FDSAUDITLINK__" hidden="1">{"fdsup://Directions/FactSet Auditing Viewer?action=AUDIT_VALUE&amp;DB=129&amp;ID1=68218910&amp;VALUEID=02001&amp;SDATE=201001&amp;PERIODTYPE=QTR_STD&amp;SCFT=3&amp;window=popup_no_bar&amp;width=385&amp;height=120&amp;START_MAXIMIZED=FALSE&amp;creator=factset&amp;display_string=Audit"}</definedName>
    <definedName name="_629__FDSAUDITLINK__" hidden="1">{"fdsup://Directions/FactSet Auditing Viewer?action=AUDIT_VALUE&amp;DB=129&amp;ID1=B505PN&amp;VALUEID=02001&amp;SDATE=201001&amp;PERIODTYPE=QTR_STD&amp;SCFT=3&amp;window=popup_no_bar&amp;width=385&amp;height=120&amp;START_MAXIMIZED=FALSE&amp;creator=factset&amp;display_string=Audit"}</definedName>
    <definedName name="_63__FDSAUDITLINK__" hidden="1">{"fdsup://Directions/FactSet Auditing Viewer?action=AUDIT_VALUE&amp;DB=129&amp;ID1=57772K10&amp;VALUEID=02001&amp;SDATE=201103&amp;PERIODTYPE=QTR_STD&amp;SCFT=3&amp;window=popup_no_bar&amp;width=385&amp;height=120&amp;START_MAXIMIZED=FALSE&amp;creator=factset&amp;display_string=Audit"}</definedName>
    <definedName name="_630__FDSAUDITLINK__" hidden="1">{"fdsup://Directions/FactSet Auditing Viewer?action=AUDIT_VALUE&amp;DB=129&amp;ID1=B505PN&amp;VALUEID=02001&amp;SDATE=201001&amp;PERIODTYPE=QTR_STD&amp;SCFT=3&amp;window=popup_no_bar&amp;width=385&amp;height=120&amp;START_MAXIMIZED=FALSE&amp;creator=factset&amp;display_string=Audit"}</definedName>
    <definedName name="_631__FDSAUDITLINK__" hidden="1">{"fdsup://Directions/FactSet Auditing Viewer?action=AUDIT_VALUE&amp;DB=129&amp;ID1=67000810&amp;VALUEID=02001&amp;SDATE=201001&amp;PERIODTYPE=QTR_STD&amp;SCFT=3&amp;window=popup_no_bar&amp;width=385&amp;height=120&amp;START_MAXIMIZED=FALSE&amp;creator=factset&amp;display_string=Audit"}</definedName>
    <definedName name="_632__FDSAUDITLINK__" hidden="1">{"fdsup://Directions/FactSet Auditing Viewer?action=AUDIT_VALUE&amp;DB=129&amp;ID1=67000810&amp;VALUEID=02001&amp;SDATE=201001&amp;PERIODTYPE=QTR_STD&amp;SCFT=3&amp;window=popup_no_bar&amp;width=385&amp;height=120&amp;START_MAXIMIZED=FALSE&amp;creator=factset&amp;display_string=Audit"}</definedName>
    <definedName name="_633__FDSAUDITLINK__" hidden="1">{"fdsup://Directions/FactSet Auditing Viewer?action=AUDIT_VALUE&amp;DB=129&amp;ID1=67066G10&amp;VALUEID=02001&amp;SDATE=201001&amp;PERIODTYPE=QTR_STD&amp;SCFT=3&amp;window=popup_no_bar&amp;width=385&amp;height=120&amp;START_MAXIMIZED=FALSE&amp;creator=factset&amp;display_string=Audit"}</definedName>
    <definedName name="_634__FDSAUDITLINK__" hidden="1">{"fdsup://Directions/FactSet Auditing Viewer?action=AUDIT_VALUE&amp;DB=129&amp;ID1=67066G10&amp;VALUEID=02001&amp;SDATE=201001&amp;PERIODTYPE=QTR_STD&amp;SCFT=3&amp;window=popup_no_bar&amp;width=385&amp;height=120&amp;START_MAXIMIZED=FALSE&amp;creator=factset&amp;display_string=Audit"}</definedName>
    <definedName name="_635__FDSAUDITLINK__" hidden="1">{"fdsup://Directions/FactSet Auditing Viewer?action=AUDIT_VALUE&amp;DB=129&amp;ID1=63764010&amp;VALUEID=02001&amp;SDATE=200903&amp;PERIODTYPE=QTR_STD&amp;SCFT=3&amp;window=popup_no_bar&amp;width=385&amp;height=120&amp;START_MAXIMIZED=FALSE&amp;creator=factset&amp;display_string=Audit"}</definedName>
    <definedName name="_636__FDSAUDITLINK__" hidden="1">{"fdsup://Directions/FactSet Auditing Viewer?action=AUDIT_VALUE&amp;DB=129&amp;ID1=63764010&amp;VALUEID=02001&amp;SDATE=200903&amp;PERIODTYPE=QTR_STD&amp;SCFT=3&amp;window=popup_no_bar&amp;width=385&amp;height=120&amp;START_MAXIMIZED=FALSE&amp;creator=factset&amp;display_string=Audit"}</definedName>
    <definedName name="_637__FDSAUDITLINK__" hidden="1">{"fdsup://Directions/FactSet Auditing Viewer?action=AUDIT_VALUE&amp;DB=129&amp;ID1=64118B10&amp;VALUEID=02001&amp;SDATE=201001&amp;PERIODTYPE=QTR_STD&amp;SCFT=3&amp;window=popup_no_bar&amp;width=385&amp;height=120&amp;START_MAXIMIZED=FALSE&amp;creator=factset&amp;display_string=Audit"}</definedName>
    <definedName name="_638__FDSAUDITLINK__" hidden="1">{"fdsup://Directions/FactSet Auditing Viewer?action=AUDIT_VALUE&amp;DB=129&amp;ID1=64118B10&amp;VALUEID=02001&amp;SDATE=201001&amp;PERIODTYPE=QTR_STD&amp;SCFT=3&amp;window=popup_no_bar&amp;width=385&amp;height=120&amp;START_MAXIMIZED=FALSE&amp;creator=factset&amp;display_string=Audit"}</definedName>
    <definedName name="_639__FDSAUDITLINK__" hidden="1">{"fdsup://Directions/FactSet Auditing Viewer?action=AUDIT_VALUE&amp;DB=129&amp;ID1=57772K10&amp;VALUEID=02001&amp;SDATE=201003&amp;PERIODTYPE=QTR_STD&amp;SCFT=3&amp;window=popup_no_bar&amp;width=385&amp;height=120&amp;START_MAXIMIZED=FALSE&amp;creator=factset&amp;display_string=Audit"}</definedName>
    <definedName name="_64__FDSAUDITLINK__" hidden="1">{"fdsup://Directions/FactSet Auditing Viewer?action=AUDIT_VALUE&amp;DB=129&amp;ID1=57772K10&amp;VALUEID=02001&amp;SDATE=201103&amp;PERIODTYPE=QTR_STD&amp;SCFT=3&amp;window=popup_no_bar&amp;width=385&amp;height=120&amp;START_MAXIMIZED=FALSE&amp;creator=factset&amp;display_string=Audit"}</definedName>
    <definedName name="_640__FDSAUDITLINK__" hidden="1">{"fdsup://Directions/FactSet Auditing Viewer?action=AUDIT_VALUE&amp;DB=129&amp;ID1=57772K10&amp;VALUEID=02001&amp;SDATE=201003&amp;PERIODTYPE=QTR_STD&amp;SCFT=3&amp;window=popup_no_bar&amp;width=385&amp;height=120&amp;START_MAXIMIZED=FALSE&amp;creator=factset&amp;display_string=Audit"}</definedName>
    <definedName name="_641__FDSAUDITLINK__" hidden="1">{"fdsup://Directions/FactSet Auditing Viewer?action=AUDIT_VALUE&amp;DB=129&amp;ID1=59511210&amp;VALUEID=02001&amp;SDATE=201002&amp;PERIODTYPE=QTR_STD&amp;SCFT=3&amp;window=popup_no_bar&amp;width=385&amp;height=120&amp;START_MAXIMIZED=FALSE&amp;creator=factset&amp;display_string=Audit"}</definedName>
    <definedName name="_642__FDSAUDITLINK__" hidden="1">{"fdsup://Directions/FactSet Auditing Viewer?action=AUDIT_VALUE&amp;DB=129&amp;ID1=59511210&amp;VALUEID=02001&amp;SDATE=201002&amp;PERIODTYPE=QTR_STD&amp;SCFT=3&amp;window=popup_no_bar&amp;width=385&amp;height=120&amp;START_MAXIMIZED=FALSE&amp;creator=factset&amp;display_string=Audit"}</definedName>
    <definedName name="_643__FDSAUDITLINK__" hidden="1">{"fdsup://Directions/FactSet Auditing Viewer?action=AUDIT_VALUE&amp;DB=129&amp;ID1=59513710&amp;VALUEID=02001&amp;SDATE=201002&amp;PERIODTYPE=QTR_STD&amp;SCFT=3&amp;window=popup_no_bar&amp;width=385&amp;height=120&amp;START_MAXIMIZED=FALSE&amp;creator=factset&amp;display_string=Audit"}</definedName>
    <definedName name="_644__FDSAUDITLINK__" hidden="1">{"fdsup://Directions/FactSet Auditing Viewer?action=AUDIT_VALUE&amp;DB=129&amp;ID1=59513710&amp;VALUEID=02001&amp;SDATE=201002&amp;PERIODTYPE=QTR_STD&amp;SCFT=3&amp;window=popup_no_bar&amp;width=385&amp;height=120&amp;START_MAXIMIZED=FALSE&amp;creator=factset&amp;display_string=Audit"}</definedName>
    <definedName name="_645__FDSAUDITLINK__" hidden="1">{"fdsup://Directions/FactSet Auditing Viewer?action=AUDIT_VALUE&amp;DB=129&amp;ID1=G5876H10&amp;VALUEID=02001&amp;SDATE=201001&amp;PERIODTYPE=QTR_STD&amp;SCFT=3&amp;window=popup_no_bar&amp;width=385&amp;height=120&amp;START_MAXIMIZED=FALSE&amp;creator=factset&amp;display_string=Audit"}</definedName>
    <definedName name="_646__FDSAUDITLINK__" hidden="1">{"fdsup://Directions/FactSet Auditing Viewer?action=AUDIT_VALUE&amp;DB=129&amp;ID1=G5876H10&amp;VALUEID=02001&amp;SDATE=201001&amp;PERIODTYPE=QTR_STD&amp;SCFT=3&amp;window=popup_no_bar&amp;width=385&amp;height=120&amp;START_MAXIMIZED=FALSE&amp;creator=factset&amp;display_string=Audit"}</definedName>
    <definedName name="_647__FDSAUDITLINK__" hidden="1">{"fdsup://Directions/FactSet Auditing Viewer?action=AUDIT_VALUE&amp;DB=129&amp;ID1=62007630&amp;VALUEID=02001&amp;SDATE=201001&amp;PERIODTYPE=QTR_STD&amp;SCFT=3&amp;window=popup_no_bar&amp;width=385&amp;height=120&amp;START_MAXIMIZED=FALSE&amp;creator=factset&amp;display_string=Audit"}</definedName>
    <definedName name="_648__FDSAUDITLINK__" hidden="1">{"fdsup://Directions/FactSet Auditing Viewer?action=AUDIT_VALUE&amp;DB=129&amp;ID1=62007630&amp;VALUEID=02001&amp;SDATE=201001&amp;PERIODTYPE=QTR_STD&amp;SCFT=3&amp;window=popup_no_bar&amp;width=385&amp;height=120&amp;START_MAXIMIZED=FALSE&amp;creator=factset&amp;display_string=Audit"}</definedName>
    <definedName name="_649__FDSAUDITLINK__" hidden="1">{"fdsup://Directions/FactSet Auditing Viewer?action=AUDIT_VALUE&amp;DB=129&amp;ID1=60456710&amp;VALUEID=02001&amp;SDATE=201003&amp;PERIODTYPE=QTR_STD&amp;SCFT=3&amp;window=popup_no_bar&amp;width=385&amp;height=120&amp;START_MAXIMIZED=FALSE&amp;creator=factset&amp;display_string=Audit"}</definedName>
    <definedName name="_65__FDSAUDITLINK__" hidden="1">{"fdsup://Directions/FactSet Auditing Viewer?action=AUDIT_VALUE&amp;DB=129&amp;ID1=59511210&amp;VALUEID=02001&amp;SDATE=201102&amp;PERIODTYPE=QTR_STD&amp;SCFT=3&amp;window=popup_no_bar&amp;width=385&amp;height=120&amp;START_MAXIMIZED=FALSE&amp;creator=factset&amp;display_string=Audit"}</definedName>
    <definedName name="_650__FDSAUDITLINK__" hidden="1">{"fdsup://Directions/FactSet Auditing Viewer?action=AUDIT_VALUE&amp;DB=129&amp;ID1=60456710&amp;VALUEID=02001&amp;SDATE=201003&amp;PERIODTYPE=QTR_STD&amp;SCFT=3&amp;window=popup_no_bar&amp;width=385&amp;height=120&amp;START_MAXIMIZED=FALSE&amp;creator=factset&amp;display_string=Audit"}</definedName>
    <definedName name="_651__FDSAUDITLINK__" hidden="1">{"fdsup://Directions/FactSet Auditing Viewer?action=AUDIT_VALUE&amp;DB=129&amp;ID1=59479310&amp;VALUEID=02001&amp;SDATE=201001&amp;PERIODTYPE=QTR_STD&amp;SCFT=3&amp;window=popup_no_bar&amp;width=385&amp;height=120&amp;START_MAXIMIZED=FALSE&amp;creator=factset&amp;display_string=Audit"}</definedName>
    <definedName name="_652__FDSAUDITLINK__" hidden="1">{"fdsup://Directions/FactSet Auditing Viewer?action=AUDIT_VALUE&amp;DB=129&amp;ID1=59479310&amp;VALUEID=02001&amp;SDATE=201001&amp;PERIODTYPE=QTR_STD&amp;SCFT=3&amp;window=popup_no_bar&amp;width=385&amp;height=120&amp;START_MAXIMIZED=FALSE&amp;creator=factset&amp;display_string=Audit"}</definedName>
    <definedName name="_653__FDSAUDITLINK__" hidden="1">{"fdsup://Directions/FactSet Auditing Viewer?action=AUDIT_VALUE&amp;DB=129&amp;ID1=50216110&amp;VALUEID=02001&amp;SDATE=201001&amp;PERIODTYPE=QTR_STD&amp;SCFT=3&amp;window=popup_no_bar&amp;width=385&amp;height=120&amp;START_MAXIMIZED=FALSE&amp;creator=factset&amp;display_string=Audit"}</definedName>
    <definedName name="_654__FDSAUDITLINK__" hidden="1">{"fdsup://Directions/FactSet Auditing Viewer?action=AUDIT_VALUE&amp;DB=129&amp;ID1=50216110&amp;VALUEID=02001&amp;SDATE=201001&amp;PERIODTYPE=QTR_STD&amp;SCFT=3&amp;window=popup_no_bar&amp;width=385&amp;height=120&amp;START_MAXIMIZED=FALSE&amp;creator=factset&amp;display_string=Audit"}</definedName>
    <definedName name="_655__FDSAUDITLINK__" hidden="1">{"fdsup://Directions/FactSet Auditing Viewer?action=AUDIT_VALUE&amp;DB=129&amp;ID1=51841510&amp;VALUEID=02001&amp;SDATE=201001&amp;PERIODTYPE=QTR_STD&amp;SCFT=3&amp;window=popup_no_bar&amp;width=385&amp;height=120&amp;START_MAXIMIZED=FALSE&amp;creator=factset&amp;display_string=Audit"}</definedName>
    <definedName name="_656__FDSAUDITLINK__" hidden="1">{"fdsup://Directions/FactSet Auditing Viewer?action=AUDIT_VALUE&amp;DB=129&amp;ID1=51841510&amp;VALUEID=02001&amp;SDATE=201001&amp;PERIODTYPE=QTR_STD&amp;SCFT=3&amp;window=popup_no_bar&amp;width=385&amp;height=120&amp;START_MAXIMIZED=FALSE&amp;creator=factset&amp;display_string=Audit"}</definedName>
    <definedName name="_657__FDSAUDITLINK__" hidden="1">{"fdsup://Directions/FactSet Auditing Viewer?action=AUDIT_VALUE&amp;DB=129&amp;ID1=51280710&amp;VALUEID=02001&amp;SDATE=201003&amp;PERIODTYPE=QTR_STD&amp;SCFT=3&amp;window=popup_no_bar&amp;width=385&amp;height=120&amp;START_MAXIMIZED=FALSE&amp;creator=factset&amp;display_string=Audit"}</definedName>
    <definedName name="_658__FDSAUDITLINK__" hidden="1">{"fdsup://Directions/FactSet Auditing Viewer?action=AUDIT_VALUE&amp;DB=129&amp;ID1=51280710&amp;VALUEID=02001&amp;SDATE=201003&amp;PERIODTYPE=QTR_STD&amp;SCFT=3&amp;window=popup_no_bar&amp;width=385&amp;height=120&amp;START_MAXIMIZED=FALSE&amp;creator=factset&amp;display_string=Audit"}</definedName>
    <definedName name="_659__FDSAUDITLINK__" hidden="1">{"fdsup://Directions/FactSet Auditing Viewer?action=AUDIT_VALUE&amp;DB=129&amp;ID1=53567810&amp;VALUEID=02001&amp;SDATE=201003&amp;PERIODTYPE=QTR_STD&amp;SCFT=3&amp;window=popup_no_bar&amp;width=385&amp;height=120&amp;START_MAXIMIZED=FALSE&amp;creator=factset&amp;display_string=Audit"}</definedName>
    <definedName name="_66__FDSAUDITLINK__" hidden="1">{"fdsup://Directions/FactSet Auditing Viewer?action=AUDIT_VALUE&amp;DB=129&amp;ID1=59511210&amp;VALUEID=02001&amp;SDATE=201102&amp;PERIODTYPE=QTR_STD&amp;SCFT=3&amp;window=popup_no_bar&amp;width=385&amp;height=120&amp;START_MAXIMIZED=FALSE&amp;creator=factset&amp;display_string=Audit"}</definedName>
    <definedName name="_660__FDSAUDITLINK__" hidden="1">{"fdsup://Directions/FactSet Auditing Viewer?action=AUDIT_VALUE&amp;DB=129&amp;ID1=53567810&amp;VALUEID=02001&amp;SDATE=201003&amp;PERIODTYPE=QTR_STD&amp;SCFT=3&amp;window=popup_no_bar&amp;width=385&amp;height=120&amp;START_MAXIMIZED=FALSE&amp;creator=factset&amp;display_string=Audit"}</definedName>
    <definedName name="_661__FDSAUDITLINK__" hidden="1">{"fdsup://Directions/FactSet Auditing Viewer?action=AUDIT_VALUE&amp;DB=129&amp;ID1=48248010&amp;VALUEID=02001&amp;SDATE=201003&amp;PERIODTYPE=QTR_STD&amp;SCFT=3&amp;window=popup_no_bar&amp;width=385&amp;height=120&amp;START_MAXIMIZED=FALSE&amp;creator=factset&amp;display_string=Audit"}</definedName>
    <definedName name="_662__FDSAUDITLINK__" hidden="1">{"fdsup://Directions/FactSet Auditing Viewer?action=AUDIT_VALUE&amp;DB=129&amp;ID1=48248010&amp;VALUEID=02001&amp;SDATE=201003&amp;PERIODTYPE=QTR_STD&amp;SCFT=3&amp;window=popup_no_bar&amp;width=385&amp;height=120&amp;START_MAXIMIZED=FALSE&amp;creator=factset&amp;display_string=Audit"}</definedName>
    <definedName name="_663__FDSAUDITLINK__" hidden="1">{"fdsup://Directions/FactSet Auditing Viewer?action=AUDIT_VALUE&amp;DB=129&amp;ID1=48203R10&amp;VALUEID=02001&amp;SDATE=201001&amp;PERIODTYPE=QTR_STD&amp;SCFT=3&amp;window=popup_no_bar&amp;width=385&amp;height=120&amp;START_MAXIMIZED=FALSE&amp;creator=factset&amp;display_string=Audit"}</definedName>
    <definedName name="_664__FDSAUDITLINK__" hidden="1">{"fdsup://Directions/FactSet Auditing Viewer?action=AUDIT_VALUE&amp;DB=129&amp;ID1=48203R10&amp;VALUEID=02001&amp;SDATE=201001&amp;PERIODTYPE=QTR_STD&amp;SCFT=3&amp;window=popup_no_bar&amp;width=385&amp;height=120&amp;START_MAXIMIZED=FALSE&amp;creator=factset&amp;display_string=Audit"}</definedName>
    <definedName name="_665__FDSAUDITLINK__" hidden="1">{"fdsup://Directions/FactSet Auditing Viewer?action=AUDIT_VALUE&amp;DB=129&amp;ID1=46069S10&amp;VALUEID=02001&amp;SDATE=201001&amp;PERIODTYPE=QTR_STD&amp;SCFT=3&amp;window=popup_no_bar&amp;width=385&amp;height=120&amp;START_MAXIMIZED=FALSE&amp;creator=factset&amp;display_string=Audit"}</definedName>
    <definedName name="_666__FDSAUDITLINK__" hidden="1">{"fdsup://Directions/FactSet Auditing Viewer?action=AUDIT_VALUE&amp;DB=129&amp;ID1=46069S10&amp;VALUEID=02001&amp;SDATE=201001&amp;PERIODTYPE=QTR_STD&amp;SCFT=3&amp;window=popup_no_bar&amp;width=385&amp;height=120&amp;START_MAXIMIZED=FALSE&amp;creator=factset&amp;display_string=Audit"}</definedName>
    <definedName name="_667__FDSAUDITLINK__" hidden="1">{"fdsup://Directions/FactSet Auditing Viewer?action=AUDIT_VALUE&amp;DB=129&amp;ID1=46025410&amp;VALUEID=02001&amp;SDATE=201003&amp;PERIODTYPE=QTR_STD&amp;SCFT=3&amp;window=popup_no_bar&amp;width=385&amp;height=120&amp;START_MAXIMIZED=FALSE&amp;creator=factset&amp;display_string=Audit"}</definedName>
    <definedName name="_668__FDSAUDITLINK__" hidden="1">{"fdsup://Directions/FactSet Auditing Viewer?action=AUDIT_VALUE&amp;DB=129&amp;ID1=46025410&amp;VALUEID=02001&amp;SDATE=201003&amp;PERIODTYPE=QTR_STD&amp;SCFT=3&amp;window=popup_no_bar&amp;width=385&amp;height=120&amp;START_MAXIMIZED=FALSE&amp;creator=factset&amp;display_string=Audit"}</definedName>
    <definedName name="_669__FDSAUDITLINK__" hidden="1">{"fdsup://Directions/FactSet Auditing Viewer?action=AUDIT_VALUE&amp;DB=129&amp;ID1=45814010&amp;VALUEID=02001&amp;SDATE=201001&amp;PERIODTYPE=QTR_STD&amp;SCFT=3&amp;window=popup_no_bar&amp;width=385&amp;height=120&amp;START_MAXIMIZED=FALSE&amp;creator=factset&amp;display_string=Audit"}</definedName>
    <definedName name="_67__FDSAUDITLINK__" hidden="1">{"fdsup://Directions/FactSet Auditing Viewer?action=AUDIT_VALUE&amp;DB=129&amp;ID1=59513710&amp;VALUEID=02001&amp;SDATE=201102&amp;PERIODTYPE=QTR_STD&amp;SCFT=3&amp;window=popup_no_bar&amp;width=385&amp;height=120&amp;START_MAXIMIZED=FALSE&amp;creator=factset&amp;display_string=Audit"}</definedName>
    <definedName name="_670__FDSAUDITLINK__" hidden="1">{"fdsup://Directions/FactSet Auditing Viewer?action=AUDIT_VALUE&amp;DB=129&amp;ID1=45814010&amp;VALUEID=02001&amp;SDATE=201001&amp;PERIODTYPE=QTR_STD&amp;SCFT=3&amp;window=popup_no_bar&amp;width=385&amp;height=120&amp;START_MAXIMIZED=FALSE&amp;creator=factset&amp;display_string=Audit"}</definedName>
    <definedName name="_671__FDSAUDITLINK__" hidden="1">{"fdsup://Directions/FactSet Auditing Viewer?action=AUDIT_VALUE&amp;DB=129&amp;ID1=42823610&amp;VALUEID=02001&amp;SDATE=201002&amp;PERIODTYPE=QTR_STD&amp;SCFT=3&amp;window=popup_no_bar&amp;width=385&amp;height=120&amp;START_MAXIMIZED=FALSE&amp;creator=factset&amp;display_string=Audit"}</definedName>
    <definedName name="_672__FDSAUDITLINK__" hidden="1">{"fdsup://Directions/FactSet Auditing Viewer?action=AUDIT_VALUE&amp;DB=129&amp;ID1=42823610&amp;VALUEID=02001&amp;SDATE=201002&amp;PERIODTYPE=QTR_STD&amp;SCFT=3&amp;window=popup_no_bar&amp;width=385&amp;height=120&amp;START_MAXIMIZED=FALSE&amp;creator=factset&amp;display_string=Audit"}</definedName>
    <definedName name="_673__FDSAUDITLINK__" hidden="1">{"fdsup://Directions/FactSet Auditing Viewer?action=AUDIT_VALUE&amp;DB=129&amp;ID1=H2906T10&amp;VALUEID=02001&amp;SDATE=201001&amp;PERIODTYPE=QTR_STD&amp;SCFT=3&amp;window=popup_no_bar&amp;width=385&amp;height=120&amp;START_MAXIMIZED=FALSE&amp;creator=factset&amp;display_string=Audit"}</definedName>
    <definedName name="_674__FDSAUDITLINK__" hidden="1">{"fdsup://Directions/FactSet Auditing Viewer?action=AUDIT_VALUE&amp;DB=129&amp;ID1=H2906T10&amp;VALUEID=02001&amp;SDATE=201001&amp;PERIODTYPE=QTR_STD&amp;SCFT=3&amp;window=popup_no_bar&amp;width=385&amp;height=120&amp;START_MAXIMIZED=FALSE&amp;creator=factset&amp;display_string=Audit"}</definedName>
    <definedName name="_675__FDSAUDITLINK__" hidden="1">{"fdsup://Directions/FactSet Auditing Viewer?action=AUDIT_VALUE&amp;DB=129&amp;ID1=34637510&amp;VALUEID=02001&amp;SDATE=201001&amp;PERIODTYPE=QTR_STD&amp;SCFT=3&amp;window=popup_no_bar&amp;width=385&amp;height=120&amp;START_MAXIMIZED=FALSE&amp;creator=factset&amp;display_string=Audit"}</definedName>
    <definedName name="_676__FDSAUDITLINK__" hidden="1">{"fdsup://Directions/FactSet Auditing Viewer?action=AUDIT_VALUE&amp;DB=129&amp;ID1=34637510&amp;VALUEID=02001&amp;SDATE=201001&amp;PERIODTYPE=QTR_STD&amp;SCFT=3&amp;window=popup_no_bar&amp;width=385&amp;height=120&amp;START_MAXIMIZED=FALSE&amp;creator=factset&amp;display_string=Audit"}</definedName>
    <definedName name="_677__FDSAUDITLINK__" hidden="1">{"fdsup://Directions/FactSet Auditing Viewer?action=AUDIT_VALUE&amp;DB=129&amp;ID1=31561610&amp;VALUEID=02001&amp;SDATE=201002&amp;PERIODTYPE=QTR_STD&amp;SCFT=3&amp;window=popup_no_bar&amp;width=385&amp;height=120&amp;START_MAXIMIZED=FALSE&amp;creator=factset&amp;display_string=Audit"}</definedName>
    <definedName name="_678__FDSAUDITLINK__" hidden="1">{"fdsup://Directions/FactSet Auditing Viewer?action=AUDIT_VALUE&amp;DB=129&amp;ID1=31561610&amp;VALUEID=02001&amp;SDATE=201002&amp;PERIODTYPE=QTR_STD&amp;SCFT=3&amp;window=popup_no_bar&amp;width=385&amp;height=120&amp;START_MAXIMIZED=FALSE&amp;creator=factset&amp;display_string=Audit"}</definedName>
    <definedName name="_679__FDSAUDITLINK__" hidden="1">{"fdsup://Directions/FactSet Auditing Viewer?action=AUDIT_VALUE&amp;DB=129&amp;ID1=29247520&amp;VALUEID=02001&amp;SDATE=201003&amp;PERIODTYPE=QTR_STD&amp;SCFT=3&amp;window=popup_no_bar&amp;width=385&amp;height=120&amp;START_MAXIMIZED=FALSE&amp;creator=factset&amp;display_string=Audit"}</definedName>
    <definedName name="_68__FDSAUDITLINK__" hidden="1">{"fdsup://Directions/FactSet Auditing Viewer?action=AUDIT_VALUE&amp;DB=129&amp;ID1=59513710&amp;VALUEID=02001&amp;SDATE=201102&amp;PERIODTYPE=QTR_STD&amp;SCFT=3&amp;window=popup_no_bar&amp;width=385&amp;height=120&amp;START_MAXIMIZED=FALSE&amp;creator=factset&amp;display_string=Audit"}</definedName>
    <definedName name="_680__FDSAUDITLINK__" hidden="1">{"fdsup://Directions/FactSet Auditing Viewer?action=AUDIT_VALUE&amp;DB=129&amp;ID1=29247520&amp;VALUEID=02001&amp;SDATE=201003&amp;PERIODTYPE=QTR_STD&amp;SCFT=3&amp;window=popup_no_bar&amp;width=385&amp;height=120&amp;START_MAXIMIZED=FALSE&amp;creator=factset&amp;display_string=Audit"}</definedName>
    <definedName name="_681__FDSAUDITLINK__" hidden="1">{"fdsup://Directions/FactSet Auditing Viewer?action=AUDIT_VALUE&amp;DB=129&amp;ID1=25454310&amp;VALUEID=02001&amp;SDATE=201001&amp;PERIODTYPE=QTR_STD&amp;SCFT=3&amp;window=popup_no_bar&amp;width=385&amp;height=120&amp;START_MAXIMIZED=FALSE&amp;creator=factset&amp;display_string=Audit"}</definedName>
    <definedName name="_682__FDSAUDITLINK__" hidden="1">{"fdsup://Directions/FactSet Auditing Viewer?action=AUDIT_VALUE&amp;DB=129&amp;ID1=25454310&amp;VALUEID=02001&amp;SDATE=201001&amp;PERIODTYPE=QTR_STD&amp;SCFT=3&amp;window=popup_no_bar&amp;width=385&amp;height=120&amp;START_MAXIMIZED=FALSE&amp;creator=factset&amp;display_string=Audit"}</definedName>
    <definedName name="_683__FDSAUDITLINK__" hidden="1">{"fdsup://Directions/FactSet Auditing Viewer?action=AUDIT_VALUE&amp;DB=129&amp;ID1=24702R10&amp;VALUEID=02001&amp;SDATE=201001&amp;PERIODTYPE=QTR_STD&amp;SCFT=3&amp;window=popup_no_bar&amp;width=385&amp;height=120&amp;START_MAXIMIZED=FALSE&amp;creator=factset&amp;display_string=Audit"}</definedName>
    <definedName name="_684__FDSAUDITLINK__" hidden="1">{"fdsup://Directions/FactSet Auditing Viewer?action=AUDIT_VALUE&amp;DB=129&amp;ID1=24702R10&amp;VALUEID=02001&amp;SDATE=201001&amp;PERIODTYPE=QTR_STD&amp;SCFT=3&amp;window=popup_no_bar&amp;width=385&amp;height=120&amp;START_MAXIMIZED=FALSE&amp;creator=factset&amp;display_string=Audit"}</definedName>
    <definedName name="_685__FDSAUDITLINK__" hidden="1">{"fdsup://Directions/FactSet Auditing Viewer?action=AUDIT_VALUE&amp;DB=129&amp;ID1=23257210&amp;VALUEID=02001&amp;SDATE=201001&amp;PERIODTYPE=QTR_STD&amp;SCFT=3&amp;window=popup_no_bar&amp;width=385&amp;height=120&amp;START_MAXIMIZED=FALSE&amp;creator=factset&amp;display_string=Audit"}</definedName>
    <definedName name="_686__FDSAUDITLINK__" hidden="1">{"fdsup://Directions/FactSet Auditing Viewer?action=AUDIT_VALUE&amp;DB=129&amp;ID1=23257210&amp;VALUEID=02001&amp;SDATE=201001&amp;PERIODTYPE=QTR_STD&amp;SCFT=3&amp;window=popup_no_bar&amp;width=385&amp;height=120&amp;START_MAXIMIZED=FALSE&amp;creator=factset&amp;display_string=Audit"}</definedName>
    <definedName name="_687__FDSAUDITLINK__" hidden="1">{"fdsup://Directions/FactSet Auditing Viewer?action=AUDIT_VALUE&amp;DB=129&amp;ID1=23280610&amp;VALUEID=02001&amp;SDATE=201001&amp;PERIODTYPE=QTR_STD&amp;SCFT=3&amp;window=popup_no_bar&amp;width=385&amp;height=120&amp;START_MAXIMIZED=FALSE&amp;creator=factset&amp;display_string=Audit"}</definedName>
    <definedName name="_688__FDSAUDITLINK__" hidden="1">{"fdsup://Directions/FactSet Auditing Viewer?action=AUDIT_VALUE&amp;DB=129&amp;ID1=23280610&amp;VALUEID=02001&amp;SDATE=201001&amp;PERIODTYPE=QTR_STD&amp;SCFT=3&amp;window=popup_no_bar&amp;width=385&amp;height=120&amp;START_MAXIMIZED=FALSE&amp;creator=factset&amp;display_string=Audit"}</definedName>
    <definedName name="_689__FDSAUDITLINK__" hidden="1">{"fdsup://Directions/FactSet Auditing Viewer?action=AUDIT_VALUE&amp;DB=129&amp;ID1=17275R10&amp;VALUEID=02001&amp;SDATE=201003&amp;PERIODTYPE=QTR_STD&amp;SCFT=3&amp;window=popup_no_bar&amp;width=385&amp;height=120&amp;START_MAXIMIZED=FALSE&amp;creator=factset&amp;display_string=Audit"}</definedName>
    <definedName name="_69__FDSAUDITLINK__" hidden="1">{"fdsup://Directions/FactSet Auditing Viewer?action=AUDIT_VALUE&amp;DB=129&amp;ID1=G5876H10&amp;VALUEID=02001&amp;SDATE=201101&amp;PERIODTYPE=QTR_STD&amp;SCFT=3&amp;window=popup_no_bar&amp;width=385&amp;height=120&amp;START_MAXIMIZED=FALSE&amp;creator=factset&amp;display_string=Audit"}</definedName>
    <definedName name="_690__FDSAUDITLINK__" hidden="1">{"fdsup://Directions/FactSet Auditing Viewer?action=AUDIT_VALUE&amp;DB=129&amp;ID1=17275R10&amp;VALUEID=02001&amp;SDATE=201003&amp;PERIODTYPE=QTR_STD&amp;SCFT=3&amp;window=popup_no_bar&amp;width=385&amp;height=120&amp;START_MAXIMIZED=FALSE&amp;creator=factset&amp;display_string=Audit"}</definedName>
    <definedName name="_691__FDSAUDITLINK__" hidden="1">{"fdsup://Directions/FactSet Auditing Viewer?action=AUDIT_VALUE&amp;DB=129&amp;ID1=22544710&amp;VALUEID=02001&amp;SDATE=201003&amp;PERIODTYPE=QTR_STD&amp;SCFT=3&amp;window=popup_no_bar&amp;width=385&amp;height=120&amp;START_MAXIMIZED=FALSE&amp;creator=factset&amp;display_string=Audit"}</definedName>
    <definedName name="_692__FDSAUDITLINK__" hidden="1">{"fdsup://Directions/FactSet Auditing Viewer?action=AUDIT_VALUE&amp;DB=129&amp;ID1=22544710&amp;VALUEID=02001&amp;SDATE=201003&amp;PERIODTYPE=QTR_STD&amp;SCFT=3&amp;window=popup_no_bar&amp;width=385&amp;height=120&amp;START_MAXIMIZED=FALSE&amp;creator=factset&amp;display_string=Audit"}</definedName>
    <definedName name="_693__FDSAUDITLINK__" hidden="1">{"fdsup://Directions/FactSet Auditing Viewer?action=AUDIT_VALUE&amp;DB=129&amp;ID1=20714230&amp;VALUEID=02001&amp;SDATE=201002&amp;PERIODTYPE=QTR_STD&amp;SCFT=3&amp;window=popup_no_bar&amp;width=385&amp;height=120&amp;START_MAXIMIZED=FALSE&amp;creator=factset&amp;display_string=Audit"}</definedName>
    <definedName name="_694__FDSAUDITLINK__" hidden="1">{"fdsup://Directions/FactSet Auditing Viewer?action=AUDIT_VALUE&amp;DB=129&amp;ID1=20714230&amp;VALUEID=02001&amp;SDATE=201002&amp;PERIODTYPE=QTR_STD&amp;SCFT=3&amp;window=popup_no_bar&amp;width=385&amp;height=120&amp;START_MAXIMIZED=FALSE&amp;creator=factset&amp;display_string=Audit"}</definedName>
    <definedName name="_695__FDSAUDITLINK__" hidden="1">{"fdsup://Directions/FactSet Auditing Viewer?action=AUDIT_VALUE&amp;DB=129&amp;ID1=12738710&amp;VALUEID=02001&amp;SDATE=201001&amp;PERIODTYPE=QTR_STD&amp;SCFT=3&amp;window=popup_no_bar&amp;width=385&amp;height=120&amp;START_MAXIMIZED=FALSE&amp;creator=factset&amp;display_string=Audit"}</definedName>
    <definedName name="_696__FDSAUDITLINK__" hidden="1">{"fdsup://Directions/FactSet Auditing Viewer?action=AUDIT_VALUE&amp;DB=129&amp;ID1=12738710&amp;VALUEID=02001&amp;SDATE=201001&amp;PERIODTYPE=QTR_STD&amp;SCFT=3&amp;window=popup_no_bar&amp;width=385&amp;height=120&amp;START_MAXIMIZED=FALSE&amp;creator=factset&amp;display_string=Audit"}</definedName>
    <definedName name="_697__FDSAUDITLINK__" hidden="1">{"fdsup://Directions/FactSet Auditing Viewer?action=AUDIT_VALUE&amp;DB=129&amp;ID1=14964U10&amp;VALUEID=02001&amp;SDATE=201001&amp;PERIODTYPE=QTR_STD&amp;SCFT=3&amp;window=popup_no_bar&amp;width=385&amp;height=120&amp;START_MAXIMIZED=FALSE&amp;creator=factset&amp;display_string=Audit"}</definedName>
    <definedName name="_698__FDSAUDITLINK__" hidden="1">{"fdsup://Directions/FactSet Auditing Viewer?action=AUDIT_VALUE&amp;DB=129&amp;ID1=14964U10&amp;VALUEID=02001&amp;SDATE=201001&amp;PERIODTYPE=QTR_STD&amp;SCFT=3&amp;window=popup_no_bar&amp;width=385&amp;height=120&amp;START_MAXIMIZED=FALSE&amp;creator=factset&amp;display_string=Audit"}</definedName>
    <definedName name="_699__FDSAUDITLINK__" hidden="1">{"fdsup://Directions/FactSet Auditing Viewer?action=AUDIT_VALUE&amp;DB=129&amp;ID1=11162130&amp;VALUEID=02001&amp;SDATE=201002&amp;PERIODTYPE=QTR_STD&amp;SCFT=3&amp;window=popup_no_bar&amp;width=385&amp;height=120&amp;START_MAXIMIZED=FALSE&amp;creator=factset&amp;display_string=Audit"}</definedName>
    <definedName name="_7__FDSAUDITLINK__" hidden="1">{"fdsup://Directions/FactSet Auditing Viewer?action=AUDIT_VALUE&amp;DB=129&amp;ID1=67066G10&amp;VALUEID=05194&amp;SDATE=201103&amp;PERIODTYPE=QTR_STD&amp;SCFT=3&amp;window=popup_no_bar&amp;width=385&amp;height=120&amp;START_MAXIMIZED=FALSE&amp;creator=factset&amp;display_string=Audit"}</definedName>
    <definedName name="_70__FDSAUDITLINK__" hidden="1">{"fdsup://Directions/FactSet Auditing Viewer?action=AUDIT_VALUE&amp;DB=129&amp;ID1=G5876H10&amp;VALUEID=02001&amp;SDATE=201101&amp;PERIODTYPE=QTR_STD&amp;SCFT=3&amp;window=popup_no_bar&amp;width=385&amp;height=120&amp;START_MAXIMIZED=FALSE&amp;creator=factset&amp;display_string=Audit"}</definedName>
    <definedName name="_700__FDSAUDITLINK__" hidden="1">{"fdsup://Directions/FactSet Auditing Viewer?action=AUDIT_VALUE&amp;DB=129&amp;ID1=11162130&amp;VALUEID=02001&amp;SDATE=201002&amp;PERIODTYPE=QTR_STD&amp;SCFT=3&amp;window=popup_no_bar&amp;width=385&amp;height=120&amp;START_MAXIMIZED=FALSE&amp;creator=factset&amp;display_string=Audit"}</definedName>
    <definedName name="_701__FDSAUDITLINK__" hidden="1">{"fdsup://Directions/FactSet Auditing Viewer?action=AUDIT_VALUE&amp;DB=129&amp;ID1=Y0486S10&amp;VALUEID=02001&amp;SDATE=201002&amp;PERIODTYPE=QTR_STD&amp;SCFT=3&amp;window=popup_no_bar&amp;width=385&amp;height=120&amp;START_MAXIMIZED=FALSE&amp;creator=factset&amp;display_string=Audit"}</definedName>
    <definedName name="_702__FDSAUDITLINK__" hidden="1">{"fdsup://Directions/FactSet Auditing Viewer?action=AUDIT_VALUE&amp;DB=129&amp;ID1=Y0486S10&amp;VALUEID=02001&amp;SDATE=201002&amp;PERIODTYPE=QTR_STD&amp;SCFT=3&amp;window=popup_no_bar&amp;width=385&amp;height=120&amp;START_MAXIMIZED=FALSE&amp;creator=factset&amp;display_string=Audit"}</definedName>
    <definedName name="_703__FDSAUDITLINK__" hidden="1">{"fdsup://Directions/FactSet Auditing Viewer?action=AUDIT_VALUE&amp;DB=129&amp;ID1=04743P10&amp;VALUEID=02001&amp;SDATE=201001&amp;PERIODTYPE=QTR_STD&amp;SCFT=3&amp;window=popup_no_bar&amp;width=385&amp;height=120&amp;START_MAXIMIZED=FALSE&amp;creator=factset&amp;display_string=Audit"}</definedName>
    <definedName name="_704__FDSAUDITLINK__" hidden="1">{"fdsup://Directions/FactSet Auditing Viewer?action=AUDIT_VALUE&amp;DB=129&amp;ID1=04743P10&amp;VALUEID=02001&amp;SDATE=201001&amp;PERIODTYPE=QTR_STD&amp;SCFT=3&amp;window=popup_no_bar&amp;width=385&amp;height=120&amp;START_MAXIMIZED=FALSE&amp;creator=factset&amp;display_string=Audit"}</definedName>
    <definedName name="_705__FDSAUDITLINK__" hidden="1">{"fdsup://Directions/FactSet Auditing Viewer?action=AUDIT_VALUE&amp;DB=129&amp;ID1=03251510&amp;VALUEID=02001&amp;SDATE=201001&amp;PERIODTYPE=QTR_STD&amp;SCFT=3&amp;window=popup_no_bar&amp;width=385&amp;height=120&amp;START_MAXIMIZED=FALSE&amp;creator=factset&amp;display_string=Audit"}</definedName>
    <definedName name="_706__FDSAUDITLINK__" hidden="1">{"fdsup://Directions/FactSet Auditing Viewer?action=AUDIT_VALUE&amp;DB=129&amp;ID1=03251510&amp;VALUEID=02001&amp;SDATE=201001&amp;PERIODTYPE=QTR_STD&amp;SCFT=3&amp;window=popup_no_bar&amp;width=385&amp;height=120&amp;START_MAXIMIZED=FALSE&amp;creator=factset&amp;display_string=Audit"}</definedName>
    <definedName name="_707__FDSAUDITLINK__" hidden="1">{"fdsup://Directions/FactSet Auditing Viewer?action=AUDIT_VALUE&amp;DB=129&amp;ID1=00790310&amp;VALUEID=02001&amp;SDATE=201001&amp;PERIODTYPE=QTR_STD&amp;SCFT=3&amp;window=popup_no_bar&amp;width=385&amp;height=120&amp;START_MAXIMIZED=FALSE&amp;creator=factset&amp;display_string=Audit"}</definedName>
    <definedName name="_708__FDSAUDITLINK__" hidden="1">{"fdsup://Directions/FactSet Auditing Viewer?action=AUDIT_VALUE&amp;DB=129&amp;ID1=00790310&amp;VALUEID=02001&amp;SDATE=201001&amp;PERIODTYPE=QTR_STD&amp;SCFT=3&amp;window=popup_no_bar&amp;width=385&amp;height=120&amp;START_MAXIMIZED=FALSE&amp;creator=factset&amp;display_string=Audit"}</definedName>
    <definedName name="_709__FDSAUDITLINK__" hidden="1">{"fdsup://Directions/FactSet Auditing Viewer?action=AUDIT_VALUE&amp;DB=129&amp;ID1=03822210&amp;VALUEID=02001&amp;SDATE=201002&amp;PERIODTYPE=QTR_STD&amp;SCFT=3&amp;window=popup_no_bar&amp;width=385&amp;height=120&amp;START_MAXIMIZED=FALSE&amp;creator=factset&amp;display_string=Audit"}</definedName>
    <definedName name="_71__FDSAUDITLINK__" hidden="1">{"fdsup://Directions/FactSet Auditing Viewer?action=AUDIT_VALUE&amp;DB=129&amp;ID1=62007630&amp;VALUEID=02001&amp;SDATE=201101&amp;PERIODTYPE=QTR_STD&amp;SCFT=3&amp;window=popup_no_bar&amp;width=385&amp;height=120&amp;START_MAXIMIZED=FALSE&amp;creator=factset&amp;display_string=Audit"}</definedName>
    <definedName name="_710__FDSAUDITLINK__" hidden="1">{"fdsup://Directions/FactSet Auditing Viewer?action=AUDIT_VALUE&amp;DB=129&amp;ID1=03822210&amp;VALUEID=02001&amp;SDATE=201002&amp;PERIODTYPE=QTR_STD&amp;SCFT=3&amp;window=popup_no_bar&amp;width=385&amp;height=120&amp;START_MAXIMIZED=FALSE&amp;creator=factset&amp;display_string=Audit"}</definedName>
    <definedName name="_711__FDSAUDITLINK__" hidden="1">{"fdsup://Directions/FactSet Auditing Viewer?action=AUDIT_VALUE&amp;DB=129&amp;ID1=02144110&amp;VALUEID=02001&amp;SDATE=201001&amp;PERIODTYPE=QTR_STD&amp;SCFT=3&amp;window=popup_no_bar&amp;width=385&amp;height=120&amp;START_MAXIMIZED=FALSE&amp;creator=factset&amp;display_string=Audit"}</definedName>
    <definedName name="_712__FDSAUDITLINK__" hidden="1">{"fdsup://Directions/FactSet Auditing Viewer?action=AUDIT_VALUE&amp;DB=129&amp;ID1=02144110&amp;VALUEID=02001&amp;SDATE=201001&amp;PERIODTYPE=QTR_STD&amp;SCFT=3&amp;window=popup_no_bar&amp;width=385&amp;height=120&amp;START_MAXIMIZED=FALSE&amp;creator=factset&amp;display_string=Audit"}</definedName>
    <definedName name="_713__FDSAUDITLINK__" hidden="1">{"fdsup://Directions/FactSet Auditing Viewer?action=AUDIT_VALUE&amp;DB=129&amp;ID1=03265410&amp;VALUEID=02001&amp;SDATE=201002&amp;PERIODTYPE=QTR_STD&amp;SCFT=3&amp;window=popup_no_bar&amp;width=385&amp;height=120&amp;START_MAXIMIZED=FALSE&amp;creator=factset&amp;display_string=Audit"}</definedName>
    <definedName name="_714__FDSAUDITLINK__" hidden="1">{"fdsup://Directions/FactSet Auditing Viewer?action=AUDIT_VALUE&amp;DB=129&amp;ID1=03265410&amp;VALUEID=02001&amp;SDATE=201002&amp;PERIODTYPE=QTR_STD&amp;SCFT=3&amp;window=popup_no_bar&amp;width=385&amp;height=120&amp;START_MAXIMIZED=FALSE&amp;creator=factset&amp;display_string=Audit"}</definedName>
    <definedName name="_715__FDSAUDITLINK__" hidden="1">{"fdsup://Directions/FactSet Auditing Viewer?action=AUDIT_VALUE&amp;DB=129&amp;ID1=00752J10&amp;VALUEID=02001&amp;SDATE=201001&amp;PERIODTYPE=QTR_STD&amp;SCFT=3&amp;window=popup_no_bar&amp;width=385&amp;height=120&amp;START_MAXIMIZED=FALSE&amp;creator=factset&amp;display_string=Audit"}</definedName>
    <definedName name="_716__FDSAUDITLINK__" hidden="1">{"fdsup://Directions/FactSet Auditing Viewer?action=AUDIT_VALUE&amp;DB=129&amp;ID1=00752J10&amp;VALUEID=02001&amp;SDATE=201001&amp;PERIODTYPE=QTR_STD&amp;SCFT=3&amp;window=popup_no_bar&amp;width=385&amp;height=120&amp;START_MAXIMIZED=FALSE&amp;creator=factset&amp;display_string=Audit"}</definedName>
    <definedName name="_717__FDSAUDITLINK__" hidden="1">{"fdsup://Directions/FactSet Auditing Viewer?action=AUDIT_VALUE&amp;DB=129&amp;ID1=98391910&amp;VALUEID=02001&amp;SDATE=200903&amp;PERIODTYPE=QTR_STD&amp;SCFT=3&amp;window=popup_no_bar&amp;width=385&amp;height=120&amp;START_MAXIMIZED=FALSE&amp;creator=factset&amp;display_string=Audit"}</definedName>
    <definedName name="_718__FDSAUDITLINK__" hidden="1">{"fdsup://Directions/FactSet Auditing Viewer?action=AUDIT_VALUE&amp;DB=129&amp;ID1=98391910&amp;VALUEID=02001&amp;SDATE=200903&amp;PERIODTYPE=QTR_STD&amp;SCFT=3&amp;window=popup_no_bar&amp;width=385&amp;height=120&amp;START_MAXIMIZED=FALSE&amp;creator=factset&amp;display_string=Audit"}</definedName>
    <definedName name="_719__FDSAUDITLINK__" hidden="1">{"fdsup://Directions/FactSet Auditing Viewer?action=AUDIT_VALUE&amp;DB=129&amp;ID1=95810210&amp;VALUEID=02001&amp;SDATE=201002&amp;PERIODTYPE=QTR_STD&amp;SCFT=3&amp;window=popup_no_bar&amp;width=385&amp;height=120&amp;START_MAXIMIZED=FALSE&amp;creator=factset&amp;display_string=Audit"}</definedName>
    <definedName name="_72__FDSAUDITLINK__" hidden="1">{"fdsup://Directions/FactSet Auditing Viewer?action=AUDIT_VALUE&amp;DB=129&amp;ID1=62007630&amp;VALUEID=02001&amp;SDATE=201101&amp;PERIODTYPE=QTR_STD&amp;SCFT=3&amp;window=popup_no_bar&amp;width=385&amp;height=120&amp;START_MAXIMIZED=FALSE&amp;creator=factset&amp;display_string=Audit"}</definedName>
    <definedName name="_720__FDSAUDITLINK__" hidden="1">{"fdsup://Directions/FactSet Auditing Viewer?action=AUDIT_VALUE&amp;DB=129&amp;ID1=95810210&amp;VALUEID=02001&amp;SDATE=201002&amp;PERIODTYPE=QTR_STD&amp;SCFT=3&amp;window=popup_no_bar&amp;width=385&amp;height=120&amp;START_MAXIMIZED=FALSE&amp;creator=factset&amp;display_string=Audit"}</definedName>
    <definedName name="_721__FDSAUDITLINK__" hidden="1">{"fdsup://Directions/FactSet Auditing Viewer?action=AUDIT_VALUE&amp;DB=129&amp;ID1=92849730&amp;VALUEID=02001&amp;SDATE=201001&amp;PERIODTYPE=QTR_STD&amp;SCFT=3&amp;window=popup_no_bar&amp;width=385&amp;height=120&amp;START_MAXIMIZED=FALSE&amp;creator=factset&amp;display_string=Audit"}</definedName>
    <definedName name="_722__FDSAUDITLINK__" hidden="1">{"fdsup://Directions/FactSet Auditing Viewer?action=AUDIT_VALUE&amp;DB=129&amp;ID1=92849730&amp;VALUEID=02001&amp;SDATE=201001&amp;PERIODTYPE=QTR_STD&amp;SCFT=3&amp;window=popup_no_bar&amp;width=385&amp;height=120&amp;START_MAXIMIZED=FALSE&amp;creator=factset&amp;display_string=Audit"}</definedName>
    <definedName name="_723__FDSAUDITLINK__" hidden="1">{"fdsup://Directions/FactSet Auditing Viewer?action=AUDIT_VALUE&amp;DB=129&amp;ID1=83088M10&amp;VALUEID=02001&amp;SDATE=201001&amp;PERIODTYPE=QTR_STD&amp;SCFT=3&amp;window=popup_no_bar&amp;width=385&amp;height=120&amp;START_MAXIMIZED=FALSE&amp;creator=factset&amp;display_string=Audit"}</definedName>
    <definedName name="_724__FDSAUDITLINK__" hidden="1">{"fdsup://Directions/FactSet Auditing Viewer?action=AUDIT_VALUE&amp;DB=129&amp;ID1=83088M10&amp;VALUEID=02001&amp;SDATE=201001&amp;PERIODTYPE=QTR_STD&amp;SCFT=3&amp;window=popup_no_bar&amp;width=385&amp;height=120&amp;START_MAXIMIZED=FALSE&amp;creator=factset&amp;display_string=Audit"}</definedName>
    <definedName name="_725__FDSAUDITLINK__" hidden="1">{"fdsup://Directions/FactSet Auditing Viewer?action=AUDIT_VALUE&amp;DB=129&amp;ID1=G7945M10&amp;VALUEID=02001&amp;SDATE=201002&amp;PERIODTYPE=QTR_STD&amp;SCFT=3&amp;window=popup_no_bar&amp;width=385&amp;height=120&amp;START_MAXIMIZED=FALSE&amp;creator=factset&amp;display_string=Audit"}</definedName>
    <definedName name="_726__FDSAUDITLINK__" hidden="1">{"fdsup://Directions/FactSet Auditing Viewer?action=AUDIT_VALUE&amp;DB=129&amp;ID1=G7945M10&amp;VALUEID=02001&amp;SDATE=201002&amp;PERIODTYPE=QTR_STD&amp;SCFT=3&amp;window=popup_no_bar&amp;width=385&amp;height=120&amp;START_MAXIMIZED=FALSE&amp;creator=factset&amp;display_string=Audit"}</definedName>
    <definedName name="_727__FDSAUDITLINK__" hidden="1">{"fdsup://Directions/FactSet Auditing Viewer?action=AUDIT_VALUE&amp;DB=129&amp;ID1=87160710&amp;VALUEID=02001&amp;SDATE=201001&amp;PERIODTYPE=QTR_STD&amp;SCFT=3&amp;window=popup_no_bar&amp;width=385&amp;height=120&amp;START_MAXIMIZED=FALSE&amp;creator=factset&amp;display_string=Audit"}</definedName>
    <definedName name="_728__FDSAUDITLINK__" hidden="1">{"fdsup://Directions/FactSet Auditing Viewer?action=AUDIT_VALUE&amp;DB=129&amp;ID1=87160710&amp;VALUEID=02001&amp;SDATE=201001&amp;PERIODTYPE=QTR_STD&amp;SCFT=3&amp;window=popup_no_bar&amp;width=385&amp;height=120&amp;START_MAXIMIZED=FALSE&amp;creator=factset&amp;display_string=Audit"}</definedName>
    <definedName name="_729__FDSAUDITLINK__" hidden="1">{"fdsup://Directions/FactSet Auditing Viewer?action=AUDIT_VALUE&amp;DB=129&amp;ID1=81685010&amp;VALUEID=02001&amp;SDATE=200904&amp;PERIODTYPE=QTR_STD&amp;SCFT=3&amp;window=popup_no_bar&amp;width=385&amp;height=120&amp;START_MAXIMIZED=FALSE&amp;creator=factset&amp;display_string=Audit"}</definedName>
    <definedName name="_73__FDSAUDITLINK__" hidden="1">{"fdsup://Directions/FactSet Auditing Viewer?action=AUDIT_VALUE&amp;DB=129&amp;ID1=60456710&amp;VALUEID=02001&amp;SDATE=201103&amp;PERIODTYPE=QTR_STD&amp;SCFT=3&amp;window=popup_no_bar&amp;width=385&amp;height=120&amp;START_MAXIMIZED=FALSE&amp;creator=factset&amp;display_string=Audit"}</definedName>
    <definedName name="_730__FDSAUDITLINK__" hidden="1">{"fdsup://Directions/FactSet Auditing Viewer?action=AUDIT_VALUE&amp;DB=129&amp;ID1=81685010&amp;VALUEID=02001&amp;SDATE=200904&amp;PERIODTYPE=QTR_STD&amp;SCFT=3&amp;window=popup_no_bar&amp;width=385&amp;height=120&amp;START_MAXIMIZED=FALSE&amp;creator=factset&amp;display_string=Audit"}</definedName>
    <definedName name="_731__FDSAUDITLINK__" hidden="1">{"fdsup://Directions/FactSet Auditing Viewer?action=AUDIT_VALUE&amp;DB=129&amp;ID1=74994110&amp;VALUEID=02001&amp;SDATE=200903&amp;PERIODTYPE=QTR_STD&amp;SCFT=3&amp;window=popup_no_bar&amp;width=385&amp;height=120&amp;START_MAXIMIZED=FALSE&amp;creator=factset&amp;display_string=Audit"}</definedName>
    <definedName name="_732__FDSAUDITLINK__" hidden="1">{"fdsup://Directions/FactSet Auditing Viewer?action=AUDIT_VALUE&amp;DB=129&amp;ID1=74994110&amp;VALUEID=02001&amp;SDATE=200903&amp;PERIODTYPE=QTR_STD&amp;SCFT=3&amp;window=popup_no_bar&amp;width=385&amp;height=120&amp;START_MAXIMIZED=FALSE&amp;creator=factset&amp;display_string=Audit"}</definedName>
    <definedName name="_733__FDSAUDITLINK__" hidden="1">{"fdsup://Directions/FactSet Auditing Viewer?action=AUDIT_VALUE&amp;DB=129&amp;ID1=74727710&amp;VALUEID=02001&amp;SDATE=200903&amp;PERIODTYPE=QTR_STD&amp;SCFT=3&amp;window=popup_no_bar&amp;width=385&amp;height=120&amp;START_MAXIMIZED=FALSE&amp;creator=factset&amp;display_string=Audit"}</definedName>
    <definedName name="_734__FDSAUDITLINK__" hidden="1">{"fdsup://Directions/FactSet Auditing Viewer?action=AUDIT_VALUE&amp;DB=129&amp;ID1=74727710&amp;VALUEID=02001&amp;SDATE=200903&amp;PERIODTYPE=QTR_STD&amp;SCFT=3&amp;window=popup_no_bar&amp;width=385&amp;height=120&amp;START_MAXIMIZED=FALSE&amp;creator=factset&amp;display_string=Audit"}</definedName>
    <definedName name="_735__FDSAUDITLINK__" hidden="1">{"fdsup://Directions/FactSet Auditing Viewer?action=AUDIT_VALUE&amp;DB=129&amp;ID1=74752510&amp;VALUEID=02001&amp;SDATE=201001&amp;PERIODTYPE=QTR_STD&amp;SCFT=3&amp;window=popup_no_bar&amp;width=385&amp;height=120&amp;START_MAXIMIZED=FALSE&amp;creator=factset&amp;display_string=Audit"}</definedName>
    <definedName name="_736__FDSAUDITLINK__" hidden="1">{"fdsup://Directions/FactSet Auditing Viewer?action=AUDIT_VALUE&amp;DB=129&amp;ID1=74752510&amp;VALUEID=02001&amp;SDATE=201001&amp;PERIODTYPE=QTR_STD&amp;SCFT=3&amp;window=popup_no_bar&amp;width=385&amp;height=120&amp;START_MAXIMIZED=FALSE&amp;creator=factset&amp;display_string=Audit"}</definedName>
    <definedName name="_737__FDSAUDITLINK__" hidden="1">{"fdsup://Directions/FactSet Auditing Viewer?action=AUDIT_VALUE&amp;DB=129&amp;ID1=B505PN&amp;VALUEID=02001&amp;SDATE=200904&amp;PERIODTYPE=QTR_STD&amp;SCFT=3&amp;window=popup_no_bar&amp;width=385&amp;height=120&amp;START_MAXIMIZED=FALSE&amp;creator=factset&amp;display_string=Audit"}</definedName>
    <definedName name="_738__FDSAUDITLINK__" hidden="1">{"fdsup://Directions/FactSet Auditing Viewer?action=AUDIT_VALUE&amp;DB=129&amp;ID1=B505PN&amp;VALUEID=02001&amp;SDATE=200904&amp;PERIODTYPE=QTR_STD&amp;SCFT=3&amp;window=popup_no_bar&amp;width=385&amp;height=120&amp;START_MAXIMIZED=FALSE&amp;creator=factset&amp;display_string=Audit"}</definedName>
    <definedName name="_739__FDSAUDITLINK__" hidden="1">{"fdsup://Directions/FactSet Auditing Viewer?action=AUDIT_VALUE&amp;DB=129&amp;ID1=63764010&amp;VALUEID=02001&amp;SDATE=200902&amp;PERIODTYPE=QTR_STD&amp;SCFT=3&amp;window=popup_no_bar&amp;width=385&amp;height=120&amp;START_MAXIMIZED=FALSE&amp;creator=factset&amp;display_string=Audit"}</definedName>
    <definedName name="_74__FDSAUDITLINK__" hidden="1">{"fdsup://Directions/FactSet Auditing Viewer?action=AUDIT_VALUE&amp;DB=129&amp;ID1=60456710&amp;VALUEID=02001&amp;SDATE=201103&amp;PERIODTYPE=QTR_STD&amp;SCFT=3&amp;window=popup_no_bar&amp;width=385&amp;height=120&amp;START_MAXIMIZED=FALSE&amp;creator=factset&amp;display_string=Audit"}</definedName>
    <definedName name="_740__FDSAUDITLINK__" hidden="1">{"fdsup://Directions/FactSet Auditing Viewer?action=AUDIT_VALUE&amp;DB=129&amp;ID1=63764010&amp;VALUEID=02001&amp;SDATE=200902&amp;PERIODTYPE=QTR_STD&amp;SCFT=3&amp;window=popup_no_bar&amp;width=385&amp;height=120&amp;START_MAXIMIZED=FALSE&amp;creator=factset&amp;display_string=Audit"}</definedName>
    <definedName name="_741__FDSAUDITLINK__" hidden="1">{"fdsup://Directions/FactSet Auditing Viewer?action=AUDIT_VALUE&amp;DB=129&amp;ID1=57772K10&amp;VALUEID=02001&amp;SDATE=201002&amp;PERIODTYPE=QTR_STD&amp;SCFT=3&amp;window=popup_no_bar&amp;width=385&amp;height=120&amp;START_MAXIMIZED=FALSE&amp;creator=factset&amp;display_string=Audit"}</definedName>
    <definedName name="_742__FDSAUDITLINK__" hidden="1">{"fdsup://Directions/FactSet Auditing Viewer?action=AUDIT_VALUE&amp;DB=129&amp;ID1=57772K10&amp;VALUEID=02001&amp;SDATE=201002&amp;PERIODTYPE=QTR_STD&amp;SCFT=3&amp;window=popup_no_bar&amp;width=385&amp;height=120&amp;START_MAXIMIZED=FALSE&amp;creator=factset&amp;display_string=Audit"}</definedName>
    <definedName name="_743__FDSAUDITLINK__" hidden="1">{"fdsup://Directions/FactSet Auditing Viewer?action=AUDIT_VALUE&amp;DB=129&amp;ID1=59511210&amp;VALUEID=02001&amp;SDATE=201001&amp;PERIODTYPE=QTR_STD&amp;SCFT=3&amp;window=popup_no_bar&amp;width=385&amp;height=120&amp;START_MAXIMIZED=FALSE&amp;creator=factset&amp;display_string=Audit"}</definedName>
    <definedName name="_744__FDSAUDITLINK__" hidden="1">{"fdsup://Directions/FactSet Auditing Viewer?action=AUDIT_VALUE&amp;DB=129&amp;ID1=59511210&amp;VALUEID=02001&amp;SDATE=201001&amp;PERIODTYPE=QTR_STD&amp;SCFT=3&amp;window=popup_no_bar&amp;width=385&amp;height=120&amp;START_MAXIMIZED=FALSE&amp;creator=factset&amp;display_string=Audit"}</definedName>
    <definedName name="_745__FDSAUDITLINK__" hidden="1">{"fdsup://Directions/FactSet Auditing Viewer?action=AUDIT_VALUE&amp;DB=129&amp;ID1=59513710&amp;VALUEID=02001&amp;SDATE=201001&amp;PERIODTYPE=QTR_STD&amp;SCFT=3&amp;window=popup_no_bar&amp;width=385&amp;height=120&amp;START_MAXIMIZED=FALSE&amp;creator=factset&amp;display_string=Audit"}</definedName>
    <definedName name="_746__FDSAUDITLINK__" hidden="1">{"fdsup://Directions/FactSet Auditing Viewer?action=AUDIT_VALUE&amp;DB=129&amp;ID1=59513710&amp;VALUEID=02001&amp;SDATE=201001&amp;PERIODTYPE=QTR_STD&amp;SCFT=3&amp;window=popup_no_bar&amp;width=385&amp;height=120&amp;START_MAXIMIZED=FALSE&amp;creator=factset&amp;display_string=Audit"}</definedName>
    <definedName name="_747__FDSAUDITLINK__" hidden="1">{"fdsup://Directions/FactSet Auditing Viewer?action=AUDIT_VALUE&amp;DB=129&amp;ID1=60456710&amp;VALUEID=02001&amp;SDATE=201002&amp;PERIODTYPE=QTR_STD&amp;SCFT=3&amp;window=popup_no_bar&amp;width=385&amp;height=120&amp;START_MAXIMIZED=FALSE&amp;creator=factset&amp;display_string=Audit"}</definedName>
    <definedName name="_748__FDSAUDITLINK__" hidden="1">{"fdsup://Directions/FactSet Auditing Viewer?action=AUDIT_VALUE&amp;DB=129&amp;ID1=60456710&amp;VALUEID=02001&amp;SDATE=201002&amp;PERIODTYPE=QTR_STD&amp;SCFT=3&amp;window=popup_no_bar&amp;width=385&amp;height=120&amp;START_MAXIMIZED=FALSE&amp;creator=factset&amp;display_string=Audit"}</definedName>
    <definedName name="_749__FDSAUDITLINK__" hidden="1">{"fdsup://Directions/FactSet Auditing Viewer?action=AUDIT_VALUE&amp;DB=129&amp;ID1=59501710&amp;VALUEID=02001&amp;SDATE=200903&amp;PERIODTYPE=QTR_STD&amp;SCFT=3&amp;window=popup_no_bar&amp;width=385&amp;height=120&amp;START_MAXIMIZED=FALSE&amp;creator=factset&amp;display_string=Audit"}</definedName>
    <definedName name="_75__FDSAUDITLINK__" hidden="1">{"fdsup://Directions/FactSet Auditing Viewer?action=AUDIT_VALUE&amp;DB=129&amp;ID1=59479310&amp;VALUEID=02001&amp;SDATE=201101&amp;PERIODTYPE=QTR_STD&amp;SCFT=3&amp;window=popup_no_bar&amp;width=385&amp;height=120&amp;START_MAXIMIZED=FALSE&amp;creator=factset&amp;display_string=Audit"}</definedName>
    <definedName name="_750__FDSAUDITLINK__" hidden="1">{"fdsup://Directions/FactSet Auditing Viewer?action=AUDIT_VALUE&amp;DB=129&amp;ID1=59501710&amp;VALUEID=02001&amp;SDATE=200903&amp;PERIODTYPE=QTR_STD&amp;SCFT=3&amp;window=popup_no_bar&amp;width=385&amp;height=120&amp;START_MAXIMIZED=FALSE&amp;creator=factset&amp;display_string=Audit"}</definedName>
    <definedName name="_751__FDSAUDITLINK__" hidden="1">{"fdsup://Directions/FactSet Auditing Viewer?action=AUDIT_VALUE&amp;DB=129&amp;ID1=51280710&amp;VALUEID=02001&amp;SDATE=201002&amp;PERIODTYPE=QTR_STD&amp;SCFT=3&amp;window=popup_no_bar&amp;width=385&amp;height=120&amp;START_MAXIMIZED=FALSE&amp;creator=factset&amp;display_string=Audit"}</definedName>
    <definedName name="_752__FDSAUDITLINK__" hidden="1">{"fdsup://Directions/FactSet Auditing Viewer?action=AUDIT_VALUE&amp;DB=129&amp;ID1=51280710&amp;VALUEID=02001&amp;SDATE=201002&amp;PERIODTYPE=QTR_STD&amp;SCFT=3&amp;window=popup_no_bar&amp;width=385&amp;height=120&amp;START_MAXIMIZED=FALSE&amp;creator=factset&amp;display_string=Audit"}</definedName>
    <definedName name="_753__FDSAUDITLINK__" hidden="1">{"fdsup://Directions/FactSet Auditing Viewer?action=AUDIT_VALUE&amp;DB=129&amp;ID1=53567810&amp;VALUEID=02001&amp;SDATE=201002&amp;PERIODTYPE=QTR_STD&amp;SCFT=3&amp;window=popup_no_bar&amp;width=385&amp;height=120&amp;START_MAXIMIZED=FALSE&amp;creator=factset&amp;display_string=Audit"}</definedName>
    <definedName name="_754__FDSAUDITLINK__" hidden="1">{"fdsup://Directions/FactSet Auditing Viewer?action=AUDIT_VALUE&amp;DB=129&amp;ID1=53567810&amp;VALUEID=02001&amp;SDATE=201002&amp;PERIODTYPE=QTR_STD&amp;SCFT=3&amp;window=popup_no_bar&amp;width=385&amp;height=120&amp;START_MAXIMIZED=FALSE&amp;creator=factset&amp;display_string=Audit"}</definedName>
    <definedName name="_755__FDSAUDITLINK__" hidden="1">{"fdsup://Directions/FactSet Auditing Viewer?action=AUDIT_VALUE&amp;DB=129&amp;ID1=48248010&amp;VALUEID=02001&amp;SDATE=201002&amp;PERIODTYPE=QTR_STD&amp;SCFT=3&amp;window=popup_no_bar&amp;width=385&amp;height=120&amp;START_MAXIMIZED=FALSE&amp;creator=factset&amp;display_string=Audit"}</definedName>
    <definedName name="_756__FDSAUDITLINK__" hidden="1">{"fdsup://Directions/FactSet Auditing Viewer?action=AUDIT_VALUE&amp;DB=129&amp;ID1=48248010&amp;VALUEID=02001&amp;SDATE=201002&amp;PERIODTYPE=QTR_STD&amp;SCFT=3&amp;window=popup_no_bar&amp;width=385&amp;height=120&amp;START_MAXIMIZED=FALSE&amp;creator=factset&amp;display_string=Audit"}</definedName>
    <definedName name="_757__FDSAUDITLINK__" hidden="1">{"fdsup://Directions/FactSet Auditing Viewer?action=AUDIT_VALUE&amp;DB=129&amp;ID1=48836020&amp;VALUEID=02001&amp;SDATE=200903&amp;PERIODTYPE=QTR_STD&amp;SCFT=3&amp;window=popup_no_bar&amp;width=385&amp;height=120&amp;START_MAXIMIZED=FALSE&amp;creator=factset&amp;display_string=Audit"}</definedName>
    <definedName name="_758__FDSAUDITLINK__" hidden="1">{"fdsup://Directions/FactSet Auditing Viewer?action=AUDIT_VALUE&amp;DB=129&amp;ID1=48836020&amp;VALUEID=02001&amp;SDATE=200903&amp;PERIODTYPE=QTR_STD&amp;SCFT=3&amp;window=popup_no_bar&amp;width=385&amp;height=120&amp;START_MAXIMIZED=FALSE&amp;creator=factset&amp;display_string=Audit"}</definedName>
    <definedName name="_759__FDSAUDITLINK__" hidden="1">{"fdsup://Directions/FactSet Auditing Viewer?action=AUDIT_VALUE&amp;DB=129&amp;ID1=46025410&amp;VALUEID=02001&amp;SDATE=201002&amp;PERIODTYPE=QTR_STD&amp;SCFT=3&amp;window=popup_no_bar&amp;width=385&amp;height=120&amp;START_MAXIMIZED=FALSE&amp;creator=factset&amp;display_string=Audit"}</definedName>
    <definedName name="_76__FDSAUDITLINK__" hidden="1">{"fdsup://Directions/FactSet Auditing Viewer?action=AUDIT_VALUE&amp;DB=129&amp;ID1=59479310&amp;VALUEID=02001&amp;SDATE=201101&amp;PERIODTYPE=QTR_STD&amp;SCFT=3&amp;window=popup_no_bar&amp;width=385&amp;height=120&amp;START_MAXIMIZED=FALSE&amp;creator=factset&amp;display_string=Audit"}</definedName>
    <definedName name="_760__FDSAUDITLINK__" hidden="1">{"fdsup://Directions/FactSet Auditing Viewer?action=AUDIT_VALUE&amp;DB=129&amp;ID1=46025410&amp;VALUEID=02001&amp;SDATE=201002&amp;PERIODTYPE=QTR_STD&amp;SCFT=3&amp;window=popup_no_bar&amp;width=385&amp;height=120&amp;START_MAXIMIZED=FALSE&amp;creator=factset&amp;display_string=Audit"}</definedName>
    <definedName name="_761__FDSAUDITLINK__" hidden="1">{"fdsup://Directions/FactSet Auditing Viewer?action=AUDIT_VALUE&amp;DB=129&amp;ID1=45811810&amp;VALUEID=02001&amp;SDATE=200903&amp;PERIODTYPE=QTR_STD&amp;SCFT=3&amp;window=popup_no_bar&amp;width=385&amp;height=120&amp;START_MAXIMIZED=FALSE&amp;creator=factset&amp;display_string=Audit"}</definedName>
    <definedName name="_762__FDSAUDITLINK__" hidden="1">{"fdsup://Directions/FactSet Auditing Viewer?action=AUDIT_VALUE&amp;DB=129&amp;ID1=45811810&amp;VALUEID=02001&amp;SDATE=200903&amp;PERIODTYPE=QTR_STD&amp;SCFT=3&amp;window=popup_no_bar&amp;width=385&amp;height=120&amp;START_MAXIMIZED=FALSE&amp;creator=factset&amp;display_string=Audit"}</definedName>
    <definedName name="_763__FDSAUDITLINK__" hidden="1">{"fdsup://Directions/FactSet Auditing Viewer?action=AUDIT_VALUE&amp;DB=129&amp;ID1=42823610&amp;VALUEID=02001&amp;SDATE=201001&amp;PERIODTYPE=QTR_STD&amp;SCFT=3&amp;window=popup_no_bar&amp;width=385&amp;height=120&amp;START_MAXIMIZED=FALSE&amp;creator=factset&amp;display_string=Audit"}</definedName>
    <definedName name="_764__FDSAUDITLINK__" hidden="1">{"fdsup://Directions/FactSet Auditing Viewer?action=AUDIT_VALUE&amp;DB=129&amp;ID1=42823610&amp;VALUEID=02001&amp;SDATE=201001&amp;PERIODTYPE=QTR_STD&amp;SCFT=3&amp;window=popup_no_bar&amp;width=385&amp;height=120&amp;START_MAXIMIZED=FALSE&amp;creator=factset&amp;display_string=Audit"}</definedName>
    <definedName name="_765__FDSAUDITLINK__" hidden="1">{"fdsup://Directions/FactSet Auditing Viewer?action=AUDIT_VALUE&amp;DB=129&amp;ID1=31561610&amp;VALUEID=02001&amp;SDATE=201001&amp;PERIODTYPE=QTR_STD&amp;SCFT=3&amp;window=popup_no_bar&amp;width=385&amp;height=120&amp;START_MAXIMIZED=FALSE&amp;creator=factset&amp;display_string=Audit"}</definedName>
    <definedName name="_766__FDSAUDITLINK__" hidden="1">{"fdsup://Directions/FactSet Auditing Viewer?action=AUDIT_VALUE&amp;DB=129&amp;ID1=31561610&amp;VALUEID=02001&amp;SDATE=201001&amp;PERIODTYPE=QTR_STD&amp;SCFT=3&amp;window=popup_no_bar&amp;width=385&amp;height=120&amp;START_MAXIMIZED=FALSE&amp;creator=factset&amp;display_string=Audit"}</definedName>
    <definedName name="_767__FDSAUDITLINK__" hidden="1">{"fdsup://Directions/FactSet Auditing Viewer?action=AUDIT_VALUE&amp;DB=129&amp;ID1=29247520&amp;VALUEID=02001&amp;SDATE=201002&amp;PERIODTYPE=QTR_STD&amp;SCFT=3&amp;window=popup_no_bar&amp;width=385&amp;height=120&amp;START_MAXIMIZED=FALSE&amp;creator=factset&amp;display_string=Audit"}</definedName>
    <definedName name="_768__FDSAUDITLINK__" hidden="1">{"fdsup://Directions/FactSet Auditing Viewer?action=AUDIT_VALUE&amp;DB=129&amp;ID1=29247520&amp;VALUEID=02001&amp;SDATE=201002&amp;PERIODTYPE=QTR_STD&amp;SCFT=3&amp;window=popup_no_bar&amp;width=385&amp;height=120&amp;START_MAXIMIZED=FALSE&amp;creator=factset&amp;display_string=Audit"}</definedName>
    <definedName name="_769__FDSAUDITLINK__" hidden="1">{"fdsup://Directions/FactSet Auditing Viewer?action=AUDIT_VALUE&amp;DB=129&amp;ID1=17275R10&amp;VALUEID=02001&amp;SDATE=201002&amp;PERIODTYPE=QTR_STD&amp;SCFT=3&amp;window=popup_no_bar&amp;width=385&amp;height=120&amp;START_MAXIMIZED=FALSE&amp;creator=factset&amp;display_string=Audit"}</definedName>
    <definedName name="_77__FDSAUDITLINK__" hidden="1">{"fdsup://Directions/FactSet Auditing Viewer?action=AUDIT_VALUE&amp;DB=129&amp;ID1=59501710&amp;VALUEID=02001&amp;SDATE=201004&amp;PERIODTYPE=QTR_STD&amp;SCFT=3&amp;window=popup_no_bar&amp;width=385&amp;height=120&amp;START_MAXIMIZED=FALSE&amp;creator=factset&amp;display_string=Audit"}</definedName>
    <definedName name="_770__FDSAUDITLINK__" hidden="1">{"fdsup://Directions/FactSet Auditing Viewer?action=AUDIT_VALUE&amp;DB=129&amp;ID1=17275R10&amp;VALUEID=02001&amp;SDATE=201002&amp;PERIODTYPE=QTR_STD&amp;SCFT=3&amp;window=popup_no_bar&amp;width=385&amp;height=120&amp;START_MAXIMIZED=FALSE&amp;creator=factset&amp;display_string=Audit"}</definedName>
    <definedName name="_771__FDSAUDITLINK__" hidden="1">{"fdsup://Directions/FactSet Auditing Viewer?action=AUDIT_VALUE&amp;DB=129&amp;ID1=22544710&amp;VALUEID=02001&amp;SDATE=201002&amp;PERIODTYPE=QTR_STD&amp;SCFT=3&amp;window=popup_no_bar&amp;width=385&amp;height=120&amp;START_MAXIMIZED=FALSE&amp;creator=factset&amp;display_string=Audit"}</definedName>
    <definedName name="_772__FDSAUDITLINK__" hidden="1">{"fdsup://Directions/FactSet Auditing Viewer?action=AUDIT_VALUE&amp;DB=129&amp;ID1=22544710&amp;VALUEID=02001&amp;SDATE=201002&amp;PERIODTYPE=QTR_STD&amp;SCFT=3&amp;window=popup_no_bar&amp;width=385&amp;height=120&amp;START_MAXIMIZED=FALSE&amp;creator=factset&amp;display_string=Audit"}</definedName>
    <definedName name="_773__FDSAUDITLINK__" hidden="1">{"fdsup://Directions/FactSet Auditing Viewer?action=AUDIT_VALUE&amp;DB=129&amp;ID1=20714230&amp;VALUEID=02001&amp;SDATE=201001&amp;PERIODTYPE=QTR_STD&amp;SCFT=3&amp;window=popup_no_bar&amp;width=385&amp;height=120&amp;START_MAXIMIZED=FALSE&amp;creator=factset&amp;display_string=Audit"}</definedName>
    <definedName name="_774__FDSAUDITLINK__" hidden="1">{"fdsup://Directions/FactSet Auditing Viewer?action=AUDIT_VALUE&amp;DB=129&amp;ID1=20714230&amp;VALUEID=02001&amp;SDATE=201001&amp;PERIODTYPE=QTR_STD&amp;SCFT=3&amp;window=popup_no_bar&amp;width=385&amp;height=120&amp;START_MAXIMIZED=FALSE&amp;creator=factset&amp;display_string=Audit"}</definedName>
    <definedName name="_775__FDSAUDITLINK__" hidden="1">{"fdsup://Directions/FactSet Auditing Viewer?action=AUDIT_VALUE&amp;DB=129&amp;ID1=12738710&amp;VALUEID=02001&amp;SDATE=200904&amp;PERIODTYPE=QTR_STD&amp;SCFT=3&amp;window=popup_no_bar&amp;width=385&amp;height=120&amp;START_MAXIMIZED=FALSE&amp;creator=factset&amp;display_string=Audit"}</definedName>
    <definedName name="_776__FDSAUDITLINK__" hidden="1">{"fdsup://Directions/FactSet Auditing Viewer?action=AUDIT_VALUE&amp;DB=129&amp;ID1=12738710&amp;VALUEID=02001&amp;SDATE=200904&amp;PERIODTYPE=QTR_STD&amp;SCFT=3&amp;window=popup_no_bar&amp;width=385&amp;height=120&amp;START_MAXIMIZED=FALSE&amp;creator=factset&amp;display_string=Audit"}</definedName>
    <definedName name="_777__FDSAUDITLINK__" hidden="1">{"fdsup://Directions/FactSet Auditing Viewer?action=AUDIT_VALUE&amp;DB=129&amp;ID1=11162130&amp;VALUEID=02001&amp;SDATE=201001&amp;PERIODTYPE=QTR_STD&amp;SCFT=3&amp;window=popup_no_bar&amp;width=385&amp;height=120&amp;START_MAXIMIZED=FALSE&amp;creator=factset&amp;display_string=Audit"}</definedName>
    <definedName name="_778__FDSAUDITLINK__" hidden="1">{"fdsup://Directions/FactSet Auditing Viewer?action=AUDIT_VALUE&amp;DB=129&amp;ID1=11162130&amp;VALUEID=02001&amp;SDATE=201001&amp;PERIODTYPE=QTR_STD&amp;SCFT=3&amp;window=popup_no_bar&amp;width=385&amp;height=120&amp;START_MAXIMIZED=FALSE&amp;creator=factset&amp;display_string=Audit"}</definedName>
    <definedName name="_779__FDSAUDITLINK__" hidden="1">{"fdsup://Directions/FactSet Auditing Viewer?action=AUDIT_VALUE&amp;DB=129&amp;ID1=Y0486S10&amp;VALUEID=02001&amp;SDATE=201001&amp;PERIODTYPE=QTR_STD&amp;SCFT=3&amp;window=popup_no_bar&amp;width=385&amp;height=120&amp;START_MAXIMIZED=FALSE&amp;creator=factset&amp;display_string=Audit"}</definedName>
    <definedName name="_78__FDSAUDITLINK__" hidden="1">{"fdsup://Directions/FactSet Auditing Viewer?action=AUDIT_VALUE&amp;DB=129&amp;ID1=59501710&amp;VALUEID=02001&amp;SDATE=201004&amp;PERIODTYPE=QTR_STD&amp;SCFT=3&amp;window=popup_no_bar&amp;width=385&amp;height=120&amp;START_MAXIMIZED=FALSE&amp;creator=factset&amp;display_string=Audit"}</definedName>
    <definedName name="_780__FDSAUDITLINK__" hidden="1">{"fdsup://Directions/FactSet Auditing Viewer?action=AUDIT_VALUE&amp;DB=129&amp;ID1=Y0486S10&amp;VALUEID=02001&amp;SDATE=201001&amp;PERIODTYPE=QTR_STD&amp;SCFT=3&amp;window=popup_no_bar&amp;width=385&amp;height=120&amp;START_MAXIMIZED=FALSE&amp;creator=factset&amp;display_string=Audit"}</definedName>
    <definedName name="_781__FDSAUDITLINK__" hidden="1">{"fdsup://Directions/FactSet Auditing Viewer?action=AUDIT_VALUE&amp;DB=129&amp;ID1=03822W40&amp;VALUEID=02001&amp;SDATE=200903&amp;PERIODTYPE=QTR_STD&amp;SCFT=3&amp;window=popup_no_bar&amp;width=385&amp;height=120&amp;START_MAXIMIZED=FALSE&amp;creator=factset&amp;display_string=Audit"}</definedName>
    <definedName name="_782__FDSAUDITLINK__" hidden="1">{"fdsup://Directions/FactSet Auditing Viewer?action=AUDIT_VALUE&amp;DB=129&amp;ID1=03822W40&amp;VALUEID=02001&amp;SDATE=200903&amp;PERIODTYPE=QTR_STD&amp;SCFT=3&amp;window=popup_no_bar&amp;width=385&amp;height=120&amp;START_MAXIMIZED=FALSE&amp;creator=factset&amp;display_string=Audit"}</definedName>
    <definedName name="_783__FDSAUDITLINK__" hidden="1">{"fdsup://Directions/FactSet Auditing Viewer?action=AUDIT_VALUE&amp;DB=129&amp;ID1=03822210&amp;VALUEID=02001&amp;SDATE=201001&amp;PERIODTYPE=QTR_STD&amp;SCFT=3&amp;window=popup_no_bar&amp;width=385&amp;height=120&amp;START_MAXIMIZED=FALSE&amp;creator=factset&amp;display_string=Audit"}</definedName>
    <definedName name="_784__FDSAUDITLINK__" hidden="1">{"fdsup://Directions/FactSet Auditing Viewer?action=AUDIT_VALUE&amp;DB=129&amp;ID1=03822210&amp;VALUEID=02001&amp;SDATE=201001&amp;PERIODTYPE=QTR_STD&amp;SCFT=3&amp;window=popup_no_bar&amp;width=385&amp;height=120&amp;START_MAXIMIZED=FALSE&amp;creator=factset&amp;display_string=Audit"}</definedName>
    <definedName name="_785__FDSAUDITLINK__" hidden="1">{"fdsup://Directions/FactSet Auditing Viewer?action=AUDIT_VALUE&amp;DB=129&amp;ID1=03265410&amp;VALUEID=02001&amp;SDATE=201001&amp;PERIODTYPE=QTR_STD&amp;SCFT=3&amp;window=popup_no_bar&amp;width=385&amp;height=120&amp;START_MAXIMIZED=FALSE&amp;creator=factset&amp;display_string=Audit"}</definedName>
    <definedName name="_786__FDSAUDITLINK__" hidden="1">{"fdsup://Directions/FactSet Auditing Viewer?action=AUDIT_VALUE&amp;DB=129&amp;ID1=03265410&amp;VALUEID=02001&amp;SDATE=201001&amp;PERIODTYPE=QTR_STD&amp;SCFT=3&amp;window=popup_no_bar&amp;width=385&amp;height=120&amp;START_MAXIMIZED=FALSE&amp;creator=factset&amp;display_string=Audit"}</definedName>
    <definedName name="_787__FDSAUDITLINK__" hidden="1">{"fdsup://Directions/FactSet Auditing Viewer?action=AUDIT_VALUE&amp;DB=129&amp;ID1=98975F10&amp;VALUEID=02001&amp;SDATE=200903&amp;PERIODTYPE=QTR_STD&amp;SCFT=3&amp;window=popup_no_bar&amp;width=385&amp;height=120&amp;START_MAXIMIZED=FALSE&amp;creator=factset&amp;display_string=Audit"}</definedName>
    <definedName name="_788__FDSAUDITLINK__" hidden="1">{"fdsup://Directions/FactSet Auditing Viewer?action=AUDIT_VALUE&amp;DB=129&amp;ID1=98975F10&amp;VALUEID=02001&amp;SDATE=200903&amp;PERIODTYPE=QTR_STD&amp;SCFT=3&amp;window=popup_no_bar&amp;width=385&amp;height=120&amp;START_MAXIMIZED=FALSE&amp;creator=factset&amp;display_string=Audit"}</definedName>
    <definedName name="_789__FDSAUDITLINK__" hidden="1">{"fdsup://Directions/FactSet Auditing Viewer?action=AUDIT_VALUE&amp;DB=129&amp;ID1=98391910&amp;VALUEID=02001&amp;SDATE=200902&amp;PERIODTYPE=QTR_STD&amp;SCFT=3&amp;window=popup_no_bar&amp;width=385&amp;height=120&amp;START_MAXIMIZED=FALSE&amp;creator=factset&amp;display_string=Audit"}</definedName>
    <definedName name="_79__FDSAUDITLINK__" hidden="1">{"fdsup://Directions/FactSet Auditing Viewer?action=AUDIT_VALUE&amp;DB=129&amp;ID1=50216110&amp;VALUEID=02001&amp;SDATE=201101&amp;PERIODTYPE=QTR_STD&amp;SCFT=3&amp;window=popup_no_bar&amp;width=385&amp;height=120&amp;START_MAXIMIZED=FALSE&amp;creator=factset&amp;display_string=Audit"}</definedName>
    <definedName name="_790__FDSAUDITLINK__" hidden="1">{"fdsup://Directions/FactSet Auditing Viewer?action=AUDIT_VALUE&amp;DB=129&amp;ID1=98391910&amp;VALUEID=02001&amp;SDATE=200902&amp;PERIODTYPE=QTR_STD&amp;SCFT=3&amp;window=popup_no_bar&amp;width=385&amp;height=120&amp;START_MAXIMIZED=FALSE&amp;creator=factset&amp;display_string=Audit"}</definedName>
    <definedName name="_791__FDSAUDITLINK__" hidden="1">{"fdsup://Directions/FactSet Auditing Viewer?action=AUDIT_VALUE&amp;DB=129&amp;ID1=95810210&amp;VALUEID=02001&amp;SDATE=201001&amp;PERIODTYPE=QTR_STD&amp;SCFT=3&amp;window=popup_no_bar&amp;width=385&amp;height=120&amp;START_MAXIMIZED=FALSE&amp;creator=factset&amp;display_string=Audit"}</definedName>
    <definedName name="_792__FDSAUDITLINK__" hidden="1">{"fdsup://Directions/FactSet Auditing Viewer?action=AUDIT_VALUE&amp;DB=129&amp;ID1=95810210&amp;VALUEID=02001&amp;SDATE=201001&amp;PERIODTYPE=QTR_STD&amp;SCFT=3&amp;window=popup_no_bar&amp;width=385&amp;height=120&amp;START_MAXIMIZED=FALSE&amp;creator=factset&amp;display_string=Audit"}</definedName>
    <definedName name="_793__FDSAUDITLINK__" hidden="1">{"fdsup://Directions/FactSet Auditing Viewer?action=AUDIT_VALUE&amp;DB=129&amp;ID1=92829810&amp;VALUEID=02001&amp;SDATE=200903&amp;PERIODTYPE=QTR_STD&amp;SCFT=3&amp;window=popup_no_bar&amp;width=385&amp;height=120&amp;START_MAXIMIZED=FALSE&amp;creator=factset&amp;display_string=Audit"}</definedName>
    <definedName name="_794__FDSAUDITLINK__" hidden="1">{"fdsup://Directions/FactSet Auditing Viewer?action=AUDIT_VALUE&amp;DB=129&amp;ID1=92829810&amp;VALUEID=02001&amp;SDATE=200903&amp;PERIODTYPE=QTR_STD&amp;SCFT=3&amp;window=popup_no_bar&amp;width=385&amp;height=120&amp;START_MAXIMIZED=FALSE&amp;creator=factset&amp;display_string=Audit"}</definedName>
    <definedName name="_795__FDSAUDITLINK__" hidden="1">{"fdsup://Directions/FactSet Auditing Viewer?action=AUDIT_VALUE&amp;DB=129&amp;ID1=88250810&amp;VALUEID=02001&amp;SDATE=200903&amp;PERIODTYPE=QTR_STD&amp;SCFT=3&amp;window=popup_no_bar&amp;width=385&amp;height=120&amp;START_MAXIMIZED=FALSE&amp;creator=factset&amp;display_string=Audit"}</definedName>
    <definedName name="_796__FDSAUDITLINK__" hidden="1">{"fdsup://Directions/FactSet Auditing Viewer?action=AUDIT_VALUE&amp;DB=129&amp;ID1=88250810&amp;VALUEID=02001&amp;SDATE=200903&amp;PERIODTYPE=QTR_STD&amp;SCFT=3&amp;window=popup_no_bar&amp;width=385&amp;height=120&amp;START_MAXIMIZED=FALSE&amp;creator=factset&amp;display_string=Audit"}</definedName>
    <definedName name="_797__FDSAUDITLINK__" hidden="1">{"fdsup://Directions/FactSet Auditing Viewer?action=AUDIT_VALUE&amp;DB=129&amp;ID1=89674K10&amp;VALUEID=02001&amp;SDATE=200903&amp;PERIODTYPE=QTR_STD&amp;SCFT=3&amp;window=popup_no_bar&amp;width=385&amp;height=120&amp;START_MAXIMIZED=FALSE&amp;creator=factset&amp;display_string=Audit"}</definedName>
    <definedName name="_798__FDSAUDITLINK__" hidden="1">{"fdsup://Directions/FactSet Auditing Viewer?action=AUDIT_VALUE&amp;DB=129&amp;ID1=89674K10&amp;VALUEID=02001&amp;SDATE=200903&amp;PERIODTYPE=QTR_STD&amp;SCFT=3&amp;window=popup_no_bar&amp;width=385&amp;height=120&amp;START_MAXIMIZED=FALSE&amp;creator=factset&amp;display_string=Audit"}</definedName>
    <definedName name="_799__FDSAUDITLINK__" hidden="1">{"fdsup://Directions/FactSet Auditing Viewer?action=AUDIT_VALUE&amp;DB=129&amp;ID1=G7945M10&amp;VALUEID=02001&amp;SDATE=201001&amp;PERIODTYPE=QTR_STD&amp;SCFT=3&amp;window=popup_no_bar&amp;width=385&amp;height=120&amp;START_MAXIMIZED=FALSE&amp;creator=factset&amp;display_string=Audit"}</definedName>
    <definedName name="_8__FDSAUDITLINK__" hidden="1">{"fdsup://Directions/FactSet Auditing Viewer?action=AUDIT_VALUE&amp;DB=129&amp;ID1=637248&amp;VALUEID=02001&amp;SDATE=201103&amp;PERIODTYPE=QTR_STD&amp;SCFT=3&amp;window=popup_no_bar&amp;width=385&amp;height=120&amp;START_MAXIMIZED=FALSE&amp;creator=factset&amp;display_string=Audit"}</definedName>
    <definedName name="_80__FDSAUDITLINK__" hidden="1">{"fdsup://Directions/FactSet Auditing Viewer?action=AUDIT_VALUE&amp;DB=129&amp;ID1=50216110&amp;VALUEID=02001&amp;SDATE=201101&amp;PERIODTYPE=QTR_STD&amp;SCFT=3&amp;window=popup_no_bar&amp;width=385&amp;height=120&amp;START_MAXIMIZED=FALSE&amp;creator=factset&amp;display_string=Audit"}</definedName>
    <definedName name="_800__FDSAUDITLINK__" hidden="1">{"fdsup://Directions/FactSet Auditing Viewer?action=AUDIT_VALUE&amp;DB=129&amp;ID1=G7945M10&amp;VALUEID=02001&amp;SDATE=201001&amp;PERIODTYPE=QTR_STD&amp;SCFT=3&amp;window=popup_no_bar&amp;width=385&amp;height=120&amp;START_MAXIMIZED=FALSE&amp;creator=factset&amp;display_string=Audit"}</definedName>
    <definedName name="_801__FDSAUDITLINK__" hidden="1">{"fdsup://Directions/FactSet Auditing Viewer?action=AUDIT_VALUE&amp;DB=129&amp;ID1=78477410&amp;VALUEID=02001&amp;SDATE=200903&amp;PERIODTYPE=QTR_STD&amp;SCFT=3&amp;window=popup_no_bar&amp;width=385&amp;height=120&amp;START_MAXIMIZED=FALSE&amp;creator=factset&amp;display_string=Audit"}</definedName>
    <definedName name="_802__FDSAUDITLINK__" hidden="1">{"fdsup://Directions/FactSet Auditing Viewer?action=AUDIT_VALUE&amp;DB=129&amp;ID1=78477410&amp;VALUEID=02001&amp;SDATE=200903&amp;PERIODTYPE=QTR_STD&amp;SCFT=3&amp;window=popup_no_bar&amp;width=385&amp;height=120&amp;START_MAXIMIZED=FALSE&amp;creator=factset&amp;display_string=Audit"}</definedName>
    <definedName name="_803__FDSAUDITLINK__" hidden="1">{"fdsup://Directions/FactSet Auditing Viewer?action=AUDIT_VALUE&amp;DB=129&amp;ID1=82705710&amp;VALUEID=02001&amp;SDATE=200903&amp;PERIODTYPE=QTR_STD&amp;SCFT=3&amp;window=popup_no_bar&amp;width=385&amp;height=120&amp;START_MAXIMIZED=FALSE&amp;creator=factset&amp;display_string=Audit"}</definedName>
    <definedName name="_804__FDSAUDITLINK__" hidden="1">{"fdsup://Directions/FactSet Auditing Viewer?action=AUDIT_VALUE&amp;DB=129&amp;ID1=82705710&amp;VALUEID=02001&amp;SDATE=200903&amp;PERIODTYPE=QTR_STD&amp;SCFT=3&amp;window=popup_no_bar&amp;width=385&amp;height=120&amp;START_MAXIMIZED=FALSE&amp;creator=factset&amp;display_string=Audit"}</definedName>
    <definedName name="_805__FDSAUDITLINK__" hidden="1">{"fdsup://Directions/FactSet Auditing Viewer?action=AUDIT_VALUE&amp;DB=129&amp;ID1=83547010&amp;VALUEID=02001&amp;SDATE=200903&amp;PERIODTYPE=QTR_STD&amp;SCFT=3&amp;window=popup_no_bar&amp;width=385&amp;height=120&amp;START_MAXIMIZED=FALSE&amp;creator=factset&amp;display_string=Audit"}</definedName>
    <definedName name="_806__FDSAUDITLINK__" hidden="1">{"fdsup://Directions/FactSet Auditing Viewer?action=AUDIT_VALUE&amp;DB=129&amp;ID1=83547010&amp;VALUEID=02001&amp;SDATE=200903&amp;PERIODTYPE=QTR_STD&amp;SCFT=3&amp;window=popup_no_bar&amp;width=385&amp;height=120&amp;START_MAXIMIZED=FALSE&amp;creator=factset&amp;display_string=Audit"}</definedName>
    <definedName name="_807__FDSAUDITLINK__" hidden="1">{"fdsup://Directions/FactSet Auditing Viewer?action=AUDIT_VALUE&amp;DB=129&amp;ID1=80004C10&amp;VALUEID=02001&amp;SDATE=200903&amp;PERIODTYPE=QTR_STD&amp;SCFT=3&amp;window=popup_no_bar&amp;width=385&amp;height=120&amp;START_MAXIMIZED=FALSE&amp;creator=factset&amp;display_string=Audit"}</definedName>
    <definedName name="_808__FDSAUDITLINK__" hidden="1">{"fdsup://Directions/FactSet Auditing Viewer?action=AUDIT_VALUE&amp;DB=129&amp;ID1=80004C10&amp;VALUEID=02001&amp;SDATE=200903&amp;PERIODTYPE=QTR_STD&amp;SCFT=3&amp;window=popup_no_bar&amp;width=385&amp;height=120&amp;START_MAXIMIZED=FALSE&amp;creator=factset&amp;display_string=Audit"}</definedName>
    <definedName name="_809__FDSAUDITLINK__" hidden="1">{"fdsup://Directions/FactSet Auditing Viewer?action=AUDIT_VALUE&amp;DB=129&amp;ID1=81685010&amp;VALUEID=02001&amp;SDATE=200903&amp;PERIODTYPE=QTR_STD&amp;SCFT=3&amp;window=popup_no_bar&amp;width=385&amp;height=120&amp;START_MAXIMIZED=FALSE&amp;creator=factset&amp;display_string=Audit"}</definedName>
    <definedName name="_81__FDSAUDITLINK__" hidden="1">{"fdsup://Directions/FactSet Auditing Viewer?action=AUDIT_VALUE&amp;DB=129&amp;ID1=51841510&amp;VALUEID=02001&amp;SDATE=201101&amp;PERIODTYPE=QTR_STD&amp;SCFT=3&amp;window=popup_no_bar&amp;width=385&amp;height=120&amp;START_MAXIMIZED=FALSE&amp;creator=factset&amp;display_string=Audit"}</definedName>
    <definedName name="_810__FDSAUDITLINK__" hidden="1">{"fdsup://Directions/FactSet Auditing Viewer?action=AUDIT_VALUE&amp;DB=129&amp;ID1=81685010&amp;VALUEID=02001&amp;SDATE=200903&amp;PERIODTYPE=QTR_STD&amp;SCFT=3&amp;window=popup_no_bar&amp;width=385&amp;height=120&amp;START_MAXIMIZED=FALSE&amp;creator=factset&amp;display_string=Audit"}</definedName>
    <definedName name="_811__FDSAUDITLINK__" hidden="1">{"fdsup://Directions/FactSet Auditing Viewer?action=AUDIT_VALUE&amp;DB=129&amp;ID1=82691910&amp;VALUEID=02001&amp;SDATE=200903&amp;PERIODTYPE=QTR_STD&amp;SCFT=3&amp;window=popup_no_bar&amp;width=385&amp;height=120&amp;START_MAXIMIZED=FALSE&amp;creator=factset&amp;display_string=Audit"}</definedName>
    <definedName name="_812__FDSAUDITLINK__" hidden="1">{"fdsup://Directions/FactSet Auditing Viewer?action=AUDIT_VALUE&amp;DB=129&amp;ID1=82691910&amp;VALUEID=02001&amp;SDATE=200903&amp;PERIODTYPE=QTR_STD&amp;SCFT=3&amp;window=popup_no_bar&amp;width=385&amp;height=120&amp;START_MAXIMIZED=FALSE&amp;creator=factset&amp;display_string=Audit"}</definedName>
    <definedName name="_813__FDSAUDITLINK__" hidden="1">{"fdsup://Directions/FactSet Auditing Viewer?action=AUDIT_VALUE&amp;DB=129&amp;ID1=82705T10&amp;VALUEID=02001&amp;SDATE=200903&amp;PERIODTYPE=QTR_STD&amp;SCFT=3&amp;window=popup_no_bar&amp;width=385&amp;height=120&amp;START_MAXIMIZED=FALSE&amp;creator=factset&amp;display_string=Audit"}</definedName>
    <definedName name="_814__FDSAUDITLINK__" hidden="1">{"fdsup://Directions/FactSet Auditing Viewer?action=AUDIT_VALUE&amp;DB=129&amp;ID1=82705T10&amp;VALUEID=02001&amp;SDATE=200903&amp;PERIODTYPE=QTR_STD&amp;SCFT=3&amp;window=popup_no_bar&amp;width=385&amp;height=120&amp;START_MAXIMIZED=FALSE&amp;creator=factset&amp;display_string=Audit"}</definedName>
    <definedName name="_815__FDSAUDITLINK__" hidden="1">{"fdsup://Directions/FactSet Auditing Viewer?action=AUDIT_VALUE&amp;DB=129&amp;ID1=75091710&amp;VALUEID=02001&amp;SDATE=200903&amp;PERIODTYPE=QTR_STD&amp;SCFT=3&amp;window=popup_no_bar&amp;width=385&amp;height=120&amp;START_MAXIMIZED=FALSE&amp;creator=factset&amp;display_string=Audit"}</definedName>
    <definedName name="_816__FDSAUDITLINK__" hidden="1">{"fdsup://Directions/FactSet Auditing Viewer?action=AUDIT_VALUE&amp;DB=129&amp;ID1=75091710&amp;VALUEID=02001&amp;SDATE=200903&amp;PERIODTYPE=QTR_STD&amp;SCFT=3&amp;window=popup_no_bar&amp;width=385&amp;height=120&amp;START_MAXIMIZED=FALSE&amp;creator=factset&amp;display_string=Audit"}</definedName>
    <definedName name="_817__FDSAUDITLINK__" hidden="1">{"fdsup://Directions/FactSet Auditing Viewer?action=AUDIT_VALUE&amp;DB=129&amp;ID1=74994110&amp;VALUEID=02001&amp;SDATE=200902&amp;PERIODTYPE=QTR_STD&amp;SCFT=3&amp;window=popup_no_bar&amp;width=385&amp;height=120&amp;START_MAXIMIZED=FALSE&amp;creator=factset&amp;display_string=Audit"}</definedName>
    <definedName name="_818__FDSAUDITLINK__" hidden="1">{"fdsup://Directions/FactSet Auditing Viewer?action=AUDIT_VALUE&amp;DB=129&amp;ID1=74994110&amp;VALUEID=02001&amp;SDATE=200902&amp;PERIODTYPE=QTR_STD&amp;SCFT=3&amp;window=popup_no_bar&amp;width=385&amp;height=120&amp;START_MAXIMIZED=FALSE&amp;creator=factset&amp;display_string=Audit"}</definedName>
    <definedName name="_819__FDSAUDITLINK__" hidden="1">{"fdsup://Directions/FactSet Auditing Viewer?action=AUDIT_VALUE&amp;DB=129&amp;ID1=74727710&amp;VALUEID=02001&amp;SDATE=200902&amp;PERIODTYPE=QTR_STD&amp;SCFT=3&amp;window=popup_no_bar&amp;width=385&amp;height=120&amp;START_MAXIMIZED=FALSE&amp;creator=factset&amp;display_string=Audit"}</definedName>
    <definedName name="_82__FDSAUDITLINK__" hidden="1">{"fdsup://Directions/FactSet Auditing Viewer?action=AUDIT_VALUE&amp;DB=129&amp;ID1=51841510&amp;VALUEID=02001&amp;SDATE=201101&amp;PERIODTYPE=QTR_STD&amp;SCFT=3&amp;window=popup_no_bar&amp;width=385&amp;height=120&amp;START_MAXIMIZED=FALSE&amp;creator=factset&amp;display_string=Audit"}</definedName>
    <definedName name="_820__FDSAUDITLINK__" hidden="1">{"fdsup://Directions/FactSet Auditing Viewer?action=AUDIT_VALUE&amp;DB=129&amp;ID1=74727710&amp;VALUEID=02001&amp;SDATE=200902&amp;PERIODTYPE=QTR_STD&amp;SCFT=3&amp;window=popup_no_bar&amp;width=385&amp;height=120&amp;START_MAXIMIZED=FALSE&amp;creator=factset&amp;display_string=Audit"}</definedName>
    <definedName name="_821__FDSAUDITLINK__" hidden="1">{"fdsup://Directions/FactSet Auditing Viewer?action=AUDIT_VALUE&amp;DB=129&amp;ID1=72581M30&amp;VALUEID=02001&amp;SDATE=200903&amp;PERIODTYPE=QTR_STD&amp;SCFT=3&amp;window=popup_no_bar&amp;width=385&amp;height=120&amp;START_MAXIMIZED=FALSE&amp;creator=factset&amp;display_string=Audit"}</definedName>
    <definedName name="_822__FDSAUDITLINK__" hidden="1">{"fdsup://Directions/FactSet Auditing Viewer?action=AUDIT_VALUE&amp;DB=129&amp;ID1=72581M30&amp;VALUEID=02001&amp;SDATE=200903&amp;PERIODTYPE=QTR_STD&amp;SCFT=3&amp;window=popup_no_bar&amp;width=385&amp;height=120&amp;START_MAXIMIZED=FALSE&amp;creator=factset&amp;display_string=Audit"}</definedName>
    <definedName name="_823__FDSAUDITLINK__" hidden="1">{"fdsup://Directions/FactSet Auditing Viewer?action=AUDIT_VALUE&amp;DB=129&amp;ID1=73927610&amp;VALUEID=02001&amp;SDATE=200903&amp;PERIODTYPE=QTR_STD&amp;SCFT=3&amp;window=popup_no_bar&amp;width=385&amp;height=120&amp;START_MAXIMIZED=FALSE&amp;creator=factset&amp;display_string=Audit"}</definedName>
    <definedName name="_824__FDSAUDITLINK__" hidden="1">{"fdsup://Directions/FactSet Auditing Viewer?action=AUDIT_VALUE&amp;DB=129&amp;ID1=73927610&amp;VALUEID=02001&amp;SDATE=200903&amp;PERIODTYPE=QTR_STD&amp;SCFT=3&amp;window=popup_no_bar&amp;width=385&amp;height=120&amp;START_MAXIMIZED=FALSE&amp;creator=factset&amp;display_string=Audit"}</definedName>
    <definedName name="_825__FDSAUDITLINK__" hidden="1">{"fdsup://Directions/FactSet Auditing Viewer?action=AUDIT_VALUE&amp;DB=129&amp;ID1=69344F10&amp;VALUEID=02001&amp;SDATE=200903&amp;PERIODTYPE=QTR_STD&amp;SCFT=3&amp;window=popup_no_bar&amp;width=385&amp;height=120&amp;START_MAXIMIZED=FALSE&amp;creator=factset&amp;display_string=Audit"}</definedName>
    <definedName name="_826__FDSAUDITLINK__" hidden="1">{"fdsup://Directions/FactSet Auditing Viewer?action=AUDIT_VALUE&amp;DB=129&amp;ID1=69344F10&amp;VALUEID=02001&amp;SDATE=200903&amp;PERIODTYPE=QTR_STD&amp;SCFT=3&amp;window=popup_no_bar&amp;width=385&amp;height=120&amp;START_MAXIMIZED=FALSE&amp;creator=factset&amp;display_string=Audit"}</definedName>
    <definedName name="_827__FDSAUDITLINK__" hidden="1">{"fdsup://Directions/FactSet Auditing Viewer?action=AUDIT_VALUE&amp;DB=129&amp;ID1=69341710&amp;VALUEID=02001&amp;SDATE=200903&amp;PERIODTYPE=QTR_STD&amp;SCFT=3&amp;window=popup_no_bar&amp;width=385&amp;height=120&amp;START_MAXIMIZED=FALSE&amp;creator=factset&amp;display_string=Audit"}</definedName>
    <definedName name="_828__FDSAUDITLINK__" hidden="1">{"fdsup://Directions/FactSet Auditing Viewer?action=AUDIT_VALUE&amp;DB=129&amp;ID1=69341710&amp;VALUEID=02001&amp;SDATE=200903&amp;PERIODTYPE=QTR_STD&amp;SCFT=3&amp;window=popup_no_bar&amp;width=385&amp;height=120&amp;START_MAXIMIZED=FALSE&amp;creator=factset&amp;display_string=Audit"}</definedName>
    <definedName name="_829__FDSAUDITLINK__" hidden="1">{"fdsup://Directions/FactSet Auditing Viewer?action=AUDIT_VALUE&amp;DB=129&amp;ID1=68218910&amp;VALUEID=02001&amp;SDATE=200903&amp;PERIODTYPE=QTR_STD&amp;SCFT=3&amp;window=popup_no_bar&amp;width=385&amp;height=120&amp;START_MAXIMIZED=FALSE&amp;creator=factset&amp;display_string=Audit"}</definedName>
    <definedName name="_83__FDSAUDITLINK__" hidden="1">{"fdsup://Directions/FactSet Auditing Viewer?action=AUDIT_VALUE&amp;DB=129&amp;ID1=51280710&amp;VALUEID=02001&amp;SDATE=201103&amp;PERIODTYPE=QTR_STD&amp;SCFT=3&amp;window=popup_no_bar&amp;width=385&amp;height=120&amp;START_MAXIMIZED=FALSE&amp;creator=factset&amp;display_string=Audit"}</definedName>
    <definedName name="_830__FDSAUDITLINK__" hidden="1">{"fdsup://Directions/FactSet Auditing Viewer?action=AUDIT_VALUE&amp;DB=129&amp;ID1=68218910&amp;VALUEID=02001&amp;SDATE=200903&amp;PERIODTYPE=QTR_STD&amp;SCFT=3&amp;window=popup_no_bar&amp;width=385&amp;height=120&amp;START_MAXIMIZED=FALSE&amp;creator=factset&amp;display_string=Audit"}</definedName>
    <definedName name="_831__FDSAUDITLINK__" hidden="1">{"fdsup://Directions/FactSet Auditing Viewer?action=AUDIT_VALUE&amp;DB=129&amp;ID1=B505PN&amp;VALUEID=02001&amp;SDATE=200903&amp;PERIODTYPE=QTR_STD&amp;SCFT=3&amp;window=popup_no_bar&amp;width=385&amp;height=120&amp;START_MAXIMIZED=FALSE&amp;creator=factset&amp;display_string=Audit"}</definedName>
    <definedName name="_832__FDSAUDITLINK__" hidden="1">{"fdsup://Directions/FactSet Auditing Viewer?action=AUDIT_VALUE&amp;DB=129&amp;ID1=B505PN&amp;VALUEID=02001&amp;SDATE=200903&amp;PERIODTYPE=QTR_STD&amp;SCFT=3&amp;window=popup_no_bar&amp;width=385&amp;height=120&amp;START_MAXIMIZED=FALSE&amp;creator=factset&amp;display_string=Audit"}</definedName>
    <definedName name="_833__FDSAUDITLINK__" hidden="1">{"fdsup://Directions/FactSet Auditing Viewer?action=AUDIT_VALUE&amp;DB=129&amp;ID1=67000810&amp;VALUEID=02001&amp;SDATE=200903&amp;PERIODTYPE=QTR_STD&amp;SCFT=3&amp;window=popup_no_bar&amp;width=385&amp;height=120&amp;START_MAXIMIZED=FALSE&amp;creator=factset&amp;display_string=Audit"}</definedName>
    <definedName name="_834__FDSAUDITLINK__" hidden="1">{"fdsup://Directions/FactSet Auditing Viewer?action=AUDIT_VALUE&amp;DB=129&amp;ID1=67000810&amp;VALUEID=02001&amp;SDATE=200903&amp;PERIODTYPE=QTR_STD&amp;SCFT=3&amp;window=popup_no_bar&amp;width=385&amp;height=120&amp;START_MAXIMIZED=FALSE&amp;creator=factset&amp;display_string=Audit"}</definedName>
    <definedName name="_835__FDSAUDITLINK__" hidden="1">{"fdsup://Directions/FactSet Auditing Viewer?action=AUDIT_VALUE&amp;DB=129&amp;ID1=67066G10&amp;VALUEID=02001&amp;SDATE=200903&amp;PERIODTYPE=QTR_STD&amp;SCFT=3&amp;window=popup_no_bar&amp;width=385&amp;height=120&amp;START_MAXIMIZED=FALSE&amp;creator=factset&amp;display_string=Audit"}</definedName>
    <definedName name="_836__FDSAUDITLINK__" hidden="1">{"fdsup://Directions/FactSet Auditing Viewer?action=AUDIT_VALUE&amp;DB=129&amp;ID1=67066G10&amp;VALUEID=02001&amp;SDATE=200903&amp;PERIODTYPE=QTR_STD&amp;SCFT=3&amp;window=popup_no_bar&amp;width=385&amp;height=120&amp;START_MAXIMIZED=FALSE&amp;creator=factset&amp;display_string=Audit"}</definedName>
    <definedName name="_837__FDSAUDITLINK__" hidden="1">{"fdsup://Directions/FactSet Auditing Viewer?action=AUDIT_VALUE&amp;DB=129&amp;ID1=63764010&amp;VALUEID=02001&amp;SDATE=200901&amp;PERIODTYPE=QTR_STD&amp;SCFT=3&amp;window=popup_no_bar&amp;width=385&amp;height=120&amp;START_MAXIMIZED=FALSE&amp;creator=factset&amp;display_string=Audit"}</definedName>
    <definedName name="_838__FDSAUDITLINK__" hidden="1">{"fdsup://Directions/FactSet Auditing Viewer?action=AUDIT_VALUE&amp;DB=129&amp;ID1=63764010&amp;VALUEID=02001&amp;SDATE=200901&amp;PERIODTYPE=QTR_STD&amp;SCFT=3&amp;window=popup_no_bar&amp;width=385&amp;height=120&amp;START_MAXIMIZED=FALSE&amp;creator=factset&amp;display_string=Audit"}</definedName>
    <definedName name="_839__FDSAUDITLINK__" hidden="1">{"fdsup://Directions/FactSet Auditing Viewer?action=AUDIT_VALUE&amp;DB=129&amp;ID1=64118B10&amp;VALUEID=02001&amp;SDATE=200903&amp;PERIODTYPE=QTR_STD&amp;SCFT=3&amp;window=popup_no_bar&amp;width=385&amp;height=120&amp;START_MAXIMIZED=FALSE&amp;creator=factset&amp;display_string=Audit"}</definedName>
    <definedName name="_84__FDSAUDITLINK__" hidden="1">{"fdsup://Directions/FactSet Auditing Viewer?action=AUDIT_VALUE&amp;DB=129&amp;ID1=51280710&amp;VALUEID=02001&amp;SDATE=201103&amp;PERIODTYPE=QTR_STD&amp;SCFT=3&amp;window=popup_no_bar&amp;width=385&amp;height=120&amp;START_MAXIMIZED=FALSE&amp;creator=factset&amp;display_string=Audit"}</definedName>
    <definedName name="_840__FDSAUDITLINK__" hidden="1">{"fdsup://Directions/FactSet Auditing Viewer?action=AUDIT_VALUE&amp;DB=129&amp;ID1=64118B10&amp;VALUEID=02001&amp;SDATE=200903&amp;PERIODTYPE=QTR_STD&amp;SCFT=3&amp;window=popup_no_bar&amp;width=385&amp;height=120&amp;START_MAXIMIZED=FALSE&amp;creator=factset&amp;display_string=Audit"}</definedName>
    <definedName name="_841__FDSAUDITLINK__" hidden="1">{"fdsup://Directions/FactSet Auditing Viewer?action=AUDIT_VALUE&amp;DB=129&amp;ID1=57772K10&amp;VALUEID=02001&amp;SDATE=201001&amp;PERIODTYPE=QTR_STD&amp;SCFT=3&amp;window=popup_no_bar&amp;width=385&amp;height=120&amp;START_MAXIMIZED=FALSE&amp;creator=factset&amp;display_string=Audit"}</definedName>
    <definedName name="_842__FDSAUDITLINK__" hidden="1">{"fdsup://Directions/FactSet Auditing Viewer?action=AUDIT_VALUE&amp;DB=129&amp;ID1=57772K10&amp;VALUEID=02001&amp;SDATE=201001&amp;PERIODTYPE=QTR_STD&amp;SCFT=3&amp;window=popup_no_bar&amp;width=385&amp;height=120&amp;START_MAXIMIZED=FALSE&amp;creator=factset&amp;display_string=Audit"}</definedName>
    <definedName name="_843__FDSAUDITLINK__" hidden="1">{"fdsup://Directions/FactSet Auditing Viewer?action=AUDIT_VALUE&amp;DB=129&amp;ID1=G5876H10&amp;VALUEID=02001&amp;SDATE=200903&amp;PERIODTYPE=QTR_STD&amp;SCFT=3&amp;window=popup_no_bar&amp;width=385&amp;height=120&amp;START_MAXIMIZED=FALSE&amp;creator=factset&amp;display_string=Audit"}</definedName>
    <definedName name="_844__FDSAUDITLINK__" hidden="1">{"fdsup://Directions/FactSet Auditing Viewer?action=AUDIT_VALUE&amp;DB=129&amp;ID1=G5876H10&amp;VALUEID=02001&amp;SDATE=200903&amp;PERIODTYPE=QTR_STD&amp;SCFT=3&amp;window=popup_no_bar&amp;width=385&amp;height=120&amp;START_MAXIMIZED=FALSE&amp;creator=factset&amp;display_string=Audit"}</definedName>
    <definedName name="_845__FDSAUDITLINK__" hidden="1">{"fdsup://Directions/FactSet Auditing Viewer?action=AUDIT_VALUE&amp;DB=129&amp;ID1=62007630&amp;VALUEID=02001&amp;SDATE=200903&amp;PERIODTYPE=QTR_STD&amp;SCFT=3&amp;window=popup_no_bar&amp;width=385&amp;height=120&amp;START_MAXIMIZED=FALSE&amp;creator=factset&amp;display_string=Audit"}</definedName>
    <definedName name="_846__FDSAUDITLINK__" hidden="1">{"fdsup://Directions/FactSet Auditing Viewer?action=AUDIT_VALUE&amp;DB=129&amp;ID1=62007630&amp;VALUEID=02001&amp;SDATE=200903&amp;PERIODTYPE=QTR_STD&amp;SCFT=3&amp;window=popup_no_bar&amp;width=385&amp;height=120&amp;START_MAXIMIZED=FALSE&amp;creator=factset&amp;display_string=Audit"}</definedName>
    <definedName name="_847__FDSAUDITLINK__" hidden="1">{"fdsup://Directions/FactSet Auditing Viewer?action=AUDIT_VALUE&amp;DB=129&amp;ID1=60456710&amp;VALUEID=02001&amp;SDATE=201001&amp;PERIODTYPE=QTR_STD&amp;SCFT=3&amp;window=popup_no_bar&amp;width=385&amp;height=120&amp;START_MAXIMIZED=FALSE&amp;creator=factset&amp;display_string=Audit"}</definedName>
    <definedName name="_848__FDSAUDITLINK__" hidden="1">{"fdsup://Directions/FactSet Auditing Viewer?action=AUDIT_VALUE&amp;DB=129&amp;ID1=60456710&amp;VALUEID=02001&amp;SDATE=201001&amp;PERIODTYPE=QTR_STD&amp;SCFT=3&amp;window=popup_no_bar&amp;width=385&amp;height=120&amp;START_MAXIMIZED=FALSE&amp;creator=factset&amp;display_string=Audit"}</definedName>
    <definedName name="_849__FDSAUDITLINK__" hidden="1">{"fdsup://Directions/FactSet Auditing Viewer?action=AUDIT_VALUE&amp;DB=129&amp;ID1=59479310&amp;VALUEID=02001&amp;SDATE=200903&amp;PERIODTYPE=QTR_STD&amp;SCFT=3&amp;window=popup_no_bar&amp;width=385&amp;height=120&amp;START_MAXIMIZED=FALSE&amp;creator=factset&amp;display_string=Audit"}</definedName>
    <definedName name="_85__FDSAUDITLINK__" hidden="1">{"fdsup://Directions/FactSet Auditing Viewer?action=AUDIT_VALUE&amp;DB=129&amp;ID1=53567810&amp;VALUEID=02001&amp;SDATE=201103&amp;PERIODTYPE=QTR_STD&amp;SCFT=3&amp;window=popup_no_bar&amp;width=385&amp;height=120&amp;START_MAXIMIZED=FALSE&amp;creator=factset&amp;display_string=Audit"}</definedName>
    <definedName name="_850__FDSAUDITLINK__" hidden="1">{"fdsup://Directions/FactSet Auditing Viewer?action=AUDIT_VALUE&amp;DB=129&amp;ID1=59479310&amp;VALUEID=02001&amp;SDATE=200903&amp;PERIODTYPE=QTR_STD&amp;SCFT=3&amp;window=popup_no_bar&amp;width=385&amp;height=120&amp;START_MAXIMIZED=FALSE&amp;creator=factset&amp;display_string=Audit"}</definedName>
    <definedName name="_851__FDSAUDITLINK__" hidden="1">{"fdsup://Directions/FactSet Auditing Viewer?action=AUDIT_VALUE&amp;DB=129&amp;ID1=59501710&amp;VALUEID=02001&amp;SDATE=200902&amp;PERIODTYPE=QTR_STD&amp;SCFT=3&amp;window=popup_no_bar&amp;width=385&amp;height=120&amp;START_MAXIMIZED=FALSE&amp;creator=factset&amp;display_string=Audit"}</definedName>
    <definedName name="_852__FDSAUDITLINK__" hidden="1">{"fdsup://Directions/FactSet Auditing Viewer?action=AUDIT_VALUE&amp;DB=129&amp;ID1=59501710&amp;VALUEID=02001&amp;SDATE=200902&amp;PERIODTYPE=QTR_STD&amp;SCFT=3&amp;window=popup_no_bar&amp;width=385&amp;height=120&amp;START_MAXIMIZED=FALSE&amp;creator=factset&amp;display_string=Audit"}</definedName>
    <definedName name="_853__FDSAUDITLINK__" hidden="1">{"fdsup://Directions/FactSet Auditing Viewer?action=AUDIT_VALUE&amp;DB=129&amp;ID1=50216110&amp;VALUEID=02001&amp;SDATE=200903&amp;PERIODTYPE=QTR_STD&amp;SCFT=3&amp;window=popup_no_bar&amp;width=385&amp;height=120&amp;START_MAXIMIZED=FALSE&amp;creator=factset&amp;display_string=Audit"}</definedName>
    <definedName name="_854__FDSAUDITLINK__" hidden="1">{"fdsup://Directions/FactSet Auditing Viewer?action=AUDIT_VALUE&amp;DB=129&amp;ID1=50216110&amp;VALUEID=02001&amp;SDATE=200903&amp;PERIODTYPE=QTR_STD&amp;SCFT=3&amp;window=popup_no_bar&amp;width=385&amp;height=120&amp;START_MAXIMIZED=FALSE&amp;creator=factset&amp;display_string=Audit"}</definedName>
    <definedName name="_855__FDSAUDITLINK__" hidden="1">{"fdsup://Directions/FactSet Auditing Viewer?action=AUDIT_VALUE&amp;DB=129&amp;ID1=51841510&amp;VALUEID=02001&amp;SDATE=200903&amp;PERIODTYPE=QTR_STD&amp;SCFT=3&amp;window=popup_no_bar&amp;width=385&amp;height=120&amp;START_MAXIMIZED=FALSE&amp;creator=factset&amp;display_string=Audit"}</definedName>
    <definedName name="_856__FDSAUDITLINK__" hidden="1">{"fdsup://Directions/FactSet Auditing Viewer?action=AUDIT_VALUE&amp;DB=129&amp;ID1=51841510&amp;VALUEID=02001&amp;SDATE=200903&amp;PERIODTYPE=QTR_STD&amp;SCFT=3&amp;window=popup_no_bar&amp;width=385&amp;height=120&amp;START_MAXIMIZED=FALSE&amp;creator=factset&amp;display_string=Audit"}</definedName>
    <definedName name="_857__FDSAUDITLINK__" hidden="1">{"fdsup://Directions/FactSet Auditing Viewer?action=AUDIT_VALUE&amp;DB=129&amp;ID1=51280710&amp;VALUEID=02001&amp;SDATE=201001&amp;PERIODTYPE=QTR_STD&amp;SCFT=3&amp;window=popup_no_bar&amp;width=385&amp;height=120&amp;START_MAXIMIZED=FALSE&amp;creator=factset&amp;display_string=Audit"}</definedName>
    <definedName name="_858__FDSAUDITLINK__" hidden="1">{"fdsup://Directions/FactSet Auditing Viewer?action=AUDIT_VALUE&amp;DB=129&amp;ID1=51280710&amp;VALUEID=02001&amp;SDATE=201001&amp;PERIODTYPE=QTR_STD&amp;SCFT=3&amp;window=popup_no_bar&amp;width=385&amp;height=120&amp;START_MAXIMIZED=FALSE&amp;creator=factset&amp;display_string=Audit"}</definedName>
    <definedName name="_859__FDSAUDITLINK__" hidden="1">{"fdsup://Directions/FactSet Auditing Viewer?action=AUDIT_VALUE&amp;DB=129&amp;ID1=53567810&amp;VALUEID=02001&amp;SDATE=201001&amp;PERIODTYPE=QTR_STD&amp;SCFT=3&amp;window=popup_no_bar&amp;width=385&amp;height=120&amp;START_MAXIMIZED=FALSE&amp;creator=factset&amp;display_string=Audit"}</definedName>
    <definedName name="_86__FDSAUDITLINK__" hidden="1">{"fdsup://Directions/FactSet Auditing Viewer?action=AUDIT_VALUE&amp;DB=129&amp;ID1=53567810&amp;VALUEID=02001&amp;SDATE=201103&amp;PERIODTYPE=QTR_STD&amp;SCFT=3&amp;window=popup_no_bar&amp;width=385&amp;height=120&amp;START_MAXIMIZED=FALSE&amp;creator=factset&amp;display_string=Audit"}</definedName>
    <definedName name="_860__FDSAUDITLINK__" hidden="1">{"fdsup://Directions/FactSet Auditing Viewer?action=AUDIT_VALUE&amp;DB=129&amp;ID1=53567810&amp;VALUEID=02001&amp;SDATE=201001&amp;PERIODTYPE=QTR_STD&amp;SCFT=3&amp;window=popup_no_bar&amp;width=385&amp;height=120&amp;START_MAXIMIZED=FALSE&amp;creator=factset&amp;display_string=Audit"}</definedName>
    <definedName name="_861__FDSAUDITLINK__" hidden="1">{"fdsup://Directions/FactSet Auditing Viewer?action=AUDIT_VALUE&amp;DB=129&amp;ID1=48248010&amp;VALUEID=02001&amp;SDATE=201001&amp;PERIODTYPE=QTR_STD&amp;SCFT=3&amp;window=popup_no_bar&amp;width=385&amp;height=120&amp;START_MAXIMIZED=FALSE&amp;creator=factset&amp;display_string=Audit"}</definedName>
    <definedName name="_862__FDSAUDITLINK__" hidden="1">{"fdsup://Directions/FactSet Auditing Viewer?action=AUDIT_VALUE&amp;DB=129&amp;ID1=48248010&amp;VALUEID=02001&amp;SDATE=201001&amp;PERIODTYPE=QTR_STD&amp;SCFT=3&amp;window=popup_no_bar&amp;width=385&amp;height=120&amp;START_MAXIMIZED=FALSE&amp;creator=factset&amp;display_string=Audit"}</definedName>
    <definedName name="_863__FDSAUDITLINK__" hidden="1">{"fdsup://Directions/FactSet Auditing Viewer?action=AUDIT_VALUE&amp;DB=129&amp;ID1=48836020&amp;VALUEID=02001&amp;SDATE=200902&amp;PERIODTYPE=QTR_STD&amp;SCFT=3&amp;window=popup_no_bar&amp;width=385&amp;height=120&amp;START_MAXIMIZED=FALSE&amp;creator=factset&amp;display_string=Audit"}</definedName>
    <definedName name="_864__FDSAUDITLINK__" hidden="1">{"fdsup://Directions/FactSet Auditing Viewer?action=AUDIT_VALUE&amp;DB=129&amp;ID1=48836020&amp;VALUEID=02001&amp;SDATE=200902&amp;PERIODTYPE=QTR_STD&amp;SCFT=3&amp;window=popup_no_bar&amp;width=385&amp;height=120&amp;START_MAXIMIZED=FALSE&amp;creator=factset&amp;display_string=Audit"}</definedName>
    <definedName name="_865__FDSAUDITLINK__" hidden="1">{"fdsup://Directions/FactSet Auditing Viewer?action=AUDIT_VALUE&amp;DB=129&amp;ID1=48203R10&amp;VALUEID=02001&amp;SDATE=200903&amp;PERIODTYPE=QTR_STD&amp;SCFT=3&amp;window=popup_no_bar&amp;width=385&amp;height=120&amp;START_MAXIMIZED=FALSE&amp;creator=factset&amp;display_string=Audit"}</definedName>
    <definedName name="_866__FDSAUDITLINK__" hidden="1">{"fdsup://Directions/FactSet Auditing Viewer?action=AUDIT_VALUE&amp;DB=129&amp;ID1=48203R10&amp;VALUEID=02001&amp;SDATE=200903&amp;PERIODTYPE=QTR_STD&amp;SCFT=3&amp;window=popup_no_bar&amp;width=385&amp;height=120&amp;START_MAXIMIZED=FALSE&amp;creator=factset&amp;display_string=Audit"}</definedName>
    <definedName name="_867__FDSAUDITLINK__" hidden="1">{"fdsup://Directions/FactSet Auditing Viewer?action=AUDIT_VALUE&amp;DB=129&amp;ID1=86681020&amp;VALUEID=02001&amp;SDATE=201001&amp;PERIODTYPE=QTR_STD&amp;SCFT=3&amp;window=popup_no_bar&amp;width=385&amp;height=120&amp;START_MAXIMIZED=FALSE&amp;creator=factset&amp;display_string=Audit"}</definedName>
    <definedName name="_868__FDSAUDITLINK__" hidden="1">{"fdsup://Directions/FactSet Auditing Viewer?action=AUDIT_VALUE&amp;DB=129&amp;ID1=86681020&amp;VALUEID=02001&amp;SDATE=201001&amp;PERIODTYPE=QTR_STD&amp;SCFT=3&amp;window=popup_no_bar&amp;width=385&amp;height=120&amp;START_MAXIMIZED=FALSE&amp;creator=factset&amp;display_string=Audit"}</definedName>
    <definedName name="_869__FDSAUDITLINK__" hidden="1">{"fdsup://Directions/FactSet Auditing Viewer?action=AUDIT_VALUE&amp;DB=129&amp;ID1=46069S10&amp;VALUEID=02001&amp;SDATE=200903&amp;PERIODTYPE=QTR_STD&amp;SCFT=3&amp;window=popup_no_bar&amp;width=385&amp;height=120&amp;START_MAXIMIZED=FALSE&amp;creator=factset&amp;display_string=Audit"}</definedName>
    <definedName name="_87__FDSAUDITLINK__" hidden="1">{"fdsup://Directions/FactSet Auditing Viewer?action=AUDIT_VALUE&amp;DB=129&amp;ID1=48248010&amp;VALUEID=02001&amp;SDATE=201103&amp;PERIODTYPE=QTR_STD&amp;SCFT=3&amp;window=popup_no_bar&amp;width=385&amp;height=120&amp;START_MAXIMIZED=FALSE&amp;creator=factset&amp;display_string=Audit"}</definedName>
    <definedName name="_870__FDSAUDITLINK__" hidden="1">{"fdsup://Directions/FactSet Auditing Viewer?action=AUDIT_VALUE&amp;DB=129&amp;ID1=46069S10&amp;VALUEID=02001&amp;SDATE=200903&amp;PERIODTYPE=QTR_STD&amp;SCFT=3&amp;window=popup_no_bar&amp;width=385&amp;height=120&amp;START_MAXIMIZED=FALSE&amp;creator=factset&amp;display_string=Audit"}</definedName>
    <definedName name="_871__FDSAUDITLINK__" hidden="1">{"fdsup://Directions/FactSet Auditing Viewer?action=AUDIT_VALUE&amp;DB=129&amp;ID1=46025410&amp;VALUEID=02001&amp;SDATE=201001&amp;PERIODTYPE=QTR_STD&amp;SCFT=3&amp;window=popup_no_bar&amp;width=385&amp;height=120&amp;START_MAXIMIZED=FALSE&amp;creator=factset&amp;display_string=Audit"}</definedName>
    <definedName name="_872__FDSAUDITLINK__" hidden="1">{"fdsup://Directions/FactSet Auditing Viewer?action=AUDIT_VALUE&amp;DB=129&amp;ID1=46025410&amp;VALUEID=02001&amp;SDATE=201001&amp;PERIODTYPE=QTR_STD&amp;SCFT=3&amp;window=popup_no_bar&amp;width=385&amp;height=120&amp;START_MAXIMIZED=FALSE&amp;creator=factset&amp;display_string=Audit"}</definedName>
    <definedName name="_873__FDSAUDITLINK__" hidden="1">{"fdsup://Directions/FactSet Auditing Viewer?action=AUDIT_VALUE&amp;DB=129&amp;ID1=45814010&amp;VALUEID=02001&amp;SDATE=200903&amp;PERIODTYPE=QTR_STD&amp;SCFT=3&amp;window=popup_no_bar&amp;width=385&amp;height=120&amp;START_MAXIMIZED=FALSE&amp;creator=factset&amp;display_string=Audit"}</definedName>
    <definedName name="_874__FDSAUDITLINK__" hidden="1">{"fdsup://Directions/FactSet Auditing Viewer?action=AUDIT_VALUE&amp;DB=129&amp;ID1=45814010&amp;VALUEID=02001&amp;SDATE=200903&amp;PERIODTYPE=QTR_STD&amp;SCFT=3&amp;window=popup_no_bar&amp;width=385&amp;height=120&amp;START_MAXIMIZED=FALSE&amp;creator=factset&amp;display_string=Audit"}</definedName>
    <definedName name="_875__FDSAUDITLINK__" hidden="1">{"fdsup://Directions/FactSet Auditing Viewer?action=AUDIT_VALUE&amp;DB=129&amp;ID1=45811810&amp;VALUEID=02001&amp;SDATE=200902&amp;PERIODTYPE=QTR_STD&amp;SCFT=3&amp;window=popup_no_bar&amp;width=385&amp;height=120&amp;START_MAXIMIZED=FALSE&amp;creator=factset&amp;display_string=Audit"}</definedName>
    <definedName name="_876__FDSAUDITLINK__" hidden="1">{"fdsup://Directions/FactSet Auditing Viewer?action=AUDIT_VALUE&amp;DB=129&amp;ID1=45811810&amp;VALUEID=02001&amp;SDATE=200902&amp;PERIODTYPE=QTR_STD&amp;SCFT=3&amp;window=popup_no_bar&amp;width=385&amp;height=120&amp;START_MAXIMIZED=FALSE&amp;creator=factset&amp;display_string=Audit"}</definedName>
    <definedName name="_877__FDSAUDITLINK__" hidden="1">{"fdsup://Directions/FactSet Auditing Viewer?action=AUDIT_VALUE&amp;DB=129&amp;ID1=H2906T10&amp;VALUEID=02001&amp;SDATE=200903&amp;PERIODTYPE=QTR_STD&amp;SCFT=3&amp;window=popup_no_bar&amp;width=385&amp;height=120&amp;START_MAXIMIZED=FALSE&amp;creator=factset&amp;display_string=Audit"}</definedName>
    <definedName name="_878__FDSAUDITLINK__" hidden="1">{"fdsup://Directions/FactSet Auditing Viewer?action=AUDIT_VALUE&amp;DB=129&amp;ID1=H2906T10&amp;VALUEID=02001&amp;SDATE=200903&amp;PERIODTYPE=QTR_STD&amp;SCFT=3&amp;window=popup_no_bar&amp;width=385&amp;height=120&amp;START_MAXIMIZED=FALSE&amp;creator=factset&amp;display_string=Audit"}</definedName>
    <definedName name="_879__FDSAUDITLINK__" hidden="1">{"fdsup://Directions/FactSet Auditing Viewer?action=AUDIT_VALUE&amp;DB=129&amp;ID1=34637510&amp;VALUEID=02001&amp;SDATE=200903&amp;PERIODTYPE=QTR_STD&amp;SCFT=3&amp;window=popup_no_bar&amp;width=385&amp;height=120&amp;START_MAXIMIZED=FALSE&amp;creator=factset&amp;display_string=Audit"}</definedName>
    <definedName name="_88__FDSAUDITLINK__" hidden="1">{"fdsup://Directions/FactSet Auditing Viewer?action=AUDIT_VALUE&amp;DB=129&amp;ID1=48248010&amp;VALUEID=02001&amp;SDATE=201103&amp;PERIODTYPE=QTR_STD&amp;SCFT=3&amp;window=popup_no_bar&amp;width=385&amp;height=120&amp;START_MAXIMIZED=FALSE&amp;creator=factset&amp;display_string=Audit"}</definedName>
    <definedName name="_880__FDSAUDITLINK__" hidden="1">{"fdsup://Directions/FactSet Auditing Viewer?action=AUDIT_VALUE&amp;DB=129&amp;ID1=34637510&amp;VALUEID=02001&amp;SDATE=200903&amp;PERIODTYPE=QTR_STD&amp;SCFT=3&amp;window=popup_no_bar&amp;width=385&amp;height=120&amp;START_MAXIMIZED=FALSE&amp;creator=factset&amp;display_string=Audit"}</definedName>
    <definedName name="_881__FDSAUDITLINK__" hidden="1">{"fdsup://Directions/FactSet Auditing Viewer?action=AUDIT_VALUE&amp;DB=129&amp;ID1=29247520&amp;VALUEID=02001&amp;SDATE=201001&amp;PERIODTYPE=QTR_STD&amp;SCFT=3&amp;window=popup_no_bar&amp;width=385&amp;height=120&amp;START_MAXIMIZED=FALSE&amp;creator=factset&amp;display_string=Audit"}</definedName>
    <definedName name="_882__FDSAUDITLINK__" hidden="1">{"fdsup://Directions/FactSet Auditing Viewer?action=AUDIT_VALUE&amp;DB=129&amp;ID1=29247520&amp;VALUEID=02001&amp;SDATE=201001&amp;PERIODTYPE=QTR_STD&amp;SCFT=3&amp;window=popup_no_bar&amp;width=385&amp;height=120&amp;START_MAXIMIZED=FALSE&amp;creator=factset&amp;display_string=Audit"}</definedName>
    <definedName name="_883__FDSAUDITLINK__" hidden="1">{"fdsup://Directions/FactSet Auditing Viewer?action=AUDIT_VALUE&amp;DB=129&amp;ID1=25454310&amp;VALUEID=02001&amp;SDATE=200903&amp;PERIODTYPE=QTR_STD&amp;SCFT=3&amp;window=popup_no_bar&amp;width=385&amp;height=120&amp;START_MAXIMIZED=FALSE&amp;creator=factset&amp;display_string=Audit"}</definedName>
    <definedName name="_884__FDSAUDITLINK__" hidden="1">{"fdsup://Directions/FactSet Auditing Viewer?action=AUDIT_VALUE&amp;DB=129&amp;ID1=25454310&amp;VALUEID=02001&amp;SDATE=200903&amp;PERIODTYPE=QTR_STD&amp;SCFT=3&amp;window=popup_no_bar&amp;width=385&amp;height=120&amp;START_MAXIMIZED=FALSE&amp;creator=factset&amp;display_string=Audit"}</definedName>
    <definedName name="_885__FDSAUDITLINK__" hidden="1">{"fdsup://Directions/FactSet Auditing Viewer?action=AUDIT_VALUE&amp;DB=129&amp;ID1=24702R10&amp;VALUEID=02001&amp;SDATE=200903&amp;PERIODTYPE=QTR_STD&amp;SCFT=3&amp;window=popup_no_bar&amp;width=385&amp;height=120&amp;START_MAXIMIZED=FALSE&amp;creator=factset&amp;display_string=Audit"}</definedName>
    <definedName name="_886__FDSAUDITLINK__" hidden="1">{"fdsup://Directions/FactSet Auditing Viewer?action=AUDIT_VALUE&amp;DB=129&amp;ID1=24702R10&amp;VALUEID=02001&amp;SDATE=200903&amp;PERIODTYPE=QTR_STD&amp;SCFT=3&amp;window=popup_no_bar&amp;width=385&amp;height=120&amp;START_MAXIMIZED=FALSE&amp;creator=factset&amp;display_string=Audit"}</definedName>
    <definedName name="_887__FDSAUDITLINK__" hidden="1">{"fdsup://Directions/FactSet Auditing Viewer?action=AUDIT_VALUE&amp;DB=129&amp;ID1=23257210&amp;VALUEID=02001&amp;SDATE=200903&amp;PERIODTYPE=QTR_STD&amp;SCFT=3&amp;window=popup_no_bar&amp;width=385&amp;height=120&amp;START_MAXIMIZED=FALSE&amp;creator=factset&amp;display_string=Audit"}</definedName>
    <definedName name="_888__FDSAUDITLINK__" hidden="1">{"fdsup://Directions/FactSet Auditing Viewer?action=AUDIT_VALUE&amp;DB=129&amp;ID1=23257210&amp;VALUEID=02001&amp;SDATE=200903&amp;PERIODTYPE=QTR_STD&amp;SCFT=3&amp;window=popup_no_bar&amp;width=385&amp;height=120&amp;START_MAXIMIZED=FALSE&amp;creator=factset&amp;display_string=Audit"}</definedName>
    <definedName name="_889__FDSAUDITLINK__" hidden="1">{"fdsup://Directions/FactSet Auditing Viewer?action=AUDIT_VALUE&amp;DB=129&amp;ID1=23280610&amp;VALUEID=02001&amp;SDATE=200903&amp;PERIODTYPE=QTR_STD&amp;SCFT=3&amp;window=popup_no_bar&amp;width=385&amp;height=120&amp;START_MAXIMIZED=FALSE&amp;creator=factset&amp;display_string=Audit"}</definedName>
    <definedName name="_89__FDSAUDITLINK__" hidden="1">{"fdsup://Directions/FactSet Auditing Viewer?action=AUDIT_VALUE&amp;DB=129&amp;ID1=48836020&amp;VALUEID=02001&amp;SDATE=201004&amp;PERIODTYPE=QTR_STD&amp;SCFT=3&amp;window=popup_no_bar&amp;width=385&amp;height=120&amp;START_MAXIMIZED=FALSE&amp;creator=factset&amp;display_string=Audit"}</definedName>
    <definedName name="_890__FDSAUDITLINK__" hidden="1">{"fdsup://Directions/FactSet Auditing Viewer?action=AUDIT_VALUE&amp;DB=129&amp;ID1=23280610&amp;VALUEID=02001&amp;SDATE=200903&amp;PERIODTYPE=QTR_STD&amp;SCFT=3&amp;window=popup_no_bar&amp;width=385&amp;height=120&amp;START_MAXIMIZED=FALSE&amp;creator=factset&amp;display_string=Audit"}</definedName>
    <definedName name="_891__FDSAUDITLINK__" hidden="1">{"fdsup://Directions/FactSet Auditing Viewer?action=AUDIT_VALUE&amp;DB=129&amp;ID1=17275R10&amp;VALUEID=02001&amp;SDATE=201001&amp;PERIODTYPE=QTR_STD&amp;SCFT=3&amp;window=popup_no_bar&amp;width=385&amp;height=120&amp;START_MAXIMIZED=FALSE&amp;creator=factset&amp;display_string=Audit"}</definedName>
    <definedName name="_892__FDSAUDITLINK__" hidden="1">{"fdsup://Directions/FactSet Auditing Viewer?action=AUDIT_VALUE&amp;DB=129&amp;ID1=17275R10&amp;VALUEID=02001&amp;SDATE=201001&amp;PERIODTYPE=QTR_STD&amp;SCFT=3&amp;window=popup_no_bar&amp;width=385&amp;height=120&amp;START_MAXIMIZED=FALSE&amp;creator=factset&amp;display_string=Audit"}</definedName>
    <definedName name="_893__FDSAUDITLINK__" hidden="1">{"fdsup://Directions/FactSet Auditing Viewer?action=AUDIT_VALUE&amp;DB=129&amp;ID1=22544710&amp;VALUEID=02001&amp;SDATE=201001&amp;PERIODTYPE=QTR_STD&amp;SCFT=3&amp;window=popup_no_bar&amp;width=385&amp;height=120&amp;START_MAXIMIZED=FALSE&amp;creator=factset&amp;display_string=Audit"}</definedName>
    <definedName name="_894__FDSAUDITLINK__" hidden="1">{"fdsup://Directions/FactSet Auditing Viewer?action=AUDIT_VALUE&amp;DB=129&amp;ID1=22544710&amp;VALUEID=02001&amp;SDATE=201001&amp;PERIODTYPE=QTR_STD&amp;SCFT=3&amp;window=popup_no_bar&amp;width=385&amp;height=120&amp;START_MAXIMIZED=FALSE&amp;creator=factset&amp;display_string=Audit"}</definedName>
    <definedName name="_895__FDSAUDITLINK__" hidden="1">{"fdsup://Directions/FactSet Auditing Viewer?action=AUDIT_VALUE&amp;DB=129&amp;ID1=12738710&amp;VALUEID=02001&amp;SDATE=200903&amp;PERIODTYPE=QTR_STD&amp;SCFT=3&amp;window=popup_no_bar&amp;width=385&amp;height=120&amp;START_MAXIMIZED=FALSE&amp;creator=factset&amp;display_string=Audit"}</definedName>
    <definedName name="_896__FDSAUDITLINK__" hidden="1">{"fdsup://Directions/FactSet Auditing Viewer?action=AUDIT_VALUE&amp;DB=129&amp;ID1=12738710&amp;VALUEID=02001&amp;SDATE=200903&amp;PERIODTYPE=QTR_STD&amp;SCFT=3&amp;window=popup_no_bar&amp;width=385&amp;height=120&amp;START_MAXIMIZED=FALSE&amp;creator=factset&amp;display_string=Audit"}</definedName>
    <definedName name="_897__FDSAUDITLINK__" hidden="1">{"fdsup://Directions/FactSet Auditing Viewer?action=AUDIT_VALUE&amp;DB=129&amp;ID1=14964U10&amp;VALUEID=02001&amp;SDATE=200903&amp;PERIODTYPE=QTR_STD&amp;SCFT=3&amp;window=popup_no_bar&amp;width=385&amp;height=120&amp;START_MAXIMIZED=FALSE&amp;creator=factset&amp;display_string=Audit"}</definedName>
    <definedName name="_898__FDSAUDITLINK__" hidden="1">{"fdsup://Directions/FactSet Auditing Viewer?action=AUDIT_VALUE&amp;DB=129&amp;ID1=14964U10&amp;VALUEID=02001&amp;SDATE=200903&amp;PERIODTYPE=QTR_STD&amp;SCFT=3&amp;window=popup_no_bar&amp;width=385&amp;height=120&amp;START_MAXIMIZED=FALSE&amp;creator=factset&amp;display_string=Audit"}</definedName>
    <definedName name="_899__FDSAUDITLINK__" hidden="1">{"fdsup://Directions/FactSet Auditing Viewer?action=AUDIT_VALUE&amp;DB=129&amp;ID1=04743P10&amp;VALUEID=02001&amp;SDATE=200903&amp;PERIODTYPE=QTR_STD&amp;SCFT=3&amp;window=popup_no_bar&amp;width=385&amp;height=120&amp;START_MAXIMIZED=FALSE&amp;creator=factset&amp;display_string=Audit"}</definedName>
    <definedName name="_9__FDSAUDITLINK__" hidden="1">{"fdsup://Directions/FactSet Auditing Viewer?action=AUDIT_VALUE&amp;DB=129&amp;ID1=637248&amp;VALUEID=05194&amp;SDATE=201103&amp;PERIODTYPE=QTR_STD&amp;SCFT=3&amp;window=popup_no_bar&amp;width=385&amp;height=120&amp;START_MAXIMIZED=FALSE&amp;creator=factset&amp;display_string=Audit"}</definedName>
    <definedName name="_90__FDSAUDITLINK__" hidden="1">{"fdsup://Directions/FactSet Auditing Viewer?action=AUDIT_VALUE&amp;DB=129&amp;ID1=48836020&amp;VALUEID=02001&amp;SDATE=201004&amp;PERIODTYPE=QTR_STD&amp;SCFT=3&amp;window=popup_no_bar&amp;width=385&amp;height=120&amp;START_MAXIMIZED=FALSE&amp;creator=factset&amp;display_string=Audit"}</definedName>
    <definedName name="_900__FDSAUDITLINK__" hidden="1">{"fdsup://Directions/FactSet Auditing Viewer?action=AUDIT_VALUE&amp;DB=129&amp;ID1=04743P10&amp;VALUEID=02001&amp;SDATE=200903&amp;PERIODTYPE=QTR_STD&amp;SCFT=3&amp;window=popup_no_bar&amp;width=385&amp;height=120&amp;START_MAXIMIZED=FALSE&amp;creator=factset&amp;display_string=Audit"}</definedName>
    <definedName name="_901__FDSAUDITLINK__" hidden="1">{"fdsup://Directions/FactSet Auditing Viewer?action=AUDIT_VALUE&amp;DB=129&amp;ID1=03251510&amp;VALUEID=02001&amp;SDATE=200903&amp;PERIODTYPE=QTR_STD&amp;SCFT=3&amp;window=popup_no_bar&amp;width=385&amp;height=120&amp;START_MAXIMIZED=FALSE&amp;creator=factset&amp;display_string=Audit"}</definedName>
    <definedName name="_902__FDSAUDITLINK__" hidden="1">{"fdsup://Directions/FactSet Auditing Viewer?action=AUDIT_VALUE&amp;DB=129&amp;ID1=03251510&amp;VALUEID=02001&amp;SDATE=200903&amp;PERIODTYPE=QTR_STD&amp;SCFT=3&amp;window=popup_no_bar&amp;width=385&amp;height=120&amp;START_MAXIMIZED=FALSE&amp;creator=factset&amp;display_string=Audit"}</definedName>
    <definedName name="_903__FDSAUDITLINK__" hidden="1">{"fdsup://Directions/FactSet Auditing Viewer?action=AUDIT_VALUE&amp;DB=129&amp;ID1=00790310&amp;VALUEID=02001&amp;SDATE=200903&amp;PERIODTYPE=QTR_STD&amp;SCFT=3&amp;window=popup_no_bar&amp;width=385&amp;height=120&amp;START_MAXIMIZED=FALSE&amp;creator=factset&amp;display_string=Audit"}</definedName>
    <definedName name="_904__FDSAUDITLINK__" hidden="1">{"fdsup://Directions/FactSet Auditing Viewer?action=AUDIT_VALUE&amp;DB=129&amp;ID1=00790310&amp;VALUEID=02001&amp;SDATE=200903&amp;PERIODTYPE=QTR_STD&amp;SCFT=3&amp;window=popup_no_bar&amp;width=385&amp;height=120&amp;START_MAXIMIZED=FALSE&amp;creator=factset&amp;display_string=Audit"}</definedName>
    <definedName name="_905__FDSAUDITLINK__" hidden="1">{"fdsup://Directions/FactSet Auditing Viewer?action=AUDIT_VALUE&amp;DB=129&amp;ID1=03822W40&amp;VALUEID=02001&amp;SDATE=200902&amp;PERIODTYPE=QTR_STD&amp;SCFT=3&amp;window=popup_no_bar&amp;width=385&amp;height=120&amp;START_MAXIMIZED=FALSE&amp;creator=factset&amp;display_string=Audit"}</definedName>
    <definedName name="_906__FDSAUDITLINK__" hidden="1">{"fdsup://Directions/FactSet Auditing Viewer?action=AUDIT_VALUE&amp;DB=129&amp;ID1=03822W40&amp;VALUEID=02001&amp;SDATE=200902&amp;PERIODTYPE=QTR_STD&amp;SCFT=3&amp;window=popup_no_bar&amp;width=385&amp;height=120&amp;START_MAXIMIZED=FALSE&amp;creator=factset&amp;display_string=Audit"}</definedName>
    <definedName name="_907__FDSAUDITLINK__" hidden="1">{"fdsup://Directions/FactSet Auditing Viewer?action=AUDIT_VALUE&amp;DB=129&amp;ID1=02144110&amp;VALUEID=02001&amp;SDATE=200903&amp;PERIODTYPE=QTR_STD&amp;SCFT=3&amp;window=popup_no_bar&amp;width=385&amp;height=120&amp;START_MAXIMIZED=FALSE&amp;creator=factset&amp;display_string=Audit"}</definedName>
    <definedName name="_908__FDSAUDITLINK__" hidden="1">{"fdsup://Directions/FactSet Auditing Viewer?action=AUDIT_VALUE&amp;DB=129&amp;ID1=02144110&amp;VALUEID=02001&amp;SDATE=200903&amp;PERIODTYPE=QTR_STD&amp;SCFT=3&amp;window=popup_no_bar&amp;width=385&amp;height=120&amp;START_MAXIMIZED=FALSE&amp;creator=factset&amp;display_string=Audit"}</definedName>
    <definedName name="_909__FDSAUDITLINK__" hidden="1">{"fdsup://Directions/FactSet Auditing Viewer?action=AUDIT_VALUE&amp;DB=129&amp;ID1=00752J10&amp;VALUEID=02001&amp;SDATE=200903&amp;PERIODTYPE=QTR_STD&amp;SCFT=3&amp;window=popup_no_bar&amp;width=385&amp;height=120&amp;START_MAXIMIZED=FALSE&amp;creator=factset&amp;display_string=Audit"}</definedName>
    <definedName name="_91__FDSAUDITLINK__" hidden="1">{"fdsup://Directions/FactSet Auditing Viewer?action=AUDIT_VALUE&amp;DB=129&amp;ID1=48203R10&amp;VALUEID=02001&amp;SDATE=201101&amp;PERIODTYPE=QTR_STD&amp;SCFT=3&amp;window=popup_no_bar&amp;width=385&amp;height=120&amp;START_MAXIMIZED=FALSE&amp;creator=factset&amp;display_string=Audit"}</definedName>
    <definedName name="_910__FDSAUDITLINK__" hidden="1">{"fdsup://Directions/FactSet Auditing Viewer?action=AUDIT_VALUE&amp;DB=129&amp;ID1=00752J10&amp;VALUEID=02001&amp;SDATE=200903&amp;PERIODTYPE=QTR_STD&amp;SCFT=3&amp;window=popup_no_bar&amp;width=385&amp;height=120&amp;START_MAXIMIZED=FALSE&amp;creator=factset&amp;display_string=Audit"}</definedName>
    <definedName name="_911__FDSAUDITLINK__" hidden="1">{"fdsup://Directions/FactSet Auditing Viewer?action=AUDIT_VALUE&amp;DB=129&amp;ID1=98975F10&amp;VALUEID=02001&amp;SDATE=200902&amp;PERIODTYPE=QTR_STD&amp;SCFT=3&amp;window=popup_no_bar&amp;width=385&amp;height=120&amp;START_MAXIMIZED=FALSE&amp;creator=factset&amp;display_string=Audit"}</definedName>
    <definedName name="_912__FDSAUDITLINK__" hidden="1">{"fdsup://Directions/FactSet Auditing Viewer?action=AUDIT_VALUE&amp;DB=129&amp;ID1=98975F10&amp;VALUEID=02001&amp;SDATE=200902&amp;PERIODTYPE=QTR_STD&amp;SCFT=3&amp;window=popup_no_bar&amp;width=385&amp;height=120&amp;START_MAXIMIZED=FALSE&amp;creator=factset&amp;display_string=Audit"}</definedName>
    <definedName name="_913__FDSAUDITLINK__" hidden="1">{"fdsup://Directions/FactSet Auditing Viewer?action=AUDIT_VALUE&amp;DB=129&amp;ID1=98391910&amp;VALUEID=02001&amp;SDATE=200901&amp;PERIODTYPE=QTR_STD&amp;SCFT=3&amp;window=popup_no_bar&amp;width=385&amp;height=120&amp;START_MAXIMIZED=FALSE&amp;creator=factset&amp;display_string=Audit"}</definedName>
    <definedName name="_914__FDSAUDITLINK__" hidden="1">{"fdsup://Directions/FactSet Auditing Viewer?action=AUDIT_VALUE&amp;DB=129&amp;ID1=98391910&amp;VALUEID=02001&amp;SDATE=200901&amp;PERIODTYPE=QTR_STD&amp;SCFT=3&amp;window=popup_no_bar&amp;width=385&amp;height=120&amp;START_MAXIMIZED=FALSE&amp;creator=factset&amp;display_string=Audit"}</definedName>
    <definedName name="_915__FDSAUDITLINK__" hidden="1">{"fdsup://Directions/FactSet Auditing Viewer?action=AUDIT_VALUE&amp;DB=129&amp;ID1=92849730&amp;VALUEID=02001&amp;SDATE=200903&amp;PERIODTYPE=QTR_STD&amp;SCFT=3&amp;window=popup_no_bar&amp;width=385&amp;height=120&amp;START_MAXIMIZED=FALSE&amp;creator=factset&amp;display_string=Audit"}</definedName>
    <definedName name="_916__FDSAUDITLINK__" hidden="1">{"fdsup://Directions/FactSet Auditing Viewer?action=AUDIT_VALUE&amp;DB=129&amp;ID1=92849730&amp;VALUEID=02001&amp;SDATE=200903&amp;PERIODTYPE=QTR_STD&amp;SCFT=3&amp;window=popup_no_bar&amp;width=385&amp;height=120&amp;START_MAXIMIZED=FALSE&amp;creator=factset&amp;display_string=Audit"}</definedName>
    <definedName name="_917__FDSAUDITLINK__" hidden="1">{"fdsup://Directions/FactSet Auditing Viewer?action=AUDIT_VALUE&amp;DB=129&amp;ID1=92829810&amp;VALUEID=02001&amp;SDATE=200902&amp;PERIODTYPE=QTR_STD&amp;SCFT=3&amp;window=popup_no_bar&amp;width=385&amp;height=120&amp;START_MAXIMIZED=FALSE&amp;creator=factset&amp;display_string=Audit"}</definedName>
    <definedName name="_918__FDSAUDITLINK__" hidden="1">{"fdsup://Directions/FactSet Auditing Viewer?action=AUDIT_VALUE&amp;DB=129&amp;ID1=92829810&amp;VALUEID=02001&amp;SDATE=200902&amp;PERIODTYPE=QTR_STD&amp;SCFT=3&amp;window=popup_no_bar&amp;width=385&amp;height=120&amp;START_MAXIMIZED=FALSE&amp;creator=factset&amp;display_string=Audit"}</definedName>
    <definedName name="_919__FDSAUDITLINK__" hidden="1">{"fdsup://Directions/FactSet Auditing Viewer?action=AUDIT_VALUE&amp;DB=129&amp;ID1=88250810&amp;VALUEID=02001&amp;SDATE=200902&amp;PERIODTYPE=QTR_STD&amp;SCFT=3&amp;window=popup_no_bar&amp;width=385&amp;height=120&amp;START_MAXIMIZED=FALSE&amp;creator=factset&amp;display_string=Audit"}</definedName>
    <definedName name="_92__FDSAUDITLINK__" hidden="1">{"fdsup://Directions/FactSet Auditing Viewer?action=AUDIT_VALUE&amp;DB=129&amp;ID1=48203R10&amp;VALUEID=02001&amp;SDATE=201101&amp;PERIODTYPE=QTR_STD&amp;SCFT=3&amp;window=popup_no_bar&amp;width=385&amp;height=120&amp;START_MAXIMIZED=FALSE&amp;creator=factset&amp;display_string=Audit"}</definedName>
    <definedName name="_920__FDSAUDITLINK__" hidden="1">{"fdsup://Directions/FactSet Auditing Viewer?action=AUDIT_VALUE&amp;DB=129&amp;ID1=88250810&amp;VALUEID=02001&amp;SDATE=200902&amp;PERIODTYPE=QTR_STD&amp;SCFT=3&amp;window=popup_no_bar&amp;width=385&amp;height=120&amp;START_MAXIMIZED=FALSE&amp;creator=factset&amp;display_string=Audit"}</definedName>
    <definedName name="_921__FDSAUDITLINK__" hidden="1">{"fdsup://Directions/FactSet Auditing Viewer?action=AUDIT_VALUE&amp;DB=129&amp;ID1=89674K10&amp;VALUEID=02001&amp;SDATE=200902&amp;PERIODTYPE=QTR_STD&amp;SCFT=3&amp;window=popup_no_bar&amp;width=385&amp;height=120&amp;START_MAXIMIZED=FALSE&amp;creator=factset&amp;display_string=Audit"}</definedName>
    <definedName name="_922__FDSAUDITLINK__" hidden="1">{"fdsup://Directions/FactSet Auditing Viewer?action=AUDIT_VALUE&amp;DB=129&amp;ID1=89674K10&amp;VALUEID=02001&amp;SDATE=200902&amp;PERIODTYPE=QTR_STD&amp;SCFT=3&amp;window=popup_no_bar&amp;width=385&amp;height=120&amp;START_MAXIMIZED=FALSE&amp;creator=factset&amp;display_string=Audit"}</definedName>
    <definedName name="_923__FDSAUDITLINK__" hidden="1">{"fdsup://Directions/FactSet Auditing Viewer?action=AUDIT_VALUE&amp;DB=129&amp;ID1=83088M10&amp;VALUEID=02001&amp;SDATE=200903&amp;PERIODTYPE=QTR_STD&amp;SCFT=3&amp;window=popup_no_bar&amp;width=385&amp;height=120&amp;START_MAXIMIZED=FALSE&amp;creator=factset&amp;display_string=Audit"}</definedName>
    <definedName name="_924__FDSAUDITLINK__" hidden="1">{"fdsup://Directions/FactSet Auditing Viewer?action=AUDIT_VALUE&amp;DB=129&amp;ID1=83088M10&amp;VALUEID=02001&amp;SDATE=200903&amp;PERIODTYPE=QTR_STD&amp;SCFT=3&amp;window=popup_no_bar&amp;width=385&amp;height=120&amp;START_MAXIMIZED=FALSE&amp;creator=factset&amp;display_string=Audit"}</definedName>
    <definedName name="_925__FDSAUDITLINK__" hidden="1">{"fdsup://Directions/FactSet Auditing Viewer?action=AUDIT_VALUE&amp;DB=129&amp;ID1=78477410&amp;VALUEID=02001&amp;SDATE=200902&amp;PERIODTYPE=QTR_STD&amp;SCFT=3&amp;window=popup_no_bar&amp;width=385&amp;height=120&amp;START_MAXIMIZED=FALSE&amp;creator=factset&amp;display_string=Audit"}</definedName>
    <definedName name="_926__FDSAUDITLINK__" hidden="1">{"fdsup://Directions/FactSet Auditing Viewer?action=AUDIT_VALUE&amp;DB=129&amp;ID1=78477410&amp;VALUEID=02001&amp;SDATE=200902&amp;PERIODTYPE=QTR_STD&amp;SCFT=3&amp;window=popup_no_bar&amp;width=385&amp;height=120&amp;START_MAXIMIZED=FALSE&amp;creator=factset&amp;display_string=Audit"}</definedName>
    <definedName name="_927__FDSAUDITLINK__" hidden="1">{"fdsup://Directions/FactSet Auditing Viewer?action=AUDIT_VALUE&amp;DB=129&amp;ID1=82705710&amp;VALUEID=02001&amp;SDATE=200902&amp;PERIODTYPE=QTR_STD&amp;SCFT=3&amp;window=popup_no_bar&amp;width=385&amp;height=120&amp;START_MAXIMIZED=FALSE&amp;creator=factset&amp;display_string=Audit"}</definedName>
    <definedName name="_928__FDSAUDITLINK__" hidden="1">{"fdsup://Directions/FactSet Auditing Viewer?action=AUDIT_VALUE&amp;DB=129&amp;ID1=82705710&amp;VALUEID=02001&amp;SDATE=200902&amp;PERIODTYPE=QTR_STD&amp;SCFT=3&amp;window=popup_no_bar&amp;width=385&amp;height=120&amp;START_MAXIMIZED=FALSE&amp;creator=factset&amp;display_string=Audit"}</definedName>
    <definedName name="_929__FDSAUDITLINK__" hidden="1">{"fdsup://Directions/FactSet Auditing Viewer?action=AUDIT_VALUE&amp;DB=129&amp;ID1=83547010&amp;VALUEID=02001&amp;SDATE=200902&amp;PERIODTYPE=QTR_STD&amp;SCFT=3&amp;window=popup_no_bar&amp;width=385&amp;height=120&amp;START_MAXIMIZED=FALSE&amp;creator=factset&amp;display_string=Audit"}</definedName>
    <definedName name="_93__FDSAUDITLINK__" hidden="1">{"fdsup://Directions/FactSet Auditing Viewer?action=AUDIT_VALUE&amp;DB=129&amp;ID1=46069S10&amp;VALUEID=02001&amp;SDATE=201101&amp;PERIODTYPE=QTR_STD&amp;SCFT=3&amp;window=popup_no_bar&amp;width=385&amp;height=120&amp;START_MAXIMIZED=FALSE&amp;creator=factset&amp;display_string=Audit"}</definedName>
    <definedName name="_930__FDSAUDITLINK__" hidden="1">{"fdsup://Directions/FactSet Auditing Viewer?action=AUDIT_VALUE&amp;DB=129&amp;ID1=83547010&amp;VALUEID=02001&amp;SDATE=200902&amp;PERIODTYPE=QTR_STD&amp;SCFT=3&amp;window=popup_no_bar&amp;width=385&amp;height=120&amp;START_MAXIMIZED=FALSE&amp;creator=factset&amp;display_string=Audit"}</definedName>
    <definedName name="_931__FDSAUDITLINK__" hidden="1">{"fdsup://Directions/FactSet Auditing Viewer?action=AUDIT_VALUE&amp;DB=129&amp;ID1=87160710&amp;VALUEID=02001&amp;SDATE=200903&amp;PERIODTYPE=QTR_STD&amp;SCFT=3&amp;window=popup_no_bar&amp;width=385&amp;height=120&amp;START_MAXIMIZED=FALSE&amp;creator=factset&amp;display_string=Audit"}</definedName>
    <definedName name="_932__FDSAUDITLINK__" hidden="1">{"fdsup://Directions/FactSet Auditing Viewer?action=AUDIT_VALUE&amp;DB=129&amp;ID1=87160710&amp;VALUEID=02001&amp;SDATE=200903&amp;PERIODTYPE=QTR_STD&amp;SCFT=3&amp;window=popup_no_bar&amp;width=385&amp;height=120&amp;START_MAXIMIZED=FALSE&amp;creator=factset&amp;display_string=Audit"}</definedName>
    <definedName name="_933__FDSAUDITLINK__" hidden="1">{"fdsup://Directions/FactSet Auditing Viewer?action=AUDIT_VALUE&amp;DB=129&amp;ID1=80004C10&amp;VALUEID=02001&amp;SDATE=200902&amp;PERIODTYPE=QTR_STD&amp;SCFT=3&amp;window=popup_no_bar&amp;width=385&amp;height=120&amp;START_MAXIMIZED=FALSE&amp;creator=factset&amp;display_string=Audit"}</definedName>
    <definedName name="_934__FDSAUDITLINK__" hidden="1">{"fdsup://Directions/FactSet Auditing Viewer?action=AUDIT_VALUE&amp;DB=129&amp;ID1=80004C10&amp;VALUEID=02001&amp;SDATE=200902&amp;PERIODTYPE=QTR_STD&amp;SCFT=3&amp;window=popup_no_bar&amp;width=385&amp;height=120&amp;START_MAXIMIZED=FALSE&amp;creator=factset&amp;display_string=Audit"}</definedName>
    <definedName name="_935__FDSAUDITLINK__" hidden="1">{"fdsup://Directions/FactSet Auditing Viewer?action=AUDIT_VALUE&amp;DB=129&amp;ID1=81685010&amp;VALUEID=02001&amp;SDATE=200902&amp;PERIODTYPE=QTR_STD&amp;SCFT=3&amp;window=popup_no_bar&amp;width=385&amp;height=120&amp;START_MAXIMIZED=FALSE&amp;creator=factset&amp;display_string=Audit"}</definedName>
    <definedName name="_936__FDSAUDITLINK__" hidden="1">{"fdsup://Directions/FactSet Auditing Viewer?action=AUDIT_VALUE&amp;DB=129&amp;ID1=81685010&amp;VALUEID=02001&amp;SDATE=200902&amp;PERIODTYPE=QTR_STD&amp;SCFT=3&amp;window=popup_no_bar&amp;width=385&amp;height=120&amp;START_MAXIMIZED=FALSE&amp;creator=factset&amp;display_string=Audit"}</definedName>
    <definedName name="_937__FDSAUDITLINK__" hidden="1">{"fdsup://Directions/FactSet Auditing Viewer?action=AUDIT_VALUE&amp;DB=129&amp;ID1=82691910&amp;VALUEID=02001&amp;SDATE=200902&amp;PERIODTYPE=QTR_STD&amp;SCFT=3&amp;window=popup_no_bar&amp;width=385&amp;height=120&amp;START_MAXIMIZED=FALSE&amp;creator=factset&amp;display_string=Audit"}</definedName>
    <definedName name="_938__FDSAUDITLINK__" hidden="1">{"fdsup://Directions/FactSet Auditing Viewer?action=AUDIT_VALUE&amp;DB=129&amp;ID1=82691910&amp;VALUEID=02001&amp;SDATE=200902&amp;PERIODTYPE=QTR_STD&amp;SCFT=3&amp;window=popup_no_bar&amp;width=385&amp;height=120&amp;START_MAXIMIZED=FALSE&amp;creator=factset&amp;display_string=Audit"}</definedName>
    <definedName name="_939__FDSAUDITLINK__" hidden="1">{"fdsup://Directions/FactSet Auditing Viewer?action=AUDIT_VALUE&amp;DB=129&amp;ID1=82705T10&amp;VALUEID=02001&amp;SDATE=200902&amp;PERIODTYPE=QTR_STD&amp;SCFT=3&amp;window=popup_no_bar&amp;width=385&amp;height=120&amp;START_MAXIMIZED=FALSE&amp;creator=factset&amp;display_string=Audit"}</definedName>
    <definedName name="_94__FDSAUDITLINK__" hidden="1">{"fdsup://Directions/FactSet Auditing Viewer?action=AUDIT_VALUE&amp;DB=129&amp;ID1=46069S10&amp;VALUEID=02001&amp;SDATE=201101&amp;PERIODTYPE=QTR_STD&amp;SCFT=3&amp;window=popup_no_bar&amp;width=385&amp;height=120&amp;START_MAXIMIZED=FALSE&amp;creator=factset&amp;display_string=Audit"}</definedName>
    <definedName name="_940__FDSAUDITLINK__" hidden="1">{"fdsup://Directions/FactSet Auditing Viewer?action=AUDIT_VALUE&amp;DB=129&amp;ID1=82705T10&amp;VALUEID=02001&amp;SDATE=200902&amp;PERIODTYPE=QTR_STD&amp;SCFT=3&amp;window=popup_no_bar&amp;width=385&amp;height=120&amp;START_MAXIMIZED=FALSE&amp;creator=factset&amp;display_string=Audit"}</definedName>
    <definedName name="_941__FDSAUDITLINK__" hidden="1">{"fdsup://Directions/FactSet Auditing Viewer?action=AUDIT_VALUE&amp;DB=129&amp;ID1=75091710&amp;VALUEID=02001&amp;SDATE=200902&amp;PERIODTYPE=QTR_STD&amp;SCFT=3&amp;window=popup_no_bar&amp;width=385&amp;height=120&amp;START_MAXIMIZED=FALSE&amp;creator=factset&amp;display_string=Audit"}</definedName>
    <definedName name="_942__FDSAUDITLINK__" hidden="1">{"fdsup://Directions/FactSet Auditing Viewer?action=AUDIT_VALUE&amp;DB=129&amp;ID1=75091710&amp;VALUEID=02001&amp;SDATE=200902&amp;PERIODTYPE=QTR_STD&amp;SCFT=3&amp;window=popup_no_bar&amp;width=385&amp;height=120&amp;START_MAXIMIZED=FALSE&amp;creator=factset&amp;display_string=Audit"}</definedName>
    <definedName name="_943__FDSAUDITLINK__" hidden="1">{"fdsup://Directions/FactSet Auditing Viewer?action=AUDIT_VALUE&amp;DB=129&amp;ID1=74994110&amp;VALUEID=02001&amp;SDATE=200901&amp;PERIODTYPE=QTR_STD&amp;SCFT=3&amp;window=popup_no_bar&amp;width=385&amp;height=120&amp;START_MAXIMIZED=FALSE&amp;creator=factset&amp;display_string=Audit"}</definedName>
    <definedName name="_944__FDSAUDITLINK__" hidden="1">{"fdsup://Directions/FactSet Auditing Viewer?action=AUDIT_VALUE&amp;DB=129&amp;ID1=74994110&amp;VALUEID=02001&amp;SDATE=200901&amp;PERIODTYPE=QTR_STD&amp;SCFT=3&amp;window=popup_no_bar&amp;width=385&amp;height=120&amp;START_MAXIMIZED=FALSE&amp;creator=factset&amp;display_string=Audit"}</definedName>
    <definedName name="_945__FDSAUDITLINK__" hidden="1">{"fdsup://Directions/FactSet Auditing Viewer?action=AUDIT_VALUE&amp;DB=129&amp;ID1=74727710&amp;VALUEID=02001&amp;SDATE=200901&amp;PERIODTYPE=QTR_STD&amp;SCFT=3&amp;window=popup_no_bar&amp;width=385&amp;height=120&amp;START_MAXIMIZED=FALSE&amp;creator=factset&amp;display_string=Audit"}</definedName>
    <definedName name="_946__FDSAUDITLINK__" hidden="1">{"fdsup://Directions/FactSet Auditing Viewer?action=AUDIT_VALUE&amp;DB=129&amp;ID1=74727710&amp;VALUEID=02001&amp;SDATE=200901&amp;PERIODTYPE=QTR_STD&amp;SCFT=3&amp;window=popup_no_bar&amp;width=385&amp;height=120&amp;START_MAXIMIZED=FALSE&amp;creator=factset&amp;display_string=Audit"}</definedName>
    <definedName name="_947__FDSAUDITLINK__" hidden="1">{"fdsup://Directions/FactSet Auditing Viewer?action=AUDIT_VALUE&amp;DB=129&amp;ID1=74752510&amp;VALUEID=02001&amp;SDATE=200903&amp;PERIODTYPE=QTR_STD&amp;SCFT=3&amp;window=popup_no_bar&amp;width=385&amp;height=120&amp;START_MAXIMIZED=FALSE&amp;creator=factset&amp;display_string=Audit"}</definedName>
    <definedName name="_948__FDSAUDITLINK__" hidden="1">{"fdsup://Directions/FactSet Auditing Viewer?action=AUDIT_VALUE&amp;DB=129&amp;ID1=74752510&amp;VALUEID=02001&amp;SDATE=200903&amp;PERIODTYPE=QTR_STD&amp;SCFT=3&amp;window=popup_no_bar&amp;width=385&amp;height=120&amp;START_MAXIMIZED=FALSE&amp;creator=factset&amp;display_string=Audit"}</definedName>
    <definedName name="_949__FDSAUDITLINK__" hidden="1">{"fdsup://Directions/FactSet Auditing Viewer?action=AUDIT_VALUE&amp;DB=129&amp;ID1=72581M30&amp;VALUEID=02001&amp;SDATE=200902&amp;PERIODTYPE=QTR_STD&amp;SCFT=3&amp;window=popup_no_bar&amp;width=385&amp;height=120&amp;START_MAXIMIZED=FALSE&amp;creator=factset&amp;display_string=Audit"}</definedName>
    <definedName name="_95__FDSAUDITLINK__" hidden="1">{"fdsup://Directions/FactSet Auditing Viewer?action=AUDIT_VALUE&amp;DB=129&amp;ID1=46025410&amp;VALUEID=02001&amp;SDATE=201103&amp;PERIODTYPE=QTR_STD&amp;SCFT=3&amp;window=popup_no_bar&amp;width=385&amp;height=120&amp;START_MAXIMIZED=FALSE&amp;creator=factset&amp;display_string=Audit"}</definedName>
    <definedName name="_950__FDSAUDITLINK__" hidden="1">{"fdsup://Directions/FactSet Auditing Viewer?action=AUDIT_VALUE&amp;DB=129&amp;ID1=72581M30&amp;VALUEID=02001&amp;SDATE=200902&amp;PERIODTYPE=QTR_STD&amp;SCFT=3&amp;window=popup_no_bar&amp;width=385&amp;height=120&amp;START_MAXIMIZED=FALSE&amp;creator=factset&amp;display_string=Audit"}</definedName>
    <definedName name="_951__FDSAUDITLINK__" hidden="1">{"fdsup://Directions/FactSet Auditing Viewer?action=AUDIT_VALUE&amp;DB=129&amp;ID1=73927610&amp;VALUEID=02001&amp;SDATE=200902&amp;PERIODTYPE=QTR_STD&amp;SCFT=3&amp;window=popup_no_bar&amp;width=385&amp;height=120&amp;START_MAXIMIZED=FALSE&amp;creator=factset&amp;display_string=Audit"}</definedName>
    <definedName name="_952__FDSAUDITLINK__" hidden="1">{"fdsup://Directions/FactSet Auditing Viewer?action=AUDIT_VALUE&amp;DB=129&amp;ID1=73927610&amp;VALUEID=02001&amp;SDATE=200902&amp;PERIODTYPE=QTR_STD&amp;SCFT=3&amp;window=popup_no_bar&amp;width=385&amp;height=120&amp;START_MAXIMIZED=FALSE&amp;creator=factset&amp;display_string=Audit"}</definedName>
    <definedName name="_953__FDSAUDITLINK__" hidden="1">{"fdsup://Directions/FactSet Auditing Viewer?action=AUDIT_VALUE&amp;DB=129&amp;ID1=69344F10&amp;VALUEID=02001&amp;SDATE=200902&amp;PERIODTYPE=QTR_STD&amp;SCFT=3&amp;window=popup_no_bar&amp;width=385&amp;height=120&amp;START_MAXIMIZED=FALSE&amp;creator=factset&amp;display_string=Audit"}</definedName>
    <definedName name="_954__FDSAUDITLINK__" hidden="1">{"fdsup://Directions/FactSet Auditing Viewer?action=AUDIT_VALUE&amp;DB=129&amp;ID1=69344F10&amp;VALUEID=02001&amp;SDATE=200902&amp;PERIODTYPE=QTR_STD&amp;SCFT=3&amp;window=popup_no_bar&amp;width=385&amp;height=120&amp;START_MAXIMIZED=FALSE&amp;creator=factset&amp;display_string=Audit"}</definedName>
    <definedName name="_955__FDSAUDITLINK__" hidden="1">{"fdsup://Directions/FactSet Auditing Viewer?action=AUDIT_VALUE&amp;DB=129&amp;ID1=69341710&amp;VALUEID=02001&amp;SDATE=200902&amp;PERIODTYPE=QTR_STD&amp;SCFT=3&amp;window=popup_no_bar&amp;width=385&amp;height=120&amp;START_MAXIMIZED=FALSE&amp;creator=factset&amp;display_string=Audit"}</definedName>
    <definedName name="_956__FDSAUDITLINK__" hidden="1">{"fdsup://Directions/FactSet Auditing Viewer?action=AUDIT_VALUE&amp;DB=129&amp;ID1=69341710&amp;VALUEID=02001&amp;SDATE=200902&amp;PERIODTYPE=QTR_STD&amp;SCFT=3&amp;window=popup_no_bar&amp;width=385&amp;height=120&amp;START_MAXIMIZED=FALSE&amp;creator=factset&amp;display_string=Audit"}</definedName>
    <definedName name="_957__FDSAUDITLINK__" hidden="1">{"fdsup://Directions/FactSet Auditing Viewer?action=AUDIT_VALUE&amp;DB=129&amp;ID1=68218910&amp;VALUEID=02001&amp;SDATE=200902&amp;PERIODTYPE=QTR_STD&amp;SCFT=3&amp;window=popup_no_bar&amp;width=385&amp;height=120&amp;START_MAXIMIZED=FALSE&amp;creator=factset&amp;display_string=Audit"}</definedName>
    <definedName name="_958__FDSAUDITLINK__" hidden="1">{"fdsup://Directions/FactSet Auditing Viewer?action=AUDIT_VALUE&amp;DB=129&amp;ID1=68218910&amp;VALUEID=02001&amp;SDATE=200902&amp;PERIODTYPE=QTR_STD&amp;SCFT=3&amp;window=popup_no_bar&amp;width=385&amp;height=120&amp;START_MAXIMIZED=FALSE&amp;creator=factset&amp;display_string=Audit"}</definedName>
    <definedName name="_959__FDSAUDITLINK__" hidden="1">{"fdsup://Directions/FactSet Auditing Viewer?action=AUDIT_VALUE&amp;DB=129&amp;ID1=B505PN&amp;VALUEID=02001&amp;SDATE=200902&amp;PERIODTYPE=QTR_STD&amp;SCFT=3&amp;window=popup_no_bar&amp;width=385&amp;height=120&amp;START_MAXIMIZED=FALSE&amp;creator=factset&amp;display_string=Audit"}</definedName>
    <definedName name="_96__FDSAUDITLINK__" hidden="1">{"fdsup://Directions/FactSet Auditing Viewer?action=AUDIT_VALUE&amp;DB=129&amp;ID1=46025410&amp;VALUEID=02001&amp;SDATE=201103&amp;PERIODTYPE=QTR_STD&amp;SCFT=3&amp;window=popup_no_bar&amp;width=385&amp;height=120&amp;START_MAXIMIZED=FALSE&amp;creator=factset&amp;display_string=Audit"}</definedName>
    <definedName name="_960__FDSAUDITLINK__" hidden="1">{"fdsup://Directions/FactSet Auditing Viewer?action=AUDIT_VALUE&amp;DB=129&amp;ID1=B505PN&amp;VALUEID=02001&amp;SDATE=200902&amp;PERIODTYPE=QTR_STD&amp;SCFT=3&amp;window=popup_no_bar&amp;width=385&amp;height=120&amp;START_MAXIMIZED=FALSE&amp;creator=factset&amp;display_string=Audit"}</definedName>
    <definedName name="_961__FDSAUDITLINK__" hidden="1">{"fdsup://Directions/FactSet Auditing Viewer?action=AUDIT_VALUE&amp;DB=129&amp;ID1=67000810&amp;VALUEID=02001&amp;SDATE=200902&amp;PERIODTYPE=QTR_STD&amp;SCFT=3&amp;window=popup_no_bar&amp;width=385&amp;height=120&amp;START_MAXIMIZED=FALSE&amp;creator=factset&amp;display_string=Audit"}</definedName>
    <definedName name="_962__FDSAUDITLINK__" hidden="1">{"fdsup://Directions/FactSet Auditing Viewer?action=AUDIT_VALUE&amp;DB=129&amp;ID1=67000810&amp;VALUEID=02001&amp;SDATE=200902&amp;PERIODTYPE=QTR_STD&amp;SCFT=3&amp;window=popup_no_bar&amp;width=385&amp;height=120&amp;START_MAXIMIZED=FALSE&amp;creator=factset&amp;display_string=Audit"}</definedName>
    <definedName name="_963__FDSAUDITLINK__" hidden="1">{"fdsup://Directions/FactSet Auditing Viewer?action=AUDIT_VALUE&amp;DB=129&amp;ID1=67066G10&amp;VALUEID=02001&amp;SDATE=200902&amp;PERIODTYPE=QTR_STD&amp;SCFT=3&amp;window=popup_no_bar&amp;width=385&amp;height=120&amp;START_MAXIMIZED=FALSE&amp;creator=factset&amp;display_string=Audit"}</definedName>
    <definedName name="_964__FDSAUDITLINK__" hidden="1">{"fdsup://Directions/FactSet Auditing Viewer?action=AUDIT_VALUE&amp;DB=129&amp;ID1=67066G10&amp;VALUEID=02001&amp;SDATE=200902&amp;PERIODTYPE=QTR_STD&amp;SCFT=3&amp;window=popup_no_bar&amp;width=385&amp;height=120&amp;START_MAXIMIZED=FALSE&amp;creator=factset&amp;display_string=Audit"}</definedName>
    <definedName name="_965__FDSAUDITLINK__" hidden="1">{"fdsup://Directions/FactSet Auditing Viewer?action=AUDIT_VALUE&amp;DB=129&amp;ID1=64118B10&amp;VALUEID=02001&amp;SDATE=200902&amp;PERIODTYPE=QTR_STD&amp;SCFT=3&amp;window=popup_no_bar&amp;width=385&amp;height=120&amp;START_MAXIMIZED=FALSE&amp;creator=factset&amp;display_string=Audit"}</definedName>
    <definedName name="_966__FDSAUDITLINK__" hidden="1">{"fdsup://Directions/FactSet Auditing Viewer?action=AUDIT_VALUE&amp;DB=129&amp;ID1=64118B10&amp;VALUEID=02001&amp;SDATE=200902&amp;PERIODTYPE=QTR_STD&amp;SCFT=3&amp;window=popup_no_bar&amp;width=385&amp;height=120&amp;START_MAXIMIZED=FALSE&amp;creator=factset&amp;display_string=Audit"}</definedName>
    <definedName name="_967__FDSAUDITLINK__" hidden="1">{"fdsup://Directions/FactSet Auditing Viewer?action=AUDIT_VALUE&amp;DB=129&amp;ID1=59511210&amp;VALUEID=02001&amp;SDATE=200903&amp;PERIODTYPE=QTR_STD&amp;SCFT=3&amp;window=popup_no_bar&amp;width=385&amp;height=120&amp;START_MAXIMIZED=FALSE&amp;creator=factset&amp;display_string=Audit"}</definedName>
    <definedName name="_968__FDSAUDITLINK__" hidden="1">{"fdsup://Directions/FactSet Auditing Viewer?action=AUDIT_VALUE&amp;DB=129&amp;ID1=59511210&amp;VALUEID=02001&amp;SDATE=200903&amp;PERIODTYPE=QTR_STD&amp;SCFT=3&amp;window=popup_no_bar&amp;width=385&amp;height=120&amp;START_MAXIMIZED=FALSE&amp;creator=factset&amp;display_string=Audit"}</definedName>
    <definedName name="_969__FDSAUDITLINK__" hidden="1">{"fdsup://Directions/FactSet Auditing Viewer?action=AUDIT_VALUE&amp;DB=129&amp;ID1=59513710&amp;VALUEID=02001&amp;SDATE=200903&amp;PERIODTYPE=QTR_STD&amp;SCFT=3&amp;window=popup_no_bar&amp;width=385&amp;height=120&amp;START_MAXIMIZED=FALSE&amp;creator=factset&amp;display_string=Audit"}</definedName>
    <definedName name="_97__FDSAUDITLINK__" hidden="1">{"fdsup://Directions/FactSet Auditing Viewer?action=AUDIT_VALUE&amp;DB=129&amp;ID1=45772F10&amp;VALUEID=02001&amp;SDATE=201101&amp;PERIODTYPE=QTR_STD&amp;SCFT=3&amp;window=popup_no_bar&amp;width=385&amp;height=120&amp;START_MAXIMIZED=FALSE&amp;creator=factset&amp;display_string=Audit"}</definedName>
    <definedName name="_970__FDSAUDITLINK__" hidden="1">{"fdsup://Directions/FactSet Auditing Viewer?action=AUDIT_VALUE&amp;DB=129&amp;ID1=59513710&amp;VALUEID=02001&amp;SDATE=200903&amp;PERIODTYPE=QTR_STD&amp;SCFT=3&amp;window=popup_no_bar&amp;width=385&amp;height=120&amp;START_MAXIMIZED=FALSE&amp;creator=factset&amp;display_string=Audit"}</definedName>
    <definedName name="_971__FDSAUDITLINK__" hidden="1">{"fdsup://Directions/FactSet Auditing Viewer?action=AUDIT_VALUE&amp;DB=129&amp;ID1=G5876H10&amp;VALUEID=02001&amp;SDATE=200902&amp;PERIODTYPE=QTR_STD&amp;SCFT=3&amp;window=popup_no_bar&amp;width=385&amp;height=120&amp;START_MAXIMIZED=FALSE&amp;creator=factset&amp;display_string=Audit"}</definedName>
    <definedName name="_972__FDSAUDITLINK__" hidden="1">{"fdsup://Directions/FactSet Auditing Viewer?action=AUDIT_VALUE&amp;DB=129&amp;ID1=G5876H10&amp;VALUEID=02001&amp;SDATE=200902&amp;PERIODTYPE=QTR_STD&amp;SCFT=3&amp;window=popup_no_bar&amp;width=385&amp;height=120&amp;START_MAXIMIZED=FALSE&amp;creator=factset&amp;display_string=Audit"}</definedName>
    <definedName name="_973__FDSAUDITLINK__" hidden="1">{"fdsup://Directions/FactSet Auditing Viewer?action=AUDIT_VALUE&amp;DB=129&amp;ID1=62007630&amp;VALUEID=02001&amp;SDATE=200902&amp;PERIODTYPE=QTR_STD&amp;SCFT=3&amp;window=popup_no_bar&amp;width=385&amp;height=120&amp;START_MAXIMIZED=FALSE&amp;creator=factset&amp;display_string=Audit"}</definedName>
    <definedName name="_974__FDSAUDITLINK__" hidden="1">{"fdsup://Directions/FactSet Auditing Viewer?action=AUDIT_VALUE&amp;DB=129&amp;ID1=62007630&amp;VALUEID=02001&amp;SDATE=200902&amp;PERIODTYPE=QTR_STD&amp;SCFT=3&amp;window=popup_no_bar&amp;width=385&amp;height=120&amp;START_MAXIMIZED=FALSE&amp;creator=factset&amp;display_string=Audit"}</definedName>
    <definedName name="_975__FDSAUDITLINK__" hidden="1">{"fdsup://Directions/FactSet Auditing Viewer?action=AUDIT_VALUE&amp;DB=129&amp;ID1=59479310&amp;VALUEID=02001&amp;SDATE=200902&amp;PERIODTYPE=QTR_STD&amp;SCFT=3&amp;window=popup_no_bar&amp;width=385&amp;height=120&amp;START_MAXIMIZED=FALSE&amp;creator=factset&amp;display_string=Audit"}</definedName>
    <definedName name="_976__FDSAUDITLINK__" hidden="1">{"fdsup://Directions/FactSet Auditing Viewer?action=AUDIT_VALUE&amp;DB=129&amp;ID1=59479310&amp;VALUEID=02001&amp;SDATE=200902&amp;PERIODTYPE=QTR_STD&amp;SCFT=3&amp;window=popup_no_bar&amp;width=385&amp;height=120&amp;START_MAXIMIZED=FALSE&amp;creator=factset&amp;display_string=Audit"}</definedName>
    <definedName name="_977__FDSAUDITLINK__" hidden="1">{"fdsup://Directions/FactSet Auditing Viewer?action=AUDIT_VALUE&amp;DB=129&amp;ID1=59501710&amp;VALUEID=02001&amp;SDATE=200901&amp;PERIODTYPE=QTR_STD&amp;SCFT=3&amp;window=popup_no_bar&amp;width=385&amp;height=120&amp;START_MAXIMIZED=FALSE&amp;creator=factset&amp;display_string=Audit"}</definedName>
    <definedName name="_978__FDSAUDITLINK__" hidden="1">{"fdsup://Directions/FactSet Auditing Viewer?action=AUDIT_VALUE&amp;DB=129&amp;ID1=59501710&amp;VALUEID=02001&amp;SDATE=200901&amp;PERIODTYPE=QTR_STD&amp;SCFT=3&amp;window=popup_no_bar&amp;width=385&amp;height=120&amp;START_MAXIMIZED=FALSE&amp;creator=factset&amp;display_string=Audit"}</definedName>
    <definedName name="_979__FDSAUDITLINK__" hidden="1">{"fdsup://Directions/FactSet Auditing Viewer?action=AUDIT_VALUE&amp;DB=129&amp;ID1=50216110&amp;VALUEID=02001&amp;SDATE=200902&amp;PERIODTYPE=QTR_STD&amp;SCFT=3&amp;window=popup_no_bar&amp;width=385&amp;height=120&amp;START_MAXIMIZED=FALSE&amp;creator=factset&amp;display_string=Audit"}</definedName>
    <definedName name="_98__FDSAUDITLINK__" hidden="1">{"fdsup://Directions/FactSet Auditing Viewer?action=AUDIT_VALUE&amp;DB=129&amp;ID1=45772F10&amp;VALUEID=02001&amp;SDATE=201101&amp;PERIODTYPE=QTR_STD&amp;SCFT=3&amp;window=popup_no_bar&amp;width=385&amp;height=120&amp;START_MAXIMIZED=FALSE&amp;creator=factset&amp;display_string=Audit"}</definedName>
    <definedName name="_980__FDSAUDITLINK__" hidden="1">{"fdsup://Directions/FactSet Auditing Viewer?action=AUDIT_VALUE&amp;DB=129&amp;ID1=50216110&amp;VALUEID=02001&amp;SDATE=200902&amp;PERIODTYPE=QTR_STD&amp;SCFT=3&amp;window=popup_no_bar&amp;width=385&amp;height=120&amp;START_MAXIMIZED=FALSE&amp;creator=factset&amp;display_string=Audit"}</definedName>
    <definedName name="_981__FDSAUDITLINK__" hidden="1">{"fdsup://Directions/FactSet Auditing Viewer?action=AUDIT_VALUE&amp;DB=129&amp;ID1=51841510&amp;VALUEID=02001&amp;SDATE=200902&amp;PERIODTYPE=QTR_STD&amp;SCFT=3&amp;window=popup_no_bar&amp;width=385&amp;height=120&amp;START_MAXIMIZED=FALSE&amp;creator=factset&amp;display_string=Audit"}</definedName>
    <definedName name="_982__FDSAUDITLINK__" hidden="1">{"fdsup://Directions/FactSet Auditing Viewer?action=AUDIT_VALUE&amp;DB=129&amp;ID1=51841510&amp;VALUEID=02001&amp;SDATE=200902&amp;PERIODTYPE=QTR_STD&amp;SCFT=3&amp;window=popup_no_bar&amp;width=385&amp;height=120&amp;START_MAXIMIZED=FALSE&amp;creator=factset&amp;display_string=Audit"}</definedName>
    <definedName name="_983__FDSAUDITLINK__" hidden="1">{"fdsup://Directions/FactSet Auditing Viewer?action=AUDIT_VALUE&amp;DB=129&amp;ID1=48836020&amp;VALUEID=02001&amp;SDATE=200901&amp;PERIODTYPE=QTR_STD&amp;SCFT=3&amp;window=popup_no_bar&amp;width=385&amp;height=120&amp;START_MAXIMIZED=FALSE&amp;creator=factset&amp;display_string=Audit"}</definedName>
    <definedName name="_984__FDSAUDITLINK__" hidden="1">{"fdsup://Directions/FactSet Auditing Viewer?action=AUDIT_VALUE&amp;DB=129&amp;ID1=48836020&amp;VALUEID=02001&amp;SDATE=200901&amp;PERIODTYPE=QTR_STD&amp;SCFT=3&amp;window=popup_no_bar&amp;width=385&amp;height=120&amp;START_MAXIMIZED=FALSE&amp;creator=factset&amp;display_string=Audit"}</definedName>
    <definedName name="_985__FDSAUDITLINK__" hidden="1">{"fdsup://Directions/FactSet Auditing Viewer?action=AUDIT_VALUE&amp;DB=129&amp;ID1=48203R10&amp;VALUEID=02001&amp;SDATE=200902&amp;PERIODTYPE=QTR_STD&amp;SCFT=3&amp;window=popup_no_bar&amp;width=385&amp;height=120&amp;START_MAXIMIZED=FALSE&amp;creator=factset&amp;display_string=Audit"}</definedName>
    <definedName name="_986__FDSAUDITLINK__" hidden="1">{"fdsup://Directions/FactSet Auditing Viewer?action=AUDIT_VALUE&amp;DB=129&amp;ID1=48203R10&amp;VALUEID=02001&amp;SDATE=200902&amp;PERIODTYPE=QTR_STD&amp;SCFT=3&amp;window=popup_no_bar&amp;width=385&amp;height=120&amp;START_MAXIMIZED=FALSE&amp;creator=factset&amp;display_string=Audit"}</definedName>
    <definedName name="_987__FDSAUDITLINK__" hidden="1">{"fdsup://Directions/FactSet Auditing Viewer?action=AUDIT_VALUE&amp;DB=129&amp;ID1=46069S10&amp;VALUEID=02001&amp;SDATE=200902&amp;PERIODTYPE=QTR_STD&amp;SCFT=3&amp;window=popup_no_bar&amp;width=385&amp;height=120&amp;START_MAXIMIZED=FALSE&amp;creator=factset&amp;display_string=Audit"}</definedName>
    <definedName name="_988__FDSAUDITLINK__" hidden="1">{"fdsup://Directions/FactSet Auditing Viewer?action=AUDIT_VALUE&amp;DB=129&amp;ID1=46069S10&amp;VALUEID=02001&amp;SDATE=200902&amp;PERIODTYPE=QTR_STD&amp;SCFT=3&amp;window=popup_no_bar&amp;width=385&amp;height=120&amp;START_MAXIMIZED=FALSE&amp;creator=factset&amp;display_string=Audit"}</definedName>
    <definedName name="_989__FDSAUDITLINK__" hidden="1">{"fdsup://Directions/FactSet Auditing Viewer?action=AUDIT_VALUE&amp;DB=129&amp;ID1=45814010&amp;VALUEID=02001&amp;SDATE=200902&amp;PERIODTYPE=QTR_STD&amp;SCFT=3&amp;window=popup_no_bar&amp;width=385&amp;height=120&amp;START_MAXIMIZED=FALSE&amp;creator=factset&amp;display_string=Audit"}</definedName>
    <definedName name="_99__FDSAUDITLINK__" hidden="1">{"fdsup://Directions/FactSet Auditing Viewer?action=AUDIT_VALUE&amp;DB=129&amp;ID1=45814010&amp;VALUEID=02001&amp;SDATE=201101&amp;PERIODTYPE=QTR_STD&amp;SCFT=3&amp;window=popup_no_bar&amp;width=385&amp;height=120&amp;START_MAXIMIZED=FALSE&amp;creator=factset&amp;display_string=Audit"}</definedName>
    <definedName name="_990__FDSAUDITLINK__" hidden="1">{"fdsup://Directions/FactSet Auditing Viewer?action=AUDIT_VALUE&amp;DB=129&amp;ID1=45814010&amp;VALUEID=02001&amp;SDATE=200902&amp;PERIODTYPE=QTR_STD&amp;SCFT=3&amp;window=popup_no_bar&amp;width=385&amp;height=120&amp;START_MAXIMIZED=FALSE&amp;creator=factset&amp;display_string=Audit"}</definedName>
    <definedName name="_991__FDSAUDITLINK__" hidden="1">{"fdsup://Directions/FactSet Auditing Viewer?action=AUDIT_VALUE&amp;DB=129&amp;ID1=45811810&amp;VALUEID=02001&amp;SDATE=200901&amp;PERIODTYPE=QTR_STD&amp;SCFT=3&amp;window=popup_no_bar&amp;width=385&amp;height=120&amp;START_MAXIMIZED=FALSE&amp;creator=factset&amp;display_string=Audit"}</definedName>
    <definedName name="_992__FDSAUDITLINK__" hidden="1">{"fdsup://Directions/FactSet Auditing Viewer?action=AUDIT_VALUE&amp;DB=129&amp;ID1=45811810&amp;VALUEID=02001&amp;SDATE=200901&amp;PERIODTYPE=QTR_STD&amp;SCFT=3&amp;window=popup_no_bar&amp;width=385&amp;height=120&amp;START_MAXIMIZED=FALSE&amp;creator=factset&amp;display_string=Audit"}</definedName>
    <definedName name="_993__FDSAUDITLINK__" hidden="1">{"fdsup://Directions/FactSet Auditing Viewer?action=AUDIT_VALUE&amp;DB=129&amp;ID1=42823610&amp;VALUEID=02001&amp;SDATE=200903&amp;PERIODTYPE=QTR_STD&amp;SCFT=3&amp;window=popup_no_bar&amp;width=385&amp;height=120&amp;START_MAXIMIZED=FALSE&amp;creator=factset&amp;display_string=Audit"}</definedName>
    <definedName name="_994__FDSAUDITLINK__" hidden="1">{"fdsup://Directions/FactSet Auditing Viewer?action=AUDIT_VALUE&amp;DB=129&amp;ID1=42823610&amp;VALUEID=02001&amp;SDATE=200903&amp;PERIODTYPE=QTR_STD&amp;SCFT=3&amp;window=popup_no_bar&amp;width=385&amp;height=120&amp;START_MAXIMIZED=FALSE&amp;creator=factset&amp;display_string=Audit"}</definedName>
    <definedName name="_995__FDSAUDITLINK__" hidden="1">{"fdsup://Directions/FactSet Auditing Viewer?action=AUDIT_VALUE&amp;DB=129&amp;ID1=34637510&amp;VALUEID=02001&amp;SDATE=200902&amp;PERIODTYPE=QTR_STD&amp;SCFT=3&amp;window=popup_no_bar&amp;width=385&amp;height=120&amp;START_MAXIMIZED=FALSE&amp;creator=factset&amp;display_string=Audit"}</definedName>
    <definedName name="_996__FDSAUDITLINK__" hidden="1">{"fdsup://Directions/FactSet Auditing Viewer?action=AUDIT_VALUE&amp;DB=129&amp;ID1=34637510&amp;VALUEID=02001&amp;SDATE=200902&amp;PERIODTYPE=QTR_STD&amp;SCFT=3&amp;window=popup_no_bar&amp;width=385&amp;height=120&amp;START_MAXIMIZED=FALSE&amp;creator=factset&amp;display_string=Audit"}</definedName>
    <definedName name="_997__FDSAUDITLINK__" hidden="1">{"fdsup://Directions/FactSet Auditing Viewer?action=AUDIT_VALUE&amp;DB=129&amp;ID1=31561610&amp;VALUEID=02001&amp;SDATE=200903&amp;PERIODTYPE=QTR_STD&amp;SCFT=3&amp;window=popup_no_bar&amp;width=385&amp;height=120&amp;START_MAXIMIZED=FALSE&amp;creator=factset&amp;display_string=Audit"}</definedName>
    <definedName name="_998__FDSAUDITLINK__" hidden="1">{"fdsup://Directions/FactSet Auditing Viewer?action=AUDIT_VALUE&amp;DB=129&amp;ID1=31561610&amp;VALUEID=02001&amp;SDATE=200903&amp;PERIODTYPE=QTR_STD&amp;SCFT=3&amp;window=popup_no_bar&amp;width=385&amp;height=120&amp;START_MAXIMIZED=FALSE&amp;creator=factset&amp;display_string=Audit"}</definedName>
    <definedName name="_999__FDSAUDITLINK__" hidden="1">{"fdsup://Directions/FactSet Auditing Viewer?action=AUDIT_VALUE&amp;DB=129&amp;ID1=25454310&amp;VALUEID=02001&amp;SDATE=200902&amp;PERIODTYPE=QTR_STD&amp;SCFT=3&amp;window=popup_no_bar&amp;width=385&amp;height=120&amp;START_MAXIMIZED=FALSE&amp;creator=factset&amp;display_string=Audit"}</definedName>
    <definedName name="_bdm.02E29E7B1053433EA3CCCBE4E5141596.edm" hidden="1">[1]Sheet1!$A:$IV</definedName>
    <definedName name="_bdm.286F36F53C7C409EA9772B14169B7864.edm" hidden="1">IS!$1:$1048576</definedName>
    <definedName name="_bdm.72992B73BB9C496690C7A8995EECEAEA.edm" localSheetId="3" hidden="1">IS!$B$7:$CO$109</definedName>
    <definedName name="_bdm.8949CA62BFE94AD2B1AF20C73D2FB203.edm" localSheetId="3" hidden="1">IS!$A$7:$CO$109</definedName>
    <definedName name="_bdm.A0A92BDCCA17485D9FFD842F6AD6598F.edm" hidden="1">BS!$1:$1048576</definedName>
    <definedName name="_bdm.AC7CCE2D50AD4CCCA71D1A3BAF07D94D.edm" localSheetId="4" hidden="1">BS!$B$7:$CO$47</definedName>
    <definedName name="_bdm.B6C14E1DF2B6432EB01E007A19C4AE5B.edm" hidden="1">CFS!$1:$1048576</definedName>
    <definedName name="_bdm.C2DEECB236ED4B70BE058ED50C8D1C30.edm" localSheetId="5" hidden="1">CFS!$B$7:$CO$59</definedName>
    <definedName name="_bdm.E1FA59610312481F98399947F0B24C64.edm" localSheetId="3" hidden="1">IS!$B$7:$AI$109</definedName>
    <definedName name="_Order1" hidden="1">255</definedName>
    <definedName name="_Order2" hidden="1">255</definedName>
    <definedName name="_Regression_Int" hidden="1">1</definedName>
    <definedName name="AccessDatabase" hidden="1">"G:\Frank Lee\TFT-LCD\TFT report_OCT02\TFT_report_data.mdb"</definedName>
    <definedName name="AdditionalInstructions">IndexInformation!$B$42</definedName>
    <definedName name="Address" localSheetId="2">ImportantDisclosures!$A$2:$A$2</definedName>
    <definedName name="ANA" localSheetId="8">ModPubIndex!$A$7</definedName>
    <definedName name="anscount" hidden="1">1</definedName>
    <definedName name="AS2DocOpenMode" hidden="1">"AS2DocumentEdit"</definedName>
    <definedName name="AS2SyncStepLS" hidden="1">0</definedName>
    <definedName name="AS2VersionLS" hidden="1">300</definedName>
    <definedName name="Authors" localSheetId="2">ImportantDisclosures!$A$7</definedName>
    <definedName name="Authors" localSheetId="7">IndexInformation!$B$18</definedName>
    <definedName name="BG_Ins" hidden="1">4</definedName>
    <definedName name="BRO" localSheetId="8">ModPubIndex!$A$1</definedName>
    <definedName name="BS">BS!$B$49:$CQ$49</definedName>
    <definedName name="BSMethod">2</definedName>
    <definedName name="Button_1">"TFT_report_data_share_prices_List"</definedName>
    <definedName name="cc_ReportCurrency">"NTD"</definedName>
    <definedName name="cc_ReportCurrencyUnit">"NT$"</definedName>
    <definedName name="cc_ReportCurrencyUnitFactor">1</definedName>
    <definedName name="Conv_mark">0</definedName>
    <definedName name="converting">{"Client Name or Project Name"}</definedName>
    <definedName name="CopyrightStamp">ImportantDisclosures!$A$27</definedName>
    <definedName name="COU" localSheetId="8">ModPubIndex!$A$5</definedName>
    <definedName name="CQEnd" localSheetId="7">IndexInformation!$B$31</definedName>
    <definedName name="Currency" localSheetId="7">IndexInformation!$B$24</definedName>
    <definedName name="CurrentStockPrice" localSheetId="7">IndexInformation!$B$23</definedName>
    <definedName name="CurrQtrEPS" localSheetId="7">IndexInformation!$B$29</definedName>
    <definedName name="CurrYearEPS" localSheetId="7">IndexInformation!$B$11</definedName>
    <definedName name="CurrYearTotalRevenue" localSheetId="7">IndexInformation!$B$10</definedName>
    <definedName name="CurrYearTotalRevenueActual" localSheetId="7">IndexInformation!$B$32</definedName>
    <definedName name="CUSIP" localSheetId="7">IndexInformation!$B$20</definedName>
    <definedName name="CYEnd" localSheetId="7">IndexInformation!$B$30</definedName>
    <definedName name="dataseries4">OFFSET([2]c1!$G$12,0,0,COUNTA([2]c1!$G$12:$G$31),1)</definedName>
    <definedName name="Date" localSheetId="2">ImportantDisclosures!$A$8</definedName>
    <definedName name="DB">"WIREHKPROD"</definedName>
    <definedName name="Deleted" localSheetId="7">IndexInformation!$B$27</definedName>
    <definedName name="Description" localSheetId="7">IndexInformation!$B$7</definedName>
    <definedName name="Discipline" localSheetId="7">IndexInformation!$B$3</definedName>
    <definedName name="DISCIPLINE" localSheetId="8">ModPubIndex!$A$12</definedName>
    <definedName name="DisclosuresText">ImportantDisclosures!$A$22</definedName>
    <definedName name="Distribution" localSheetId="7">IndexInformation!$B$26</definedName>
    <definedName name="DistTable" localSheetId="2">ImportantDisclosures!#REF!</definedName>
    <definedName name="DistTablePreamble" localSheetId="2">ImportantDisclosures!#REF!</definedName>
    <definedName name="DOCDAT" localSheetId="8">ModPubIndex!$A$2</definedName>
    <definedName name="DOCTIME" localSheetId="8">ModPubIndex!$A$3</definedName>
    <definedName name="DocType" localSheetId="7">IndexInformation!$B$5</definedName>
    <definedName name="DummyEstYears">3</definedName>
    <definedName name="EMAIL_ALERT" localSheetId="8">ModPubIndex!$A$10</definedName>
    <definedName name="EmailAlert" localSheetId="7">IndexInformation!$B$28</definedName>
    <definedName name="esnrc128c1_values" hidden="1">{"TW","COMPANIES",TRUE}</definedName>
    <definedName name="EurosFRF">1</definedName>
    <definedName name="EurosITL">1</definedName>
    <definedName name="FINCriteriaType">1</definedName>
    <definedName name="FineUS">{"Client Name or Project Name"}</definedName>
    <definedName name="FiveYearGrowthRate" localSheetId="7">IndexInformation!$B$16</definedName>
    <definedName name="FollowingYearEPS" localSheetId="7">IndexInformation!$B$15</definedName>
    <definedName name="FollowingYearTotalRevenue" localSheetId="7">IndexInformation!$B$14</definedName>
    <definedName name="FollowingYearTotalRevenueActual" localSheetId="7">IndexInformation!$B$34</definedName>
    <definedName name="forest">{"Client Name or Project Name"}</definedName>
    <definedName name="forest2">{"Client Name or Project Name"}</definedName>
    <definedName name="FR_COM_ABBR">"1122.HK"</definedName>
    <definedName name="FR_COU_ABBR">"chn"</definedName>
    <definedName name="FR_END_DATE">"'31 Dec 2001"</definedName>
    <definedName name="FR_START_DATE">"'1 Jan 2001"</definedName>
    <definedName name="FR_SYBASE_SERVER">"PTKFBVDF01"</definedName>
    <definedName name="FR_TEMPLATE_KEY">"110952|1"</definedName>
    <definedName name="g">{"Client Name or Project Name"}</definedName>
    <definedName name="gg">{"Client Name or Project Name"}</definedName>
    <definedName name="ggg">{"Client Name or Project Name"}</definedName>
    <definedName name="gggg">{"Client Name or Project Name"}</definedName>
    <definedName name="ggggg">{"Client Name or Project Name"}</definedName>
    <definedName name="ggggggg">{"Client Name or Project Name"}</definedName>
    <definedName name="HL" localSheetId="8">ModPubIndex!$A$8</definedName>
    <definedName name="HTML_CodePage" hidden="1">1252</definedName>
    <definedName name="HTML_Description" hidden="1">""</definedName>
    <definedName name="HTML_Email" hidden="1">""</definedName>
    <definedName name="HTML_Header" hidden="1">"Income-Adj"</definedName>
    <definedName name="HTML_LastUpdate" hidden="1">"9/1/99"</definedName>
    <definedName name="HTML_LineAfter" hidden="1">FALSE</definedName>
    <definedName name="HTML_LineBefore" hidden="1">FALSE</definedName>
    <definedName name="HTML_Name" hidden="1">"Neo"</definedName>
    <definedName name="HTML_OBDlg2" hidden="1">TRUE</definedName>
    <definedName name="HTML_OBDlg4" hidden="1">TRUE</definedName>
    <definedName name="HTML_OS" hidden="1">0</definedName>
    <definedName name="HTML_PathFile" hidden="1">"E:\statements-2.0\from_excel.htm"</definedName>
    <definedName name="HTML_Title" hidden="1">"Histo_Statements"</definedName>
    <definedName name="hygiene">{"Client Name or Project Name"}</definedName>
    <definedName name="ICP">0</definedName>
    <definedName name="ictsymbol">"NT$"</definedName>
    <definedName name="icusymbol">"NT$"</definedName>
    <definedName name="IND" localSheetId="8">ModPubIndex!$A$9</definedName>
    <definedName name="Industry" localSheetId="2">ImportantDisclosures!$A$12</definedName>
    <definedName name="IndustryId">IndexInformation!$B$40</definedName>
    <definedName name="IndustryRating" localSheetId="2">ImportantDisclosures!$A$13</definedName>
    <definedName name="ISMethod">1</definedName>
    <definedName name="iue">1</definedName>
    <definedName name="iuesymbol">"NT$"</definedName>
    <definedName name="iun">1000000</definedName>
    <definedName name="iunsymbol">"NT$m"</definedName>
    <definedName name="ius">1000000</definedName>
    <definedName name="KeepVersions" localSheetId="7">IndexInformation!$B$8</definedName>
    <definedName name="LabelList">OFFSET(LabelData,1,0,ROWS(LabelData)-1,1)</definedName>
    <definedName name="LanguageCode">IndexInformation!$B$38</definedName>
    <definedName name="LastCell" localSheetId="2">ImportantDisclosures!$A$22</definedName>
    <definedName name="Linking_12">BS!$B$7:$CC$47</definedName>
    <definedName name="Linking_14">BS!$B$7:$CC$74</definedName>
    <definedName name="Linking_16">IS!$B$7:$BC$109</definedName>
    <definedName name="Linking_17">BS!$B$7:$BC$47</definedName>
    <definedName name="Linking_18">IS!$B$7:$CD$109</definedName>
    <definedName name="Linking_20">IS!$B$6:$CD$109</definedName>
    <definedName name="Linking_24">CFS!$B$7:$CD$59</definedName>
    <definedName name="Linking_26">BS!$A$7:$BC$47</definedName>
    <definedName name="Linking_27">BS!$B$7:$BG$47</definedName>
    <definedName name="Linking_32">IS!$B$7:$CE$109</definedName>
    <definedName name="Linking_33">CFS!$B$6:$CD$59</definedName>
    <definedName name="Linking_34">IS!$B$6:$CE$109</definedName>
    <definedName name="Linking_35">BS!$B$6:$BG$47</definedName>
    <definedName name="Linking_36">CFS!$B$6:$CE$59</definedName>
    <definedName name="Linking_39">IS!$B$7:$CV$109</definedName>
    <definedName name="Linking_40">IS!$A$7:$CE$109</definedName>
    <definedName name="Linking_41">BS!$B$7:$BK$47</definedName>
    <definedName name="Linking_42">CFS!$B$7:$CE$59</definedName>
    <definedName name="Linking_Range_1">IS!$B$7:$CP$109</definedName>
    <definedName name="Linking_Range_11">IS!$B$7:$CA$109</definedName>
    <definedName name="Linking_Range_12">BS!$B$7:$CA$47</definedName>
    <definedName name="Linking_Range_13">CFS!$B$7:$CA$59</definedName>
    <definedName name="Linking_Range_14">BS!$B$7:$AM$47</definedName>
    <definedName name="Linking_Range_16">IS!$B$6:$CA$109</definedName>
    <definedName name="Linking_Range_17">BS!$B$8:$CA$47</definedName>
    <definedName name="Linking_Range_2">BS!$B$7:$CP$47</definedName>
    <definedName name="Linking_Range_29">IS!$B$7:$CB$109</definedName>
    <definedName name="Linking_Range_3">CFS!$B$7:$CP$59</definedName>
    <definedName name="Linking_Range_30">BS!$B$7:$CB$47</definedName>
    <definedName name="Linking_Range_31">BS!$B$7:$AU$47</definedName>
    <definedName name="Linking_Range_32">CFS!$B$7:$CB$59</definedName>
    <definedName name="Linking_Range_4">IS!$B$7:$AM$109</definedName>
    <definedName name="Linking_Range_41">IS!$B$7:$CC$109</definedName>
    <definedName name="Linking_Range_42">BS!$B$7:$AY$47</definedName>
    <definedName name="Linking_Range_43">CFS!$B$7:$CC$59</definedName>
    <definedName name="Linking_Range_44">IS!$B$6:$CC$109</definedName>
    <definedName name="Linking_Range_45">BS!$B$6:$AY$47</definedName>
    <definedName name="Linking_Range_5">IS!$B$7:$BZ$109</definedName>
    <definedName name="Linking_Range_6">BS!$B$7:$BZ$47</definedName>
    <definedName name="Linking_Range_7">CFS!$B$7:$BZ$59</definedName>
    <definedName name="Linking_Text_1">IS!$BW$11</definedName>
    <definedName name="MacroVersion" localSheetId="7">IndexInformation!$B$1</definedName>
    <definedName name="ModelPrice" localSheetId="2">ImportantDisclosures!$A$14</definedName>
    <definedName name="Multiplier" localSheetId="7">IndexInformation!$B$35</definedName>
    <definedName name="NextYearEPS" localSheetId="7">IndexInformation!$B$13</definedName>
    <definedName name="NextYearTotalRevenue" localSheetId="7">IndexInformation!$B$12</definedName>
    <definedName name="NextYearTotalRevenueActual" localSheetId="7">IndexInformation!$B$33</definedName>
    <definedName name="ObjectType">IndexInformation!$B$37</definedName>
    <definedName name="PANA" localSheetId="8">ModPubIndex!$A$11</definedName>
    <definedName name="PathName" localSheetId="7">IndexInformation!$B$25</definedName>
    <definedName name="_xlnm.Print_Area" localSheetId="4">BS!$A$6:$CA$98</definedName>
    <definedName name="_xlnm.Print_Area" localSheetId="6">'BU-Segment'!$A$6:$BZ$140,'BU-Segment'!$A$145:$BZ$235</definedName>
    <definedName name="_xlnm.Print_Area" localSheetId="5">CFS!$A$6:$CA$105</definedName>
    <definedName name="_xlnm.Print_Area" localSheetId="3">IS!$A$6:$CA$134</definedName>
    <definedName name="_xlnm.Print_Area">"Formula removed, name can be deleted."</definedName>
    <definedName name="_xlnm.Print_Titles">"Formula removed, name can be deleted."</definedName>
    <definedName name="PRODUCT" localSheetId="8">ModPubIndex!$A$6</definedName>
    <definedName name="ProjectName">{"Client Name or Project Name"}</definedName>
    <definedName name="PSYM" localSheetId="8">ModPubIndex!$A$4</definedName>
    <definedName name="PublishDate" localSheetId="7">IndexInformation!$B$2</definedName>
    <definedName name="Rangename">"Summary DCF"</definedName>
    <definedName name="Rating" localSheetId="7">IndexInformation!$B$9</definedName>
    <definedName name="RatingsDefined" localSheetId="2">ImportantDisclosures!$A$21</definedName>
    <definedName name="RatingsDefs" localSheetId="2">ImportantDisclosures!#REF!</definedName>
    <definedName name="Rec.Asset_Debt">0</definedName>
    <definedName name="RegACDisclosure" localSheetId="2">ImportantDisclosures!#REF!</definedName>
    <definedName name="REP_CHT_DivisionalBreakdown">"Chart 416"</definedName>
    <definedName name="REP_CHT_GeographicalBreakdown">"Chart 417"</definedName>
    <definedName name="REP_CHT_Spare1">"Chart 422"</definedName>
    <definedName name="REP_CHT_Spare2">"Chart 423"</definedName>
    <definedName name="ResearchTopic" localSheetId="7">IndexInformation!$B$4</definedName>
    <definedName name="RIC" localSheetId="7">IndexInformation!$B$21</definedName>
    <definedName name="SavedThisSession">FALSE</definedName>
    <definedName name="SECSettlement" localSheetId="2">ImportantDisclosures!#REF!</definedName>
    <definedName name="SEDOL" localSheetId="7">IndexInformation!$B$22</definedName>
    <definedName name="sencount" hidden="1">1</definedName>
    <definedName name="SourceDefined" localSheetId="2">ImportantDisclosures!$A$19</definedName>
    <definedName name="Stock_dividend">0</definedName>
    <definedName name="StockRating" localSheetId="2">ImportantDisclosures!$A$11</definedName>
    <definedName name="SubjectCode" localSheetId="7">IndexInformation!$B$6</definedName>
    <definedName name="SubmitterUserId">IndexInformation!$B$39</definedName>
    <definedName name="SUPPRESSED" localSheetId="8">ModPubIndex!$A$13</definedName>
    <definedName name="TargetPrice" localSheetId="2">ImportantDisclosures!$A$15</definedName>
    <definedName name="TaxTV">10%</definedName>
    <definedName name="TaxXL">5%</definedName>
    <definedName name="Template.WIRE">"DBACCESS"</definedName>
    <definedName name="TemplateRegion">IndexInformation!$B$36</definedName>
    <definedName name="TestAdd">"Test RefersTo1"</definedName>
    <definedName name="TextRefCopyRangeCount" hidden="1">2</definedName>
    <definedName name="Ticker" localSheetId="2">ImportantDisclosures!$A$10</definedName>
    <definedName name="TickerRegion">IndexInformation!$B$41</definedName>
    <definedName name="Tickers" localSheetId="7">IndexInformation!$B$19</definedName>
    <definedName name="Trace">FALSE</definedName>
    <definedName name="UnitStringsList">OFFSET(UnitStrings,0,0,ROWS(UnitStrings),1)</definedName>
    <definedName name="UpdateReason" localSheetId="7">IndexInformation!$B$17</definedName>
    <definedName name="UpgradeVersion">"v2.35"</definedName>
    <definedName name="USRegDisclosures" localSheetId="2">ImportantDisclosures!#REF!</definedName>
    <definedName name="Version">0</definedName>
    <definedName name="Version.WIRE">1</definedName>
    <definedName name="XRefCopyRangeCount" hidden="1">1</definedName>
    <definedName name="Years">"A1:v1"</definedName>
  </definedNames>
  <calcPr calcId="145621" iterate="1"/>
</workbook>
</file>

<file path=xl/calcChain.xml><?xml version="1.0" encoding="utf-8"?>
<calcChain xmlns="http://schemas.openxmlformats.org/spreadsheetml/2006/main">
  <c r="BD158" i="21" l="1"/>
  <c r="BD140" i="21"/>
  <c r="BD253" i="21" s="1"/>
  <c r="BD80" i="21"/>
  <c r="BD54" i="21"/>
  <c r="BD33" i="21"/>
  <c r="BD12" i="21"/>
  <c r="BC267" i="21"/>
  <c r="BC266" i="21"/>
  <c r="BC265" i="21"/>
  <c r="BC264" i="21"/>
  <c r="BC263" i="21"/>
  <c r="BC262" i="21"/>
  <c r="BD255" i="21"/>
  <c r="BD251" i="21"/>
  <c r="BD246" i="21"/>
  <c r="BD61" i="3"/>
  <c r="BD57" i="3"/>
  <c r="BD54" i="3"/>
  <c r="BD51" i="3"/>
  <c r="BD49" i="3"/>
  <c r="BD48" i="3"/>
  <c r="BD47" i="3"/>
  <c r="BD46" i="3"/>
  <c r="BD40" i="3"/>
  <c r="BD34" i="3"/>
  <c r="BD30" i="3"/>
  <c r="BD29" i="3"/>
  <c r="BD28" i="3"/>
  <c r="BD27" i="3"/>
  <c r="BD26" i="3"/>
  <c r="BD25" i="3"/>
  <c r="BD24" i="3"/>
  <c r="BD23" i="3"/>
  <c r="BD21" i="3"/>
  <c r="BD19" i="3"/>
  <c r="BD15" i="3"/>
  <c r="BD14" i="3"/>
  <c r="BD13" i="3"/>
  <c r="BD85" i="3" s="1"/>
  <c r="BD60" i="2"/>
  <c r="BD59" i="2"/>
  <c r="BD57" i="2" s="1"/>
  <c r="BD55" i="2"/>
  <c r="BD54" i="2" s="1"/>
  <c r="BD42" i="2"/>
  <c r="BD41" i="2" s="1"/>
  <c r="BD35" i="2"/>
  <c r="BD32" i="2"/>
  <c r="BD30" i="2"/>
  <c r="BC76" i="3"/>
  <c r="BC74" i="3"/>
  <c r="BC68" i="2"/>
  <c r="BD20" i="2"/>
  <c r="BD22" i="2" s="1"/>
  <c r="BC22" i="2"/>
  <c r="BD25" i="2"/>
  <c r="BD26" i="2" s="1"/>
  <c r="BD36" i="2"/>
  <c r="BD17" i="2"/>
  <c r="BD60" i="1"/>
  <c r="BD159" i="1"/>
  <c r="BD57" i="1"/>
  <c r="BD55" i="1" s="1"/>
  <c r="BD95" i="1"/>
  <c r="BD77" i="1"/>
  <c r="BD73" i="1"/>
  <c r="BD52" i="1"/>
  <c r="BD53" i="1" s="1"/>
  <c r="BD47" i="1"/>
  <c r="BD43" i="1"/>
  <c r="BD44" i="1" s="1"/>
  <c r="BD38" i="1"/>
  <c r="BD31" i="1"/>
  <c r="BD32" i="1" s="1"/>
  <c r="BD28" i="1"/>
  <c r="BD34" i="1" s="1"/>
  <c r="BD24" i="1"/>
  <c r="BD21" i="1"/>
  <c r="BD13" i="1"/>
  <c r="BD12" i="1"/>
  <c r="BD48" i="1" s="1"/>
  <c r="BD252" i="21" l="1"/>
  <c r="BD256" i="21"/>
  <c r="BD37" i="2"/>
  <c r="BD53" i="2"/>
  <c r="BD248" i="21"/>
  <c r="BD254" i="21"/>
  <c r="BD257" i="21" s="1"/>
  <c r="BD82" i="3"/>
  <c r="BD86" i="3" s="1"/>
  <c r="BC268" i="21"/>
  <c r="BD56" i="2"/>
  <c r="BD122" i="21"/>
  <c r="BD58" i="21" s="1"/>
  <c r="BD47" i="2"/>
  <c r="BC77" i="3"/>
  <c r="BD27" i="2"/>
  <c r="BD29" i="1"/>
  <c r="BD39" i="1"/>
  <c r="BD35" i="1"/>
  <c r="BD64" i="1"/>
  <c r="BD61" i="1"/>
  <c r="BD37" i="21" l="1"/>
  <c r="BD84" i="21"/>
  <c r="BD16" i="21"/>
  <c r="BD63" i="1"/>
  <c r="BD67" i="1" s="1"/>
  <c r="BD94" i="1"/>
  <c r="BD96" i="1" s="1"/>
  <c r="BD70" i="1"/>
  <c r="BD71" i="1" l="1"/>
  <c r="BD82" i="1"/>
  <c r="BD89" i="1" s="1"/>
  <c r="BD79" i="1"/>
  <c r="BD68" i="1"/>
  <c r="BD98" i="1" l="1"/>
  <c r="BD83" i="1"/>
  <c r="BD80" i="1"/>
  <c r="BD91" i="1"/>
  <c r="BD86" i="1"/>
  <c r="BD102" i="1" l="1"/>
  <c r="BD105" i="1" s="1"/>
  <c r="BD107" i="1" s="1"/>
  <c r="BD92" i="1"/>
  <c r="BD109" i="1"/>
  <c r="BD99" i="1"/>
  <c r="BE55" i="1" l="1"/>
  <c r="BG55" i="1" l="1"/>
  <c r="BF55" i="1"/>
  <c r="BC140" i="21" l="1"/>
  <c r="BC80" i="21"/>
  <c r="BC54" i="21"/>
  <c r="BD55" i="21" s="1"/>
  <c r="BC33" i="21"/>
  <c r="BC12" i="21"/>
  <c r="BD13" i="21" s="1"/>
  <c r="BB268" i="21"/>
  <c r="BC246" i="21"/>
  <c r="BB142" i="3"/>
  <c r="BB143" i="3" s="1"/>
  <c r="BC121" i="3"/>
  <c r="BC153" i="3"/>
  <c r="BC154" i="3" s="1"/>
  <c r="BC138" i="3"/>
  <c r="BC163" i="3"/>
  <c r="BC143" i="3"/>
  <c r="BB61" i="3"/>
  <c r="BB153" i="3"/>
  <c r="BB138" i="3"/>
  <c r="BB121" i="3"/>
  <c r="BB163" i="3"/>
  <c r="BB154" i="3"/>
  <c r="BC60" i="2"/>
  <c r="BC55" i="2" s="1"/>
  <c r="BC54" i="2" s="1"/>
  <c r="BC59" i="2"/>
  <c r="BC57" i="2" s="1"/>
  <c r="BC255" i="21" l="1"/>
  <c r="BC278" i="21"/>
  <c r="BC276" i="21"/>
  <c r="BC277" i="21"/>
  <c r="BC273" i="21"/>
  <c r="BC270" i="21"/>
  <c r="BC275" i="21"/>
  <c r="BC274" i="21"/>
  <c r="BD34" i="21"/>
  <c r="BD81" i="21"/>
  <c r="BC37" i="2"/>
  <c r="BC142" i="21"/>
  <c r="BC53" i="2"/>
  <c r="BC248" i="21"/>
  <c r="BC256" i="21"/>
  <c r="BC252" i="21"/>
  <c r="BC254" i="21"/>
  <c r="BC251" i="21"/>
  <c r="BC253" i="21"/>
  <c r="BC122" i="21"/>
  <c r="BC56" i="2"/>
  <c r="BC47" i="2"/>
  <c r="BC17" i="2"/>
  <c r="BC27" i="2" s="1"/>
  <c r="BC72" i="3" s="1"/>
  <c r="CC88" i="1"/>
  <c r="BC60" i="1"/>
  <c r="BC61" i="1" s="1"/>
  <c r="BC95" i="1"/>
  <c r="BC77" i="1"/>
  <c r="BC73" i="1"/>
  <c r="BC55" i="1"/>
  <c r="BC52" i="1"/>
  <c r="BC53" i="1" s="1"/>
  <c r="BC47" i="1"/>
  <c r="BC43" i="1"/>
  <c r="BC44" i="1" s="1"/>
  <c r="BC38" i="1"/>
  <c r="BC31" i="1"/>
  <c r="BC191" i="21" s="1"/>
  <c r="BC28" i="1"/>
  <c r="BC158" i="21" s="1"/>
  <c r="BD159" i="21" s="1"/>
  <c r="BC24" i="1"/>
  <c r="BC21" i="1"/>
  <c r="BC13" i="1"/>
  <c r="BC12" i="1"/>
  <c r="BC48" i="1" s="1"/>
  <c r="BC279" i="21" l="1"/>
  <c r="BC37" i="21"/>
  <c r="BD123" i="21"/>
  <c r="BC58" i="21"/>
  <c r="BC16" i="21"/>
  <c r="BC257" i="21"/>
  <c r="BC32" i="1"/>
  <c r="BC84" i="21"/>
  <c r="BC49" i="2"/>
  <c r="BC39" i="1"/>
  <c r="BC94" i="1"/>
  <c r="BC96" i="1" s="1"/>
  <c r="BC64" i="1"/>
  <c r="BD65" i="1" s="1"/>
  <c r="BC63" i="1"/>
  <c r="BC67" i="1" s="1"/>
  <c r="BC34" i="1"/>
  <c r="BC35" i="1" s="1"/>
  <c r="BC29" i="1"/>
  <c r="AZ73" i="1"/>
  <c r="AY73" i="1"/>
  <c r="BC192" i="21" l="1"/>
  <c r="BC68" i="1"/>
  <c r="BC79" i="1"/>
  <c r="BC70" i="1"/>
  <c r="BC66" i="1"/>
  <c r="AY95" i="1"/>
  <c r="BC82" i="1" l="1"/>
  <c r="BC71" i="1"/>
  <c r="BC91" i="1"/>
  <c r="BC86" i="1"/>
  <c r="BC80" i="1"/>
  <c r="BC102" i="1" l="1"/>
  <c r="BC105" i="1" s="1"/>
  <c r="BC107" i="1" s="1"/>
  <c r="BC92" i="1"/>
  <c r="BC98" i="1"/>
  <c r="BC89" i="1"/>
  <c r="BC83" i="1"/>
  <c r="AU95" i="1"/>
  <c r="BC109" i="1" l="1"/>
  <c r="BC99" i="1"/>
  <c r="CF9" i="21"/>
  <c r="CF298" i="21" s="1"/>
  <c r="CV57" i="3"/>
  <c r="CV54" i="3"/>
  <c r="CV156" i="3" s="1"/>
  <c r="CV50" i="3"/>
  <c r="CV152" i="3" s="1"/>
  <c r="CV46" i="3"/>
  <c r="CV148" i="3" s="1"/>
  <c r="CV45" i="3"/>
  <c r="CV147" i="3" s="1"/>
  <c r="CV39" i="3"/>
  <c r="CV38" i="3"/>
  <c r="CV140" i="3" s="1"/>
  <c r="CV37" i="3"/>
  <c r="CV139" i="3" s="1"/>
  <c r="CV36" i="3"/>
  <c r="CV138" i="3" s="1"/>
  <c r="CV35" i="3"/>
  <c r="CV21" i="3"/>
  <c r="CV123" i="3" s="1"/>
  <c r="CV20" i="3"/>
  <c r="CV122" i="3" s="1"/>
  <c r="CV18" i="3"/>
  <c r="CV120" i="3" s="1"/>
  <c r="CV17" i="3"/>
  <c r="CV119" i="3" s="1"/>
  <c r="CV16" i="3"/>
  <c r="CV118" i="3" s="1"/>
  <c r="CV14" i="3"/>
  <c r="CV116" i="3" s="1"/>
  <c r="CV141" i="3"/>
  <c r="CV137" i="3"/>
  <c r="CF68" i="3"/>
  <c r="CE68" i="3"/>
  <c r="CD68" i="3"/>
  <c r="CC68" i="3"/>
  <c r="CB68" i="3"/>
  <c r="CA68" i="3"/>
  <c r="CF54" i="3"/>
  <c r="CF156" i="3" s="1"/>
  <c r="CF50" i="3"/>
  <c r="CF152" i="3" s="1"/>
  <c r="CF46" i="3"/>
  <c r="CF148" i="3" s="1"/>
  <c r="CF45" i="3"/>
  <c r="CF39" i="3"/>
  <c r="CF38" i="3"/>
  <c r="CF140" i="3" s="1"/>
  <c r="CF37" i="3"/>
  <c r="CF139" i="3" s="1"/>
  <c r="CF36" i="3"/>
  <c r="CF138" i="3" s="1"/>
  <c r="CF35" i="3"/>
  <c r="CF137" i="3" s="1"/>
  <c r="CF21" i="3"/>
  <c r="CF123" i="3" s="1"/>
  <c r="CF20" i="3"/>
  <c r="CF122" i="3" s="1"/>
  <c r="CF18" i="3"/>
  <c r="CF120" i="3" s="1"/>
  <c r="CF17" i="3"/>
  <c r="CF119" i="3" s="1"/>
  <c r="CF16" i="3"/>
  <c r="CF118" i="3" s="1"/>
  <c r="CF14" i="3"/>
  <c r="CF116" i="3" s="1"/>
  <c r="CF147" i="3"/>
  <c r="CF141" i="3"/>
  <c r="CV71" i="2"/>
  <c r="CV70" i="2"/>
  <c r="CV8" i="2"/>
  <c r="CV8" i="3" s="1"/>
  <c r="CV7" i="2"/>
  <c r="CV52" i="2" s="1"/>
  <c r="CV63" i="2" s="1"/>
  <c r="CV80" i="2" s="1"/>
  <c r="CF144" i="2"/>
  <c r="CE144" i="2"/>
  <c r="CD144" i="2"/>
  <c r="CC144" i="2"/>
  <c r="CF143" i="2"/>
  <c r="CE143" i="2"/>
  <c r="CD143" i="2"/>
  <c r="CC143" i="2"/>
  <c r="CF125" i="2"/>
  <c r="CF71" i="2"/>
  <c r="CF70" i="2"/>
  <c r="CF9" i="2"/>
  <c r="CF52" i="2" s="1"/>
  <c r="CF63" i="2" s="1"/>
  <c r="CF80" i="2" s="1"/>
  <c r="CV104" i="1"/>
  <c r="CV101" i="1"/>
  <c r="CV76" i="1"/>
  <c r="CV74" i="1"/>
  <c r="CV60" i="1"/>
  <c r="CV59" i="1"/>
  <c r="CV58" i="1"/>
  <c r="CV57" i="1"/>
  <c r="CV55" i="1"/>
  <c r="CV51" i="1"/>
  <c r="CV27" i="1"/>
  <c r="CV19" i="1"/>
  <c r="CV17" i="1"/>
  <c r="CV15" i="1"/>
  <c r="CV155" i="1"/>
  <c r="CV137" i="1"/>
  <c r="CV112" i="1"/>
  <c r="CF104" i="1"/>
  <c r="CF101" i="1"/>
  <c r="CF76" i="1"/>
  <c r="CF74" i="1"/>
  <c r="CF60" i="1"/>
  <c r="CF59" i="1"/>
  <c r="CF58" i="1"/>
  <c r="CF57" i="1"/>
  <c r="CF51" i="1"/>
  <c r="CF27" i="1"/>
  <c r="CF55" i="1"/>
  <c r="CF19" i="1"/>
  <c r="CF165" i="1"/>
  <c r="CF343" i="21" s="1"/>
  <c r="CF155" i="1"/>
  <c r="CF140" i="1"/>
  <c r="CF137" i="1"/>
  <c r="CF112" i="1"/>
  <c r="BL156" i="3"/>
  <c r="BM156" i="3" s="1"/>
  <c r="BN156" i="3" s="1"/>
  <c r="BO156" i="3" s="1"/>
  <c r="BL152" i="3"/>
  <c r="BM152" i="3" s="1"/>
  <c r="BN152" i="3" s="1"/>
  <c r="BO152" i="3" s="1"/>
  <c r="BL148" i="3"/>
  <c r="BM148" i="3" s="1"/>
  <c r="BN148" i="3" s="1"/>
  <c r="BO148" i="3" s="1"/>
  <c r="BL147" i="3"/>
  <c r="BM147" i="3" s="1"/>
  <c r="BN147" i="3" s="1"/>
  <c r="BO147" i="3" s="1"/>
  <c r="BL141" i="3"/>
  <c r="BM141" i="3" s="1"/>
  <c r="BN141" i="3" s="1"/>
  <c r="BO141" i="3" s="1"/>
  <c r="BL140" i="3"/>
  <c r="BM140" i="3" s="1"/>
  <c r="BN140" i="3" s="1"/>
  <c r="BO140" i="3" s="1"/>
  <c r="BL139" i="3"/>
  <c r="BM139" i="3" s="1"/>
  <c r="BN139" i="3" s="1"/>
  <c r="BO139" i="3" s="1"/>
  <c r="BL138" i="3"/>
  <c r="BM138" i="3" s="1"/>
  <c r="BN138" i="3" s="1"/>
  <c r="BO138" i="3" s="1"/>
  <c r="BL137" i="3"/>
  <c r="BM137" i="3" s="1"/>
  <c r="BN137" i="3" s="1"/>
  <c r="BO137" i="3" s="1"/>
  <c r="BL123" i="3"/>
  <c r="BM123" i="3" s="1"/>
  <c r="BN123" i="3" s="1"/>
  <c r="BO123" i="3" s="1"/>
  <c r="BL122" i="3"/>
  <c r="BM122" i="3" s="1"/>
  <c r="BN122" i="3" s="1"/>
  <c r="BO122" i="3" s="1"/>
  <c r="BL120" i="3"/>
  <c r="BM120" i="3" s="1"/>
  <c r="BN120" i="3" s="1"/>
  <c r="BO120" i="3" s="1"/>
  <c r="BL119" i="3"/>
  <c r="BM119" i="3" s="1"/>
  <c r="BN119" i="3" s="1"/>
  <c r="BO119" i="3" s="1"/>
  <c r="BL118" i="3"/>
  <c r="BM118" i="3" s="1"/>
  <c r="BN118" i="3" s="1"/>
  <c r="BO118" i="3" s="1"/>
  <c r="BL116" i="3"/>
  <c r="BM116" i="3" s="1"/>
  <c r="BN116" i="3" s="1"/>
  <c r="BO116" i="3" s="1"/>
  <c r="BO94" i="3"/>
  <c r="BN94" i="3"/>
  <c r="BM94" i="3"/>
  <c r="BL94" i="3"/>
  <c r="BM83" i="3"/>
  <c r="BN83" i="3" s="1"/>
  <c r="BO83" i="3" s="1"/>
  <c r="BO70" i="3"/>
  <c r="BN70" i="3"/>
  <c r="BM70" i="3"/>
  <c r="BL70" i="3"/>
  <c r="BO133" i="2"/>
  <c r="CF133" i="2" s="1"/>
  <c r="BN133" i="2"/>
  <c r="BM133" i="2"/>
  <c r="BL133" i="2"/>
  <c r="BO127" i="2"/>
  <c r="CF127" i="2" s="1"/>
  <c r="BN127" i="2"/>
  <c r="BM127" i="2"/>
  <c r="BL127" i="2"/>
  <c r="BO126" i="2"/>
  <c r="CF126" i="2" s="1"/>
  <c r="BN126" i="2"/>
  <c r="BM126" i="2"/>
  <c r="BL126" i="2"/>
  <c r="BO119" i="2"/>
  <c r="BN119" i="2"/>
  <c r="BM119" i="2"/>
  <c r="BN106" i="2"/>
  <c r="BO106" i="2" s="1"/>
  <c r="CF106" i="2" s="1"/>
  <c r="BO105" i="2"/>
  <c r="CF105" i="2" s="1"/>
  <c r="BM53" i="2"/>
  <c r="BN53" i="2" s="1"/>
  <c r="BO53" i="2" s="1"/>
  <c r="BO9" i="2"/>
  <c r="BO9" i="3" s="1"/>
  <c r="BO111" i="3" s="1"/>
  <c r="BN9" i="2"/>
  <c r="BN101" i="2" s="1"/>
  <c r="BM9" i="2"/>
  <c r="BM9" i="3" s="1"/>
  <c r="BM111" i="3" s="1"/>
  <c r="BL9" i="2"/>
  <c r="BL101" i="2" s="1"/>
  <c r="BO8" i="2"/>
  <c r="BO8" i="3" s="1"/>
  <c r="BN8" i="2"/>
  <c r="BN8" i="3" s="1"/>
  <c r="BM8" i="2"/>
  <c r="BM8" i="3" s="1"/>
  <c r="BL8" i="2"/>
  <c r="BL8" i="3" s="1"/>
  <c r="BO7" i="2"/>
  <c r="BO7" i="3" s="1"/>
  <c r="BN7" i="2"/>
  <c r="BN7" i="3" s="1"/>
  <c r="BM7" i="2"/>
  <c r="BM7" i="3" s="1"/>
  <c r="BL7" i="2"/>
  <c r="BL7" i="3" s="1"/>
  <c r="BO165" i="1"/>
  <c r="BO343" i="21" s="1"/>
  <c r="BN165" i="1"/>
  <c r="BN183" i="2" s="1"/>
  <c r="BM165" i="1"/>
  <c r="BM343" i="21" s="1"/>
  <c r="BL165" i="1"/>
  <c r="BL183" i="2" s="1"/>
  <c r="BO155" i="1"/>
  <c r="BN155" i="1"/>
  <c r="BM155" i="1"/>
  <c r="BL155" i="1"/>
  <c r="BO137" i="1"/>
  <c r="BN137" i="1"/>
  <c r="BM137" i="1"/>
  <c r="BL137" i="1"/>
  <c r="BO112" i="1"/>
  <c r="BN112" i="1"/>
  <c r="BM112" i="1"/>
  <c r="BL112" i="1"/>
  <c r="BO9" i="21"/>
  <c r="BO306" i="21" s="1"/>
  <c r="BN9" i="21"/>
  <c r="BN272" i="21" s="1"/>
  <c r="BM9" i="21"/>
  <c r="BM306" i="21" s="1"/>
  <c r="BL9" i="21"/>
  <c r="BO8" i="21"/>
  <c r="BN8" i="21"/>
  <c r="BM8" i="21"/>
  <c r="BL8" i="21"/>
  <c r="BO7" i="21"/>
  <c r="BN7" i="21"/>
  <c r="BM7" i="21"/>
  <c r="BL7" i="21"/>
  <c r="BM183" i="2" l="1"/>
  <c r="CF183" i="2"/>
  <c r="CF9" i="3"/>
  <c r="CF66" i="3" s="1"/>
  <c r="CF81" i="3" s="1"/>
  <c r="CF89" i="3" s="1"/>
  <c r="BO183" i="2"/>
  <c r="CF171" i="3"/>
  <c r="CV7" i="3"/>
  <c r="CV66" i="3" s="1"/>
  <c r="CV81" i="3" s="1"/>
  <c r="CV89" i="3" s="1"/>
  <c r="CV111" i="3" s="1"/>
  <c r="CF212" i="21"/>
  <c r="CF232" i="21"/>
  <c r="CF250" i="21"/>
  <c r="CF272" i="21"/>
  <c r="CF290" i="21"/>
  <c r="CF306" i="21"/>
  <c r="CF199" i="21"/>
  <c r="CF225" i="21"/>
  <c r="CF239" i="21"/>
  <c r="CF261" i="21"/>
  <c r="CF283" i="21"/>
  <c r="CV70" i="3"/>
  <c r="CF70" i="3"/>
  <c r="CF94" i="3"/>
  <c r="CF101" i="2"/>
  <c r="CF148" i="2"/>
  <c r="BL171" i="3"/>
  <c r="BN171" i="3"/>
  <c r="BN343" i="21"/>
  <c r="BL343" i="21"/>
  <c r="BM171" i="3"/>
  <c r="BO171" i="3"/>
  <c r="BL148" i="2"/>
  <c r="BL9" i="3"/>
  <c r="BL111" i="3" s="1"/>
  <c r="BN9" i="3"/>
  <c r="BN111" i="3" s="1"/>
  <c r="BM66" i="3"/>
  <c r="BM81" i="3" s="1"/>
  <c r="BM89" i="3" s="1"/>
  <c r="BO66" i="3"/>
  <c r="BO81" i="3" s="1"/>
  <c r="BO89" i="3" s="1"/>
  <c r="BL66" i="3"/>
  <c r="BL81" i="3" s="1"/>
  <c r="BL89" i="3" s="1"/>
  <c r="BM148" i="2"/>
  <c r="BM101" i="2"/>
  <c r="BM52" i="2"/>
  <c r="BM63" i="2" s="1"/>
  <c r="BM80" i="2" s="1"/>
  <c r="BO148" i="2"/>
  <c r="BO101" i="2"/>
  <c r="BO52" i="2"/>
  <c r="BO63" i="2" s="1"/>
  <c r="BO80" i="2" s="1"/>
  <c r="BL52" i="2"/>
  <c r="BL63" i="2" s="1"/>
  <c r="BL80" i="2" s="1"/>
  <c r="BN52" i="2"/>
  <c r="BN63" i="2" s="1"/>
  <c r="BN80" i="2" s="1"/>
  <c r="BN148" i="2"/>
  <c r="BN199" i="21"/>
  <c r="BN225" i="21"/>
  <c r="BN239" i="21"/>
  <c r="BN261" i="21"/>
  <c r="BN283" i="21"/>
  <c r="BN212" i="21"/>
  <c r="BN232" i="21"/>
  <c r="BN250" i="21"/>
  <c r="BL306" i="21"/>
  <c r="BL298" i="21"/>
  <c r="BN306" i="21"/>
  <c r="BN298" i="21"/>
  <c r="BN290" i="21"/>
  <c r="BL199" i="21"/>
  <c r="BL212" i="21"/>
  <c r="BL225" i="21"/>
  <c r="BL232" i="21"/>
  <c r="BL239" i="21"/>
  <c r="BL250" i="21"/>
  <c r="BL261" i="21"/>
  <c r="BL272" i="21"/>
  <c r="BL283" i="21"/>
  <c r="BL290" i="21"/>
  <c r="BM199" i="21"/>
  <c r="BO199" i="21"/>
  <c r="BM212" i="21"/>
  <c r="BO212" i="21"/>
  <c r="BM225" i="21"/>
  <c r="BO225" i="21"/>
  <c r="BM232" i="21"/>
  <c r="BO232" i="21"/>
  <c r="BM239" i="21"/>
  <c r="BO239" i="21"/>
  <c r="BM250" i="21"/>
  <c r="BO250" i="21"/>
  <c r="BM261" i="21"/>
  <c r="BO261" i="21"/>
  <c r="BM272" i="21"/>
  <c r="BO272" i="21"/>
  <c r="BM283" i="21"/>
  <c r="BO283" i="21"/>
  <c r="BM290" i="21"/>
  <c r="BO290" i="21"/>
  <c r="BM298" i="21"/>
  <c r="BO298" i="21"/>
  <c r="CF111" i="3" l="1"/>
  <c r="BN66" i="3"/>
  <c r="BN81" i="3" s="1"/>
  <c r="BN89" i="3" s="1"/>
  <c r="BE53" i="2" l="1"/>
  <c r="BF53" i="2" s="1"/>
  <c r="BG53" i="2" s="1"/>
  <c r="BI53" i="2" l="1"/>
  <c r="BJ53" i="2" s="1"/>
  <c r="BK53" i="2" s="1"/>
  <c r="BB87" i="2" l="1"/>
  <c r="BF75" i="1"/>
  <c r="BG75" i="1" s="1"/>
  <c r="BH75" i="1" s="1"/>
  <c r="BI75" i="1" s="1"/>
  <c r="BB54" i="21"/>
  <c r="BB80" i="21"/>
  <c r="BC55" i="21" l="1"/>
  <c r="BC81" i="21"/>
  <c r="BJ75" i="1"/>
  <c r="BK75" i="1" s="1"/>
  <c r="BL75" i="1" s="1"/>
  <c r="BL77" i="1" s="1"/>
  <c r="BE80" i="21" l="1"/>
  <c r="BL73" i="1"/>
  <c r="BM75" i="1"/>
  <c r="BM97" i="3" s="1"/>
  <c r="BL97" i="3"/>
  <c r="CV75" i="1"/>
  <c r="CV73" i="1" s="1"/>
  <c r="BB12" i="21"/>
  <c r="BA12" i="21"/>
  <c r="BA80" i="21"/>
  <c r="BB33" i="21"/>
  <c r="BA33" i="21"/>
  <c r="BB246" i="21"/>
  <c r="BB94" i="2"/>
  <c r="BB85" i="2"/>
  <c r="BB84" i="2"/>
  <c r="BB81" i="2"/>
  <c r="BB60" i="2"/>
  <c r="BB55" i="2" s="1"/>
  <c r="BB54" i="2" s="1"/>
  <c r="BB59" i="2"/>
  <c r="BB57" i="2" s="1"/>
  <c r="BB17" i="2"/>
  <c r="BB60" i="1"/>
  <c r="BB61" i="1" s="1"/>
  <c r="BB27" i="1"/>
  <c r="CT27" i="1" s="1"/>
  <c r="BB21" i="1"/>
  <c r="BB146" i="1"/>
  <c r="BQ23" i="1"/>
  <c r="BR23" i="1"/>
  <c r="BS23" i="1"/>
  <c r="BT23" i="1"/>
  <c r="BU23" i="1"/>
  <c r="BV23" i="1"/>
  <c r="BW23" i="1"/>
  <c r="BX23" i="1"/>
  <c r="BY23" i="1"/>
  <c r="BZ23" i="1"/>
  <c r="CA23" i="1"/>
  <c r="CB23" i="1"/>
  <c r="CH23" i="1"/>
  <c r="CI23" i="1"/>
  <c r="CJ23" i="1"/>
  <c r="CK23" i="1"/>
  <c r="CL23" i="1"/>
  <c r="CM23" i="1"/>
  <c r="CN23" i="1"/>
  <c r="CO23" i="1"/>
  <c r="CP23" i="1"/>
  <c r="CQ23" i="1"/>
  <c r="CR23" i="1"/>
  <c r="CS23" i="1"/>
  <c r="BB24" i="1"/>
  <c r="BH25" i="1"/>
  <c r="CT25" i="1"/>
  <c r="BQ27" i="1"/>
  <c r="BR27" i="1"/>
  <c r="BS27" i="1"/>
  <c r="BT27" i="1"/>
  <c r="BU27" i="1"/>
  <c r="BV27" i="1"/>
  <c r="BW27" i="1"/>
  <c r="BX27" i="1"/>
  <c r="BY27" i="1"/>
  <c r="CA27" i="1"/>
  <c r="CB27" i="1"/>
  <c r="CD27" i="1"/>
  <c r="CE27" i="1"/>
  <c r="CH27" i="1"/>
  <c r="CI27" i="1"/>
  <c r="CJ27" i="1"/>
  <c r="CK27" i="1"/>
  <c r="CL27" i="1"/>
  <c r="CM27" i="1"/>
  <c r="CN27" i="1"/>
  <c r="CO27" i="1"/>
  <c r="CP27" i="1"/>
  <c r="CR27" i="1"/>
  <c r="CS27" i="1"/>
  <c r="CU27" i="1"/>
  <c r="BB31" i="1"/>
  <c r="BQ37" i="1"/>
  <c r="BR37" i="1"/>
  <c r="BS37" i="1"/>
  <c r="BT37" i="1"/>
  <c r="BU37" i="1"/>
  <c r="BV37" i="1"/>
  <c r="BW37" i="1"/>
  <c r="BX37" i="1"/>
  <c r="BY37" i="1"/>
  <c r="BZ37" i="1"/>
  <c r="CA37" i="1"/>
  <c r="CB37" i="1"/>
  <c r="CH37" i="1"/>
  <c r="CI37" i="1"/>
  <c r="CJ37" i="1"/>
  <c r="CK37" i="1"/>
  <c r="CL37" i="1"/>
  <c r="CM37" i="1"/>
  <c r="CN37" i="1"/>
  <c r="CO37" i="1"/>
  <c r="CP37" i="1"/>
  <c r="CQ37" i="1"/>
  <c r="CR37" i="1"/>
  <c r="CS37" i="1"/>
  <c r="BB38" i="1"/>
  <c r="BG40" i="1"/>
  <c r="BH40" i="1" s="1"/>
  <c r="CT40" i="1"/>
  <c r="BE42" i="1"/>
  <c r="BE94" i="1" s="1"/>
  <c r="BQ42" i="1"/>
  <c r="BR42" i="1"/>
  <c r="BS42" i="1"/>
  <c r="BS43" i="1" s="1"/>
  <c r="BT42" i="1"/>
  <c r="BU42" i="1"/>
  <c r="BU43" i="1" s="1"/>
  <c r="BV42" i="1"/>
  <c r="CA42" i="1"/>
  <c r="CA43" i="1" s="1"/>
  <c r="CB42" i="1"/>
  <c r="CH42" i="1"/>
  <c r="CH43" i="1" s="1"/>
  <c r="CI42" i="1"/>
  <c r="CJ42" i="1"/>
  <c r="CJ43" i="1" s="1"/>
  <c r="CK42" i="1"/>
  <c r="CL42" i="1"/>
  <c r="CR42" i="1"/>
  <c r="CS42" i="1"/>
  <c r="BB43" i="1"/>
  <c r="BB44" i="1" s="1"/>
  <c r="BQ43" i="1"/>
  <c r="BV43" i="1"/>
  <c r="BQ46" i="1"/>
  <c r="BR46" i="1"/>
  <c r="BS46" i="1"/>
  <c r="BT46" i="1"/>
  <c r="BU46" i="1"/>
  <c r="BV46" i="1"/>
  <c r="BW46" i="1"/>
  <c r="BX46" i="1"/>
  <c r="BY46" i="1"/>
  <c r="BZ46" i="1"/>
  <c r="CA46" i="1"/>
  <c r="CB46" i="1"/>
  <c r="CH46" i="1"/>
  <c r="CI46" i="1"/>
  <c r="CJ46" i="1"/>
  <c r="CK46" i="1"/>
  <c r="CL46" i="1"/>
  <c r="CM46" i="1"/>
  <c r="CN46" i="1"/>
  <c r="CO46" i="1"/>
  <c r="CP46" i="1"/>
  <c r="CQ46" i="1"/>
  <c r="CR46" i="1"/>
  <c r="CS46" i="1"/>
  <c r="BB47" i="1"/>
  <c r="BG49" i="1"/>
  <c r="BH49" i="1" s="1"/>
  <c r="CT49" i="1"/>
  <c r="BQ51" i="1"/>
  <c r="BR51" i="1"/>
  <c r="BS51" i="1"/>
  <c r="BT51" i="1"/>
  <c r="BU51" i="1"/>
  <c r="BV51" i="1"/>
  <c r="BW51" i="1"/>
  <c r="BX51" i="1"/>
  <c r="BY51" i="1"/>
  <c r="BZ51" i="1"/>
  <c r="CA51" i="1"/>
  <c r="CB51" i="1"/>
  <c r="CC51" i="1"/>
  <c r="CD51" i="1"/>
  <c r="CE51" i="1"/>
  <c r="CH51" i="1"/>
  <c r="CI51" i="1"/>
  <c r="CJ51" i="1"/>
  <c r="CK51" i="1"/>
  <c r="CL51" i="1"/>
  <c r="CM51" i="1"/>
  <c r="CN51" i="1"/>
  <c r="CO51" i="1"/>
  <c r="CP51" i="1"/>
  <c r="CQ51" i="1"/>
  <c r="CR51" i="1"/>
  <c r="CS51" i="1"/>
  <c r="CT51" i="1"/>
  <c r="CU51" i="1"/>
  <c r="BB52" i="1"/>
  <c r="BB53" i="1" s="1"/>
  <c r="BB55" i="1"/>
  <c r="BB63" i="1" s="1"/>
  <c r="BB67" i="1" s="1"/>
  <c r="CD55" i="1"/>
  <c r="CE55" i="1"/>
  <c r="CU55" i="1"/>
  <c r="BQ57" i="1"/>
  <c r="BS57" i="1"/>
  <c r="BT57" i="1"/>
  <c r="BU57" i="1"/>
  <c r="BV57" i="1"/>
  <c r="BW57" i="1"/>
  <c r="BX57" i="1"/>
  <c r="BY57" i="1"/>
  <c r="CD57" i="1"/>
  <c r="CE57" i="1"/>
  <c r="CH57" i="1"/>
  <c r="CJ57" i="1"/>
  <c r="CK57" i="1"/>
  <c r="CL57" i="1"/>
  <c r="CM57" i="1"/>
  <c r="CN57" i="1"/>
  <c r="CO57" i="1"/>
  <c r="CP57" i="1"/>
  <c r="CR57" i="1"/>
  <c r="CU57" i="1"/>
  <c r="BQ58" i="1"/>
  <c r="BR58" i="1"/>
  <c r="BS58" i="1"/>
  <c r="BT58" i="1"/>
  <c r="BU58" i="1"/>
  <c r="BV58" i="1"/>
  <c r="BW58" i="1"/>
  <c r="BX58" i="1"/>
  <c r="BY58" i="1"/>
  <c r="BZ58" i="1"/>
  <c r="CA58" i="1"/>
  <c r="CB58" i="1"/>
  <c r="CC58" i="1"/>
  <c r="CD58" i="1"/>
  <c r="CE58" i="1"/>
  <c r="CH58" i="1"/>
  <c r="CI58" i="1"/>
  <c r="CJ58" i="1"/>
  <c r="CK58" i="1"/>
  <c r="CL58" i="1"/>
  <c r="CM58" i="1"/>
  <c r="CN58" i="1"/>
  <c r="CO58" i="1"/>
  <c r="CP58" i="1"/>
  <c r="CQ58" i="1"/>
  <c r="CR58" i="1"/>
  <c r="CS58" i="1"/>
  <c r="CT58" i="1"/>
  <c r="CU58" i="1"/>
  <c r="BQ59" i="1"/>
  <c r="BR59" i="1"/>
  <c r="BS59" i="1"/>
  <c r="BT59" i="1"/>
  <c r="BU59" i="1"/>
  <c r="BV59" i="1"/>
  <c r="BW59" i="1"/>
  <c r="BX59" i="1"/>
  <c r="BY59" i="1"/>
  <c r="BZ59" i="1"/>
  <c r="CA59" i="1"/>
  <c r="CB59" i="1"/>
  <c r="CC59" i="1"/>
  <c r="CD59" i="1"/>
  <c r="CE59" i="1"/>
  <c r="CH59" i="1"/>
  <c r="CI59" i="1"/>
  <c r="CJ59" i="1"/>
  <c r="CK59" i="1"/>
  <c r="CL59" i="1"/>
  <c r="CM59" i="1"/>
  <c r="CN59" i="1"/>
  <c r="CO59" i="1"/>
  <c r="CP59" i="1"/>
  <c r="CQ59" i="1"/>
  <c r="CR59" i="1"/>
  <c r="CS59" i="1"/>
  <c r="CT59" i="1"/>
  <c r="CU59" i="1"/>
  <c r="BQ60" i="1"/>
  <c r="BR60" i="1"/>
  <c r="BS60" i="1"/>
  <c r="BT60" i="1"/>
  <c r="BU60" i="1"/>
  <c r="BV60" i="1"/>
  <c r="BW60" i="1"/>
  <c r="BX60" i="1"/>
  <c r="BY60" i="1"/>
  <c r="CD60" i="1"/>
  <c r="CE60" i="1"/>
  <c r="CH60" i="1"/>
  <c r="CI60" i="1"/>
  <c r="CJ60" i="1"/>
  <c r="CK60" i="1"/>
  <c r="CL60" i="1"/>
  <c r="CM60" i="1"/>
  <c r="CN60" i="1"/>
  <c r="CO60" i="1"/>
  <c r="CP60" i="1"/>
  <c r="CU60" i="1"/>
  <c r="BB73" i="1"/>
  <c r="BF73" i="1"/>
  <c r="BH73" i="1"/>
  <c r="BI73" i="1"/>
  <c r="BQ74" i="1"/>
  <c r="BR74" i="1"/>
  <c r="BS74" i="1"/>
  <c r="BT74" i="1"/>
  <c r="BU74" i="1"/>
  <c r="BV74" i="1"/>
  <c r="BW74" i="1"/>
  <c r="CB74" i="1"/>
  <c r="CC74" i="1"/>
  <c r="CD74" i="1"/>
  <c r="CE74" i="1"/>
  <c r="CH74" i="1"/>
  <c r="CI74" i="1"/>
  <c r="CJ74" i="1"/>
  <c r="CK74" i="1"/>
  <c r="CL74" i="1"/>
  <c r="CM74" i="1"/>
  <c r="CN74" i="1"/>
  <c r="CS74" i="1"/>
  <c r="CT74" i="1"/>
  <c r="CU74" i="1"/>
  <c r="BE73" i="1"/>
  <c r="BG73" i="1"/>
  <c r="BJ73" i="1"/>
  <c r="BQ75" i="1"/>
  <c r="BR75" i="1"/>
  <c r="BR77" i="1" s="1"/>
  <c r="BS75" i="1"/>
  <c r="BT75" i="1"/>
  <c r="BU75" i="1"/>
  <c r="BV75" i="1"/>
  <c r="BV77" i="1" s="1"/>
  <c r="BW75" i="1"/>
  <c r="CB75" i="1"/>
  <c r="CC75" i="1"/>
  <c r="CD75" i="1"/>
  <c r="CD77" i="1" s="1"/>
  <c r="CH75" i="1"/>
  <c r="CH77" i="1" s="1"/>
  <c r="CI75" i="1"/>
  <c r="CJ75" i="1"/>
  <c r="CK75" i="1"/>
  <c r="CL75" i="1"/>
  <c r="CM75" i="1"/>
  <c r="CN75" i="1"/>
  <c r="CS75" i="1"/>
  <c r="CT75" i="1"/>
  <c r="BQ76" i="1"/>
  <c r="BR76" i="1"/>
  <c r="BS76" i="1"/>
  <c r="BT76" i="1"/>
  <c r="BU76" i="1"/>
  <c r="BV76" i="1"/>
  <c r="BW76" i="1"/>
  <c r="CA76" i="1"/>
  <c r="CB76" i="1"/>
  <c r="CC76" i="1"/>
  <c r="CD76" i="1"/>
  <c r="CE76" i="1"/>
  <c r="CH76" i="1"/>
  <c r="CI76" i="1"/>
  <c r="CJ76" i="1"/>
  <c r="CK76" i="1"/>
  <c r="CL76" i="1"/>
  <c r="CM76" i="1"/>
  <c r="CN76" i="1"/>
  <c r="CR76" i="1"/>
  <c r="CS76" i="1"/>
  <c r="CT76" i="1"/>
  <c r="CU76" i="1"/>
  <c r="BB77" i="1"/>
  <c r="BF77" i="1"/>
  <c r="BG77" i="1"/>
  <c r="BH77" i="1"/>
  <c r="BI77" i="1"/>
  <c r="BJ77" i="1"/>
  <c r="BQ85" i="1"/>
  <c r="BR85" i="1"/>
  <c r="BS85" i="1"/>
  <c r="BT85" i="1"/>
  <c r="BU85" i="1"/>
  <c r="BV85" i="1"/>
  <c r="BW85" i="1"/>
  <c r="BX85" i="1"/>
  <c r="BY85" i="1"/>
  <c r="BZ85" i="1"/>
  <c r="CA85" i="1"/>
  <c r="CB85" i="1"/>
  <c r="CH85" i="1"/>
  <c r="CI85" i="1"/>
  <c r="CJ85" i="1"/>
  <c r="CK85" i="1"/>
  <c r="CL85" i="1"/>
  <c r="CM85" i="1"/>
  <c r="CN85" i="1"/>
  <c r="CO85" i="1"/>
  <c r="CP85" i="1"/>
  <c r="CQ85" i="1"/>
  <c r="CR85" i="1"/>
  <c r="CS85" i="1"/>
  <c r="BF86" i="1"/>
  <c r="BG86" i="1" s="1"/>
  <c r="CA88" i="1"/>
  <c r="CR88" i="1"/>
  <c r="CR95" i="1" s="1"/>
  <c r="BB95" i="1"/>
  <c r="BQ101" i="1"/>
  <c r="BR101" i="1"/>
  <c r="BS101" i="1"/>
  <c r="BU101" i="1"/>
  <c r="BV101" i="1"/>
  <c r="BW101" i="1"/>
  <c r="BX101" i="1"/>
  <c r="BY101" i="1"/>
  <c r="BZ101" i="1"/>
  <c r="CA101" i="1"/>
  <c r="CB101" i="1"/>
  <c r="CC101" i="1"/>
  <c r="CD101" i="1"/>
  <c r="CE101" i="1"/>
  <c r="CH101" i="1"/>
  <c r="CI101" i="1"/>
  <c r="CL101" i="1"/>
  <c r="CM101" i="1"/>
  <c r="CN101" i="1"/>
  <c r="CO101" i="1"/>
  <c r="CP101" i="1"/>
  <c r="CQ101" i="1"/>
  <c r="CR101" i="1"/>
  <c r="CS101" i="1"/>
  <c r="CT101" i="1"/>
  <c r="CU101" i="1"/>
  <c r="BQ104" i="1"/>
  <c r="BR104" i="1"/>
  <c r="BS104" i="1"/>
  <c r="BT104" i="1"/>
  <c r="BU104" i="1"/>
  <c r="BV104" i="1"/>
  <c r="BW104" i="1"/>
  <c r="BX104" i="1"/>
  <c r="BY104" i="1"/>
  <c r="BZ104" i="1"/>
  <c r="CA104" i="1"/>
  <c r="CB104" i="1"/>
  <c r="CC104" i="1"/>
  <c r="CD104" i="1"/>
  <c r="CE104" i="1"/>
  <c r="CH104" i="1"/>
  <c r="CI104" i="1"/>
  <c r="CJ104" i="1"/>
  <c r="CK104" i="1"/>
  <c r="CL104" i="1"/>
  <c r="CM104" i="1"/>
  <c r="CN104" i="1"/>
  <c r="CO104" i="1"/>
  <c r="CP104" i="1"/>
  <c r="CQ104" i="1"/>
  <c r="CR104" i="1"/>
  <c r="CS104" i="1"/>
  <c r="CT104" i="1"/>
  <c r="CU104" i="1"/>
  <c r="BB28" i="1" l="1"/>
  <c r="BB29" i="1" s="1"/>
  <c r="CC27" i="1"/>
  <c r="BB142" i="21"/>
  <c r="BF80" i="21"/>
  <c r="CT77" i="1"/>
  <c r="CN77" i="1"/>
  <c r="CJ77" i="1"/>
  <c r="BS52" i="1"/>
  <c r="BS64" i="1" s="1"/>
  <c r="CJ28" i="1"/>
  <c r="BA142" i="21"/>
  <c r="BB95" i="2"/>
  <c r="CS52" i="1"/>
  <c r="CO52" i="1"/>
  <c r="CR43" i="1"/>
  <c r="CR28" i="1"/>
  <c r="CA52" i="1"/>
  <c r="BW52" i="1"/>
  <c r="CR52" i="1"/>
  <c r="CN52" i="1"/>
  <c r="CJ52" i="1"/>
  <c r="BB56" i="2"/>
  <c r="BS77" i="1"/>
  <c r="CL77" i="1"/>
  <c r="CL43" i="1"/>
  <c r="BB34" i="1"/>
  <c r="BB35" i="1" s="1"/>
  <c r="CP52" i="1"/>
  <c r="CL52" i="1"/>
  <c r="CH52" i="1"/>
  <c r="CH64" i="1" s="1"/>
  <c r="BM73" i="1"/>
  <c r="CB77" i="1"/>
  <c r="BT77" i="1"/>
  <c r="CK52" i="1"/>
  <c r="CN28" i="1"/>
  <c r="BB94" i="1"/>
  <c r="BB96" i="1" s="1"/>
  <c r="BM77" i="1"/>
  <c r="CC77" i="1"/>
  <c r="BW77" i="1"/>
  <c r="CQ52" i="1"/>
  <c r="CM52" i="1"/>
  <c r="CI52" i="1"/>
  <c r="BR28" i="1"/>
  <c r="CP28" i="1"/>
  <c r="CL28" i="1"/>
  <c r="CH28" i="1"/>
  <c r="BN75" i="1"/>
  <c r="BN97" i="3" s="1"/>
  <c r="CV77" i="1"/>
  <c r="CS77" i="1"/>
  <c r="BB68" i="1"/>
  <c r="BB192" i="21"/>
  <c r="CB52" i="1"/>
  <c r="BZ52" i="1"/>
  <c r="BX52" i="1"/>
  <c r="BV52" i="1"/>
  <c r="BV64" i="1" s="1"/>
  <c r="BT52" i="1"/>
  <c r="BR52" i="1"/>
  <c r="CS43" i="1"/>
  <c r="BB32" i="1"/>
  <c r="BB191" i="21"/>
  <c r="BC13" i="21"/>
  <c r="BC34" i="21"/>
  <c r="CA95" i="1"/>
  <c r="CK77" i="1"/>
  <c r="CI77" i="1"/>
  <c r="CB28" i="1"/>
  <c r="BX28" i="1"/>
  <c r="BT28" i="1"/>
  <c r="BY52" i="1"/>
  <c r="BU52" i="1"/>
  <c r="BQ52" i="1"/>
  <c r="CI43" i="1"/>
  <c r="BR43" i="1"/>
  <c r="BV28" i="1"/>
  <c r="CK43" i="1"/>
  <c r="CB43" i="1"/>
  <c r="BT43" i="1"/>
  <c r="BN73" i="1"/>
  <c r="BN77" i="1"/>
  <c r="BB86" i="2"/>
  <c r="BB93" i="2"/>
  <c r="BU64" i="1"/>
  <c r="BB64" i="1"/>
  <c r="CM73" i="1"/>
  <c r="CM77" i="1"/>
  <c r="CL73" i="1"/>
  <c r="CH73" i="1"/>
  <c r="CB73" i="1"/>
  <c r="BT73" i="1"/>
  <c r="BU73" i="1"/>
  <c r="CS73" i="1"/>
  <c r="CK73" i="1"/>
  <c r="BW73" i="1"/>
  <c r="BS73" i="1"/>
  <c r="CI73" i="1"/>
  <c r="BQ73" i="1"/>
  <c r="BU77" i="1"/>
  <c r="BQ77" i="1"/>
  <c r="CN73" i="1"/>
  <c r="CJ73" i="1"/>
  <c r="BV73" i="1"/>
  <c r="BR73" i="1"/>
  <c r="BG80" i="21"/>
  <c r="BE77" i="1"/>
  <c r="CD73" i="1"/>
  <c r="CU75" i="1"/>
  <c r="CU77" i="1" s="1"/>
  <c r="CC73" i="1"/>
  <c r="BB34" i="21"/>
  <c r="BB13" i="21"/>
  <c r="BB81" i="21"/>
  <c r="BB53" i="2"/>
  <c r="BB37" i="2"/>
  <c r="BB47" i="2" s="1"/>
  <c r="BB27" i="2"/>
  <c r="CT73" i="1"/>
  <c r="BB79" i="1"/>
  <c r="BG89" i="1"/>
  <c r="BF89" i="1"/>
  <c r="BI49" i="1"/>
  <c r="CU49" i="1"/>
  <c r="CJ64" i="1"/>
  <c r="BI40" i="1"/>
  <c r="CU40" i="1"/>
  <c r="BF42" i="1"/>
  <c r="CA28" i="1"/>
  <c r="BY28" i="1"/>
  <c r="BW28" i="1"/>
  <c r="BU28" i="1"/>
  <c r="BS28" i="1"/>
  <c r="BQ28" i="1"/>
  <c r="BI25" i="1"/>
  <c r="CU25" i="1"/>
  <c r="CS28" i="1"/>
  <c r="CO28" i="1"/>
  <c r="CM28" i="1"/>
  <c r="CK28" i="1"/>
  <c r="CI28" i="1"/>
  <c r="BT64" i="1" l="1"/>
  <c r="BE12" i="21"/>
  <c r="CK64" i="1"/>
  <c r="CL64" i="1"/>
  <c r="BO75" i="1"/>
  <c r="CF75" i="1" s="1"/>
  <c r="CF73" i="1" s="1"/>
  <c r="BD142" i="21"/>
  <c r="BD143" i="21" s="1"/>
  <c r="BR64" i="1"/>
  <c r="BE33" i="21"/>
  <c r="BB66" i="1"/>
  <c r="BC65" i="1"/>
  <c r="BJ49" i="1"/>
  <c r="BK49" i="1" s="1"/>
  <c r="BL49" i="1" s="1"/>
  <c r="BM49" i="1" s="1"/>
  <c r="BN49" i="1" s="1"/>
  <c r="BO49" i="1" s="1"/>
  <c r="BJ25" i="1"/>
  <c r="BK25" i="1" s="1"/>
  <c r="BL25" i="1" s="1"/>
  <c r="BM25" i="1" s="1"/>
  <c r="BN25" i="1" s="1"/>
  <c r="BO25" i="1" s="1"/>
  <c r="BJ40" i="1"/>
  <c r="BK40" i="1" s="1"/>
  <c r="BL40" i="1" s="1"/>
  <c r="BM40" i="1" s="1"/>
  <c r="BN40" i="1" s="1"/>
  <c r="BO40" i="1" s="1"/>
  <c r="CI64" i="1"/>
  <c r="BB70" i="1"/>
  <c r="BB82" i="1" s="1"/>
  <c r="BB89" i="1" s="1"/>
  <c r="BQ64" i="1"/>
  <c r="BO77" i="1"/>
  <c r="BH80" i="21"/>
  <c r="CU73" i="1"/>
  <c r="BB98" i="2"/>
  <c r="BB80" i="1"/>
  <c r="BB86" i="1"/>
  <c r="BB91" i="1"/>
  <c r="BK77" i="1"/>
  <c r="BK73" i="1"/>
  <c r="CE75" i="1"/>
  <c r="BG42" i="1"/>
  <c r="BF94" i="1"/>
  <c r="BI86" i="1"/>
  <c r="BH89" i="1"/>
  <c r="BB13" i="1"/>
  <c r="BB12" i="1"/>
  <c r="BF12" i="21" l="1"/>
  <c r="BF33" i="21"/>
  <c r="BO97" i="3"/>
  <c r="CF77" i="1"/>
  <c r="CF97" i="3" s="1"/>
  <c r="BO73" i="1"/>
  <c r="BB98" i="1"/>
  <c r="BB109" i="1" s="1"/>
  <c r="BB83" i="1"/>
  <c r="BB139" i="1"/>
  <c r="CV40" i="1"/>
  <c r="CV25" i="1"/>
  <c r="CV49" i="1"/>
  <c r="BB143" i="1"/>
  <c r="BB71" i="1"/>
  <c r="BI80" i="21"/>
  <c r="BB92" i="1"/>
  <c r="BB102" i="1"/>
  <c r="BB11" i="3" s="1"/>
  <c r="BB39" i="1"/>
  <c r="BB48" i="1"/>
  <c r="BJ86" i="1"/>
  <c r="BI89" i="1"/>
  <c r="BH42" i="1"/>
  <c r="BG94" i="1"/>
  <c r="CD42" i="1"/>
  <c r="CE77" i="1"/>
  <c r="CE73" i="1"/>
  <c r="BB99" i="1" l="1"/>
  <c r="BG33" i="21"/>
  <c r="BG12" i="21"/>
  <c r="BB107" i="1"/>
  <c r="BJ80" i="21"/>
  <c r="BI42" i="1"/>
  <c r="BH94" i="1"/>
  <c r="CU42" i="1"/>
  <c r="BK86" i="1"/>
  <c r="BJ89" i="1"/>
  <c r="BH12" i="21" l="1"/>
  <c r="BH33" i="21"/>
  <c r="BK89" i="1"/>
  <c r="BL86" i="1"/>
  <c r="BK80" i="21"/>
  <c r="BL80" i="21" s="1"/>
  <c r="BJ42" i="1"/>
  <c r="BI94" i="1"/>
  <c r="BI33" i="21" l="1"/>
  <c r="BJ33" i="21" s="1"/>
  <c r="BK33" i="21" s="1"/>
  <c r="BL33" i="21" s="1"/>
  <c r="BI12" i="21"/>
  <c r="BJ12" i="21" s="1"/>
  <c r="BK12" i="21" s="1"/>
  <c r="BL12" i="21" s="1"/>
  <c r="BM80" i="21"/>
  <c r="BL83" i="21"/>
  <c r="BL89" i="1"/>
  <c r="BM86" i="1"/>
  <c r="BK42" i="1"/>
  <c r="BJ94" i="1"/>
  <c r="BM12" i="21" l="1"/>
  <c r="BL15" i="21"/>
  <c r="BM33" i="21"/>
  <c r="BL36" i="21"/>
  <c r="BN80" i="21"/>
  <c r="BM83" i="21"/>
  <c r="BM89" i="1"/>
  <c r="BN86" i="1"/>
  <c r="BK94" i="1"/>
  <c r="BL42" i="1"/>
  <c r="CE42" i="1"/>
  <c r="BN33" i="21" l="1"/>
  <c r="BM36" i="21"/>
  <c r="BN12" i="21"/>
  <c r="BM15" i="21"/>
  <c r="CV42" i="1"/>
  <c r="CV94" i="1" s="1"/>
  <c r="BO80" i="21"/>
  <c r="CF80" i="21" s="1"/>
  <c r="BN83" i="21"/>
  <c r="BL94" i="1"/>
  <c r="BM42" i="1"/>
  <c r="BN89" i="1"/>
  <c r="BO86" i="1"/>
  <c r="BO89" i="1" s="1"/>
  <c r="CF12" i="21" l="1"/>
  <c r="BO12" i="21"/>
  <c r="BO15" i="21" s="1"/>
  <c r="BN15" i="21"/>
  <c r="BO33" i="21"/>
  <c r="BN36" i="21"/>
  <c r="BO83" i="21"/>
  <c r="BN42" i="1"/>
  <c r="BM94" i="1"/>
  <c r="CF33" i="21" l="1"/>
  <c r="BO36" i="21"/>
  <c r="BO42" i="1"/>
  <c r="BO94" i="1" s="1"/>
  <c r="BN94" i="1"/>
  <c r="CF42" i="1" l="1"/>
  <c r="CF94" i="1" s="1"/>
  <c r="AG343" i="21" l="1"/>
  <c r="BX321" i="21"/>
  <c r="BW321" i="21"/>
  <c r="BV321" i="21"/>
  <c r="BU321" i="21"/>
  <c r="BT321" i="21"/>
  <c r="BS321" i="21"/>
  <c r="BR321" i="21"/>
  <c r="BA321" i="21"/>
  <c r="AZ321" i="21"/>
  <c r="AY321" i="21"/>
  <c r="AX321" i="21"/>
  <c r="AW321" i="21"/>
  <c r="AV321" i="21"/>
  <c r="AU321" i="21"/>
  <c r="AT321" i="21"/>
  <c r="AS321" i="21"/>
  <c r="AR321" i="21"/>
  <c r="AQ321" i="21"/>
  <c r="AP321" i="21"/>
  <c r="AO321" i="21"/>
  <c r="AN321" i="21"/>
  <c r="AM321" i="21"/>
  <c r="AL321" i="21"/>
  <c r="AK321" i="21"/>
  <c r="AJ321" i="21"/>
  <c r="AI321" i="21"/>
  <c r="AH321" i="21"/>
  <c r="AG321" i="21"/>
  <c r="AF321" i="21"/>
  <c r="AE321" i="21"/>
  <c r="AD321" i="21"/>
  <c r="AC321" i="21"/>
  <c r="AB321" i="21"/>
  <c r="AA321" i="21"/>
  <c r="Z321" i="21"/>
  <c r="Y321" i="21"/>
  <c r="X321" i="21"/>
  <c r="W321" i="21"/>
  <c r="V321" i="21"/>
  <c r="U321" i="21"/>
  <c r="T321" i="21"/>
  <c r="S321" i="21"/>
  <c r="R321" i="21"/>
  <c r="Q321" i="21"/>
  <c r="P321" i="21"/>
  <c r="O321" i="21"/>
  <c r="N321" i="21"/>
  <c r="M321" i="21"/>
  <c r="L321" i="21"/>
  <c r="K321" i="21"/>
  <c r="J321" i="21"/>
  <c r="I321" i="21"/>
  <c r="H321" i="21"/>
  <c r="G321" i="21"/>
  <c r="AF311" i="21"/>
  <c r="AE311" i="21"/>
  <c r="AD311" i="21"/>
  <c r="AC311" i="21"/>
  <c r="AB311" i="21"/>
  <c r="AA311" i="21"/>
  <c r="Z311" i="21"/>
  <c r="Y311" i="21"/>
  <c r="X311" i="21"/>
  <c r="W311" i="21"/>
  <c r="V311" i="21"/>
  <c r="U311" i="21"/>
  <c r="T311" i="21"/>
  <c r="S311" i="21"/>
  <c r="R311" i="21"/>
  <c r="Q311" i="21"/>
  <c r="P311" i="21"/>
  <c r="O311" i="21"/>
  <c r="N311" i="21"/>
  <c r="M311" i="21"/>
  <c r="L311" i="21"/>
  <c r="K311" i="21"/>
  <c r="J311" i="21"/>
  <c r="I311" i="21"/>
  <c r="H311" i="21"/>
  <c r="G311" i="21"/>
  <c r="F311" i="21"/>
  <c r="E311" i="21"/>
  <c r="D311" i="21"/>
  <c r="AF310" i="21"/>
  <c r="AE310" i="21"/>
  <c r="AD310" i="21"/>
  <c r="AC310" i="21"/>
  <c r="AB310" i="21"/>
  <c r="AA310" i="21"/>
  <c r="Z310" i="21"/>
  <c r="Y310" i="21"/>
  <c r="X310" i="21"/>
  <c r="W310" i="21"/>
  <c r="V310" i="21"/>
  <c r="U310" i="21"/>
  <c r="T310" i="21"/>
  <c r="S310" i="21"/>
  <c r="R310" i="21"/>
  <c r="Q310" i="21"/>
  <c r="P310" i="21"/>
  <c r="O310" i="21"/>
  <c r="N310" i="21"/>
  <c r="M310" i="21"/>
  <c r="L310" i="21"/>
  <c r="K310" i="21"/>
  <c r="J310" i="21"/>
  <c r="I310" i="21"/>
  <c r="H310" i="21"/>
  <c r="G310" i="21"/>
  <c r="F310" i="21"/>
  <c r="E310" i="21"/>
  <c r="D310" i="21"/>
  <c r="AF309" i="21"/>
  <c r="AE309" i="21"/>
  <c r="AD309" i="21"/>
  <c r="AC309" i="21"/>
  <c r="AB309" i="21"/>
  <c r="AA309" i="21"/>
  <c r="Z309" i="21"/>
  <c r="Y309" i="21"/>
  <c r="X309" i="21"/>
  <c r="W309" i="21"/>
  <c r="V309" i="21"/>
  <c r="U309" i="21"/>
  <c r="T309" i="21"/>
  <c r="S309" i="21"/>
  <c r="R309" i="21"/>
  <c r="Q309" i="21"/>
  <c r="P309" i="21"/>
  <c r="O309" i="21"/>
  <c r="N309" i="21"/>
  <c r="M309" i="21"/>
  <c r="L309" i="21"/>
  <c r="K309" i="21"/>
  <c r="J309" i="21"/>
  <c r="I309" i="21"/>
  <c r="H309" i="21"/>
  <c r="G309" i="21"/>
  <c r="F309" i="21"/>
  <c r="E309" i="21"/>
  <c r="D309" i="21"/>
  <c r="AF308" i="21"/>
  <c r="AE308" i="21"/>
  <c r="AD308" i="21"/>
  <c r="AC308" i="21"/>
  <c r="AB308" i="21"/>
  <c r="AA308" i="21"/>
  <c r="Z308" i="21"/>
  <c r="Y308" i="21"/>
  <c r="X308" i="21"/>
  <c r="W308" i="21"/>
  <c r="V308" i="21"/>
  <c r="U308" i="21"/>
  <c r="T308" i="21"/>
  <c r="S308" i="21"/>
  <c r="R308" i="21"/>
  <c r="Q308" i="21"/>
  <c r="P308" i="21"/>
  <c r="O308" i="21"/>
  <c r="N308" i="21"/>
  <c r="M308" i="21"/>
  <c r="L308" i="21"/>
  <c r="K308" i="21"/>
  <c r="J308" i="21"/>
  <c r="I308" i="21"/>
  <c r="H308" i="21"/>
  <c r="G308" i="21"/>
  <c r="F308" i="21"/>
  <c r="E308" i="21"/>
  <c r="D308" i="21"/>
  <c r="AF307" i="21"/>
  <c r="AE307" i="21"/>
  <c r="AD307" i="21"/>
  <c r="AC307" i="21"/>
  <c r="AB307" i="21"/>
  <c r="AA307" i="21"/>
  <c r="Z307" i="21"/>
  <c r="Y307" i="21"/>
  <c r="X307" i="21"/>
  <c r="W307" i="21"/>
  <c r="V307" i="21"/>
  <c r="U307" i="21"/>
  <c r="T307" i="21"/>
  <c r="S307" i="21"/>
  <c r="R307" i="21"/>
  <c r="Q307" i="21"/>
  <c r="P307" i="21"/>
  <c r="O307" i="21"/>
  <c r="N307" i="21"/>
  <c r="M307" i="21"/>
  <c r="L307" i="21"/>
  <c r="K307" i="21"/>
  <c r="J307" i="21"/>
  <c r="I307" i="21"/>
  <c r="H307" i="21"/>
  <c r="G307" i="21"/>
  <c r="F307" i="21"/>
  <c r="E307" i="21"/>
  <c r="D307" i="21"/>
  <c r="AF304" i="21"/>
  <c r="AE304" i="21"/>
  <c r="AD304" i="21"/>
  <c r="AC304" i="21"/>
  <c r="AB304" i="21"/>
  <c r="AA304" i="21"/>
  <c r="Z304" i="21"/>
  <c r="Y304" i="21"/>
  <c r="X304" i="21"/>
  <c r="W304" i="21"/>
  <c r="V304" i="21"/>
  <c r="U304" i="21"/>
  <c r="T304" i="21"/>
  <c r="S304" i="21"/>
  <c r="R304" i="21"/>
  <c r="Q304" i="21"/>
  <c r="P304" i="21"/>
  <c r="O304" i="21"/>
  <c r="N304" i="21"/>
  <c r="M304" i="21"/>
  <c r="L304" i="21"/>
  <c r="K304" i="21"/>
  <c r="J304" i="21"/>
  <c r="I304" i="21"/>
  <c r="H304" i="21"/>
  <c r="G304" i="21"/>
  <c r="F304" i="21"/>
  <c r="E304" i="21"/>
  <c r="D304" i="21"/>
  <c r="BW303" i="21"/>
  <c r="BV303" i="21"/>
  <c r="BU303" i="21"/>
  <c r="BT303" i="21"/>
  <c r="BS303" i="21"/>
  <c r="BR303" i="21"/>
  <c r="BQ303" i="21"/>
  <c r="BW302" i="21"/>
  <c r="BV302" i="21"/>
  <c r="BU302" i="21"/>
  <c r="BT302" i="21"/>
  <c r="BS302" i="21"/>
  <c r="BR302" i="21"/>
  <c r="BQ302" i="21"/>
  <c r="BW301" i="21"/>
  <c r="BV301" i="21"/>
  <c r="BU301" i="21"/>
  <c r="BT301" i="21"/>
  <c r="BS301" i="21"/>
  <c r="BR301" i="21"/>
  <c r="BQ301" i="21"/>
  <c r="BW300" i="21"/>
  <c r="BV300" i="21"/>
  <c r="BU300" i="21"/>
  <c r="BT300" i="21"/>
  <c r="BS300" i="21"/>
  <c r="BR300" i="21"/>
  <c r="BQ300" i="21"/>
  <c r="BW299" i="21"/>
  <c r="BV299" i="21"/>
  <c r="BU299" i="21"/>
  <c r="BT299" i="21"/>
  <c r="BS299" i="21"/>
  <c r="BR299" i="21"/>
  <c r="BQ299" i="21"/>
  <c r="AP296" i="21"/>
  <c r="AN296" i="21"/>
  <c r="AM296" i="21"/>
  <c r="AJ296" i="21"/>
  <c r="AF296" i="21"/>
  <c r="AF312" i="21" s="1"/>
  <c r="AE296" i="21"/>
  <c r="AE312" i="21" s="1"/>
  <c r="AD296" i="21"/>
  <c r="AD312" i="21" s="1"/>
  <c r="AC296" i="21"/>
  <c r="AC312" i="21" s="1"/>
  <c r="AB296" i="21"/>
  <c r="AB312" i="21" s="1"/>
  <c r="AA296" i="21"/>
  <c r="AA312" i="21" s="1"/>
  <c r="Z296" i="21"/>
  <c r="Z312" i="21" s="1"/>
  <c r="Y296" i="21"/>
  <c r="Y312" i="21" s="1"/>
  <c r="X296" i="21"/>
  <c r="X312" i="21" s="1"/>
  <c r="W296" i="21"/>
  <c r="W312" i="21" s="1"/>
  <c r="V296" i="21"/>
  <c r="V312" i="21" s="1"/>
  <c r="U296" i="21"/>
  <c r="U312" i="21" s="1"/>
  <c r="T296" i="21"/>
  <c r="T312" i="21" s="1"/>
  <c r="S296" i="21"/>
  <c r="S312" i="21" s="1"/>
  <c r="R296" i="21"/>
  <c r="R312" i="21" s="1"/>
  <c r="Q296" i="21"/>
  <c r="Q312" i="21" s="1"/>
  <c r="P296" i="21"/>
  <c r="P312" i="21" s="1"/>
  <c r="O296" i="21"/>
  <c r="O312" i="21" s="1"/>
  <c r="N296" i="21"/>
  <c r="N312" i="21" s="1"/>
  <c r="M296" i="21"/>
  <c r="M312" i="21" s="1"/>
  <c r="L296" i="21"/>
  <c r="L312" i="21" s="1"/>
  <c r="K296" i="21"/>
  <c r="K312" i="21" s="1"/>
  <c r="J296" i="21"/>
  <c r="J312" i="21" s="1"/>
  <c r="I296" i="21"/>
  <c r="I312" i="21" s="1"/>
  <c r="H296" i="21"/>
  <c r="H312" i="21" s="1"/>
  <c r="G296" i="21"/>
  <c r="G312" i="21" s="1"/>
  <c r="F296" i="21"/>
  <c r="F312" i="21" s="1"/>
  <c r="E296" i="21"/>
  <c r="E312" i="21" s="1"/>
  <c r="D296" i="21"/>
  <c r="D312" i="21" s="1"/>
  <c r="BW295" i="21"/>
  <c r="BW311" i="21" s="1"/>
  <c r="BV295" i="21"/>
  <c r="BV311" i="21" s="1"/>
  <c r="BU295" i="21"/>
  <c r="BU311" i="21" s="1"/>
  <c r="BT295" i="21"/>
  <c r="BT311" i="21" s="1"/>
  <c r="BS295" i="21"/>
  <c r="BS311" i="21" s="1"/>
  <c r="BR295" i="21"/>
  <c r="BR311" i="21" s="1"/>
  <c r="BQ295" i="21"/>
  <c r="BQ311" i="21" s="1"/>
  <c r="BW294" i="21"/>
  <c r="BW310" i="21" s="1"/>
  <c r="BV294" i="21"/>
  <c r="BV310" i="21" s="1"/>
  <c r="BU294" i="21"/>
  <c r="BU310" i="21" s="1"/>
  <c r="BT294" i="21"/>
  <c r="BT310" i="21" s="1"/>
  <c r="BS294" i="21"/>
  <c r="BS310" i="21" s="1"/>
  <c r="BR294" i="21"/>
  <c r="BR310" i="21" s="1"/>
  <c r="BQ294" i="21"/>
  <c r="BQ310" i="21" s="1"/>
  <c r="BW293" i="21"/>
  <c r="BW309" i="21" s="1"/>
  <c r="BV293" i="21"/>
  <c r="BV309" i="21" s="1"/>
  <c r="BU293" i="21"/>
  <c r="BU309" i="21" s="1"/>
  <c r="BT293" i="21"/>
  <c r="BT309" i="21" s="1"/>
  <c r="BS293" i="21"/>
  <c r="BS309" i="21" s="1"/>
  <c r="BR293" i="21"/>
  <c r="BR309" i="21" s="1"/>
  <c r="BQ293" i="21"/>
  <c r="BQ309" i="21" s="1"/>
  <c r="BW292" i="21"/>
  <c r="BW308" i="21" s="1"/>
  <c r="BV292" i="21"/>
  <c r="BV308" i="21" s="1"/>
  <c r="BU292" i="21"/>
  <c r="BT292" i="21"/>
  <c r="BT308" i="21" s="1"/>
  <c r="BS292" i="21"/>
  <c r="BS308" i="21" s="1"/>
  <c r="BR292" i="21"/>
  <c r="BR308" i="21" s="1"/>
  <c r="BQ292" i="21"/>
  <c r="BW291" i="21"/>
  <c r="BV291" i="21"/>
  <c r="BU291" i="21"/>
  <c r="BU307" i="21" s="1"/>
  <c r="BT291" i="21"/>
  <c r="BS291" i="21"/>
  <c r="BR291" i="21"/>
  <c r="BQ291" i="21"/>
  <c r="BQ307" i="21" s="1"/>
  <c r="BW284" i="21"/>
  <c r="BV284" i="21"/>
  <c r="BU284" i="21"/>
  <c r="BS284" i="21"/>
  <c r="BR284" i="21"/>
  <c r="BQ284" i="21"/>
  <c r="S284" i="21"/>
  <c r="BT284" i="21" s="1"/>
  <c r="B278" i="21"/>
  <c r="B277" i="21"/>
  <c r="B276" i="21"/>
  <c r="B275" i="21"/>
  <c r="B274" i="21"/>
  <c r="B273" i="21"/>
  <c r="BA268" i="21"/>
  <c r="AZ268" i="21"/>
  <c r="AX268" i="21"/>
  <c r="AW268" i="21"/>
  <c r="AV268" i="21"/>
  <c r="AT268" i="21"/>
  <c r="AS268" i="21"/>
  <c r="AR268" i="21"/>
  <c r="AP268" i="21"/>
  <c r="AO268" i="21"/>
  <c r="AN268" i="21"/>
  <c r="AL268" i="21"/>
  <c r="AK268" i="21"/>
  <c r="AJ268" i="21"/>
  <c r="AH268" i="21"/>
  <c r="AG268" i="21"/>
  <c r="AF268" i="21"/>
  <c r="AE268" i="21"/>
  <c r="AD268" i="21"/>
  <c r="AC268" i="21"/>
  <c r="AB268" i="21"/>
  <c r="AA268" i="21"/>
  <c r="Z268" i="21"/>
  <c r="Y268" i="21"/>
  <c r="X268" i="21"/>
  <c r="W268" i="21"/>
  <c r="V268" i="21"/>
  <c r="U268" i="21"/>
  <c r="T268" i="21"/>
  <c r="S268" i="21"/>
  <c r="R268" i="21"/>
  <c r="Q268" i="21"/>
  <c r="P268" i="21"/>
  <c r="O268" i="21"/>
  <c r="N268" i="21"/>
  <c r="M268" i="21"/>
  <c r="L268" i="21"/>
  <c r="AY267" i="21"/>
  <c r="AY266" i="21"/>
  <c r="AY265" i="21"/>
  <c r="AY264" i="21"/>
  <c r="AY263" i="21"/>
  <c r="AY262" i="21"/>
  <c r="AU267" i="21"/>
  <c r="AU266" i="21"/>
  <c r="AU265" i="21"/>
  <c r="AU264" i="21"/>
  <c r="AU263" i="21"/>
  <c r="AU262" i="21"/>
  <c r="AQ267" i="21"/>
  <c r="AQ266" i="21"/>
  <c r="AQ265" i="21"/>
  <c r="AQ264" i="21"/>
  <c r="AQ263" i="21"/>
  <c r="AQ262" i="21"/>
  <c r="AM267" i="21"/>
  <c r="AM266" i="21"/>
  <c r="AM265" i="21"/>
  <c r="AM264" i="21"/>
  <c r="AM263" i="21"/>
  <c r="AM262" i="21"/>
  <c r="AI267" i="21"/>
  <c r="BX267" i="21" s="1"/>
  <c r="AI266" i="21"/>
  <c r="BX266" i="21" s="1"/>
  <c r="AI265" i="21"/>
  <c r="BX265" i="21" s="1"/>
  <c r="AI264" i="21"/>
  <c r="BX264" i="21" s="1"/>
  <c r="AI263" i="21"/>
  <c r="AI262" i="21"/>
  <c r="BX262" i="21" s="1"/>
  <c r="BW267" i="21"/>
  <c r="BV267" i="21"/>
  <c r="BU267" i="21"/>
  <c r="BT267" i="21"/>
  <c r="BS267" i="21"/>
  <c r="BR267" i="21"/>
  <c r="BW266" i="21"/>
  <c r="BV266" i="21"/>
  <c r="BU266" i="21"/>
  <c r="BT266" i="21"/>
  <c r="BS266" i="21"/>
  <c r="BR266" i="21"/>
  <c r="BW265" i="21"/>
  <c r="BV265" i="21"/>
  <c r="BU265" i="21"/>
  <c r="BT265" i="21"/>
  <c r="BS265" i="21"/>
  <c r="BR265" i="21"/>
  <c r="BW264" i="21"/>
  <c r="BV264" i="21"/>
  <c r="BU264" i="21"/>
  <c r="BT264" i="21"/>
  <c r="BS264" i="21"/>
  <c r="BR264" i="21"/>
  <c r="BX263" i="21"/>
  <c r="BW263" i="21"/>
  <c r="BV263" i="21"/>
  <c r="BU263" i="21"/>
  <c r="BT263" i="21"/>
  <c r="BS263" i="21"/>
  <c r="BR263" i="21"/>
  <c r="BW262" i="21"/>
  <c r="BV262" i="21"/>
  <c r="BU262" i="21"/>
  <c r="BT262" i="21"/>
  <c r="BS262" i="21"/>
  <c r="BR262" i="21"/>
  <c r="B255" i="21"/>
  <c r="B254" i="21"/>
  <c r="B253" i="21"/>
  <c r="B252" i="21"/>
  <c r="B251" i="21"/>
  <c r="BA246" i="21"/>
  <c r="AZ246" i="21"/>
  <c r="AY246" i="21"/>
  <c r="AX246" i="21"/>
  <c r="AW246" i="21"/>
  <c r="AV246" i="21"/>
  <c r="AU246" i="21"/>
  <c r="AT246" i="21"/>
  <c r="AS246" i="21"/>
  <c r="AR246" i="21"/>
  <c r="AQ246" i="21"/>
  <c r="AP246" i="21"/>
  <c r="AO246" i="21"/>
  <c r="AN246" i="21"/>
  <c r="AM246" i="21"/>
  <c r="AL246" i="21"/>
  <c r="AK246" i="21"/>
  <c r="AJ246" i="21"/>
  <c r="AI246" i="21"/>
  <c r="AH246" i="21"/>
  <c r="AG246" i="21"/>
  <c r="AF246" i="21"/>
  <c r="AE246" i="21"/>
  <c r="AD246" i="21"/>
  <c r="AC246" i="21"/>
  <c r="AB246" i="21"/>
  <c r="AA246" i="21"/>
  <c r="Z246" i="21"/>
  <c r="Y246" i="21"/>
  <c r="X246" i="21"/>
  <c r="W246" i="21"/>
  <c r="V246" i="21"/>
  <c r="U246" i="21"/>
  <c r="T246" i="21"/>
  <c r="S246" i="21"/>
  <c r="R246" i="21"/>
  <c r="Q246" i="21"/>
  <c r="P246" i="21"/>
  <c r="O246" i="21"/>
  <c r="N246" i="21"/>
  <c r="M246" i="21"/>
  <c r="L246" i="21"/>
  <c r="K246" i="21"/>
  <c r="J246" i="21"/>
  <c r="I246" i="21"/>
  <c r="H246" i="21"/>
  <c r="BX245" i="21"/>
  <c r="BW245" i="21"/>
  <c r="BV245" i="21"/>
  <c r="BU245" i="21"/>
  <c r="BT245" i="21"/>
  <c r="BS245" i="21"/>
  <c r="BR245" i="21"/>
  <c r="BX244" i="21"/>
  <c r="BW244" i="21"/>
  <c r="BV244" i="21"/>
  <c r="BU244" i="21"/>
  <c r="BT244" i="21"/>
  <c r="BS244" i="21"/>
  <c r="BR244" i="21"/>
  <c r="BX243" i="21"/>
  <c r="BW243" i="21"/>
  <c r="BV243" i="21"/>
  <c r="BU243" i="21"/>
  <c r="BT243" i="21"/>
  <c r="BS243" i="21"/>
  <c r="BR243" i="21"/>
  <c r="BX242" i="21"/>
  <c r="BW242" i="21"/>
  <c r="BV242" i="21"/>
  <c r="BU242" i="21"/>
  <c r="BT242" i="21"/>
  <c r="BS242" i="21"/>
  <c r="BR242" i="21"/>
  <c r="BX241" i="21"/>
  <c r="BW241" i="21"/>
  <c r="BV241" i="21"/>
  <c r="BU241" i="21"/>
  <c r="BT241" i="21"/>
  <c r="BS241" i="21"/>
  <c r="BR241" i="21"/>
  <c r="BX240" i="21"/>
  <c r="BW240" i="21"/>
  <c r="BV240" i="21"/>
  <c r="BU240" i="21"/>
  <c r="BT240" i="21"/>
  <c r="BS240" i="21"/>
  <c r="BR240" i="21"/>
  <c r="BW235" i="21"/>
  <c r="BV235" i="21"/>
  <c r="BU235" i="21"/>
  <c r="BU237" i="21" s="1"/>
  <c r="BT235" i="21"/>
  <c r="BT237" i="21" s="1"/>
  <c r="BS235" i="21"/>
  <c r="BS237" i="21" s="1"/>
  <c r="BR235" i="21"/>
  <c r="BR237" i="21" s="1"/>
  <c r="BQ235" i="21"/>
  <c r="BQ237" i="21" s="1"/>
  <c r="B234" i="21"/>
  <c r="B233" i="21"/>
  <c r="B219" i="21"/>
  <c r="B218" i="21"/>
  <c r="B217" i="21"/>
  <c r="B216" i="21"/>
  <c r="B215" i="21"/>
  <c r="B214" i="21"/>
  <c r="B213" i="21"/>
  <c r="AG208" i="21"/>
  <c r="AQ206" i="21"/>
  <c r="AQ204" i="21"/>
  <c r="AQ202" i="21"/>
  <c r="AQ201" i="21"/>
  <c r="AQ200" i="21"/>
  <c r="L206" i="21"/>
  <c r="AP203" i="21"/>
  <c r="AP205" i="21" s="1"/>
  <c r="AO203" i="21"/>
  <c r="AO205" i="21" s="1"/>
  <c r="AN203" i="21"/>
  <c r="AM203" i="21"/>
  <c r="AL203" i="21"/>
  <c r="AL205" i="21" s="1"/>
  <c r="AK203" i="21"/>
  <c r="AK205" i="21" s="1"/>
  <c r="AK208" i="21" s="1"/>
  <c r="AJ203" i="21"/>
  <c r="AI203" i="21"/>
  <c r="AH203" i="21"/>
  <c r="AH205" i="21" s="1"/>
  <c r="AG203" i="21"/>
  <c r="AF203" i="21"/>
  <c r="AF205" i="21" s="1"/>
  <c r="AE203" i="21"/>
  <c r="AD203" i="21"/>
  <c r="AD205" i="21" s="1"/>
  <c r="AC203" i="21"/>
  <c r="AC205" i="21" s="1"/>
  <c r="AC208" i="21" s="1"/>
  <c r="AB203" i="21"/>
  <c r="AB205" i="21" s="1"/>
  <c r="AA203" i="21"/>
  <c r="Z203" i="21"/>
  <c r="Z205" i="21" s="1"/>
  <c r="Y203" i="21"/>
  <c r="Y205" i="21" s="1"/>
  <c r="X203" i="21"/>
  <c r="X205" i="21" s="1"/>
  <c r="W203" i="21"/>
  <c r="V203" i="21"/>
  <c r="U203" i="21"/>
  <c r="U205" i="21" s="1"/>
  <c r="T203" i="21"/>
  <c r="T205" i="21" s="1"/>
  <c r="S203" i="21"/>
  <c r="R203" i="21"/>
  <c r="R205" i="21" s="1"/>
  <c r="Q203" i="21"/>
  <c r="Q205" i="21" s="1"/>
  <c r="Q208" i="21" s="1"/>
  <c r="P203" i="21"/>
  <c r="P205" i="21" s="1"/>
  <c r="O203" i="21"/>
  <c r="N203" i="21"/>
  <c r="N205" i="21" s="1"/>
  <c r="M203" i="21"/>
  <c r="M205" i="21" s="1"/>
  <c r="L203" i="21"/>
  <c r="K203" i="21"/>
  <c r="J203" i="21"/>
  <c r="J205" i="21" s="1"/>
  <c r="I203" i="21"/>
  <c r="I205" i="21" s="1"/>
  <c r="I208" i="21" s="1"/>
  <c r="H203" i="21"/>
  <c r="H205" i="21" s="1"/>
  <c r="BX207" i="21"/>
  <c r="BW207" i="21"/>
  <c r="BV207" i="21"/>
  <c r="BU207" i="21"/>
  <c r="BT207" i="21"/>
  <c r="BS207" i="21"/>
  <c r="BR207" i="21"/>
  <c r="BX206" i="21"/>
  <c r="BW206" i="21"/>
  <c r="BV206" i="21"/>
  <c r="BU206" i="21"/>
  <c r="BT206" i="21"/>
  <c r="BS206" i="21"/>
  <c r="BR206" i="21"/>
  <c r="BX204" i="21"/>
  <c r="BW204" i="21"/>
  <c r="BV204" i="21"/>
  <c r="BU204" i="21"/>
  <c r="BT204" i="21"/>
  <c r="BS204" i="21"/>
  <c r="BR204" i="21"/>
  <c r="BX202" i="21"/>
  <c r="BW202" i="21"/>
  <c r="BV202" i="21"/>
  <c r="BU202" i="21"/>
  <c r="BT202" i="21"/>
  <c r="BS202" i="21"/>
  <c r="BR202" i="21"/>
  <c r="BX201" i="21"/>
  <c r="BW201" i="21"/>
  <c r="BV201" i="21"/>
  <c r="BU201" i="21"/>
  <c r="BT201" i="21"/>
  <c r="BS201" i="21"/>
  <c r="BR201" i="21"/>
  <c r="BX200" i="21"/>
  <c r="BW200" i="21"/>
  <c r="BV200" i="21"/>
  <c r="BU200" i="21"/>
  <c r="BT200" i="21"/>
  <c r="BS200" i="21"/>
  <c r="BR200" i="21"/>
  <c r="BQ184" i="21"/>
  <c r="AZ158" i="21"/>
  <c r="BD160" i="21" s="1"/>
  <c r="AY158" i="21"/>
  <c r="BC160" i="21" s="1"/>
  <c r="AX158" i="21"/>
  <c r="AW158" i="21"/>
  <c r="AV158" i="21"/>
  <c r="AU158" i="21"/>
  <c r="AT158" i="21"/>
  <c r="AS158" i="21"/>
  <c r="AR158" i="21"/>
  <c r="AQ158" i="21"/>
  <c r="AP158" i="21"/>
  <c r="AO158" i="21"/>
  <c r="AN158" i="21"/>
  <c r="AM158" i="21"/>
  <c r="AL158" i="21"/>
  <c r="AK158" i="21"/>
  <c r="AJ158" i="21"/>
  <c r="AI158" i="21"/>
  <c r="AH158" i="21"/>
  <c r="AG158" i="21"/>
  <c r="AF158" i="21"/>
  <c r="AE158" i="21"/>
  <c r="AD158" i="21"/>
  <c r="AC158" i="21"/>
  <c r="AB158" i="21"/>
  <c r="BA147" i="21"/>
  <c r="BA140" i="21"/>
  <c r="AZ140" i="21"/>
  <c r="AY140" i="21"/>
  <c r="AX140" i="21"/>
  <c r="AW140" i="21"/>
  <c r="AV140" i="21"/>
  <c r="AU140" i="21"/>
  <c r="AT140" i="21"/>
  <c r="AS140" i="21"/>
  <c r="AR140" i="21"/>
  <c r="AQ140" i="21"/>
  <c r="AP140" i="21"/>
  <c r="AO140" i="21"/>
  <c r="AN140" i="21"/>
  <c r="AM140" i="21"/>
  <c r="AL140" i="21"/>
  <c r="AK140" i="21"/>
  <c r="AJ140" i="21"/>
  <c r="AI140" i="21"/>
  <c r="AH140" i="21"/>
  <c r="AG140" i="21"/>
  <c r="AF140" i="21"/>
  <c r="AE140" i="21"/>
  <c r="AD140" i="21"/>
  <c r="AC140" i="21"/>
  <c r="AB140" i="21"/>
  <c r="AA140" i="21"/>
  <c r="Z140" i="21"/>
  <c r="Y140" i="21"/>
  <c r="X140" i="21"/>
  <c r="W140" i="21"/>
  <c r="V140" i="21"/>
  <c r="U140" i="21"/>
  <c r="T140" i="21"/>
  <c r="S140" i="21"/>
  <c r="S213" i="21" s="1"/>
  <c r="R140" i="21"/>
  <c r="Q140" i="21"/>
  <c r="P140" i="21"/>
  <c r="O140" i="21"/>
  <c r="N140" i="21"/>
  <c r="M140" i="21"/>
  <c r="K140" i="21"/>
  <c r="K213" i="21" s="1"/>
  <c r="J140" i="21"/>
  <c r="I140" i="21"/>
  <c r="I215" i="21" s="1"/>
  <c r="H140" i="21"/>
  <c r="G140" i="21"/>
  <c r="F140" i="21"/>
  <c r="E140" i="21"/>
  <c r="D140" i="21"/>
  <c r="AZ136" i="21"/>
  <c r="BQ122" i="21"/>
  <c r="CD117" i="21"/>
  <c r="CC117" i="21"/>
  <c r="CB117" i="21"/>
  <c r="CA117" i="21"/>
  <c r="BZ117" i="21"/>
  <c r="BY117" i="21"/>
  <c r="BX117" i="21"/>
  <c r="BW117" i="21"/>
  <c r="BV117" i="21"/>
  <c r="BQ117" i="21"/>
  <c r="CD112" i="21"/>
  <c r="CC112" i="21"/>
  <c r="CB112" i="21"/>
  <c r="CA112" i="21"/>
  <c r="BZ112" i="21"/>
  <c r="BY112" i="21"/>
  <c r="BX112" i="21"/>
  <c r="BW112" i="21"/>
  <c r="BV112" i="21"/>
  <c r="BQ112" i="21"/>
  <c r="W112" i="21"/>
  <c r="W117" i="21" s="1"/>
  <c r="V112" i="21"/>
  <c r="V117" i="21" s="1"/>
  <c r="U112" i="21"/>
  <c r="T112" i="21"/>
  <c r="T117" i="21" s="1"/>
  <c r="S112" i="21"/>
  <c r="S117" i="21" s="1"/>
  <c r="R112" i="21"/>
  <c r="R117" i="21" s="1"/>
  <c r="Q112" i="21"/>
  <c r="P112" i="21"/>
  <c r="P117" i="21" s="1"/>
  <c r="O112" i="21"/>
  <c r="O117" i="21" s="1"/>
  <c r="N112" i="21"/>
  <c r="N117" i="21" s="1"/>
  <c r="M112" i="21"/>
  <c r="L112" i="21"/>
  <c r="L117" i="21" s="1"/>
  <c r="K112" i="21"/>
  <c r="K117" i="21" s="1"/>
  <c r="J112" i="21"/>
  <c r="J117" i="21" s="1"/>
  <c r="I112" i="21"/>
  <c r="H112" i="21"/>
  <c r="H117" i="21" s="1"/>
  <c r="CD107" i="21"/>
  <c r="CC107" i="21"/>
  <c r="CB107" i="21"/>
  <c r="CA107" i="21"/>
  <c r="BZ107" i="21"/>
  <c r="BY107" i="21"/>
  <c r="BX107" i="21"/>
  <c r="BW107" i="21"/>
  <c r="BV107" i="21"/>
  <c r="BQ107" i="21"/>
  <c r="CD101" i="21"/>
  <c r="CE101" i="21" s="1"/>
  <c r="CC101" i="21"/>
  <c r="CB101" i="21"/>
  <c r="CA101" i="21"/>
  <c r="BZ101" i="21"/>
  <c r="BY101" i="21"/>
  <c r="BX101" i="21"/>
  <c r="BW101" i="21"/>
  <c r="BV101" i="21"/>
  <c r="BQ101" i="21"/>
  <c r="W101" i="21"/>
  <c r="V101" i="21"/>
  <c r="U101" i="21"/>
  <c r="T101" i="21"/>
  <c r="S101" i="21"/>
  <c r="R101" i="21"/>
  <c r="Q101" i="21"/>
  <c r="P101" i="21"/>
  <c r="O101" i="21"/>
  <c r="N101" i="21"/>
  <c r="M101" i="21"/>
  <c r="L101" i="21"/>
  <c r="K101" i="21"/>
  <c r="J101" i="21"/>
  <c r="I101" i="21"/>
  <c r="H101" i="21"/>
  <c r="AZ96" i="21"/>
  <c r="AY96" i="21"/>
  <c r="AX96" i="21"/>
  <c r="AW96" i="21"/>
  <c r="AV96" i="21"/>
  <c r="AU96" i="21"/>
  <c r="AT96" i="21"/>
  <c r="AS96" i="21"/>
  <c r="AR96" i="21"/>
  <c r="AQ96" i="21"/>
  <c r="AP96" i="21"/>
  <c r="AO96" i="21"/>
  <c r="AN96" i="21"/>
  <c r="AM96" i="21"/>
  <c r="AL96" i="21"/>
  <c r="AK96" i="21"/>
  <c r="AJ96" i="21"/>
  <c r="AI96" i="21"/>
  <c r="AH96" i="21"/>
  <c r="AG96" i="21"/>
  <c r="AF96" i="21"/>
  <c r="AE96" i="21"/>
  <c r="AD96" i="21"/>
  <c r="AC96" i="21"/>
  <c r="AB96" i="21"/>
  <c r="AA96" i="21"/>
  <c r="Z96" i="21"/>
  <c r="Y96" i="21"/>
  <c r="X96" i="21"/>
  <c r="W96" i="21"/>
  <c r="V96" i="21"/>
  <c r="U96" i="21"/>
  <c r="T96" i="21"/>
  <c r="S96" i="21"/>
  <c r="R96" i="21"/>
  <c r="Q96" i="21"/>
  <c r="P96" i="21"/>
  <c r="O96" i="21"/>
  <c r="AZ94" i="21"/>
  <c r="AY94" i="21"/>
  <c r="AX94" i="21"/>
  <c r="AW94" i="21"/>
  <c r="AV94" i="21"/>
  <c r="AU94" i="21"/>
  <c r="AT94" i="21"/>
  <c r="AS94" i="21"/>
  <c r="AR94" i="21"/>
  <c r="AQ94" i="21"/>
  <c r="AP94" i="21"/>
  <c r="AO94" i="21"/>
  <c r="AN94" i="21"/>
  <c r="AM94" i="21"/>
  <c r="AL94" i="21"/>
  <c r="AK94" i="21"/>
  <c r="AJ94" i="21"/>
  <c r="AI94" i="21"/>
  <c r="AH94" i="21"/>
  <c r="AG94" i="21"/>
  <c r="AF94" i="21"/>
  <c r="AE94" i="21"/>
  <c r="AD94" i="21"/>
  <c r="AC94" i="21"/>
  <c r="AB94" i="21"/>
  <c r="AA94" i="21"/>
  <c r="Z94" i="21"/>
  <c r="Y94" i="21"/>
  <c r="X94" i="21"/>
  <c r="W94" i="21"/>
  <c r="V94" i="21"/>
  <c r="U94" i="21"/>
  <c r="T94" i="21"/>
  <c r="S94" i="21"/>
  <c r="R94" i="21"/>
  <c r="Q94" i="21"/>
  <c r="P94" i="21"/>
  <c r="O94" i="21"/>
  <c r="N94" i="21"/>
  <c r="M94" i="21"/>
  <c r="L94" i="21"/>
  <c r="BA93" i="21"/>
  <c r="BA87" i="21"/>
  <c r="AZ87" i="21"/>
  <c r="AY87" i="21"/>
  <c r="AX87" i="21"/>
  <c r="AW87" i="21"/>
  <c r="AV87" i="21"/>
  <c r="AU87" i="21"/>
  <c r="AT87" i="21"/>
  <c r="AS87" i="21"/>
  <c r="AR87" i="21"/>
  <c r="AQ87" i="21"/>
  <c r="AP87" i="21"/>
  <c r="AO87" i="21"/>
  <c r="AN87" i="21"/>
  <c r="AM87" i="21"/>
  <c r="AL87" i="21"/>
  <c r="AK87" i="21"/>
  <c r="AJ87" i="21"/>
  <c r="AI87" i="21"/>
  <c r="AH87" i="21"/>
  <c r="AG87" i="21"/>
  <c r="AF87" i="21"/>
  <c r="AE87" i="21"/>
  <c r="AD87" i="21"/>
  <c r="AC87" i="21"/>
  <c r="AB87" i="21"/>
  <c r="AA87" i="21"/>
  <c r="Z87" i="21"/>
  <c r="Y87" i="21"/>
  <c r="X87" i="21"/>
  <c r="W87" i="21"/>
  <c r="V87" i="21"/>
  <c r="U87" i="21"/>
  <c r="T87" i="21"/>
  <c r="S87" i="21"/>
  <c r="R87" i="21"/>
  <c r="Q87" i="21"/>
  <c r="P87" i="21"/>
  <c r="O87" i="21"/>
  <c r="N87" i="21"/>
  <c r="M87" i="21"/>
  <c r="L87" i="21"/>
  <c r="K87" i="21"/>
  <c r="J87" i="21"/>
  <c r="I87" i="21"/>
  <c r="H87" i="21"/>
  <c r="BQ80" i="21"/>
  <c r="AZ80" i="21"/>
  <c r="AY80" i="21"/>
  <c r="AX80" i="21"/>
  <c r="AW80" i="21"/>
  <c r="AV80" i="21"/>
  <c r="AU80" i="21"/>
  <c r="AT80" i="21"/>
  <c r="AS80" i="21"/>
  <c r="AR80" i="21"/>
  <c r="AQ80" i="21"/>
  <c r="AP80" i="21"/>
  <c r="AO80" i="21"/>
  <c r="AN80" i="21"/>
  <c r="AM80" i="21"/>
  <c r="AL80" i="21"/>
  <c r="AK80" i="21"/>
  <c r="AJ80" i="21"/>
  <c r="AI80" i="21"/>
  <c r="AH80" i="21"/>
  <c r="AG80" i="21"/>
  <c r="AF80" i="21"/>
  <c r="AE80" i="21"/>
  <c r="AD80" i="21"/>
  <c r="AC80" i="21"/>
  <c r="AB80" i="21"/>
  <c r="AA80" i="21"/>
  <c r="Z80" i="21"/>
  <c r="Y80" i="21"/>
  <c r="X80" i="21"/>
  <c r="W80" i="21"/>
  <c r="V80" i="21"/>
  <c r="U80" i="21"/>
  <c r="T80" i="21"/>
  <c r="S80" i="21"/>
  <c r="R80" i="21"/>
  <c r="Q80" i="21"/>
  <c r="P80" i="21"/>
  <c r="O80" i="21"/>
  <c r="N80" i="21"/>
  <c r="M80" i="21"/>
  <c r="L80" i="21"/>
  <c r="K80" i="21"/>
  <c r="J80" i="21"/>
  <c r="I80" i="21"/>
  <c r="H80" i="21"/>
  <c r="AZ75" i="21"/>
  <c r="AY75" i="21"/>
  <c r="AX75" i="21"/>
  <c r="AW75" i="21"/>
  <c r="AV75" i="21"/>
  <c r="AU75" i="21"/>
  <c r="AT75" i="21"/>
  <c r="AS75" i="21"/>
  <c r="AR75" i="21"/>
  <c r="AQ75" i="21"/>
  <c r="AP75" i="21"/>
  <c r="AO75" i="21"/>
  <c r="AN75" i="21"/>
  <c r="AM75" i="21"/>
  <c r="AL75" i="21"/>
  <c r="AK75" i="21"/>
  <c r="AJ75" i="21"/>
  <c r="AI75" i="21"/>
  <c r="AH75" i="21"/>
  <c r="AG75" i="21"/>
  <c r="AF75" i="21"/>
  <c r="AE75" i="21"/>
  <c r="AD75" i="21"/>
  <c r="AC75" i="21"/>
  <c r="AB75" i="21"/>
  <c r="AA75" i="21"/>
  <c r="Z75" i="21"/>
  <c r="Y75" i="21"/>
  <c r="X75" i="21"/>
  <c r="W75" i="21"/>
  <c r="V75" i="21"/>
  <c r="U75" i="21"/>
  <c r="T75" i="21"/>
  <c r="S75" i="21"/>
  <c r="R75" i="21"/>
  <c r="Q75" i="21"/>
  <c r="P75" i="21"/>
  <c r="O75" i="21"/>
  <c r="AZ73" i="21"/>
  <c r="AY73" i="21"/>
  <c r="AX73" i="21"/>
  <c r="AW73" i="21"/>
  <c r="AV73" i="21"/>
  <c r="AU73" i="21"/>
  <c r="AT73" i="21"/>
  <c r="AS73" i="21"/>
  <c r="AR73" i="21"/>
  <c r="AQ73" i="21"/>
  <c r="AP73" i="21"/>
  <c r="AO73" i="21"/>
  <c r="AN73" i="21"/>
  <c r="AM73" i="21"/>
  <c r="AL73" i="21"/>
  <c r="AK73" i="21"/>
  <c r="AJ73" i="21"/>
  <c r="AI73" i="21"/>
  <c r="AH73" i="21"/>
  <c r="AG73" i="21"/>
  <c r="AF73" i="21"/>
  <c r="AE73" i="21"/>
  <c r="AD73" i="21"/>
  <c r="AC73" i="21"/>
  <c r="AB73" i="21"/>
  <c r="AA73" i="21"/>
  <c r="Z73" i="21"/>
  <c r="Y73" i="21"/>
  <c r="X73" i="21"/>
  <c r="W73" i="21"/>
  <c r="V73" i="21"/>
  <c r="U73" i="21"/>
  <c r="T73" i="21"/>
  <c r="S73" i="21"/>
  <c r="R73" i="21"/>
  <c r="Q73" i="21"/>
  <c r="P73" i="21"/>
  <c r="O73" i="21"/>
  <c r="N73" i="21"/>
  <c r="M73" i="21"/>
  <c r="L73" i="21"/>
  <c r="BA72" i="21"/>
  <c r="BA61" i="21"/>
  <c r="AY61" i="21"/>
  <c r="AX61" i="21"/>
  <c r="AW61" i="21"/>
  <c r="AV61" i="21"/>
  <c r="AU61" i="21"/>
  <c r="AT61" i="21"/>
  <c r="AS61" i="21"/>
  <c r="AR61" i="21"/>
  <c r="AQ61" i="21"/>
  <c r="AP61" i="21"/>
  <c r="AO61" i="21"/>
  <c r="AN61" i="21"/>
  <c r="AM61" i="21"/>
  <c r="AL61" i="21"/>
  <c r="AK61" i="21"/>
  <c r="AJ61" i="21"/>
  <c r="AI61" i="21"/>
  <c r="AH61" i="21"/>
  <c r="AG61" i="21"/>
  <c r="AF61" i="21"/>
  <c r="AE61" i="21"/>
  <c r="AD61" i="21"/>
  <c r="AC61" i="21"/>
  <c r="AB61" i="21"/>
  <c r="AA61" i="21"/>
  <c r="Z61" i="21"/>
  <c r="Y61" i="21"/>
  <c r="X61" i="21"/>
  <c r="W61" i="21"/>
  <c r="V61" i="21"/>
  <c r="U61" i="21"/>
  <c r="T61" i="21"/>
  <c r="S61" i="21"/>
  <c r="R61" i="21"/>
  <c r="Q61" i="21"/>
  <c r="P61" i="21"/>
  <c r="O61" i="21"/>
  <c r="N61" i="21"/>
  <c r="M61" i="21"/>
  <c r="L61" i="21"/>
  <c r="K61" i="21"/>
  <c r="J61" i="21"/>
  <c r="I61" i="21"/>
  <c r="H61" i="21"/>
  <c r="BQ54" i="21"/>
  <c r="AZ54" i="21"/>
  <c r="BD57" i="21" s="1"/>
  <c r="AY54" i="21"/>
  <c r="AX54" i="21"/>
  <c r="AW54" i="21"/>
  <c r="AV54" i="21"/>
  <c r="AU54" i="21"/>
  <c r="AT54" i="21"/>
  <c r="AS54" i="21"/>
  <c r="AR54" i="21"/>
  <c r="AQ54" i="21"/>
  <c r="AP54" i="21"/>
  <c r="AO54" i="21"/>
  <c r="AN54" i="21"/>
  <c r="AM54" i="21"/>
  <c r="AL54" i="21"/>
  <c r="AK54" i="21"/>
  <c r="AJ54" i="21"/>
  <c r="AI54" i="21"/>
  <c r="AH54" i="21"/>
  <c r="AG54" i="21"/>
  <c r="AF54" i="21"/>
  <c r="AE54" i="21"/>
  <c r="AD54" i="21"/>
  <c r="AC54" i="21"/>
  <c r="AB54" i="21"/>
  <c r="AA54" i="21"/>
  <c r="Z54" i="21"/>
  <c r="Y54" i="21"/>
  <c r="X54" i="21"/>
  <c r="W54" i="21"/>
  <c r="V54" i="21"/>
  <c r="U54" i="21"/>
  <c r="T54" i="21"/>
  <c r="S54" i="21"/>
  <c r="R54" i="21"/>
  <c r="Q54" i="21"/>
  <c r="P54" i="21"/>
  <c r="O54" i="21"/>
  <c r="N54" i="21"/>
  <c r="M54" i="21"/>
  <c r="L54" i="21"/>
  <c r="K54" i="21"/>
  <c r="J54" i="21"/>
  <c r="I54" i="21"/>
  <c r="H54" i="21"/>
  <c r="AZ49" i="21"/>
  <c r="AY49" i="21"/>
  <c r="AX49" i="21"/>
  <c r="AW49" i="21"/>
  <c r="AV49" i="21"/>
  <c r="AU49" i="21"/>
  <c r="AT49" i="21"/>
  <c r="AS49" i="21"/>
  <c r="AR49" i="21"/>
  <c r="AQ49" i="21"/>
  <c r="AP49" i="21"/>
  <c r="AO49" i="21"/>
  <c r="AN49" i="21"/>
  <c r="AM49" i="21"/>
  <c r="AL49" i="21"/>
  <c r="AK49" i="21"/>
  <c r="AJ49" i="21"/>
  <c r="AI49" i="21"/>
  <c r="AH49" i="21"/>
  <c r="AG49" i="21"/>
  <c r="AF49" i="21"/>
  <c r="AE49" i="21"/>
  <c r="AD49" i="21"/>
  <c r="AC49" i="21"/>
  <c r="AB49" i="21"/>
  <c r="AA49" i="21"/>
  <c r="Z49" i="21"/>
  <c r="Y49" i="21"/>
  <c r="X49" i="21"/>
  <c r="W49" i="21"/>
  <c r="V49" i="21"/>
  <c r="U49" i="21"/>
  <c r="T49" i="21"/>
  <c r="S49" i="21"/>
  <c r="R49" i="21"/>
  <c r="Q49" i="21"/>
  <c r="P49" i="21"/>
  <c r="O49" i="21"/>
  <c r="AZ47" i="21"/>
  <c r="AY47" i="21"/>
  <c r="AX47" i="21"/>
  <c r="AW47" i="21"/>
  <c r="AV47" i="21"/>
  <c r="AU47" i="21"/>
  <c r="AT47" i="21"/>
  <c r="AS47" i="21"/>
  <c r="AR47" i="21"/>
  <c r="AQ47" i="21"/>
  <c r="AP47" i="21"/>
  <c r="AO47" i="21"/>
  <c r="AN47" i="21"/>
  <c r="AM47" i="21"/>
  <c r="AL47" i="21"/>
  <c r="AK47" i="21"/>
  <c r="AJ47" i="21"/>
  <c r="AI47" i="21"/>
  <c r="AH47" i="21"/>
  <c r="AG47" i="21"/>
  <c r="AF47" i="21"/>
  <c r="AE47" i="21"/>
  <c r="AD47" i="21"/>
  <c r="AC47" i="21"/>
  <c r="AB47" i="21"/>
  <c r="AA47" i="21"/>
  <c r="Z47" i="21"/>
  <c r="Y47" i="21"/>
  <c r="X47" i="21"/>
  <c r="W47" i="21"/>
  <c r="V47" i="21"/>
  <c r="U47" i="21"/>
  <c r="T47" i="21"/>
  <c r="S47" i="21"/>
  <c r="R47" i="21"/>
  <c r="Q47" i="21"/>
  <c r="P47" i="21"/>
  <c r="O47" i="21"/>
  <c r="N47" i="21"/>
  <c r="M47" i="21"/>
  <c r="L47" i="21"/>
  <c r="BA46" i="21"/>
  <c r="AI43" i="21"/>
  <c r="AH43" i="21"/>
  <c r="AG43" i="21"/>
  <c r="AF43" i="21"/>
  <c r="AE43" i="21"/>
  <c r="AD43" i="21"/>
  <c r="AC43" i="21"/>
  <c r="AB43" i="21"/>
  <c r="AA43" i="21"/>
  <c r="Z43" i="21"/>
  <c r="Y43" i="21"/>
  <c r="X43" i="21"/>
  <c r="AI41" i="21"/>
  <c r="AH41" i="21"/>
  <c r="AG41" i="21"/>
  <c r="AF41" i="21"/>
  <c r="AE41" i="21"/>
  <c r="AD41" i="21"/>
  <c r="AC41" i="21"/>
  <c r="AB41" i="21"/>
  <c r="AA41" i="21"/>
  <c r="Z41" i="21"/>
  <c r="Y41" i="21"/>
  <c r="X41" i="21"/>
  <c r="W41" i="21"/>
  <c r="V41" i="21"/>
  <c r="U41" i="21"/>
  <c r="BA40" i="21"/>
  <c r="AZ40" i="21"/>
  <c r="AY40" i="21"/>
  <c r="AX40" i="21"/>
  <c r="AW40" i="21"/>
  <c r="AV40" i="21"/>
  <c r="AU40" i="21"/>
  <c r="AT40" i="21"/>
  <c r="AS40" i="21"/>
  <c r="AR40" i="21"/>
  <c r="AQ40" i="21"/>
  <c r="AP40" i="21"/>
  <c r="AO40" i="21"/>
  <c r="AN40" i="21"/>
  <c r="AM40" i="21"/>
  <c r="AL40" i="21"/>
  <c r="AK40" i="21"/>
  <c r="AK43" i="21" s="1"/>
  <c r="AJ40" i="21"/>
  <c r="AJ43" i="21" s="1"/>
  <c r="AI36" i="21"/>
  <c r="AH36" i="21"/>
  <c r="AG36" i="21"/>
  <c r="AF36" i="21"/>
  <c r="AE36" i="21"/>
  <c r="AD36" i="21"/>
  <c r="AC36" i="21"/>
  <c r="AB36" i="21"/>
  <c r="AA36" i="21"/>
  <c r="Z36" i="21"/>
  <c r="Y36" i="21"/>
  <c r="X36" i="21"/>
  <c r="BW33" i="21"/>
  <c r="AI34" i="21"/>
  <c r="AH34" i="21"/>
  <c r="AG34" i="21"/>
  <c r="AF34" i="21"/>
  <c r="AE34" i="21"/>
  <c r="AD34" i="21"/>
  <c r="AC34" i="21"/>
  <c r="AB34" i="21"/>
  <c r="AA34" i="21"/>
  <c r="Z34" i="21"/>
  <c r="Y34" i="21"/>
  <c r="X34" i="21"/>
  <c r="W34" i="21"/>
  <c r="V34" i="21"/>
  <c r="U34" i="21"/>
  <c r="BX33" i="21"/>
  <c r="BV33" i="21"/>
  <c r="BU33" i="21"/>
  <c r="BQ33" i="21"/>
  <c r="AZ33" i="21"/>
  <c r="AY33" i="21"/>
  <c r="AX33" i="21"/>
  <c r="AW33" i="21"/>
  <c r="AV33" i="21"/>
  <c r="AU33" i="21"/>
  <c r="AT33" i="21"/>
  <c r="AS33" i="21"/>
  <c r="AR33" i="21"/>
  <c r="AQ33" i="21"/>
  <c r="AP33" i="21"/>
  <c r="AO33" i="21"/>
  <c r="AN33" i="21"/>
  <c r="AM33" i="21"/>
  <c r="AL33" i="21"/>
  <c r="AK33" i="21"/>
  <c r="AJ33" i="21"/>
  <c r="S33" i="21"/>
  <c r="R33" i="21"/>
  <c r="Q33" i="21"/>
  <c r="P33" i="21"/>
  <c r="O33" i="21"/>
  <c r="N33" i="21"/>
  <c r="M33" i="21"/>
  <c r="L33" i="21"/>
  <c r="K33" i="21"/>
  <c r="J33" i="21"/>
  <c r="I33" i="21"/>
  <c r="H33" i="21"/>
  <c r="AZ28" i="21"/>
  <c r="AY28" i="21"/>
  <c r="AX28" i="21"/>
  <c r="AW28" i="21"/>
  <c r="AV28" i="21"/>
  <c r="AU28" i="21"/>
  <c r="AT28" i="21"/>
  <c r="AS28" i="21"/>
  <c r="AR28" i="21"/>
  <c r="AQ28" i="21"/>
  <c r="AP28" i="21"/>
  <c r="AO28" i="21"/>
  <c r="AN28" i="21"/>
  <c r="AM28" i="21"/>
  <c r="AL28" i="21"/>
  <c r="AK28" i="21"/>
  <c r="AJ28" i="21"/>
  <c r="AI28" i="21"/>
  <c r="AH28" i="21"/>
  <c r="AG28" i="21"/>
  <c r="AF28" i="21"/>
  <c r="AE28" i="21"/>
  <c r="AD28" i="21"/>
  <c r="AC28" i="21"/>
  <c r="AB28" i="21"/>
  <c r="AA28" i="21"/>
  <c r="Z28" i="21"/>
  <c r="Y28" i="21"/>
  <c r="X28" i="21"/>
  <c r="W28" i="21"/>
  <c r="V28" i="21"/>
  <c r="U28" i="21"/>
  <c r="T28" i="21"/>
  <c r="S28" i="21"/>
  <c r="R28" i="21"/>
  <c r="Q28" i="21"/>
  <c r="P28" i="21"/>
  <c r="O28" i="21"/>
  <c r="AZ26" i="21"/>
  <c r="AY26" i="21"/>
  <c r="AX26" i="21"/>
  <c r="AW26" i="21"/>
  <c r="AV26" i="21"/>
  <c r="AU26" i="21"/>
  <c r="AT26" i="21"/>
  <c r="AS26" i="21"/>
  <c r="AR26" i="21"/>
  <c r="AQ26" i="21"/>
  <c r="AP26" i="21"/>
  <c r="AO26" i="21"/>
  <c r="AN26" i="21"/>
  <c r="AM26" i="21"/>
  <c r="AL26" i="21"/>
  <c r="AK26" i="21"/>
  <c r="AJ26" i="21"/>
  <c r="AI26" i="21"/>
  <c r="AH26" i="21"/>
  <c r="AG26" i="21"/>
  <c r="AF26" i="21"/>
  <c r="AE26" i="21"/>
  <c r="AD26" i="21"/>
  <c r="AC26" i="21"/>
  <c r="AB26" i="21"/>
  <c r="AA26" i="21"/>
  <c r="Z26" i="21"/>
  <c r="Y26" i="21"/>
  <c r="X26" i="21"/>
  <c r="W26" i="21"/>
  <c r="V26" i="21"/>
  <c r="U26" i="21"/>
  <c r="T26" i="21"/>
  <c r="S26" i="21"/>
  <c r="AQ27" i="21" s="1"/>
  <c r="R26" i="21"/>
  <c r="Q26" i="21"/>
  <c r="P26" i="21"/>
  <c r="O26" i="21"/>
  <c r="N26" i="21"/>
  <c r="M26" i="21"/>
  <c r="L26" i="21"/>
  <c r="BA25" i="21"/>
  <c r="BA19" i="21"/>
  <c r="AZ19" i="21"/>
  <c r="AY19" i="21"/>
  <c r="AX19" i="21"/>
  <c r="AW19" i="21"/>
  <c r="AV19" i="21"/>
  <c r="AU19" i="21"/>
  <c r="AT19" i="21"/>
  <c r="AS19" i="21"/>
  <c r="AR19" i="21"/>
  <c r="AQ19" i="21"/>
  <c r="AP19" i="21"/>
  <c r="AO19" i="21"/>
  <c r="AN19" i="21"/>
  <c r="AM19" i="21"/>
  <c r="AL19" i="21"/>
  <c r="AK19" i="21"/>
  <c r="AJ19" i="21"/>
  <c r="AI19" i="21"/>
  <c r="AH19" i="21"/>
  <c r="AG19" i="21"/>
  <c r="AF19" i="21"/>
  <c r="AE19" i="21"/>
  <c r="AD19" i="21"/>
  <c r="AC19" i="21"/>
  <c r="AB19" i="21"/>
  <c r="AA19" i="21"/>
  <c r="Z19" i="21"/>
  <c r="Y19" i="21"/>
  <c r="X19" i="21"/>
  <c r="W19" i="21"/>
  <c r="V19" i="21"/>
  <c r="U19" i="21"/>
  <c r="T19" i="21"/>
  <c r="S19" i="21"/>
  <c r="R19" i="21"/>
  <c r="Q19" i="21"/>
  <c r="P19" i="21"/>
  <c r="O19" i="21"/>
  <c r="N19" i="21"/>
  <c r="M19" i="21"/>
  <c r="L19" i="21"/>
  <c r="K19" i="21"/>
  <c r="J19" i="21"/>
  <c r="I19" i="21"/>
  <c r="H19" i="21"/>
  <c r="BQ12" i="21"/>
  <c r="AZ12" i="21"/>
  <c r="AY12" i="21"/>
  <c r="AX12" i="21"/>
  <c r="AW12" i="21"/>
  <c r="AV12" i="21"/>
  <c r="AU12" i="21"/>
  <c r="AT12" i="21"/>
  <c r="AS12" i="21"/>
  <c r="AR12" i="21"/>
  <c r="AQ12" i="21"/>
  <c r="AP12" i="21"/>
  <c r="AO12" i="21"/>
  <c r="AN12" i="21"/>
  <c r="AM12" i="21"/>
  <c r="AL12" i="21"/>
  <c r="AK12" i="21"/>
  <c r="AJ12" i="21"/>
  <c r="AI12" i="21"/>
  <c r="AH12" i="21"/>
  <c r="AG12" i="21"/>
  <c r="AF12" i="21"/>
  <c r="AE12" i="21"/>
  <c r="AD12" i="21"/>
  <c r="AC12" i="21"/>
  <c r="AB12" i="21"/>
  <c r="AA12" i="21"/>
  <c r="Z12" i="21"/>
  <c r="Y12" i="21"/>
  <c r="X12" i="21"/>
  <c r="W12" i="21"/>
  <c r="V12" i="21"/>
  <c r="U12" i="21"/>
  <c r="T12" i="21"/>
  <c r="S12" i="21"/>
  <c r="R12" i="21"/>
  <c r="Q12" i="21"/>
  <c r="P12" i="21"/>
  <c r="O12" i="21"/>
  <c r="N12" i="21"/>
  <c r="M12" i="21"/>
  <c r="L12" i="21"/>
  <c r="K12" i="21"/>
  <c r="J12" i="21"/>
  <c r="I12" i="21"/>
  <c r="H12" i="21"/>
  <c r="CE9" i="21"/>
  <c r="CD9" i="21"/>
  <c r="CC9" i="21"/>
  <c r="CB9" i="21"/>
  <c r="CA9" i="21"/>
  <c r="BZ9" i="21"/>
  <c r="BY9" i="21"/>
  <c r="BX9" i="21"/>
  <c r="BW9" i="21"/>
  <c r="BV9" i="21"/>
  <c r="BU9" i="21"/>
  <c r="BT9" i="21"/>
  <c r="BS9" i="21"/>
  <c r="BR9" i="21"/>
  <c r="BQ9" i="21"/>
  <c r="BK9" i="21"/>
  <c r="BJ9" i="21"/>
  <c r="BI9" i="21"/>
  <c r="BH9" i="21"/>
  <c r="BG9" i="21"/>
  <c r="BF9" i="21"/>
  <c r="BE9" i="21"/>
  <c r="BD9" i="21"/>
  <c r="BC9" i="21"/>
  <c r="BB9" i="21"/>
  <c r="BA9" i="21"/>
  <c r="AZ9" i="21"/>
  <c r="AY9" i="21"/>
  <c r="AX9" i="21"/>
  <c r="AW9" i="21"/>
  <c r="AV9" i="21"/>
  <c r="AU9" i="21"/>
  <c r="AT9" i="21"/>
  <c r="AS9" i="21"/>
  <c r="AR9" i="21"/>
  <c r="AQ9" i="21"/>
  <c r="AP9" i="21"/>
  <c r="AO9" i="21"/>
  <c r="AN9" i="21"/>
  <c r="AM9" i="21"/>
  <c r="AL9" i="21"/>
  <c r="AK9" i="21"/>
  <c r="AJ9" i="21"/>
  <c r="AI9" i="21"/>
  <c r="AH9" i="21"/>
  <c r="AG9" i="21"/>
  <c r="AF9" i="21"/>
  <c r="AE9" i="21"/>
  <c r="AD9" i="21"/>
  <c r="AC9" i="21"/>
  <c r="AB9" i="21"/>
  <c r="AA9" i="21"/>
  <c r="Z9" i="21"/>
  <c r="Y9" i="21"/>
  <c r="X9" i="21"/>
  <c r="W9" i="21"/>
  <c r="V9" i="21"/>
  <c r="U9" i="21"/>
  <c r="T9" i="21"/>
  <c r="S9" i="21"/>
  <c r="R9" i="21"/>
  <c r="Q9" i="21"/>
  <c r="P9" i="21"/>
  <c r="O9" i="21"/>
  <c r="N9" i="21"/>
  <c r="M9" i="21"/>
  <c r="L9" i="21"/>
  <c r="K9" i="21"/>
  <c r="J9" i="21"/>
  <c r="I9" i="21"/>
  <c r="H9" i="21"/>
  <c r="G9" i="21"/>
  <c r="F9" i="21"/>
  <c r="E9" i="21"/>
  <c r="D9" i="21"/>
  <c r="BK8" i="21"/>
  <c r="BJ8" i="21"/>
  <c r="BI8" i="21"/>
  <c r="BH8" i="21"/>
  <c r="BG8" i="21"/>
  <c r="BF8" i="21"/>
  <c r="BE8" i="21"/>
  <c r="BD8" i="21"/>
  <c r="BC8" i="21"/>
  <c r="BB8" i="21"/>
  <c r="BA8" i="21"/>
  <c r="AZ8" i="21"/>
  <c r="AY8" i="21"/>
  <c r="AX8" i="21"/>
  <c r="AW8" i="21"/>
  <c r="AV8" i="21"/>
  <c r="AU8" i="21"/>
  <c r="AT8" i="21"/>
  <c r="AS8" i="21"/>
  <c r="AR8" i="21"/>
  <c r="AQ8" i="21"/>
  <c r="AP8" i="21"/>
  <c r="AO8" i="21"/>
  <c r="AN8" i="21"/>
  <c r="AM8" i="21"/>
  <c r="AL8" i="21"/>
  <c r="AK8" i="21"/>
  <c r="AJ8" i="21"/>
  <c r="AI8" i="21"/>
  <c r="AH8" i="21"/>
  <c r="AG8" i="21"/>
  <c r="AF8" i="21"/>
  <c r="AE8" i="21"/>
  <c r="AD8" i="21"/>
  <c r="AC8" i="21"/>
  <c r="AB8" i="21"/>
  <c r="AA8" i="21"/>
  <c r="Z8" i="21"/>
  <c r="Y8" i="21"/>
  <c r="X8" i="21"/>
  <c r="W8" i="21"/>
  <c r="V8" i="21"/>
  <c r="U8" i="21"/>
  <c r="T8" i="21"/>
  <c r="S8" i="21"/>
  <c r="R8" i="21"/>
  <c r="Q8" i="21"/>
  <c r="P8" i="21"/>
  <c r="O8" i="21"/>
  <c r="N8" i="21"/>
  <c r="M8" i="21"/>
  <c r="L8" i="21"/>
  <c r="K8" i="21"/>
  <c r="J8" i="21"/>
  <c r="I8" i="21"/>
  <c r="H8" i="21"/>
  <c r="G8" i="21"/>
  <c r="F8" i="21"/>
  <c r="E8" i="21"/>
  <c r="D8" i="21"/>
  <c r="BK7" i="21"/>
  <c r="BJ7" i="21"/>
  <c r="BI7" i="21"/>
  <c r="BH7" i="21"/>
  <c r="BG7" i="21"/>
  <c r="BF7" i="21"/>
  <c r="BE7" i="21"/>
  <c r="BD7" i="21"/>
  <c r="BC7" i="21"/>
  <c r="BB7" i="21"/>
  <c r="BA7" i="21"/>
  <c r="AZ7" i="21"/>
  <c r="AY7" i="21"/>
  <c r="AX7" i="21"/>
  <c r="AW7" i="21"/>
  <c r="AV7" i="21"/>
  <c r="AQ7" i="21"/>
  <c r="AP7" i="21"/>
  <c r="AO7" i="21"/>
  <c r="AN7" i="21"/>
  <c r="AM7" i="21"/>
  <c r="AL7" i="21"/>
  <c r="AK7" i="21"/>
  <c r="AJ7" i="21"/>
  <c r="AI7" i="21"/>
  <c r="AH7" i="21"/>
  <c r="AG7" i="21"/>
  <c r="AF7" i="21"/>
  <c r="AE7" i="21"/>
  <c r="AD7" i="21"/>
  <c r="AC7" i="21"/>
  <c r="AB7" i="21"/>
  <c r="AA7" i="21"/>
  <c r="Z7" i="21"/>
  <c r="Y7" i="21"/>
  <c r="X7" i="21"/>
  <c r="W7" i="21"/>
  <c r="V7" i="21"/>
  <c r="U7" i="21"/>
  <c r="T7" i="21"/>
  <c r="S7" i="21"/>
  <c r="R7" i="21"/>
  <c r="Q7" i="21"/>
  <c r="P7" i="21"/>
  <c r="O7" i="21"/>
  <c r="N7" i="21"/>
  <c r="M7" i="21"/>
  <c r="L7" i="21"/>
  <c r="K7" i="21"/>
  <c r="J7" i="21"/>
  <c r="I7" i="21"/>
  <c r="H7" i="21"/>
  <c r="G7" i="21"/>
  <c r="F7" i="21"/>
  <c r="E7" i="21"/>
  <c r="D7" i="21"/>
  <c r="B6" i="21"/>
  <c r="BP5" i="21"/>
  <c r="AG171" i="3"/>
  <c r="AZ163" i="3"/>
  <c r="AY163" i="3"/>
  <c r="AX163" i="3"/>
  <c r="AW163" i="3"/>
  <c r="AV163" i="3"/>
  <c r="AU163" i="3"/>
  <c r="AT163" i="3"/>
  <c r="AS163" i="3"/>
  <c r="AR163" i="3"/>
  <c r="AQ163" i="3"/>
  <c r="AP163" i="3"/>
  <c r="AO163" i="3"/>
  <c r="AN163" i="3"/>
  <c r="AM163" i="3"/>
  <c r="AL163" i="3"/>
  <c r="AK163" i="3"/>
  <c r="AJ163" i="3"/>
  <c r="AI163" i="3"/>
  <c r="AH163" i="3"/>
  <c r="AG163" i="3"/>
  <c r="AF163" i="3"/>
  <c r="AE163" i="3"/>
  <c r="AD163" i="3"/>
  <c r="AC163" i="3"/>
  <c r="AB163" i="3"/>
  <c r="AA163" i="3"/>
  <c r="Z163" i="3"/>
  <c r="Y163" i="3"/>
  <c r="X163" i="3"/>
  <c r="W163" i="3"/>
  <c r="V163" i="3"/>
  <c r="U163" i="3"/>
  <c r="T163" i="3"/>
  <c r="S163" i="3"/>
  <c r="R163" i="3"/>
  <c r="Q163" i="3"/>
  <c r="P163" i="3"/>
  <c r="O163" i="3"/>
  <c r="N163" i="3"/>
  <c r="M163" i="3"/>
  <c r="L163" i="3"/>
  <c r="K163" i="3"/>
  <c r="J163" i="3"/>
  <c r="I163" i="3"/>
  <c r="H163" i="3"/>
  <c r="G163" i="3"/>
  <c r="F163" i="3"/>
  <c r="E163" i="3"/>
  <c r="D163" i="3"/>
  <c r="G158" i="3"/>
  <c r="F158" i="3"/>
  <c r="E158" i="3"/>
  <c r="BH156" i="3"/>
  <c r="BI156" i="3" s="1"/>
  <c r="BJ156" i="3" s="1"/>
  <c r="BK156" i="3" s="1"/>
  <c r="BE156" i="3"/>
  <c r="BF156" i="3" s="1"/>
  <c r="BG156" i="3" s="1"/>
  <c r="AK156" i="3"/>
  <c r="AQ154" i="3"/>
  <c r="AE154" i="3"/>
  <c r="Y154" i="3"/>
  <c r="X154" i="3"/>
  <c r="W154" i="3"/>
  <c r="V154" i="3"/>
  <c r="U154" i="3"/>
  <c r="T154" i="3"/>
  <c r="Q154" i="3"/>
  <c r="O154" i="3"/>
  <c r="N154" i="3"/>
  <c r="M154" i="3"/>
  <c r="L154" i="3"/>
  <c r="K154" i="3"/>
  <c r="J154" i="3"/>
  <c r="I154" i="3"/>
  <c r="H154" i="3"/>
  <c r="G154" i="3"/>
  <c r="F154" i="3"/>
  <c r="E154" i="3"/>
  <c r="D154" i="3"/>
  <c r="BA153" i="3"/>
  <c r="AZ153" i="3"/>
  <c r="AZ154" i="3" s="1"/>
  <c r="AY153" i="3"/>
  <c r="AY154" i="3" s="1"/>
  <c r="AX153" i="3"/>
  <c r="AX154" i="3" s="1"/>
  <c r="AW153" i="3"/>
  <c r="AV153" i="3"/>
  <c r="AV154" i="3" s="1"/>
  <c r="AU153" i="3"/>
  <c r="AU154" i="3" s="1"/>
  <c r="AT153" i="3"/>
  <c r="AT154" i="3" s="1"/>
  <c r="AS153" i="3"/>
  <c r="AR153" i="3"/>
  <c r="AR154" i="3" s="1"/>
  <c r="AQ153" i="3"/>
  <c r="AP153" i="3"/>
  <c r="AP154" i="3" s="1"/>
  <c r="AO153" i="3"/>
  <c r="AN153" i="3"/>
  <c r="AN154" i="3" s="1"/>
  <c r="AM153" i="3"/>
  <c r="AM154" i="3" s="1"/>
  <c r="AL153" i="3"/>
  <c r="AL154" i="3" s="1"/>
  <c r="AJ153" i="3"/>
  <c r="AJ154" i="3" s="1"/>
  <c r="AI153" i="3"/>
  <c r="AI154" i="3" s="1"/>
  <c r="AH153" i="3"/>
  <c r="AH154" i="3" s="1"/>
  <c r="AG153" i="3"/>
  <c r="AG154" i="3" s="1"/>
  <c r="AF153" i="3"/>
  <c r="AF154" i="3" s="1"/>
  <c r="AE153" i="3"/>
  <c r="AD153" i="3"/>
  <c r="AD154" i="3" s="1"/>
  <c r="AC153" i="3"/>
  <c r="AC154" i="3" s="1"/>
  <c r="AB153" i="3"/>
  <c r="AB154" i="3" s="1"/>
  <c r="AA153" i="3"/>
  <c r="AA154" i="3" s="1"/>
  <c r="Z153" i="3"/>
  <c r="Z154" i="3" s="1"/>
  <c r="S153" i="3"/>
  <c r="S154" i="3" s="1"/>
  <c r="R153" i="3"/>
  <c r="R154" i="3" s="1"/>
  <c r="Q153" i="3"/>
  <c r="P153" i="3"/>
  <c r="P154" i="3" s="1"/>
  <c r="AK151" i="3"/>
  <c r="AK150" i="3"/>
  <c r="AK149" i="3"/>
  <c r="AK148" i="3"/>
  <c r="BA148" i="3"/>
  <c r="BA154" i="3" s="1"/>
  <c r="AW148" i="3"/>
  <c r="AS148" i="3"/>
  <c r="AS154" i="3" s="1"/>
  <c r="AO148" i="3"/>
  <c r="AO154" i="3" s="1"/>
  <c r="BH152" i="3"/>
  <c r="BI152" i="3" s="1"/>
  <c r="BJ152" i="3" s="1"/>
  <c r="BK152" i="3" s="1"/>
  <c r="BH148" i="3"/>
  <c r="BI148" i="3" s="1"/>
  <c r="BJ148" i="3" s="1"/>
  <c r="BK148" i="3" s="1"/>
  <c r="BE148" i="3"/>
  <c r="BF148" i="3" s="1"/>
  <c r="BG148" i="3" s="1"/>
  <c r="BH147" i="3"/>
  <c r="BI147" i="3" s="1"/>
  <c r="BJ147" i="3" s="1"/>
  <c r="BK147" i="3" s="1"/>
  <c r="AP143" i="3"/>
  <c r="U143" i="3"/>
  <c r="T143" i="3"/>
  <c r="Q143" i="3"/>
  <c r="P143" i="3"/>
  <c r="H143" i="3"/>
  <c r="G143" i="3"/>
  <c r="F143" i="3"/>
  <c r="E143" i="3"/>
  <c r="D143" i="3"/>
  <c r="AX142" i="3"/>
  <c r="AW142" i="3"/>
  <c r="AW143" i="3" s="1"/>
  <c r="AV142" i="3"/>
  <c r="AV143" i="3" s="1"/>
  <c r="AU142" i="3"/>
  <c r="AT142" i="3"/>
  <c r="AS142" i="3"/>
  <c r="AS143" i="3" s="1"/>
  <c r="AR142" i="3"/>
  <c r="AR40" i="3" s="1"/>
  <c r="AS40" i="3" s="1"/>
  <c r="AT40" i="3" s="1"/>
  <c r="AU40" i="3" s="1"/>
  <c r="CA40" i="3" s="1"/>
  <c r="CA142" i="3" s="1"/>
  <c r="AQ142" i="3"/>
  <c r="AP142" i="3"/>
  <c r="AM142" i="3"/>
  <c r="AL142" i="3"/>
  <c r="AL143" i="3" s="1"/>
  <c r="AK142" i="3"/>
  <c r="AI142" i="3"/>
  <c r="AH142" i="3"/>
  <c r="AG142" i="3"/>
  <c r="AE140" i="3"/>
  <c r="AD140" i="3"/>
  <c r="W140" i="3"/>
  <c r="V140" i="3"/>
  <c r="S140" i="3"/>
  <c r="R140" i="3"/>
  <c r="N140" i="3"/>
  <c r="N143" i="3" s="1"/>
  <c r="M140" i="3"/>
  <c r="M143" i="3" s="1"/>
  <c r="L140" i="3"/>
  <c r="L143" i="3" s="1"/>
  <c r="K140" i="3"/>
  <c r="K143" i="3" s="1"/>
  <c r="J140" i="3"/>
  <c r="J143" i="3" s="1"/>
  <c r="I140" i="3"/>
  <c r="I143" i="3" s="1"/>
  <c r="BA138" i="3"/>
  <c r="BA143" i="3" s="1"/>
  <c r="AZ138" i="3"/>
  <c r="AZ143" i="3" s="1"/>
  <c r="AY138" i="3"/>
  <c r="AY143" i="3" s="1"/>
  <c r="AX138" i="3"/>
  <c r="AX143" i="3" s="1"/>
  <c r="AU138" i="3"/>
  <c r="AU143" i="3" s="1"/>
  <c r="AT138" i="3"/>
  <c r="AT143" i="3" s="1"/>
  <c r="AR138" i="3"/>
  <c r="AQ138" i="3"/>
  <c r="AQ143" i="3" s="1"/>
  <c r="AP138" i="3"/>
  <c r="AO138" i="3"/>
  <c r="AO143" i="3" s="1"/>
  <c r="AN138" i="3"/>
  <c r="AN143" i="3" s="1"/>
  <c r="AM138" i="3"/>
  <c r="AM143" i="3" s="1"/>
  <c r="AL138" i="3"/>
  <c r="AJ138" i="3"/>
  <c r="AI138" i="3"/>
  <c r="AI143" i="3" s="1"/>
  <c r="AH138" i="3"/>
  <c r="AG138" i="3"/>
  <c r="AF138" i="3"/>
  <c r="AF143" i="3" s="1"/>
  <c r="AE138" i="3"/>
  <c r="AE143" i="3" s="1"/>
  <c r="AD138" i="3"/>
  <c r="AD143" i="3" s="1"/>
  <c r="AC138" i="3"/>
  <c r="AC143" i="3" s="1"/>
  <c r="AB138" i="3"/>
  <c r="AB143" i="3" s="1"/>
  <c r="AA138" i="3"/>
  <c r="AA143" i="3" s="1"/>
  <c r="Z138" i="3"/>
  <c r="Z143" i="3" s="1"/>
  <c r="Y138" i="3"/>
  <c r="Y143" i="3" s="1"/>
  <c r="X138" i="3"/>
  <c r="X143" i="3" s="1"/>
  <c r="W138" i="3"/>
  <c r="W143" i="3" s="1"/>
  <c r="V138" i="3"/>
  <c r="S138" i="3"/>
  <c r="S143" i="3" s="1"/>
  <c r="R138" i="3"/>
  <c r="R143" i="3" s="1"/>
  <c r="O138" i="3"/>
  <c r="O143" i="3" s="1"/>
  <c r="AK137" i="3"/>
  <c r="AK136" i="3"/>
  <c r="BH141" i="3"/>
  <c r="BI141" i="3" s="1"/>
  <c r="BJ141" i="3" s="1"/>
  <c r="BK141" i="3" s="1"/>
  <c r="BH140" i="3"/>
  <c r="BI140" i="3" s="1"/>
  <c r="BJ140" i="3" s="1"/>
  <c r="BK140" i="3" s="1"/>
  <c r="BH139" i="3"/>
  <c r="BI139" i="3" s="1"/>
  <c r="BJ139" i="3" s="1"/>
  <c r="BK139" i="3" s="1"/>
  <c r="BH138" i="3"/>
  <c r="BI138" i="3" s="1"/>
  <c r="BJ138" i="3" s="1"/>
  <c r="BK138" i="3" s="1"/>
  <c r="BH137" i="3"/>
  <c r="BI137" i="3" s="1"/>
  <c r="BJ137" i="3" s="1"/>
  <c r="BK137" i="3" s="1"/>
  <c r="AW132" i="3"/>
  <c r="AV132" i="3"/>
  <c r="AQ132" i="3"/>
  <c r="AP132" i="3"/>
  <c r="AM132" i="3"/>
  <c r="AK132" i="3"/>
  <c r="AK30" i="3" s="1"/>
  <c r="AG132" i="3"/>
  <c r="S132" i="3"/>
  <c r="O132" i="3"/>
  <c r="N132" i="3"/>
  <c r="M132" i="3"/>
  <c r="L132" i="3"/>
  <c r="K132" i="3"/>
  <c r="J132" i="3"/>
  <c r="AE131" i="3"/>
  <c r="W131" i="3"/>
  <c r="AK123" i="3"/>
  <c r="AK122" i="3"/>
  <c r="AK121" i="3"/>
  <c r="BA121" i="3"/>
  <c r="AY121" i="3"/>
  <c r="AX121" i="3"/>
  <c r="AV121" i="3"/>
  <c r="AL121" i="3"/>
  <c r="AH121" i="3"/>
  <c r="R119" i="3"/>
  <c r="Q119" i="3"/>
  <c r="AK117" i="3"/>
  <c r="AK116" i="3"/>
  <c r="AK115" i="3"/>
  <c r="BH123" i="3"/>
  <c r="BI123" i="3" s="1"/>
  <c r="BJ123" i="3" s="1"/>
  <c r="BK123" i="3" s="1"/>
  <c r="BE123" i="3"/>
  <c r="BF123" i="3" s="1"/>
  <c r="BG123" i="3" s="1"/>
  <c r="BH122" i="3"/>
  <c r="BI122" i="3" s="1"/>
  <c r="BJ122" i="3" s="1"/>
  <c r="BK122" i="3" s="1"/>
  <c r="BH120" i="3"/>
  <c r="BI120" i="3" s="1"/>
  <c r="BJ120" i="3" s="1"/>
  <c r="BK120" i="3" s="1"/>
  <c r="BH119" i="3"/>
  <c r="BI119" i="3" s="1"/>
  <c r="BJ119" i="3" s="1"/>
  <c r="BK119" i="3" s="1"/>
  <c r="BH118" i="3"/>
  <c r="BI118" i="3" s="1"/>
  <c r="BJ118" i="3" s="1"/>
  <c r="BK118" i="3" s="1"/>
  <c r="BH116" i="3"/>
  <c r="BI116" i="3" s="1"/>
  <c r="BJ116" i="3" s="1"/>
  <c r="BK116" i="3" s="1"/>
  <c r="BE116" i="3"/>
  <c r="BF116" i="3" s="1"/>
  <c r="BG116" i="3" s="1"/>
  <c r="BI97" i="3"/>
  <c r="BH97" i="3"/>
  <c r="BF97" i="3"/>
  <c r="BC97" i="3"/>
  <c r="BB97" i="3"/>
  <c r="BA97" i="3"/>
  <c r="AZ97" i="3"/>
  <c r="AY97" i="3"/>
  <c r="AX97" i="3"/>
  <c r="AW97" i="3"/>
  <c r="AV97" i="3"/>
  <c r="AU97" i="3"/>
  <c r="AT97" i="3"/>
  <c r="AR97" i="3"/>
  <c r="AQ97" i="3"/>
  <c r="AP97" i="3"/>
  <c r="AN97" i="3"/>
  <c r="AL97" i="3"/>
  <c r="AK97" i="3"/>
  <c r="AJ97" i="3"/>
  <c r="AH97" i="3"/>
  <c r="AG97" i="3"/>
  <c r="AF97" i="3"/>
  <c r="BK94" i="3"/>
  <c r="BJ94" i="3"/>
  <c r="BI94" i="3"/>
  <c r="BH94" i="3"/>
  <c r="BG94" i="3"/>
  <c r="BF94" i="3"/>
  <c r="BE94" i="3"/>
  <c r="BD94" i="3"/>
  <c r="BA76" i="3"/>
  <c r="AZ76" i="3"/>
  <c r="AY76" i="3"/>
  <c r="AX76" i="3"/>
  <c r="AW76" i="3"/>
  <c r="AV76" i="3"/>
  <c r="AU76" i="3"/>
  <c r="AT76" i="3"/>
  <c r="AS76" i="3"/>
  <c r="AR76" i="3"/>
  <c r="AQ76" i="3"/>
  <c r="AP76" i="3"/>
  <c r="AO76" i="3"/>
  <c r="AN76" i="3"/>
  <c r="AM76" i="3"/>
  <c r="AL76" i="3"/>
  <c r="AI76" i="3"/>
  <c r="AH76" i="3"/>
  <c r="AG76" i="3"/>
  <c r="AF76" i="3"/>
  <c r="AE76" i="3"/>
  <c r="AD76" i="3"/>
  <c r="AC76" i="3"/>
  <c r="AB76" i="3"/>
  <c r="AA76" i="3"/>
  <c r="Z76" i="3"/>
  <c r="Y76" i="3"/>
  <c r="X76" i="3"/>
  <c r="W76" i="3"/>
  <c r="V76" i="3"/>
  <c r="U76" i="3"/>
  <c r="T76" i="3"/>
  <c r="S76" i="3"/>
  <c r="R76" i="3"/>
  <c r="Q76" i="3"/>
  <c r="P76" i="3"/>
  <c r="O76" i="3"/>
  <c r="N76" i="3"/>
  <c r="M76" i="3"/>
  <c r="L76" i="3"/>
  <c r="K76" i="3"/>
  <c r="J76" i="3"/>
  <c r="I76" i="3"/>
  <c r="H76" i="3"/>
  <c r="G76" i="3"/>
  <c r="F76" i="3"/>
  <c r="E76" i="3"/>
  <c r="D76" i="3"/>
  <c r="BA74" i="3"/>
  <c r="AZ74" i="3"/>
  <c r="AY74" i="3"/>
  <c r="AX74" i="3"/>
  <c r="AW74" i="3"/>
  <c r="AV74" i="3"/>
  <c r="AU74" i="3"/>
  <c r="AT74" i="3"/>
  <c r="AS74" i="3"/>
  <c r="AR74" i="3"/>
  <c r="AP74" i="3"/>
  <c r="AO74" i="3"/>
  <c r="AN74" i="3"/>
  <c r="AM74" i="3"/>
  <c r="AL74" i="3"/>
  <c r="AK74" i="3"/>
  <c r="AJ74" i="3"/>
  <c r="AI74" i="3"/>
  <c r="AH74" i="3"/>
  <c r="AG74" i="3"/>
  <c r="AF74" i="3"/>
  <c r="AE74" i="3"/>
  <c r="AD74" i="3"/>
  <c r="AC74" i="3"/>
  <c r="AB74" i="3"/>
  <c r="AA74" i="3"/>
  <c r="Z74" i="3"/>
  <c r="Y74" i="3"/>
  <c r="X74" i="3"/>
  <c r="W74" i="3"/>
  <c r="V74" i="3"/>
  <c r="U74" i="3"/>
  <c r="T74" i="3"/>
  <c r="S74" i="3"/>
  <c r="R74" i="3"/>
  <c r="Q74" i="3"/>
  <c r="P74" i="3"/>
  <c r="O74" i="3"/>
  <c r="N74" i="3"/>
  <c r="M74" i="3"/>
  <c r="L74" i="3"/>
  <c r="K74" i="3"/>
  <c r="J74" i="3"/>
  <c r="I74" i="3"/>
  <c r="H74" i="3"/>
  <c r="G74" i="3"/>
  <c r="F74" i="3"/>
  <c r="E74" i="3"/>
  <c r="D74" i="3"/>
  <c r="BK70" i="3"/>
  <c r="BJ70" i="3"/>
  <c r="BI70" i="3"/>
  <c r="BH70" i="3"/>
  <c r="BG70" i="3"/>
  <c r="BF70" i="3"/>
  <c r="BE70" i="3"/>
  <c r="CS73" i="3"/>
  <c r="CR73" i="3"/>
  <c r="CQ73" i="3"/>
  <c r="CP73" i="3"/>
  <c r="CO73" i="3"/>
  <c r="CN73" i="3"/>
  <c r="CM73" i="3"/>
  <c r="CL73" i="3"/>
  <c r="CK73" i="3"/>
  <c r="CJ73" i="3"/>
  <c r="CI73" i="3"/>
  <c r="CH73" i="3"/>
  <c r="CS71" i="3"/>
  <c r="CR71" i="3"/>
  <c r="CR74" i="3" s="1"/>
  <c r="CQ71" i="3"/>
  <c r="CP71" i="3"/>
  <c r="CO71" i="3"/>
  <c r="CN71" i="3"/>
  <c r="CN74" i="3" s="1"/>
  <c r="CM71" i="3"/>
  <c r="CL71" i="3"/>
  <c r="CK71" i="3"/>
  <c r="CJ71" i="3"/>
  <c r="CJ74" i="3" s="1"/>
  <c r="CI71" i="3"/>
  <c r="CH71" i="3"/>
  <c r="BE69" i="3"/>
  <c r="BF69" i="3" s="1"/>
  <c r="BG69" i="3" s="1"/>
  <c r="BB69" i="3"/>
  <c r="CB73" i="3"/>
  <c r="CA73" i="3"/>
  <c r="BY73" i="3"/>
  <c r="BX73" i="3"/>
  <c r="BW73" i="3"/>
  <c r="BV73" i="3"/>
  <c r="BU73" i="3"/>
  <c r="BT73" i="3"/>
  <c r="BS73" i="3"/>
  <c r="BR73" i="3"/>
  <c r="BQ73" i="3"/>
  <c r="CB71" i="3"/>
  <c r="CA71" i="3"/>
  <c r="BY71" i="3"/>
  <c r="BX71" i="3"/>
  <c r="BW71" i="3"/>
  <c r="BV71" i="3"/>
  <c r="BU71" i="3"/>
  <c r="BT71" i="3"/>
  <c r="BS71" i="3"/>
  <c r="BR71" i="3"/>
  <c r="BQ71" i="3"/>
  <c r="BZ68" i="3"/>
  <c r="BY68" i="3"/>
  <c r="BX68" i="3"/>
  <c r="BW68" i="3"/>
  <c r="BV68" i="3"/>
  <c r="BU68" i="3"/>
  <c r="BT68" i="3"/>
  <c r="BS68" i="3"/>
  <c r="BR68" i="3"/>
  <c r="BQ68" i="3"/>
  <c r="BA67" i="3"/>
  <c r="B62" i="3"/>
  <c r="B61" i="3"/>
  <c r="AZ61" i="3"/>
  <c r="AY61" i="3"/>
  <c r="AX61" i="3"/>
  <c r="AW61" i="3"/>
  <c r="AV61" i="3"/>
  <c r="AU61" i="3"/>
  <c r="AT61" i="3"/>
  <c r="AS61" i="3"/>
  <c r="AR61" i="3"/>
  <c r="AQ61" i="3"/>
  <c r="AP61" i="3"/>
  <c r="AO61" i="3"/>
  <c r="AN61" i="3"/>
  <c r="AM61" i="3"/>
  <c r="AL61" i="3"/>
  <c r="AK61" i="3"/>
  <c r="AJ61" i="3"/>
  <c r="AI61" i="3"/>
  <c r="AH61" i="3"/>
  <c r="AG61" i="3"/>
  <c r="AF61" i="3"/>
  <c r="AE61" i="3"/>
  <c r="AD61" i="3"/>
  <c r="AC61" i="3"/>
  <c r="AB61" i="3"/>
  <c r="AA61" i="3"/>
  <c r="Z61" i="3"/>
  <c r="Y61" i="3"/>
  <c r="X61" i="3"/>
  <c r="W61" i="3"/>
  <c r="V61" i="3"/>
  <c r="U61" i="3"/>
  <c r="T61" i="3"/>
  <c r="S61" i="3"/>
  <c r="R61" i="3"/>
  <c r="Q61" i="3"/>
  <c r="P61" i="3"/>
  <c r="O61" i="3"/>
  <c r="N61" i="3"/>
  <c r="M61" i="3"/>
  <c r="L61" i="3"/>
  <c r="K61" i="3"/>
  <c r="J61" i="3"/>
  <c r="I61" i="3"/>
  <c r="H61" i="3"/>
  <c r="G61" i="3"/>
  <c r="F61" i="3"/>
  <c r="E61" i="3"/>
  <c r="D61" i="3"/>
  <c r="B59" i="3"/>
  <c r="B58" i="3"/>
  <c r="B57" i="3"/>
  <c r="B56" i="3"/>
  <c r="AZ57" i="3"/>
  <c r="BA57" i="3" s="1"/>
  <c r="AV57" i="3"/>
  <c r="AW57" i="3" s="1"/>
  <c r="AR57" i="3"/>
  <c r="AS57" i="3" s="1"/>
  <c r="AT57" i="3" s="1"/>
  <c r="AU57" i="3" s="1"/>
  <c r="AN57" i="3"/>
  <c r="AJ57" i="3"/>
  <c r="AK57" i="3" s="1"/>
  <c r="AF57" i="3"/>
  <c r="AG57" i="3" s="1"/>
  <c r="AB57" i="3"/>
  <c r="AC57" i="3" s="1"/>
  <c r="AD57" i="3" s="1"/>
  <c r="AE57" i="3" s="1"/>
  <c r="X57" i="3"/>
  <c r="T57" i="3"/>
  <c r="P57" i="3"/>
  <c r="Q57" i="3" s="1"/>
  <c r="L57" i="3"/>
  <c r="M57" i="3" s="1"/>
  <c r="N57" i="3" s="1"/>
  <c r="O57" i="3" s="1"/>
  <c r="H57" i="3"/>
  <c r="I57" i="3" s="1"/>
  <c r="D57" i="3"/>
  <c r="CU57" i="3"/>
  <c r="D56" i="3"/>
  <c r="BQ56" i="3" s="1"/>
  <c r="BQ158" i="3" s="1"/>
  <c r="CU54" i="3"/>
  <c r="CU156" i="3" s="1"/>
  <c r="CE54" i="3"/>
  <c r="CE156" i="3" s="1"/>
  <c r="CD54" i="3"/>
  <c r="CD156" i="3" s="1"/>
  <c r="AZ54" i="3"/>
  <c r="BA54" i="3" s="1"/>
  <c r="AV54" i="3"/>
  <c r="AW54" i="3" s="1"/>
  <c r="AX54" i="3" s="1"/>
  <c r="AY54" i="3" s="1"/>
  <c r="AR54" i="3"/>
  <c r="AS54" i="3" s="1"/>
  <c r="AN54" i="3"/>
  <c r="AO54" i="3" s="1"/>
  <c r="AJ54" i="3"/>
  <c r="AK54" i="3" s="1"/>
  <c r="AF54" i="3"/>
  <c r="AG54" i="3" s="1"/>
  <c r="AH54" i="3" s="1"/>
  <c r="AI54" i="3" s="1"/>
  <c r="AB54" i="3"/>
  <c r="AC54" i="3" s="1"/>
  <c r="X54" i="3"/>
  <c r="Y54" i="3" s="1"/>
  <c r="T54" i="3"/>
  <c r="U54" i="3" s="1"/>
  <c r="P54" i="3"/>
  <c r="Q54" i="3" s="1"/>
  <c r="R54" i="3" s="1"/>
  <c r="S54" i="3" s="1"/>
  <c r="L54" i="3"/>
  <c r="M54" i="3" s="1"/>
  <c r="H54" i="3"/>
  <c r="I54" i="3" s="1"/>
  <c r="D54" i="3"/>
  <c r="E54" i="3" s="1"/>
  <c r="B54" i="3"/>
  <c r="B52" i="3"/>
  <c r="B51" i="3"/>
  <c r="B50" i="3"/>
  <c r="B49" i="3"/>
  <c r="B48" i="3"/>
  <c r="B47" i="3"/>
  <c r="B46" i="3"/>
  <c r="B45" i="3"/>
  <c r="B44" i="3"/>
  <c r="B43" i="3"/>
  <c r="AZ51" i="3"/>
  <c r="BA51" i="3" s="1"/>
  <c r="BB51" i="3" s="1"/>
  <c r="BC51" i="3" s="1"/>
  <c r="AV51" i="3"/>
  <c r="AW51" i="3" s="1"/>
  <c r="AR51" i="3"/>
  <c r="AN51" i="3"/>
  <c r="AO51" i="3" s="1"/>
  <c r="AJ51" i="3"/>
  <c r="AF51" i="3"/>
  <c r="AG51" i="3" s="1"/>
  <c r="AB51" i="3"/>
  <c r="X51" i="3"/>
  <c r="Y51" i="3" s="1"/>
  <c r="T51" i="3"/>
  <c r="U51" i="3" s="1"/>
  <c r="L51" i="3"/>
  <c r="H51" i="3"/>
  <c r="I51" i="3" s="1"/>
  <c r="D51" i="3"/>
  <c r="E51" i="3" s="1"/>
  <c r="AZ50" i="3"/>
  <c r="BA50" i="3" s="1"/>
  <c r="BB50" i="3" s="1"/>
  <c r="BC50" i="3" s="1"/>
  <c r="AV50" i="3"/>
  <c r="AW50" i="3" s="1"/>
  <c r="AR50" i="3"/>
  <c r="AS50" i="3" s="1"/>
  <c r="AN50" i="3"/>
  <c r="AO50" i="3" s="1"/>
  <c r="AJ50" i="3"/>
  <c r="AK50" i="3" s="1"/>
  <c r="AF50" i="3"/>
  <c r="AG50" i="3" s="1"/>
  <c r="AB50" i="3"/>
  <c r="AC50" i="3" s="1"/>
  <c r="X50" i="3"/>
  <c r="Y50" i="3" s="1"/>
  <c r="T50" i="3"/>
  <c r="U50" i="3" s="1"/>
  <c r="P50" i="3"/>
  <c r="Q50" i="3" s="1"/>
  <c r="L50" i="3"/>
  <c r="M50" i="3" s="1"/>
  <c r="H50" i="3"/>
  <c r="I50" i="3" s="1"/>
  <c r="D50" i="3"/>
  <c r="E50" i="3" s="1"/>
  <c r="AZ49" i="3"/>
  <c r="AV49" i="3"/>
  <c r="AW49" i="3" s="1"/>
  <c r="AR49" i="3"/>
  <c r="AS49" i="3" s="1"/>
  <c r="AN49" i="3"/>
  <c r="AO49" i="3" s="1"/>
  <c r="AJ49" i="3"/>
  <c r="AF49" i="3"/>
  <c r="AG49" i="3" s="1"/>
  <c r="AB49" i="3"/>
  <c r="AC49" i="3" s="1"/>
  <c r="X49" i="3"/>
  <c r="Y49" i="3" s="1"/>
  <c r="T49" i="3"/>
  <c r="P49" i="3"/>
  <c r="Q49" i="3" s="1"/>
  <c r="L49" i="3"/>
  <c r="M49" i="3" s="1"/>
  <c r="H49" i="3"/>
  <c r="I49" i="3" s="1"/>
  <c r="D49" i="3"/>
  <c r="AZ48" i="3"/>
  <c r="BA48" i="3" s="1"/>
  <c r="BB48" i="3" s="1"/>
  <c r="BC48" i="3" s="1"/>
  <c r="AV48" i="3"/>
  <c r="AW48" i="3" s="1"/>
  <c r="AR48" i="3"/>
  <c r="AS48" i="3" s="1"/>
  <c r="AN48" i="3"/>
  <c r="AO48" i="3" s="1"/>
  <c r="AJ48" i="3"/>
  <c r="AK48" i="3" s="1"/>
  <c r="AF48" i="3"/>
  <c r="AG48" i="3" s="1"/>
  <c r="AB48" i="3"/>
  <c r="AC48" i="3" s="1"/>
  <c r="X48" i="3"/>
  <c r="Y48" i="3" s="1"/>
  <c r="T48" i="3"/>
  <c r="U48" i="3" s="1"/>
  <c r="P48" i="3"/>
  <c r="Q48" i="3" s="1"/>
  <c r="L48" i="3"/>
  <c r="M48" i="3" s="1"/>
  <c r="H48" i="3"/>
  <c r="I48" i="3" s="1"/>
  <c r="D48" i="3"/>
  <c r="E48" i="3" s="1"/>
  <c r="AZ47" i="3"/>
  <c r="BA47" i="3" s="1"/>
  <c r="BB47" i="3" s="1"/>
  <c r="BC47" i="3" s="1"/>
  <c r="AV47" i="3"/>
  <c r="AW47" i="3" s="1"/>
  <c r="AR47" i="3"/>
  <c r="AN47" i="3"/>
  <c r="AJ47" i="3"/>
  <c r="AF47" i="3"/>
  <c r="AB47" i="3"/>
  <c r="X47" i="3"/>
  <c r="Y47" i="3" s="1"/>
  <c r="T47" i="3"/>
  <c r="U47" i="3" s="1"/>
  <c r="P47" i="3"/>
  <c r="Q47" i="3" s="1"/>
  <c r="L47" i="3"/>
  <c r="H47" i="3"/>
  <c r="I47" i="3" s="1"/>
  <c r="D47" i="3"/>
  <c r="E47" i="3" s="1"/>
  <c r="AZ46" i="3"/>
  <c r="BA46" i="3" s="1"/>
  <c r="BB46" i="3" s="1"/>
  <c r="BC46" i="3" s="1"/>
  <c r="AV46" i="3"/>
  <c r="AW46" i="3" s="1"/>
  <c r="AR46" i="3"/>
  <c r="AS46" i="3" s="1"/>
  <c r="AN46" i="3"/>
  <c r="AO46" i="3" s="1"/>
  <c r="AJ46" i="3"/>
  <c r="AF46" i="3"/>
  <c r="AG46" i="3" s="1"/>
  <c r="AB46" i="3"/>
  <c r="AC46" i="3" s="1"/>
  <c r="X46" i="3"/>
  <c r="Y46" i="3" s="1"/>
  <c r="T46" i="3"/>
  <c r="U46" i="3" s="1"/>
  <c r="P46" i="3"/>
  <c r="Q46" i="3" s="1"/>
  <c r="L46" i="3"/>
  <c r="M46" i="3" s="1"/>
  <c r="H46" i="3"/>
  <c r="I46" i="3" s="1"/>
  <c r="D46" i="3"/>
  <c r="E46" i="3" s="1"/>
  <c r="AZ45" i="3"/>
  <c r="AV45" i="3"/>
  <c r="AW45" i="3" s="1"/>
  <c r="AR45" i="3"/>
  <c r="AS45" i="3" s="1"/>
  <c r="AN45" i="3"/>
  <c r="AO45" i="3" s="1"/>
  <c r="AJ45" i="3"/>
  <c r="AF45" i="3"/>
  <c r="AG45" i="3" s="1"/>
  <c r="AB45" i="3"/>
  <c r="AC45" i="3" s="1"/>
  <c r="X45" i="3"/>
  <c r="Y45" i="3" s="1"/>
  <c r="T45" i="3"/>
  <c r="P45" i="3"/>
  <c r="Q45" i="3" s="1"/>
  <c r="L45" i="3"/>
  <c r="M45" i="3" s="1"/>
  <c r="H45" i="3"/>
  <c r="I45" i="3" s="1"/>
  <c r="D45" i="3"/>
  <c r="CU50" i="3"/>
  <c r="CU152" i="3" s="1"/>
  <c r="CU46" i="3"/>
  <c r="CU148" i="3" s="1"/>
  <c r="CU45" i="3"/>
  <c r="CU147" i="3" s="1"/>
  <c r="CE50" i="3"/>
  <c r="CE152" i="3" s="1"/>
  <c r="CE46" i="3"/>
  <c r="CE148" i="3" s="1"/>
  <c r="CD46" i="3"/>
  <c r="CD148" i="3" s="1"/>
  <c r="CE45" i="3"/>
  <c r="CE147" i="3" s="1"/>
  <c r="AZ44" i="3"/>
  <c r="AV44" i="3"/>
  <c r="AW44" i="3" s="1"/>
  <c r="AR44" i="3"/>
  <c r="AN44" i="3"/>
  <c r="AJ44" i="3"/>
  <c r="AF44" i="3"/>
  <c r="AG44" i="3" s="1"/>
  <c r="AB44" i="3"/>
  <c r="X44" i="3"/>
  <c r="T44" i="3"/>
  <c r="P44" i="3"/>
  <c r="Q44" i="3" s="1"/>
  <c r="L44" i="3"/>
  <c r="H44" i="3"/>
  <c r="D44" i="3"/>
  <c r="B41" i="3"/>
  <c r="B40" i="3"/>
  <c r="B39" i="3"/>
  <c r="B38" i="3"/>
  <c r="B37" i="3"/>
  <c r="B36" i="3"/>
  <c r="B35" i="3"/>
  <c r="B34" i="3"/>
  <c r="B33" i="3"/>
  <c r="AZ40" i="3"/>
  <c r="BA40" i="3" s="1"/>
  <c r="BB40" i="3" s="1"/>
  <c r="BC40" i="3" s="1"/>
  <c r="AN40" i="3"/>
  <c r="AO40" i="3" s="1"/>
  <c r="AP40" i="3" s="1"/>
  <c r="AQ40" i="3" s="1"/>
  <c r="AJ40" i="3"/>
  <c r="AK40" i="3" s="1"/>
  <c r="AL40" i="3" s="1"/>
  <c r="AM40" i="3" s="1"/>
  <c r="BY40" i="3" s="1"/>
  <c r="BY142" i="3" s="1"/>
  <c r="AF40" i="3"/>
  <c r="AB40" i="3"/>
  <c r="AC40" i="3" s="1"/>
  <c r="AD40" i="3" s="1"/>
  <c r="AE40" i="3" s="1"/>
  <c r="BW40" i="3" s="1"/>
  <c r="BW142" i="3" s="1"/>
  <c r="X40" i="3"/>
  <c r="Y40" i="3" s="1"/>
  <c r="Z40" i="3" s="1"/>
  <c r="AA40" i="3" s="1"/>
  <c r="T40" i="3"/>
  <c r="U40" i="3" s="1"/>
  <c r="V40" i="3" s="1"/>
  <c r="P40" i="3"/>
  <c r="Q40" i="3" s="1"/>
  <c r="R40" i="3" s="1"/>
  <c r="S40" i="3" s="1"/>
  <c r="L40" i="3"/>
  <c r="M40" i="3" s="1"/>
  <c r="H40" i="3"/>
  <c r="I40" i="3" s="1"/>
  <c r="J40" i="3" s="1"/>
  <c r="D40" i="3"/>
  <c r="E40" i="3" s="1"/>
  <c r="F40" i="3" s="1"/>
  <c r="AZ39" i="3"/>
  <c r="BA39" i="3" s="1"/>
  <c r="BB39" i="3" s="1"/>
  <c r="BC39" i="3" s="1"/>
  <c r="AV39" i="3"/>
  <c r="AW39" i="3" s="1"/>
  <c r="AR39" i="3"/>
  <c r="AS39" i="3" s="1"/>
  <c r="AT39" i="3" s="1"/>
  <c r="AU39" i="3" s="1"/>
  <c r="AN39" i="3"/>
  <c r="AO39" i="3" s="1"/>
  <c r="AJ39" i="3"/>
  <c r="AK39" i="3" s="1"/>
  <c r="AF39" i="3"/>
  <c r="AG39" i="3" s="1"/>
  <c r="AH39" i="3" s="1"/>
  <c r="AI39" i="3" s="1"/>
  <c r="AB39" i="3"/>
  <c r="AC39" i="3" s="1"/>
  <c r="AD39" i="3" s="1"/>
  <c r="AE39" i="3" s="1"/>
  <c r="X39" i="3"/>
  <c r="Y39" i="3" s="1"/>
  <c r="T39" i="3"/>
  <c r="U39" i="3" s="1"/>
  <c r="P39" i="3"/>
  <c r="Q39" i="3" s="1"/>
  <c r="L39" i="3"/>
  <c r="H39" i="3"/>
  <c r="I39" i="3" s="1"/>
  <c r="D39" i="3"/>
  <c r="E39" i="3" s="1"/>
  <c r="AZ38" i="3"/>
  <c r="BA38" i="3" s="1"/>
  <c r="BB38" i="3" s="1"/>
  <c r="BC38" i="3" s="1"/>
  <c r="AV38" i="3"/>
  <c r="AW38" i="3" s="1"/>
  <c r="AX38" i="3" s="1"/>
  <c r="AR38" i="3"/>
  <c r="AS38" i="3" s="1"/>
  <c r="AN38" i="3"/>
  <c r="AO38" i="3" s="1"/>
  <c r="AP38" i="3" s="1"/>
  <c r="AQ38" i="3" s="1"/>
  <c r="AJ38" i="3"/>
  <c r="AK38" i="3" s="1"/>
  <c r="AL38" i="3" s="1"/>
  <c r="AF38" i="3"/>
  <c r="AG38" i="3" s="1"/>
  <c r="AH38" i="3" s="1"/>
  <c r="AB38" i="3"/>
  <c r="AC38" i="3" s="1"/>
  <c r="X38" i="3"/>
  <c r="Y38" i="3" s="1"/>
  <c r="Z38" i="3" s="1"/>
  <c r="T38" i="3"/>
  <c r="U38" i="3" s="1"/>
  <c r="P38" i="3"/>
  <c r="Q38" i="3" s="1"/>
  <c r="R38" i="3" s="1"/>
  <c r="L38" i="3"/>
  <c r="M38" i="3" s="1"/>
  <c r="H38" i="3"/>
  <c r="D38" i="3"/>
  <c r="E38" i="3" s="1"/>
  <c r="F38" i="3" s="1"/>
  <c r="AZ37" i="3"/>
  <c r="BA37" i="3" s="1"/>
  <c r="AV37" i="3"/>
  <c r="AW37" i="3" s="1"/>
  <c r="AR37" i="3"/>
  <c r="AS37" i="3" s="1"/>
  <c r="AT37" i="3" s="1"/>
  <c r="AU37" i="3" s="1"/>
  <c r="AN37" i="3"/>
  <c r="AO37" i="3" s="1"/>
  <c r="AJ37" i="3"/>
  <c r="AK37" i="3" s="1"/>
  <c r="AF37" i="3"/>
  <c r="AG37" i="3" s="1"/>
  <c r="AB37" i="3"/>
  <c r="AC37" i="3" s="1"/>
  <c r="AD37" i="3" s="1"/>
  <c r="AE37" i="3" s="1"/>
  <c r="BW37" i="3" s="1"/>
  <c r="BW139" i="3" s="1"/>
  <c r="X37" i="3"/>
  <c r="Y37" i="3" s="1"/>
  <c r="T37" i="3"/>
  <c r="U37" i="3" s="1"/>
  <c r="P37" i="3"/>
  <c r="Q37" i="3" s="1"/>
  <c r="R37" i="3" s="1"/>
  <c r="S37" i="3" s="1"/>
  <c r="L37" i="3"/>
  <c r="M37" i="3" s="1"/>
  <c r="N37" i="3" s="1"/>
  <c r="O37" i="3" s="1"/>
  <c r="BS37" i="3" s="1"/>
  <c r="BS139" i="3" s="1"/>
  <c r="H37" i="3"/>
  <c r="I37" i="3" s="1"/>
  <c r="D37" i="3"/>
  <c r="E37" i="3" s="1"/>
  <c r="AZ36" i="3"/>
  <c r="BA36" i="3" s="1"/>
  <c r="BB36" i="3" s="1"/>
  <c r="BC36" i="3" s="1"/>
  <c r="AV36" i="3"/>
  <c r="AW36" i="3" s="1"/>
  <c r="AR36" i="3"/>
  <c r="AS36" i="3" s="1"/>
  <c r="AT36" i="3" s="1"/>
  <c r="AN36" i="3"/>
  <c r="AO36" i="3" s="1"/>
  <c r="AP36" i="3" s="1"/>
  <c r="AJ36" i="3"/>
  <c r="AG36" i="3"/>
  <c r="AF36" i="3"/>
  <c r="AB36" i="3"/>
  <c r="AC36" i="3" s="1"/>
  <c r="X36" i="3"/>
  <c r="Y36" i="3" s="1"/>
  <c r="Z36" i="3" s="1"/>
  <c r="T36" i="3"/>
  <c r="U36" i="3" s="1"/>
  <c r="P36" i="3"/>
  <c r="Q36" i="3" s="1"/>
  <c r="R36" i="3" s="1"/>
  <c r="L36" i="3"/>
  <c r="M36" i="3" s="1"/>
  <c r="N36" i="3" s="1"/>
  <c r="H36" i="3"/>
  <c r="I36" i="3" s="1"/>
  <c r="J36" i="3" s="1"/>
  <c r="D36" i="3"/>
  <c r="E36" i="3" s="1"/>
  <c r="F36" i="3" s="1"/>
  <c r="AZ35" i="3"/>
  <c r="BA35" i="3" s="1"/>
  <c r="BB35" i="3" s="1"/>
  <c r="BC35" i="3" s="1"/>
  <c r="AV35" i="3"/>
  <c r="AW35" i="3" s="1"/>
  <c r="AX35" i="3" s="1"/>
  <c r="AY35" i="3" s="1"/>
  <c r="AR35" i="3"/>
  <c r="AS35" i="3" s="1"/>
  <c r="AT35" i="3" s="1"/>
  <c r="AU35" i="3" s="1"/>
  <c r="AN35" i="3"/>
  <c r="AO35" i="3" s="1"/>
  <c r="AJ35" i="3"/>
  <c r="AF35" i="3"/>
  <c r="AG35" i="3" s="1"/>
  <c r="AB35" i="3"/>
  <c r="X35" i="3"/>
  <c r="Y35" i="3" s="1"/>
  <c r="T35" i="3"/>
  <c r="U35" i="3" s="1"/>
  <c r="P35" i="3"/>
  <c r="Q35" i="3" s="1"/>
  <c r="R35" i="3" s="1"/>
  <c r="S35" i="3" s="1"/>
  <c r="L35" i="3"/>
  <c r="M35" i="3" s="1"/>
  <c r="N35" i="3" s="1"/>
  <c r="O35" i="3" s="1"/>
  <c r="H35" i="3"/>
  <c r="I35" i="3" s="1"/>
  <c r="D35" i="3"/>
  <c r="E35" i="3" s="1"/>
  <c r="CU39" i="3"/>
  <c r="CU141" i="3" s="1"/>
  <c r="CU38" i="3"/>
  <c r="CU140" i="3" s="1"/>
  <c r="CU37" i="3"/>
  <c r="CU139" i="3" s="1"/>
  <c r="CU36" i="3"/>
  <c r="CU138" i="3" s="1"/>
  <c r="CU35" i="3"/>
  <c r="CU137" i="3" s="1"/>
  <c r="CE39" i="3"/>
  <c r="CE141" i="3" s="1"/>
  <c r="CE38" i="3"/>
  <c r="CE140" i="3" s="1"/>
  <c r="CE37" i="3"/>
  <c r="CE139" i="3" s="1"/>
  <c r="CE36" i="3"/>
  <c r="CE138" i="3" s="1"/>
  <c r="CE35" i="3"/>
  <c r="CE137" i="3" s="1"/>
  <c r="AZ34" i="3"/>
  <c r="BA34" i="3" s="1"/>
  <c r="BB34" i="3" s="1"/>
  <c r="AV34" i="3"/>
  <c r="AW34" i="3" s="1"/>
  <c r="AR34" i="3"/>
  <c r="AS34" i="3" s="1"/>
  <c r="AN34" i="3"/>
  <c r="AJ34" i="3"/>
  <c r="AF34" i="3"/>
  <c r="AB34" i="3"/>
  <c r="AC34" i="3" s="1"/>
  <c r="X34" i="3"/>
  <c r="T34" i="3"/>
  <c r="U34" i="3" s="1"/>
  <c r="P34" i="3"/>
  <c r="Q34" i="3" s="1"/>
  <c r="L34" i="3"/>
  <c r="M34" i="3" s="1"/>
  <c r="H34" i="3"/>
  <c r="D34" i="3"/>
  <c r="E34" i="3" s="1"/>
  <c r="B31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AZ30" i="3"/>
  <c r="BA30" i="3" s="1"/>
  <c r="BB30" i="3" s="1"/>
  <c r="BC30" i="3" s="1"/>
  <c r="AV30" i="3"/>
  <c r="AW30" i="3" s="1"/>
  <c r="AR30" i="3"/>
  <c r="AS30" i="3" s="1"/>
  <c r="AN30" i="3"/>
  <c r="AO30" i="3" s="1"/>
  <c r="AJ30" i="3"/>
  <c r="AF30" i="3"/>
  <c r="AG30" i="3" s="1"/>
  <c r="AC30" i="3"/>
  <c r="AB30" i="3"/>
  <c r="X30" i="3"/>
  <c r="Y30" i="3" s="1"/>
  <c r="U30" i="3"/>
  <c r="T30" i="3"/>
  <c r="P30" i="3"/>
  <c r="Q30" i="3" s="1"/>
  <c r="M30" i="3"/>
  <c r="L30" i="3"/>
  <c r="H30" i="3"/>
  <c r="I30" i="3" s="1"/>
  <c r="D30" i="3"/>
  <c r="E30" i="3" s="1"/>
  <c r="AZ29" i="3"/>
  <c r="AV29" i="3"/>
  <c r="AW29" i="3" s="1"/>
  <c r="AR29" i="3"/>
  <c r="AN29" i="3"/>
  <c r="AO29" i="3" s="1"/>
  <c r="AJ29" i="3"/>
  <c r="AF29" i="3"/>
  <c r="AG29" i="3" s="1"/>
  <c r="AB29" i="3"/>
  <c r="X29" i="3"/>
  <c r="Y29" i="3" s="1"/>
  <c r="T29" i="3"/>
  <c r="P29" i="3"/>
  <c r="Q29" i="3" s="1"/>
  <c r="L29" i="3"/>
  <c r="H29" i="3"/>
  <c r="I29" i="3" s="1"/>
  <c r="D29" i="3"/>
  <c r="AZ28" i="3"/>
  <c r="AV28" i="3"/>
  <c r="AW28" i="3" s="1"/>
  <c r="AR28" i="3"/>
  <c r="AN28" i="3"/>
  <c r="AO28" i="3" s="1"/>
  <c r="AJ28" i="3"/>
  <c r="AF28" i="3"/>
  <c r="AG28" i="3" s="1"/>
  <c r="AB28" i="3"/>
  <c r="X28" i="3"/>
  <c r="Y28" i="3" s="1"/>
  <c r="T28" i="3"/>
  <c r="P28" i="3"/>
  <c r="Q28" i="3" s="1"/>
  <c r="L28" i="3"/>
  <c r="H28" i="3"/>
  <c r="I28" i="3" s="1"/>
  <c r="D28" i="3"/>
  <c r="AZ27" i="3"/>
  <c r="BA27" i="3" s="1"/>
  <c r="BB27" i="3" s="1"/>
  <c r="BC27" i="3" s="1"/>
  <c r="AV27" i="3"/>
  <c r="AR27" i="3"/>
  <c r="AS27" i="3" s="1"/>
  <c r="AN27" i="3"/>
  <c r="AJ27" i="3"/>
  <c r="AK27" i="3" s="1"/>
  <c r="AF27" i="3"/>
  <c r="AB27" i="3"/>
  <c r="AC27" i="3" s="1"/>
  <c r="X27" i="3"/>
  <c r="T27" i="3"/>
  <c r="U27" i="3" s="1"/>
  <c r="P27" i="3"/>
  <c r="L27" i="3"/>
  <c r="M27" i="3" s="1"/>
  <c r="H27" i="3"/>
  <c r="D27" i="3"/>
  <c r="E27" i="3" s="1"/>
  <c r="AZ26" i="3"/>
  <c r="BA26" i="3" s="1"/>
  <c r="BB26" i="3" s="1"/>
  <c r="BC26" i="3" s="1"/>
  <c r="AV26" i="3"/>
  <c r="AR26" i="3"/>
  <c r="AS26" i="3" s="1"/>
  <c r="AN26" i="3"/>
  <c r="AJ26" i="3"/>
  <c r="AK26" i="3" s="1"/>
  <c r="AF26" i="3"/>
  <c r="AB26" i="3"/>
  <c r="AC26" i="3" s="1"/>
  <c r="X26" i="3"/>
  <c r="T26" i="3"/>
  <c r="U26" i="3" s="1"/>
  <c r="P26" i="3"/>
  <c r="L26" i="3"/>
  <c r="M26" i="3" s="1"/>
  <c r="N26" i="3" s="1"/>
  <c r="O26" i="3" s="1"/>
  <c r="H26" i="3"/>
  <c r="I26" i="3" s="1"/>
  <c r="D26" i="3"/>
  <c r="AZ25" i="3"/>
  <c r="AV25" i="3"/>
  <c r="AR25" i="3"/>
  <c r="AS25" i="3" s="1"/>
  <c r="AN25" i="3"/>
  <c r="AO25" i="3" s="1"/>
  <c r="AJ25" i="3"/>
  <c r="AF25" i="3"/>
  <c r="AB25" i="3"/>
  <c r="AC25" i="3" s="1"/>
  <c r="X25" i="3"/>
  <c r="Y25" i="3" s="1"/>
  <c r="T25" i="3"/>
  <c r="P25" i="3"/>
  <c r="L25" i="3"/>
  <c r="M25" i="3" s="1"/>
  <c r="H25" i="3"/>
  <c r="I25" i="3" s="1"/>
  <c r="D25" i="3"/>
  <c r="AZ24" i="3"/>
  <c r="BA24" i="3" s="1"/>
  <c r="BB24" i="3" s="1"/>
  <c r="BC24" i="3" s="1"/>
  <c r="AV24" i="3"/>
  <c r="AR24" i="3"/>
  <c r="AN24" i="3"/>
  <c r="AO24" i="3" s="1"/>
  <c r="AJ24" i="3"/>
  <c r="AK24" i="3" s="1"/>
  <c r="AF24" i="3"/>
  <c r="AB24" i="3"/>
  <c r="X24" i="3"/>
  <c r="Y24" i="3" s="1"/>
  <c r="T24" i="3"/>
  <c r="U24" i="3" s="1"/>
  <c r="P24" i="3"/>
  <c r="L24" i="3"/>
  <c r="H24" i="3"/>
  <c r="I24" i="3" s="1"/>
  <c r="D24" i="3"/>
  <c r="E24" i="3" s="1"/>
  <c r="AZ23" i="3"/>
  <c r="BA23" i="3" s="1"/>
  <c r="BB23" i="3" s="1"/>
  <c r="BC23" i="3" s="1"/>
  <c r="AV23" i="3"/>
  <c r="AR23" i="3"/>
  <c r="AN23" i="3"/>
  <c r="AO23" i="3" s="1"/>
  <c r="AP23" i="3" s="1"/>
  <c r="AQ23" i="3" s="1"/>
  <c r="AJ23" i="3"/>
  <c r="AK23" i="3" s="1"/>
  <c r="AF23" i="3"/>
  <c r="AB23" i="3"/>
  <c r="X23" i="3"/>
  <c r="Y23" i="3" s="1"/>
  <c r="Z23" i="3" s="1"/>
  <c r="AA23" i="3" s="1"/>
  <c r="T23" i="3"/>
  <c r="U23" i="3" s="1"/>
  <c r="P23" i="3"/>
  <c r="L23" i="3"/>
  <c r="H23" i="3"/>
  <c r="I23" i="3" s="1"/>
  <c r="J23" i="3" s="1"/>
  <c r="K23" i="3" s="1"/>
  <c r="D23" i="3"/>
  <c r="E23" i="3" s="1"/>
  <c r="AZ21" i="3"/>
  <c r="BA21" i="3" s="1"/>
  <c r="BB21" i="3" s="1"/>
  <c r="BC21" i="3" s="1"/>
  <c r="AV21" i="3"/>
  <c r="AW21" i="3" s="1"/>
  <c r="AX21" i="3" s="1"/>
  <c r="AR21" i="3"/>
  <c r="AS21" i="3" s="1"/>
  <c r="AN21" i="3"/>
  <c r="AO21" i="3" s="1"/>
  <c r="AP21" i="3" s="1"/>
  <c r="AJ21" i="3"/>
  <c r="AK21" i="3" s="1"/>
  <c r="AL21" i="3" s="1"/>
  <c r="AF21" i="3"/>
  <c r="AG21" i="3" s="1"/>
  <c r="AB21" i="3"/>
  <c r="AC21" i="3" s="1"/>
  <c r="X21" i="3"/>
  <c r="Y21" i="3" s="1"/>
  <c r="Z21" i="3" s="1"/>
  <c r="T21" i="3"/>
  <c r="U21" i="3" s="1"/>
  <c r="V21" i="3" s="1"/>
  <c r="P21" i="3"/>
  <c r="Q21" i="3" s="1"/>
  <c r="L21" i="3"/>
  <c r="M21" i="3" s="1"/>
  <c r="H21" i="3"/>
  <c r="I21" i="3" s="1"/>
  <c r="J21" i="3" s="1"/>
  <c r="D21" i="3"/>
  <c r="E21" i="3" s="1"/>
  <c r="F21" i="3" s="1"/>
  <c r="AZ20" i="3"/>
  <c r="BA20" i="3" s="1"/>
  <c r="BB20" i="3" s="1"/>
  <c r="BC20" i="3" s="1"/>
  <c r="AV20" i="3"/>
  <c r="AW20" i="3" s="1"/>
  <c r="AR20" i="3"/>
  <c r="AS20" i="3" s="1"/>
  <c r="AN20" i="3"/>
  <c r="AO20" i="3" s="1"/>
  <c r="AJ20" i="3"/>
  <c r="AF20" i="3"/>
  <c r="AG20" i="3" s="1"/>
  <c r="AB20" i="3"/>
  <c r="AC20" i="3" s="1"/>
  <c r="X20" i="3"/>
  <c r="Y20" i="3" s="1"/>
  <c r="T20" i="3"/>
  <c r="U20" i="3" s="1"/>
  <c r="P20" i="3"/>
  <c r="Q20" i="3" s="1"/>
  <c r="L20" i="3"/>
  <c r="M20" i="3" s="1"/>
  <c r="H20" i="3"/>
  <c r="I20" i="3" s="1"/>
  <c r="D20" i="3"/>
  <c r="E20" i="3" s="1"/>
  <c r="AZ19" i="3"/>
  <c r="BA19" i="3" s="1"/>
  <c r="BB19" i="3" s="1"/>
  <c r="BC19" i="3" s="1"/>
  <c r="AV19" i="3"/>
  <c r="AW19" i="3" s="1"/>
  <c r="AR19" i="3"/>
  <c r="AS19" i="3" s="1"/>
  <c r="AN19" i="3"/>
  <c r="AO19" i="3" s="1"/>
  <c r="AJ19" i="3"/>
  <c r="AK19" i="3" s="1"/>
  <c r="AF19" i="3"/>
  <c r="AG19" i="3" s="1"/>
  <c r="AB19" i="3"/>
  <c r="AC19" i="3" s="1"/>
  <c r="X19" i="3"/>
  <c r="Y19" i="3" s="1"/>
  <c r="T19" i="3"/>
  <c r="U19" i="3" s="1"/>
  <c r="P19" i="3"/>
  <c r="Q19" i="3" s="1"/>
  <c r="L19" i="3"/>
  <c r="M19" i="3" s="1"/>
  <c r="H19" i="3"/>
  <c r="I19" i="3" s="1"/>
  <c r="D19" i="3"/>
  <c r="E19" i="3" s="1"/>
  <c r="AZ18" i="3"/>
  <c r="BA18" i="3" s="1"/>
  <c r="BB18" i="3" s="1"/>
  <c r="BC18" i="3" s="1"/>
  <c r="AV18" i="3"/>
  <c r="AW18" i="3" s="1"/>
  <c r="AR18" i="3"/>
  <c r="AS18" i="3" s="1"/>
  <c r="AT18" i="3" s="1"/>
  <c r="AN18" i="3"/>
  <c r="AO18" i="3" s="1"/>
  <c r="AJ18" i="3"/>
  <c r="AK18" i="3" s="1"/>
  <c r="AL18" i="3" s="1"/>
  <c r="AF18" i="3"/>
  <c r="AG18" i="3" s="1"/>
  <c r="AB18" i="3"/>
  <c r="AC18" i="3" s="1"/>
  <c r="AD18" i="3" s="1"/>
  <c r="X18" i="3"/>
  <c r="Y18" i="3" s="1"/>
  <c r="T18" i="3"/>
  <c r="U18" i="3" s="1"/>
  <c r="V18" i="3" s="1"/>
  <c r="P18" i="3"/>
  <c r="Q18" i="3" s="1"/>
  <c r="L18" i="3"/>
  <c r="M18" i="3" s="1"/>
  <c r="N18" i="3" s="1"/>
  <c r="H18" i="3"/>
  <c r="I18" i="3" s="1"/>
  <c r="D18" i="3"/>
  <c r="E18" i="3" s="1"/>
  <c r="F18" i="3" s="1"/>
  <c r="AZ17" i="3"/>
  <c r="BA17" i="3" s="1"/>
  <c r="BB17" i="3" s="1"/>
  <c r="BC17" i="3" s="1"/>
  <c r="AV17" i="3"/>
  <c r="AW17" i="3" s="1"/>
  <c r="AR17" i="3"/>
  <c r="AS17" i="3" s="1"/>
  <c r="AN17" i="3"/>
  <c r="AO17" i="3" s="1"/>
  <c r="AJ17" i="3"/>
  <c r="AK17" i="3" s="1"/>
  <c r="AF17" i="3"/>
  <c r="AG17" i="3" s="1"/>
  <c r="AB17" i="3"/>
  <c r="AC17" i="3" s="1"/>
  <c r="X17" i="3"/>
  <c r="Y17" i="3" s="1"/>
  <c r="T17" i="3"/>
  <c r="U17" i="3" s="1"/>
  <c r="P17" i="3"/>
  <c r="Q17" i="3" s="1"/>
  <c r="L17" i="3"/>
  <c r="M17" i="3" s="1"/>
  <c r="H17" i="3"/>
  <c r="I17" i="3" s="1"/>
  <c r="D17" i="3"/>
  <c r="E17" i="3" s="1"/>
  <c r="AZ16" i="3"/>
  <c r="AZ70" i="3" s="1"/>
  <c r="AV16" i="3"/>
  <c r="AV70" i="3" s="1"/>
  <c r="AR16" i="3"/>
  <c r="AR70" i="3" s="1"/>
  <c r="AN16" i="3"/>
  <c r="AJ16" i="3"/>
  <c r="AJ70" i="3" s="1"/>
  <c r="AF16" i="3"/>
  <c r="AF70" i="3" s="1"/>
  <c r="AC16" i="3"/>
  <c r="AB16" i="3"/>
  <c r="AB70" i="3" s="1"/>
  <c r="X16" i="3"/>
  <c r="T16" i="3"/>
  <c r="T70" i="3" s="1"/>
  <c r="P16" i="3"/>
  <c r="P70" i="3" s="1"/>
  <c r="L16" i="3"/>
  <c r="L70" i="3" s="1"/>
  <c r="H16" i="3"/>
  <c r="D16" i="3"/>
  <c r="D70" i="3" s="1"/>
  <c r="AZ15" i="3"/>
  <c r="BA15" i="3" s="1"/>
  <c r="BB15" i="3" s="1"/>
  <c r="BC15" i="3" s="1"/>
  <c r="AV15" i="3"/>
  <c r="AW15" i="3" s="1"/>
  <c r="AR15" i="3"/>
  <c r="AS15" i="3" s="1"/>
  <c r="AT15" i="3" s="1"/>
  <c r="AN15" i="3"/>
  <c r="AJ15" i="3"/>
  <c r="AF15" i="3"/>
  <c r="AB15" i="3"/>
  <c r="AC15" i="3" s="1"/>
  <c r="AD15" i="3" s="1"/>
  <c r="X15" i="3"/>
  <c r="Y15" i="3" s="1"/>
  <c r="Z15" i="3" s="1"/>
  <c r="T15" i="3"/>
  <c r="U15" i="3" s="1"/>
  <c r="P15" i="3"/>
  <c r="Q15" i="3" s="1"/>
  <c r="L15" i="3"/>
  <c r="M15" i="3" s="1"/>
  <c r="N15" i="3" s="1"/>
  <c r="H15" i="3"/>
  <c r="I15" i="3" s="1"/>
  <c r="J15" i="3" s="1"/>
  <c r="D15" i="3"/>
  <c r="E15" i="3" s="1"/>
  <c r="AZ14" i="3"/>
  <c r="AZ94" i="3" s="1"/>
  <c r="AV14" i="3"/>
  <c r="AV94" i="3" s="1"/>
  <c r="AR14" i="3"/>
  <c r="AR94" i="3" s="1"/>
  <c r="AN14" i="3"/>
  <c r="AJ14" i="3"/>
  <c r="AF14" i="3"/>
  <c r="AB14" i="3"/>
  <c r="AC14" i="3" s="1"/>
  <c r="X14" i="3"/>
  <c r="Y14" i="3" s="1"/>
  <c r="T14" i="3"/>
  <c r="U14" i="3" s="1"/>
  <c r="P14" i="3"/>
  <c r="Q14" i="3" s="1"/>
  <c r="L14" i="3"/>
  <c r="M14" i="3" s="1"/>
  <c r="H14" i="3"/>
  <c r="I14" i="3" s="1"/>
  <c r="D14" i="3"/>
  <c r="E14" i="3" s="1"/>
  <c r="CU21" i="3"/>
  <c r="CU123" i="3" s="1"/>
  <c r="CT21" i="3"/>
  <c r="CT123" i="3" s="1"/>
  <c r="CU20" i="3"/>
  <c r="CU122" i="3" s="1"/>
  <c r="CU18" i="3"/>
  <c r="CU120" i="3" s="1"/>
  <c r="CU17" i="3"/>
  <c r="CU119" i="3" s="1"/>
  <c r="CU16" i="3"/>
  <c r="CU14" i="3"/>
  <c r="CU116" i="3" s="1"/>
  <c r="CE21" i="3"/>
  <c r="CE123" i="3" s="1"/>
  <c r="CD21" i="3"/>
  <c r="CD123" i="3" s="1"/>
  <c r="CC21" i="3"/>
  <c r="CC123" i="3" s="1"/>
  <c r="CE20" i="3"/>
  <c r="CE122" i="3" s="1"/>
  <c r="CE18" i="3"/>
  <c r="CE120" i="3" s="1"/>
  <c r="CE17" i="3"/>
  <c r="CE119" i="3" s="1"/>
  <c r="CE16" i="3"/>
  <c r="CE14" i="3"/>
  <c r="CD14" i="3"/>
  <c r="AZ13" i="3"/>
  <c r="AV13" i="3"/>
  <c r="AR13" i="3"/>
  <c r="AR140" i="1" s="1"/>
  <c r="AN13" i="3"/>
  <c r="AJ13" i="3"/>
  <c r="AF13" i="3"/>
  <c r="AB13" i="3"/>
  <c r="AB140" i="1" s="1"/>
  <c r="X13" i="3"/>
  <c r="T13" i="3"/>
  <c r="P13" i="3"/>
  <c r="L13" i="3"/>
  <c r="L140" i="1" s="1"/>
  <c r="H13" i="3"/>
  <c r="D13" i="3"/>
  <c r="B6" i="3"/>
  <c r="AG183" i="2"/>
  <c r="AL155" i="2"/>
  <c r="AK155" i="2"/>
  <c r="AJ155" i="2"/>
  <c r="AH155" i="2"/>
  <c r="AG155" i="2"/>
  <c r="AF155" i="2"/>
  <c r="AE155" i="2"/>
  <c r="AD155" i="2"/>
  <c r="AC155" i="2"/>
  <c r="AB155" i="2"/>
  <c r="AZ154" i="2"/>
  <c r="BA154" i="2" s="1"/>
  <c r="BB154" i="2" s="1"/>
  <c r="BC154" i="2" s="1"/>
  <c r="BD154" i="2" s="1"/>
  <c r="BE154" i="2" s="1"/>
  <c r="BF154" i="2" s="1"/>
  <c r="BG154" i="2" s="1"/>
  <c r="BH154" i="2" s="1"/>
  <c r="BI154" i="2" s="1"/>
  <c r="BJ154" i="2" s="1"/>
  <c r="BK154" i="2" s="1"/>
  <c r="BL154" i="2" s="1"/>
  <c r="BM154" i="2" s="1"/>
  <c r="BN154" i="2" s="1"/>
  <c r="BO154" i="2" s="1"/>
  <c r="AV154" i="2"/>
  <c r="AW154" i="2" s="1"/>
  <c r="AX154" i="2" s="1"/>
  <c r="AL145" i="2"/>
  <c r="AK145" i="2"/>
  <c r="AJ145" i="2"/>
  <c r="AH145" i="2"/>
  <c r="AG145" i="2"/>
  <c r="AF145" i="2"/>
  <c r="AE145" i="2"/>
  <c r="CB144" i="2"/>
  <c r="CA144" i="2"/>
  <c r="BZ144" i="2"/>
  <c r="CB143" i="2"/>
  <c r="CA143" i="2"/>
  <c r="BZ143" i="2"/>
  <c r="AL142" i="2"/>
  <c r="AX141" i="2"/>
  <c r="AX140" i="2"/>
  <c r="AE139" i="2"/>
  <c r="AE138" i="2"/>
  <c r="BK133" i="2"/>
  <c r="CE133" i="2" s="1"/>
  <c r="BJ133" i="2"/>
  <c r="BI133" i="2"/>
  <c r="BH133" i="2"/>
  <c r="BG133" i="2"/>
  <c r="CD133" i="2" s="1"/>
  <c r="BF133" i="2"/>
  <c r="BE133" i="2"/>
  <c r="BD133" i="2"/>
  <c r="BC133" i="2"/>
  <c r="CC133" i="2" s="1"/>
  <c r="BB133" i="2"/>
  <c r="BA133" i="2"/>
  <c r="AZ133" i="2"/>
  <c r="AY133" i="2"/>
  <c r="CB133" i="2" s="1"/>
  <c r="AX133" i="2"/>
  <c r="AW133" i="2"/>
  <c r="AV133" i="2"/>
  <c r="AU133" i="2"/>
  <c r="CA133" i="2" s="1"/>
  <c r="AT133" i="2"/>
  <c r="AS133" i="2"/>
  <c r="AR133" i="2"/>
  <c r="AQ133" i="2"/>
  <c r="BZ133" i="2" s="1"/>
  <c r="AP133" i="2"/>
  <c r="AO133" i="2"/>
  <c r="AN133" i="2"/>
  <c r="AM133" i="2"/>
  <c r="AL133" i="2"/>
  <c r="AL143" i="2" s="1"/>
  <c r="AK133" i="2"/>
  <c r="AK143" i="2" s="1"/>
  <c r="AJ133" i="2"/>
  <c r="AJ143" i="2" s="1"/>
  <c r="AI133" i="2"/>
  <c r="AH133" i="2"/>
  <c r="AH143" i="2" s="1"/>
  <c r="AG133" i="2"/>
  <c r="AG143" i="2" s="1"/>
  <c r="AF133" i="2"/>
  <c r="AF143" i="2" s="1"/>
  <c r="AE133" i="2"/>
  <c r="AM132" i="2"/>
  <c r="AN132" i="2" s="1"/>
  <c r="AE127" i="2"/>
  <c r="AE126" i="2"/>
  <c r="AE136" i="2" s="1"/>
  <c r="BA131" i="2"/>
  <c r="BB131" i="2" s="1"/>
  <c r="BC131" i="2" s="1"/>
  <c r="BA130" i="2"/>
  <c r="BB130" i="2" s="1"/>
  <c r="BK127" i="2"/>
  <c r="BJ127" i="2"/>
  <c r="BI127" i="2"/>
  <c r="BH127" i="2"/>
  <c r="BG127" i="2"/>
  <c r="BF127" i="2"/>
  <c r="BE127" i="2"/>
  <c r="BD127" i="2"/>
  <c r="BC127" i="2"/>
  <c r="BB127" i="2"/>
  <c r="BA127" i="2"/>
  <c r="BK126" i="2"/>
  <c r="CE126" i="2" s="1"/>
  <c r="BJ126" i="2"/>
  <c r="BI126" i="2"/>
  <c r="BH126" i="2"/>
  <c r="BG126" i="2"/>
  <c r="CD126" i="2" s="1"/>
  <c r="BF126" i="2"/>
  <c r="BE126" i="2"/>
  <c r="BD126" i="2"/>
  <c r="BC126" i="2"/>
  <c r="CC126" i="2" s="1"/>
  <c r="BB126" i="2"/>
  <c r="BA126" i="2"/>
  <c r="AF129" i="2"/>
  <c r="AG129" i="2" s="1"/>
  <c r="AG139" i="2" s="1"/>
  <c r="AF128" i="2"/>
  <c r="AG128" i="2" s="1"/>
  <c r="AZ127" i="2"/>
  <c r="AY127" i="2"/>
  <c r="AX127" i="2"/>
  <c r="AW127" i="2"/>
  <c r="AV127" i="2"/>
  <c r="AU127" i="2"/>
  <c r="CA127" i="2" s="1"/>
  <c r="AT127" i="2"/>
  <c r="AS127" i="2"/>
  <c r="AR127" i="2"/>
  <c r="AQ127" i="2"/>
  <c r="BZ127" i="2" s="1"/>
  <c r="AP127" i="2"/>
  <c r="AO127" i="2"/>
  <c r="AN127" i="2"/>
  <c r="AM127" i="2"/>
  <c r="BY127" i="2" s="1"/>
  <c r="AL127" i="2"/>
  <c r="AK127" i="2"/>
  <c r="AJ127" i="2"/>
  <c r="AI127" i="2"/>
  <c r="BX127" i="2" s="1"/>
  <c r="AH127" i="2"/>
  <c r="AG127" i="2"/>
  <c r="AF127" i="2"/>
  <c r="AZ126" i="2"/>
  <c r="AY126" i="2"/>
  <c r="AX126" i="2"/>
  <c r="AW126" i="2"/>
  <c r="AV126" i="2"/>
  <c r="AU126" i="2"/>
  <c r="CA126" i="2" s="1"/>
  <c r="AT126" i="2"/>
  <c r="AS126" i="2"/>
  <c r="AR126" i="2"/>
  <c r="AQ126" i="2"/>
  <c r="BZ126" i="2" s="1"/>
  <c r="AP126" i="2"/>
  <c r="AO126" i="2"/>
  <c r="AN126" i="2"/>
  <c r="AM126" i="2"/>
  <c r="AL126" i="2"/>
  <c r="AK126" i="2"/>
  <c r="AJ126" i="2"/>
  <c r="AI126" i="2"/>
  <c r="BX126" i="2" s="1"/>
  <c r="AH126" i="2"/>
  <c r="AG126" i="2"/>
  <c r="AF126" i="2"/>
  <c r="BW129" i="2"/>
  <c r="BW128" i="2"/>
  <c r="CE127" i="2"/>
  <c r="CB127" i="2"/>
  <c r="BW127" i="2"/>
  <c r="CB126" i="2"/>
  <c r="BW126" i="2"/>
  <c r="CE125" i="2"/>
  <c r="CD125" i="2"/>
  <c r="CC125" i="2"/>
  <c r="CB125" i="2"/>
  <c r="CA125" i="2"/>
  <c r="BZ125" i="2"/>
  <c r="BY125" i="2"/>
  <c r="BX125" i="2"/>
  <c r="BW125" i="2"/>
  <c r="BK119" i="2"/>
  <c r="BJ119" i="2"/>
  <c r="BI119" i="2"/>
  <c r="BG119" i="2"/>
  <c r="BF119" i="2"/>
  <c r="BE119" i="2"/>
  <c r="BC119" i="2"/>
  <c r="BB119" i="2"/>
  <c r="BA119" i="2"/>
  <c r="AY119" i="2"/>
  <c r="AX119" i="2"/>
  <c r="AW119" i="2"/>
  <c r="AU119" i="2"/>
  <c r="AT119" i="2"/>
  <c r="AS119" i="2"/>
  <c r="AQ119" i="2"/>
  <c r="AP119" i="2"/>
  <c r="AO119" i="2"/>
  <c r="AC119" i="2"/>
  <c r="AJ116" i="2"/>
  <c r="AJ119" i="2" s="1"/>
  <c r="AG116" i="2"/>
  <c r="AG119" i="2" s="1"/>
  <c r="AF116" i="2"/>
  <c r="AF119" i="2" s="1"/>
  <c r="AZ112" i="2"/>
  <c r="AV112" i="2"/>
  <c r="AT112" i="2"/>
  <c r="AS112" i="2"/>
  <c r="AR112" i="2"/>
  <c r="AQ112" i="2"/>
  <c r="AP112" i="2"/>
  <c r="AO112" i="2"/>
  <c r="AN112" i="2"/>
  <c r="AM112" i="2"/>
  <c r="BY112" i="2" s="1"/>
  <c r="AL112" i="2"/>
  <c r="AK112" i="2"/>
  <c r="AJ112" i="2"/>
  <c r="AI112" i="2"/>
  <c r="BX112" i="2" s="1"/>
  <c r="AH112" i="2"/>
  <c r="AG112" i="2"/>
  <c r="AF112" i="2"/>
  <c r="AE112" i="2"/>
  <c r="BW112" i="2" s="1"/>
  <c r="AD112" i="2"/>
  <c r="AC112" i="2"/>
  <c r="AB112" i="2"/>
  <c r="BZ112" i="2"/>
  <c r="CB111" i="2"/>
  <c r="CA111" i="2"/>
  <c r="BX111" i="2"/>
  <c r="BW111" i="2"/>
  <c r="BX109" i="2"/>
  <c r="BW109" i="2"/>
  <c r="AM109" i="2"/>
  <c r="BY109" i="2" s="1"/>
  <c r="BA108" i="2"/>
  <c r="BB108" i="2" s="1"/>
  <c r="BC108" i="2" s="1"/>
  <c r="BA107" i="2"/>
  <c r="BB107" i="2" s="1"/>
  <c r="BC107" i="2" s="1"/>
  <c r="BD107" i="2" s="1"/>
  <c r="BE107" i="2" s="1"/>
  <c r="BF107" i="2" s="1"/>
  <c r="BG107" i="2" s="1"/>
  <c r="CD107" i="2" s="1"/>
  <c r="BJ106" i="2"/>
  <c r="BK106" i="2" s="1"/>
  <c r="BF106" i="2"/>
  <c r="BG106" i="2" s="1"/>
  <c r="AX106" i="2"/>
  <c r="AY106" i="2" s="1"/>
  <c r="AF106" i="2"/>
  <c r="AG106" i="2" s="1"/>
  <c r="AH106" i="2" s="1"/>
  <c r="AI106" i="2" s="1"/>
  <c r="BK105" i="2"/>
  <c r="BG105" i="2"/>
  <c r="BC105" i="2"/>
  <c r="BD105" i="2" s="1"/>
  <c r="BE105" i="2" s="1"/>
  <c r="BA105" i="2"/>
  <c r="AY105" i="2"/>
  <c r="CB105" i="2" s="1"/>
  <c r="AW105" i="2"/>
  <c r="AU105" i="2"/>
  <c r="CA105" i="2" s="1"/>
  <c r="AQ105" i="2"/>
  <c r="BZ105" i="2" s="1"/>
  <c r="AF105" i="2"/>
  <c r="AG105" i="2" s="1"/>
  <c r="AH105" i="2" s="1"/>
  <c r="AI105" i="2" s="1"/>
  <c r="BX105" i="2" s="1"/>
  <c r="AB104" i="2"/>
  <c r="AB110" i="2" s="1"/>
  <c r="CB108" i="2"/>
  <c r="CB107" i="2"/>
  <c r="BW106" i="2"/>
  <c r="BY105" i="2"/>
  <c r="BW105" i="2"/>
  <c r="BW103" i="2"/>
  <c r="AF103" i="2"/>
  <c r="BA94" i="2"/>
  <c r="AZ94" i="2"/>
  <c r="AY94" i="2"/>
  <c r="AX94" i="2"/>
  <c r="AW94" i="2"/>
  <c r="AV94" i="2"/>
  <c r="AU94" i="2"/>
  <c r="AT94" i="2"/>
  <c r="AS94" i="2"/>
  <c r="AR94" i="2"/>
  <c r="AQ94" i="2"/>
  <c r="AP94" i="2"/>
  <c r="AO94" i="2"/>
  <c r="AN94" i="2"/>
  <c r="AM94" i="2"/>
  <c r="AL94" i="2"/>
  <c r="AK94" i="2"/>
  <c r="AJ94" i="2"/>
  <c r="AH94" i="2"/>
  <c r="AG94" i="2"/>
  <c r="AF94" i="2"/>
  <c r="AE94" i="2"/>
  <c r="AD94" i="2"/>
  <c r="AC94" i="2"/>
  <c r="AB94" i="2"/>
  <c r="AA94" i="2"/>
  <c r="Z94" i="2"/>
  <c r="Y94" i="2"/>
  <c r="X94" i="2"/>
  <c r="W94" i="2"/>
  <c r="V94" i="2"/>
  <c r="U94" i="2"/>
  <c r="T94" i="2"/>
  <c r="S94" i="2"/>
  <c r="R94" i="2"/>
  <c r="Q94" i="2"/>
  <c r="P94" i="2"/>
  <c r="O94" i="2"/>
  <c r="N94" i="2"/>
  <c r="M94" i="2"/>
  <c r="L94" i="2"/>
  <c r="K94" i="2"/>
  <c r="J94" i="2"/>
  <c r="I94" i="2"/>
  <c r="H94" i="2"/>
  <c r="G94" i="2"/>
  <c r="F94" i="2"/>
  <c r="E94" i="2"/>
  <c r="D94" i="2"/>
  <c r="AZ87" i="2"/>
  <c r="AW87" i="2"/>
  <c r="AV87" i="2"/>
  <c r="AB87" i="2"/>
  <c r="AA87" i="2"/>
  <c r="Z87" i="2"/>
  <c r="Y87" i="2"/>
  <c r="X87" i="2"/>
  <c r="W87" i="2"/>
  <c r="V87" i="2"/>
  <c r="U87" i="2"/>
  <c r="T87" i="2"/>
  <c r="S87" i="2"/>
  <c r="R87" i="2"/>
  <c r="Q87" i="2"/>
  <c r="P87" i="2"/>
  <c r="O87" i="2"/>
  <c r="N87" i="2"/>
  <c r="M87" i="2"/>
  <c r="L87" i="2"/>
  <c r="K87" i="2"/>
  <c r="J87" i="2"/>
  <c r="I87" i="2"/>
  <c r="H87" i="2"/>
  <c r="G87" i="2"/>
  <c r="F87" i="2"/>
  <c r="E87" i="2"/>
  <c r="D87" i="2"/>
  <c r="BA85" i="2"/>
  <c r="BA151" i="2" s="1"/>
  <c r="AZ85" i="2"/>
  <c r="AZ151" i="2" s="1"/>
  <c r="AY85" i="2"/>
  <c r="AY151" i="2" s="1"/>
  <c r="CB151" i="2" s="1"/>
  <c r="AX85" i="2"/>
  <c r="AX151" i="2" s="1"/>
  <c r="AW85" i="2"/>
  <c r="AW151" i="2" s="1"/>
  <c r="AV85" i="2"/>
  <c r="AV151" i="2" s="1"/>
  <c r="AU85" i="2"/>
  <c r="AU151" i="2" s="1"/>
  <c r="CA151" i="2" s="1"/>
  <c r="AT85" i="2"/>
  <c r="AT151" i="2" s="1"/>
  <c r="AS85" i="2"/>
  <c r="AS151" i="2" s="1"/>
  <c r="AR85" i="2"/>
  <c r="AR151" i="2" s="1"/>
  <c r="AP85" i="2"/>
  <c r="AP151" i="2" s="1"/>
  <c r="AO85" i="2"/>
  <c r="AO151" i="2" s="1"/>
  <c r="AN85" i="2"/>
  <c r="AN151" i="2" s="1"/>
  <c r="AM85" i="2"/>
  <c r="AM151" i="2" s="1"/>
  <c r="BY151" i="2" s="1"/>
  <c r="AL85" i="2"/>
  <c r="AL151" i="2" s="1"/>
  <c r="AK85" i="2"/>
  <c r="AK151" i="2" s="1"/>
  <c r="AJ85" i="2"/>
  <c r="AJ151" i="2" s="1"/>
  <c r="AI85" i="2"/>
  <c r="AI151" i="2" s="1"/>
  <c r="BX151" i="2" s="1"/>
  <c r="AH85" i="2"/>
  <c r="AH151" i="2" s="1"/>
  <c r="AG85" i="2"/>
  <c r="AG151" i="2" s="1"/>
  <c r="AF85" i="2"/>
  <c r="AF151" i="2" s="1"/>
  <c r="AE85" i="2"/>
  <c r="AE151" i="2" s="1"/>
  <c r="BW151" i="2" s="1"/>
  <c r="AD85" i="2"/>
  <c r="AD151" i="2" s="1"/>
  <c r="AC85" i="2"/>
  <c r="AC151" i="2" s="1"/>
  <c r="AB85" i="2"/>
  <c r="AB151" i="2" s="1"/>
  <c r="AA85" i="2"/>
  <c r="BV85" i="2" s="1"/>
  <c r="Z85" i="2"/>
  <c r="Y85" i="2"/>
  <c r="X85" i="2"/>
  <c r="W85" i="2"/>
  <c r="BU85" i="2" s="1"/>
  <c r="V85" i="2"/>
  <c r="U85" i="2"/>
  <c r="T85" i="2"/>
  <c r="S85" i="2"/>
  <c r="BT85" i="2" s="1"/>
  <c r="R85" i="2"/>
  <c r="Q85" i="2"/>
  <c r="P85" i="2"/>
  <c r="O85" i="2"/>
  <c r="BS85" i="2" s="1"/>
  <c r="N85" i="2"/>
  <c r="M85" i="2"/>
  <c r="L85" i="2"/>
  <c r="K85" i="2"/>
  <c r="BR85" i="2" s="1"/>
  <c r="J85" i="2"/>
  <c r="I85" i="2"/>
  <c r="H85" i="2"/>
  <c r="G85" i="2"/>
  <c r="BQ85" i="2" s="1"/>
  <c r="F85" i="2"/>
  <c r="E85" i="2"/>
  <c r="D85" i="2"/>
  <c r="AZ84" i="2"/>
  <c r="AZ150" i="2" s="1"/>
  <c r="AZ152" i="2" s="1"/>
  <c r="BA155" i="2" s="1"/>
  <c r="AY84" i="2"/>
  <c r="AY150" i="2" s="1"/>
  <c r="AX84" i="2"/>
  <c r="AX150" i="2" s="1"/>
  <c r="AX152" i="2" s="1"/>
  <c r="AY155" i="2" s="1"/>
  <c r="AW84" i="2"/>
  <c r="AW150" i="2" s="1"/>
  <c r="AW152" i="2" s="1"/>
  <c r="AV84" i="2"/>
  <c r="AV150" i="2" s="1"/>
  <c r="AV152" i="2" s="1"/>
  <c r="AU84" i="2"/>
  <c r="AU150" i="2" s="1"/>
  <c r="AT84" i="2"/>
  <c r="AT150" i="2" s="1"/>
  <c r="AT152" i="2" s="1"/>
  <c r="AU155" i="2" s="1"/>
  <c r="AS84" i="2"/>
  <c r="AS150" i="2" s="1"/>
  <c r="AS152" i="2" s="1"/>
  <c r="AT155" i="2" s="1"/>
  <c r="AR84" i="2"/>
  <c r="AR150" i="2" s="1"/>
  <c r="AR152" i="2" s="1"/>
  <c r="AQ84" i="2"/>
  <c r="AQ150" i="2" s="1"/>
  <c r="AP84" i="2"/>
  <c r="AO84" i="2"/>
  <c r="AO150" i="2" s="1"/>
  <c r="AN84" i="2"/>
  <c r="AN150" i="2" s="1"/>
  <c r="AM84" i="2"/>
  <c r="AM150" i="2" s="1"/>
  <c r="AL84" i="2"/>
  <c r="AK84" i="2"/>
  <c r="AK150" i="2" s="1"/>
  <c r="AJ84" i="2"/>
  <c r="AJ150" i="2" s="1"/>
  <c r="AI84" i="2"/>
  <c r="AI150" i="2" s="1"/>
  <c r="AH84" i="2"/>
  <c r="AH150" i="2" s="1"/>
  <c r="AG84" i="2"/>
  <c r="AG150" i="2" s="1"/>
  <c r="AF84" i="2"/>
  <c r="AF150" i="2" s="1"/>
  <c r="AE84" i="2"/>
  <c r="AE150" i="2" s="1"/>
  <c r="AD84" i="2"/>
  <c r="AD150" i="2" s="1"/>
  <c r="AC84" i="2"/>
  <c r="AC150" i="2" s="1"/>
  <c r="AB84" i="2"/>
  <c r="AB150" i="2" s="1"/>
  <c r="AA84" i="2"/>
  <c r="Z84" i="2"/>
  <c r="Y84" i="2"/>
  <c r="X84" i="2"/>
  <c r="W84" i="2"/>
  <c r="V84" i="2"/>
  <c r="U84" i="2"/>
  <c r="T84" i="2"/>
  <c r="S84" i="2"/>
  <c r="BT84" i="2" s="1"/>
  <c r="R84" i="2"/>
  <c r="Q84" i="2"/>
  <c r="P84" i="2"/>
  <c r="O84" i="2"/>
  <c r="N84" i="2"/>
  <c r="M84" i="2"/>
  <c r="L84" i="2"/>
  <c r="K84" i="2"/>
  <c r="J84" i="2"/>
  <c r="I84" i="2"/>
  <c r="H84" i="2"/>
  <c r="G84" i="2"/>
  <c r="F84" i="2"/>
  <c r="E84" i="2"/>
  <c r="D84" i="2"/>
  <c r="BA81" i="2"/>
  <c r="BA93" i="2" s="1"/>
  <c r="AZ81" i="2"/>
  <c r="AZ93" i="2" s="1"/>
  <c r="AY81" i="2"/>
  <c r="AY93" i="2" s="1"/>
  <c r="AX81" i="2"/>
  <c r="AX93" i="2" s="1"/>
  <c r="AW81" i="2"/>
  <c r="AW93" i="2" s="1"/>
  <c r="AV81" i="2"/>
  <c r="AV93" i="2" s="1"/>
  <c r="AU81" i="2"/>
  <c r="AU93" i="2" s="1"/>
  <c r="AT81" i="2"/>
  <c r="AT93" i="2" s="1"/>
  <c r="AS81" i="2"/>
  <c r="AS93" i="2" s="1"/>
  <c r="AR81" i="2"/>
  <c r="AR93" i="2" s="1"/>
  <c r="AQ81" i="2"/>
  <c r="AQ93" i="2" s="1"/>
  <c r="AP81" i="2"/>
  <c r="AP93" i="2" s="1"/>
  <c r="AO81" i="2"/>
  <c r="AO93" i="2" s="1"/>
  <c r="AN81" i="2"/>
  <c r="AN93" i="2" s="1"/>
  <c r="AM81" i="2"/>
  <c r="AM93" i="2" s="1"/>
  <c r="AL81" i="2"/>
  <c r="AL93" i="2" s="1"/>
  <c r="AK81" i="2"/>
  <c r="AK93" i="2" s="1"/>
  <c r="AJ81" i="2"/>
  <c r="AJ93" i="2" s="1"/>
  <c r="AI81" i="2"/>
  <c r="AI93" i="2" s="1"/>
  <c r="AH81" i="2"/>
  <c r="AH93" i="2" s="1"/>
  <c r="AG81" i="2"/>
  <c r="AG93" i="2" s="1"/>
  <c r="AF81" i="2"/>
  <c r="AF93" i="2" s="1"/>
  <c r="AE81" i="2"/>
  <c r="AE93" i="2" s="1"/>
  <c r="AD81" i="2"/>
  <c r="AD93" i="2" s="1"/>
  <c r="AC81" i="2"/>
  <c r="AC93" i="2" s="1"/>
  <c r="AB81" i="2"/>
  <c r="AB93" i="2" s="1"/>
  <c r="AA81" i="2"/>
  <c r="AA93" i="2" s="1"/>
  <c r="Z81" i="2"/>
  <c r="Z93" i="2" s="1"/>
  <c r="Y81" i="2"/>
  <c r="Y93" i="2" s="1"/>
  <c r="X81" i="2"/>
  <c r="X93" i="2" s="1"/>
  <c r="W81" i="2"/>
  <c r="W93" i="2" s="1"/>
  <c r="V81" i="2"/>
  <c r="V93" i="2" s="1"/>
  <c r="U81" i="2"/>
  <c r="U93" i="2" s="1"/>
  <c r="T81" i="2"/>
  <c r="T93" i="2" s="1"/>
  <c r="S81" i="2"/>
  <c r="S93" i="2" s="1"/>
  <c r="R81" i="2"/>
  <c r="R93" i="2" s="1"/>
  <c r="Q81" i="2"/>
  <c r="Q93" i="2" s="1"/>
  <c r="P81" i="2"/>
  <c r="P93" i="2" s="1"/>
  <c r="O81" i="2"/>
  <c r="O93" i="2" s="1"/>
  <c r="N81" i="2"/>
  <c r="N93" i="2" s="1"/>
  <c r="M81" i="2"/>
  <c r="M93" i="2" s="1"/>
  <c r="L81" i="2"/>
  <c r="L93" i="2" s="1"/>
  <c r="K81" i="2"/>
  <c r="K93" i="2" s="1"/>
  <c r="J81" i="2"/>
  <c r="J93" i="2" s="1"/>
  <c r="I81" i="2"/>
  <c r="I93" i="2" s="1"/>
  <c r="H81" i="2"/>
  <c r="H93" i="2" s="1"/>
  <c r="G81" i="2"/>
  <c r="G93" i="2" s="1"/>
  <c r="F81" i="2"/>
  <c r="F93" i="2" s="1"/>
  <c r="E81" i="2"/>
  <c r="E93" i="2" s="1"/>
  <c r="D81" i="2"/>
  <c r="D93" i="2" s="1"/>
  <c r="BA76" i="2"/>
  <c r="AZ76" i="2"/>
  <c r="AY76" i="2"/>
  <c r="CB76" i="2" s="1"/>
  <c r="AX76" i="2"/>
  <c r="AW76" i="2"/>
  <c r="AV76" i="2"/>
  <c r="AU76" i="2"/>
  <c r="AT76" i="2"/>
  <c r="AS76" i="2"/>
  <c r="AR76" i="2"/>
  <c r="AQ76" i="2"/>
  <c r="BZ76" i="2" s="1"/>
  <c r="AP76" i="2"/>
  <c r="AO76" i="2"/>
  <c r="AN76" i="2"/>
  <c r="CP76" i="2" s="1"/>
  <c r="AM76" i="2"/>
  <c r="BY76" i="2" s="1"/>
  <c r="AL76" i="2"/>
  <c r="AK76" i="2"/>
  <c r="AJ76" i="2"/>
  <c r="AI76" i="2"/>
  <c r="BX76" i="2" s="1"/>
  <c r="AH76" i="2"/>
  <c r="AG76" i="2"/>
  <c r="AF76" i="2"/>
  <c r="AE76" i="2"/>
  <c r="BW76" i="2" s="1"/>
  <c r="AD76" i="2"/>
  <c r="AC76" i="2"/>
  <c r="AB76" i="2"/>
  <c r="AA76" i="2"/>
  <c r="BV76" i="2" s="1"/>
  <c r="Z76" i="2"/>
  <c r="Y76" i="2"/>
  <c r="X76" i="2"/>
  <c r="CL76" i="2" s="1"/>
  <c r="W76" i="2"/>
  <c r="BU76" i="2" s="1"/>
  <c r="V76" i="2"/>
  <c r="U76" i="2"/>
  <c r="T76" i="2"/>
  <c r="S76" i="2"/>
  <c r="BT76" i="2" s="1"/>
  <c r="R76" i="2"/>
  <c r="Q76" i="2"/>
  <c r="P76" i="2"/>
  <c r="O76" i="2"/>
  <c r="BS76" i="2" s="1"/>
  <c r="N76" i="2"/>
  <c r="M76" i="2"/>
  <c r="L76" i="2"/>
  <c r="K76" i="2"/>
  <c r="BR76" i="2" s="1"/>
  <c r="J76" i="2"/>
  <c r="I76" i="2"/>
  <c r="H76" i="2"/>
  <c r="CH76" i="2" s="1"/>
  <c r="G76" i="2"/>
  <c r="BQ76" i="2" s="1"/>
  <c r="F76" i="2"/>
  <c r="E76" i="2"/>
  <c r="D76" i="2"/>
  <c r="AL71" i="2"/>
  <c r="AL70" i="2"/>
  <c r="CS73" i="2"/>
  <c r="CR73" i="2"/>
  <c r="CQ73" i="2"/>
  <c r="CP73" i="2"/>
  <c r="CO73" i="2"/>
  <c r="CN73" i="2"/>
  <c r="CM73" i="2"/>
  <c r="CL73" i="2"/>
  <c r="CK73" i="2"/>
  <c r="CJ73" i="2"/>
  <c r="CI73" i="2"/>
  <c r="CH73" i="2"/>
  <c r="CS72" i="2"/>
  <c r="CR72" i="2"/>
  <c r="CQ72" i="2"/>
  <c r="CP72" i="2"/>
  <c r="CO72" i="2"/>
  <c r="CN72" i="2"/>
  <c r="CM72" i="2"/>
  <c r="CL72" i="2"/>
  <c r="CK72" i="2"/>
  <c r="CJ72" i="2"/>
  <c r="CI72" i="2"/>
  <c r="CH72" i="2"/>
  <c r="CU71" i="2"/>
  <c r="CT71" i="2"/>
  <c r="CS71" i="2"/>
  <c r="CR71" i="2"/>
  <c r="CQ71" i="2"/>
  <c r="CP71" i="2"/>
  <c r="CO71" i="2"/>
  <c r="CN71" i="2"/>
  <c r="CM71" i="2"/>
  <c r="CL71" i="2"/>
  <c r="CK71" i="2"/>
  <c r="CJ71" i="2"/>
  <c r="CI71" i="2"/>
  <c r="CH71" i="2"/>
  <c r="CU70" i="2"/>
  <c r="CT70" i="2"/>
  <c r="CS70" i="2"/>
  <c r="CR70" i="2"/>
  <c r="CQ70" i="2"/>
  <c r="CP70" i="2"/>
  <c r="CO70" i="2"/>
  <c r="CN70" i="2"/>
  <c r="CM70" i="2"/>
  <c r="CL70" i="2"/>
  <c r="CK70" i="2"/>
  <c r="CJ70" i="2"/>
  <c r="CI70" i="2"/>
  <c r="CH70" i="2"/>
  <c r="CB73" i="2"/>
  <c r="CA73" i="2"/>
  <c r="BZ73" i="2"/>
  <c r="BY73" i="2"/>
  <c r="BX73" i="2"/>
  <c r="BW73" i="2"/>
  <c r="BV73" i="2"/>
  <c r="BU73" i="2"/>
  <c r="BT73" i="2"/>
  <c r="BS73" i="2"/>
  <c r="BR73" i="2"/>
  <c r="BQ73" i="2"/>
  <c r="CB72" i="2"/>
  <c r="CA72" i="2"/>
  <c r="BZ72" i="2"/>
  <c r="BY72" i="2"/>
  <c r="BX72" i="2"/>
  <c r="BW72" i="2"/>
  <c r="BV72" i="2"/>
  <c r="BU72" i="2"/>
  <c r="BT72" i="2"/>
  <c r="BS72" i="2"/>
  <c r="BR72" i="2"/>
  <c r="BQ72" i="2"/>
  <c r="CE71" i="2"/>
  <c r="CD71" i="2"/>
  <c r="CC71" i="2"/>
  <c r="CB71" i="2"/>
  <c r="CA71" i="2"/>
  <c r="BZ71" i="2"/>
  <c r="BY71" i="2"/>
  <c r="BX71" i="2"/>
  <c r="BW71" i="2"/>
  <c r="BV71" i="2"/>
  <c r="BU71" i="2"/>
  <c r="BT71" i="2"/>
  <c r="BS71" i="2"/>
  <c r="BR71" i="2"/>
  <c r="BQ71" i="2"/>
  <c r="CE70" i="2"/>
  <c r="CD70" i="2"/>
  <c r="CC70" i="2"/>
  <c r="CB70" i="2"/>
  <c r="CA70" i="2"/>
  <c r="BZ70" i="2"/>
  <c r="BY70" i="2"/>
  <c r="BX70" i="2"/>
  <c r="BW70" i="2"/>
  <c r="BV70" i="2"/>
  <c r="BU70" i="2"/>
  <c r="BT70" i="2"/>
  <c r="BS70" i="2"/>
  <c r="BR70" i="2"/>
  <c r="BQ70" i="2"/>
  <c r="AG71" i="2"/>
  <c r="AH71" i="2" s="1"/>
  <c r="AG70" i="2"/>
  <c r="AH70" i="2" s="1"/>
  <c r="AY68" i="2"/>
  <c r="AX68" i="2"/>
  <c r="AX74" i="2" s="1"/>
  <c r="AW68" i="2"/>
  <c r="AW74" i="2" s="1"/>
  <c r="AU68" i="2"/>
  <c r="AU74" i="2" s="1"/>
  <c r="AS68" i="2"/>
  <c r="AS74" i="2" s="1"/>
  <c r="AQ68" i="2"/>
  <c r="AQ74" i="2" s="1"/>
  <c r="AM68" i="2"/>
  <c r="AL68" i="2"/>
  <c r="AK68" i="2"/>
  <c r="AJ68" i="2"/>
  <c r="AJ74" i="2" s="1"/>
  <c r="AI68" i="2"/>
  <c r="AH68" i="2"/>
  <c r="AG68" i="2"/>
  <c r="AF68" i="2"/>
  <c r="AE68" i="2"/>
  <c r="AD68" i="2"/>
  <c r="AD74" i="2" s="1"/>
  <c r="AC68" i="2"/>
  <c r="AC74" i="2" s="1"/>
  <c r="AB68" i="2"/>
  <c r="AB74" i="2" s="1"/>
  <c r="AA68" i="2"/>
  <c r="Z68" i="2"/>
  <c r="Z74" i="2" s="1"/>
  <c r="Y68" i="2"/>
  <c r="Y74" i="2" s="1"/>
  <c r="X68" i="2"/>
  <c r="X74" i="2" s="1"/>
  <c r="W68" i="2"/>
  <c r="V68" i="2"/>
  <c r="V74" i="2" s="1"/>
  <c r="U68" i="2"/>
  <c r="U74" i="2" s="1"/>
  <c r="T68" i="2"/>
  <c r="T74" i="2" s="1"/>
  <c r="S68" i="2"/>
  <c r="R68" i="2"/>
  <c r="R74" i="2" s="1"/>
  <c r="Q68" i="2"/>
  <c r="P68" i="2"/>
  <c r="O68" i="2"/>
  <c r="N68" i="2"/>
  <c r="N74" i="2" s="1"/>
  <c r="M68" i="2"/>
  <c r="M74" i="2" s="1"/>
  <c r="L68" i="2"/>
  <c r="L74" i="2" s="1"/>
  <c r="K68" i="2"/>
  <c r="J68" i="2"/>
  <c r="I68" i="2"/>
  <c r="I74" i="2" s="1"/>
  <c r="H68" i="2"/>
  <c r="H74" i="2" s="1"/>
  <c r="G68" i="2"/>
  <c r="F68" i="2"/>
  <c r="E68" i="2"/>
  <c r="E74" i="2" s="1"/>
  <c r="D68" i="2"/>
  <c r="D74" i="2" s="1"/>
  <c r="AV64" i="2"/>
  <c r="AV68" i="2" s="1"/>
  <c r="AV74" i="2" s="1"/>
  <c r="AT64" i="2"/>
  <c r="AR64" i="2"/>
  <c r="AR68" i="2" s="1"/>
  <c r="AR74" i="2" s="1"/>
  <c r="AN64" i="2"/>
  <c r="AN68" i="2" s="1"/>
  <c r="AN74" i="2" s="1"/>
  <c r="CS67" i="2"/>
  <c r="CR67" i="2"/>
  <c r="CQ67" i="2"/>
  <c r="CP67" i="2"/>
  <c r="CO67" i="2"/>
  <c r="CN67" i="2"/>
  <c r="CM67" i="2"/>
  <c r="CL67" i="2"/>
  <c r="CK67" i="2"/>
  <c r="CJ67" i="2"/>
  <c r="CI67" i="2"/>
  <c r="CH67" i="2"/>
  <c r="CT66" i="2"/>
  <c r="CS66" i="2"/>
  <c r="CR66" i="2"/>
  <c r="CQ66" i="2"/>
  <c r="CP66" i="2"/>
  <c r="CO66" i="2"/>
  <c r="CN66" i="2"/>
  <c r="CM66" i="2"/>
  <c r="CL66" i="2"/>
  <c r="CK66" i="2"/>
  <c r="CJ66" i="2"/>
  <c r="CI66" i="2"/>
  <c r="CH66" i="2"/>
  <c r="CS65" i="2"/>
  <c r="CR65" i="2"/>
  <c r="CQ65" i="2"/>
  <c r="CP65" i="2"/>
  <c r="CO65" i="2"/>
  <c r="CN65" i="2"/>
  <c r="CM65" i="2"/>
  <c r="CL65" i="2"/>
  <c r="CK65" i="2"/>
  <c r="CJ65" i="2"/>
  <c r="CI65" i="2"/>
  <c r="CH65" i="2"/>
  <c r="CO64" i="2"/>
  <c r="CN64" i="2"/>
  <c r="CM64" i="2"/>
  <c r="CL64" i="2"/>
  <c r="CK64" i="2"/>
  <c r="CJ64" i="2"/>
  <c r="CI64" i="2"/>
  <c r="CH64" i="2"/>
  <c r="CB67" i="2"/>
  <c r="CA67" i="2"/>
  <c r="BZ67" i="2"/>
  <c r="BY67" i="2"/>
  <c r="BX67" i="2"/>
  <c r="BW67" i="2"/>
  <c r="BV67" i="2"/>
  <c r="BU67" i="2"/>
  <c r="BT67" i="2"/>
  <c r="BS67" i="2"/>
  <c r="BR67" i="2"/>
  <c r="BQ67" i="2"/>
  <c r="CC66" i="2"/>
  <c r="CB66" i="2"/>
  <c r="CA66" i="2"/>
  <c r="BZ66" i="2"/>
  <c r="BY66" i="2"/>
  <c r="BX66" i="2"/>
  <c r="BW66" i="2"/>
  <c r="BV66" i="2"/>
  <c r="BU66" i="2"/>
  <c r="BT66" i="2"/>
  <c r="BS66" i="2"/>
  <c r="BR66" i="2"/>
  <c r="BQ66" i="2"/>
  <c r="CB65" i="2"/>
  <c r="CA65" i="2"/>
  <c r="BZ65" i="2"/>
  <c r="BY65" i="2"/>
  <c r="BX65" i="2"/>
  <c r="BW65" i="2"/>
  <c r="BV65" i="2"/>
  <c r="BU65" i="2"/>
  <c r="BT65" i="2"/>
  <c r="BS65" i="2"/>
  <c r="BR65" i="2"/>
  <c r="BQ65" i="2"/>
  <c r="CB64" i="2"/>
  <c r="CA64" i="2"/>
  <c r="BZ64" i="2"/>
  <c r="BY64" i="2"/>
  <c r="BX64" i="2"/>
  <c r="BW64" i="2"/>
  <c r="BV64" i="2"/>
  <c r="BU64" i="2"/>
  <c r="BT64" i="2"/>
  <c r="BS64" i="2"/>
  <c r="BR64" i="2"/>
  <c r="BQ64" i="2"/>
  <c r="BE66" i="2"/>
  <c r="AZ64" i="2"/>
  <c r="BA64" i="2" s="1"/>
  <c r="BA68" i="2" s="1"/>
  <c r="BA74" i="2" s="1"/>
  <c r="BA60" i="2"/>
  <c r="BA55" i="2" s="1"/>
  <c r="AZ60" i="2"/>
  <c r="AZ55" i="2" s="1"/>
  <c r="AZ54" i="2" s="1"/>
  <c r="AY60" i="2"/>
  <c r="AX60" i="2"/>
  <c r="AX55" i="2" s="1"/>
  <c r="AX54" i="2" s="1"/>
  <c r="AW60" i="2"/>
  <c r="AW56" i="2" s="1"/>
  <c r="AV60" i="2"/>
  <c r="AV55" i="2" s="1"/>
  <c r="AV54" i="2" s="1"/>
  <c r="AU60" i="2"/>
  <c r="AT60" i="2"/>
  <c r="AT56" i="2" s="1"/>
  <c r="AS60" i="2"/>
  <c r="AS56" i="2" s="1"/>
  <c r="AR60" i="2"/>
  <c r="AR56" i="2" s="1"/>
  <c r="AQ60" i="2"/>
  <c r="AP60" i="2"/>
  <c r="AP55" i="2" s="1"/>
  <c r="AP54" i="2" s="1"/>
  <c r="AO60" i="2"/>
  <c r="AO56" i="2" s="1"/>
  <c r="AN60" i="2"/>
  <c r="AN55" i="2" s="1"/>
  <c r="AN54" i="2" s="1"/>
  <c r="AM60" i="2"/>
  <c r="AL60" i="2"/>
  <c r="AL56" i="2" s="1"/>
  <c r="AK60" i="2"/>
  <c r="AK55" i="2" s="1"/>
  <c r="AK54" i="2" s="1"/>
  <c r="AJ60" i="2"/>
  <c r="AJ55" i="2" s="1"/>
  <c r="AJ54" i="2" s="1"/>
  <c r="AI60" i="2"/>
  <c r="AH60" i="2"/>
  <c r="AH55" i="2" s="1"/>
  <c r="AH54" i="2" s="1"/>
  <c r="AG60" i="2"/>
  <c r="AG56" i="2" s="1"/>
  <c r="AF60" i="2"/>
  <c r="AF55" i="2" s="1"/>
  <c r="AF54" i="2" s="1"/>
  <c r="AE60" i="2"/>
  <c r="AD60" i="2"/>
  <c r="AD56" i="2" s="1"/>
  <c r="AC60" i="2"/>
  <c r="AC56" i="2" s="1"/>
  <c r="AB60" i="2"/>
  <c r="AB56" i="2" s="1"/>
  <c r="AA60" i="2"/>
  <c r="Z60" i="2"/>
  <c r="Z55" i="2" s="1"/>
  <c r="Z54" i="2" s="1"/>
  <c r="Y60" i="2"/>
  <c r="Y56" i="2" s="1"/>
  <c r="X60" i="2"/>
  <c r="X55" i="2" s="1"/>
  <c r="X54" i="2" s="1"/>
  <c r="W60" i="2"/>
  <c r="V60" i="2"/>
  <c r="V56" i="2" s="1"/>
  <c r="U60" i="2"/>
  <c r="U55" i="2" s="1"/>
  <c r="U54" i="2" s="1"/>
  <c r="T60" i="2"/>
  <c r="T55" i="2" s="1"/>
  <c r="T54" i="2" s="1"/>
  <c r="S60" i="2"/>
  <c r="R60" i="2"/>
  <c r="R55" i="2" s="1"/>
  <c r="R54" i="2" s="1"/>
  <c r="Q60" i="2"/>
  <c r="Q56" i="2" s="1"/>
  <c r="P60" i="2"/>
  <c r="P55" i="2" s="1"/>
  <c r="P54" i="2" s="1"/>
  <c r="O60" i="2"/>
  <c r="N60" i="2"/>
  <c r="N56" i="2" s="1"/>
  <c r="M60" i="2"/>
  <c r="M55" i="2" s="1"/>
  <c r="M54" i="2" s="1"/>
  <c r="L60" i="2"/>
  <c r="L56" i="2" s="1"/>
  <c r="K60" i="2"/>
  <c r="J60" i="2"/>
  <c r="J55" i="2" s="1"/>
  <c r="J54" i="2" s="1"/>
  <c r="I60" i="2"/>
  <c r="I56" i="2" s="1"/>
  <c r="H60" i="2"/>
  <c r="H55" i="2" s="1"/>
  <c r="H54" i="2" s="1"/>
  <c r="G60" i="2"/>
  <c r="F60" i="2"/>
  <c r="F56" i="2" s="1"/>
  <c r="E60" i="2"/>
  <c r="E55" i="2" s="1"/>
  <c r="E54" i="2" s="1"/>
  <c r="D60" i="2"/>
  <c r="D55" i="2" s="1"/>
  <c r="D54" i="2" s="1"/>
  <c r="BA59" i="2"/>
  <c r="BA57" i="2" s="1"/>
  <c r="AZ59" i="2"/>
  <c r="AZ57" i="2" s="1"/>
  <c r="AY59" i="2"/>
  <c r="AY57" i="2" s="1"/>
  <c r="AX59" i="2"/>
  <c r="AX53" i="2" s="1"/>
  <c r="AW59" i="2"/>
  <c r="AW53" i="2" s="1"/>
  <c r="AV59" i="2"/>
  <c r="AV53" i="2" s="1"/>
  <c r="AU59" i="2"/>
  <c r="AT59" i="2"/>
  <c r="AT57" i="2" s="1"/>
  <c r="AS59" i="2"/>
  <c r="AS53" i="2" s="1"/>
  <c r="AR59" i="2"/>
  <c r="AR53" i="2" s="1"/>
  <c r="AQ59" i="2"/>
  <c r="AQ53" i="2" s="1"/>
  <c r="AP59" i="2"/>
  <c r="AP53" i="2" s="1"/>
  <c r="AO59" i="2"/>
  <c r="AO53" i="2" s="1"/>
  <c r="AN59" i="2"/>
  <c r="AN53" i="2" s="1"/>
  <c r="AM59" i="2"/>
  <c r="AL59" i="2"/>
  <c r="AL53" i="2" s="1"/>
  <c r="AK59" i="2"/>
  <c r="AK53" i="2" s="1"/>
  <c r="AJ59" i="2"/>
  <c r="AJ57" i="2" s="1"/>
  <c r="AI59" i="2"/>
  <c r="AI53" i="2" s="1"/>
  <c r="AH59" i="2"/>
  <c r="AH57" i="2" s="1"/>
  <c r="AG59" i="2"/>
  <c r="AG53" i="2" s="1"/>
  <c r="AF59" i="2"/>
  <c r="AF57" i="2" s="1"/>
  <c r="AE59" i="2"/>
  <c r="AE57" i="2" s="1"/>
  <c r="AD59" i="2"/>
  <c r="AD57" i="2" s="1"/>
  <c r="AC59" i="2"/>
  <c r="AC57" i="2" s="1"/>
  <c r="AB59" i="2"/>
  <c r="AB57" i="2" s="1"/>
  <c r="AA59" i="2"/>
  <c r="AA57" i="2" s="1"/>
  <c r="Z59" i="2"/>
  <c r="Z57" i="2" s="1"/>
  <c r="Y59" i="2"/>
  <c r="Y53" i="2" s="1"/>
  <c r="X59" i="2"/>
  <c r="X53" i="2" s="1"/>
  <c r="W59" i="2"/>
  <c r="V59" i="2"/>
  <c r="V57" i="2" s="1"/>
  <c r="U59" i="2"/>
  <c r="U53" i="2" s="1"/>
  <c r="T59" i="2"/>
  <c r="T53" i="2" s="1"/>
  <c r="S59" i="2"/>
  <c r="S53" i="2" s="1"/>
  <c r="R59" i="2"/>
  <c r="R53" i="2" s="1"/>
  <c r="Q59" i="2"/>
  <c r="Q53" i="2" s="1"/>
  <c r="P59" i="2"/>
  <c r="P53" i="2" s="1"/>
  <c r="O59" i="2"/>
  <c r="N59" i="2"/>
  <c r="N57" i="2" s="1"/>
  <c r="M59" i="2"/>
  <c r="M53" i="2" s="1"/>
  <c r="K59" i="2"/>
  <c r="K53" i="2" s="1"/>
  <c r="J59" i="2"/>
  <c r="J53" i="2" s="1"/>
  <c r="I59" i="2"/>
  <c r="I53" i="2" s="1"/>
  <c r="H59" i="2"/>
  <c r="H53" i="2" s="1"/>
  <c r="G59" i="2"/>
  <c r="F59" i="2"/>
  <c r="F57" i="2" s="1"/>
  <c r="E59" i="2"/>
  <c r="E57" i="2" s="1"/>
  <c r="D59" i="2"/>
  <c r="D57" i="2" s="1"/>
  <c r="BE57" i="2"/>
  <c r="BF57" i="2" s="1"/>
  <c r="BG57" i="2" s="1"/>
  <c r="BH57" i="2" s="1"/>
  <c r="BI57" i="2" s="1"/>
  <c r="BJ57" i="2" s="1"/>
  <c r="BK57" i="2" s="1"/>
  <c r="BL57" i="2" s="1"/>
  <c r="AX56" i="2"/>
  <c r="AP56" i="2"/>
  <c r="AN56" i="2"/>
  <c r="AH56" i="2"/>
  <c r="Z56" i="2"/>
  <c r="X56" i="2"/>
  <c r="R56" i="2"/>
  <c r="J56" i="2"/>
  <c r="H56" i="2"/>
  <c r="AW55" i="2"/>
  <c r="AT55" i="2"/>
  <c r="AS55" i="2"/>
  <c r="AS54" i="2" s="1"/>
  <c r="AR55" i="2"/>
  <c r="AR54" i="2" s="1"/>
  <c r="AO55" i="2"/>
  <c r="AO54" i="2" s="1"/>
  <c r="AD55" i="2"/>
  <c r="AD54" i="2" s="1"/>
  <c r="Q55" i="2"/>
  <c r="Q54" i="2" s="1"/>
  <c r="AW54" i="2"/>
  <c r="AU53" i="2"/>
  <c r="AM53" i="2"/>
  <c r="AE53" i="2"/>
  <c r="W53" i="2"/>
  <c r="O53" i="2"/>
  <c r="G53" i="2"/>
  <c r="CS45" i="2"/>
  <c r="CR45" i="2"/>
  <c r="CQ45" i="2"/>
  <c r="CP45" i="2"/>
  <c r="CO45" i="2"/>
  <c r="CN45" i="2"/>
  <c r="CM45" i="2"/>
  <c r="CL45" i="2"/>
  <c r="CK45" i="2"/>
  <c r="CJ45" i="2"/>
  <c r="CI45" i="2"/>
  <c r="CH45" i="2"/>
  <c r="CB45" i="2"/>
  <c r="CA45" i="2"/>
  <c r="BZ45" i="2"/>
  <c r="BY45" i="2"/>
  <c r="BX45" i="2"/>
  <c r="BW45" i="2"/>
  <c r="BV45" i="2"/>
  <c r="BU45" i="2"/>
  <c r="BT45" i="2"/>
  <c r="BS45" i="2"/>
  <c r="BR45" i="2"/>
  <c r="BQ45" i="2"/>
  <c r="CS43" i="2"/>
  <c r="CR43" i="2"/>
  <c r="CQ43" i="2"/>
  <c r="CP43" i="2"/>
  <c r="CO43" i="2"/>
  <c r="CN43" i="2"/>
  <c r="CM43" i="2"/>
  <c r="CL43" i="2"/>
  <c r="CK43" i="2"/>
  <c r="CJ43" i="2"/>
  <c r="CI43" i="2"/>
  <c r="CH43" i="2"/>
  <c r="CS42" i="2"/>
  <c r="CR42" i="2"/>
  <c r="CQ42" i="2"/>
  <c r="CP42" i="2"/>
  <c r="CO42" i="2"/>
  <c r="CN42" i="2"/>
  <c r="CM42" i="2"/>
  <c r="CL42" i="2"/>
  <c r="CK42" i="2"/>
  <c r="CJ42" i="2"/>
  <c r="CI42" i="2"/>
  <c r="CH42" i="2"/>
  <c r="CS41" i="2"/>
  <c r="CR41" i="2"/>
  <c r="CQ41" i="2"/>
  <c r="CP41" i="2"/>
  <c r="CO41" i="2"/>
  <c r="CN41" i="2"/>
  <c r="CM41" i="2"/>
  <c r="CL41" i="2"/>
  <c r="CK41" i="2"/>
  <c r="CJ41" i="2"/>
  <c r="CI41" i="2"/>
  <c r="CH41" i="2"/>
  <c r="CS40" i="2"/>
  <c r="CR40" i="2"/>
  <c r="CQ40" i="2"/>
  <c r="CP40" i="2"/>
  <c r="CO40" i="2"/>
  <c r="CN40" i="2"/>
  <c r="CM40" i="2"/>
  <c r="CL40" i="2"/>
  <c r="CK40" i="2"/>
  <c r="CJ40" i="2"/>
  <c r="CI40" i="2"/>
  <c r="CH40" i="2"/>
  <c r="CS39" i="2"/>
  <c r="CR39" i="2"/>
  <c r="CQ39" i="2"/>
  <c r="CP39" i="2"/>
  <c r="CO39" i="2"/>
  <c r="CN39" i="2"/>
  <c r="CM39" i="2"/>
  <c r="CL39" i="2"/>
  <c r="CK39" i="2"/>
  <c r="CJ39" i="2"/>
  <c r="CI39" i="2"/>
  <c r="CH39" i="2"/>
  <c r="CB43" i="2"/>
  <c r="CA43" i="2"/>
  <c r="BZ43" i="2"/>
  <c r="BY43" i="2"/>
  <c r="BX43" i="2"/>
  <c r="BW43" i="2"/>
  <c r="BV43" i="2"/>
  <c r="BU43" i="2"/>
  <c r="BT43" i="2"/>
  <c r="BS43" i="2"/>
  <c r="BR43" i="2"/>
  <c r="BQ43" i="2"/>
  <c r="CB42" i="2"/>
  <c r="CA42" i="2"/>
  <c r="BZ42" i="2"/>
  <c r="BY42" i="2"/>
  <c r="BX42" i="2"/>
  <c r="BW42" i="2"/>
  <c r="BV42" i="2"/>
  <c r="BU42" i="2"/>
  <c r="BT42" i="2"/>
  <c r="BS42" i="2"/>
  <c r="BR42" i="2"/>
  <c r="BQ42" i="2"/>
  <c r="CB41" i="2"/>
  <c r="CA41" i="2"/>
  <c r="BZ41" i="2"/>
  <c r="BY41" i="2"/>
  <c r="BX41" i="2"/>
  <c r="BW41" i="2"/>
  <c r="BV41" i="2"/>
  <c r="BU41" i="2"/>
  <c r="BT41" i="2"/>
  <c r="BS41" i="2"/>
  <c r="BR41" i="2"/>
  <c r="BQ41" i="2"/>
  <c r="CB40" i="2"/>
  <c r="CA40" i="2"/>
  <c r="BZ40" i="2"/>
  <c r="BY40" i="2"/>
  <c r="BX40" i="2"/>
  <c r="BW40" i="2"/>
  <c r="BV40" i="2"/>
  <c r="BU40" i="2"/>
  <c r="BT40" i="2"/>
  <c r="BS40" i="2"/>
  <c r="BR40" i="2"/>
  <c r="BQ40" i="2"/>
  <c r="CB39" i="2"/>
  <c r="CA39" i="2"/>
  <c r="BZ39" i="2"/>
  <c r="BY39" i="2"/>
  <c r="BX39" i="2"/>
  <c r="BW39" i="2"/>
  <c r="BV39" i="2"/>
  <c r="BU39" i="2"/>
  <c r="BT39" i="2"/>
  <c r="BS39" i="2"/>
  <c r="BR39" i="2"/>
  <c r="BQ39" i="2"/>
  <c r="CC43" i="2"/>
  <c r="CT40" i="2"/>
  <c r="BA39" i="2"/>
  <c r="BA37" i="2"/>
  <c r="AX37" i="2"/>
  <c r="AX47" i="2" s="1"/>
  <c r="AW37" i="2"/>
  <c r="AW47" i="2" s="1"/>
  <c r="AU37" i="2"/>
  <c r="AU47" i="2" s="1"/>
  <c r="AT37" i="2"/>
  <c r="AT47" i="2" s="1"/>
  <c r="AS37" i="2"/>
  <c r="AS47" i="2" s="1"/>
  <c r="AQ37" i="2"/>
  <c r="AQ47" i="2" s="1"/>
  <c r="AP37" i="2"/>
  <c r="AP47" i="2" s="1"/>
  <c r="AO37" i="2"/>
  <c r="AO47" i="2" s="1"/>
  <c r="AL37" i="2"/>
  <c r="AL47" i="2" s="1"/>
  <c r="AK37" i="2"/>
  <c r="AK47" i="2" s="1"/>
  <c r="AJ37" i="2"/>
  <c r="AJ47" i="2" s="1"/>
  <c r="AI37" i="2"/>
  <c r="AI47" i="2" s="1"/>
  <c r="AH37" i="2"/>
  <c r="AH47" i="2" s="1"/>
  <c r="AG37" i="2"/>
  <c r="AG47" i="2" s="1"/>
  <c r="AF37" i="2"/>
  <c r="AF47" i="2" s="1"/>
  <c r="AE37" i="2"/>
  <c r="AE47" i="2" s="1"/>
  <c r="AD37" i="2"/>
  <c r="AD47" i="2" s="1"/>
  <c r="AC37" i="2"/>
  <c r="AC47" i="2" s="1"/>
  <c r="AB37" i="2"/>
  <c r="AB47" i="2" s="1"/>
  <c r="AA37" i="2"/>
  <c r="AA47" i="2" s="1"/>
  <c r="Z37" i="2"/>
  <c r="Z47" i="2" s="1"/>
  <c r="Y37" i="2"/>
  <c r="Y47" i="2" s="1"/>
  <c r="X37" i="2"/>
  <c r="X47" i="2" s="1"/>
  <c r="W37" i="2"/>
  <c r="W47" i="2" s="1"/>
  <c r="V37" i="2"/>
  <c r="V47" i="2" s="1"/>
  <c r="U37" i="2"/>
  <c r="U47" i="2" s="1"/>
  <c r="T37" i="2"/>
  <c r="T47" i="2" s="1"/>
  <c r="S37" i="2"/>
  <c r="S47" i="2" s="1"/>
  <c r="R37" i="2"/>
  <c r="R47" i="2" s="1"/>
  <c r="P37" i="2"/>
  <c r="P47" i="2" s="1"/>
  <c r="O37" i="2"/>
  <c r="O47" i="2" s="1"/>
  <c r="N37" i="2"/>
  <c r="N47" i="2" s="1"/>
  <c r="M37" i="2"/>
  <c r="M47" i="2" s="1"/>
  <c r="L37" i="2"/>
  <c r="L47" i="2" s="1"/>
  <c r="K37" i="2"/>
  <c r="K47" i="2" s="1"/>
  <c r="J37" i="2"/>
  <c r="J47" i="2" s="1"/>
  <c r="I37" i="2"/>
  <c r="I47" i="2" s="1"/>
  <c r="H37" i="2"/>
  <c r="H47" i="2" s="1"/>
  <c r="G37" i="2"/>
  <c r="G47" i="2" s="1"/>
  <c r="F37" i="2"/>
  <c r="F47" i="2" s="1"/>
  <c r="E37" i="2"/>
  <c r="E47" i="2" s="1"/>
  <c r="D37" i="2"/>
  <c r="D47" i="2" s="1"/>
  <c r="AZ36" i="2"/>
  <c r="CS36" i="2" s="1"/>
  <c r="AV36" i="2"/>
  <c r="AV37" i="2" s="1"/>
  <c r="AV47" i="2" s="1"/>
  <c r="AR36" i="2"/>
  <c r="AR37" i="2" s="1"/>
  <c r="AR47" i="2" s="1"/>
  <c r="AM36" i="2"/>
  <c r="AN36" i="2" s="1"/>
  <c r="CP36" i="2" s="1"/>
  <c r="Q36" i="2"/>
  <c r="Q37" i="2" s="1"/>
  <c r="Q47" i="2" s="1"/>
  <c r="AY33" i="2"/>
  <c r="AY37" i="2" s="1"/>
  <c r="AY47" i="2" s="1"/>
  <c r="CQ36" i="2"/>
  <c r="CO36" i="2"/>
  <c r="CN36" i="2"/>
  <c r="CM36" i="2"/>
  <c r="CL36" i="2"/>
  <c r="CK36" i="2"/>
  <c r="CJ36" i="2"/>
  <c r="CI36" i="2"/>
  <c r="CH36" i="2"/>
  <c r="CS35" i="2"/>
  <c r="CR35" i="2"/>
  <c r="CQ35" i="2"/>
  <c r="CP35" i="2"/>
  <c r="CO35" i="2"/>
  <c r="CN35" i="2"/>
  <c r="CM35" i="2"/>
  <c r="CL35" i="2"/>
  <c r="CK35" i="2"/>
  <c r="CJ35" i="2"/>
  <c r="CI35" i="2"/>
  <c r="CH35" i="2"/>
  <c r="CS34" i="2"/>
  <c r="CR34" i="2"/>
  <c r="CQ34" i="2"/>
  <c r="CP34" i="2"/>
  <c r="CO34" i="2"/>
  <c r="CN34" i="2"/>
  <c r="CM34" i="2"/>
  <c r="CL34" i="2"/>
  <c r="CK34" i="2"/>
  <c r="CJ34" i="2"/>
  <c r="CI34" i="2"/>
  <c r="CH34" i="2"/>
  <c r="CS33" i="2"/>
  <c r="CR33" i="2"/>
  <c r="CQ33" i="2"/>
  <c r="CP33" i="2"/>
  <c r="CO33" i="2"/>
  <c r="CN33" i="2"/>
  <c r="CM33" i="2"/>
  <c r="CL33" i="2"/>
  <c r="CK33" i="2"/>
  <c r="CJ33" i="2"/>
  <c r="CI33" i="2"/>
  <c r="CH33" i="2"/>
  <c r="CS32" i="2"/>
  <c r="CR32" i="2"/>
  <c r="CQ32" i="2"/>
  <c r="CP32" i="2"/>
  <c r="CO32" i="2"/>
  <c r="CN32" i="2"/>
  <c r="CM32" i="2"/>
  <c r="CL32" i="2"/>
  <c r="CK32" i="2"/>
  <c r="CJ32" i="2"/>
  <c r="CI32" i="2"/>
  <c r="CH32" i="2"/>
  <c r="CS31" i="2"/>
  <c r="CR31" i="2"/>
  <c r="CQ31" i="2"/>
  <c r="CP31" i="2"/>
  <c r="CO31" i="2"/>
  <c r="CN31" i="2"/>
  <c r="CM31" i="2"/>
  <c r="CL31" i="2"/>
  <c r="CK31" i="2"/>
  <c r="CJ31" i="2"/>
  <c r="CI31" i="2"/>
  <c r="CH31" i="2"/>
  <c r="CS30" i="2"/>
  <c r="CR30" i="2"/>
  <c r="CQ30" i="2"/>
  <c r="CP30" i="2"/>
  <c r="CO30" i="2"/>
  <c r="CN30" i="2"/>
  <c r="CM30" i="2"/>
  <c r="CM37" i="2" s="1"/>
  <c r="CL30" i="2"/>
  <c r="CK30" i="2"/>
  <c r="CK37" i="2" s="1"/>
  <c r="CJ30" i="2"/>
  <c r="CI30" i="2"/>
  <c r="CH30" i="2"/>
  <c r="CB36" i="2"/>
  <c r="CA36" i="2"/>
  <c r="BZ36" i="2"/>
  <c r="BX36" i="2"/>
  <c r="BW36" i="2"/>
  <c r="BV36" i="2"/>
  <c r="BU36" i="2"/>
  <c r="BT36" i="2"/>
  <c r="BS36" i="2"/>
  <c r="BR36" i="2"/>
  <c r="BQ36" i="2"/>
  <c r="CB35" i="2"/>
  <c r="CA35" i="2"/>
  <c r="BZ35" i="2"/>
  <c r="BY35" i="2"/>
  <c r="BX35" i="2"/>
  <c r="BW35" i="2"/>
  <c r="BV35" i="2"/>
  <c r="BU35" i="2"/>
  <c r="BT35" i="2"/>
  <c r="BS35" i="2"/>
  <c r="BR35" i="2"/>
  <c r="BQ35" i="2"/>
  <c r="CB34" i="2"/>
  <c r="CA34" i="2"/>
  <c r="BZ34" i="2"/>
  <c r="BY34" i="2"/>
  <c r="BX34" i="2"/>
  <c r="BW34" i="2"/>
  <c r="BV34" i="2"/>
  <c r="BU34" i="2"/>
  <c r="BT34" i="2"/>
  <c r="BS34" i="2"/>
  <c r="BR34" i="2"/>
  <c r="BQ34" i="2"/>
  <c r="CA33" i="2"/>
  <c r="BZ33" i="2"/>
  <c r="BY33" i="2"/>
  <c r="BX33" i="2"/>
  <c r="BW33" i="2"/>
  <c r="BV33" i="2"/>
  <c r="BU33" i="2"/>
  <c r="BT33" i="2"/>
  <c r="BS33" i="2"/>
  <c r="BR33" i="2"/>
  <c r="BQ33" i="2"/>
  <c r="CB32" i="2"/>
  <c r="CA32" i="2"/>
  <c r="BZ32" i="2"/>
  <c r="BY32" i="2"/>
  <c r="BX32" i="2"/>
  <c r="BW32" i="2"/>
  <c r="BV32" i="2"/>
  <c r="BU32" i="2"/>
  <c r="BT32" i="2"/>
  <c r="BS32" i="2"/>
  <c r="BR32" i="2"/>
  <c r="BQ32" i="2"/>
  <c r="CB31" i="2"/>
  <c r="CA31" i="2"/>
  <c r="BZ31" i="2"/>
  <c r="BY31" i="2"/>
  <c r="BX31" i="2"/>
  <c r="BW31" i="2"/>
  <c r="BV31" i="2"/>
  <c r="BU31" i="2"/>
  <c r="BT31" i="2"/>
  <c r="BS31" i="2"/>
  <c r="BR31" i="2"/>
  <c r="BQ31" i="2"/>
  <c r="CB30" i="2"/>
  <c r="CA30" i="2"/>
  <c r="BZ30" i="2"/>
  <c r="BY30" i="2"/>
  <c r="BX30" i="2"/>
  <c r="BW30" i="2"/>
  <c r="BV30" i="2"/>
  <c r="BU30" i="2"/>
  <c r="BT30" i="2"/>
  <c r="BS30" i="2"/>
  <c r="BR30" i="2"/>
  <c r="BQ30" i="2"/>
  <c r="W26" i="2"/>
  <c r="V26" i="2"/>
  <c r="U26" i="2"/>
  <c r="T26" i="2"/>
  <c r="S26" i="2"/>
  <c r="R26" i="2"/>
  <c r="Q26" i="2"/>
  <c r="P26" i="2"/>
  <c r="CJ26" i="2" s="1"/>
  <c r="K26" i="2"/>
  <c r="AI23" i="2"/>
  <c r="AI94" i="2" s="1"/>
  <c r="CS26" i="2"/>
  <c r="CR26" i="2"/>
  <c r="CQ26" i="2"/>
  <c r="CP26" i="2"/>
  <c r="CO26" i="2"/>
  <c r="CN26" i="2"/>
  <c r="CM26" i="2"/>
  <c r="CL26" i="2"/>
  <c r="CK26" i="2"/>
  <c r="CI26" i="2"/>
  <c r="CH26" i="2"/>
  <c r="CS25" i="2"/>
  <c r="CR25" i="2"/>
  <c r="CQ25" i="2"/>
  <c r="CP25" i="2"/>
  <c r="CO25" i="2"/>
  <c r="CN25" i="2"/>
  <c r="CM25" i="2"/>
  <c r="CL25" i="2"/>
  <c r="CK25" i="2"/>
  <c r="CJ25" i="2"/>
  <c r="CI25" i="2"/>
  <c r="CH25" i="2"/>
  <c r="CS24" i="2"/>
  <c r="CR24" i="2"/>
  <c r="CQ24" i="2"/>
  <c r="CP24" i="2"/>
  <c r="CO24" i="2"/>
  <c r="CN24" i="2"/>
  <c r="CM24" i="2"/>
  <c r="CL24" i="2"/>
  <c r="CK24" i="2"/>
  <c r="CJ24" i="2"/>
  <c r="CI24" i="2"/>
  <c r="CH24" i="2"/>
  <c r="CS23" i="2"/>
  <c r="CR23" i="2"/>
  <c r="CQ23" i="2"/>
  <c r="CP23" i="2"/>
  <c r="CP94" i="2" s="1"/>
  <c r="CO23" i="2"/>
  <c r="CN23" i="2"/>
  <c r="CM23" i="2"/>
  <c r="CL23" i="2"/>
  <c r="CK23" i="2"/>
  <c r="CJ23" i="2"/>
  <c r="CI23" i="2"/>
  <c r="CH23" i="2"/>
  <c r="CS22" i="2"/>
  <c r="CR22" i="2"/>
  <c r="CQ22" i="2"/>
  <c r="CP22" i="2"/>
  <c r="CO22" i="2"/>
  <c r="CN22" i="2"/>
  <c r="CM22" i="2"/>
  <c r="CL22" i="2"/>
  <c r="CK22" i="2"/>
  <c r="CJ22" i="2"/>
  <c r="CI22" i="2"/>
  <c r="CH22" i="2"/>
  <c r="CS21" i="2"/>
  <c r="CR21" i="2"/>
  <c r="CQ21" i="2"/>
  <c r="CP21" i="2"/>
  <c r="CO21" i="2"/>
  <c r="CN21" i="2"/>
  <c r="CM21" i="2"/>
  <c r="CL21" i="2"/>
  <c r="CK21" i="2"/>
  <c r="CJ21" i="2"/>
  <c r="CI21" i="2"/>
  <c r="CH21" i="2"/>
  <c r="CS20" i="2"/>
  <c r="CR20" i="2"/>
  <c r="CQ20" i="2"/>
  <c r="CP20" i="2"/>
  <c r="CO20" i="2"/>
  <c r="CN20" i="2"/>
  <c r="CM20" i="2"/>
  <c r="CL20" i="2"/>
  <c r="CK20" i="2"/>
  <c r="CJ20" i="2"/>
  <c r="CI20" i="2"/>
  <c r="CH20" i="2"/>
  <c r="CS19" i="2"/>
  <c r="CS76" i="3" s="1"/>
  <c r="CR19" i="2"/>
  <c r="CR76" i="3" s="1"/>
  <c r="CQ19" i="2"/>
  <c r="CQ76" i="3" s="1"/>
  <c r="CP19" i="2"/>
  <c r="CP76" i="3" s="1"/>
  <c r="CO19" i="2"/>
  <c r="CO76" i="3" s="1"/>
  <c r="CN19" i="2"/>
  <c r="CN76" i="3" s="1"/>
  <c r="CM19" i="2"/>
  <c r="CM76" i="3" s="1"/>
  <c r="CL19" i="2"/>
  <c r="CL76" i="3" s="1"/>
  <c r="CK19" i="2"/>
  <c r="CK76" i="3" s="1"/>
  <c r="CJ19" i="2"/>
  <c r="CJ76" i="3" s="1"/>
  <c r="CI19" i="2"/>
  <c r="CI76" i="3" s="1"/>
  <c r="CH19" i="2"/>
  <c r="CH76" i="3" s="1"/>
  <c r="CB26" i="2"/>
  <c r="CA26" i="2"/>
  <c r="BZ26" i="2"/>
  <c r="BY26" i="2"/>
  <c r="BX26" i="2"/>
  <c r="BW26" i="2"/>
  <c r="BV26" i="2"/>
  <c r="BU26" i="2"/>
  <c r="BT26" i="2"/>
  <c r="BS26" i="2"/>
  <c r="BR26" i="2"/>
  <c r="BQ26" i="2"/>
  <c r="CB25" i="2"/>
  <c r="CA25" i="2"/>
  <c r="BZ25" i="2"/>
  <c r="BY25" i="2"/>
  <c r="BX25" i="2"/>
  <c r="BW25" i="2"/>
  <c r="BV25" i="2"/>
  <c r="BU25" i="2"/>
  <c r="BT25" i="2"/>
  <c r="BS25" i="2"/>
  <c r="BR25" i="2"/>
  <c r="BQ25" i="2"/>
  <c r="CB24" i="2"/>
  <c r="CA24" i="2"/>
  <c r="BZ24" i="2"/>
  <c r="BY24" i="2"/>
  <c r="BX24" i="2"/>
  <c r="BW24" i="2"/>
  <c r="BV24" i="2"/>
  <c r="BU24" i="2"/>
  <c r="BT24" i="2"/>
  <c r="BS24" i="2"/>
  <c r="BR24" i="2"/>
  <c r="BQ24" i="2"/>
  <c r="CB23" i="2"/>
  <c r="CA23" i="2"/>
  <c r="BZ23" i="2"/>
  <c r="BY23" i="2"/>
  <c r="BW23" i="2"/>
  <c r="BV23" i="2"/>
  <c r="BU23" i="2"/>
  <c r="BT23" i="2"/>
  <c r="BS23" i="2"/>
  <c r="BR23" i="2"/>
  <c r="BQ23" i="2"/>
  <c r="CB22" i="2"/>
  <c r="CA22" i="2"/>
  <c r="BZ22" i="2"/>
  <c r="BY22" i="2"/>
  <c r="BX22" i="2"/>
  <c r="BW22" i="2"/>
  <c r="BV22" i="2"/>
  <c r="BU22" i="2"/>
  <c r="BT22" i="2"/>
  <c r="BS22" i="2"/>
  <c r="BR22" i="2"/>
  <c r="BQ22" i="2"/>
  <c r="CB21" i="2"/>
  <c r="CA21" i="2"/>
  <c r="BZ21" i="2"/>
  <c r="BY21" i="2"/>
  <c r="BX21" i="2"/>
  <c r="BW21" i="2"/>
  <c r="BV21" i="2"/>
  <c r="BU21" i="2"/>
  <c r="BT21" i="2"/>
  <c r="BS21" i="2"/>
  <c r="BR21" i="2"/>
  <c r="BQ21" i="2"/>
  <c r="CB20" i="2"/>
  <c r="CA20" i="2"/>
  <c r="BZ20" i="2"/>
  <c r="BY20" i="2"/>
  <c r="BX20" i="2"/>
  <c r="BW20" i="2"/>
  <c r="BV20" i="2"/>
  <c r="BU20" i="2"/>
  <c r="BT20" i="2"/>
  <c r="BS20" i="2"/>
  <c r="BR20" i="2"/>
  <c r="BQ20" i="2"/>
  <c r="CB19" i="2"/>
  <c r="CB76" i="3" s="1"/>
  <c r="CA19" i="2"/>
  <c r="CA76" i="3" s="1"/>
  <c r="BZ19" i="2"/>
  <c r="BZ76" i="3" s="1"/>
  <c r="BY19" i="2"/>
  <c r="BY76" i="3" s="1"/>
  <c r="BX19" i="2"/>
  <c r="BX76" i="3" s="1"/>
  <c r="BW19" i="2"/>
  <c r="BW76" i="3" s="1"/>
  <c r="BV19" i="2"/>
  <c r="BV76" i="3" s="1"/>
  <c r="BU19" i="2"/>
  <c r="BU76" i="3" s="1"/>
  <c r="BT19" i="2"/>
  <c r="BT76" i="3" s="1"/>
  <c r="BS19" i="2"/>
  <c r="BS76" i="3" s="1"/>
  <c r="BR19" i="2"/>
  <c r="BR76" i="3" s="1"/>
  <c r="BQ19" i="2"/>
  <c r="BQ76" i="3" s="1"/>
  <c r="CC26" i="2"/>
  <c r="CC24" i="2"/>
  <c r="AZ17" i="2"/>
  <c r="AZ27" i="2" s="1"/>
  <c r="AZ72" i="3" s="1"/>
  <c r="AY17" i="2"/>
  <c r="AW17" i="2"/>
  <c r="AP17" i="2"/>
  <c r="AP98" i="2" s="1"/>
  <c r="AJ17" i="2"/>
  <c r="AJ98" i="2" s="1"/>
  <c r="AC17" i="2"/>
  <c r="AB17" i="2"/>
  <c r="AA17" i="2"/>
  <c r="Z17" i="2"/>
  <c r="Y17" i="2"/>
  <c r="R17" i="2"/>
  <c r="R98" i="2" s="1"/>
  <c r="L17" i="2"/>
  <c r="F17" i="2"/>
  <c r="E17" i="2"/>
  <c r="E98" i="2" s="1"/>
  <c r="D17" i="2"/>
  <c r="D98" i="2" s="1"/>
  <c r="AX16" i="2"/>
  <c r="AX17" i="2" s="1"/>
  <c r="AW16" i="2"/>
  <c r="AV16" i="2"/>
  <c r="AU16" i="2"/>
  <c r="AT16" i="2"/>
  <c r="AT17" i="2" s="1"/>
  <c r="AT98" i="2" s="1"/>
  <c r="AS16" i="2"/>
  <c r="AS17" i="2" s="1"/>
  <c r="AR16" i="2"/>
  <c r="AR17" i="2" s="1"/>
  <c r="AQ16" i="2"/>
  <c r="BZ16" i="2" s="1"/>
  <c r="AP16" i="2"/>
  <c r="AO16" i="2"/>
  <c r="AO17" i="2" s="1"/>
  <c r="AO98" i="2" s="1"/>
  <c r="AN16" i="2"/>
  <c r="AM16" i="2"/>
  <c r="AL16" i="2"/>
  <c r="AL17" i="2" s="1"/>
  <c r="AL98" i="2" s="1"/>
  <c r="AK16" i="2"/>
  <c r="AK17" i="2" s="1"/>
  <c r="AK98" i="2" s="1"/>
  <c r="AI16" i="2"/>
  <c r="BX16" i="2" s="1"/>
  <c r="AG16" i="2"/>
  <c r="AG17" i="2" s="1"/>
  <c r="AG98" i="2" s="1"/>
  <c r="Y16" i="2"/>
  <c r="X16" i="2"/>
  <c r="W16" i="2"/>
  <c r="V16" i="2"/>
  <c r="V17" i="2" s="1"/>
  <c r="U16" i="2"/>
  <c r="U17" i="2" s="1"/>
  <c r="T16" i="2"/>
  <c r="T17" i="2" s="1"/>
  <c r="S16" i="2"/>
  <c r="S17" i="2" s="1"/>
  <c r="R16" i="2"/>
  <c r="Q16" i="2"/>
  <c r="Q17" i="2" s="1"/>
  <c r="P16" i="2"/>
  <c r="O16" i="2"/>
  <c r="N16" i="2"/>
  <c r="N17" i="2" s="1"/>
  <c r="M16" i="2"/>
  <c r="M17" i="2" s="1"/>
  <c r="L16" i="2"/>
  <c r="K16" i="2"/>
  <c r="K57" i="2" s="1"/>
  <c r="J16" i="2"/>
  <c r="J17" i="2" s="1"/>
  <c r="I16" i="2"/>
  <c r="I17" i="2" s="1"/>
  <c r="I98" i="2" s="1"/>
  <c r="H16" i="2"/>
  <c r="G16" i="2"/>
  <c r="BQ16" i="2" s="1"/>
  <c r="AJ15" i="2"/>
  <c r="CO15" i="2" s="1"/>
  <c r="AH15" i="2"/>
  <c r="AH17" i="2" s="1"/>
  <c r="AF15" i="2"/>
  <c r="AF17" i="2" s="1"/>
  <c r="AF98" i="2" s="1"/>
  <c r="AE15" i="2"/>
  <c r="AE17" i="2" s="1"/>
  <c r="AD15" i="2"/>
  <c r="AD17" i="2" s="1"/>
  <c r="AC15" i="2"/>
  <c r="AQ12" i="2"/>
  <c r="CS16" i="2"/>
  <c r="CO16" i="2"/>
  <c r="CN16" i="2"/>
  <c r="CM16" i="2"/>
  <c r="CK16" i="2"/>
  <c r="CH16" i="2"/>
  <c r="CS15" i="2"/>
  <c r="CR15" i="2"/>
  <c r="CQ15" i="2"/>
  <c r="CP15" i="2"/>
  <c r="CN15" i="2"/>
  <c r="CM15" i="2"/>
  <c r="CL15" i="2"/>
  <c r="CK15" i="2"/>
  <c r="CJ15" i="2"/>
  <c r="CI15" i="2"/>
  <c r="CH15" i="2"/>
  <c r="CS14" i="2"/>
  <c r="CR14" i="2"/>
  <c r="CQ14" i="2"/>
  <c r="CP14" i="2"/>
  <c r="CO14" i="2"/>
  <c r="CN14" i="2"/>
  <c r="CM14" i="2"/>
  <c r="CL14" i="2"/>
  <c r="CK14" i="2"/>
  <c r="CJ14" i="2"/>
  <c r="CI14" i="2"/>
  <c r="CH14" i="2"/>
  <c r="CS13" i="2"/>
  <c r="CR13" i="2"/>
  <c r="CQ13" i="2"/>
  <c r="CP13" i="2"/>
  <c r="CO13" i="2"/>
  <c r="CN13" i="2"/>
  <c r="CM13" i="2"/>
  <c r="CL13" i="2"/>
  <c r="CK13" i="2"/>
  <c r="CJ13" i="2"/>
  <c r="CI13" i="2"/>
  <c r="CH13" i="2"/>
  <c r="CS12" i="2"/>
  <c r="CR12" i="2"/>
  <c r="CQ12" i="2"/>
  <c r="CP12" i="2"/>
  <c r="CO12" i="2"/>
  <c r="CN12" i="2"/>
  <c r="CM12" i="2"/>
  <c r="CL12" i="2"/>
  <c r="CK12" i="2"/>
  <c r="CJ12" i="2"/>
  <c r="CI12" i="2"/>
  <c r="CH12" i="2"/>
  <c r="CS11" i="2"/>
  <c r="CR11" i="2"/>
  <c r="CQ11" i="2"/>
  <c r="CP11" i="2"/>
  <c r="CO11" i="2"/>
  <c r="CN11" i="2"/>
  <c r="CM11" i="2"/>
  <c r="CL11" i="2"/>
  <c r="CK11" i="2"/>
  <c r="CJ11" i="2"/>
  <c r="CI11" i="2"/>
  <c r="CH11" i="2"/>
  <c r="CB16" i="2"/>
  <c r="BW16" i="2"/>
  <c r="BV16" i="2"/>
  <c r="CB15" i="2"/>
  <c r="CA15" i="2"/>
  <c r="BZ15" i="2"/>
  <c r="BY15" i="2"/>
  <c r="BV15" i="2"/>
  <c r="BU15" i="2"/>
  <c r="BT15" i="2"/>
  <c r="BS15" i="2"/>
  <c r="BR15" i="2"/>
  <c r="BQ15" i="2"/>
  <c r="CB14" i="2"/>
  <c r="CA14" i="2"/>
  <c r="BZ14" i="2"/>
  <c r="BY14" i="2"/>
  <c r="BX14" i="2"/>
  <c r="BW14" i="2"/>
  <c r="BV14" i="2"/>
  <c r="BU14" i="2"/>
  <c r="BT14" i="2"/>
  <c r="BS14" i="2"/>
  <c r="BR14" i="2"/>
  <c r="BQ14" i="2"/>
  <c r="CB13" i="2"/>
  <c r="CA13" i="2"/>
  <c r="BZ13" i="2"/>
  <c r="BY13" i="2"/>
  <c r="BX13" i="2"/>
  <c r="BW13" i="2"/>
  <c r="BV13" i="2"/>
  <c r="BU13" i="2"/>
  <c r="BT13" i="2"/>
  <c r="BS13" i="2"/>
  <c r="BR13" i="2"/>
  <c r="BQ13" i="2"/>
  <c r="CB12" i="2"/>
  <c r="CA12" i="2"/>
  <c r="BY12" i="2"/>
  <c r="BX12" i="2"/>
  <c r="BW12" i="2"/>
  <c r="BV12" i="2"/>
  <c r="BU12" i="2"/>
  <c r="BT12" i="2"/>
  <c r="BS12" i="2"/>
  <c r="BR12" i="2"/>
  <c r="BQ12" i="2"/>
  <c r="CB11" i="2"/>
  <c r="CA11" i="2"/>
  <c r="BZ11" i="2"/>
  <c r="BY11" i="2"/>
  <c r="BX11" i="2"/>
  <c r="BW11" i="2"/>
  <c r="BV11" i="2"/>
  <c r="BU11" i="2"/>
  <c r="BT11" i="2"/>
  <c r="BS11" i="2"/>
  <c r="BR11" i="2"/>
  <c r="BQ11" i="2"/>
  <c r="BB151" i="2"/>
  <c r="BA11" i="2"/>
  <c r="BA17" i="2" s="1"/>
  <c r="CE9" i="2"/>
  <c r="CE9" i="3" s="1"/>
  <c r="CD9" i="2"/>
  <c r="CD9" i="3" s="1"/>
  <c r="CC9" i="2"/>
  <c r="CC9" i="3" s="1"/>
  <c r="CB9" i="2"/>
  <c r="CB9" i="3" s="1"/>
  <c r="CA9" i="2"/>
  <c r="CA9" i="3" s="1"/>
  <c r="BZ9" i="2"/>
  <c r="BZ9" i="3" s="1"/>
  <c r="BY9" i="2"/>
  <c r="BY9" i="3" s="1"/>
  <c r="BX9" i="2"/>
  <c r="BX9" i="3" s="1"/>
  <c r="BW9" i="2"/>
  <c r="BW9" i="3" s="1"/>
  <c r="BV9" i="2"/>
  <c r="BV9" i="3" s="1"/>
  <c r="BU9" i="2"/>
  <c r="BU9" i="3" s="1"/>
  <c r="BT9" i="2"/>
  <c r="BT9" i="3" s="1"/>
  <c r="BS9" i="2"/>
  <c r="BS9" i="3" s="1"/>
  <c r="BR9" i="2"/>
  <c r="BR9" i="3" s="1"/>
  <c r="BQ9" i="2"/>
  <c r="BQ9" i="3" s="1"/>
  <c r="BK9" i="2"/>
  <c r="BK9" i="3" s="1"/>
  <c r="BJ9" i="2"/>
  <c r="BJ9" i="3" s="1"/>
  <c r="BI9" i="2"/>
  <c r="BI9" i="3" s="1"/>
  <c r="BH9" i="2"/>
  <c r="BH9" i="3" s="1"/>
  <c r="BG9" i="2"/>
  <c r="BG9" i="3" s="1"/>
  <c r="BF9" i="2"/>
  <c r="BF9" i="3" s="1"/>
  <c r="BE9" i="2"/>
  <c r="BE9" i="3" s="1"/>
  <c r="BD9" i="2"/>
  <c r="BD9" i="3" s="1"/>
  <c r="BC9" i="2"/>
  <c r="BC9" i="3" s="1"/>
  <c r="BB9" i="2"/>
  <c r="BA9" i="2"/>
  <c r="BA9" i="3" s="1"/>
  <c r="AZ9" i="2"/>
  <c r="AZ9" i="3" s="1"/>
  <c r="AY9" i="2"/>
  <c r="AY9" i="3" s="1"/>
  <c r="AX9" i="2"/>
  <c r="AX9" i="3" s="1"/>
  <c r="AW9" i="2"/>
  <c r="AW9" i="3" s="1"/>
  <c r="AV9" i="2"/>
  <c r="AV9" i="3" s="1"/>
  <c r="AU9" i="2"/>
  <c r="AU9" i="3" s="1"/>
  <c r="AT9" i="2"/>
  <c r="AT9" i="3" s="1"/>
  <c r="AS9" i="2"/>
  <c r="AS9" i="3" s="1"/>
  <c r="AR9" i="2"/>
  <c r="AR9" i="3" s="1"/>
  <c r="AQ9" i="2"/>
  <c r="AQ9" i="3" s="1"/>
  <c r="AP9" i="2"/>
  <c r="AP9" i="3" s="1"/>
  <c r="AO9" i="2"/>
  <c r="AO9" i="3" s="1"/>
  <c r="AN9" i="2"/>
  <c r="AN9" i="3" s="1"/>
  <c r="AM9" i="2"/>
  <c r="AM9" i="3" s="1"/>
  <c r="AL9" i="2"/>
  <c r="AK9" i="2"/>
  <c r="AK9" i="3" s="1"/>
  <c r="AJ9" i="2"/>
  <c r="AJ9" i="3" s="1"/>
  <c r="AI9" i="2"/>
  <c r="AI9" i="3" s="1"/>
  <c r="AH9" i="2"/>
  <c r="AH9" i="3" s="1"/>
  <c r="AG9" i="2"/>
  <c r="AG9" i="3" s="1"/>
  <c r="AF9" i="2"/>
  <c r="AF9" i="3" s="1"/>
  <c r="AE9" i="2"/>
  <c r="AE9" i="3" s="1"/>
  <c r="AD9" i="2"/>
  <c r="AD9" i="3" s="1"/>
  <c r="AC9" i="2"/>
  <c r="AC9" i="3" s="1"/>
  <c r="AB9" i="2"/>
  <c r="AB9" i="3" s="1"/>
  <c r="AA9" i="2"/>
  <c r="AA9" i="3" s="1"/>
  <c r="Z9" i="2"/>
  <c r="Z9" i="3" s="1"/>
  <c r="Y9" i="2"/>
  <c r="Y9" i="3" s="1"/>
  <c r="X9" i="2"/>
  <c r="X9" i="3" s="1"/>
  <c r="W9" i="2"/>
  <c r="W9" i="3" s="1"/>
  <c r="V9" i="2"/>
  <c r="U9" i="2"/>
  <c r="U9" i="3" s="1"/>
  <c r="T9" i="2"/>
  <c r="T9" i="3" s="1"/>
  <c r="S9" i="2"/>
  <c r="S9" i="3" s="1"/>
  <c r="R9" i="2"/>
  <c r="R9" i="3" s="1"/>
  <c r="Q9" i="2"/>
  <c r="Q9" i="3" s="1"/>
  <c r="P9" i="2"/>
  <c r="P9" i="3" s="1"/>
  <c r="O9" i="2"/>
  <c r="O9" i="3" s="1"/>
  <c r="N9" i="2"/>
  <c r="N9" i="3" s="1"/>
  <c r="M9" i="2"/>
  <c r="M9" i="3" s="1"/>
  <c r="L9" i="2"/>
  <c r="L9" i="3" s="1"/>
  <c r="K9" i="2"/>
  <c r="K9" i="3" s="1"/>
  <c r="J9" i="2"/>
  <c r="J9" i="3" s="1"/>
  <c r="I9" i="2"/>
  <c r="I9" i="3" s="1"/>
  <c r="H9" i="2"/>
  <c r="H9" i="3" s="1"/>
  <c r="G9" i="2"/>
  <c r="G9" i="3" s="1"/>
  <c r="F9" i="2"/>
  <c r="F52" i="2" s="1"/>
  <c r="F63" i="2" s="1"/>
  <c r="F80" i="2" s="1"/>
  <c r="E9" i="2"/>
  <c r="E9" i="3" s="1"/>
  <c r="D9" i="2"/>
  <c r="D9" i="3" s="1"/>
  <c r="BK8" i="2"/>
  <c r="BK8" i="3" s="1"/>
  <c r="BJ8" i="2"/>
  <c r="BJ8" i="3" s="1"/>
  <c r="BI8" i="2"/>
  <c r="BI8" i="3" s="1"/>
  <c r="BH8" i="2"/>
  <c r="BH8" i="3" s="1"/>
  <c r="BG8" i="2"/>
  <c r="BG8" i="3" s="1"/>
  <c r="BF8" i="2"/>
  <c r="BF8" i="3" s="1"/>
  <c r="BE8" i="2"/>
  <c r="BE8" i="3" s="1"/>
  <c r="BD8" i="2"/>
  <c r="BD8" i="3" s="1"/>
  <c r="BC8" i="2"/>
  <c r="BC8" i="3" s="1"/>
  <c r="BB8" i="2"/>
  <c r="BB8" i="3" s="1"/>
  <c r="BA8" i="2"/>
  <c r="BA8" i="3" s="1"/>
  <c r="AZ8" i="2"/>
  <c r="AZ8" i="3" s="1"/>
  <c r="AY8" i="2"/>
  <c r="AY8" i="3" s="1"/>
  <c r="AX8" i="2"/>
  <c r="AX8" i="3" s="1"/>
  <c r="AW8" i="2"/>
  <c r="AW8" i="3" s="1"/>
  <c r="AV8" i="2"/>
  <c r="AV8" i="3" s="1"/>
  <c r="AU8" i="2"/>
  <c r="AU8" i="3" s="1"/>
  <c r="AT8" i="2"/>
  <c r="AT8" i="3" s="1"/>
  <c r="AS8" i="2"/>
  <c r="AS8" i="3" s="1"/>
  <c r="AR8" i="2"/>
  <c r="AR8" i="3" s="1"/>
  <c r="AQ8" i="2"/>
  <c r="AQ8" i="3" s="1"/>
  <c r="AP8" i="2"/>
  <c r="AP8" i="3" s="1"/>
  <c r="AO8" i="2"/>
  <c r="AO8" i="3" s="1"/>
  <c r="AN8" i="2"/>
  <c r="AN8" i="3" s="1"/>
  <c r="AM8" i="2"/>
  <c r="AM8" i="3" s="1"/>
  <c r="AL8" i="2"/>
  <c r="AL8" i="3" s="1"/>
  <c r="AK8" i="2"/>
  <c r="AK8" i="3" s="1"/>
  <c r="AJ8" i="2"/>
  <c r="AJ8" i="3" s="1"/>
  <c r="AI8" i="2"/>
  <c r="AI8" i="3" s="1"/>
  <c r="AH8" i="2"/>
  <c r="AH8" i="3" s="1"/>
  <c r="AG8" i="2"/>
  <c r="AG8" i="3" s="1"/>
  <c r="AF8" i="2"/>
  <c r="AF8" i="3" s="1"/>
  <c r="AE8" i="2"/>
  <c r="AE8" i="3" s="1"/>
  <c r="AD8" i="2"/>
  <c r="AD8" i="3" s="1"/>
  <c r="AC8" i="2"/>
  <c r="AC8" i="3" s="1"/>
  <c r="AB8" i="2"/>
  <c r="AB8" i="3" s="1"/>
  <c r="AA8" i="2"/>
  <c r="AA8" i="3" s="1"/>
  <c r="Z8" i="2"/>
  <c r="Z8" i="3" s="1"/>
  <c r="Y8" i="2"/>
  <c r="Y8" i="3" s="1"/>
  <c r="X8" i="2"/>
  <c r="X8" i="3" s="1"/>
  <c r="W8" i="2"/>
  <c r="W8" i="3" s="1"/>
  <c r="V8" i="2"/>
  <c r="V8" i="3" s="1"/>
  <c r="U8" i="2"/>
  <c r="U8" i="3" s="1"/>
  <c r="T8" i="2"/>
  <c r="T8" i="3" s="1"/>
  <c r="S8" i="2"/>
  <c r="S8" i="3" s="1"/>
  <c r="R8" i="2"/>
  <c r="R8" i="3" s="1"/>
  <c r="Q8" i="2"/>
  <c r="Q8" i="3" s="1"/>
  <c r="P8" i="2"/>
  <c r="P8" i="3" s="1"/>
  <c r="O8" i="2"/>
  <c r="O8" i="3" s="1"/>
  <c r="N8" i="2"/>
  <c r="N8" i="3" s="1"/>
  <c r="M8" i="2"/>
  <c r="M8" i="3" s="1"/>
  <c r="L8" i="2"/>
  <c r="L8" i="3" s="1"/>
  <c r="K8" i="2"/>
  <c r="K8" i="3" s="1"/>
  <c r="J8" i="2"/>
  <c r="J8" i="3" s="1"/>
  <c r="I8" i="2"/>
  <c r="I8" i="3" s="1"/>
  <c r="H8" i="2"/>
  <c r="H8" i="3" s="1"/>
  <c r="G8" i="2"/>
  <c r="G8" i="3" s="1"/>
  <c r="F8" i="2"/>
  <c r="F8" i="3" s="1"/>
  <c r="E8" i="2"/>
  <c r="E8" i="3" s="1"/>
  <c r="D8" i="2"/>
  <c r="D8" i="3" s="1"/>
  <c r="CU8" i="2"/>
  <c r="CU8" i="3" s="1"/>
  <c r="CT8" i="2"/>
  <c r="CT8" i="3" s="1"/>
  <c r="CS8" i="2"/>
  <c r="CS8" i="3" s="1"/>
  <c r="CR8" i="2"/>
  <c r="CR8" i="3" s="1"/>
  <c r="CQ8" i="2"/>
  <c r="CQ8" i="3" s="1"/>
  <c r="CP8" i="2"/>
  <c r="CP8" i="3" s="1"/>
  <c r="CO8" i="2"/>
  <c r="CO8" i="3" s="1"/>
  <c r="CN8" i="2"/>
  <c r="CN8" i="3" s="1"/>
  <c r="CM8" i="2"/>
  <c r="CM8" i="3" s="1"/>
  <c r="CL8" i="2"/>
  <c r="CL8" i="3" s="1"/>
  <c r="CK8" i="2"/>
  <c r="CK8" i="3" s="1"/>
  <c r="CJ8" i="2"/>
  <c r="CJ8" i="3" s="1"/>
  <c r="CI8" i="2"/>
  <c r="CI8" i="3" s="1"/>
  <c r="CH8" i="2"/>
  <c r="CH8" i="3" s="1"/>
  <c r="CU7" i="2"/>
  <c r="CU52" i="2" s="1"/>
  <c r="CU63" i="2" s="1"/>
  <c r="CU80" i="2" s="1"/>
  <c r="CT7" i="2"/>
  <c r="CT52" i="2" s="1"/>
  <c r="CT63" i="2" s="1"/>
  <c r="CT80" i="2" s="1"/>
  <c r="CS7" i="2"/>
  <c r="CS52" i="2" s="1"/>
  <c r="CS63" i="2" s="1"/>
  <c r="CS80" i="2" s="1"/>
  <c r="CR7" i="2"/>
  <c r="CR52" i="2" s="1"/>
  <c r="CR63" i="2" s="1"/>
  <c r="CR80" i="2" s="1"/>
  <c r="CQ7" i="2"/>
  <c r="CQ52" i="2" s="1"/>
  <c r="CQ63" i="2" s="1"/>
  <c r="CQ80" i="2" s="1"/>
  <c r="CP7" i="2"/>
  <c r="CP52" i="2" s="1"/>
  <c r="CP63" i="2" s="1"/>
  <c r="CP80" i="2" s="1"/>
  <c r="CO7" i="2"/>
  <c r="CO52" i="2" s="1"/>
  <c r="CO63" i="2" s="1"/>
  <c r="CO80" i="2" s="1"/>
  <c r="CN7" i="2"/>
  <c r="CN52" i="2" s="1"/>
  <c r="CN63" i="2" s="1"/>
  <c r="CN80" i="2" s="1"/>
  <c r="CM7" i="2"/>
  <c r="CM52" i="2" s="1"/>
  <c r="CM63" i="2" s="1"/>
  <c r="CM80" i="2" s="1"/>
  <c r="CL7" i="2"/>
  <c r="CL52" i="2" s="1"/>
  <c r="CL63" i="2" s="1"/>
  <c r="CL80" i="2" s="1"/>
  <c r="CK7" i="2"/>
  <c r="CK52" i="2" s="1"/>
  <c r="CK63" i="2" s="1"/>
  <c r="CK80" i="2" s="1"/>
  <c r="CJ7" i="2"/>
  <c r="CJ52" i="2" s="1"/>
  <c r="CJ63" i="2" s="1"/>
  <c r="CJ80" i="2" s="1"/>
  <c r="CI7" i="2"/>
  <c r="CI52" i="2" s="1"/>
  <c r="CI63" i="2" s="1"/>
  <c r="CI80" i="2" s="1"/>
  <c r="CH7" i="2"/>
  <c r="CH52" i="2" s="1"/>
  <c r="CH63" i="2" s="1"/>
  <c r="CH80" i="2" s="1"/>
  <c r="BK7" i="2"/>
  <c r="BK7" i="3" s="1"/>
  <c r="BJ7" i="2"/>
  <c r="BJ7" i="3" s="1"/>
  <c r="BI7" i="2"/>
  <c r="BI7" i="3" s="1"/>
  <c r="BH7" i="2"/>
  <c r="BH7" i="3" s="1"/>
  <c r="BG7" i="2"/>
  <c r="BG7" i="3" s="1"/>
  <c r="BF7" i="2"/>
  <c r="BF7" i="3" s="1"/>
  <c r="BE7" i="2"/>
  <c r="BE7" i="3" s="1"/>
  <c r="BD7" i="2"/>
  <c r="BD7" i="3" s="1"/>
  <c r="BC7" i="2"/>
  <c r="BC7" i="3" s="1"/>
  <c r="BB7" i="2"/>
  <c r="BB7" i="3" s="1"/>
  <c r="BA7" i="2"/>
  <c r="BA7" i="3" s="1"/>
  <c r="AZ7" i="2"/>
  <c r="AZ7" i="3" s="1"/>
  <c r="AY7" i="2"/>
  <c r="AY7" i="3" s="1"/>
  <c r="AX7" i="2"/>
  <c r="AX7" i="3" s="1"/>
  <c r="AV7" i="2"/>
  <c r="AV7" i="3" s="1"/>
  <c r="AQ7" i="2"/>
  <c r="AQ7" i="3" s="1"/>
  <c r="AP7" i="2"/>
  <c r="AP7" i="3" s="1"/>
  <c r="AO7" i="2"/>
  <c r="AO7" i="3" s="1"/>
  <c r="AN7" i="2"/>
  <c r="AN7" i="3" s="1"/>
  <c r="AM7" i="2"/>
  <c r="AM7" i="3" s="1"/>
  <c r="AL7" i="2"/>
  <c r="AL7" i="3" s="1"/>
  <c r="AK7" i="2"/>
  <c r="AK7" i="3" s="1"/>
  <c r="AJ7" i="2"/>
  <c r="AJ7" i="3" s="1"/>
  <c r="AI7" i="2"/>
  <c r="AI7" i="3" s="1"/>
  <c r="AH7" i="2"/>
  <c r="AH7" i="3" s="1"/>
  <c r="AG7" i="2"/>
  <c r="AG7" i="3" s="1"/>
  <c r="AF7" i="2"/>
  <c r="AF7" i="3" s="1"/>
  <c r="AE7" i="2"/>
  <c r="AE7" i="3" s="1"/>
  <c r="AD7" i="2"/>
  <c r="AD7" i="3" s="1"/>
  <c r="AC7" i="2"/>
  <c r="AC7" i="3" s="1"/>
  <c r="AB7" i="2"/>
  <c r="AB7" i="3" s="1"/>
  <c r="AA7" i="2"/>
  <c r="AA7" i="3" s="1"/>
  <c r="Z7" i="2"/>
  <c r="Z7" i="3" s="1"/>
  <c r="Y7" i="2"/>
  <c r="Y7" i="3" s="1"/>
  <c r="X7" i="2"/>
  <c r="X7" i="3" s="1"/>
  <c r="W7" i="2"/>
  <c r="W7" i="3" s="1"/>
  <c r="V7" i="2"/>
  <c r="V7" i="3" s="1"/>
  <c r="U7" i="2"/>
  <c r="U7" i="3" s="1"/>
  <c r="T7" i="2"/>
  <c r="T7" i="3" s="1"/>
  <c r="S7" i="2"/>
  <c r="S7" i="3" s="1"/>
  <c r="R7" i="2"/>
  <c r="R7" i="3" s="1"/>
  <c r="Q7" i="2"/>
  <c r="Q7" i="3" s="1"/>
  <c r="P7" i="2"/>
  <c r="P7" i="3" s="1"/>
  <c r="O7" i="2"/>
  <c r="O7" i="3" s="1"/>
  <c r="N7" i="2"/>
  <c r="N7" i="3" s="1"/>
  <c r="M7" i="2"/>
  <c r="M7" i="3" s="1"/>
  <c r="L7" i="2"/>
  <c r="L7" i="3" s="1"/>
  <c r="K7" i="2"/>
  <c r="K7" i="3" s="1"/>
  <c r="J7" i="2"/>
  <c r="J7" i="3" s="1"/>
  <c r="I7" i="2"/>
  <c r="I7" i="3" s="1"/>
  <c r="H7" i="2"/>
  <c r="H7" i="3" s="1"/>
  <c r="G7" i="2"/>
  <c r="G7" i="3" s="1"/>
  <c r="F7" i="2"/>
  <c r="F7" i="3" s="1"/>
  <c r="E7" i="2"/>
  <c r="E7" i="3" s="1"/>
  <c r="D7" i="2"/>
  <c r="D7" i="3" s="1"/>
  <c r="B6" i="2"/>
  <c r="E169" i="1"/>
  <c r="E168" i="1"/>
  <c r="CE165" i="1"/>
  <c r="CD165" i="1"/>
  <c r="CC165" i="1"/>
  <c r="CC183" i="2" s="1"/>
  <c r="CB165" i="1"/>
  <c r="CA165" i="1"/>
  <c r="CA183" i="2" s="1"/>
  <c r="BZ165" i="1"/>
  <c r="BY165" i="1"/>
  <c r="BY183" i="2" s="1"/>
  <c r="BX165" i="1"/>
  <c r="BW165" i="1"/>
  <c r="BW183" i="2" s="1"/>
  <c r="BV165" i="1"/>
  <c r="BU165" i="1"/>
  <c r="BU183" i="2" s="1"/>
  <c r="BT165" i="1"/>
  <c r="BS165" i="1"/>
  <c r="BS183" i="2" s="1"/>
  <c r="BR165" i="1"/>
  <c r="BQ165" i="1"/>
  <c r="BQ183" i="2" s="1"/>
  <c r="BK165" i="1"/>
  <c r="BJ165" i="1"/>
  <c r="BI165" i="1"/>
  <c r="BH165" i="1"/>
  <c r="BG165" i="1"/>
  <c r="BF165" i="1"/>
  <c r="BE165" i="1"/>
  <c r="BD165" i="1"/>
  <c r="BC165" i="1"/>
  <c r="BB165" i="1"/>
  <c r="BB183" i="2" s="1"/>
  <c r="BA165" i="1"/>
  <c r="AZ165" i="1"/>
  <c r="AZ183" i="2" s="1"/>
  <c r="AY165" i="1"/>
  <c r="AX165" i="1"/>
  <c r="AX183" i="2" s="1"/>
  <c r="AW165" i="1"/>
  <c r="AV165" i="1"/>
  <c r="AV183" i="2" s="1"/>
  <c r="AU165" i="1"/>
  <c r="AT165" i="1"/>
  <c r="AT183" i="2" s="1"/>
  <c r="AS165" i="1"/>
  <c r="AR165" i="1"/>
  <c r="AR183" i="2" s="1"/>
  <c r="AQ165" i="1"/>
  <c r="AP165" i="1"/>
  <c r="AP183" i="2" s="1"/>
  <c r="AO165" i="1"/>
  <c r="AN165" i="1"/>
  <c r="AN183" i="2" s="1"/>
  <c r="AM165" i="1"/>
  <c r="AL165" i="1"/>
  <c r="AL183" i="2" s="1"/>
  <c r="AK165" i="1"/>
  <c r="AJ165" i="1"/>
  <c r="AJ183" i="2" s="1"/>
  <c r="AI165" i="1"/>
  <c r="AH165" i="1"/>
  <c r="AH183" i="2" s="1"/>
  <c r="AF165" i="1"/>
  <c r="AE165" i="1"/>
  <c r="AD165" i="1"/>
  <c r="AC165" i="1"/>
  <c r="AB165" i="1"/>
  <c r="AA165" i="1"/>
  <c r="Z165" i="1"/>
  <c r="Y165" i="1"/>
  <c r="X165" i="1"/>
  <c r="W165" i="1"/>
  <c r="V165" i="1"/>
  <c r="U165" i="1"/>
  <c r="T165" i="1"/>
  <c r="S165" i="1"/>
  <c r="R165" i="1"/>
  <c r="Q165" i="1"/>
  <c r="P165" i="1"/>
  <c r="O165" i="1"/>
  <c r="N165" i="1"/>
  <c r="M165" i="1"/>
  <c r="L165" i="1"/>
  <c r="K165" i="1"/>
  <c r="J165" i="1"/>
  <c r="I165" i="1"/>
  <c r="H165" i="1"/>
  <c r="G165" i="1"/>
  <c r="F165" i="1"/>
  <c r="E165" i="1"/>
  <c r="D165" i="1"/>
  <c r="BB162" i="1"/>
  <c r="BA162" i="1"/>
  <c r="AZ162" i="1"/>
  <c r="AY162" i="1"/>
  <c r="AX162" i="1"/>
  <c r="AW162" i="1"/>
  <c r="AV162" i="1"/>
  <c r="AU162" i="1"/>
  <c r="AT162" i="1"/>
  <c r="AS162" i="1"/>
  <c r="AR162" i="1"/>
  <c r="AQ162" i="1"/>
  <c r="AP162" i="1"/>
  <c r="AO162" i="1"/>
  <c r="AN162" i="1"/>
  <c r="AM162" i="1"/>
  <c r="AL162" i="1"/>
  <c r="AK162" i="1"/>
  <c r="AJ162" i="1"/>
  <c r="AI162" i="1"/>
  <c r="AG162" i="1"/>
  <c r="AF162" i="1"/>
  <c r="AE162" i="1"/>
  <c r="AD162" i="1"/>
  <c r="AC162" i="1"/>
  <c r="AB162" i="1"/>
  <c r="AA162" i="1"/>
  <c r="Z162" i="1"/>
  <c r="Y162" i="1"/>
  <c r="X162" i="1"/>
  <c r="W162" i="1"/>
  <c r="C162" i="1"/>
  <c r="B162" i="1"/>
  <c r="BA159" i="1"/>
  <c r="AZ159" i="1"/>
  <c r="AY159" i="1"/>
  <c r="AX159" i="1"/>
  <c r="AV159" i="1"/>
  <c r="AU159" i="1"/>
  <c r="AT159" i="1"/>
  <c r="AS159" i="1"/>
  <c r="AR159" i="1"/>
  <c r="AQ159" i="1"/>
  <c r="AP159" i="1"/>
  <c r="AO159" i="1"/>
  <c r="AN159" i="1"/>
  <c r="AM159" i="1"/>
  <c r="AL159" i="1"/>
  <c r="AK159" i="1"/>
  <c r="AJ159" i="1"/>
  <c r="AI159" i="1"/>
  <c r="AH159" i="1"/>
  <c r="AG159" i="1"/>
  <c r="AF159" i="1"/>
  <c r="AE159" i="1"/>
  <c r="AD159" i="1"/>
  <c r="AC159" i="1"/>
  <c r="AB159" i="1"/>
  <c r="AA159" i="1"/>
  <c r="Z159" i="1"/>
  <c r="Y159" i="1"/>
  <c r="X159" i="1"/>
  <c r="W159" i="1"/>
  <c r="V159" i="1"/>
  <c r="U159" i="1"/>
  <c r="T159" i="1"/>
  <c r="S159" i="1"/>
  <c r="R159" i="1"/>
  <c r="Q159" i="1"/>
  <c r="P159" i="1"/>
  <c r="O159" i="1"/>
  <c r="N159" i="1"/>
  <c r="M159" i="1"/>
  <c r="L159" i="1"/>
  <c r="K159" i="1"/>
  <c r="J159" i="1"/>
  <c r="I159" i="1"/>
  <c r="H159" i="1"/>
  <c r="G159" i="1"/>
  <c r="F159" i="1"/>
  <c r="E159" i="1"/>
  <c r="D159" i="1"/>
  <c r="AW158" i="1"/>
  <c r="CB158" i="1" s="1"/>
  <c r="AW157" i="1"/>
  <c r="CB157" i="1" s="1"/>
  <c r="AW156" i="1"/>
  <c r="CS156" i="1" s="1"/>
  <c r="AW155" i="1"/>
  <c r="CS158" i="1"/>
  <c r="CR158" i="1"/>
  <c r="CQ158" i="1"/>
  <c r="CP158" i="1"/>
  <c r="CO158" i="1"/>
  <c r="CN158" i="1"/>
  <c r="CM158" i="1"/>
  <c r="CL158" i="1"/>
  <c r="CK158" i="1"/>
  <c r="CJ158" i="1"/>
  <c r="CI158" i="1"/>
  <c r="CH158" i="1"/>
  <c r="CR157" i="1"/>
  <c r="CQ157" i="1"/>
  <c r="CP157" i="1"/>
  <c r="CO157" i="1"/>
  <c r="CN157" i="1"/>
  <c r="CM157" i="1"/>
  <c r="CL157" i="1"/>
  <c r="CK157" i="1"/>
  <c r="CJ157" i="1"/>
  <c r="CI157" i="1"/>
  <c r="CH157" i="1"/>
  <c r="CR156" i="1"/>
  <c r="CQ156" i="1"/>
  <c r="CP156" i="1"/>
  <c r="CO156" i="1"/>
  <c r="CN156" i="1"/>
  <c r="CM156" i="1"/>
  <c r="CL156" i="1"/>
  <c r="CK156" i="1"/>
  <c r="CJ156" i="1"/>
  <c r="CI156" i="1"/>
  <c r="CH156" i="1"/>
  <c r="CU155" i="1"/>
  <c r="CT155" i="1"/>
  <c r="CS155" i="1"/>
  <c r="CR155" i="1"/>
  <c r="CQ155" i="1"/>
  <c r="CP155" i="1"/>
  <c r="CO155" i="1"/>
  <c r="CN155" i="1"/>
  <c r="CM155" i="1"/>
  <c r="CL155" i="1"/>
  <c r="CK155" i="1"/>
  <c r="CJ155" i="1"/>
  <c r="CI155" i="1"/>
  <c r="CH155" i="1"/>
  <c r="CA158" i="1"/>
  <c r="BZ158" i="1"/>
  <c r="BY158" i="1"/>
  <c r="BX158" i="1"/>
  <c r="BW158" i="1"/>
  <c r="BV158" i="1"/>
  <c r="BU158" i="1"/>
  <c r="BT158" i="1"/>
  <c r="BS158" i="1"/>
  <c r="BR158" i="1"/>
  <c r="BQ158" i="1"/>
  <c r="CA157" i="1"/>
  <c r="BZ157" i="1"/>
  <c r="BY157" i="1"/>
  <c r="BX157" i="1"/>
  <c r="BW157" i="1"/>
  <c r="BV157" i="1"/>
  <c r="BU157" i="1"/>
  <c r="BT157" i="1"/>
  <c r="BS157" i="1"/>
  <c r="BR157" i="1"/>
  <c r="BQ157" i="1"/>
  <c r="CB156" i="1"/>
  <c r="CA156" i="1"/>
  <c r="BZ156" i="1"/>
  <c r="BY156" i="1"/>
  <c r="BX156" i="1"/>
  <c r="BW156" i="1"/>
  <c r="BV156" i="1"/>
  <c r="BU156" i="1"/>
  <c r="BT156" i="1"/>
  <c r="BS156" i="1"/>
  <c r="BR156" i="1"/>
  <c r="BQ156" i="1"/>
  <c r="CE155" i="1"/>
  <c r="CD155" i="1"/>
  <c r="CC155" i="1"/>
  <c r="CB155" i="1"/>
  <c r="CA155" i="1"/>
  <c r="BZ155" i="1"/>
  <c r="BY155" i="1"/>
  <c r="BX155" i="1"/>
  <c r="BW155" i="1"/>
  <c r="BV155" i="1"/>
  <c r="BU155" i="1"/>
  <c r="BT155" i="1"/>
  <c r="BS155" i="1"/>
  <c r="BR155" i="1"/>
  <c r="BQ155" i="1"/>
  <c r="BK155" i="1"/>
  <c r="BJ155" i="1"/>
  <c r="BI155" i="1"/>
  <c r="BH155" i="1"/>
  <c r="BG155" i="1"/>
  <c r="BF155" i="1"/>
  <c r="BE155" i="1"/>
  <c r="BD155" i="1"/>
  <c r="BC155" i="1"/>
  <c r="BB155" i="1"/>
  <c r="BA155" i="1"/>
  <c r="AZ155" i="1"/>
  <c r="AY155" i="1"/>
  <c r="AX155" i="1"/>
  <c r="AV155" i="1"/>
  <c r="AU155" i="1"/>
  <c r="AT155" i="1"/>
  <c r="AS155" i="1"/>
  <c r="AR155" i="1"/>
  <c r="AQ155" i="1"/>
  <c r="AP155" i="1"/>
  <c r="AO155" i="1"/>
  <c r="AN155" i="1"/>
  <c r="AM155" i="1"/>
  <c r="AL155" i="1"/>
  <c r="AK155" i="1"/>
  <c r="AJ155" i="1"/>
  <c r="AI155" i="1"/>
  <c r="AH155" i="1"/>
  <c r="AG155" i="1"/>
  <c r="AF155" i="1"/>
  <c r="AE155" i="1"/>
  <c r="AD155" i="1"/>
  <c r="AC155" i="1"/>
  <c r="AB155" i="1"/>
  <c r="AA155" i="1"/>
  <c r="Z155" i="1"/>
  <c r="Y155" i="1"/>
  <c r="X155" i="1"/>
  <c r="W155" i="1"/>
  <c r="V155" i="1"/>
  <c r="U155" i="1"/>
  <c r="T155" i="1"/>
  <c r="S155" i="1"/>
  <c r="R155" i="1"/>
  <c r="Q155" i="1"/>
  <c r="P155" i="1"/>
  <c r="O155" i="1"/>
  <c r="N155" i="1"/>
  <c r="M155" i="1"/>
  <c r="L155" i="1"/>
  <c r="K155" i="1"/>
  <c r="J155" i="1"/>
  <c r="I155" i="1"/>
  <c r="H155" i="1"/>
  <c r="G155" i="1"/>
  <c r="F155" i="1"/>
  <c r="E155" i="1"/>
  <c r="D155" i="1"/>
  <c r="CH148" i="1"/>
  <c r="CI148" i="1" s="1"/>
  <c r="CJ148" i="1" s="1"/>
  <c r="CK148" i="1" s="1"/>
  <c r="CL148" i="1" s="1"/>
  <c r="CM148" i="1" s="1"/>
  <c r="CN148" i="1" s="1"/>
  <c r="CO148" i="1" s="1"/>
  <c r="CP148" i="1" s="1"/>
  <c r="CQ148" i="1" s="1"/>
  <c r="CR148" i="1" s="1"/>
  <c r="CS148" i="1" s="1"/>
  <c r="CT148" i="1" s="1"/>
  <c r="CU148" i="1" s="1"/>
  <c r="CV148" i="1" s="1"/>
  <c r="CH144" i="1"/>
  <c r="CI144" i="1" s="1"/>
  <c r="CJ144" i="1" s="1"/>
  <c r="CK144" i="1" s="1"/>
  <c r="CL144" i="1" s="1"/>
  <c r="CM144" i="1" s="1"/>
  <c r="CN144" i="1" s="1"/>
  <c r="CO144" i="1" s="1"/>
  <c r="CP144" i="1" s="1"/>
  <c r="CQ144" i="1" s="1"/>
  <c r="CR144" i="1" s="1"/>
  <c r="CS144" i="1" s="1"/>
  <c r="CT144" i="1" s="1"/>
  <c r="CU144" i="1" s="1"/>
  <c r="CV144" i="1" s="1"/>
  <c r="BQ148" i="1"/>
  <c r="BR148" i="1" s="1"/>
  <c r="BS148" i="1" s="1"/>
  <c r="BT148" i="1" s="1"/>
  <c r="BU148" i="1" s="1"/>
  <c r="BV148" i="1" s="1"/>
  <c r="BW148" i="1" s="1"/>
  <c r="BX148" i="1" s="1"/>
  <c r="BY148" i="1" s="1"/>
  <c r="BZ148" i="1" s="1"/>
  <c r="CA148" i="1" s="1"/>
  <c r="CB148" i="1" s="1"/>
  <c r="CC148" i="1" s="1"/>
  <c r="CD148" i="1" s="1"/>
  <c r="CE148" i="1" s="1"/>
  <c r="CF148" i="1" s="1"/>
  <c r="BQ144" i="1"/>
  <c r="BR144" i="1" s="1"/>
  <c r="BS144" i="1" s="1"/>
  <c r="BT144" i="1" s="1"/>
  <c r="BU144" i="1" s="1"/>
  <c r="BV144" i="1" s="1"/>
  <c r="BW144" i="1" s="1"/>
  <c r="BX144" i="1" s="1"/>
  <c r="BY144" i="1" s="1"/>
  <c r="BZ144" i="1" s="1"/>
  <c r="CA144" i="1" s="1"/>
  <c r="CB144" i="1" s="1"/>
  <c r="CC144" i="1" s="1"/>
  <c r="CD144" i="1" s="1"/>
  <c r="CE144" i="1" s="1"/>
  <c r="CF144" i="1" s="1"/>
  <c r="AG148" i="1"/>
  <c r="AH148" i="1" s="1"/>
  <c r="AI148" i="1" s="1"/>
  <c r="AJ148" i="1" s="1"/>
  <c r="AK148" i="1" s="1"/>
  <c r="AL148" i="1" s="1"/>
  <c r="AM148" i="1" s="1"/>
  <c r="AN148" i="1" s="1"/>
  <c r="AO148" i="1" s="1"/>
  <c r="AP148" i="1" s="1"/>
  <c r="AQ148" i="1" s="1"/>
  <c r="AR148" i="1" s="1"/>
  <c r="AS148" i="1" s="1"/>
  <c r="AT148" i="1" s="1"/>
  <c r="AU148" i="1" s="1"/>
  <c r="AV148" i="1" s="1"/>
  <c r="AW148" i="1" s="1"/>
  <c r="AX148" i="1" s="1"/>
  <c r="AY148" i="1" s="1"/>
  <c r="AZ148" i="1" s="1"/>
  <c r="BA148" i="1" s="1"/>
  <c r="BA146" i="1"/>
  <c r="AZ146" i="1"/>
  <c r="AY146" i="1"/>
  <c r="AX146" i="1"/>
  <c r="AV146" i="1"/>
  <c r="AU146" i="1"/>
  <c r="AT146" i="1"/>
  <c r="AS146" i="1"/>
  <c r="AR146" i="1"/>
  <c r="AQ146" i="1"/>
  <c r="AP146" i="1"/>
  <c r="AG144" i="1"/>
  <c r="AH144" i="1" s="1"/>
  <c r="AI144" i="1" s="1"/>
  <c r="AJ144" i="1" s="1"/>
  <c r="AK144" i="1" s="1"/>
  <c r="AL144" i="1" s="1"/>
  <c r="AM144" i="1" s="1"/>
  <c r="AN144" i="1" s="1"/>
  <c r="AO144" i="1" s="1"/>
  <c r="AP144" i="1" s="1"/>
  <c r="AQ144" i="1" s="1"/>
  <c r="AR144" i="1" s="1"/>
  <c r="AS144" i="1" s="1"/>
  <c r="AT144" i="1" s="1"/>
  <c r="AU144" i="1" s="1"/>
  <c r="AV144" i="1" s="1"/>
  <c r="AW144" i="1" s="1"/>
  <c r="AX144" i="1" s="1"/>
  <c r="AY144" i="1" s="1"/>
  <c r="AZ144" i="1" s="1"/>
  <c r="BA144" i="1" s="1"/>
  <c r="AZ140" i="1"/>
  <c r="AV140" i="1"/>
  <c r="AN140" i="1"/>
  <c r="AJ140" i="1"/>
  <c r="AF140" i="1"/>
  <c r="X140" i="1"/>
  <c r="T140" i="1"/>
  <c r="P140" i="1"/>
  <c r="H140" i="1"/>
  <c r="D140" i="1"/>
  <c r="CU137" i="1"/>
  <c r="CT137" i="1"/>
  <c r="CS137" i="1"/>
  <c r="CR137" i="1"/>
  <c r="CQ137" i="1"/>
  <c r="CP137" i="1"/>
  <c r="CO137" i="1"/>
  <c r="CN137" i="1"/>
  <c r="CM137" i="1"/>
  <c r="CL137" i="1"/>
  <c r="CK137" i="1"/>
  <c r="CJ137" i="1"/>
  <c r="CI137" i="1"/>
  <c r="CH137" i="1"/>
  <c r="CE137" i="1"/>
  <c r="CD137" i="1"/>
  <c r="CC137" i="1"/>
  <c r="CB137" i="1"/>
  <c r="CA137" i="1"/>
  <c r="BZ137" i="1"/>
  <c r="BY137" i="1"/>
  <c r="BX137" i="1"/>
  <c r="BW137" i="1"/>
  <c r="BV137" i="1"/>
  <c r="BU137" i="1"/>
  <c r="BT137" i="1"/>
  <c r="BS137" i="1"/>
  <c r="BR137" i="1"/>
  <c r="BQ137" i="1"/>
  <c r="BK137" i="1"/>
  <c r="BJ137" i="1"/>
  <c r="BI137" i="1"/>
  <c r="BH137" i="1"/>
  <c r="BG137" i="1"/>
  <c r="BF137" i="1"/>
  <c r="BE137" i="1"/>
  <c r="BD137" i="1"/>
  <c r="BC137" i="1"/>
  <c r="BB137" i="1"/>
  <c r="BA137" i="1"/>
  <c r="AZ137" i="1"/>
  <c r="AY137" i="1"/>
  <c r="AX137" i="1"/>
  <c r="AW137" i="1"/>
  <c r="AV137" i="1"/>
  <c r="AU137" i="1"/>
  <c r="AT137" i="1"/>
  <c r="AS137" i="1"/>
  <c r="AR137" i="1"/>
  <c r="AQ137" i="1"/>
  <c r="AP137" i="1"/>
  <c r="AO137" i="1"/>
  <c r="AN137" i="1"/>
  <c r="AM137" i="1"/>
  <c r="AL137" i="1"/>
  <c r="AK137" i="1"/>
  <c r="AJ137" i="1"/>
  <c r="AI137" i="1"/>
  <c r="AH137" i="1"/>
  <c r="AG137" i="1"/>
  <c r="AF137" i="1"/>
  <c r="AE137" i="1"/>
  <c r="AD137" i="1"/>
  <c r="AC137" i="1"/>
  <c r="AB137" i="1"/>
  <c r="AA137" i="1"/>
  <c r="Z137" i="1"/>
  <c r="Y137" i="1"/>
  <c r="X137" i="1"/>
  <c r="W137" i="1"/>
  <c r="V137" i="1"/>
  <c r="U137" i="1"/>
  <c r="T137" i="1"/>
  <c r="S137" i="1"/>
  <c r="R137" i="1"/>
  <c r="Q137" i="1"/>
  <c r="P137" i="1"/>
  <c r="O137" i="1"/>
  <c r="N137" i="1"/>
  <c r="M137" i="1"/>
  <c r="L137" i="1"/>
  <c r="K137" i="1"/>
  <c r="J137" i="1"/>
  <c r="I137" i="1"/>
  <c r="H137" i="1"/>
  <c r="G137" i="1"/>
  <c r="F137" i="1"/>
  <c r="E137" i="1"/>
  <c r="D137" i="1"/>
  <c r="AI132" i="1"/>
  <c r="AJ132" i="1" s="1"/>
  <c r="CS131" i="1"/>
  <c r="CR131" i="1"/>
  <c r="CP131" i="1"/>
  <c r="CO131" i="1"/>
  <c r="CN131" i="1"/>
  <c r="CM131" i="1"/>
  <c r="CL131" i="1"/>
  <c r="CK131" i="1"/>
  <c r="CJ131" i="1"/>
  <c r="CI131" i="1"/>
  <c r="CH131" i="1"/>
  <c r="BX132" i="1"/>
  <c r="BW132" i="1"/>
  <c r="BV132" i="1"/>
  <c r="BU132" i="1"/>
  <c r="BT132" i="1"/>
  <c r="BS132" i="1"/>
  <c r="BR132" i="1"/>
  <c r="BQ132" i="1"/>
  <c r="CB131" i="1"/>
  <c r="BZ131" i="1"/>
  <c r="BY131" i="1"/>
  <c r="BX131" i="1"/>
  <c r="BW131" i="1"/>
  <c r="BV131" i="1"/>
  <c r="BU131" i="1"/>
  <c r="BT131" i="1"/>
  <c r="BS131" i="1"/>
  <c r="BR131" i="1"/>
  <c r="BQ131" i="1"/>
  <c r="AR131" i="1"/>
  <c r="CQ131" i="1" s="1"/>
  <c r="V129" i="1"/>
  <c r="V162" i="1" s="1"/>
  <c r="U129" i="1"/>
  <c r="U162" i="1" s="1"/>
  <c r="T129" i="1"/>
  <c r="T162" i="1" s="1"/>
  <c r="S129" i="1"/>
  <c r="S162" i="1" s="1"/>
  <c r="R129" i="1"/>
  <c r="R162" i="1" s="1"/>
  <c r="Q129" i="1"/>
  <c r="Q162" i="1" s="1"/>
  <c r="P129" i="1"/>
  <c r="P162" i="1" s="1"/>
  <c r="O129" i="1"/>
  <c r="O162" i="1" s="1"/>
  <c r="N129" i="1"/>
  <c r="N162" i="1" s="1"/>
  <c r="M129" i="1"/>
  <c r="M162" i="1" s="1"/>
  <c r="L129" i="1"/>
  <c r="L162" i="1" s="1"/>
  <c r="K129" i="1"/>
  <c r="K162" i="1" s="1"/>
  <c r="J129" i="1"/>
  <c r="J162" i="1" s="1"/>
  <c r="I129" i="1"/>
  <c r="I162" i="1" s="1"/>
  <c r="H129" i="1"/>
  <c r="H162" i="1" s="1"/>
  <c r="G129" i="1"/>
  <c r="G162" i="1" s="1"/>
  <c r="F129" i="1"/>
  <c r="F162" i="1" s="1"/>
  <c r="E129" i="1"/>
  <c r="E162" i="1" s="1"/>
  <c r="D129" i="1"/>
  <c r="D162" i="1" s="1"/>
  <c r="CC124" i="1"/>
  <c r="CB124" i="1"/>
  <c r="CA124" i="1"/>
  <c r="AO124" i="1"/>
  <c r="AN124" i="1"/>
  <c r="AK124" i="1"/>
  <c r="AJ124" i="1"/>
  <c r="AG124" i="1"/>
  <c r="AC124" i="1"/>
  <c r="AB124" i="1"/>
  <c r="Y124" i="1"/>
  <c r="X124" i="1"/>
  <c r="U124" i="1"/>
  <c r="T124" i="1"/>
  <c r="Q124" i="1"/>
  <c r="M124" i="1"/>
  <c r="L124" i="1"/>
  <c r="I124" i="1"/>
  <c r="H124" i="1"/>
  <c r="E124" i="1"/>
  <c r="D124" i="1"/>
  <c r="AQ119" i="1"/>
  <c r="AP119" i="1"/>
  <c r="AO119" i="1"/>
  <c r="AN119" i="1"/>
  <c r="AM119" i="1"/>
  <c r="AL119" i="1"/>
  <c r="AK119" i="1"/>
  <c r="AJ119" i="1"/>
  <c r="AI119" i="1"/>
  <c r="AH119" i="1"/>
  <c r="AG119" i="1"/>
  <c r="AF119" i="1"/>
  <c r="AE119" i="1"/>
  <c r="AD119" i="1"/>
  <c r="AC119" i="1"/>
  <c r="AB119" i="1"/>
  <c r="AA119" i="1"/>
  <c r="Z119" i="1"/>
  <c r="Y119" i="1"/>
  <c r="X119" i="1"/>
  <c r="W119" i="1"/>
  <c r="V119" i="1"/>
  <c r="U119" i="1"/>
  <c r="T119" i="1"/>
  <c r="S119" i="1"/>
  <c r="R119" i="1"/>
  <c r="Q119" i="1"/>
  <c r="P119" i="1"/>
  <c r="O119" i="1"/>
  <c r="N119" i="1"/>
  <c r="M119" i="1"/>
  <c r="L119" i="1"/>
  <c r="K119" i="1"/>
  <c r="J119" i="1"/>
  <c r="I119" i="1"/>
  <c r="H119" i="1"/>
  <c r="G119" i="1"/>
  <c r="F119" i="1"/>
  <c r="E119" i="1"/>
  <c r="AQ118" i="1"/>
  <c r="AP118" i="1"/>
  <c r="AO118" i="1"/>
  <c r="AN118" i="1"/>
  <c r="AM118" i="1"/>
  <c r="AL118" i="1"/>
  <c r="AK118" i="1"/>
  <c r="AJ118" i="1"/>
  <c r="AI118" i="1"/>
  <c r="AH118" i="1"/>
  <c r="AG118" i="1"/>
  <c r="AF118" i="1"/>
  <c r="AE118" i="1"/>
  <c r="AD118" i="1"/>
  <c r="AC118" i="1"/>
  <c r="AB118" i="1"/>
  <c r="AA118" i="1"/>
  <c r="Z118" i="1"/>
  <c r="Y118" i="1"/>
  <c r="X118" i="1"/>
  <c r="W118" i="1"/>
  <c r="V118" i="1"/>
  <c r="U118" i="1"/>
  <c r="T118" i="1"/>
  <c r="S118" i="1"/>
  <c r="R118" i="1"/>
  <c r="Q118" i="1"/>
  <c r="P118" i="1"/>
  <c r="O118" i="1"/>
  <c r="N118" i="1"/>
  <c r="M118" i="1"/>
  <c r="L118" i="1"/>
  <c r="K118" i="1"/>
  <c r="J118" i="1"/>
  <c r="I118" i="1"/>
  <c r="H118" i="1"/>
  <c r="G118" i="1"/>
  <c r="F118" i="1"/>
  <c r="E118" i="1"/>
  <c r="BA115" i="1"/>
  <c r="AZ115" i="1"/>
  <c r="AY115" i="1"/>
  <c r="AX115" i="1"/>
  <c r="AW115" i="1"/>
  <c r="AV115" i="1"/>
  <c r="AU115" i="1"/>
  <c r="AT115" i="1"/>
  <c r="AS115" i="1"/>
  <c r="AR115" i="1"/>
  <c r="AQ115" i="1"/>
  <c r="AP115" i="1"/>
  <c r="AO115" i="1"/>
  <c r="AN115" i="1"/>
  <c r="AM115" i="1"/>
  <c r="AL115" i="1"/>
  <c r="AK115" i="1"/>
  <c r="AJ115" i="1"/>
  <c r="AI115" i="1"/>
  <c r="AH115" i="1"/>
  <c r="AG115" i="1"/>
  <c r="AF115" i="1"/>
  <c r="AE115" i="1"/>
  <c r="AD115" i="1"/>
  <c r="AC115" i="1"/>
  <c r="AB115" i="1"/>
  <c r="AA115" i="1"/>
  <c r="Z115" i="1"/>
  <c r="Y115" i="1"/>
  <c r="X115" i="1"/>
  <c r="W115" i="1"/>
  <c r="V115" i="1"/>
  <c r="U115" i="1"/>
  <c r="T115" i="1"/>
  <c r="S115" i="1"/>
  <c r="R115" i="1"/>
  <c r="Q115" i="1"/>
  <c r="P115" i="1"/>
  <c r="O115" i="1"/>
  <c r="N115" i="1"/>
  <c r="M115" i="1"/>
  <c r="L115" i="1"/>
  <c r="K115" i="1"/>
  <c r="J115" i="1"/>
  <c r="I115" i="1"/>
  <c r="H115" i="1"/>
  <c r="G115" i="1"/>
  <c r="F115" i="1"/>
  <c r="E115" i="1"/>
  <c r="D115" i="1"/>
  <c r="BB115" i="1"/>
  <c r="BB112" i="1"/>
  <c r="CS114" i="1"/>
  <c r="CR114" i="1"/>
  <c r="CQ114" i="1"/>
  <c r="CP114" i="1"/>
  <c r="CO114" i="1"/>
  <c r="CO162" i="1" s="1"/>
  <c r="CN114" i="1"/>
  <c r="CN162" i="1" s="1"/>
  <c r="CM114" i="1"/>
  <c r="CM162" i="1" s="1"/>
  <c r="CL114" i="1"/>
  <c r="CL162" i="1" s="1"/>
  <c r="CK114" i="1"/>
  <c r="CK162" i="1" s="1"/>
  <c r="CJ114" i="1"/>
  <c r="CJ162" i="1" s="1"/>
  <c r="CI114" i="1"/>
  <c r="CI162" i="1" s="1"/>
  <c r="CH114" i="1"/>
  <c r="CH162" i="1" s="1"/>
  <c r="CS113" i="1"/>
  <c r="CR113" i="1"/>
  <c r="CQ113" i="1"/>
  <c r="CP113" i="1"/>
  <c r="CO113" i="1"/>
  <c r="CN113" i="1"/>
  <c r="CM113" i="1"/>
  <c r="CL113" i="1"/>
  <c r="CK113" i="1"/>
  <c r="CJ113" i="1"/>
  <c r="CI113" i="1"/>
  <c r="CH113" i="1"/>
  <c r="CU112" i="1"/>
  <c r="CT112" i="1"/>
  <c r="CS112" i="1"/>
  <c r="CR112" i="1"/>
  <c r="CQ112" i="1"/>
  <c r="CP112" i="1"/>
  <c r="CO112" i="1"/>
  <c r="CN112" i="1"/>
  <c r="CM112" i="1"/>
  <c r="CL112" i="1"/>
  <c r="CK112" i="1"/>
  <c r="CJ112" i="1"/>
  <c r="CI112" i="1"/>
  <c r="CH112" i="1"/>
  <c r="CB114" i="1"/>
  <c r="CB162" i="1" s="1"/>
  <c r="CA114" i="1"/>
  <c r="CA162" i="1" s="1"/>
  <c r="BZ114" i="1"/>
  <c r="BY114" i="1"/>
  <c r="BY162" i="1" s="1"/>
  <c r="BX114" i="1"/>
  <c r="BX162" i="1" s="1"/>
  <c r="BW114" i="1"/>
  <c r="BW162" i="1" s="1"/>
  <c r="BV114" i="1"/>
  <c r="BV162" i="1" s="1"/>
  <c r="BU114" i="1"/>
  <c r="BU162" i="1" s="1"/>
  <c r="BT114" i="1"/>
  <c r="BT162" i="1" s="1"/>
  <c r="BS114" i="1"/>
  <c r="BS162" i="1" s="1"/>
  <c r="BR114" i="1"/>
  <c r="BR162" i="1" s="1"/>
  <c r="BQ114" i="1"/>
  <c r="BQ162" i="1" s="1"/>
  <c r="CB113" i="1"/>
  <c r="CA113" i="1"/>
  <c r="BZ113" i="1"/>
  <c r="BY113" i="1"/>
  <c r="BX113" i="1"/>
  <c r="BW113" i="1"/>
  <c r="BV113" i="1"/>
  <c r="BU113" i="1"/>
  <c r="BT113" i="1"/>
  <c r="BS113" i="1"/>
  <c r="BR113" i="1"/>
  <c r="BQ113" i="1"/>
  <c r="CE112" i="1"/>
  <c r="CD112" i="1"/>
  <c r="CC112" i="1"/>
  <c r="CB112" i="1"/>
  <c r="CA112" i="1"/>
  <c r="BZ112" i="1"/>
  <c r="BY112" i="1"/>
  <c r="BX112" i="1"/>
  <c r="BW112" i="1"/>
  <c r="BV112" i="1"/>
  <c r="BU112" i="1"/>
  <c r="BT112" i="1"/>
  <c r="BS112" i="1"/>
  <c r="BR112" i="1"/>
  <c r="BQ112" i="1"/>
  <c r="BK112" i="1"/>
  <c r="BJ112" i="1"/>
  <c r="BI112" i="1"/>
  <c r="BH112" i="1"/>
  <c r="BG112" i="1"/>
  <c r="BF112" i="1"/>
  <c r="BE112" i="1"/>
  <c r="BD112" i="1"/>
  <c r="BC112" i="1"/>
  <c r="BA112" i="1"/>
  <c r="AZ112" i="1"/>
  <c r="AY112" i="1"/>
  <c r="AX112" i="1"/>
  <c r="AW112" i="1"/>
  <c r="AV112" i="1"/>
  <c r="AU112" i="1"/>
  <c r="AT112" i="1"/>
  <c r="AS112" i="1"/>
  <c r="AR112" i="1"/>
  <c r="AQ112" i="1"/>
  <c r="AP112" i="1"/>
  <c r="AO112" i="1"/>
  <c r="AN112" i="1"/>
  <c r="AM112" i="1"/>
  <c r="AL112" i="1"/>
  <c r="AK112" i="1"/>
  <c r="AJ112" i="1"/>
  <c r="AI112" i="1"/>
  <c r="AH112" i="1"/>
  <c r="AG112" i="1"/>
  <c r="AF112" i="1"/>
  <c r="AE112" i="1"/>
  <c r="AD112" i="1"/>
  <c r="AC112" i="1"/>
  <c r="AB112" i="1"/>
  <c r="AA112" i="1"/>
  <c r="Z112" i="1"/>
  <c r="Y112" i="1"/>
  <c r="X112" i="1"/>
  <c r="W112" i="1"/>
  <c r="V112" i="1"/>
  <c r="U112" i="1"/>
  <c r="T112" i="1"/>
  <c r="S112" i="1"/>
  <c r="R112" i="1"/>
  <c r="Q112" i="1"/>
  <c r="P112" i="1"/>
  <c r="O112" i="1"/>
  <c r="N112" i="1"/>
  <c r="M112" i="1"/>
  <c r="L112" i="1"/>
  <c r="K112" i="1"/>
  <c r="J112" i="1"/>
  <c r="I112" i="1"/>
  <c r="H112" i="1"/>
  <c r="G112" i="1"/>
  <c r="F112" i="1"/>
  <c r="E112" i="1"/>
  <c r="D112" i="1"/>
  <c r="P124" i="1" l="1"/>
  <c r="AF124" i="1"/>
  <c r="BT16" i="2"/>
  <c r="AN70" i="3"/>
  <c r="V36" i="3"/>
  <c r="AH36" i="3"/>
  <c r="AX36" i="3"/>
  <c r="I38" i="3"/>
  <c r="J38" i="3" s="1"/>
  <c r="AG40" i="3"/>
  <c r="AH40" i="3" s="1"/>
  <c r="AI40" i="3" s="1"/>
  <c r="CO40" i="3" s="1"/>
  <c r="CO142" i="3" s="1"/>
  <c r="AV40" i="3"/>
  <c r="AW40" i="3" s="1"/>
  <c r="AX40" i="3" s="1"/>
  <c r="AY40" i="3" s="1"/>
  <c r="CS40" i="3" s="1"/>
  <c r="CS142" i="3" s="1"/>
  <c r="H52" i="3"/>
  <c r="X52" i="3"/>
  <c r="AN52" i="3"/>
  <c r="AK46" i="3"/>
  <c r="AK116" i="2" s="1"/>
  <c r="AK119" i="2" s="1"/>
  <c r="P51" i="3"/>
  <c r="Q51" i="3" s="1"/>
  <c r="R51" i="3" s="1"/>
  <c r="S51" i="3" s="1"/>
  <c r="AK153" i="3"/>
  <c r="AK154" i="3" s="1"/>
  <c r="BA163" i="3"/>
  <c r="AB55" i="2"/>
  <c r="AB54" i="2" s="1"/>
  <c r="AC104" i="2"/>
  <c r="AC110" i="2" s="1"/>
  <c r="AC87" i="2" s="1"/>
  <c r="AD36" i="3"/>
  <c r="BA61" i="3"/>
  <c r="AH143" i="3"/>
  <c r="V143" i="3"/>
  <c r="BW15" i="2"/>
  <c r="BW17" i="2" s="1"/>
  <c r="P56" i="2"/>
  <c r="AF56" i="2"/>
  <c r="AV56" i="2"/>
  <c r="H70" i="3"/>
  <c r="X70" i="3"/>
  <c r="AK20" i="3"/>
  <c r="AK35" i="3"/>
  <c r="V38" i="3"/>
  <c r="W38" i="3" s="1"/>
  <c r="BU38" i="3" s="1"/>
  <c r="BU140" i="3" s="1"/>
  <c r="D52" i="3"/>
  <c r="T52" i="3"/>
  <c r="AJ52" i="3"/>
  <c r="AZ52" i="3"/>
  <c r="AG15" i="3"/>
  <c r="CP64" i="2"/>
  <c r="BD85" i="21"/>
  <c r="BD83" i="21"/>
  <c r="BD17" i="21"/>
  <c r="BD15" i="21"/>
  <c r="BD38" i="21"/>
  <c r="BD36" i="21"/>
  <c r="BC57" i="21"/>
  <c r="BB72" i="21"/>
  <c r="BA49" i="21"/>
  <c r="AZ61" i="21"/>
  <c r="AO15" i="3"/>
  <c r="E16" i="3"/>
  <c r="E70" i="3" s="1"/>
  <c r="U16" i="3"/>
  <c r="U70" i="3" s="1"/>
  <c r="AK16" i="3"/>
  <c r="AK70" i="3" s="1"/>
  <c r="BA16" i="3"/>
  <c r="BB16" i="3" s="1"/>
  <c r="M16" i="3"/>
  <c r="N16" i="3" s="1"/>
  <c r="AS16" i="3"/>
  <c r="AS70" i="3" s="1"/>
  <c r="CP81" i="2"/>
  <c r="CR81" i="2"/>
  <c r="BZ81" i="2"/>
  <c r="AG57" i="2"/>
  <c r="AK57" i="2"/>
  <c r="AO57" i="2"/>
  <c r="AS57" i="2"/>
  <c r="AW57" i="2"/>
  <c r="AA53" i="2"/>
  <c r="AY53" i="2"/>
  <c r="I55" i="2"/>
  <c r="I54" i="2" s="1"/>
  <c r="Y55" i="2"/>
  <c r="Y54" i="2" s="1"/>
  <c r="AC55" i="2"/>
  <c r="AC54" i="2" s="1"/>
  <c r="AG55" i="2"/>
  <c r="AG54" i="2" s="1"/>
  <c r="E56" i="2"/>
  <c r="M56" i="2"/>
  <c r="U56" i="2"/>
  <c r="AK56" i="2"/>
  <c r="BA56" i="2"/>
  <c r="BA30" i="21"/>
  <c r="AZ142" i="21"/>
  <c r="AK15" i="3"/>
  <c r="I16" i="3"/>
  <c r="I70" i="3" s="1"/>
  <c r="Q16" i="3"/>
  <c r="Q70" i="3" s="1"/>
  <c r="Y16" i="3"/>
  <c r="Y70" i="3" s="1"/>
  <c r="AG16" i="3"/>
  <c r="AO16" i="3"/>
  <c r="AO70" i="3" s="1"/>
  <c r="AW16" i="3"/>
  <c r="AW70" i="3" s="1"/>
  <c r="CR39" i="3"/>
  <c r="CR141" i="3" s="1"/>
  <c r="L52" i="3"/>
  <c r="AB52" i="3"/>
  <c r="AR52" i="3"/>
  <c r="AH37" i="3"/>
  <c r="AI37" i="3" s="1"/>
  <c r="BX37" i="3" s="1"/>
  <c r="BX139" i="3" s="1"/>
  <c r="AG21" i="2"/>
  <c r="BC34" i="3"/>
  <c r="BC67" i="3" s="1"/>
  <c r="BC69" i="3" s="1"/>
  <c r="BB37" i="3"/>
  <c r="BC37" i="3" s="1"/>
  <c r="BB54" i="3"/>
  <c r="BC54" i="3" s="1"/>
  <c r="BB57" i="3"/>
  <c r="BC57" i="3" s="1"/>
  <c r="AC70" i="3"/>
  <c r="AG70" i="3"/>
  <c r="BW74" i="3"/>
  <c r="CI74" i="3"/>
  <c r="CI77" i="3" s="1"/>
  <c r="CM74" i="3"/>
  <c r="CQ74" i="3"/>
  <c r="CQ77" i="3" s="1"/>
  <c r="M98" i="2"/>
  <c r="Q98" i="2"/>
  <c r="T98" i="2"/>
  <c r="V98" i="2"/>
  <c r="Z98" i="2"/>
  <c r="AB98" i="2"/>
  <c r="AD98" i="2"/>
  <c r="AX98" i="2"/>
  <c r="D86" i="2"/>
  <c r="D88" i="2" s="1"/>
  <c r="AK159" i="21"/>
  <c r="AL57" i="2"/>
  <c r="AK216" i="21"/>
  <c r="BC83" i="21"/>
  <c r="BC85" i="21"/>
  <c r="BC15" i="21"/>
  <c r="BC17" i="21"/>
  <c r="BC36" i="21"/>
  <c r="BC38" i="21"/>
  <c r="I62" i="21"/>
  <c r="AW62" i="21"/>
  <c r="K88" i="21"/>
  <c r="S88" i="21"/>
  <c r="BW203" i="21"/>
  <c r="BR246" i="21"/>
  <c r="BV246" i="21"/>
  <c r="BS268" i="21"/>
  <c r="BR304" i="21"/>
  <c r="BT304" i="21"/>
  <c r="BV304" i="21"/>
  <c r="I20" i="21"/>
  <c r="AW98" i="2"/>
  <c r="BR68" i="2"/>
  <c r="BR74" i="2" s="1"/>
  <c r="BR77" i="2" s="1"/>
  <c r="BZ68" i="2"/>
  <c r="BZ74" i="2" s="1"/>
  <c r="BZ77" i="2" s="1"/>
  <c r="CL68" i="2"/>
  <c r="CL74" i="2" s="1"/>
  <c r="AH74" i="2"/>
  <c r="AH77" i="2" s="1"/>
  <c r="AL74" i="2"/>
  <c r="CS157" i="1"/>
  <c r="CE183" i="2"/>
  <c r="CV165" i="1"/>
  <c r="BM17" i="21"/>
  <c r="BO17" i="21"/>
  <c r="BN17" i="21"/>
  <c r="BL17" i="21"/>
  <c r="BT268" i="21"/>
  <c r="BX268" i="21"/>
  <c r="AI268" i="21"/>
  <c r="AI270" i="21" s="1"/>
  <c r="AM268" i="21"/>
  <c r="BQ304" i="21"/>
  <c r="CE107" i="21"/>
  <c r="CF101" i="21"/>
  <c r="I57" i="2"/>
  <c r="M57" i="2"/>
  <c r="Q57" i="2"/>
  <c r="U57" i="2"/>
  <c r="Y57" i="2"/>
  <c r="AI57" i="2"/>
  <c r="E53" i="2"/>
  <c r="AC53" i="2"/>
  <c r="BA53" i="2"/>
  <c r="AI15" i="2"/>
  <c r="AI17" i="2" s="1"/>
  <c r="AI98" i="2" s="1"/>
  <c r="BZ37" i="2"/>
  <c r="AR98" i="2"/>
  <c r="CM17" i="2"/>
  <c r="CM27" i="2" s="1"/>
  <c r="CM72" i="3" s="1"/>
  <c r="BW37" i="2"/>
  <c r="BW47" i="2" s="1"/>
  <c r="BM57" i="2"/>
  <c r="CJ77" i="3"/>
  <c r="CN77" i="3"/>
  <c r="CR77" i="3"/>
  <c r="CE105" i="2"/>
  <c r="BL105" i="2"/>
  <c r="CE106" i="2"/>
  <c r="BL106" i="2"/>
  <c r="CA74" i="3"/>
  <c r="BD171" i="3"/>
  <c r="BD343" i="21"/>
  <c r="BF171" i="3"/>
  <c r="BF343" i="21"/>
  <c r="BH171" i="3"/>
  <c r="BH343" i="21"/>
  <c r="BJ171" i="3"/>
  <c r="BJ343" i="21"/>
  <c r="BQ159" i="1"/>
  <c r="BU159" i="1"/>
  <c r="BY159" i="1"/>
  <c r="CI159" i="1"/>
  <c r="CM159" i="1"/>
  <c r="CQ159" i="1"/>
  <c r="BE171" i="3"/>
  <c r="BE343" i="21"/>
  <c r="BG171" i="3"/>
  <c r="BG343" i="21"/>
  <c r="BI171" i="3"/>
  <c r="BI343" i="21"/>
  <c r="BK171" i="3"/>
  <c r="BK343" i="21"/>
  <c r="BB144" i="1"/>
  <c r="BB145" i="1" s="1"/>
  <c r="BB147" i="1" s="1"/>
  <c r="BC81" i="2"/>
  <c r="BB148" i="1"/>
  <c r="BC148" i="1" s="1"/>
  <c r="BD148" i="1" s="1"/>
  <c r="BE148" i="1" s="1"/>
  <c r="BF148" i="1" s="1"/>
  <c r="BG148" i="1" s="1"/>
  <c r="BH148" i="1" s="1"/>
  <c r="BI148" i="1" s="1"/>
  <c r="BJ148" i="1" s="1"/>
  <c r="BK148" i="1" s="1"/>
  <c r="BL148" i="1" s="1"/>
  <c r="BM148" i="1" s="1"/>
  <c r="BN148" i="1" s="1"/>
  <c r="BO148" i="1" s="1"/>
  <c r="AI95" i="2"/>
  <c r="H86" i="2"/>
  <c r="H88" i="2" s="1"/>
  <c r="L86" i="2"/>
  <c r="L88" i="2" s="1"/>
  <c r="N86" i="2"/>
  <c r="N88" i="2" s="1"/>
  <c r="P86" i="2"/>
  <c r="P88" i="2" s="1"/>
  <c r="R86" i="2"/>
  <c r="R88" i="2" s="1"/>
  <c r="T86" i="2"/>
  <c r="T88" i="2" s="1"/>
  <c r="X86" i="2"/>
  <c r="X88" i="2" s="1"/>
  <c r="AB152" i="2"/>
  <c r="AB154" i="2" s="1"/>
  <c r="AF152" i="2"/>
  <c r="AF154" i="2" s="1"/>
  <c r="AJ152" i="2"/>
  <c r="AJ154" i="2" s="1"/>
  <c r="AN152" i="2"/>
  <c r="D53" i="2"/>
  <c r="F53" i="2"/>
  <c r="N53" i="2"/>
  <c r="V53" i="2"/>
  <c r="Z53" i="2"/>
  <c r="AB53" i="2"/>
  <c r="AD53" i="2"/>
  <c r="AF53" i="2"/>
  <c r="AH53" i="2"/>
  <c r="AJ53" i="2"/>
  <c r="AT53" i="2"/>
  <c r="AZ53" i="2"/>
  <c r="L55" i="2"/>
  <c r="L54" i="2" s="1"/>
  <c r="Z77" i="2"/>
  <c r="CM77" i="3"/>
  <c r="N55" i="2"/>
  <c r="N54" i="2" s="1"/>
  <c r="H57" i="2"/>
  <c r="J57" i="2"/>
  <c r="R57" i="2"/>
  <c r="T57" i="2"/>
  <c r="X57" i="2"/>
  <c r="AN57" i="2"/>
  <c r="AP57" i="2"/>
  <c r="AX57" i="2"/>
  <c r="L98" i="2"/>
  <c r="U98" i="2"/>
  <c r="Y98" i="2"/>
  <c r="AC98" i="2"/>
  <c r="AS98" i="2"/>
  <c r="F55" i="2"/>
  <c r="F54" i="2" s="1"/>
  <c r="V55" i="2"/>
  <c r="V54" i="2" s="1"/>
  <c r="AL55" i="2"/>
  <c r="AL54" i="2" s="1"/>
  <c r="D56" i="2"/>
  <c r="T56" i="2"/>
  <c r="AJ56" i="2"/>
  <c r="AZ56" i="2"/>
  <c r="CR64" i="2"/>
  <c r="CR68" i="2" s="1"/>
  <c r="CR74" i="2" s="1"/>
  <c r="E86" i="2"/>
  <c r="E88" i="2" s="1"/>
  <c r="G86" i="2"/>
  <c r="G88" i="2" s="1"/>
  <c r="I86" i="2"/>
  <c r="I88" i="2" s="1"/>
  <c r="K86" i="2"/>
  <c r="K88" i="2" s="1"/>
  <c r="M86" i="2"/>
  <c r="M88" i="2" s="1"/>
  <c r="O86" i="2"/>
  <c r="O88" i="2" s="1"/>
  <c r="Q86" i="2"/>
  <c r="Q88" i="2" s="1"/>
  <c r="U86" i="2"/>
  <c r="U88" i="2" s="1"/>
  <c r="W86" i="2"/>
  <c r="W88" i="2" s="1"/>
  <c r="Y86" i="2"/>
  <c r="Y88" i="2" s="1"/>
  <c r="AA86" i="2"/>
  <c r="AA88" i="2" s="1"/>
  <c r="AC152" i="2"/>
  <c r="AC154" i="2" s="1"/>
  <c r="AG152" i="2"/>
  <c r="AG154" i="2" s="1"/>
  <c r="AK152" i="2"/>
  <c r="AK154" i="2" s="1"/>
  <c r="AO152" i="2"/>
  <c r="BS74" i="3"/>
  <c r="BS77" i="3" s="1"/>
  <c r="E77" i="3"/>
  <c r="BU12" i="21"/>
  <c r="Z13" i="21"/>
  <c r="AD164" i="21"/>
  <c r="AO41" i="21"/>
  <c r="AW41" i="21"/>
  <c r="AJ81" i="21"/>
  <c r="AR81" i="21"/>
  <c r="L62" i="21"/>
  <c r="AA85" i="21"/>
  <c r="BA85" i="21"/>
  <c r="AQ57" i="21"/>
  <c r="AY57" i="21"/>
  <c r="J81" i="21"/>
  <c r="N81" i="21"/>
  <c r="R81" i="21"/>
  <c r="V81" i="21"/>
  <c r="AL83" i="21"/>
  <c r="AT83" i="21"/>
  <c r="BB85" i="21"/>
  <c r="BB25" i="21"/>
  <c r="L102" i="21"/>
  <c r="T102" i="21"/>
  <c r="BS246" i="21"/>
  <c r="BW246" i="21"/>
  <c r="N15" i="21"/>
  <c r="R15" i="21"/>
  <c r="V15" i="21"/>
  <c r="AH15" i="21"/>
  <c r="AL17" i="21"/>
  <c r="K20" i="21"/>
  <c r="Q22" i="21"/>
  <c r="U22" i="21"/>
  <c r="Y22" i="21"/>
  <c r="AC22" i="21"/>
  <c r="AG22" i="21"/>
  <c r="AK22" i="21"/>
  <c r="AO22" i="21"/>
  <c r="AS22" i="21"/>
  <c r="AW20" i="21"/>
  <c r="AY20" i="21"/>
  <c r="AL27" i="21"/>
  <c r="AP27" i="21"/>
  <c r="AT27" i="21"/>
  <c r="AX27" i="21"/>
  <c r="BB27" i="21" s="1"/>
  <c r="AK34" i="21"/>
  <c r="AO35" i="21" s="1"/>
  <c r="AO34" i="21"/>
  <c r="AS34" i="21"/>
  <c r="AK35" i="21"/>
  <c r="AL41" i="21"/>
  <c r="AP42" i="21" s="1"/>
  <c r="AP41" i="21"/>
  <c r="AT41" i="21"/>
  <c r="AJ42" i="21"/>
  <c r="AM48" i="21"/>
  <c r="AQ48" i="21"/>
  <c r="AU48" i="21"/>
  <c r="AY48" i="21"/>
  <c r="BC48" i="21" s="1"/>
  <c r="J55" i="21"/>
  <c r="N55" i="21"/>
  <c r="V55" i="21"/>
  <c r="W81" i="21"/>
  <c r="AI88" i="21"/>
  <c r="L104" i="21"/>
  <c r="P104" i="21"/>
  <c r="T104" i="21"/>
  <c r="AF38" i="21"/>
  <c r="AJ38" i="21"/>
  <c r="AL35" i="21"/>
  <c r="AI42" i="21"/>
  <c r="AM42" i="21"/>
  <c r="AJ48" i="21"/>
  <c r="AN48" i="21"/>
  <c r="AR48" i="21"/>
  <c r="AV48" i="21"/>
  <c r="AZ48" i="21"/>
  <c r="BD48" i="21" s="1"/>
  <c r="S57" i="21"/>
  <c r="AA57" i="21"/>
  <c r="AI74" i="21"/>
  <c r="AM74" i="21"/>
  <c r="AU74" i="21"/>
  <c r="AY74" i="21"/>
  <c r="BC74" i="21" s="1"/>
  <c r="Z83" i="21"/>
  <c r="BZ80" i="21"/>
  <c r="M104" i="21"/>
  <c r="Q104" i="21"/>
  <c r="U104" i="21"/>
  <c r="BW268" i="21"/>
  <c r="BW304" i="21"/>
  <c r="L15" i="21"/>
  <c r="P15" i="21"/>
  <c r="X17" i="21"/>
  <c r="BB17" i="21"/>
  <c r="BB15" i="21"/>
  <c r="BA13" i="21"/>
  <c r="AI13" i="21"/>
  <c r="AM13" i="21"/>
  <c r="AQ13" i="21"/>
  <c r="AU13" i="21"/>
  <c r="AY13" i="21"/>
  <c r="AD15" i="21"/>
  <c r="AL15" i="21"/>
  <c r="AT15" i="21"/>
  <c r="Z17" i="21"/>
  <c r="AH17" i="21"/>
  <c r="M22" i="21"/>
  <c r="Q20" i="21"/>
  <c r="Y20" i="21"/>
  <c r="AG20" i="21"/>
  <c r="AO20" i="21"/>
  <c r="AW22" i="21"/>
  <c r="AY27" i="21"/>
  <c r="BC27" i="21" s="1"/>
  <c r="AK27" i="21"/>
  <c r="AM27" i="21"/>
  <c r="AO27" i="21"/>
  <c r="AS27" i="21"/>
  <c r="AU27" i="21"/>
  <c r="AW27" i="21"/>
  <c r="BA27" i="21" s="1"/>
  <c r="AG38" i="21"/>
  <c r="BT33" i="21"/>
  <c r="BZ33" i="21"/>
  <c r="AU34" i="21"/>
  <c r="AW34" i="21"/>
  <c r="BA38" i="21"/>
  <c r="BA36" i="21"/>
  <c r="AY34" i="21"/>
  <c r="AK36" i="21"/>
  <c r="AS36" i="21"/>
  <c r="BV36" i="21"/>
  <c r="AB38" i="21"/>
  <c r="AS38" i="21"/>
  <c r="AN43" i="21"/>
  <c r="AR43" i="21"/>
  <c r="AV43" i="21"/>
  <c r="AX41" i="21"/>
  <c r="AZ43" i="21"/>
  <c r="AH42" i="21"/>
  <c r="AL42" i="21"/>
  <c r="AJ41" i="21"/>
  <c r="AN42" i="21" s="1"/>
  <c r="BA43" i="21"/>
  <c r="AP43" i="21"/>
  <c r="AX43" i="21"/>
  <c r="AL48" i="21"/>
  <c r="AP48" i="21"/>
  <c r="AT48" i="21"/>
  <c r="AX48" i="21"/>
  <c r="BB48" i="21" s="1"/>
  <c r="I55" i="21"/>
  <c r="M57" i="21"/>
  <c r="O57" i="21"/>
  <c r="Q57" i="21"/>
  <c r="U57" i="21"/>
  <c r="W57" i="21"/>
  <c r="Y57" i="21"/>
  <c r="AC57" i="21"/>
  <c r="AE57" i="21"/>
  <c r="AG57" i="21"/>
  <c r="AI55" i="21"/>
  <c r="M15" i="21"/>
  <c r="O15" i="21"/>
  <c r="Q15" i="21"/>
  <c r="S15" i="21"/>
  <c r="U15" i="21"/>
  <c r="W15" i="21"/>
  <c r="Y17" i="21"/>
  <c r="AC164" i="21"/>
  <c r="BA17" i="21"/>
  <c r="BA15" i="21"/>
  <c r="AH13" i="21"/>
  <c r="AL13" i="21"/>
  <c r="AP13" i="21"/>
  <c r="AT13" i="21"/>
  <c r="AX13" i="21"/>
  <c r="Z15" i="21"/>
  <c r="AP15" i="21"/>
  <c r="AX15" i="21"/>
  <c r="AD17" i="21"/>
  <c r="J20" i="21"/>
  <c r="L22" i="21"/>
  <c r="N20" i="21"/>
  <c r="P22" i="21"/>
  <c r="R22" i="21"/>
  <c r="T22" i="21"/>
  <c r="V22" i="21"/>
  <c r="X22" i="21"/>
  <c r="AB22" i="21"/>
  <c r="AF22" i="21"/>
  <c r="AJ22" i="21"/>
  <c r="AN22" i="21"/>
  <c r="AR20" i="21"/>
  <c r="AV22" i="21"/>
  <c r="BA20" i="21"/>
  <c r="M20" i="21"/>
  <c r="U20" i="21"/>
  <c r="AC20" i="21"/>
  <c r="AK20" i="21"/>
  <c r="BA22" i="21"/>
  <c r="BA28" i="21"/>
  <c r="BS33" i="21"/>
  <c r="AH38" i="21"/>
  <c r="AL38" i="21"/>
  <c r="AP38" i="21"/>
  <c r="AT38" i="21"/>
  <c r="AX38" i="21"/>
  <c r="BB36" i="21"/>
  <c r="BB38" i="21"/>
  <c r="BA34" i="21"/>
  <c r="AJ35" i="21"/>
  <c r="AO36" i="21"/>
  <c r="AW36" i="21"/>
  <c r="X38" i="21"/>
  <c r="AO38" i="21"/>
  <c r="AW38" i="21"/>
  <c r="AM41" i="21"/>
  <c r="AQ42" i="21" s="1"/>
  <c r="AO43" i="21"/>
  <c r="AQ41" i="21"/>
  <c r="AS43" i="21"/>
  <c r="AU41" i="21"/>
  <c r="AW43" i="21"/>
  <c r="AY41" i="21"/>
  <c r="AG42" i="21"/>
  <c r="AK42" i="21"/>
  <c r="AK41" i="21"/>
  <c r="AO42" i="21" s="1"/>
  <c r="AS41" i="21"/>
  <c r="BA41" i="21"/>
  <c r="AL43" i="21"/>
  <c r="AT43" i="21"/>
  <c r="BA51" i="21"/>
  <c r="AK48" i="21"/>
  <c r="AO48" i="21"/>
  <c r="AS48" i="21"/>
  <c r="AW48" i="21"/>
  <c r="BA48" i="21" s="1"/>
  <c r="Z59" i="21"/>
  <c r="AD59" i="21"/>
  <c r="AH59" i="21"/>
  <c r="AL59" i="21"/>
  <c r="AP59" i="21"/>
  <c r="AT59" i="21"/>
  <c r="AX59" i="21"/>
  <c r="AI57" i="21"/>
  <c r="M62" i="21"/>
  <c r="M64" i="21"/>
  <c r="O64" i="21"/>
  <c r="Q62" i="21"/>
  <c r="Q64" i="21"/>
  <c r="S64" i="21"/>
  <c r="T62" i="21"/>
  <c r="U62" i="21"/>
  <c r="U64" i="21"/>
  <c r="W64" i="21"/>
  <c r="Y62" i="21"/>
  <c r="Y64" i="21"/>
  <c r="AA64" i="21"/>
  <c r="AB62" i="21"/>
  <c r="AC62" i="21"/>
  <c r="AC64" i="21"/>
  <c r="AE64" i="21"/>
  <c r="AG62" i="21"/>
  <c r="AG64" i="21"/>
  <c r="AI64" i="21"/>
  <c r="AJ62" i="21"/>
  <c r="AK62" i="21"/>
  <c r="AK64" i="21"/>
  <c r="AM64" i="21"/>
  <c r="AO62" i="21"/>
  <c r="AO64" i="21"/>
  <c r="AQ64" i="21"/>
  <c r="AR62" i="21"/>
  <c r="AS62" i="21"/>
  <c r="AS64" i="21"/>
  <c r="AU64" i="21"/>
  <c r="AK57" i="21"/>
  <c r="AM55" i="21"/>
  <c r="AO57" i="21"/>
  <c r="AQ55" i="21"/>
  <c r="AS57" i="21"/>
  <c r="AU55" i="21"/>
  <c r="AW57" i="21"/>
  <c r="AY55" i="21"/>
  <c r="BA54" i="21"/>
  <c r="AM57" i="21"/>
  <c r="AU57" i="21"/>
  <c r="J62" i="21"/>
  <c r="L64" i="21"/>
  <c r="N62" i="21"/>
  <c r="P64" i="21"/>
  <c r="R62" i="21"/>
  <c r="T64" i="21"/>
  <c r="V62" i="21"/>
  <c r="X64" i="21"/>
  <c r="Z62" i="21"/>
  <c r="AB64" i="21"/>
  <c r="AD62" i="21"/>
  <c r="AH63" i="21" s="1"/>
  <c r="AF64" i="21"/>
  <c r="AH62" i="21"/>
  <c r="AJ64" i="21"/>
  <c r="AL62" i="21"/>
  <c r="AP63" i="21" s="1"/>
  <c r="AN64" i="21"/>
  <c r="AR64" i="21"/>
  <c r="AT62" i="21"/>
  <c r="AV64" i="21"/>
  <c r="AX62" i="21"/>
  <c r="P62" i="21"/>
  <c r="X62" i="21"/>
  <c r="AF62" i="21"/>
  <c r="AN62" i="21"/>
  <c r="AV62" i="21"/>
  <c r="BA77" i="21"/>
  <c r="AH74" i="21"/>
  <c r="AL74" i="21"/>
  <c r="AN74" i="21"/>
  <c r="AP74" i="21"/>
  <c r="AR74" i="21"/>
  <c r="AT74" i="21"/>
  <c r="AV74" i="21"/>
  <c r="AX74" i="21"/>
  <c r="BB74" i="21" s="1"/>
  <c r="AZ74" i="21"/>
  <c r="BD74" i="21" s="1"/>
  <c r="BB77" i="21"/>
  <c r="I81" i="21"/>
  <c r="M83" i="21"/>
  <c r="Q83" i="21"/>
  <c r="U83" i="21"/>
  <c r="Y83" i="21"/>
  <c r="AC83" i="21"/>
  <c r="AH85" i="21"/>
  <c r="AL85" i="21"/>
  <c r="AP85" i="21"/>
  <c r="AT85" i="21"/>
  <c r="AX85" i="21"/>
  <c r="BB83" i="21"/>
  <c r="BA81" i="21"/>
  <c r="AN81" i="21"/>
  <c r="AZ81" i="21"/>
  <c r="R83" i="21"/>
  <c r="AH83" i="21"/>
  <c r="AP83" i="21"/>
  <c r="AX83" i="21"/>
  <c r="AQ85" i="21"/>
  <c r="I88" i="21"/>
  <c r="O90" i="21"/>
  <c r="S90" i="21"/>
  <c r="W90" i="21"/>
  <c r="W88" i="21"/>
  <c r="AA90" i="21"/>
  <c r="AE90" i="21"/>
  <c r="AE88" i="21"/>
  <c r="AI90" i="21"/>
  <c r="AM90" i="21"/>
  <c r="AM88" i="21"/>
  <c r="AQ90" i="21"/>
  <c r="AU90" i="21"/>
  <c r="AU88" i="21"/>
  <c r="AY90" i="21"/>
  <c r="O88" i="21"/>
  <c r="AA88" i="21"/>
  <c r="AQ88" i="21"/>
  <c r="AY64" i="21"/>
  <c r="BA64" i="21"/>
  <c r="AZ62" i="21"/>
  <c r="AW64" i="21"/>
  <c r="AG74" i="21"/>
  <c r="AK74" i="21"/>
  <c r="AO74" i="21"/>
  <c r="AQ74" i="21"/>
  <c r="AS74" i="21"/>
  <c r="AW74" i="21"/>
  <c r="BA74" i="21" s="1"/>
  <c r="Z85" i="21"/>
  <c r="AD85" i="21"/>
  <c r="AG83" i="21"/>
  <c r="AK83" i="21"/>
  <c r="AM85" i="21"/>
  <c r="AO83" i="21"/>
  <c r="AS83" i="21"/>
  <c r="AW83" i="21"/>
  <c r="BA83" i="21"/>
  <c r="N83" i="21"/>
  <c r="V83" i="21"/>
  <c r="AD83" i="21"/>
  <c r="L88" i="21"/>
  <c r="L90" i="21"/>
  <c r="P88" i="21"/>
  <c r="P90" i="21"/>
  <c r="T88" i="21"/>
  <c r="T90" i="21"/>
  <c r="X90" i="21"/>
  <c r="AB90" i="21"/>
  <c r="AF90" i="21"/>
  <c r="AJ90" i="21"/>
  <c r="AN90" i="21"/>
  <c r="AR90" i="21"/>
  <c r="AV90" i="21"/>
  <c r="AZ90" i="21"/>
  <c r="AY88" i="21"/>
  <c r="BA98" i="21"/>
  <c r="AH95" i="21"/>
  <c r="AJ95" i="21"/>
  <c r="AL95" i="21"/>
  <c r="AN95" i="21"/>
  <c r="AP95" i="21"/>
  <c r="AR95" i="21"/>
  <c r="AT95" i="21"/>
  <c r="AV95" i="21"/>
  <c r="AX95" i="21"/>
  <c r="BB95" i="21" s="1"/>
  <c r="AZ95" i="21"/>
  <c r="BD95" i="21" s="1"/>
  <c r="BS203" i="21"/>
  <c r="BS304" i="21"/>
  <c r="BB93" i="21"/>
  <c r="AG95" i="21"/>
  <c r="AI95" i="21"/>
  <c r="AK95" i="21"/>
  <c r="AM95" i="21"/>
  <c r="AO95" i="21"/>
  <c r="AQ95" i="21"/>
  <c r="AS95" i="21"/>
  <c r="AU95" i="21"/>
  <c r="AW95" i="21"/>
  <c r="BA95" i="21" s="1"/>
  <c r="AY95" i="21"/>
  <c r="BC95" i="21" s="1"/>
  <c r="P102" i="21"/>
  <c r="BU101" i="21"/>
  <c r="BV104" i="21" s="1"/>
  <c r="BU304" i="21"/>
  <c r="CC18" i="3"/>
  <c r="CC120" i="3" s="1"/>
  <c r="AF94" i="3"/>
  <c r="AN94" i="3"/>
  <c r="AJ94" i="3"/>
  <c r="AH35" i="3"/>
  <c r="AI35" i="3" s="1"/>
  <c r="CC36" i="3"/>
  <c r="CC138" i="3" s="1"/>
  <c r="AX37" i="3"/>
  <c r="AY37" i="3" s="1"/>
  <c r="CC38" i="3"/>
  <c r="CC140" i="3" s="1"/>
  <c r="R39" i="3"/>
  <c r="S39" i="3" s="1"/>
  <c r="CO39" i="3"/>
  <c r="CO141" i="3" s="1"/>
  <c r="BX39" i="3"/>
  <c r="BX141" i="3" s="1"/>
  <c r="AX39" i="3"/>
  <c r="AY39" i="3" s="1"/>
  <c r="AK34" i="3"/>
  <c r="AG47" i="3"/>
  <c r="AO47" i="3"/>
  <c r="BQ74" i="3"/>
  <c r="BQ77" i="3" s="1"/>
  <c r="BY74" i="3"/>
  <c r="BY77" i="3" s="1"/>
  <c r="D77" i="3"/>
  <c r="AG34" i="3"/>
  <c r="BT35" i="3"/>
  <c r="BT137" i="3" s="1"/>
  <c r="CB35" i="3"/>
  <c r="CB137" i="3" s="1"/>
  <c r="BT37" i="3"/>
  <c r="BT139" i="3" s="1"/>
  <c r="BS35" i="3"/>
  <c r="BS137" i="3" s="1"/>
  <c r="AC35" i="3"/>
  <c r="AD35" i="3" s="1"/>
  <c r="AE35" i="3" s="1"/>
  <c r="M39" i="3"/>
  <c r="N39" i="3" s="1"/>
  <c r="O39" i="3" s="1"/>
  <c r="CJ39" i="3" s="1"/>
  <c r="CJ141" i="3" s="1"/>
  <c r="E44" i="3"/>
  <c r="F44" i="3" s="1"/>
  <c r="I44" i="3"/>
  <c r="M44" i="3"/>
  <c r="U44" i="3"/>
  <c r="Y44" i="3"/>
  <c r="Z44" i="3" s="1"/>
  <c r="AC44" i="3"/>
  <c r="AD44" i="3" s="1"/>
  <c r="AK44" i="3"/>
  <c r="AO44" i="3"/>
  <c r="AS44" i="3"/>
  <c r="AT44" i="3" s="1"/>
  <c r="BA44" i="3"/>
  <c r="BB44" i="3" s="1"/>
  <c r="AK47" i="3"/>
  <c r="G77" i="3"/>
  <c r="I77" i="3"/>
  <c r="K77" i="3"/>
  <c r="M77" i="3"/>
  <c r="O77" i="3"/>
  <c r="Q77" i="3"/>
  <c r="S77" i="3"/>
  <c r="U77" i="3"/>
  <c r="W77" i="3"/>
  <c r="Y77" i="3"/>
  <c r="AA77" i="3"/>
  <c r="AC77" i="3"/>
  <c r="AE77" i="3"/>
  <c r="AG77" i="3"/>
  <c r="AI77" i="3"/>
  <c r="AK77" i="3"/>
  <c r="AM77" i="3"/>
  <c r="AO77" i="3"/>
  <c r="AS77" i="3"/>
  <c r="AU77" i="3"/>
  <c r="AW77" i="3"/>
  <c r="AY77" i="3"/>
  <c r="BA77" i="3"/>
  <c r="F77" i="3"/>
  <c r="H77" i="3"/>
  <c r="J77" i="3"/>
  <c r="L77" i="3"/>
  <c r="N77" i="3"/>
  <c r="P77" i="3"/>
  <c r="R77" i="3"/>
  <c r="T77" i="3"/>
  <c r="V77" i="3"/>
  <c r="X77" i="3"/>
  <c r="Z77" i="3"/>
  <c r="AB77" i="3"/>
  <c r="AD77" i="3"/>
  <c r="AF77" i="3"/>
  <c r="AH77" i="3"/>
  <c r="AJ77" i="3"/>
  <c r="AL77" i="3"/>
  <c r="AN77" i="3"/>
  <c r="AP77" i="3"/>
  <c r="AR77" i="3"/>
  <c r="AT77" i="3"/>
  <c r="AV77" i="3"/>
  <c r="AX77" i="3"/>
  <c r="AZ77" i="3"/>
  <c r="BE24" i="2"/>
  <c r="BF24" i="2" s="1"/>
  <c r="BG24" i="2" s="1"/>
  <c r="BH24" i="2" s="1"/>
  <c r="CC41" i="2"/>
  <c r="BE41" i="2"/>
  <c r="BF41" i="2" s="1"/>
  <c r="BG41" i="2" s="1"/>
  <c r="BQ163" i="3"/>
  <c r="BQ61" i="3"/>
  <c r="BS163" i="3"/>
  <c r="BS61" i="3"/>
  <c r="BU163" i="3"/>
  <c r="BU61" i="3"/>
  <c r="BW163" i="3"/>
  <c r="BW61" i="3"/>
  <c r="BY163" i="3"/>
  <c r="BY61" i="3"/>
  <c r="CA163" i="3"/>
  <c r="CA61" i="3"/>
  <c r="BQ17" i="2"/>
  <c r="BQ27" i="2" s="1"/>
  <c r="CI163" i="3"/>
  <c r="CI61" i="3"/>
  <c r="CK163" i="3"/>
  <c r="CK61" i="3"/>
  <c r="CM163" i="3"/>
  <c r="CM61" i="3"/>
  <c r="CO163" i="3"/>
  <c r="CO61" i="3"/>
  <c r="CQ163" i="3"/>
  <c r="CQ61" i="3"/>
  <c r="CS163" i="3"/>
  <c r="CS61" i="3"/>
  <c r="AG27" i="2"/>
  <c r="AG72" i="3" s="1"/>
  <c r="M27" i="2"/>
  <c r="M72" i="3" s="1"/>
  <c r="AO27" i="2"/>
  <c r="CA37" i="2"/>
  <c r="BQ37" i="2"/>
  <c r="BQ47" i="2" s="1"/>
  <c r="BS37" i="2"/>
  <c r="BU37" i="2"/>
  <c r="BU47" i="2" s="1"/>
  <c r="CC32" i="2"/>
  <c r="CB33" i="2"/>
  <c r="CH37" i="2"/>
  <c r="CH47" i="2" s="1"/>
  <c r="CL37" i="2"/>
  <c r="CL47" i="2" s="1"/>
  <c r="CP37" i="2"/>
  <c r="CP47" i="2" s="1"/>
  <c r="CO37" i="2"/>
  <c r="CI37" i="2"/>
  <c r="CI47" i="2" s="1"/>
  <c r="CS37" i="2"/>
  <c r="BE40" i="2"/>
  <c r="BF40" i="2" s="1"/>
  <c r="BG40" i="2" s="1"/>
  <c r="BH40" i="2" s="1"/>
  <c r="CC51" i="3"/>
  <c r="CC153" i="3" s="1"/>
  <c r="BR87" i="2"/>
  <c r="BT87" i="2"/>
  <c r="BV87" i="2"/>
  <c r="CK68" i="2"/>
  <c r="CK74" i="2" s="1"/>
  <c r="CQ64" i="2"/>
  <c r="CQ68" i="2" s="1"/>
  <c r="CQ74" i="2" s="1"/>
  <c r="CS64" i="2"/>
  <c r="CS68" i="2" s="1"/>
  <c r="CS74" i="2" s="1"/>
  <c r="AO64" i="2"/>
  <c r="AP64" i="2" s="1"/>
  <c r="AP68" i="2" s="1"/>
  <c r="AP74" i="2" s="1"/>
  <c r="AP77" i="2" s="1"/>
  <c r="BR163" i="3"/>
  <c r="BR61" i="3"/>
  <c r="BT17" i="2"/>
  <c r="BT27" i="2" s="1"/>
  <c r="BT72" i="3" s="1"/>
  <c r="BT163" i="3"/>
  <c r="BT61" i="3"/>
  <c r="BV163" i="3"/>
  <c r="BV61" i="3"/>
  <c r="BX163" i="3"/>
  <c r="BX61" i="3"/>
  <c r="BZ163" i="3"/>
  <c r="BZ61" i="3"/>
  <c r="CB163" i="3"/>
  <c r="CB61" i="3"/>
  <c r="CH17" i="2"/>
  <c r="CH163" i="3"/>
  <c r="CH61" i="3"/>
  <c r="CJ163" i="3"/>
  <c r="CJ61" i="3"/>
  <c r="CL163" i="3"/>
  <c r="CL61" i="3"/>
  <c r="CN17" i="2"/>
  <c r="CN27" i="2" s="1"/>
  <c r="CN72" i="3" s="1"/>
  <c r="CN163" i="3"/>
  <c r="CN61" i="3"/>
  <c r="CP163" i="3"/>
  <c r="CP61" i="3"/>
  <c r="CR163" i="3"/>
  <c r="CR61" i="3"/>
  <c r="I27" i="2"/>
  <c r="I72" i="3" s="1"/>
  <c r="Y27" i="2"/>
  <c r="Y72" i="3" s="1"/>
  <c r="AS27" i="2"/>
  <c r="AM37" i="2"/>
  <c r="AM47" i="2" s="1"/>
  <c r="BF66" i="2"/>
  <c r="BE19" i="3"/>
  <c r="BE121" i="3" s="1"/>
  <c r="AZ68" i="2"/>
  <c r="AZ74" i="2" s="1"/>
  <c r="AZ77" i="2" s="1"/>
  <c r="N77" i="2"/>
  <c r="V77" i="2"/>
  <c r="AL77" i="2"/>
  <c r="AX77" i="2"/>
  <c r="AW155" i="2"/>
  <c r="AX86" i="2"/>
  <c r="BW84" i="2"/>
  <c r="CB85" i="2"/>
  <c r="AN109" i="2"/>
  <c r="AO109" i="2" s="1"/>
  <c r="AP109" i="2" s="1"/>
  <c r="AQ109" i="2" s="1"/>
  <c r="BZ109" i="2" s="1"/>
  <c r="AF139" i="2"/>
  <c r="E77" i="2"/>
  <c r="U77" i="2"/>
  <c r="AS77" i="2"/>
  <c r="AU77" i="2"/>
  <c r="CA76" i="2"/>
  <c r="BT86" i="2"/>
  <c r="BT88" i="2" s="1"/>
  <c r="AX155" i="2"/>
  <c r="AD86" i="2"/>
  <c r="BS84" i="2"/>
  <c r="BS86" i="2" s="1"/>
  <c r="CA84" i="2"/>
  <c r="BX85" i="2"/>
  <c r="CT19" i="3"/>
  <c r="CT121" i="3" s="1"/>
  <c r="CA77" i="3"/>
  <c r="BW77" i="3"/>
  <c r="AK132" i="1"/>
  <c r="CO132" i="1"/>
  <c r="AE159" i="21"/>
  <c r="BR159" i="1"/>
  <c r="BT159" i="1"/>
  <c r="BV159" i="1"/>
  <c r="BX159" i="1"/>
  <c r="BZ159" i="1"/>
  <c r="CB159" i="1"/>
  <c r="CJ159" i="1"/>
  <c r="CN159" i="1"/>
  <c r="CR159" i="1"/>
  <c r="AT54" i="2"/>
  <c r="CC114" i="1"/>
  <c r="CQ162" i="1"/>
  <c r="CS162" i="1"/>
  <c r="CH159" i="1"/>
  <c r="CL159" i="1"/>
  <c r="CP159" i="1"/>
  <c r="D343" i="21"/>
  <c r="D171" i="3"/>
  <c r="F343" i="21"/>
  <c r="F171" i="3"/>
  <c r="H343" i="21"/>
  <c r="H171" i="3"/>
  <c r="J343" i="21"/>
  <c r="J171" i="3"/>
  <c r="L343" i="21"/>
  <c r="L171" i="3"/>
  <c r="N343" i="21"/>
  <c r="N171" i="3"/>
  <c r="P343" i="21"/>
  <c r="P171" i="3"/>
  <c r="R343" i="21"/>
  <c r="R171" i="3"/>
  <c r="T343" i="21"/>
  <c r="T171" i="3"/>
  <c r="V343" i="21"/>
  <c r="V171" i="3"/>
  <c r="X343" i="21"/>
  <c r="X171" i="3"/>
  <c r="Z343" i="21"/>
  <c r="Z171" i="3"/>
  <c r="AB343" i="21"/>
  <c r="AB171" i="3"/>
  <c r="AD343" i="21"/>
  <c r="AD171" i="3"/>
  <c r="AF343" i="21"/>
  <c r="AF171" i="3"/>
  <c r="AI343" i="21"/>
  <c r="AI171" i="3"/>
  <c r="AK343" i="21"/>
  <c r="AK171" i="3"/>
  <c r="AM343" i="21"/>
  <c r="AM171" i="3"/>
  <c r="AO343" i="21"/>
  <c r="AO171" i="3"/>
  <c r="AQ343" i="21"/>
  <c r="AQ171" i="3"/>
  <c r="AS343" i="21"/>
  <c r="AS171" i="3"/>
  <c r="AU343" i="21"/>
  <c r="AU171" i="3"/>
  <c r="AW343" i="21"/>
  <c r="AW171" i="3"/>
  <c r="AY343" i="21"/>
  <c r="AY171" i="3"/>
  <c r="BA343" i="21"/>
  <c r="BA171" i="3"/>
  <c r="BC343" i="21"/>
  <c r="BC171" i="3"/>
  <c r="CI165" i="1"/>
  <c r="BR343" i="21"/>
  <c r="BR171" i="3"/>
  <c r="CK165" i="1"/>
  <c r="BT343" i="21"/>
  <c r="BT171" i="3"/>
  <c r="CM165" i="1"/>
  <c r="BV343" i="21"/>
  <c r="BV171" i="3"/>
  <c r="CO165" i="1"/>
  <c r="BX343" i="21"/>
  <c r="BX171" i="3"/>
  <c r="CQ165" i="1"/>
  <c r="BZ343" i="21"/>
  <c r="BZ171" i="3"/>
  <c r="CS165" i="1"/>
  <c r="CB343" i="21"/>
  <c r="CB171" i="3"/>
  <c r="CU165" i="1"/>
  <c r="CD343" i="21"/>
  <c r="CD171" i="3"/>
  <c r="V52" i="2"/>
  <c r="V63" i="2" s="1"/>
  <c r="V80" i="2" s="1"/>
  <c r="V9" i="3"/>
  <c r="V111" i="3" s="1"/>
  <c r="AL52" i="2"/>
  <c r="AL63" i="2" s="1"/>
  <c r="AL80" i="2" s="1"/>
  <c r="AL9" i="3"/>
  <c r="AL111" i="3" s="1"/>
  <c r="BB52" i="2"/>
  <c r="BB63" i="2" s="1"/>
  <c r="BB80" i="2" s="1"/>
  <c r="BB9" i="3"/>
  <c r="BB111" i="3" s="1"/>
  <c r="CP95" i="2"/>
  <c r="E52" i="2"/>
  <c r="E63" i="2" s="1"/>
  <c r="E80" i="2" s="1"/>
  <c r="N52" i="2"/>
  <c r="N63" i="2" s="1"/>
  <c r="N80" i="2" s="1"/>
  <c r="AC52" i="2"/>
  <c r="AC63" i="2" s="1"/>
  <c r="AC80" i="2" s="1"/>
  <c r="AK52" i="2"/>
  <c r="AK63" i="2" s="1"/>
  <c r="AK80" i="2" s="1"/>
  <c r="AT52" i="2"/>
  <c r="AT63" i="2" s="1"/>
  <c r="AT80" i="2" s="1"/>
  <c r="BI52" i="2"/>
  <c r="BI63" i="2" s="1"/>
  <c r="BI80" i="2" s="1"/>
  <c r="CD52" i="2"/>
  <c r="CD63" i="2" s="1"/>
  <c r="CD80" i="2" s="1"/>
  <c r="BR81" i="2"/>
  <c r="BR93" i="2" s="1"/>
  <c r="BT81" i="2"/>
  <c r="BT93" i="2" s="1"/>
  <c r="BV81" i="2"/>
  <c r="BV93" i="2" s="1"/>
  <c r="BX81" i="2"/>
  <c r="BX93" i="2" s="1"/>
  <c r="CB81" i="2"/>
  <c r="CB93" i="2" s="1"/>
  <c r="CH81" i="2"/>
  <c r="CH93" i="2" s="1"/>
  <c r="CJ81" i="2"/>
  <c r="CL81" i="2"/>
  <c r="CL93" i="2" s="1"/>
  <c r="CN81" i="2"/>
  <c r="CN93" i="2" s="1"/>
  <c r="D95" i="2"/>
  <c r="H95" i="2"/>
  <c r="L95" i="2"/>
  <c r="P95" i="2"/>
  <c r="T95" i="2"/>
  <c r="X95" i="2"/>
  <c r="AB95" i="2"/>
  <c r="AF95" i="2"/>
  <c r="AM95" i="2"/>
  <c r="AU95" i="2"/>
  <c r="AY95" i="2"/>
  <c r="D183" i="2"/>
  <c r="F183" i="2"/>
  <c r="H183" i="2"/>
  <c r="J183" i="2"/>
  <c r="L183" i="2"/>
  <c r="N183" i="2"/>
  <c r="P183" i="2"/>
  <c r="R183" i="2"/>
  <c r="T183" i="2"/>
  <c r="V183" i="2"/>
  <c r="X183" i="2"/>
  <c r="Z183" i="2"/>
  <c r="AB183" i="2"/>
  <c r="AD183" i="2"/>
  <c r="AF183" i="2"/>
  <c r="BD183" i="2"/>
  <c r="BF183" i="2"/>
  <c r="BH183" i="2"/>
  <c r="BJ183" i="2"/>
  <c r="CI7" i="3"/>
  <c r="CI66" i="3" s="1"/>
  <c r="CI81" i="3" s="1"/>
  <c r="CI89" i="3" s="1"/>
  <c r="CI111" i="3" s="1"/>
  <c r="CK7" i="3"/>
  <c r="CK66" i="3" s="1"/>
  <c r="CK81" i="3" s="1"/>
  <c r="CK89" i="3" s="1"/>
  <c r="CK111" i="3" s="1"/>
  <c r="CM7" i="3"/>
  <c r="CM66" i="3" s="1"/>
  <c r="CM81" i="3" s="1"/>
  <c r="CM89" i="3" s="1"/>
  <c r="CM111" i="3" s="1"/>
  <c r="CO7" i="3"/>
  <c r="CO66" i="3" s="1"/>
  <c r="CO81" i="3" s="1"/>
  <c r="CO89" i="3" s="1"/>
  <c r="CO111" i="3" s="1"/>
  <c r="CQ7" i="3"/>
  <c r="CQ66" i="3" s="1"/>
  <c r="CQ81" i="3" s="1"/>
  <c r="CQ89" i="3" s="1"/>
  <c r="CQ111" i="3" s="1"/>
  <c r="CS7" i="3"/>
  <c r="CS66" i="3" s="1"/>
  <c r="CS81" i="3" s="1"/>
  <c r="CS89" i="3" s="1"/>
  <c r="CS111" i="3" s="1"/>
  <c r="CU7" i="3"/>
  <c r="CU66" i="3" s="1"/>
  <c r="CU81" i="3" s="1"/>
  <c r="CU89" i="3" s="1"/>
  <c r="CU111" i="3" s="1"/>
  <c r="BC162" i="1"/>
  <c r="BC115" i="1"/>
  <c r="BZ162" i="1"/>
  <c r="CP162" i="1"/>
  <c r="CR162" i="1"/>
  <c r="BS159" i="1"/>
  <c r="BW159" i="1"/>
  <c r="CA159" i="1"/>
  <c r="CK159" i="1"/>
  <c r="CO159" i="1"/>
  <c r="CS159" i="1"/>
  <c r="E343" i="21"/>
  <c r="E171" i="3"/>
  <c r="G343" i="21"/>
  <c r="G171" i="3"/>
  <c r="I343" i="21"/>
  <c r="I171" i="3"/>
  <c r="K343" i="21"/>
  <c r="K171" i="3"/>
  <c r="M343" i="21"/>
  <c r="M171" i="3"/>
  <c r="O343" i="21"/>
  <c r="O171" i="3"/>
  <c r="Q343" i="21"/>
  <c r="Q171" i="3"/>
  <c r="S343" i="21"/>
  <c r="S171" i="3"/>
  <c r="U343" i="21"/>
  <c r="U171" i="3"/>
  <c r="W343" i="21"/>
  <c r="W171" i="3"/>
  <c r="Y343" i="21"/>
  <c r="Y171" i="3"/>
  <c r="AA343" i="21"/>
  <c r="AA171" i="3"/>
  <c r="AC343" i="21"/>
  <c r="AC171" i="3"/>
  <c r="AE343" i="21"/>
  <c r="AE171" i="3"/>
  <c r="AH343" i="21"/>
  <c r="AH171" i="3"/>
  <c r="AJ343" i="21"/>
  <c r="AJ171" i="3"/>
  <c r="AL343" i="21"/>
  <c r="AL171" i="3"/>
  <c r="AN343" i="21"/>
  <c r="AN171" i="3"/>
  <c r="AP343" i="21"/>
  <c r="AP171" i="3"/>
  <c r="AR343" i="21"/>
  <c r="AR171" i="3"/>
  <c r="AT343" i="21"/>
  <c r="AT171" i="3"/>
  <c r="AV343" i="21"/>
  <c r="AV171" i="3"/>
  <c r="AX343" i="21"/>
  <c r="AX171" i="3"/>
  <c r="AZ343" i="21"/>
  <c r="AZ171" i="3"/>
  <c r="BB343" i="21"/>
  <c r="BB171" i="3"/>
  <c r="CH165" i="1"/>
  <c r="BQ343" i="21"/>
  <c r="BQ171" i="3"/>
  <c r="CJ165" i="1"/>
  <c r="BS343" i="21"/>
  <c r="BS171" i="3"/>
  <c r="CL165" i="1"/>
  <c r="BU343" i="21"/>
  <c r="BU171" i="3"/>
  <c r="CN165" i="1"/>
  <c r="BW343" i="21"/>
  <c r="BW171" i="3"/>
  <c r="CP165" i="1"/>
  <c r="BY343" i="21"/>
  <c r="BY171" i="3"/>
  <c r="CR165" i="1"/>
  <c r="CA343" i="21"/>
  <c r="CA171" i="3"/>
  <c r="CT165" i="1"/>
  <c r="CC343" i="21"/>
  <c r="CC171" i="3"/>
  <c r="CE343" i="21"/>
  <c r="CE171" i="3"/>
  <c r="F168" i="1"/>
  <c r="M52" i="2"/>
  <c r="M63" i="2" s="1"/>
  <c r="M80" i="2" s="1"/>
  <c r="U52" i="2"/>
  <c r="U63" i="2" s="1"/>
  <c r="U80" i="2" s="1"/>
  <c r="AD52" i="2"/>
  <c r="AD63" i="2" s="1"/>
  <c r="AD80" i="2" s="1"/>
  <c r="AS52" i="2"/>
  <c r="AS63" i="2" s="1"/>
  <c r="AS80" i="2" s="1"/>
  <c r="BA52" i="2"/>
  <c r="BA63" i="2" s="1"/>
  <c r="BA80" i="2" s="1"/>
  <c r="BV52" i="2"/>
  <c r="BV63" i="2" s="1"/>
  <c r="BV80" i="2" s="1"/>
  <c r="BQ81" i="2"/>
  <c r="BQ93" i="2" s="1"/>
  <c r="BS81" i="2"/>
  <c r="BS93" i="2" s="1"/>
  <c r="BU81" i="2"/>
  <c r="BU93" i="2" s="1"/>
  <c r="BW81" i="2"/>
  <c r="BW93" i="2" s="1"/>
  <c r="BY81" i="2"/>
  <c r="CA81" i="2"/>
  <c r="CA93" i="2" s="1"/>
  <c r="CI81" i="2"/>
  <c r="CI93" i="2" s="1"/>
  <c r="CK81" i="2"/>
  <c r="CK93" i="2" s="1"/>
  <c r="CM81" i="2"/>
  <c r="CM93" i="2" s="1"/>
  <c r="CO81" i="2"/>
  <c r="CO93" i="2" s="1"/>
  <c r="CQ81" i="2"/>
  <c r="CQ93" i="2" s="1"/>
  <c r="CS81" i="2"/>
  <c r="CS93" i="2" s="1"/>
  <c r="G95" i="2"/>
  <c r="K95" i="2"/>
  <c r="O95" i="2"/>
  <c r="W95" i="2"/>
  <c r="AA95" i="2"/>
  <c r="AE95" i="2"/>
  <c r="S95" i="2"/>
  <c r="E183" i="2"/>
  <c r="G183" i="2"/>
  <c r="I183" i="2"/>
  <c r="K183" i="2"/>
  <c r="M183" i="2"/>
  <c r="O183" i="2"/>
  <c r="Q183" i="2"/>
  <c r="S183" i="2"/>
  <c r="U183" i="2"/>
  <c r="W183" i="2"/>
  <c r="Y183" i="2"/>
  <c r="AA183" i="2"/>
  <c r="AC183" i="2"/>
  <c r="AE183" i="2"/>
  <c r="AI183" i="2"/>
  <c r="AK183" i="2"/>
  <c r="AM183" i="2"/>
  <c r="AO183" i="2"/>
  <c r="AQ183" i="2"/>
  <c r="AS183" i="2"/>
  <c r="AU183" i="2"/>
  <c r="AW183" i="2"/>
  <c r="AY183" i="2"/>
  <c r="BA183" i="2"/>
  <c r="BC183" i="2"/>
  <c r="BE183" i="2"/>
  <c r="BG183" i="2"/>
  <c r="BI183" i="2"/>
  <c r="BK183" i="2"/>
  <c r="BR183" i="2"/>
  <c r="BT183" i="2"/>
  <c r="BV183" i="2"/>
  <c r="BX183" i="2"/>
  <c r="BZ183" i="2"/>
  <c r="CB183" i="2"/>
  <c r="CD183" i="2"/>
  <c r="CH7" i="3"/>
  <c r="CH66" i="3" s="1"/>
  <c r="CH81" i="3" s="1"/>
  <c r="CH89" i="3" s="1"/>
  <c r="CH111" i="3" s="1"/>
  <c r="CJ7" i="3"/>
  <c r="CJ66" i="3" s="1"/>
  <c r="CJ81" i="3" s="1"/>
  <c r="CJ89" i="3" s="1"/>
  <c r="CJ111" i="3" s="1"/>
  <c r="CL7" i="3"/>
  <c r="CL66" i="3" s="1"/>
  <c r="CL81" i="3" s="1"/>
  <c r="CL89" i="3" s="1"/>
  <c r="CL111" i="3" s="1"/>
  <c r="CN7" i="3"/>
  <c r="CN66" i="3" s="1"/>
  <c r="CN81" i="3" s="1"/>
  <c r="CN89" i="3" s="1"/>
  <c r="CN111" i="3" s="1"/>
  <c r="CP7" i="3"/>
  <c r="CP66" i="3" s="1"/>
  <c r="CP81" i="3" s="1"/>
  <c r="CP89" i="3" s="1"/>
  <c r="CP111" i="3" s="1"/>
  <c r="CR7" i="3"/>
  <c r="CR66" i="3" s="1"/>
  <c r="CR81" i="3" s="1"/>
  <c r="CR89" i="3" s="1"/>
  <c r="CR111" i="3" s="1"/>
  <c r="CT7" i="3"/>
  <c r="CT66" i="3" s="1"/>
  <c r="CT81" i="3" s="1"/>
  <c r="CT89" i="3" s="1"/>
  <c r="CT111" i="3" s="1"/>
  <c r="F9" i="3"/>
  <c r="F66" i="3" s="1"/>
  <c r="F81" i="3" s="1"/>
  <c r="F89" i="3" s="1"/>
  <c r="AI160" i="21"/>
  <c r="AM160" i="21"/>
  <c r="AQ160" i="21"/>
  <c r="AU160" i="21"/>
  <c r="AY160" i="21"/>
  <c r="AH160" i="21"/>
  <c r="AL160" i="21"/>
  <c r="AP160" i="21"/>
  <c r="AT160" i="21"/>
  <c r="AX160" i="21"/>
  <c r="F306" i="21"/>
  <c r="F298" i="21"/>
  <c r="F283" i="21"/>
  <c r="F290" i="21"/>
  <c r="F272" i="21"/>
  <c r="F261" i="21"/>
  <c r="F239" i="21"/>
  <c r="F250" i="21"/>
  <c r="F232" i="21"/>
  <c r="F212" i="21"/>
  <c r="F199" i="21"/>
  <c r="F225" i="21"/>
  <c r="J306" i="21"/>
  <c r="J298" i="21"/>
  <c r="J290" i="21"/>
  <c r="J283" i="21"/>
  <c r="J261" i="21"/>
  <c r="J272" i="21"/>
  <c r="J239" i="21"/>
  <c r="J250" i="21"/>
  <c r="J232" i="21"/>
  <c r="J225" i="21"/>
  <c r="J199" i="21"/>
  <c r="J212" i="21"/>
  <c r="N306" i="21"/>
  <c r="N298" i="21"/>
  <c r="N283" i="21"/>
  <c r="N290" i="21"/>
  <c r="N272" i="21"/>
  <c r="N261" i="21"/>
  <c r="N239" i="21"/>
  <c r="N250" i="21"/>
  <c r="N232" i="21"/>
  <c r="N225" i="21"/>
  <c r="N212" i="21"/>
  <c r="N199" i="21"/>
  <c r="R306" i="21"/>
  <c r="R298" i="21"/>
  <c r="R283" i="21"/>
  <c r="R290" i="21"/>
  <c r="R272" i="21"/>
  <c r="R261" i="21"/>
  <c r="R239" i="21"/>
  <c r="R250" i="21"/>
  <c r="R232" i="21"/>
  <c r="R225" i="21"/>
  <c r="R199" i="21"/>
  <c r="R212" i="21"/>
  <c r="V306" i="21"/>
  <c r="V298" i="21"/>
  <c r="V283" i="21"/>
  <c r="V290" i="21"/>
  <c r="V272" i="21"/>
  <c r="V261" i="21"/>
  <c r="V239" i="21"/>
  <c r="V250" i="21"/>
  <c r="V232" i="21"/>
  <c r="V225" i="21"/>
  <c r="V212" i="21"/>
  <c r="V199" i="21"/>
  <c r="Z306" i="21"/>
  <c r="Z298" i="21"/>
  <c r="Z290" i="21"/>
  <c r="Z283" i="21"/>
  <c r="Z272" i="21"/>
  <c r="Z261" i="21"/>
  <c r="Z239" i="21"/>
  <c r="Z250" i="21"/>
  <c r="Z232" i="21"/>
  <c r="Z225" i="21"/>
  <c r="Z199" i="21"/>
  <c r="Z212" i="21"/>
  <c r="AD306" i="21"/>
  <c r="AD298" i="21"/>
  <c r="AD290" i="21"/>
  <c r="AD283" i="21"/>
  <c r="AD272" i="21"/>
  <c r="AD261" i="21"/>
  <c r="AD239" i="21"/>
  <c r="AD250" i="21"/>
  <c r="AD232" i="21"/>
  <c r="AD212" i="21"/>
  <c r="AD199" i="21"/>
  <c r="AD225" i="21"/>
  <c r="AH306" i="21"/>
  <c r="AH298" i="21"/>
  <c r="AH283" i="21"/>
  <c r="AH290" i="21"/>
  <c r="AH272" i="21"/>
  <c r="AH261" i="21"/>
  <c r="AH239" i="21"/>
  <c r="AH250" i="21"/>
  <c r="AH232" i="21"/>
  <c r="AH225" i="21"/>
  <c r="AH199" i="21"/>
  <c r="AH212" i="21"/>
  <c r="AL306" i="21"/>
  <c r="AL298" i="21"/>
  <c r="AL283" i="21"/>
  <c r="AL290" i="21"/>
  <c r="AL272" i="21"/>
  <c r="AL261" i="21"/>
  <c r="AL239" i="21"/>
  <c r="AL250" i="21"/>
  <c r="AL232" i="21"/>
  <c r="AL212" i="21"/>
  <c r="AL199" i="21"/>
  <c r="AL225" i="21"/>
  <c r="AP306" i="21"/>
  <c r="AP298" i="21"/>
  <c r="AP290" i="21"/>
  <c r="AP283" i="21"/>
  <c r="AP272" i="21"/>
  <c r="AP261" i="21"/>
  <c r="AP239" i="21"/>
  <c r="AP250" i="21"/>
  <c r="AP232" i="21"/>
  <c r="AP225" i="21"/>
  <c r="AP199" i="21"/>
  <c r="AP212" i="21"/>
  <c r="AT306" i="21"/>
  <c r="AT298" i="21"/>
  <c r="AT290" i="21"/>
  <c r="AT283" i="21"/>
  <c r="AT272" i="21"/>
  <c r="AT261" i="21"/>
  <c r="AT239" i="21"/>
  <c r="AT250" i="21"/>
  <c r="AT232" i="21"/>
  <c r="AT225" i="21"/>
  <c r="AT212" i="21"/>
  <c r="AT199" i="21"/>
  <c r="AX306" i="21"/>
  <c r="AX298" i="21"/>
  <c r="AX290" i="21"/>
  <c r="AX283" i="21"/>
  <c r="AX272" i="21"/>
  <c r="AX261" i="21"/>
  <c r="AX239" i="21"/>
  <c r="AX250" i="21"/>
  <c r="AX232" i="21"/>
  <c r="AX225" i="21"/>
  <c r="AX199" i="21"/>
  <c r="AX212" i="21"/>
  <c r="BB306" i="21"/>
  <c r="BB298" i="21"/>
  <c r="BB283" i="21"/>
  <c r="BB290" i="21"/>
  <c r="BB272" i="21"/>
  <c r="BB261" i="21"/>
  <c r="BB239" i="21"/>
  <c r="BB250" i="21"/>
  <c r="BB232" i="21"/>
  <c r="BB225" i="21"/>
  <c r="BB212" i="21"/>
  <c r="BB199" i="21"/>
  <c r="BF306" i="21"/>
  <c r="BF298" i="21"/>
  <c r="BF290" i="21"/>
  <c r="BF283" i="21"/>
  <c r="BF272" i="21"/>
  <c r="BF261" i="21"/>
  <c r="BF239" i="21"/>
  <c r="BF250" i="21"/>
  <c r="BF232" i="21"/>
  <c r="BF225" i="21"/>
  <c r="BF199" i="21"/>
  <c r="BF212" i="21"/>
  <c r="BJ306" i="21"/>
  <c r="BJ298" i="21"/>
  <c r="BJ290" i="21"/>
  <c r="BJ283" i="21"/>
  <c r="BJ272" i="21"/>
  <c r="BJ261" i="21"/>
  <c r="BJ239" i="21"/>
  <c r="BJ250" i="21"/>
  <c r="BJ232" i="21"/>
  <c r="BJ212" i="21"/>
  <c r="BJ199" i="21"/>
  <c r="BJ225" i="21"/>
  <c r="BS306" i="21"/>
  <c r="BS298" i="21"/>
  <c r="BS290" i="21"/>
  <c r="BS283" i="21"/>
  <c r="BS272" i="21"/>
  <c r="BS261" i="21"/>
  <c r="BS239" i="21"/>
  <c r="BS250" i="21"/>
  <c r="BS232" i="21"/>
  <c r="BS225" i="21"/>
  <c r="BS199" i="21"/>
  <c r="BS212" i="21"/>
  <c r="BW306" i="21"/>
  <c r="BW298" i="21"/>
  <c r="BW283" i="21"/>
  <c r="BW290" i="21"/>
  <c r="BW272" i="21"/>
  <c r="BW261" i="21"/>
  <c r="BW239" i="21"/>
  <c r="BW250" i="21"/>
  <c r="BW232" i="21"/>
  <c r="BW212" i="21"/>
  <c r="BW225" i="21"/>
  <c r="BW199" i="21"/>
  <c r="CA306" i="21"/>
  <c r="CA298" i="21"/>
  <c r="CA290" i="21"/>
  <c r="CA283" i="21"/>
  <c r="CA272" i="21"/>
  <c r="CA261" i="21"/>
  <c r="CA239" i="21"/>
  <c r="CA250" i="21"/>
  <c r="CA232" i="21"/>
  <c r="CA225" i="21"/>
  <c r="CA199" i="21"/>
  <c r="CA212" i="21"/>
  <c r="CE306" i="21"/>
  <c r="CE290" i="21"/>
  <c r="CE298" i="21"/>
  <c r="CE283" i="21"/>
  <c r="CE272" i="21"/>
  <c r="CE261" i="21"/>
  <c r="CE239" i="21"/>
  <c r="CE250" i="21"/>
  <c r="CE232" i="21"/>
  <c r="CE225" i="21"/>
  <c r="CE212" i="21"/>
  <c r="CE199" i="21"/>
  <c r="AE164" i="21"/>
  <c r="AE171" i="21"/>
  <c r="K13" i="21"/>
  <c r="O13" i="21"/>
  <c r="S13" i="21"/>
  <c r="W13" i="21"/>
  <c r="AA13" i="21"/>
  <c r="AE13" i="21"/>
  <c r="AI164" i="21"/>
  <c r="AI171" i="21"/>
  <c r="AM164" i="21"/>
  <c r="AM171" i="21"/>
  <c r="AQ164" i="21"/>
  <c r="AQ171" i="21"/>
  <c r="AU164" i="21"/>
  <c r="AU171" i="21"/>
  <c r="AY164" i="21"/>
  <c r="AY171" i="21"/>
  <c r="BR12" i="21"/>
  <c r="BV12" i="21"/>
  <c r="BZ12" i="21"/>
  <c r="AP17" i="21"/>
  <c r="AT17" i="21"/>
  <c r="AX17" i="21"/>
  <c r="Z22" i="21"/>
  <c r="AD22" i="21"/>
  <c r="AH22" i="21"/>
  <c r="AL22" i="21"/>
  <c r="AP20" i="21"/>
  <c r="AP22" i="21"/>
  <c r="AT20" i="21"/>
  <c r="AT22" i="21"/>
  <c r="AX20" i="21"/>
  <c r="AX22" i="21"/>
  <c r="L20" i="21"/>
  <c r="P20" i="21"/>
  <c r="T20" i="21"/>
  <c r="X20" i="21"/>
  <c r="AB20" i="21"/>
  <c r="AF20" i="21"/>
  <c r="AJ20" i="21"/>
  <c r="AN20" i="21"/>
  <c r="AS20" i="21"/>
  <c r="N22" i="21"/>
  <c r="BX36" i="21"/>
  <c r="T122" i="21"/>
  <c r="T16" i="21" s="1"/>
  <c r="AR122" i="21"/>
  <c r="AR16" i="21" s="1"/>
  <c r="G306" i="21"/>
  <c r="G290" i="21"/>
  <c r="G298" i="21"/>
  <c r="G283" i="21"/>
  <c r="G272" i="21"/>
  <c r="G261" i="21"/>
  <c r="G239" i="21"/>
  <c r="G250" i="21"/>
  <c r="G225" i="21"/>
  <c r="G232" i="21"/>
  <c r="G212" i="21"/>
  <c r="G199" i="21"/>
  <c r="K306" i="21"/>
  <c r="K290" i="21"/>
  <c r="K298" i="21"/>
  <c r="K283" i="21"/>
  <c r="K272" i="21"/>
  <c r="K261" i="21"/>
  <c r="K239" i="21"/>
  <c r="K250" i="21"/>
  <c r="K225" i="21"/>
  <c r="K212" i="21"/>
  <c r="K232" i="21"/>
  <c r="K199" i="21"/>
  <c r="O306" i="21"/>
  <c r="O290" i="21"/>
  <c r="O298" i="21"/>
  <c r="O283" i="21"/>
  <c r="O272" i="21"/>
  <c r="O261" i="21"/>
  <c r="O239" i="21"/>
  <c r="O250" i="21"/>
  <c r="O225" i="21"/>
  <c r="O232" i="21"/>
  <c r="O212" i="21"/>
  <c r="O199" i="21"/>
  <c r="S306" i="21"/>
  <c r="S290" i="21"/>
  <c r="S283" i="21"/>
  <c r="S298" i="21"/>
  <c r="S272" i="21"/>
  <c r="S261" i="21"/>
  <c r="S239" i="21"/>
  <c r="S250" i="21"/>
  <c r="S232" i="21"/>
  <c r="S225" i="21"/>
  <c r="S212" i="21"/>
  <c r="S199" i="21"/>
  <c r="W306" i="21"/>
  <c r="W290" i="21"/>
  <c r="W298" i="21"/>
  <c r="W283" i="21"/>
  <c r="W272" i="21"/>
  <c r="W261" i="21"/>
  <c r="W239" i="21"/>
  <c r="W250" i="21"/>
  <c r="W232" i="21"/>
  <c r="W225" i="21"/>
  <c r="W212" i="21"/>
  <c r="W199" i="21"/>
  <c r="AA306" i="21"/>
  <c r="AA290" i="21"/>
  <c r="AA298" i="21"/>
  <c r="AA283" i="21"/>
  <c r="AA272" i="21"/>
  <c r="AA261" i="21"/>
  <c r="AA239" i="21"/>
  <c r="AA250" i="21"/>
  <c r="AA232" i="21"/>
  <c r="AA225" i="21"/>
  <c r="AA212" i="21"/>
  <c r="AA199" i="21"/>
  <c r="AE306" i="21"/>
  <c r="AE290" i="21"/>
  <c r="AE298" i="21"/>
  <c r="AE283" i="21"/>
  <c r="AE272" i="21"/>
  <c r="AE261" i="21"/>
  <c r="AE239" i="21"/>
  <c r="AE250" i="21"/>
  <c r="AE232" i="21"/>
  <c r="AE225" i="21"/>
  <c r="AE212" i="21"/>
  <c r="AE199" i="21"/>
  <c r="AI306" i="21"/>
  <c r="AI290" i="21"/>
  <c r="AI298" i="21"/>
  <c r="AI283" i="21"/>
  <c r="AI272" i="21"/>
  <c r="AI261" i="21"/>
  <c r="AI239" i="21"/>
  <c r="AI250" i="21"/>
  <c r="AI232" i="21"/>
  <c r="AI225" i="21"/>
  <c r="AI212" i="21"/>
  <c r="AI199" i="21"/>
  <c r="AM306" i="21"/>
  <c r="AM290" i="21"/>
  <c r="AM298" i="21"/>
  <c r="AM283" i="21"/>
  <c r="AM272" i="21"/>
  <c r="AM261" i="21"/>
  <c r="AM239" i="21"/>
  <c r="AM250" i="21"/>
  <c r="AM232" i="21"/>
  <c r="AM225" i="21"/>
  <c r="AM212" i="21"/>
  <c r="AM199" i="21"/>
  <c r="AQ306" i="21"/>
  <c r="AQ290" i="21"/>
  <c r="AQ283" i="21"/>
  <c r="AQ298" i="21"/>
  <c r="AQ272" i="21"/>
  <c r="AQ261" i="21"/>
  <c r="AQ239" i="21"/>
  <c r="AQ250" i="21"/>
  <c r="AQ232" i="21"/>
  <c r="AQ225" i="21"/>
  <c r="AQ212" i="21"/>
  <c r="AQ199" i="21"/>
  <c r="AU306" i="21"/>
  <c r="AU290" i="21"/>
  <c r="AU283" i="21"/>
  <c r="AU298" i="21"/>
  <c r="AU272" i="21"/>
  <c r="AU261" i="21"/>
  <c r="AU239" i="21"/>
  <c r="AU250" i="21"/>
  <c r="AU232" i="21"/>
  <c r="AU225" i="21"/>
  <c r="AU212" i="21"/>
  <c r="AU199" i="21"/>
  <c r="AY306" i="21"/>
  <c r="AY290" i="21"/>
  <c r="AY283" i="21"/>
  <c r="AY298" i="21"/>
  <c r="AY272" i="21"/>
  <c r="AY261" i="21"/>
  <c r="AY239" i="21"/>
  <c r="AY250" i="21"/>
  <c r="AY232" i="21"/>
  <c r="AY225" i="21"/>
  <c r="AY212" i="21"/>
  <c r="AY199" i="21"/>
  <c r="BC306" i="21"/>
  <c r="BC290" i="21"/>
  <c r="BC283" i="21"/>
  <c r="BC298" i="21"/>
  <c r="BC272" i="21"/>
  <c r="BC261" i="21"/>
  <c r="BC239" i="21"/>
  <c r="BC250" i="21"/>
  <c r="BC232" i="21"/>
  <c r="BC225" i="21"/>
  <c r="BC212" i="21"/>
  <c r="BC199" i="21"/>
  <c r="BG306" i="21"/>
  <c r="BG290" i="21"/>
  <c r="BG283" i="21"/>
  <c r="BG298" i="21"/>
  <c r="BG272" i="21"/>
  <c r="BG261" i="21"/>
  <c r="BG239" i="21"/>
  <c r="BG250" i="21"/>
  <c r="BG232" i="21"/>
  <c r="BG225" i="21"/>
  <c r="BG212" i="21"/>
  <c r="BG199" i="21"/>
  <c r="BK306" i="21"/>
  <c r="BK290" i="21"/>
  <c r="BK283" i="21"/>
  <c r="BK298" i="21"/>
  <c r="BK272" i="21"/>
  <c r="BK261" i="21"/>
  <c r="BK239" i="21"/>
  <c r="BK250" i="21"/>
  <c r="BK232" i="21"/>
  <c r="BK225" i="21"/>
  <c r="BK212" i="21"/>
  <c r="BK199" i="21"/>
  <c r="BT306" i="21"/>
  <c r="BT290" i="21"/>
  <c r="BT283" i="21"/>
  <c r="BT298" i="21"/>
  <c r="BT272" i="21"/>
  <c r="BT261" i="21"/>
  <c r="BT239" i="21"/>
  <c r="BT250" i="21"/>
  <c r="BT232" i="21"/>
  <c r="BT225" i="21"/>
  <c r="BT212" i="21"/>
  <c r="BT199" i="21"/>
  <c r="BX306" i="21"/>
  <c r="BX290" i="21"/>
  <c r="BX283" i="21"/>
  <c r="BX298" i="21"/>
  <c r="BX272" i="21"/>
  <c r="BX261" i="21"/>
  <c r="BX239" i="21"/>
  <c r="BX250" i="21"/>
  <c r="BX232" i="21"/>
  <c r="BX225" i="21"/>
  <c r="BX212" i="21"/>
  <c r="BX199" i="21"/>
  <c r="CB306" i="21"/>
  <c r="CB290" i="21"/>
  <c r="CB283" i="21"/>
  <c r="CB298" i="21"/>
  <c r="CB272" i="21"/>
  <c r="CB261" i="21"/>
  <c r="CB239" i="21"/>
  <c r="CB250" i="21"/>
  <c r="CB232" i="21"/>
  <c r="CB225" i="21"/>
  <c r="CB212" i="21"/>
  <c r="CB199" i="21"/>
  <c r="AB171" i="21"/>
  <c r="AB164" i="21"/>
  <c r="AF171" i="21"/>
  <c r="AF164" i="21"/>
  <c r="L13" i="21"/>
  <c r="P13" i="21"/>
  <c r="T13" i="21"/>
  <c r="X13" i="21"/>
  <c r="AB13" i="21"/>
  <c r="AF13" i="21"/>
  <c r="AJ171" i="21"/>
  <c r="AJ164" i="21"/>
  <c r="AN171" i="21"/>
  <c r="AN164" i="21"/>
  <c r="AR171" i="21"/>
  <c r="AR164" i="21"/>
  <c r="AV171" i="21"/>
  <c r="AV164" i="21"/>
  <c r="AZ171" i="21"/>
  <c r="AZ164" i="21"/>
  <c r="BS12" i="21"/>
  <c r="BW12" i="21"/>
  <c r="CA12" i="21"/>
  <c r="AA15" i="21"/>
  <c r="AE15" i="21"/>
  <c r="AI15" i="21"/>
  <c r="AM15" i="21"/>
  <c r="AQ15" i="21"/>
  <c r="AU15" i="21"/>
  <c r="AY15" i="21"/>
  <c r="AA17" i="21"/>
  <c r="AE17" i="21"/>
  <c r="AI17" i="21"/>
  <c r="AM17" i="21"/>
  <c r="AQ17" i="21"/>
  <c r="AU17" i="21"/>
  <c r="AY17" i="21"/>
  <c r="O22" i="21"/>
  <c r="S22" i="21"/>
  <c r="W22" i="21"/>
  <c r="AA22" i="21"/>
  <c r="AE22" i="21"/>
  <c r="AI22" i="21"/>
  <c r="AM22" i="21"/>
  <c r="AQ22" i="21"/>
  <c r="AU22" i="21"/>
  <c r="AY22" i="21"/>
  <c r="AU20" i="21"/>
  <c r="AZ20" i="21"/>
  <c r="AR22" i="21"/>
  <c r="AZ22" i="21"/>
  <c r="AJ27" i="21"/>
  <c r="AN27" i="21"/>
  <c r="AR27" i="21"/>
  <c r="AV27" i="21"/>
  <c r="AZ27" i="21"/>
  <c r="BD27" i="21" s="1"/>
  <c r="AI35" i="21"/>
  <c r="AM35" i="21"/>
  <c r="BW36" i="21"/>
  <c r="D298" i="21"/>
  <c r="D306" i="21"/>
  <c r="D290" i="21"/>
  <c r="D283" i="21"/>
  <c r="D272" i="21"/>
  <c r="D261" i="21"/>
  <c r="D239" i="21"/>
  <c r="D250" i="21"/>
  <c r="D232" i="21"/>
  <c r="D225" i="21"/>
  <c r="D212" i="21"/>
  <c r="D199" i="21"/>
  <c r="H298" i="21"/>
  <c r="H306" i="21"/>
  <c r="H290" i="21"/>
  <c r="H283" i="21"/>
  <c r="H272" i="21"/>
  <c r="H261" i="21"/>
  <c r="H239" i="21"/>
  <c r="H250" i="21"/>
  <c r="H232" i="21"/>
  <c r="H225" i="21"/>
  <c r="H212" i="21"/>
  <c r="H199" i="21"/>
  <c r="L298" i="21"/>
  <c r="L306" i="21"/>
  <c r="L283" i="21"/>
  <c r="L290" i="21"/>
  <c r="L272" i="21"/>
  <c r="L261" i="21"/>
  <c r="L239" i="21"/>
  <c r="L250" i="21"/>
  <c r="L232" i="21"/>
  <c r="L225" i="21"/>
  <c r="L212" i="21"/>
  <c r="L199" i="21"/>
  <c r="P298" i="21"/>
  <c r="P306" i="21"/>
  <c r="P290" i="21"/>
  <c r="P283" i="21"/>
  <c r="P272" i="21"/>
  <c r="P261" i="21"/>
  <c r="P239" i="21"/>
  <c r="P250" i="21"/>
  <c r="P232" i="21"/>
  <c r="P225" i="21"/>
  <c r="P212" i="21"/>
  <c r="P199" i="21"/>
  <c r="T298" i="21"/>
  <c r="T306" i="21"/>
  <c r="T290" i="21"/>
  <c r="T283" i="21"/>
  <c r="T272" i="21"/>
  <c r="T261" i="21"/>
  <c r="T239" i="21"/>
  <c r="T250" i="21"/>
  <c r="T232" i="21"/>
  <c r="T225" i="21"/>
  <c r="T212" i="21"/>
  <c r="T199" i="21"/>
  <c r="X298" i="21"/>
  <c r="X306" i="21"/>
  <c r="X290" i="21"/>
  <c r="X283" i="21"/>
  <c r="X272" i="21"/>
  <c r="X261" i="21"/>
  <c r="X239" i="21"/>
  <c r="X250" i="21"/>
  <c r="X232" i="21"/>
  <c r="X225" i="21"/>
  <c r="X212" i="21"/>
  <c r="X199" i="21"/>
  <c r="AB298" i="21"/>
  <c r="AB306" i="21"/>
  <c r="AB290" i="21"/>
  <c r="AB283" i="21"/>
  <c r="AB272" i="21"/>
  <c r="AB261" i="21"/>
  <c r="AB239" i="21"/>
  <c r="AB250" i="21"/>
  <c r="AB232" i="21"/>
  <c r="AB225" i="21"/>
  <c r="AB212" i="21"/>
  <c r="AB199" i="21"/>
  <c r="AF298" i="21"/>
  <c r="AF306" i="21"/>
  <c r="AF290" i="21"/>
  <c r="AF283" i="21"/>
  <c r="AF272" i="21"/>
  <c r="AF261" i="21"/>
  <c r="AF239" i="21"/>
  <c r="AF250" i="21"/>
  <c r="AF232" i="21"/>
  <c r="AF225" i="21"/>
  <c r="AF212" i="21"/>
  <c r="AF199" i="21"/>
  <c r="AJ298" i="21"/>
  <c r="AJ306" i="21"/>
  <c r="AJ290" i="21"/>
  <c r="AJ283" i="21"/>
  <c r="AJ272" i="21"/>
  <c r="AJ261" i="21"/>
  <c r="AJ239" i="21"/>
  <c r="AJ250" i="21"/>
  <c r="AJ232" i="21"/>
  <c r="AJ225" i="21"/>
  <c r="AJ212" i="21"/>
  <c r="AJ199" i="21"/>
  <c r="AN298" i="21"/>
  <c r="AN306" i="21"/>
  <c r="AN290" i="21"/>
  <c r="AN283" i="21"/>
  <c r="AN272" i="21"/>
  <c r="AN261" i="21"/>
  <c r="AN239" i="21"/>
  <c r="AN250" i="21"/>
  <c r="AN232" i="21"/>
  <c r="AN225" i="21"/>
  <c r="AN212" i="21"/>
  <c r="AN199" i="21"/>
  <c r="AR298" i="21"/>
  <c r="AR306" i="21"/>
  <c r="AR283" i="21"/>
  <c r="AR290" i="21"/>
  <c r="AR272" i="21"/>
  <c r="AR261" i="21"/>
  <c r="AR239" i="21"/>
  <c r="AR250" i="21"/>
  <c r="AR232" i="21"/>
  <c r="AR225" i="21"/>
  <c r="AR199" i="21"/>
  <c r="AR212" i="21"/>
  <c r="AV298" i="21"/>
  <c r="AV306" i="21"/>
  <c r="AV290" i="21"/>
  <c r="AV283" i="21"/>
  <c r="AV272" i="21"/>
  <c r="AV261" i="21"/>
  <c r="AV239" i="21"/>
  <c r="AV250" i="21"/>
  <c r="AV232" i="21"/>
  <c r="AV225" i="21"/>
  <c r="AV212" i="21"/>
  <c r="AV199" i="21"/>
  <c r="AZ298" i="21"/>
  <c r="AZ306" i="21"/>
  <c r="AZ290" i="21"/>
  <c r="AZ283" i="21"/>
  <c r="AZ272" i="21"/>
  <c r="AZ261" i="21"/>
  <c r="AZ239" i="21"/>
  <c r="AZ250" i="21"/>
  <c r="AZ232" i="21"/>
  <c r="AZ225" i="21"/>
  <c r="AZ199" i="21"/>
  <c r="AZ212" i="21"/>
  <c r="BD298" i="21"/>
  <c r="BD306" i="21"/>
  <c r="BD290" i="21"/>
  <c r="BD283" i="21"/>
  <c r="BD272" i="21"/>
  <c r="BD261" i="21"/>
  <c r="BD239" i="21"/>
  <c r="BD250" i="21"/>
  <c r="BD232" i="21"/>
  <c r="BD225" i="21"/>
  <c r="BD212" i="21"/>
  <c r="BD199" i="21"/>
  <c r="BH298" i="21"/>
  <c r="BH306" i="21"/>
  <c r="BH283" i="21"/>
  <c r="BH290" i="21"/>
  <c r="BH272" i="21"/>
  <c r="BH261" i="21"/>
  <c r="BH239" i="21"/>
  <c r="BH250" i="21"/>
  <c r="BH232" i="21"/>
  <c r="BH225" i="21"/>
  <c r="BH199" i="21"/>
  <c r="BH212" i="21"/>
  <c r="BQ298" i="21"/>
  <c r="BQ306" i="21"/>
  <c r="BQ290" i="21"/>
  <c r="BQ283" i="21"/>
  <c r="BQ272" i="21"/>
  <c r="BQ261" i="21"/>
  <c r="BQ239" i="21"/>
  <c r="BQ250" i="21"/>
  <c r="BQ232" i="21"/>
  <c r="BQ225" i="21"/>
  <c r="BQ212" i="21"/>
  <c r="BQ199" i="21"/>
  <c r="BU298" i="21"/>
  <c r="BU306" i="21"/>
  <c r="BU290" i="21"/>
  <c r="BU283" i="21"/>
  <c r="BU272" i="21"/>
  <c r="BU261" i="21"/>
  <c r="BU239" i="21"/>
  <c r="BU250" i="21"/>
  <c r="BU232" i="21"/>
  <c r="BU225" i="21"/>
  <c r="BU199" i="21"/>
  <c r="BU212" i="21"/>
  <c r="BY298" i="21"/>
  <c r="BY306" i="21"/>
  <c r="BY290" i="21"/>
  <c r="BY283" i="21"/>
  <c r="BY272" i="21"/>
  <c r="BY261" i="21"/>
  <c r="BY239" i="21"/>
  <c r="BY250" i="21"/>
  <c r="BY232" i="21"/>
  <c r="BY225" i="21"/>
  <c r="BY212" i="21"/>
  <c r="BY199" i="21"/>
  <c r="CC298" i="21"/>
  <c r="CC306" i="21"/>
  <c r="CC283" i="21"/>
  <c r="CC290" i="21"/>
  <c r="CC272" i="21"/>
  <c r="CC261" i="21"/>
  <c r="CC239" i="21"/>
  <c r="CC250" i="21"/>
  <c r="CC232" i="21"/>
  <c r="CC225" i="21"/>
  <c r="CC199" i="21"/>
  <c r="CC212" i="21"/>
  <c r="I13" i="21"/>
  <c r="M13" i="21"/>
  <c r="Q13" i="21"/>
  <c r="U13" i="21"/>
  <c r="Y13" i="21"/>
  <c r="AC13" i="21"/>
  <c r="AG171" i="21"/>
  <c r="AG164" i="21"/>
  <c r="AK171" i="21"/>
  <c r="AK164" i="21"/>
  <c r="AO171" i="21"/>
  <c r="AO164" i="21"/>
  <c r="AS171" i="21"/>
  <c r="AS164" i="21"/>
  <c r="AW171" i="21"/>
  <c r="AW164" i="21"/>
  <c r="AJ13" i="21"/>
  <c r="AN13" i="21"/>
  <c r="AR13" i="21"/>
  <c r="AV13" i="21"/>
  <c r="AZ13" i="21"/>
  <c r="BT12" i="21"/>
  <c r="BX12" i="21"/>
  <c r="CB12" i="21"/>
  <c r="T15" i="21"/>
  <c r="X15" i="21"/>
  <c r="AB15" i="21"/>
  <c r="AF15" i="21"/>
  <c r="AJ15" i="21"/>
  <c r="AN15" i="21"/>
  <c r="AR15" i="21"/>
  <c r="AV15" i="21"/>
  <c r="AZ15" i="21"/>
  <c r="AB17" i="21"/>
  <c r="AF17" i="21"/>
  <c r="AJ17" i="21"/>
  <c r="AN17" i="21"/>
  <c r="AR17" i="21"/>
  <c r="AV17" i="21"/>
  <c r="AZ17" i="21"/>
  <c r="R20" i="21"/>
  <c r="V20" i="21"/>
  <c r="Z20" i="21"/>
  <c r="AD20" i="21"/>
  <c r="AH20" i="21"/>
  <c r="AL20" i="21"/>
  <c r="AQ20" i="21"/>
  <c r="AV20" i="21"/>
  <c r="AI38" i="21"/>
  <c r="AE38" i="21"/>
  <c r="AA38" i="21"/>
  <c r="AM38" i="21"/>
  <c r="AM36" i="21"/>
  <c r="AQ38" i="21"/>
  <c r="AQ36" i="21"/>
  <c r="AU38" i="21"/>
  <c r="AU36" i="21"/>
  <c r="AY38" i="21"/>
  <c r="AY36" i="21"/>
  <c r="AM34" i="21"/>
  <c r="AQ35" i="21" s="1"/>
  <c r="R127" i="21"/>
  <c r="E298" i="21"/>
  <c r="E306" i="21"/>
  <c r="E290" i="21"/>
  <c r="E283" i="21"/>
  <c r="E272" i="21"/>
  <c r="E261" i="21"/>
  <c r="E250" i="21"/>
  <c r="E225" i="21"/>
  <c r="E239" i="21"/>
  <c r="E232" i="21"/>
  <c r="E212" i="21"/>
  <c r="E199" i="21"/>
  <c r="I298" i="21"/>
  <c r="I306" i="21"/>
  <c r="I290" i="21"/>
  <c r="I283" i="21"/>
  <c r="I272" i="21"/>
  <c r="I261" i="21"/>
  <c r="I250" i="21"/>
  <c r="I225" i="21"/>
  <c r="I239" i="21"/>
  <c r="I212" i="21"/>
  <c r="I232" i="21"/>
  <c r="I199" i="21"/>
  <c r="M298" i="21"/>
  <c r="M306" i="21"/>
  <c r="M283" i="21"/>
  <c r="M290" i="21"/>
  <c r="M272" i="21"/>
  <c r="M261" i="21"/>
  <c r="M250" i="21"/>
  <c r="M225" i="21"/>
  <c r="M239" i="21"/>
  <c r="M232" i="21"/>
  <c r="M212" i="21"/>
  <c r="M199" i="21"/>
  <c r="Q298" i="21"/>
  <c r="Q306" i="21"/>
  <c r="Q283" i="21"/>
  <c r="Q290" i="21"/>
  <c r="Q272" i="21"/>
  <c r="Q261" i="21"/>
  <c r="Q250" i="21"/>
  <c r="Q225" i="21"/>
  <c r="Q239" i="21"/>
  <c r="Q212" i="21"/>
  <c r="Q232" i="21"/>
  <c r="Q199" i="21"/>
  <c r="U298" i="21"/>
  <c r="U306" i="21"/>
  <c r="U290" i="21"/>
  <c r="U283" i="21"/>
  <c r="U272" i="21"/>
  <c r="U261" i="21"/>
  <c r="U250" i="21"/>
  <c r="U225" i="21"/>
  <c r="U239" i="21"/>
  <c r="U212" i="21"/>
  <c r="U199" i="21"/>
  <c r="U232" i="21"/>
  <c r="Y298" i="21"/>
  <c r="Y306" i="21"/>
  <c r="Y290" i="21"/>
  <c r="Y283" i="21"/>
  <c r="Y272" i="21"/>
  <c r="Y261" i="21"/>
  <c r="Y250" i="21"/>
  <c r="Y225" i="21"/>
  <c r="Y239" i="21"/>
  <c r="Y232" i="21"/>
  <c r="Y212" i="21"/>
  <c r="Y199" i="21"/>
  <c r="AC298" i="21"/>
  <c r="AC306" i="21"/>
  <c r="AC290" i="21"/>
  <c r="AC283" i="21"/>
  <c r="AC272" i="21"/>
  <c r="AC261" i="21"/>
  <c r="AC250" i="21"/>
  <c r="AC225" i="21"/>
  <c r="AC239" i="21"/>
  <c r="AC232" i="21"/>
  <c r="AC212" i="21"/>
  <c r="AC199" i="21"/>
  <c r="AG298" i="21"/>
  <c r="AG306" i="21"/>
  <c r="AG283" i="21"/>
  <c r="AG290" i="21"/>
  <c r="AG272" i="21"/>
  <c r="AG261" i="21"/>
  <c r="AG250" i="21"/>
  <c r="AG225" i="21"/>
  <c r="AG239" i="21"/>
  <c r="AG212" i="21"/>
  <c r="AG232" i="21"/>
  <c r="AG199" i="21"/>
  <c r="AK298" i="21"/>
  <c r="AK306" i="21"/>
  <c r="AK290" i="21"/>
  <c r="AK283" i="21"/>
  <c r="AK272" i="21"/>
  <c r="AK261" i="21"/>
  <c r="AK250" i="21"/>
  <c r="AK225" i="21"/>
  <c r="AK239" i="21"/>
  <c r="AK212" i="21"/>
  <c r="AK232" i="21"/>
  <c r="AK199" i="21"/>
  <c r="AO298" i="21"/>
  <c r="AO306" i="21"/>
  <c r="AO290" i="21"/>
  <c r="AO283" i="21"/>
  <c r="AO272" i="21"/>
  <c r="AO261" i="21"/>
  <c r="AO250" i="21"/>
  <c r="AO225" i="21"/>
  <c r="AO239" i="21"/>
  <c r="AO232" i="21"/>
  <c r="AO212" i="21"/>
  <c r="AO199" i="21"/>
  <c r="AS298" i="21"/>
  <c r="AS306" i="21"/>
  <c r="AS290" i="21"/>
  <c r="AS283" i="21"/>
  <c r="AS272" i="21"/>
  <c r="AS261" i="21"/>
  <c r="AS250" i="21"/>
  <c r="AS225" i="21"/>
  <c r="AS239" i="21"/>
  <c r="AS232" i="21"/>
  <c r="AS212" i="21"/>
  <c r="AS199" i="21"/>
  <c r="AW298" i="21"/>
  <c r="AW306" i="21"/>
  <c r="AW283" i="21"/>
  <c r="AW290" i="21"/>
  <c r="AW272" i="21"/>
  <c r="AW261" i="21"/>
  <c r="AW250" i="21"/>
  <c r="AW225" i="21"/>
  <c r="AW239" i="21"/>
  <c r="AW212" i="21"/>
  <c r="AW232" i="21"/>
  <c r="AW199" i="21"/>
  <c r="BA298" i="21"/>
  <c r="BA306" i="21"/>
  <c r="BA290" i="21"/>
  <c r="BA283" i="21"/>
  <c r="BA272" i="21"/>
  <c r="BA261" i="21"/>
  <c r="BA250" i="21"/>
  <c r="BA225" i="21"/>
  <c r="BA239" i="21"/>
  <c r="BA212" i="21"/>
  <c r="BA232" i="21"/>
  <c r="BA199" i="21"/>
  <c r="BE298" i="21"/>
  <c r="BE306" i="21"/>
  <c r="BE290" i="21"/>
  <c r="BE283" i="21"/>
  <c r="BE272" i="21"/>
  <c r="BE261" i="21"/>
  <c r="BE250" i="21"/>
  <c r="BE225" i="21"/>
  <c r="BE239" i="21"/>
  <c r="BE232" i="21"/>
  <c r="BE212" i="21"/>
  <c r="BE199" i="21"/>
  <c r="BI298" i="21"/>
  <c r="BI306" i="21"/>
  <c r="BI290" i="21"/>
  <c r="BI283" i="21"/>
  <c r="BI272" i="21"/>
  <c r="BI261" i="21"/>
  <c r="BI250" i="21"/>
  <c r="BI225" i="21"/>
  <c r="BI239" i="21"/>
  <c r="BI232" i="21"/>
  <c r="BI212" i="21"/>
  <c r="BI199" i="21"/>
  <c r="BR298" i="21"/>
  <c r="BR306" i="21"/>
  <c r="BR283" i="21"/>
  <c r="BR290" i="21"/>
  <c r="BR272" i="21"/>
  <c r="BR261" i="21"/>
  <c r="BR250" i="21"/>
  <c r="BR225" i="21"/>
  <c r="BR239" i="21"/>
  <c r="BR212" i="21"/>
  <c r="BR232" i="21"/>
  <c r="BR199" i="21"/>
  <c r="BV298" i="21"/>
  <c r="BV306" i="21"/>
  <c r="BV290" i="21"/>
  <c r="BV283" i="21"/>
  <c r="BV272" i="21"/>
  <c r="BV261" i="21"/>
  <c r="BV250" i="21"/>
  <c r="BV225" i="21"/>
  <c r="BV239" i="21"/>
  <c r="BV212" i="21"/>
  <c r="BV232" i="21"/>
  <c r="BV199" i="21"/>
  <c r="BZ298" i="21"/>
  <c r="BZ306" i="21"/>
  <c r="BZ290" i="21"/>
  <c r="BZ283" i="21"/>
  <c r="BZ272" i="21"/>
  <c r="BZ261" i="21"/>
  <c r="BZ250" i="21"/>
  <c r="BZ225" i="21"/>
  <c r="BZ239" i="21"/>
  <c r="BZ232" i="21"/>
  <c r="BZ212" i="21"/>
  <c r="BZ199" i="21"/>
  <c r="CD298" i="21"/>
  <c r="CD306" i="21"/>
  <c r="CD290" i="21"/>
  <c r="CD283" i="21"/>
  <c r="CD272" i="21"/>
  <c r="CD261" i="21"/>
  <c r="CD250" i="21"/>
  <c r="CD225" i="21"/>
  <c r="CD239" i="21"/>
  <c r="CD232" i="21"/>
  <c r="CD212" i="21"/>
  <c r="CD199" i="21"/>
  <c r="J13" i="21"/>
  <c r="N13" i="21"/>
  <c r="R13" i="21"/>
  <c r="V13" i="21"/>
  <c r="AD13" i="21"/>
  <c r="AH164" i="21"/>
  <c r="AH171" i="21"/>
  <c r="AL164" i="21"/>
  <c r="AL171" i="21"/>
  <c r="AP164" i="21"/>
  <c r="AP171" i="21"/>
  <c r="AT164" i="21"/>
  <c r="AT171" i="21"/>
  <c r="AX164" i="21"/>
  <c r="AX171" i="21"/>
  <c r="AG13" i="21"/>
  <c r="AK13" i="21"/>
  <c r="AO13" i="21"/>
  <c r="AS13" i="21"/>
  <c r="AW13" i="21"/>
  <c r="BY12" i="21"/>
  <c r="Y15" i="21"/>
  <c r="AC15" i="21"/>
  <c r="AG15" i="21"/>
  <c r="AK15" i="21"/>
  <c r="AO15" i="21"/>
  <c r="AS15" i="21"/>
  <c r="AW15" i="21"/>
  <c r="AC17" i="21"/>
  <c r="AG17" i="21"/>
  <c r="AK17" i="21"/>
  <c r="AO17" i="21"/>
  <c r="AS17" i="21"/>
  <c r="AW17" i="21"/>
  <c r="BA171" i="21"/>
  <c r="BA164" i="21"/>
  <c r="O20" i="21"/>
  <c r="S20" i="21"/>
  <c r="W20" i="21"/>
  <c r="AA20" i="21"/>
  <c r="AE20" i="21"/>
  <c r="AI20" i="21"/>
  <c r="AM20" i="21"/>
  <c r="BB30" i="21"/>
  <c r="AR37" i="21"/>
  <c r="AQ34" i="21"/>
  <c r="AP127" i="21"/>
  <c r="AL34" i="21"/>
  <c r="AP35" i="21" s="1"/>
  <c r="AP34" i="21"/>
  <c r="AT34" i="21"/>
  <c r="AX34" i="21"/>
  <c r="AJ36" i="21"/>
  <c r="AN36" i="21"/>
  <c r="AR36" i="21"/>
  <c r="AV36" i="21"/>
  <c r="AZ36" i="21"/>
  <c r="AN38" i="21"/>
  <c r="AR38" i="21"/>
  <c r="AV38" i="21"/>
  <c r="AZ38" i="21"/>
  <c r="AN41" i="21"/>
  <c r="AR41" i="21"/>
  <c r="AV41" i="21"/>
  <c r="AZ41" i="21"/>
  <c r="K55" i="21"/>
  <c r="O55" i="21"/>
  <c r="S55" i="21"/>
  <c r="W55" i="21"/>
  <c r="AA55" i="21"/>
  <c r="AE55" i="21"/>
  <c r="AJ55" i="21"/>
  <c r="AN55" i="21"/>
  <c r="AR55" i="21"/>
  <c r="AV55" i="21"/>
  <c r="AZ55" i="21"/>
  <c r="BR54" i="21"/>
  <c r="BV54" i="21"/>
  <c r="BZ54" i="21"/>
  <c r="N57" i="21"/>
  <c r="R57" i="21"/>
  <c r="V57" i="21"/>
  <c r="Z57" i="21"/>
  <c r="AD57" i="21"/>
  <c r="AH57" i="21"/>
  <c r="AL57" i="21"/>
  <c r="AP57" i="21"/>
  <c r="AT57" i="21"/>
  <c r="AX57" i="21"/>
  <c r="AA59" i="21"/>
  <c r="AE59" i="21"/>
  <c r="AI59" i="21"/>
  <c r="AM59" i="21"/>
  <c r="AQ59" i="21"/>
  <c r="AU59" i="21"/>
  <c r="AY59" i="21"/>
  <c r="K62" i="21"/>
  <c r="O62" i="21"/>
  <c r="S62" i="21"/>
  <c r="W62" i="21"/>
  <c r="AA62" i="21"/>
  <c r="AE62" i="21"/>
  <c r="AI62" i="21"/>
  <c r="AM62" i="21"/>
  <c r="AQ62" i="21"/>
  <c r="AU62" i="21"/>
  <c r="AY62" i="21"/>
  <c r="AZ64" i="21"/>
  <c r="O83" i="21"/>
  <c r="S83" i="21"/>
  <c r="W83" i="21"/>
  <c r="AA122" i="21"/>
  <c r="AA84" i="21" s="1"/>
  <c r="AA83" i="21"/>
  <c r="AE122" i="21"/>
  <c r="AE58" i="21" s="1"/>
  <c r="AE83" i="21"/>
  <c r="S81" i="21"/>
  <c r="BV80" i="21"/>
  <c r="X127" i="21"/>
  <c r="AB127" i="21"/>
  <c r="AF127" i="21"/>
  <c r="AJ127" i="21"/>
  <c r="AN127" i="21"/>
  <c r="AR127" i="21"/>
  <c r="AV127" i="21"/>
  <c r="H127" i="21"/>
  <c r="L127" i="21"/>
  <c r="P127" i="21"/>
  <c r="T127" i="21"/>
  <c r="I117" i="21"/>
  <c r="BR117" i="21" s="1"/>
  <c r="M117" i="21"/>
  <c r="BS117" i="21" s="1"/>
  <c r="Q117" i="21"/>
  <c r="BT117" i="21" s="1"/>
  <c r="U117" i="21"/>
  <c r="BU117" i="21" s="1"/>
  <c r="BR112" i="21"/>
  <c r="H122" i="21"/>
  <c r="H195" i="21" s="1"/>
  <c r="X122" i="21"/>
  <c r="X16" i="21" s="1"/>
  <c r="AV122" i="21"/>
  <c r="AV58" i="21" s="1"/>
  <c r="V127" i="21"/>
  <c r="AT127" i="21"/>
  <c r="AG160" i="21"/>
  <c r="AG159" i="21"/>
  <c r="AO160" i="21"/>
  <c r="AO159" i="21"/>
  <c r="AS160" i="21"/>
  <c r="AS159" i="21"/>
  <c r="AW160" i="21"/>
  <c r="AW159" i="21"/>
  <c r="L55" i="21"/>
  <c r="P55" i="21"/>
  <c r="T55" i="21"/>
  <c r="X55" i="21"/>
  <c r="AB55" i="21"/>
  <c r="AF55" i="21"/>
  <c r="AG55" i="21"/>
  <c r="AK55" i="21"/>
  <c r="AO55" i="21"/>
  <c r="AS55" i="21"/>
  <c r="AW55" i="21"/>
  <c r="BS54" i="21"/>
  <c r="BW54" i="21"/>
  <c r="CA54" i="21"/>
  <c r="X59" i="21"/>
  <c r="AB59" i="21"/>
  <c r="AF59" i="21"/>
  <c r="AJ59" i="21"/>
  <c r="AN59" i="21"/>
  <c r="AR59" i="21"/>
  <c r="AV59" i="21"/>
  <c r="AZ59" i="21"/>
  <c r="M88" i="21"/>
  <c r="M90" i="21"/>
  <c r="Q88" i="21"/>
  <c r="Q90" i="21"/>
  <c r="U88" i="21"/>
  <c r="U90" i="21"/>
  <c r="Y127" i="21"/>
  <c r="Y88" i="21"/>
  <c r="Y90" i="21"/>
  <c r="AC127" i="21"/>
  <c r="AC88" i="21"/>
  <c r="AC90" i="21"/>
  <c r="AG127" i="21"/>
  <c r="AG88" i="21"/>
  <c r="AG90" i="21"/>
  <c r="AK127" i="21"/>
  <c r="AK88" i="21"/>
  <c r="AK90" i="21"/>
  <c r="AO127" i="21"/>
  <c r="AO88" i="21"/>
  <c r="AO90" i="21"/>
  <c r="AS127" i="21"/>
  <c r="AS88" i="21"/>
  <c r="AS90" i="21"/>
  <c r="AW127" i="21"/>
  <c r="AW88" i="21"/>
  <c r="AW90" i="21"/>
  <c r="BA127" i="21"/>
  <c r="BA91" i="21" s="1"/>
  <c r="BA90" i="21"/>
  <c r="BA88" i="21"/>
  <c r="I127" i="21"/>
  <c r="M127" i="21"/>
  <c r="Q127" i="21"/>
  <c r="U127" i="21"/>
  <c r="CE112" i="21"/>
  <c r="CF112" i="21" s="1"/>
  <c r="L122" i="21"/>
  <c r="L115" i="21" s="1"/>
  <c r="AB122" i="21"/>
  <c r="AB195" i="21" s="1"/>
  <c r="AJ122" i="21"/>
  <c r="AJ16" i="21" s="1"/>
  <c r="AZ122" i="21"/>
  <c r="J127" i="21"/>
  <c r="Z127" i="21"/>
  <c r="AH127" i="21"/>
  <c r="AX127" i="21"/>
  <c r="CA33" i="21"/>
  <c r="AJ34" i="21"/>
  <c r="AN35" i="21" s="1"/>
  <c r="AN34" i="21"/>
  <c r="AR34" i="21"/>
  <c r="AV34" i="21"/>
  <c r="AZ34" i="21"/>
  <c r="AL36" i="21"/>
  <c r="AP36" i="21"/>
  <c r="AT36" i="21"/>
  <c r="AX36" i="21"/>
  <c r="Y38" i="21"/>
  <c r="AC38" i="21"/>
  <c r="AM43" i="21"/>
  <c r="AQ43" i="21"/>
  <c r="AU43" i="21"/>
  <c r="AY43" i="21"/>
  <c r="M55" i="21"/>
  <c r="Q55" i="21"/>
  <c r="U55" i="21"/>
  <c r="Y55" i="21"/>
  <c r="AC55" i="21"/>
  <c r="AH55" i="21"/>
  <c r="AL55" i="21"/>
  <c r="AP55" i="21"/>
  <c r="AT55" i="21"/>
  <c r="AX55" i="21"/>
  <c r="BT54" i="21"/>
  <c r="BX54" i="21"/>
  <c r="CB54" i="21"/>
  <c r="L57" i="21"/>
  <c r="P57" i="21"/>
  <c r="T57" i="21"/>
  <c r="X57" i="21"/>
  <c r="AB57" i="21"/>
  <c r="AF57" i="21"/>
  <c r="AJ57" i="21"/>
  <c r="AN57" i="21"/>
  <c r="AR57" i="21"/>
  <c r="AV57" i="21"/>
  <c r="AZ57" i="21"/>
  <c r="Y59" i="21"/>
  <c r="AC59" i="21"/>
  <c r="AG59" i="21"/>
  <c r="AK59" i="21"/>
  <c r="AO59" i="21"/>
  <c r="AS59" i="21"/>
  <c r="AW59" i="21"/>
  <c r="BA62" i="21"/>
  <c r="N64" i="21"/>
  <c r="R64" i="21"/>
  <c r="V64" i="21"/>
  <c r="Z64" i="21"/>
  <c r="AD64" i="21"/>
  <c r="AH64" i="21"/>
  <c r="AL64" i="21"/>
  <c r="AP64" i="21"/>
  <c r="AT64" i="21"/>
  <c r="AX64" i="21"/>
  <c r="BB75" i="21"/>
  <c r="K81" i="21"/>
  <c r="AA81" i="21"/>
  <c r="AI122" i="21"/>
  <c r="AI16" i="21" s="1"/>
  <c r="AI81" i="21"/>
  <c r="AI84" i="21"/>
  <c r="AI83" i="21"/>
  <c r="AM122" i="21"/>
  <c r="AM37" i="21" s="1"/>
  <c r="AM81" i="21"/>
  <c r="AM84" i="21"/>
  <c r="AM83" i="21"/>
  <c r="AQ122" i="21"/>
  <c r="AQ37" i="21" s="1"/>
  <c r="AQ81" i="21"/>
  <c r="AQ83" i="21"/>
  <c r="AU122" i="21"/>
  <c r="AU81" i="21"/>
  <c r="AU83" i="21"/>
  <c r="AY122" i="21"/>
  <c r="AY84" i="21" s="1"/>
  <c r="AY81" i="21"/>
  <c r="AY83" i="21"/>
  <c r="AV81" i="21"/>
  <c r="AE85" i="21"/>
  <c r="AU85" i="21"/>
  <c r="J88" i="21"/>
  <c r="N88" i="21"/>
  <c r="R88" i="21"/>
  <c r="V88" i="21"/>
  <c r="Z88" i="21"/>
  <c r="AD88" i="21"/>
  <c r="AH88" i="21"/>
  <c r="AL88" i="21"/>
  <c r="AP88" i="21"/>
  <c r="AT88" i="21"/>
  <c r="AX88" i="21"/>
  <c r="J122" i="21"/>
  <c r="J84" i="21" s="1"/>
  <c r="N122" i="21"/>
  <c r="N195" i="21" s="1"/>
  <c r="BT101" i="21"/>
  <c r="V122" i="21"/>
  <c r="V16" i="21" s="1"/>
  <c r="P122" i="21"/>
  <c r="P58" i="21" s="1"/>
  <c r="AF122" i="21"/>
  <c r="AN122" i="21"/>
  <c r="AN195" i="21" s="1"/>
  <c r="N127" i="21"/>
  <c r="AD127" i="21"/>
  <c r="AL127" i="21"/>
  <c r="BR33" i="21"/>
  <c r="CB33" i="21"/>
  <c r="BY33" i="21"/>
  <c r="Z38" i="21"/>
  <c r="AD38" i="21"/>
  <c r="BB46" i="21"/>
  <c r="R55" i="21"/>
  <c r="Z55" i="21"/>
  <c r="AD55" i="21"/>
  <c r="BU54" i="21"/>
  <c r="BY54" i="21"/>
  <c r="T58" i="21"/>
  <c r="AP62" i="21"/>
  <c r="AT63" i="21" s="1"/>
  <c r="AJ74" i="21"/>
  <c r="O81" i="21"/>
  <c r="AE81" i="21"/>
  <c r="AV84" i="21"/>
  <c r="BR80" i="21"/>
  <c r="AI85" i="21"/>
  <c r="AY85" i="21"/>
  <c r="K122" i="21"/>
  <c r="K37" i="21" s="1"/>
  <c r="K102" i="21"/>
  <c r="K127" i="21"/>
  <c r="O122" i="21"/>
  <c r="O37" i="21" s="1"/>
  <c r="O102" i="21"/>
  <c r="O104" i="21"/>
  <c r="O127" i="21"/>
  <c r="S122" i="21"/>
  <c r="S115" i="21" s="1"/>
  <c r="S102" i="21"/>
  <c r="S104" i="21"/>
  <c r="S127" i="21"/>
  <c r="W122" i="21"/>
  <c r="W102" i="21"/>
  <c r="W104" i="21"/>
  <c r="W127" i="21"/>
  <c r="BU112" i="21"/>
  <c r="AK160" i="21"/>
  <c r="BA75" i="21"/>
  <c r="L81" i="21"/>
  <c r="P81" i="21"/>
  <c r="T81" i="21"/>
  <c r="X81" i="21"/>
  <c r="AB81" i="21"/>
  <c r="AF81" i="21"/>
  <c r="AG81" i="21"/>
  <c r="AK81" i="21"/>
  <c r="AO81" i="21"/>
  <c r="AS81" i="21"/>
  <c r="AW81" i="21"/>
  <c r="BS80" i="21"/>
  <c r="BW80" i="21"/>
  <c r="CA80" i="21"/>
  <c r="X85" i="21"/>
  <c r="AB85" i="21"/>
  <c r="AF85" i="21"/>
  <c r="AJ85" i="21"/>
  <c r="AN85" i="21"/>
  <c r="AR85" i="21"/>
  <c r="AV85" i="21"/>
  <c r="AZ85" i="21"/>
  <c r="X88" i="21"/>
  <c r="AB88" i="21"/>
  <c r="AF88" i="21"/>
  <c r="AJ88" i="21"/>
  <c r="AN88" i="21"/>
  <c r="AR88" i="21"/>
  <c r="AV88" i="21"/>
  <c r="AZ88" i="21"/>
  <c r="BA96" i="21"/>
  <c r="I102" i="21"/>
  <c r="M102" i="21"/>
  <c r="Q102" i="21"/>
  <c r="U102" i="21"/>
  <c r="BR101" i="21"/>
  <c r="N104" i="21"/>
  <c r="R104" i="21"/>
  <c r="V104" i="21"/>
  <c r="BS112" i="21"/>
  <c r="I122" i="21"/>
  <c r="I16" i="21" s="1"/>
  <c r="M122" i="21"/>
  <c r="M16" i="21" s="1"/>
  <c r="Q122" i="21"/>
  <c r="Q16" i="21" s="1"/>
  <c r="U122" i="21"/>
  <c r="U195" i="21" s="1"/>
  <c r="Y122" i="21"/>
  <c r="Y16" i="21" s="1"/>
  <c r="AC122" i="21"/>
  <c r="AC58" i="21" s="1"/>
  <c r="AG122" i="21"/>
  <c r="AG58" i="21" s="1"/>
  <c r="AK122" i="21"/>
  <c r="AK195" i="21" s="1"/>
  <c r="AO122" i="21"/>
  <c r="AO58" i="21" s="1"/>
  <c r="AS122" i="21"/>
  <c r="AS58" i="21" s="1"/>
  <c r="AW122" i="21"/>
  <c r="AA127" i="21"/>
  <c r="AE127" i="21"/>
  <c r="AI127" i="21"/>
  <c r="AM127" i="21"/>
  <c r="AQ127" i="21"/>
  <c r="AU127" i="21"/>
  <c r="AY127" i="21"/>
  <c r="M81" i="21"/>
  <c r="Q81" i="21"/>
  <c r="U81" i="21"/>
  <c r="Y81" i="21"/>
  <c r="AC81" i="21"/>
  <c r="AH81" i="21"/>
  <c r="AL81" i="21"/>
  <c r="AP81" i="21"/>
  <c r="AT81" i="21"/>
  <c r="AX81" i="21"/>
  <c r="BT80" i="21"/>
  <c r="BX80" i="21"/>
  <c r="CB80" i="21"/>
  <c r="L83" i="21"/>
  <c r="P83" i="21"/>
  <c r="T83" i="21"/>
  <c r="X83" i="21"/>
  <c r="AB83" i="21"/>
  <c r="AF83" i="21"/>
  <c r="AJ83" i="21"/>
  <c r="AN83" i="21"/>
  <c r="AR83" i="21"/>
  <c r="AV83" i="21"/>
  <c r="AZ83" i="21"/>
  <c r="Y85" i="21"/>
  <c r="AC85" i="21"/>
  <c r="AG85" i="21"/>
  <c r="AK85" i="21"/>
  <c r="AO85" i="21"/>
  <c r="AS85" i="21"/>
  <c r="AW85" i="21"/>
  <c r="N90" i="21"/>
  <c r="R90" i="21"/>
  <c r="V90" i="21"/>
  <c r="Z90" i="21"/>
  <c r="AD90" i="21"/>
  <c r="AH90" i="21"/>
  <c r="AL90" i="21"/>
  <c r="AP90" i="21"/>
  <c r="AT90" i="21"/>
  <c r="AX90" i="21"/>
  <c r="J102" i="21"/>
  <c r="N102" i="21"/>
  <c r="R102" i="21"/>
  <c r="V102" i="21"/>
  <c r="BS101" i="21"/>
  <c r="BT112" i="21"/>
  <c r="R122" i="21"/>
  <c r="Z122" i="21"/>
  <c r="Z195" i="21" s="1"/>
  <c r="AD122" i="21"/>
  <c r="AD16" i="21" s="1"/>
  <c r="AH122" i="21"/>
  <c r="AH195" i="21" s="1"/>
  <c r="AL122" i="21"/>
  <c r="AP122" i="21"/>
  <c r="AT122" i="21"/>
  <c r="AX122" i="21"/>
  <c r="AX195" i="21" s="1"/>
  <c r="AZ127" i="21"/>
  <c r="BA136" i="21"/>
  <c r="AC159" i="21"/>
  <c r="I216" i="21"/>
  <c r="M216" i="21"/>
  <c r="Q216" i="21"/>
  <c r="Y216" i="21"/>
  <c r="AC216" i="21"/>
  <c r="AG216" i="21"/>
  <c r="AO216" i="21"/>
  <c r="M208" i="21"/>
  <c r="M210" i="21" s="1"/>
  <c r="M218" i="21"/>
  <c r="U208" i="21"/>
  <c r="U210" i="21" s="1"/>
  <c r="U218" i="21"/>
  <c r="AL218" i="21"/>
  <c r="AL208" i="21"/>
  <c r="AL210" i="21" s="1"/>
  <c r="AQ213" i="21"/>
  <c r="AQ203" i="21"/>
  <c r="AC218" i="21"/>
  <c r="Z81" i="21"/>
  <c r="AD81" i="21"/>
  <c r="BU80" i="21"/>
  <c r="BY80" i="21"/>
  <c r="I255" i="21"/>
  <c r="I256" i="21"/>
  <c r="I253" i="21"/>
  <c r="I251" i="21"/>
  <c r="I254" i="21"/>
  <c r="I252" i="21"/>
  <c r="I214" i="21"/>
  <c r="I213" i="21"/>
  <c r="I217" i="21"/>
  <c r="I220" i="21"/>
  <c r="I219" i="21"/>
  <c r="M278" i="21"/>
  <c r="M277" i="21"/>
  <c r="M275" i="21"/>
  <c r="M273" i="21"/>
  <c r="M276" i="21"/>
  <c r="M274" i="21"/>
  <c r="M255" i="21"/>
  <c r="M253" i="21"/>
  <c r="M251" i="21"/>
  <c r="M256" i="21"/>
  <c r="M254" i="21"/>
  <c r="M252" i="21"/>
  <c r="M217" i="21"/>
  <c r="M220" i="21"/>
  <c r="M219" i="21"/>
  <c r="M215" i="21"/>
  <c r="M213" i="21"/>
  <c r="M214" i="21"/>
  <c r="Q278" i="21"/>
  <c r="Q277" i="21"/>
  <c r="Q275" i="21"/>
  <c r="Q273" i="21"/>
  <c r="Q276" i="21"/>
  <c r="Q274" i="21"/>
  <c r="Q256" i="21"/>
  <c r="Q253" i="21"/>
  <c r="Q251" i="21"/>
  <c r="Q255" i="21"/>
  <c r="Q254" i="21"/>
  <c r="Q252" i="21"/>
  <c r="Q220" i="21"/>
  <c r="Q213" i="21"/>
  <c r="Q219" i="21"/>
  <c r="Q215" i="21"/>
  <c r="Q214" i="21"/>
  <c r="Q217" i="21"/>
  <c r="Q210" i="21"/>
  <c r="U278" i="21"/>
  <c r="U277" i="21"/>
  <c r="U275" i="21"/>
  <c r="U273" i="21"/>
  <c r="U276" i="21"/>
  <c r="U274" i="21"/>
  <c r="U253" i="21"/>
  <c r="U251" i="21"/>
  <c r="U256" i="21"/>
  <c r="U255" i="21"/>
  <c r="U254" i="21"/>
  <c r="U252" i="21"/>
  <c r="U219" i="21"/>
  <c r="U215" i="21"/>
  <c r="U214" i="21"/>
  <c r="U217" i="21"/>
  <c r="U213" i="21"/>
  <c r="U216" i="21"/>
  <c r="Y278" i="21"/>
  <c r="Y275" i="21"/>
  <c r="Y273" i="21"/>
  <c r="Y277" i="21"/>
  <c r="Y276" i="21"/>
  <c r="Y274" i="21"/>
  <c r="Y256" i="21"/>
  <c r="Y255" i="21"/>
  <c r="Y253" i="21"/>
  <c r="Y251" i="21"/>
  <c r="Y254" i="21"/>
  <c r="Y252" i="21"/>
  <c r="Y214" i="21"/>
  <c r="Y217" i="21"/>
  <c r="Y213" i="21"/>
  <c r="Y220" i="21"/>
  <c r="Y219" i="21"/>
  <c r="Y215" i="21"/>
  <c r="AC278" i="21"/>
  <c r="AC277" i="21"/>
  <c r="AC275" i="21"/>
  <c r="AC273" i="21"/>
  <c r="AC276" i="21"/>
  <c r="AC274" i="21"/>
  <c r="AC256" i="21"/>
  <c r="AC253" i="21"/>
  <c r="AC251" i="21"/>
  <c r="AC255" i="21"/>
  <c r="AC254" i="21"/>
  <c r="AC252" i="21"/>
  <c r="AC217" i="21"/>
  <c r="AC213" i="21"/>
  <c r="AC220" i="21"/>
  <c r="AC210" i="21"/>
  <c r="AC219" i="21"/>
  <c r="AC215" i="21"/>
  <c r="AC214" i="21"/>
  <c r="AG278" i="21"/>
  <c r="AG277" i="21"/>
  <c r="AG275" i="21"/>
  <c r="AG273" i="21"/>
  <c r="AG276" i="21"/>
  <c r="AG274" i="21"/>
  <c r="AG256" i="21"/>
  <c r="AG255" i="21"/>
  <c r="AG254" i="21"/>
  <c r="AG253" i="21"/>
  <c r="AG251" i="21"/>
  <c r="AG252" i="21"/>
  <c r="AG220" i="21"/>
  <c r="AG219" i="21"/>
  <c r="AG215" i="21"/>
  <c r="AG218" i="21"/>
  <c r="AG214" i="21"/>
  <c r="AG217" i="21"/>
  <c r="AG213" i="21"/>
  <c r="AG210" i="21"/>
  <c r="AK278" i="21"/>
  <c r="AK277" i="21"/>
  <c r="AK275" i="21"/>
  <c r="AK273" i="21"/>
  <c r="AK276" i="21"/>
  <c r="AK274" i="21"/>
  <c r="AK256" i="21"/>
  <c r="AK254" i="21"/>
  <c r="AK253" i="21"/>
  <c r="AK251" i="21"/>
  <c r="AK255" i="21"/>
  <c r="AK252" i="21"/>
  <c r="AK219" i="21"/>
  <c r="AK215" i="21"/>
  <c r="AK214" i="21"/>
  <c r="AK210" i="21"/>
  <c r="AK217" i="21"/>
  <c r="AK213" i="21"/>
  <c r="AK220" i="21"/>
  <c r="AO278" i="21"/>
  <c r="AO277" i="21"/>
  <c r="AO275" i="21"/>
  <c r="AO273" i="21"/>
  <c r="AO276" i="21"/>
  <c r="AO274" i="21"/>
  <c r="AO256" i="21"/>
  <c r="AO255" i="21"/>
  <c r="AO253" i="21"/>
  <c r="AO251" i="21"/>
  <c r="AO254" i="21"/>
  <c r="AO252" i="21"/>
  <c r="AO214" i="21"/>
  <c r="AO217" i="21"/>
  <c r="AO213" i="21"/>
  <c r="AO220" i="21"/>
  <c r="AO215" i="21"/>
  <c r="AO219" i="21"/>
  <c r="AS278" i="21"/>
  <c r="AS277" i="21"/>
  <c r="AS275" i="21"/>
  <c r="AS273" i="21"/>
  <c r="AS276" i="21"/>
  <c r="AS274" i="21"/>
  <c r="AS256" i="21"/>
  <c r="AS253" i="21"/>
  <c r="AS251" i="21"/>
  <c r="AS255" i="21"/>
  <c r="AS254" i="21"/>
  <c r="AS252" i="21"/>
  <c r="AW278" i="21"/>
  <c r="AW277" i="21"/>
  <c r="AW275" i="21"/>
  <c r="AW273" i="21"/>
  <c r="AW276" i="21"/>
  <c r="AW274" i="21"/>
  <c r="AW256" i="21"/>
  <c r="AW255" i="21"/>
  <c r="AW254" i="21"/>
  <c r="AW253" i="21"/>
  <c r="AW251" i="21"/>
  <c r="AW252" i="21"/>
  <c r="BA278" i="21"/>
  <c r="BA277" i="21"/>
  <c r="BA275" i="21"/>
  <c r="BA273" i="21"/>
  <c r="BA276" i="21"/>
  <c r="BA274" i="21"/>
  <c r="I210" i="21"/>
  <c r="U220" i="21"/>
  <c r="H255" i="21"/>
  <c r="H256" i="21"/>
  <c r="H254" i="21"/>
  <c r="H252" i="21"/>
  <c r="H253" i="21"/>
  <c r="H251" i="21"/>
  <c r="H220" i="21"/>
  <c r="H219" i="21"/>
  <c r="H217" i="21"/>
  <c r="H215" i="21"/>
  <c r="H214" i="21"/>
  <c r="H213" i="21"/>
  <c r="P278" i="21"/>
  <c r="P276" i="21"/>
  <c r="P274" i="21"/>
  <c r="P277" i="21"/>
  <c r="P275" i="21"/>
  <c r="P273" i="21"/>
  <c r="P255" i="21"/>
  <c r="P270" i="21"/>
  <c r="P256" i="21"/>
  <c r="P254" i="21"/>
  <c r="P252" i="21"/>
  <c r="P253" i="21"/>
  <c r="P251" i="21"/>
  <c r="P220" i="21"/>
  <c r="P219" i="21"/>
  <c r="P217" i="21"/>
  <c r="P215" i="21"/>
  <c r="P214" i="21"/>
  <c r="P213" i="21"/>
  <c r="T278" i="21"/>
  <c r="T276" i="21"/>
  <c r="T274" i="21"/>
  <c r="T277" i="21"/>
  <c r="T275" i="21"/>
  <c r="T273" i="21"/>
  <c r="T255" i="21"/>
  <c r="T256" i="21"/>
  <c r="T270" i="21"/>
  <c r="T254" i="21"/>
  <c r="T252" i="21"/>
  <c r="T253" i="21"/>
  <c r="T251" i="21"/>
  <c r="T220" i="21"/>
  <c r="T219" i="21"/>
  <c r="T217" i="21"/>
  <c r="T215" i="21"/>
  <c r="T214" i="21"/>
  <c r="T213" i="21"/>
  <c r="X278" i="21"/>
  <c r="X277" i="21"/>
  <c r="X276" i="21"/>
  <c r="X274" i="21"/>
  <c r="X275" i="21"/>
  <c r="X273" i="21"/>
  <c r="X255" i="21"/>
  <c r="X270" i="21"/>
  <c r="X256" i="21"/>
  <c r="X254" i="21"/>
  <c r="X252" i="21"/>
  <c r="X253" i="21"/>
  <c r="X251" i="21"/>
  <c r="X220" i="21"/>
  <c r="X219" i="21"/>
  <c r="X217" i="21"/>
  <c r="X215" i="21"/>
  <c r="X214" i="21"/>
  <c r="X213" i="21"/>
  <c r="AB278" i="21"/>
  <c r="AB276" i="21"/>
  <c r="AB274" i="21"/>
  <c r="AB277" i="21"/>
  <c r="AB275" i="21"/>
  <c r="AB273" i="21"/>
  <c r="AB255" i="21"/>
  <c r="AB256" i="21"/>
  <c r="AB270" i="21"/>
  <c r="AB254" i="21"/>
  <c r="AB252" i="21"/>
  <c r="AB253" i="21"/>
  <c r="AB251" i="21"/>
  <c r="AB220" i="21"/>
  <c r="AB219" i="21"/>
  <c r="AB217" i="21"/>
  <c r="AB215" i="21"/>
  <c r="AB214" i="21"/>
  <c r="AB213" i="21"/>
  <c r="AF278" i="21"/>
  <c r="AF276" i="21"/>
  <c r="AF274" i="21"/>
  <c r="AF277" i="21"/>
  <c r="AF275" i="21"/>
  <c r="AF273" i="21"/>
  <c r="AF255" i="21"/>
  <c r="AF270" i="21"/>
  <c r="AF256" i="21"/>
  <c r="AF252" i="21"/>
  <c r="AF254" i="21"/>
  <c r="AF253" i="21"/>
  <c r="AF251" i="21"/>
  <c r="AF220" i="21"/>
  <c r="AF219" i="21"/>
  <c r="AF217" i="21"/>
  <c r="AF215" i="21"/>
  <c r="AF214" i="21"/>
  <c r="AF213" i="21"/>
  <c r="AJ278" i="21"/>
  <c r="AJ277" i="21"/>
  <c r="AJ276" i="21"/>
  <c r="AJ274" i="21"/>
  <c r="AJ275" i="21"/>
  <c r="AJ273" i="21"/>
  <c r="AJ255" i="21"/>
  <c r="AJ256" i="21"/>
  <c r="AJ270" i="21"/>
  <c r="AJ252" i="21"/>
  <c r="AJ254" i="21"/>
  <c r="AJ253" i="21"/>
  <c r="AJ251" i="21"/>
  <c r="AJ220" i="21"/>
  <c r="AJ219" i="21"/>
  <c r="AJ217" i="21"/>
  <c r="AJ215" i="21"/>
  <c r="AJ214" i="21"/>
  <c r="AJ213" i="21"/>
  <c r="AN278" i="21"/>
  <c r="AN276" i="21"/>
  <c r="AN274" i="21"/>
  <c r="AN275" i="21"/>
  <c r="AN273" i="21"/>
  <c r="AN270" i="21"/>
  <c r="AN277" i="21"/>
  <c r="AN255" i="21"/>
  <c r="AN256" i="21"/>
  <c r="AN252" i="21"/>
  <c r="AN253" i="21"/>
  <c r="AN251" i="21"/>
  <c r="AN254" i="21"/>
  <c r="AN220" i="21"/>
  <c r="AN219" i="21"/>
  <c r="AN217" i="21"/>
  <c r="AN215" i="21"/>
  <c r="AN214" i="21"/>
  <c r="AN213" i="21"/>
  <c r="AR278" i="21"/>
  <c r="AR276" i="21"/>
  <c r="AR274" i="21"/>
  <c r="AR277" i="21"/>
  <c r="AR275" i="21"/>
  <c r="AR273" i="21"/>
  <c r="AR270" i="21"/>
  <c r="AR255" i="21"/>
  <c r="AR256" i="21"/>
  <c r="AR254" i="21"/>
  <c r="AR252" i="21"/>
  <c r="AR253" i="21"/>
  <c r="AR251" i="21"/>
  <c r="AV278" i="21"/>
  <c r="AV276" i="21"/>
  <c r="AV274" i="21"/>
  <c r="AV277" i="21"/>
  <c r="AV275" i="21"/>
  <c r="AV273" i="21"/>
  <c r="AV270" i="21"/>
  <c r="AV255" i="21"/>
  <c r="AV256" i="21"/>
  <c r="AV252" i="21"/>
  <c r="AV254" i="21"/>
  <c r="AV253" i="21"/>
  <c r="AV251" i="21"/>
  <c r="AZ278" i="21"/>
  <c r="AZ277" i="21"/>
  <c r="AZ276" i="21"/>
  <c r="AZ274" i="21"/>
  <c r="AZ275" i="21"/>
  <c r="AZ273" i="21"/>
  <c r="AZ270" i="21"/>
  <c r="AZ255" i="21"/>
  <c r="AZ256" i="21"/>
  <c r="AZ252" i="21"/>
  <c r="AZ254" i="21"/>
  <c r="AZ253" i="21"/>
  <c r="AZ251" i="21"/>
  <c r="AF159" i="21"/>
  <c r="AJ159" i="21"/>
  <c r="AN159" i="21"/>
  <c r="AR159" i="21"/>
  <c r="AV159" i="21"/>
  <c r="AZ159" i="21"/>
  <c r="AF160" i="21"/>
  <c r="AJ160" i="21"/>
  <c r="AN160" i="21"/>
  <c r="AR160" i="21"/>
  <c r="AV160" i="21"/>
  <c r="AZ160" i="21"/>
  <c r="I218" i="21"/>
  <c r="AK218" i="21"/>
  <c r="AQ217" i="21"/>
  <c r="J256" i="21"/>
  <c r="J253" i="21"/>
  <c r="J251" i="21"/>
  <c r="J248" i="21"/>
  <c r="J254" i="21"/>
  <c r="J252" i="21"/>
  <c r="J255" i="21"/>
  <c r="J220" i="21"/>
  <c r="J219" i="21"/>
  <c r="J217" i="21"/>
  <c r="J215" i="21"/>
  <c r="J214" i="21"/>
  <c r="J213" i="21"/>
  <c r="J195" i="21"/>
  <c r="N277" i="21"/>
  <c r="N275" i="21"/>
  <c r="N273" i="21"/>
  <c r="N276" i="21"/>
  <c r="N274" i="21"/>
  <c r="N278" i="21"/>
  <c r="N256" i="21"/>
  <c r="N255" i="21"/>
  <c r="N253" i="21"/>
  <c r="N251" i="21"/>
  <c r="N248" i="21"/>
  <c r="N254" i="21"/>
  <c r="N252" i="21"/>
  <c r="N220" i="21"/>
  <c r="N219" i="21"/>
  <c r="N217" i="21"/>
  <c r="N215" i="21"/>
  <c r="N214" i="21"/>
  <c r="N213" i="21"/>
  <c r="R277" i="21"/>
  <c r="R275" i="21"/>
  <c r="R273" i="21"/>
  <c r="R278" i="21"/>
  <c r="R276" i="21"/>
  <c r="R274" i="21"/>
  <c r="R256" i="21"/>
  <c r="R253" i="21"/>
  <c r="R251" i="21"/>
  <c r="R248" i="21"/>
  <c r="R255" i="21"/>
  <c r="R254" i="21"/>
  <c r="R252" i="21"/>
  <c r="R220" i="21"/>
  <c r="R219" i="21"/>
  <c r="R217" i="21"/>
  <c r="R215" i="21"/>
  <c r="R214" i="21"/>
  <c r="R213" i="21"/>
  <c r="R195" i="21"/>
  <c r="V277" i="21"/>
  <c r="V275" i="21"/>
  <c r="V273" i="21"/>
  <c r="V278" i="21"/>
  <c r="V276" i="21"/>
  <c r="V274" i="21"/>
  <c r="V256" i="21"/>
  <c r="V253" i="21"/>
  <c r="V251" i="21"/>
  <c r="V248" i="21"/>
  <c r="V255" i="21"/>
  <c r="V254" i="21"/>
  <c r="V252" i="21"/>
  <c r="V220" i="21"/>
  <c r="V219" i="21"/>
  <c r="V217" i="21"/>
  <c r="V215" i="21"/>
  <c r="V214" i="21"/>
  <c r="V213" i="21"/>
  <c r="Z277" i="21"/>
  <c r="Z278" i="21"/>
  <c r="Z275" i="21"/>
  <c r="Z273" i="21"/>
  <c r="Z276" i="21"/>
  <c r="Z274" i="21"/>
  <c r="Z256" i="21"/>
  <c r="Z255" i="21"/>
  <c r="Z253" i="21"/>
  <c r="Z251" i="21"/>
  <c r="Z248" i="21"/>
  <c r="Z254" i="21"/>
  <c r="Z252" i="21"/>
  <c r="Z220" i="21"/>
  <c r="Z219" i="21"/>
  <c r="Z217" i="21"/>
  <c r="Z215" i="21"/>
  <c r="Z214" i="21"/>
  <c r="Z213" i="21"/>
  <c r="AD277" i="21"/>
  <c r="AD275" i="21"/>
  <c r="AD273" i="21"/>
  <c r="AD276" i="21"/>
  <c r="AD274" i="21"/>
  <c r="AD278" i="21"/>
  <c r="AD256" i="21"/>
  <c r="AD254" i="21"/>
  <c r="AD255" i="21"/>
  <c r="AD253" i="21"/>
  <c r="AD251" i="21"/>
  <c r="AD248" i="21"/>
  <c r="AD252" i="21"/>
  <c r="AD220" i="21"/>
  <c r="AD219" i="21"/>
  <c r="AD217" i="21"/>
  <c r="AD215" i="21"/>
  <c r="AD214" i="21"/>
  <c r="AD213" i="21"/>
  <c r="AH277" i="21"/>
  <c r="AH275" i="21"/>
  <c r="AH273" i="21"/>
  <c r="AH278" i="21"/>
  <c r="AH276" i="21"/>
  <c r="AH274" i="21"/>
  <c r="AH256" i="21"/>
  <c r="AH254" i="21"/>
  <c r="AH255" i="21"/>
  <c r="AH253" i="21"/>
  <c r="AH251" i="21"/>
  <c r="AH248" i="21"/>
  <c r="AH252" i="21"/>
  <c r="AH220" i="21"/>
  <c r="AH219" i="21"/>
  <c r="AH217" i="21"/>
  <c r="AH215" i="21"/>
  <c r="AH214" i="21"/>
  <c r="AH213" i="21"/>
  <c r="AL277" i="21"/>
  <c r="AL275" i="21"/>
  <c r="AL273" i="21"/>
  <c r="AL278" i="21"/>
  <c r="AL276" i="21"/>
  <c r="AL274" i="21"/>
  <c r="AL256" i="21"/>
  <c r="AL254" i="21"/>
  <c r="AL255" i="21"/>
  <c r="AL253" i="21"/>
  <c r="AL251" i="21"/>
  <c r="AL248" i="21"/>
  <c r="AL252" i="21"/>
  <c r="AL220" i="21"/>
  <c r="AL219" i="21"/>
  <c r="AL217" i="21"/>
  <c r="AL215" i="21"/>
  <c r="AL214" i="21"/>
  <c r="AL213" i="21"/>
  <c r="AP277" i="21"/>
  <c r="AP278" i="21"/>
  <c r="AP275" i="21"/>
  <c r="AP273" i="21"/>
  <c r="AP276" i="21"/>
  <c r="AP274" i="21"/>
  <c r="AP256" i="21"/>
  <c r="AP254" i="21"/>
  <c r="AP255" i="21"/>
  <c r="AP253" i="21"/>
  <c r="AP251" i="21"/>
  <c r="AP248" i="21"/>
  <c r="AP252" i="21"/>
  <c r="AP220" i="21"/>
  <c r="AP219" i="21"/>
  <c r="AP217" i="21"/>
  <c r="AP215" i="21"/>
  <c r="AP214" i="21"/>
  <c r="AP213" i="21"/>
  <c r="AP195" i="21"/>
  <c r="AT277" i="21"/>
  <c r="AT275" i="21"/>
  <c r="AT273" i="21"/>
  <c r="AT276" i="21"/>
  <c r="AT274" i="21"/>
  <c r="AT278" i="21"/>
  <c r="AT256" i="21"/>
  <c r="AT254" i="21"/>
  <c r="AT255" i="21"/>
  <c r="AT253" i="21"/>
  <c r="AT251" i="21"/>
  <c r="AT248" i="21"/>
  <c r="AT252" i="21"/>
  <c r="AX277" i="21"/>
  <c r="AX275" i="21"/>
  <c r="AX273" i="21"/>
  <c r="AX278" i="21"/>
  <c r="AX276" i="21"/>
  <c r="AX274" i="21"/>
  <c r="AX256" i="21"/>
  <c r="AX254" i="21"/>
  <c r="AX255" i="21"/>
  <c r="AX253" i="21"/>
  <c r="AX251" i="21"/>
  <c r="AX248" i="21"/>
  <c r="AX252" i="21"/>
  <c r="AD159" i="21"/>
  <c r="AH159" i="21"/>
  <c r="AL159" i="21"/>
  <c r="AP159" i="21"/>
  <c r="AT159" i="21"/>
  <c r="AX159" i="21"/>
  <c r="T195" i="21"/>
  <c r="J218" i="21"/>
  <c r="J208" i="21"/>
  <c r="J210" i="21" s="1"/>
  <c r="N218" i="21"/>
  <c r="N208" i="21"/>
  <c r="N210" i="21" s="1"/>
  <c r="R218" i="21"/>
  <c r="R208" i="21"/>
  <c r="R210" i="21" s="1"/>
  <c r="BU203" i="21"/>
  <c r="Z218" i="21"/>
  <c r="Z208" i="21"/>
  <c r="Z210" i="21" s="1"/>
  <c r="AD218" i="21"/>
  <c r="AD208" i="21"/>
  <c r="AD210" i="21" s="1"/>
  <c r="AO218" i="21"/>
  <c r="K256" i="21"/>
  <c r="K254" i="21"/>
  <c r="K252" i="21"/>
  <c r="K255" i="21"/>
  <c r="K253" i="21"/>
  <c r="K251" i="21"/>
  <c r="K220" i="21"/>
  <c r="K219" i="21"/>
  <c r="K217" i="21"/>
  <c r="K215" i="21"/>
  <c r="K214" i="21"/>
  <c r="O278" i="21"/>
  <c r="O276" i="21"/>
  <c r="O274" i="21"/>
  <c r="O277" i="21"/>
  <c r="O275" i="21"/>
  <c r="O273" i="21"/>
  <c r="O254" i="21"/>
  <c r="O252" i="21"/>
  <c r="O256" i="21"/>
  <c r="O255" i="21"/>
  <c r="O253" i="21"/>
  <c r="O251" i="21"/>
  <c r="O220" i="21"/>
  <c r="O219" i="21"/>
  <c r="O217" i="21"/>
  <c r="O215" i="21"/>
  <c r="O214" i="21"/>
  <c r="O213" i="21"/>
  <c r="S278" i="21"/>
  <c r="S276" i="21"/>
  <c r="S274" i="21"/>
  <c r="S277" i="21"/>
  <c r="S275" i="21"/>
  <c r="S273" i="21"/>
  <c r="S256" i="21"/>
  <c r="S255" i="21"/>
  <c r="S254" i="21"/>
  <c r="S252" i="21"/>
  <c r="S253" i="21"/>
  <c r="S251" i="21"/>
  <c r="S220" i="21"/>
  <c r="S219" i="21"/>
  <c r="S217" i="21"/>
  <c r="S215" i="21"/>
  <c r="S214" i="21"/>
  <c r="W277" i="21"/>
  <c r="W278" i="21"/>
  <c r="W276" i="21"/>
  <c r="W274" i="21"/>
  <c r="W275" i="21"/>
  <c r="W273" i="21"/>
  <c r="W255" i="21"/>
  <c r="W254" i="21"/>
  <c r="W252" i="21"/>
  <c r="W256" i="21"/>
  <c r="W253" i="21"/>
  <c r="W251" i="21"/>
  <c r="W220" i="21"/>
  <c r="W219" i="21"/>
  <c r="W217" i="21"/>
  <c r="W215" i="21"/>
  <c r="W214" i="21"/>
  <c r="W213" i="21"/>
  <c r="W195" i="21"/>
  <c r="AA277" i="21"/>
  <c r="AA278" i="21"/>
  <c r="AA276" i="21"/>
  <c r="AA274" i="21"/>
  <c r="AA275" i="21"/>
  <c r="AA273" i="21"/>
  <c r="AA256" i="21"/>
  <c r="AA254" i="21"/>
  <c r="AA252" i="21"/>
  <c r="AA255" i="21"/>
  <c r="AA253" i="21"/>
  <c r="AA251" i="21"/>
  <c r="AA220" i="21"/>
  <c r="AA219" i="21"/>
  <c r="AA217" i="21"/>
  <c r="AA215" i="21"/>
  <c r="AA214" i="21"/>
  <c r="AA213" i="21"/>
  <c r="AE277" i="21"/>
  <c r="AE278" i="21"/>
  <c r="AE276" i="21"/>
  <c r="AE274" i="21"/>
  <c r="AE275" i="21"/>
  <c r="AE273" i="21"/>
  <c r="AE256" i="21"/>
  <c r="AE255" i="21"/>
  <c r="AE252" i="21"/>
  <c r="AE254" i="21"/>
  <c r="AE253" i="21"/>
  <c r="AE251" i="21"/>
  <c r="AE220" i="21"/>
  <c r="AE219" i="21"/>
  <c r="AE217" i="21"/>
  <c r="AE215" i="21"/>
  <c r="AE214" i="21"/>
  <c r="AE213" i="21"/>
  <c r="AI256" i="21"/>
  <c r="AI252" i="21"/>
  <c r="AI255" i="21"/>
  <c r="AI254" i="21"/>
  <c r="AI253" i="21"/>
  <c r="AI251" i="21"/>
  <c r="AI220" i="21"/>
  <c r="AI219" i="21"/>
  <c r="AI217" i="21"/>
  <c r="AI215" i="21"/>
  <c r="AI214" i="21"/>
  <c r="AI213" i="21"/>
  <c r="AM256" i="21"/>
  <c r="AM254" i="21"/>
  <c r="AM255" i="21"/>
  <c r="AM252" i="21"/>
  <c r="AM253" i="21"/>
  <c r="AM251" i="21"/>
  <c r="AM220" i="21"/>
  <c r="AM219" i="21"/>
  <c r="AM217" i="21"/>
  <c r="AM215" i="21"/>
  <c r="AM214" i="21"/>
  <c r="AM213" i="21"/>
  <c r="AQ256" i="21"/>
  <c r="AQ254" i="21"/>
  <c r="AQ252" i="21"/>
  <c r="AQ255" i="21"/>
  <c r="AQ253" i="21"/>
  <c r="AQ251" i="21"/>
  <c r="AQ220" i="21"/>
  <c r="AU256" i="21"/>
  <c r="AU255" i="21"/>
  <c r="AU252" i="21"/>
  <c r="AU254" i="21"/>
  <c r="AU253" i="21"/>
  <c r="AU251" i="21"/>
  <c r="AY256" i="21"/>
  <c r="AY252" i="21"/>
  <c r="AY255" i="21"/>
  <c r="AY254" i="21"/>
  <c r="AY253" i="21"/>
  <c r="AY251" i="21"/>
  <c r="AI159" i="21"/>
  <c r="AM159" i="21"/>
  <c r="AQ159" i="21"/>
  <c r="AU159" i="21"/>
  <c r="AY159" i="21"/>
  <c r="K216" i="21"/>
  <c r="K205" i="21"/>
  <c r="BR205" i="21" s="1"/>
  <c r="BR203" i="21"/>
  <c r="O216" i="21"/>
  <c r="O205" i="21"/>
  <c r="S216" i="21"/>
  <c r="S205" i="21"/>
  <c r="BT205" i="21" s="1"/>
  <c r="BT203" i="21"/>
  <c r="W216" i="21"/>
  <c r="W205" i="21"/>
  <c r="AA216" i="21"/>
  <c r="BV203" i="21"/>
  <c r="AA205" i="21"/>
  <c r="BV205" i="21" s="1"/>
  <c r="AE216" i="21"/>
  <c r="AE205" i="21"/>
  <c r="AI216" i="21"/>
  <c r="AI205" i="21"/>
  <c r="BX205" i="21" s="1"/>
  <c r="BX203" i="21"/>
  <c r="AM216" i="21"/>
  <c r="AM205" i="21"/>
  <c r="H218" i="21"/>
  <c r="H208" i="21"/>
  <c r="H210" i="21" s="1"/>
  <c r="Q218" i="21"/>
  <c r="Y218" i="21"/>
  <c r="Y208" i="21"/>
  <c r="Y210" i="21" s="1"/>
  <c r="AH218" i="21"/>
  <c r="AH208" i="21"/>
  <c r="AH210" i="21" s="1"/>
  <c r="AP218" i="21"/>
  <c r="AP208" i="21"/>
  <c r="AP210" i="21" s="1"/>
  <c r="H216" i="21"/>
  <c r="P216" i="21"/>
  <c r="T216" i="21"/>
  <c r="X216" i="21"/>
  <c r="AB216" i="21"/>
  <c r="AF216" i="21"/>
  <c r="AJ216" i="21"/>
  <c r="AN216" i="21"/>
  <c r="V205" i="21"/>
  <c r="L205" i="21"/>
  <c r="AQ214" i="21"/>
  <c r="H248" i="21"/>
  <c r="P248" i="21"/>
  <c r="T248" i="21"/>
  <c r="X248" i="21"/>
  <c r="AB248" i="21"/>
  <c r="AF248" i="21"/>
  <c r="AJ248" i="21"/>
  <c r="AN248" i="21"/>
  <c r="AR248" i="21"/>
  <c r="AV248" i="21"/>
  <c r="AZ248" i="21"/>
  <c r="AJ205" i="21"/>
  <c r="AN205" i="21"/>
  <c r="AQ215" i="21"/>
  <c r="AQ219" i="21"/>
  <c r="AO208" i="21"/>
  <c r="AO210" i="21" s="1"/>
  <c r="J216" i="21"/>
  <c r="N216" i="21"/>
  <c r="R216" i="21"/>
  <c r="V216" i="21"/>
  <c r="Z216" i="21"/>
  <c r="AD216" i="21"/>
  <c r="AH216" i="21"/>
  <c r="AL216" i="21"/>
  <c r="AP216" i="21"/>
  <c r="P218" i="21"/>
  <c r="T208" i="21"/>
  <c r="T210" i="21" s="1"/>
  <c r="T218" i="21"/>
  <c r="X208" i="21"/>
  <c r="X210" i="21" s="1"/>
  <c r="X218" i="21"/>
  <c r="AB208" i="21"/>
  <c r="AB210" i="21" s="1"/>
  <c r="AB218" i="21"/>
  <c r="AF208" i="21"/>
  <c r="AF210" i="21" s="1"/>
  <c r="AF218" i="21"/>
  <c r="P208" i="21"/>
  <c r="P210" i="21" s="1"/>
  <c r="K248" i="21"/>
  <c r="O248" i="21"/>
  <c r="S248" i="21"/>
  <c r="W248" i="21"/>
  <c r="AA248" i="21"/>
  <c r="AE248" i="21"/>
  <c r="AI248" i="21"/>
  <c r="AM248" i="21"/>
  <c r="AQ248" i="21"/>
  <c r="AU248" i="21"/>
  <c r="AY248" i="21"/>
  <c r="I248" i="21"/>
  <c r="M248" i="21"/>
  <c r="Q248" i="21"/>
  <c r="U248" i="21"/>
  <c r="Y248" i="21"/>
  <c r="AC248" i="21"/>
  <c r="AG248" i="21"/>
  <c r="AK248" i="21"/>
  <c r="AO248" i="21"/>
  <c r="AS248" i="21"/>
  <c r="AW248" i="21"/>
  <c r="AM270" i="21"/>
  <c r="BT246" i="21"/>
  <c r="BX246" i="21"/>
  <c r="BU246" i="21"/>
  <c r="O270" i="21"/>
  <c r="S270" i="21"/>
  <c r="W270" i="21"/>
  <c r="AA270" i="21"/>
  <c r="AE270" i="21"/>
  <c r="AI274" i="21"/>
  <c r="AI278" i="21"/>
  <c r="AM275" i="21"/>
  <c r="AQ276" i="21"/>
  <c r="AU268" i="21"/>
  <c r="AU270" i="21" s="1"/>
  <c r="AU273" i="21"/>
  <c r="AU277" i="21"/>
  <c r="AY274" i="21"/>
  <c r="AY278" i="21"/>
  <c r="AW270" i="21"/>
  <c r="AI275" i="21"/>
  <c r="AM276" i="21"/>
  <c r="AQ268" i="21"/>
  <c r="AQ270" i="21" s="1"/>
  <c r="AQ273" i="21"/>
  <c r="AQ277" i="21"/>
  <c r="AU274" i="21"/>
  <c r="AY275" i="21"/>
  <c r="AS270" i="21"/>
  <c r="AX270" i="21"/>
  <c r="BU268" i="21"/>
  <c r="AI276" i="21"/>
  <c r="AM273" i="21"/>
  <c r="AM277" i="21"/>
  <c r="AQ274" i="21"/>
  <c r="AQ278" i="21"/>
  <c r="AU275" i="21"/>
  <c r="AY276" i="21"/>
  <c r="M270" i="21"/>
  <c r="Q270" i="21"/>
  <c r="U270" i="21"/>
  <c r="Y270" i="21"/>
  <c r="AC270" i="21"/>
  <c r="AG270" i="21"/>
  <c r="AK270" i="21"/>
  <c r="AO270" i="21"/>
  <c r="AT270" i="21"/>
  <c r="BR268" i="21"/>
  <c r="BV268" i="21"/>
  <c r="AI273" i="21"/>
  <c r="AI277" i="21"/>
  <c r="AM274" i="21"/>
  <c r="AM278" i="21"/>
  <c r="AQ275" i="21"/>
  <c r="AU276" i="21"/>
  <c r="AY268" i="21"/>
  <c r="AY270" i="21" s="1"/>
  <c r="AY273" i="21"/>
  <c r="AY277" i="21"/>
  <c r="N270" i="21"/>
  <c r="R270" i="21"/>
  <c r="V270" i="21"/>
  <c r="Z270" i="21"/>
  <c r="AD270" i="21"/>
  <c r="AH270" i="21"/>
  <c r="AL270" i="21"/>
  <c r="AP270" i="21"/>
  <c r="BA270" i="21"/>
  <c r="AU278" i="21"/>
  <c r="BS307" i="21"/>
  <c r="BS296" i="21"/>
  <c r="BW307" i="21"/>
  <c r="BW296" i="21"/>
  <c r="BT296" i="21"/>
  <c r="BQ296" i="21"/>
  <c r="BU296" i="21"/>
  <c r="BR296" i="21"/>
  <c r="BR307" i="21"/>
  <c r="BV296" i="21"/>
  <c r="BV307" i="21"/>
  <c r="BT307" i="21"/>
  <c r="BQ308" i="21"/>
  <c r="BU308" i="21"/>
  <c r="N14" i="3"/>
  <c r="O14" i="3" s="1"/>
  <c r="R14" i="3"/>
  <c r="S14" i="3" s="1"/>
  <c r="F17" i="3"/>
  <c r="G17" i="3" s="1"/>
  <c r="V17" i="3"/>
  <c r="W17" i="3" s="1"/>
  <c r="AL17" i="3"/>
  <c r="AM17" i="3" s="1"/>
  <c r="CC17" i="3"/>
  <c r="CC119" i="3" s="1"/>
  <c r="J19" i="3"/>
  <c r="K19" i="3" s="1"/>
  <c r="Z19" i="3"/>
  <c r="AA19" i="3" s="1"/>
  <c r="AP19" i="3"/>
  <c r="AQ19" i="3" s="1"/>
  <c r="N20" i="3"/>
  <c r="O20" i="3" s="1"/>
  <c r="AD20" i="3"/>
  <c r="AE20" i="3" s="1"/>
  <c r="AT20" i="3"/>
  <c r="AU20" i="3" s="1"/>
  <c r="G21" i="3"/>
  <c r="BQ21" i="3" s="1"/>
  <c r="BQ123" i="3" s="1"/>
  <c r="W21" i="3"/>
  <c r="BU21" i="3" s="1"/>
  <c r="BU123" i="3" s="1"/>
  <c r="AM21" i="3"/>
  <c r="BY21" i="3" s="1"/>
  <c r="BY123" i="3" s="1"/>
  <c r="Z24" i="3"/>
  <c r="AA24" i="3" s="1"/>
  <c r="F14" i="3"/>
  <c r="G14" i="3" s="1"/>
  <c r="V14" i="3"/>
  <c r="W14" i="3" s="1"/>
  <c r="K15" i="3"/>
  <c r="CI15" i="3" s="1"/>
  <c r="CI117" i="3" s="1"/>
  <c r="AA15" i="3"/>
  <c r="CM15" i="3" s="1"/>
  <c r="CM117" i="3" s="1"/>
  <c r="J17" i="3"/>
  <c r="K17" i="3" s="1"/>
  <c r="Z17" i="3"/>
  <c r="AA17" i="3" s="1"/>
  <c r="AP17" i="3"/>
  <c r="AQ17" i="3" s="1"/>
  <c r="N19" i="3"/>
  <c r="O19" i="3" s="1"/>
  <c r="AD19" i="3"/>
  <c r="AE19" i="3" s="1"/>
  <c r="AT19" i="3"/>
  <c r="AU19" i="3" s="1"/>
  <c r="R20" i="3"/>
  <c r="S20" i="3" s="1"/>
  <c r="AH20" i="3"/>
  <c r="AI20" i="3" s="1"/>
  <c r="AX20" i="3"/>
  <c r="AY20" i="3" s="1"/>
  <c r="AP24" i="3"/>
  <c r="AQ24" i="3" s="1"/>
  <c r="N25" i="3"/>
  <c r="O25" i="3" s="1"/>
  <c r="J14" i="3"/>
  <c r="K14" i="3" s="1"/>
  <c r="Z14" i="3"/>
  <c r="AA14" i="3" s="1"/>
  <c r="N17" i="3"/>
  <c r="O17" i="3" s="1"/>
  <c r="AD17" i="3"/>
  <c r="AE17" i="3" s="1"/>
  <c r="AT17" i="3"/>
  <c r="AU17" i="3" s="1"/>
  <c r="G18" i="3"/>
  <c r="CH18" i="3" s="1"/>
  <c r="CH120" i="3" s="1"/>
  <c r="O18" i="3"/>
  <c r="CJ18" i="3" s="1"/>
  <c r="CJ120" i="3" s="1"/>
  <c r="W18" i="3"/>
  <c r="CL18" i="3" s="1"/>
  <c r="CL120" i="3" s="1"/>
  <c r="AE18" i="3"/>
  <c r="BW18" i="3" s="1"/>
  <c r="BW120" i="3" s="1"/>
  <c r="AM18" i="3"/>
  <c r="CP18" i="3" s="1"/>
  <c r="CP120" i="3" s="1"/>
  <c r="AU18" i="3"/>
  <c r="CA18" i="3" s="1"/>
  <c r="CA120" i="3" s="1"/>
  <c r="R19" i="3"/>
  <c r="S19" i="3" s="1"/>
  <c r="AH19" i="3"/>
  <c r="AI19" i="3" s="1"/>
  <c r="AX19" i="3"/>
  <c r="AY19" i="3" s="1"/>
  <c r="F20" i="3"/>
  <c r="G20" i="3" s="1"/>
  <c r="V20" i="3"/>
  <c r="W20" i="3" s="1"/>
  <c r="AL20" i="3"/>
  <c r="AM20" i="3" s="1"/>
  <c r="CC20" i="3"/>
  <c r="CC122" i="3" s="1"/>
  <c r="K21" i="3"/>
  <c r="BR21" i="3" s="1"/>
  <c r="BR123" i="3" s="1"/>
  <c r="AA21" i="3"/>
  <c r="BV21" i="3" s="1"/>
  <c r="BV123" i="3" s="1"/>
  <c r="CM21" i="3"/>
  <c r="CM123" i="3" s="1"/>
  <c r="AQ21" i="3"/>
  <c r="BZ21" i="3" s="1"/>
  <c r="BZ123" i="3" s="1"/>
  <c r="AD25" i="3"/>
  <c r="AE25" i="3" s="1"/>
  <c r="AD14" i="3"/>
  <c r="AE14" i="3" s="1"/>
  <c r="O15" i="3"/>
  <c r="BS15" i="3" s="1"/>
  <c r="BS117" i="3" s="1"/>
  <c r="AE15" i="3"/>
  <c r="BW15" i="3" s="1"/>
  <c r="AU15" i="3"/>
  <c r="CA15" i="3" s="1"/>
  <c r="R17" i="3"/>
  <c r="S17" i="3" s="1"/>
  <c r="CK17" i="3" s="1"/>
  <c r="CK119" i="3" s="1"/>
  <c r="AH17" i="3"/>
  <c r="AI17" i="3" s="1"/>
  <c r="AX17" i="3"/>
  <c r="AY17" i="3" s="1"/>
  <c r="F19" i="3"/>
  <c r="G19" i="3" s="1"/>
  <c r="V19" i="3"/>
  <c r="W19" i="3" s="1"/>
  <c r="AL19" i="3"/>
  <c r="AM19" i="3" s="1"/>
  <c r="J20" i="3"/>
  <c r="K20" i="3" s="1"/>
  <c r="Z20" i="3"/>
  <c r="AA20" i="3" s="1"/>
  <c r="AP20" i="3"/>
  <c r="AQ20" i="3" s="1"/>
  <c r="J24" i="3"/>
  <c r="K24" i="3" s="1"/>
  <c r="AT25" i="3"/>
  <c r="AU25" i="3" s="1"/>
  <c r="CC105" i="2"/>
  <c r="G111" i="3"/>
  <c r="G66" i="3"/>
  <c r="G81" i="3" s="1"/>
  <c r="G89" i="3" s="1"/>
  <c r="K111" i="3"/>
  <c r="K66" i="3"/>
  <c r="K81" i="3" s="1"/>
  <c r="K89" i="3" s="1"/>
  <c r="O111" i="3"/>
  <c r="O66" i="3"/>
  <c r="O81" i="3" s="1"/>
  <c r="O89" i="3" s="1"/>
  <c r="S111" i="3"/>
  <c r="S66" i="3"/>
  <c r="S81" i="3" s="1"/>
  <c r="S89" i="3" s="1"/>
  <c r="W111" i="3"/>
  <c r="W66" i="3"/>
  <c r="W81" i="3" s="1"/>
  <c r="W89" i="3" s="1"/>
  <c r="AA111" i="3"/>
  <c r="AA66" i="3"/>
  <c r="AA81" i="3" s="1"/>
  <c r="AA89" i="3" s="1"/>
  <c r="AE111" i="3"/>
  <c r="AE66" i="3"/>
  <c r="AE81" i="3" s="1"/>
  <c r="AE89" i="3" s="1"/>
  <c r="AI111" i="3"/>
  <c r="AI66" i="3"/>
  <c r="AI81" i="3" s="1"/>
  <c r="AI89" i="3" s="1"/>
  <c r="AM111" i="3"/>
  <c r="AM66" i="3"/>
  <c r="AM81" i="3" s="1"/>
  <c r="AM89" i="3" s="1"/>
  <c r="AQ111" i="3"/>
  <c r="AQ66" i="3"/>
  <c r="AQ81" i="3" s="1"/>
  <c r="AQ89" i="3" s="1"/>
  <c r="AU111" i="3"/>
  <c r="AU66" i="3"/>
  <c r="AU81" i="3" s="1"/>
  <c r="AU89" i="3" s="1"/>
  <c r="AY111" i="3"/>
  <c r="AY66" i="3"/>
  <c r="AY81" i="3" s="1"/>
  <c r="AY89" i="3" s="1"/>
  <c r="BC111" i="3"/>
  <c r="BC66" i="3"/>
  <c r="BC81" i="3" s="1"/>
  <c r="BC89" i="3" s="1"/>
  <c r="BG111" i="3"/>
  <c r="BG66" i="3"/>
  <c r="BG81" i="3" s="1"/>
  <c r="BG89" i="3" s="1"/>
  <c r="BK111" i="3"/>
  <c r="BK66" i="3"/>
  <c r="BK81" i="3" s="1"/>
  <c r="BK89" i="3" s="1"/>
  <c r="BT111" i="3"/>
  <c r="BT66" i="3"/>
  <c r="BT81" i="3" s="1"/>
  <c r="BT89" i="3" s="1"/>
  <c r="BX111" i="3"/>
  <c r="BX66" i="3"/>
  <c r="BX81" i="3" s="1"/>
  <c r="BX89" i="3" s="1"/>
  <c r="CB111" i="3"/>
  <c r="CB66" i="3"/>
  <c r="CB81" i="3" s="1"/>
  <c r="CB89" i="3" s="1"/>
  <c r="BU14" i="3"/>
  <c r="BR15" i="3"/>
  <c r="BR117" i="3" s="1"/>
  <c r="CE118" i="3"/>
  <c r="CE70" i="3"/>
  <c r="CN18" i="3"/>
  <c r="CN120" i="3" s="1"/>
  <c r="CL21" i="3"/>
  <c r="CL123" i="3" s="1"/>
  <c r="CP21" i="3"/>
  <c r="CP123" i="3" s="1"/>
  <c r="CI23" i="3"/>
  <c r="CI125" i="3" s="1"/>
  <c r="CM23" i="3"/>
  <c r="CM125" i="3" s="1"/>
  <c r="CQ23" i="3"/>
  <c r="CQ125" i="3" s="1"/>
  <c r="CJ26" i="3"/>
  <c r="CJ128" i="3" s="1"/>
  <c r="M67" i="3"/>
  <c r="M69" i="3" s="1"/>
  <c r="M41" i="3"/>
  <c r="N34" i="3"/>
  <c r="AC67" i="3"/>
  <c r="AC69" i="3" s="1"/>
  <c r="AC41" i="3"/>
  <c r="AD34" i="3"/>
  <c r="AS95" i="3"/>
  <c r="AS67" i="3"/>
  <c r="AS69" i="3" s="1"/>
  <c r="AS41" i="3"/>
  <c r="AT34" i="3"/>
  <c r="F35" i="3"/>
  <c r="G35" i="3" s="1"/>
  <c r="Z35" i="3"/>
  <c r="AA35" i="3" s="1"/>
  <c r="CA35" i="3"/>
  <c r="CA137" i="3" s="1"/>
  <c r="AQ36" i="3"/>
  <c r="BZ36" i="3" s="1"/>
  <c r="BZ138" i="3" s="1"/>
  <c r="J37" i="3"/>
  <c r="K37" i="3" s="1"/>
  <c r="CR37" i="3"/>
  <c r="CR139" i="3" s="1"/>
  <c r="CA37" i="3"/>
  <c r="CA139" i="3" s="1"/>
  <c r="K38" i="3"/>
  <c r="CI38" i="3" s="1"/>
  <c r="CI140" i="3" s="1"/>
  <c r="S38" i="3"/>
  <c r="CK38" i="3" s="1"/>
  <c r="CK140" i="3" s="1"/>
  <c r="AA38" i="3"/>
  <c r="CM38" i="3" s="1"/>
  <c r="CM140" i="3" s="1"/>
  <c r="AI38" i="3"/>
  <c r="CO38" i="3" s="1"/>
  <c r="CO140" i="3" s="1"/>
  <c r="AY38" i="3"/>
  <c r="CB38" i="3" s="1"/>
  <c r="CB140" i="3" s="1"/>
  <c r="J39" i="3"/>
  <c r="K39" i="3" s="1"/>
  <c r="BW39" i="3"/>
  <c r="BW141" i="3" s="1"/>
  <c r="CC39" i="3"/>
  <c r="CC141" i="3" s="1"/>
  <c r="K40" i="3"/>
  <c r="BR40" i="3" s="1"/>
  <c r="BR142" i="3" s="1"/>
  <c r="D111" i="3"/>
  <c r="D66" i="3"/>
  <c r="D81" i="3" s="1"/>
  <c r="D89" i="3" s="1"/>
  <c r="H111" i="3"/>
  <c r="H66" i="3"/>
  <c r="H81" i="3" s="1"/>
  <c r="H89" i="3" s="1"/>
  <c r="L111" i="3"/>
  <c r="L66" i="3"/>
  <c r="L81" i="3" s="1"/>
  <c r="L89" i="3" s="1"/>
  <c r="P111" i="3"/>
  <c r="P66" i="3"/>
  <c r="P81" i="3" s="1"/>
  <c r="P89" i="3" s="1"/>
  <c r="T111" i="3"/>
  <c r="T66" i="3"/>
  <c r="T81" i="3" s="1"/>
  <c r="T89" i="3" s="1"/>
  <c r="X111" i="3"/>
  <c r="X66" i="3"/>
  <c r="X81" i="3" s="1"/>
  <c r="X89" i="3" s="1"/>
  <c r="AB111" i="3"/>
  <c r="AB66" i="3"/>
  <c r="AB81" i="3" s="1"/>
  <c r="AB89" i="3" s="1"/>
  <c r="AF111" i="3"/>
  <c r="AF66" i="3"/>
  <c r="AF81" i="3" s="1"/>
  <c r="AF89" i="3" s="1"/>
  <c r="AJ111" i="3"/>
  <c r="AJ66" i="3"/>
  <c r="AJ81" i="3" s="1"/>
  <c r="AJ89" i="3" s="1"/>
  <c r="AN111" i="3"/>
  <c r="AN66" i="3"/>
  <c r="AN81" i="3" s="1"/>
  <c r="AN89" i="3" s="1"/>
  <c r="AR111" i="3"/>
  <c r="AR66" i="3"/>
  <c r="AR81" i="3" s="1"/>
  <c r="AR89" i="3" s="1"/>
  <c r="AV111" i="3"/>
  <c r="AV66" i="3"/>
  <c r="AV81" i="3" s="1"/>
  <c r="AV89" i="3" s="1"/>
  <c r="AZ111" i="3"/>
  <c r="AZ66" i="3"/>
  <c r="AZ81" i="3" s="1"/>
  <c r="AZ89" i="3" s="1"/>
  <c r="BD111" i="3"/>
  <c r="BD66" i="3"/>
  <c r="BD81" i="3" s="1"/>
  <c r="BD89" i="3" s="1"/>
  <c r="BH111" i="3"/>
  <c r="BH66" i="3"/>
  <c r="BH81" i="3" s="1"/>
  <c r="BH89" i="3" s="1"/>
  <c r="BQ111" i="3"/>
  <c r="BQ66" i="3"/>
  <c r="BQ81" i="3" s="1"/>
  <c r="BQ89" i="3" s="1"/>
  <c r="BU111" i="3"/>
  <c r="BU66" i="3"/>
  <c r="BU81" i="3" s="1"/>
  <c r="BU89" i="3" s="1"/>
  <c r="BY111" i="3"/>
  <c r="BY66" i="3"/>
  <c r="BY81" i="3" s="1"/>
  <c r="BY89" i="3" s="1"/>
  <c r="CC111" i="3"/>
  <c r="CC66" i="3"/>
  <c r="CC81" i="3" s="1"/>
  <c r="CC89" i="3" s="1"/>
  <c r="D85" i="3"/>
  <c r="D82" i="3"/>
  <c r="D83" i="3" s="1"/>
  <c r="H85" i="3"/>
  <c r="H82" i="3"/>
  <c r="H83" i="3" s="1"/>
  <c r="L85" i="3"/>
  <c r="L82" i="3"/>
  <c r="L83" i="3" s="1"/>
  <c r="P85" i="3"/>
  <c r="P82" i="3"/>
  <c r="P83" i="3" s="1"/>
  <c r="T85" i="3"/>
  <c r="T82" i="3"/>
  <c r="T83" i="3" s="1"/>
  <c r="X85" i="3"/>
  <c r="X82" i="3"/>
  <c r="X83" i="3" s="1"/>
  <c r="AB85" i="3"/>
  <c r="AB82" i="3"/>
  <c r="AF93" i="3"/>
  <c r="AF85" i="3"/>
  <c r="AF82" i="3"/>
  <c r="AJ93" i="3"/>
  <c r="AJ85" i="3"/>
  <c r="AJ82" i="3"/>
  <c r="AN93" i="3"/>
  <c r="AN85" i="3"/>
  <c r="AN82" i="3"/>
  <c r="AR93" i="3"/>
  <c r="AR85" i="3"/>
  <c r="AR82" i="3"/>
  <c r="AV93" i="3"/>
  <c r="AV85" i="3"/>
  <c r="AV82" i="3"/>
  <c r="AZ93" i="3"/>
  <c r="AZ85" i="3"/>
  <c r="AZ82" i="3"/>
  <c r="CD94" i="3"/>
  <c r="CD116" i="3"/>
  <c r="V26" i="3"/>
  <c r="W26" i="3" s="1"/>
  <c r="AD26" i="3"/>
  <c r="AE26" i="3" s="1"/>
  <c r="AL26" i="3"/>
  <c r="AM26" i="3" s="1"/>
  <c r="AT26" i="3"/>
  <c r="AU26" i="3" s="1"/>
  <c r="F27" i="3"/>
  <c r="G27" i="3" s="1"/>
  <c r="N27" i="3"/>
  <c r="O27" i="3" s="1"/>
  <c r="V27" i="3"/>
  <c r="W27" i="3" s="1"/>
  <c r="AD27" i="3"/>
  <c r="AE27" i="3" s="1"/>
  <c r="AL27" i="3"/>
  <c r="AM27" i="3" s="1"/>
  <c r="AT27" i="3"/>
  <c r="AU27" i="3" s="1"/>
  <c r="J28" i="3"/>
  <c r="K28" i="3" s="1"/>
  <c r="R28" i="3"/>
  <c r="S28" i="3" s="1"/>
  <c r="Z28" i="3"/>
  <c r="AA28" i="3" s="1"/>
  <c r="AH28" i="3"/>
  <c r="AI28" i="3" s="1"/>
  <c r="AP28" i="3"/>
  <c r="AQ28" i="3" s="1"/>
  <c r="AX28" i="3"/>
  <c r="AY28" i="3" s="1"/>
  <c r="J29" i="3"/>
  <c r="K29" i="3" s="1"/>
  <c r="R29" i="3"/>
  <c r="S29" i="3" s="1"/>
  <c r="Z29" i="3"/>
  <c r="AA29" i="3" s="1"/>
  <c r="AH29" i="3"/>
  <c r="AI29" i="3" s="1"/>
  <c r="AP29" i="3"/>
  <c r="AQ29" i="3" s="1"/>
  <c r="AX29" i="3"/>
  <c r="AY29" i="3" s="1"/>
  <c r="J30" i="3"/>
  <c r="K30" i="3" s="1"/>
  <c r="R30" i="3"/>
  <c r="S30" i="3" s="1"/>
  <c r="Z30" i="3"/>
  <c r="AA30" i="3" s="1"/>
  <c r="AH30" i="3"/>
  <c r="AI30" i="3" s="1"/>
  <c r="AP30" i="3"/>
  <c r="AQ30" i="3" s="1"/>
  <c r="AX30" i="3"/>
  <c r="AY30" i="3" s="1"/>
  <c r="Q67" i="3"/>
  <c r="Q69" i="3" s="1"/>
  <c r="Q41" i="3"/>
  <c r="R34" i="3"/>
  <c r="AG95" i="3"/>
  <c r="AG67" i="3"/>
  <c r="AG69" i="3" s="1"/>
  <c r="AG41" i="3"/>
  <c r="AH34" i="3"/>
  <c r="AW95" i="3"/>
  <c r="AW67" i="3"/>
  <c r="AW69" i="3" s="1"/>
  <c r="AW41" i="3"/>
  <c r="AX34" i="3"/>
  <c r="J35" i="3"/>
  <c r="K35" i="3" s="1"/>
  <c r="CC35" i="3"/>
  <c r="CC137" i="3" s="1"/>
  <c r="K36" i="3"/>
  <c r="BR36" i="3" s="1"/>
  <c r="BR138" i="3" s="1"/>
  <c r="S36" i="3"/>
  <c r="CK36" i="3" s="1"/>
  <c r="CK138" i="3" s="1"/>
  <c r="AA36" i="3"/>
  <c r="BV36" i="3" s="1"/>
  <c r="BV138" i="3" s="1"/>
  <c r="AI36" i="3"/>
  <c r="CO36" i="3" s="1"/>
  <c r="CO138" i="3" s="1"/>
  <c r="AL37" i="3"/>
  <c r="AM37" i="3" s="1"/>
  <c r="AL39" i="3"/>
  <c r="AM39" i="3" s="1"/>
  <c r="CM40" i="3"/>
  <c r="CM142" i="3" s="1"/>
  <c r="BV40" i="3"/>
  <c r="BV142" i="3" s="1"/>
  <c r="BZ40" i="3"/>
  <c r="BZ142" i="3" s="1"/>
  <c r="CQ40" i="3"/>
  <c r="CQ142" i="3" s="1"/>
  <c r="E111" i="3"/>
  <c r="E66" i="3"/>
  <c r="E81" i="3" s="1"/>
  <c r="E89" i="3" s="1"/>
  <c r="I111" i="3"/>
  <c r="I66" i="3"/>
  <c r="I81" i="3" s="1"/>
  <c r="I89" i="3" s="1"/>
  <c r="M111" i="3"/>
  <c r="M66" i="3"/>
  <c r="M81" i="3" s="1"/>
  <c r="M89" i="3" s="1"/>
  <c r="Q111" i="3"/>
  <c r="Q66" i="3"/>
  <c r="Q81" i="3" s="1"/>
  <c r="Q89" i="3" s="1"/>
  <c r="U111" i="3"/>
  <c r="U66" i="3"/>
  <c r="U81" i="3" s="1"/>
  <c r="U89" i="3" s="1"/>
  <c r="Y111" i="3"/>
  <c r="Y66" i="3"/>
  <c r="Y81" i="3" s="1"/>
  <c r="Y89" i="3" s="1"/>
  <c r="AC111" i="3"/>
  <c r="AC66" i="3"/>
  <c r="AC81" i="3" s="1"/>
  <c r="AC89" i="3" s="1"/>
  <c r="AG111" i="3"/>
  <c r="AG66" i="3"/>
  <c r="AG81" i="3" s="1"/>
  <c r="AG89" i="3" s="1"/>
  <c r="AK111" i="3"/>
  <c r="AK66" i="3"/>
  <c r="AK81" i="3" s="1"/>
  <c r="AK89" i="3" s="1"/>
  <c r="AO111" i="3"/>
  <c r="AO66" i="3"/>
  <c r="AO81" i="3" s="1"/>
  <c r="AO89" i="3" s="1"/>
  <c r="AS111" i="3"/>
  <c r="AS66" i="3"/>
  <c r="AS81" i="3" s="1"/>
  <c r="AS89" i="3" s="1"/>
  <c r="AW111" i="3"/>
  <c r="AW66" i="3"/>
  <c r="AW81" i="3" s="1"/>
  <c r="AW89" i="3" s="1"/>
  <c r="BA111" i="3"/>
  <c r="BA66" i="3"/>
  <c r="BA81" i="3" s="1"/>
  <c r="BA89" i="3" s="1"/>
  <c r="BE111" i="3"/>
  <c r="BE66" i="3"/>
  <c r="BE81" i="3" s="1"/>
  <c r="BE89" i="3" s="1"/>
  <c r="BI111" i="3"/>
  <c r="BI66" i="3"/>
  <c r="BI81" i="3" s="1"/>
  <c r="BI89" i="3" s="1"/>
  <c r="BR111" i="3"/>
  <c r="BR66" i="3"/>
  <c r="BR81" i="3" s="1"/>
  <c r="BR89" i="3" s="1"/>
  <c r="BV111" i="3"/>
  <c r="BV66" i="3"/>
  <c r="BV81" i="3" s="1"/>
  <c r="BV89" i="3" s="1"/>
  <c r="BZ111" i="3"/>
  <c r="BZ66" i="3"/>
  <c r="BZ81" i="3" s="1"/>
  <c r="BZ89" i="3" s="1"/>
  <c r="CD111" i="3"/>
  <c r="CD66" i="3"/>
  <c r="CD81" i="3" s="1"/>
  <c r="CD89" i="3" s="1"/>
  <c r="E13" i="3"/>
  <c r="I13" i="3"/>
  <c r="M13" i="3"/>
  <c r="Q13" i="3"/>
  <c r="U13" i="3"/>
  <c r="Y13" i="3"/>
  <c r="AC13" i="3"/>
  <c r="AG13" i="3"/>
  <c r="AK13" i="3"/>
  <c r="AO13" i="3"/>
  <c r="AS13" i="3"/>
  <c r="AW13" i="3"/>
  <c r="BA13" i="3"/>
  <c r="BB13" i="3" s="1"/>
  <c r="CE116" i="3"/>
  <c r="CE94" i="3"/>
  <c r="CN15" i="3"/>
  <c r="CN117" i="3" s="1"/>
  <c r="F15" i="3"/>
  <c r="G15" i="3" s="1"/>
  <c r="R15" i="3"/>
  <c r="V15" i="3"/>
  <c r="W15" i="3" s="1"/>
  <c r="AH15" i="3"/>
  <c r="AL15" i="3"/>
  <c r="AX15" i="3"/>
  <c r="F16" i="3"/>
  <c r="J16" i="3"/>
  <c r="V16" i="3"/>
  <c r="Z16" i="3"/>
  <c r="AD16" i="3"/>
  <c r="AH16" i="3"/>
  <c r="AL16" i="3"/>
  <c r="AP16" i="3"/>
  <c r="AT16" i="3"/>
  <c r="J18" i="3"/>
  <c r="R18" i="3"/>
  <c r="Z18" i="3"/>
  <c r="AH18" i="3"/>
  <c r="AP18" i="3"/>
  <c r="AX18" i="3"/>
  <c r="N21" i="3"/>
  <c r="R21" i="3"/>
  <c r="S21" i="3" s="1"/>
  <c r="AD21" i="3"/>
  <c r="AH21" i="3"/>
  <c r="AI21" i="3" s="1"/>
  <c r="AT21" i="3"/>
  <c r="AY21" i="3"/>
  <c r="CB21" i="3" s="1"/>
  <c r="CB123" i="3" s="1"/>
  <c r="F23" i="3"/>
  <c r="G23" i="3" s="1"/>
  <c r="Q23" i="3"/>
  <c r="V23" i="3"/>
  <c r="W23" i="3" s="1"/>
  <c r="AG23" i="3"/>
  <c r="AL23" i="3"/>
  <c r="AM23" i="3" s="1"/>
  <c r="AW23" i="3"/>
  <c r="F24" i="3"/>
  <c r="G24" i="3" s="1"/>
  <c r="Q24" i="3"/>
  <c r="V24" i="3"/>
  <c r="W24" i="3" s="1"/>
  <c r="AG24" i="3"/>
  <c r="AL24" i="3"/>
  <c r="AM24" i="3" s="1"/>
  <c r="AW24" i="3"/>
  <c r="E25" i="3"/>
  <c r="J25" i="3"/>
  <c r="K25" i="3" s="1"/>
  <c r="U25" i="3"/>
  <c r="Z25" i="3"/>
  <c r="AA25" i="3" s="1"/>
  <c r="AK25" i="3"/>
  <c r="AP25" i="3"/>
  <c r="AQ25" i="3" s="1"/>
  <c r="BA25" i="3"/>
  <c r="BB25" i="3" s="1"/>
  <c r="BC25" i="3" s="1"/>
  <c r="E26" i="3"/>
  <c r="J26" i="3"/>
  <c r="K26" i="3" s="1"/>
  <c r="E67" i="3"/>
  <c r="E69" i="3" s="1"/>
  <c r="E41" i="3"/>
  <c r="F34" i="3"/>
  <c r="U67" i="3"/>
  <c r="U69" i="3" s="1"/>
  <c r="U41" i="3"/>
  <c r="V34" i="3"/>
  <c r="AK67" i="3"/>
  <c r="AK69" i="3" s="1"/>
  <c r="BA95" i="3"/>
  <c r="BA41" i="3"/>
  <c r="AL35" i="3"/>
  <c r="AM35" i="3" s="1"/>
  <c r="AU36" i="3"/>
  <c r="CA36" i="3" s="1"/>
  <c r="CA138" i="3" s="1"/>
  <c r="V37" i="3"/>
  <c r="W37" i="3" s="1"/>
  <c r="AP37" i="3"/>
  <c r="AQ37" i="3" s="1"/>
  <c r="G38" i="3"/>
  <c r="CH38" i="3" s="1"/>
  <c r="CH140" i="3" s="1"/>
  <c r="AM38" i="3"/>
  <c r="BY38" i="3" s="1"/>
  <c r="BY140" i="3" s="1"/>
  <c r="V39" i="3"/>
  <c r="W39" i="3" s="1"/>
  <c r="AP39" i="3"/>
  <c r="AQ39" i="3" s="1"/>
  <c r="G40" i="3"/>
  <c r="CH40" i="3" s="1"/>
  <c r="CH142" i="3" s="1"/>
  <c r="W40" i="3"/>
  <c r="BU40" i="3" s="1"/>
  <c r="BU142" i="3" s="1"/>
  <c r="J111" i="3"/>
  <c r="J66" i="3"/>
  <c r="J81" i="3" s="1"/>
  <c r="J89" i="3" s="1"/>
  <c r="N111" i="3"/>
  <c r="N66" i="3"/>
  <c r="N81" i="3" s="1"/>
  <c r="N89" i="3" s="1"/>
  <c r="R111" i="3"/>
  <c r="R66" i="3"/>
  <c r="R81" i="3" s="1"/>
  <c r="R89" i="3" s="1"/>
  <c r="V66" i="3"/>
  <c r="V81" i="3" s="1"/>
  <c r="V89" i="3" s="1"/>
  <c r="Z111" i="3"/>
  <c r="Z66" i="3"/>
  <c r="Z81" i="3" s="1"/>
  <c r="Z89" i="3" s="1"/>
  <c r="AD111" i="3"/>
  <c r="AD66" i="3"/>
  <c r="AD81" i="3" s="1"/>
  <c r="AD89" i="3" s="1"/>
  <c r="AH111" i="3"/>
  <c r="AH66" i="3"/>
  <c r="AH81" i="3" s="1"/>
  <c r="AH89" i="3" s="1"/>
  <c r="AP111" i="3"/>
  <c r="AP66" i="3"/>
  <c r="AP81" i="3" s="1"/>
  <c r="AP89" i="3" s="1"/>
  <c r="AT111" i="3"/>
  <c r="AT66" i="3"/>
  <c r="AT81" i="3" s="1"/>
  <c r="AT89" i="3" s="1"/>
  <c r="AX111" i="3"/>
  <c r="AX66" i="3"/>
  <c r="AX81" i="3" s="1"/>
  <c r="AX89" i="3" s="1"/>
  <c r="BF111" i="3"/>
  <c r="BF66" i="3"/>
  <c r="BF81" i="3" s="1"/>
  <c r="BF89" i="3" s="1"/>
  <c r="BJ111" i="3"/>
  <c r="BJ66" i="3"/>
  <c r="BJ81" i="3" s="1"/>
  <c r="BJ89" i="3" s="1"/>
  <c r="BS111" i="3"/>
  <c r="BS66" i="3"/>
  <c r="BS81" i="3" s="1"/>
  <c r="BS89" i="3" s="1"/>
  <c r="BW111" i="3"/>
  <c r="BW66" i="3"/>
  <c r="BW81" i="3" s="1"/>
  <c r="BW89" i="3" s="1"/>
  <c r="CA111" i="3"/>
  <c r="CA66" i="3"/>
  <c r="CA81" i="3" s="1"/>
  <c r="CA89" i="3" s="1"/>
  <c r="CE111" i="3"/>
  <c r="CE66" i="3"/>
  <c r="CE81" i="3" s="1"/>
  <c r="CE89" i="3" s="1"/>
  <c r="BT14" i="3"/>
  <c r="BW17" i="3"/>
  <c r="BW119" i="3" s="1"/>
  <c r="BQ19" i="3"/>
  <c r="BQ121" i="3" s="1"/>
  <c r="CC19" i="3"/>
  <c r="CC121" i="3" s="1"/>
  <c r="BR20" i="3"/>
  <c r="BR122" i="3" s="1"/>
  <c r="BV20" i="3"/>
  <c r="BV122" i="3" s="1"/>
  <c r="BZ20" i="3"/>
  <c r="BZ122" i="3" s="1"/>
  <c r="CU118" i="3"/>
  <c r="CU70" i="3"/>
  <c r="AG14" i="3"/>
  <c r="AK14" i="3"/>
  <c r="AO14" i="3"/>
  <c r="AS14" i="3"/>
  <c r="AW14" i="3"/>
  <c r="BA14" i="3"/>
  <c r="BR23" i="3"/>
  <c r="BR125" i="3" s="1"/>
  <c r="M23" i="3"/>
  <c r="BV23" i="3"/>
  <c r="AC23" i="3"/>
  <c r="BZ23" i="3"/>
  <c r="AS23" i="3"/>
  <c r="M24" i="3"/>
  <c r="AC24" i="3"/>
  <c r="AS24" i="3"/>
  <c r="Q25" i="3"/>
  <c r="BW25" i="3"/>
  <c r="BW127" i="3" s="1"/>
  <c r="AG25" i="3"/>
  <c r="AW25" i="3"/>
  <c r="BS26" i="3"/>
  <c r="BS128" i="3" s="1"/>
  <c r="Q26" i="3"/>
  <c r="Y26" i="3"/>
  <c r="AG26" i="3"/>
  <c r="AO26" i="3"/>
  <c r="AW26" i="3"/>
  <c r="I27" i="3"/>
  <c r="Q27" i="3"/>
  <c r="Y27" i="3"/>
  <c r="AG27" i="3"/>
  <c r="AO27" i="3"/>
  <c r="AW27" i="3"/>
  <c r="E28" i="3"/>
  <c r="M28" i="3"/>
  <c r="U28" i="3"/>
  <c r="AC28" i="3"/>
  <c r="AK28" i="3"/>
  <c r="AS28" i="3"/>
  <c r="BA28" i="3"/>
  <c r="BB28" i="3" s="1"/>
  <c r="BC28" i="3" s="1"/>
  <c r="E29" i="3"/>
  <c r="M29" i="3"/>
  <c r="U29" i="3"/>
  <c r="AC29" i="3"/>
  <c r="AK29" i="3"/>
  <c r="AS29" i="3"/>
  <c r="BA29" i="3"/>
  <c r="BB29" i="3" s="1"/>
  <c r="BC29" i="3" s="1"/>
  <c r="F30" i="3"/>
  <c r="G30" i="3" s="1"/>
  <c r="N30" i="3"/>
  <c r="O30" i="3" s="1"/>
  <c r="V30" i="3"/>
  <c r="W30" i="3" s="1"/>
  <c r="AD30" i="3"/>
  <c r="AE30" i="3" s="1"/>
  <c r="CN30" i="3"/>
  <c r="CN132" i="3" s="1"/>
  <c r="AL30" i="3"/>
  <c r="AM30" i="3" s="1"/>
  <c r="AT30" i="3"/>
  <c r="AU30" i="3" s="1"/>
  <c r="V35" i="3"/>
  <c r="W35" i="3" s="1"/>
  <c r="AP35" i="3"/>
  <c r="AQ35" i="3" s="1"/>
  <c r="G36" i="3"/>
  <c r="BQ36" i="3" s="1"/>
  <c r="BQ138" i="3" s="1"/>
  <c r="O36" i="3"/>
  <c r="BS36" i="3" s="1"/>
  <c r="BS138" i="3" s="1"/>
  <c r="W36" i="3"/>
  <c r="BU36" i="3" s="1"/>
  <c r="BU138" i="3" s="1"/>
  <c r="AE36" i="3"/>
  <c r="BW36" i="3" s="1"/>
  <c r="BW138" i="3" s="1"/>
  <c r="F37" i="3"/>
  <c r="G37" i="3" s="1"/>
  <c r="CH37" i="3"/>
  <c r="CH139" i="3" s="1"/>
  <c r="Z37" i="3"/>
  <c r="AA37" i="3" s="1"/>
  <c r="F39" i="3"/>
  <c r="G39" i="3" s="1"/>
  <c r="Z39" i="3"/>
  <c r="AA39" i="3" s="1"/>
  <c r="BV39" i="3" s="1"/>
  <c r="BV141" i="3" s="1"/>
  <c r="CA39" i="3"/>
  <c r="CA141" i="3" s="1"/>
  <c r="I34" i="3"/>
  <c r="Y34" i="3"/>
  <c r="AO34" i="3"/>
  <c r="BX36" i="3"/>
  <c r="BX138" i="3" s="1"/>
  <c r="BY37" i="3"/>
  <c r="BY139" i="3" s="1"/>
  <c r="BR38" i="3"/>
  <c r="BR140" i="3" s="1"/>
  <c r="BZ38" i="3"/>
  <c r="BZ140" i="3" s="1"/>
  <c r="BT40" i="3"/>
  <c r="BT142" i="3" s="1"/>
  <c r="BX40" i="3"/>
  <c r="BX142" i="3" s="1"/>
  <c r="CB40" i="3"/>
  <c r="CB142" i="3" s="1"/>
  <c r="CK35" i="3"/>
  <c r="CK137" i="3" s="1"/>
  <c r="CS35" i="3"/>
  <c r="CS137" i="3" s="1"/>
  <c r="CI36" i="3"/>
  <c r="CI138" i="3" s="1"/>
  <c r="CM36" i="3"/>
  <c r="CM138" i="3" s="1"/>
  <c r="CK37" i="3"/>
  <c r="CK139" i="3" s="1"/>
  <c r="CO37" i="3"/>
  <c r="CO139" i="3" s="1"/>
  <c r="CQ38" i="3"/>
  <c r="CQ140" i="3" s="1"/>
  <c r="CN39" i="3"/>
  <c r="CN141" i="3" s="1"/>
  <c r="CK40" i="3"/>
  <c r="CK142" i="3" s="1"/>
  <c r="CP40" i="3"/>
  <c r="CP142" i="3" s="1"/>
  <c r="N45" i="3"/>
  <c r="AD45" i="3"/>
  <c r="AT45" i="3"/>
  <c r="J46" i="3"/>
  <c r="K46" i="3" s="1"/>
  <c r="Z46" i="3"/>
  <c r="AA46" i="3" s="1"/>
  <c r="AP46" i="3"/>
  <c r="AQ46" i="3" s="1"/>
  <c r="F47" i="3"/>
  <c r="V47" i="3"/>
  <c r="AL47" i="3"/>
  <c r="R48" i="3"/>
  <c r="AH48" i="3"/>
  <c r="AX48" i="3"/>
  <c r="AY48" i="3" s="1"/>
  <c r="N49" i="3"/>
  <c r="AD49" i="3"/>
  <c r="AT49" i="3"/>
  <c r="J50" i="3"/>
  <c r="K50" i="3" s="1"/>
  <c r="Z50" i="3"/>
  <c r="AA50" i="3" s="1"/>
  <c r="AP50" i="3"/>
  <c r="AQ50" i="3" s="1"/>
  <c r="F51" i="3"/>
  <c r="V51" i="3"/>
  <c r="BW57" i="3"/>
  <c r="BW159" i="3" s="1"/>
  <c r="CR36" i="3"/>
  <c r="CR138" i="3" s="1"/>
  <c r="N44" i="3"/>
  <c r="V44" i="3"/>
  <c r="AL44" i="3"/>
  <c r="R45" i="3"/>
  <c r="S45" i="3" s="1"/>
  <c r="AH45" i="3"/>
  <c r="AI45" i="3" s="1"/>
  <c r="AX45" i="3"/>
  <c r="AY45" i="3" s="1"/>
  <c r="N46" i="3"/>
  <c r="O46" i="3" s="1"/>
  <c r="AD46" i="3"/>
  <c r="AT46" i="3"/>
  <c r="AU46" i="3" s="1"/>
  <c r="J47" i="3"/>
  <c r="K47" i="3" s="1"/>
  <c r="Z47" i="3"/>
  <c r="AA47" i="3" s="1"/>
  <c r="AP47" i="3"/>
  <c r="F48" i="3"/>
  <c r="V48" i="3"/>
  <c r="AL48" i="3"/>
  <c r="CC48" i="3"/>
  <c r="CC150" i="3" s="1"/>
  <c r="R49" i="3"/>
  <c r="S49" i="3" s="1"/>
  <c r="AH49" i="3"/>
  <c r="AI49" i="3" s="1"/>
  <c r="CO49" i="3" s="1"/>
  <c r="CO151" i="3" s="1"/>
  <c r="AX49" i="3"/>
  <c r="AY49" i="3" s="1"/>
  <c r="N50" i="3"/>
  <c r="O50" i="3" s="1"/>
  <c r="AD50" i="3"/>
  <c r="AE50" i="3" s="1"/>
  <c r="AT50" i="3"/>
  <c r="AU50" i="3" s="1"/>
  <c r="J51" i="3"/>
  <c r="K51" i="3" s="1"/>
  <c r="Z51" i="3"/>
  <c r="AA51" i="3" s="1"/>
  <c r="AP51" i="3"/>
  <c r="AQ51" i="3" s="1"/>
  <c r="R57" i="3"/>
  <c r="S57" i="3" s="1"/>
  <c r="CN40" i="3"/>
  <c r="CN142" i="3" s="1"/>
  <c r="CR40" i="3"/>
  <c r="CR142" i="3" s="1"/>
  <c r="R46" i="3"/>
  <c r="AH46" i="3"/>
  <c r="AX46" i="3"/>
  <c r="AY46" i="3" s="1"/>
  <c r="J48" i="3"/>
  <c r="Z48" i="3"/>
  <c r="AP48" i="3"/>
  <c r="R50" i="3"/>
  <c r="AH50" i="3"/>
  <c r="AI50" i="3" s="1"/>
  <c r="AX50" i="3"/>
  <c r="J57" i="3"/>
  <c r="K57" i="3" s="1"/>
  <c r="AH57" i="3"/>
  <c r="AI57" i="3" s="1"/>
  <c r="D67" i="3"/>
  <c r="D69" i="3" s="1"/>
  <c r="D41" i="3"/>
  <c r="H67" i="3"/>
  <c r="H69" i="3" s="1"/>
  <c r="H41" i="3"/>
  <c r="L67" i="3"/>
  <c r="L41" i="3"/>
  <c r="P67" i="3"/>
  <c r="P69" i="3" s="1"/>
  <c r="P41" i="3"/>
  <c r="T67" i="3"/>
  <c r="T69" i="3" s="1"/>
  <c r="T41" i="3"/>
  <c r="X67" i="3"/>
  <c r="X69" i="3" s="1"/>
  <c r="X41" i="3"/>
  <c r="AB67" i="3"/>
  <c r="AB69" i="3" s="1"/>
  <c r="AB41" i="3"/>
  <c r="AF95" i="3"/>
  <c r="AF67" i="3"/>
  <c r="AF69" i="3" s="1"/>
  <c r="AF41" i="3"/>
  <c r="AJ95" i="3"/>
  <c r="AJ67" i="3"/>
  <c r="AJ69" i="3" s="1"/>
  <c r="AJ41" i="3"/>
  <c r="AN95" i="3"/>
  <c r="AN67" i="3"/>
  <c r="AN69" i="3" s="1"/>
  <c r="AN41" i="3"/>
  <c r="AR95" i="3"/>
  <c r="AR67" i="3"/>
  <c r="AR69" i="3" s="1"/>
  <c r="AR41" i="3"/>
  <c r="AV95" i="3"/>
  <c r="AV67" i="3"/>
  <c r="AV69" i="3" s="1"/>
  <c r="AV41" i="3"/>
  <c r="AZ95" i="3"/>
  <c r="AZ67" i="3"/>
  <c r="AZ69" i="3" s="1"/>
  <c r="AZ41" i="3"/>
  <c r="BR35" i="3"/>
  <c r="BR137" i="3" s="1"/>
  <c r="CJ35" i="3"/>
  <c r="CJ137" i="3" s="1"/>
  <c r="CN35" i="3"/>
  <c r="CN137" i="3" s="1"/>
  <c r="CR35" i="3"/>
  <c r="CR137" i="3" s="1"/>
  <c r="CJ37" i="3"/>
  <c r="CJ139" i="3" s="1"/>
  <c r="CN37" i="3"/>
  <c r="CN139" i="3" s="1"/>
  <c r="N38" i="3"/>
  <c r="AD38" i="3"/>
  <c r="AT38" i="3"/>
  <c r="N40" i="3"/>
  <c r="I52" i="3"/>
  <c r="J44" i="3"/>
  <c r="Q52" i="3"/>
  <c r="R44" i="3"/>
  <c r="AH44" i="3"/>
  <c r="AO52" i="3"/>
  <c r="AP44" i="3"/>
  <c r="AW52" i="3"/>
  <c r="AX44" i="3"/>
  <c r="J45" i="3"/>
  <c r="K45" i="3" s="1"/>
  <c r="Z45" i="3"/>
  <c r="AA45" i="3" s="1"/>
  <c r="AP45" i="3"/>
  <c r="AQ45" i="3" s="1"/>
  <c r="F46" i="3"/>
  <c r="G46" i="3" s="1"/>
  <c r="V46" i="3"/>
  <c r="W46" i="3" s="1"/>
  <c r="AL46" i="3"/>
  <c r="CT46" i="3"/>
  <c r="CT148" i="3" s="1"/>
  <c r="CC46" i="3"/>
  <c r="CC148" i="3" s="1"/>
  <c r="R47" i="3"/>
  <c r="S47" i="3" s="1"/>
  <c r="AX47" i="3"/>
  <c r="AY47" i="3" s="1"/>
  <c r="N48" i="3"/>
  <c r="AD48" i="3"/>
  <c r="AT48" i="3"/>
  <c r="AU48" i="3" s="1"/>
  <c r="J49" i="3"/>
  <c r="K49" i="3" s="1"/>
  <c r="Z49" i="3"/>
  <c r="AA49" i="3" s="1"/>
  <c r="AP49" i="3"/>
  <c r="AQ49" i="3" s="1"/>
  <c r="BZ49" i="3" s="1"/>
  <c r="BZ151" i="3" s="1"/>
  <c r="F50" i="3"/>
  <c r="G50" i="3" s="1"/>
  <c r="V50" i="3"/>
  <c r="W50" i="3" s="1"/>
  <c r="AL50" i="3"/>
  <c r="AM50" i="3" s="1"/>
  <c r="CC50" i="3"/>
  <c r="CC152" i="3" s="1"/>
  <c r="AH51" i="3"/>
  <c r="AI51" i="3" s="1"/>
  <c r="AX51" i="3"/>
  <c r="AY51" i="3" s="1"/>
  <c r="AL57" i="3"/>
  <c r="AM57" i="3" s="1"/>
  <c r="BY57" i="3" s="1"/>
  <c r="BY159" i="3" s="1"/>
  <c r="AX57" i="3"/>
  <c r="AY57" i="3" s="1"/>
  <c r="CB47" i="3"/>
  <c r="CK54" i="3"/>
  <c r="CK156" i="3" s="1"/>
  <c r="CO54" i="3"/>
  <c r="CO156" i="3" s="1"/>
  <c r="CS54" i="3"/>
  <c r="CS156" i="3" s="1"/>
  <c r="BR57" i="3"/>
  <c r="BR159" i="3" s="1"/>
  <c r="AF52" i="3"/>
  <c r="AV52" i="3"/>
  <c r="BT54" i="3"/>
  <c r="BT156" i="3" s="1"/>
  <c r="BX54" i="3"/>
  <c r="BX156" i="3" s="1"/>
  <c r="CB54" i="3"/>
  <c r="CB156" i="3" s="1"/>
  <c r="CT54" i="3"/>
  <c r="CT156" i="3" s="1"/>
  <c r="BS57" i="3"/>
  <c r="BS159" i="3" s="1"/>
  <c r="CB74" i="3"/>
  <c r="CB77" i="3" s="1"/>
  <c r="BH69" i="3"/>
  <c r="E45" i="3"/>
  <c r="U45" i="3"/>
  <c r="AK45" i="3"/>
  <c r="BA45" i="3"/>
  <c r="M47" i="3"/>
  <c r="AC47" i="3"/>
  <c r="AS47" i="3"/>
  <c r="E49" i="3"/>
  <c r="U49" i="3"/>
  <c r="AK49" i="3"/>
  <c r="BA49" i="3"/>
  <c r="M51" i="3"/>
  <c r="AC51" i="3"/>
  <c r="AS51" i="3"/>
  <c r="F54" i="3"/>
  <c r="G54" i="3" s="1"/>
  <c r="J54" i="3"/>
  <c r="K54" i="3" s="1"/>
  <c r="N54" i="3"/>
  <c r="O54" i="3" s="1"/>
  <c r="V54" i="3"/>
  <c r="W54" i="3" s="1"/>
  <c r="Z54" i="3"/>
  <c r="AA54" i="3" s="1"/>
  <c r="AD54" i="3"/>
  <c r="AE54" i="3" s="1"/>
  <c r="AL54" i="3"/>
  <c r="AM54" i="3" s="1"/>
  <c r="AP54" i="3"/>
  <c r="AQ54" i="3" s="1"/>
  <c r="AT54" i="3"/>
  <c r="AU54" i="3" s="1"/>
  <c r="CI54" i="3"/>
  <c r="CI156" i="3" s="1"/>
  <c r="CJ57" i="3"/>
  <c r="CJ159" i="3" s="1"/>
  <c r="CN57" i="3"/>
  <c r="CN159" i="3" s="1"/>
  <c r="CR57" i="3"/>
  <c r="Y57" i="3"/>
  <c r="AO57" i="3"/>
  <c r="BT74" i="3"/>
  <c r="BT77" i="3" s="1"/>
  <c r="BX74" i="3"/>
  <c r="BX77" i="3" s="1"/>
  <c r="E57" i="3"/>
  <c r="U57" i="3"/>
  <c r="BR74" i="3"/>
  <c r="BR77" i="3" s="1"/>
  <c r="BV74" i="3"/>
  <c r="BV77" i="3" s="1"/>
  <c r="CH74" i="3"/>
  <c r="CH77" i="3" s="1"/>
  <c r="CL74" i="3"/>
  <c r="CL77" i="3" s="1"/>
  <c r="CP74" i="3"/>
  <c r="CP77" i="3" s="1"/>
  <c r="BU74" i="3"/>
  <c r="BU77" i="3" s="1"/>
  <c r="CK74" i="3"/>
  <c r="CK77" i="3" s="1"/>
  <c r="CO74" i="3"/>
  <c r="CO77" i="3" s="1"/>
  <c r="CS74" i="3"/>
  <c r="CS77" i="3" s="1"/>
  <c r="AG143" i="3"/>
  <c r="AR143" i="3"/>
  <c r="AJ143" i="3"/>
  <c r="AK138" i="3"/>
  <c r="AK36" i="3" s="1"/>
  <c r="AW154" i="3"/>
  <c r="BQ98" i="2"/>
  <c r="CC25" i="2"/>
  <c r="CC21" i="2"/>
  <c r="BA98" i="2"/>
  <c r="BA27" i="2"/>
  <c r="BA72" i="3" s="1"/>
  <c r="K148" i="2"/>
  <c r="K101" i="2"/>
  <c r="K52" i="2"/>
  <c r="K63" i="2" s="1"/>
  <c r="K80" i="2" s="1"/>
  <c r="W148" i="2"/>
  <c r="W52" i="2"/>
  <c r="W63" i="2" s="1"/>
  <c r="W80" i="2" s="1"/>
  <c r="W101" i="2"/>
  <c r="AI148" i="2"/>
  <c r="AI101" i="2"/>
  <c r="AI52" i="2"/>
  <c r="AI63" i="2" s="1"/>
  <c r="AI80" i="2" s="1"/>
  <c r="AY148" i="2"/>
  <c r="AY101" i="2"/>
  <c r="AY52" i="2"/>
  <c r="AY63" i="2" s="1"/>
  <c r="AY80" i="2" s="1"/>
  <c r="BK148" i="2"/>
  <c r="BK101" i="2"/>
  <c r="BK52" i="2"/>
  <c r="BK63" i="2" s="1"/>
  <c r="BK80" i="2" s="1"/>
  <c r="CB148" i="2"/>
  <c r="CB101" i="2"/>
  <c r="CB52" i="2"/>
  <c r="CB63" i="2" s="1"/>
  <c r="CB80" i="2" s="1"/>
  <c r="CT23" i="2"/>
  <c r="BE23" i="2"/>
  <c r="BF23" i="2" s="1"/>
  <c r="BG23" i="2" s="1"/>
  <c r="Q27" i="2"/>
  <c r="Q72" i="3" s="1"/>
  <c r="AW27" i="2"/>
  <c r="BV17" i="2"/>
  <c r="CK17" i="2"/>
  <c r="CO17" i="2"/>
  <c r="CS17" i="2"/>
  <c r="CL16" i="2"/>
  <c r="CP16" i="2"/>
  <c r="CP17" i="2" s="1"/>
  <c r="H17" i="2"/>
  <c r="X17" i="2"/>
  <c r="AN17" i="2"/>
  <c r="D27" i="2"/>
  <c r="L27" i="2"/>
  <c r="L72" i="3" s="1"/>
  <c r="T27" i="2"/>
  <c r="AB27" i="2"/>
  <c r="AJ27" i="2"/>
  <c r="AR27" i="2"/>
  <c r="BY36" i="2"/>
  <c r="BY37" i="2" s="1"/>
  <c r="BY47" i="2" s="1"/>
  <c r="CC36" i="2"/>
  <c r="CQ37" i="2"/>
  <c r="CQ47" i="2" s="1"/>
  <c r="CR36" i="2"/>
  <c r="CR37" i="2" s="1"/>
  <c r="CR47" i="2" s="1"/>
  <c r="AN37" i="2"/>
  <c r="AN47" i="2" s="1"/>
  <c r="AZ37" i="2"/>
  <c r="AZ47" i="2" s="1"/>
  <c r="AZ49" i="2" s="1"/>
  <c r="CC40" i="2"/>
  <c r="BQ94" i="2"/>
  <c r="BU94" i="2"/>
  <c r="BY93" i="2"/>
  <c r="BY94" i="2"/>
  <c r="BE56" i="2"/>
  <c r="BQ68" i="2"/>
  <c r="BQ74" i="2" s="1"/>
  <c r="BQ77" i="2" s="1"/>
  <c r="BU68" i="2"/>
  <c r="BU74" i="2" s="1"/>
  <c r="BY68" i="2"/>
  <c r="BY74" i="2" s="1"/>
  <c r="BY77" i="2" s="1"/>
  <c r="S148" i="2"/>
  <c r="S101" i="2"/>
  <c r="S52" i="2"/>
  <c r="S63" i="2" s="1"/>
  <c r="S80" i="2" s="1"/>
  <c r="AE148" i="2"/>
  <c r="AE101" i="2"/>
  <c r="AE52" i="2"/>
  <c r="AE63" i="2" s="1"/>
  <c r="AE80" i="2" s="1"/>
  <c r="AQ148" i="2"/>
  <c r="AQ101" i="2"/>
  <c r="AQ52" i="2"/>
  <c r="AQ63" i="2" s="1"/>
  <c r="AQ80" i="2" s="1"/>
  <c r="BC148" i="2"/>
  <c r="BC52" i="2"/>
  <c r="BC63" i="2" s="1"/>
  <c r="BC80" i="2" s="1"/>
  <c r="BC101" i="2"/>
  <c r="BT148" i="2"/>
  <c r="BT101" i="2"/>
  <c r="BT52" i="2"/>
  <c r="BT63" i="2" s="1"/>
  <c r="BT80" i="2" s="1"/>
  <c r="AH98" i="2"/>
  <c r="AH27" i="2"/>
  <c r="CJ94" i="2"/>
  <c r="CJ93" i="2"/>
  <c r="I49" i="2"/>
  <c r="BC85" i="2"/>
  <c r="CB17" i="2"/>
  <c r="CH98" i="2"/>
  <c r="CH27" i="2"/>
  <c r="CH49" i="2" s="1"/>
  <c r="CL17" i="2"/>
  <c r="CM98" i="2"/>
  <c r="AE98" i="2"/>
  <c r="AE27" i="2"/>
  <c r="G57" i="2"/>
  <c r="G17" i="2"/>
  <c r="BR16" i="2"/>
  <c r="BR17" i="2" s="1"/>
  <c r="K17" i="2"/>
  <c r="O57" i="2"/>
  <c r="O17" i="2"/>
  <c r="BS16" i="2"/>
  <c r="S98" i="2"/>
  <c r="S27" i="2"/>
  <c r="S72" i="3" s="1"/>
  <c r="W57" i="2"/>
  <c r="W17" i="2"/>
  <c r="AM57" i="2"/>
  <c r="AM17" i="2"/>
  <c r="AU57" i="2"/>
  <c r="AU17" i="2"/>
  <c r="CA16" i="2"/>
  <c r="CC22" i="2"/>
  <c r="CC23" i="2"/>
  <c r="E27" i="2"/>
  <c r="E72" i="3" s="1"/>
  <c r="U27" i="2"/>
  <c r="U72" i="3" s="1"/>
  <c r="AC27" i="2"/>
  <c r="AK27" i="2"/>
  <c r="BR37" i="2"/>
  <c r="BR47" i="2" s="1"/>
  <c r="CJ37" i="2"/>
  <c r="CJ47" i="2" s="1"/>
  <c r="CN37" i="2"/>
  <c r="CN98" i="2" s="1"/>
  <c r="S57" i="2"/>
  <c r="AQ57" i="2"/>
  <c r="G148" i="2"/>
  <c r="G52" i="2"/>
  <c r="G63" i="2" s="1"/>
  <c r="G80" i="2" s="1"/>
  <c r="G101" i="2"/>
  <c r="O148" i="2"/>
  <c r="O101" i="2"/>
  <c r="O52" i="2"/>
  <c r="O63" i="2" s="1"/>
  <c r="O80" i="2" s="1"/>
  <c r="AA148" i="2"/>
  <c r="AA101" i="2"/>
  <c r="AA52" i="2"/>
  <c r="AA63" i="2" s="1"/>
  <c r="AA80" i="2" s="1"/>
  <c r="AM148" i="2"/>
  <c r="AM101" i="2"/>
  <c r="AM52" i="2"/>
  <c r="AM63" i="2" s="1"/>
  <c r="AM80" i="2" s="1"/>
  <c r="AU148" i="2"/>
  <c r="AU101" i="2"/>
  <c r="AU52" i="2"/>
  <c r="AU63" i="2" s="1"/>
  <c r="AU80" i="2" s="1"/>
  <c r="BG148" i="2"/>
  <c r="BG101" i="2"/>
  <c r="BG52" i="2"/>
  <c r="BG63" i="2" s="1"/>
  <c r="BG80" i="2" s="1"/>
  <c r="BX148" i="2"/>
  <c r="BX52" i="2"/>
  <c r="BX63" i="2" s="1"/>
  <c r="BX80" i="2" s="1"/>
  <c r="BX101" i="2"/>
  <c r="BA84" i="2"/>
  <c r="CN94" i="2"/>
  <c r="CR94" i="2"/>
  <c r="CR95" i="2" s="1"/>
  <c r="CR93" i="2"/>
  <c r="F148" i="2"/>
  <c r="F101" i="2"/>
  <c r="J148" i="2"/>
  <c r="J101" i="2"/>
  <c r="J52" i="2"/>
  <c r="J63" i="2" s="1"/>
  <c r="J80" i="2" s="1"/>
  <c r="N148" i="2"/>
  <c r="N101" i="2"/>
  <c r="R148" i="2"/>
  <c r="R101" i="2"/>
  <c r="R52" i="2"/>
  <c r="R63" i="2" s="1"/>
  <c r="R80" i="2" s="1"/>
  <c r="V148" i="2"/>
  <c r="V101" i="2"/>
  <c r="Z148" i="2"/>
  <c r="Z101" i="2"/>
  <c r="Z52" i="2"/>
  <c r="Z63" i="2" s="1"/>
  <c r="Z80" i="2" s="1"/>
  <c r="AD148" i="2"/>
  <c r="AD101" i="2"/>
  <c r="AH148" i="2"/>
  <c r="AH101" i="2"/>
  <c r="AH52" i="2"/>
  <c r="AH63" i="2" s="1"/>
  <c r="AH80" i="2" s="1"/>
  <c r="AL148" i="2"/>
  <c r="AL101" i="2"/>
  <c r="AP148" i="2"/>
  <c r="AP101" i="2"/>
  <c r="AP52" i="2"/>
  <c r="AP63" i="2" s="1"/>
  <c r="AP80" i="2" s="1"/>
  <c r="AT148" i="2"/>
  <c r="AT101" i="2"/>
  <c r="AX148" i="2"/>
  <c r="AX101" i="2"/>
  <c r="AX52" i="2"/>
  <c r="AX63" i="2" s="1"/>
  <c r="AX80" i="2" s="1"/>
  <c r="BB148" i="2"/>
  <c r="BB101" i="2"/>
  <c r="BF148" i="2"/>
  <c r="BF101" i="2"/>
  <c r="BF52" i="2"/>
  <c r="BF63" i="2" s="1"/>
  <c r="BF80" i="2" s="1"/>
  <c r="BJ148" i="2"/>
  <c r="BJ101" i="2"/>
  <c r="BJ52" i="2"/>
  <c r="BJ63" i="2" s="1"/>
  <c r="BJ80" i="2" s="1"/>
  <c r="BS148" i="2"/>
  <c r="BS101" i="2"/>
  <c r="BS52" i="2"/>
  <c r="BS63" i="2" s="1"/>
  <c r="BS80" i="2" s="1"/>
  <c r="BW148" i="2"/>
  <c r="BW101" i="2"/>
  <c r="BW52" i="2"/>
  <c r="BW63" i="2" s="1"/>
  <c r="BW80" i="2" s="1"/>
  <c r="CA148" i="2"/>
  <c r="CA101" i="2"/>
  <c r="CA52" i="2"/>
  <c r="CA63" i="2" s="1"/>
  <c r="CA80" i="2" s="1"/>
  <c r="CE148" i="2"/>
  <c r="CE101" i="2"/>
  <c r="CE52" i="2"/>
  <c r="CE63" i="2" s="1"/>
  <c r="CE80" i="2" s="1"/>
  <c r="CC12" i="2"/>
  <c r="BU16" i="2"/>
  <c r="BY16" i="2"/>
  <c r="BY17" i="2" s="1"/>
  <c r="AQ85" i="2"/>
  <c r="BZ12" i="2"/>
  <c r="BZ17" i="2" s="1"/>
  <c r="AQ17" i="2"/>
  <c r="CI16" i="2"/>
  <c r="P57" i="2"/>
  <c r="CJ16" i="2"/>
  <c r="AR57" i="2"/>
  <c r="CQ16" i="2"/>
  <c r="AV57" i="2"/>
  <c r="CR16" i="2"/>
  <c r="P17" i="2"/>
  <c r="AV17" i="2"/>
  <c r="AF27" i="2"/>
  <c r="CT32" i="2"/>
  <c r="BE32" i="2"/>
  <c r="BF32" i="2" s="1"/>
  <c r="BG32" i="2" s="1"/>
  <c r="CC33" i="2"/>
  <c r="CC34" i="2"/>
  <c r="CC35" i="2"/>
  <c r="CT36" i="2"/>
  <c r="BE36" i="2"/>
  <c r="BF36" i="2" s="1"/>
  <c r="BG36" i="2" s="1"/>
  <c r="BV37" i="2"/>
  <c r="BV47" i="2" s="1"/>
  <c r="CC42" i="2"/>
  <c r="CT41" i="2"/>
  <c r="CI94" i="2"/>
  <c r="CM94" i="2"/>
  <c r="CM47" i="2"/>
  <c r="CM49" i="2" s="1"/>
  <c r="CQ94" i="2"/>
  <c r="BA54" i="2"/>
  <c r="G55" i="2"/>
  <c r="G54" i="2" s="1"/>
  <c r="G56" i="2"/>
  <c r="K55" i="2"/>
  <c r="K54" i="2" s="1"/>
  <c r="K56" i="2"/>
  <c r="O55" i="2"/>
  <c r="O54" i="2" s="1"/>
  <c r="O56" i="2"/>
  <c r="S55" i="2"/>
  <c r="S54" i="2" s="1"/>
  <c r="S56" i="2"/>
  <c r="W55" i="2"/>
  <c r="W54" i="2" s="1"/>
  <c r="W56" i="2"/>
  <c r="AA55" i="2"/>
  <c r="AA54" i="2" s="1"/>
  <c r="AA56" i="2"/>
  <c r="AE55" i="2"/>
  <c r="AE54" i="2" s="1"/>
  <c r="AE56" i="2"/>
  <c r="AI55" i="2"/>
  <c r="AI54" i="2" s="1"/>
  <c r="AI56" i="2"/>
  <c r="AM55" i="2"/>
  <c r="AM54" i="2" s="1"/>
  <c r="AM56" i="2"/>
  <c r="AQ55" i="2"/>
  <c r="AQ54" i="2" s="1"/>
  <c r="AQ56" i="2"/>
  <c r="AU55" i="2"/>
  <c r="AU56" i="2"/>
  <c r="AY55" i="2"/>
  <c r="AY54" i="2" s="1"/>
  <c r="AY56" i="2"/>
  <c r="F74" i="2"/>
  <c r="F77" i="2" s="1"/>
  <c r="J74" i="2"/>
  <c r="J77" i="2" s="1"/>
  <c r="R77" i="2"/>
  <c r="AD77" i="2"/>
  <c r="AZ106" i="2"/>
  <c r="BA106" i="2" s="1"/>
  <c r="BB106" i="2" s="1"/>
  <c r="BC106" i="2" s="1"/>
  <c r="CB106" i="2"/>
  <c r="E148" i="2"/>
  <c r="E101" i="2"/>
  <c r="I148" i="2"/>
  <c r="I101" i="2"/>
  <c r="M148" i="2"/>
  <c r="M101" i="2"/>
  <c r="Q148" i="2"/>
  <c r="Q101" i="2"/>
  <c r="U148" i="2"/>
  <c r="U101" i="2"/>
  <c r="Y148" i="2"/>
  <c r="Y101" i="2"/>
  <c r="AC148" i="2"/>
  <c r="AC101" i="2"/>
  <c r="AG148" i="2"/>
  <c r="AG101" i="2"/>
  <c r="AK148" i="2"/>
  <c r="AK101" i="2"/>
  <c r="AO148" i="2"/>
  <c r="AO101" i="2"/>
  <c r="AS148" i="2"/>
  <c r="AS101" i="2"/>
  <c r="AW148" i="2"/>
  <c r="AW101" i="2"/>
  <c r="BA148" i="2"/>
  <c r="BA101" i="2"/>
  <c r="BE148" i="2"/>
  <c r="BE101" i="2"/>
  <c r="BI148" i="2"/>
  <c r="BI101" i="2"/>
  <c r="BR148" i="2"/>
  <c r="BR101" i="2"/>
  <c r="BV148" i="2"/>
  <c r="BV101" i="2"/>
  <c r="BZ148" i="2"/>
  <c r="BZ101" i="2"/>
  <c r="CD148" i="2"/>
  <c r="CD101" i="2"/>
  <c r="AA98" i="2"/>
  <c r="AY98" i="2"/>
  <c r="BX23" i="2"/>
  <c r="AA27" i="2"/>
  <c r="AY27" i="2"/>
  <c r="BT37" i="2"/>
  <c r="BT47" i="2" s="1"/>
  <c r="BX37" i="2"/>
  <c r="BX47" i="2" s="1"/>
  <c r="CB37" i="2"/>
  <c r="CB47" i="2" s="1"/>
  <c r="BA87" i="2"/>
  <c r="BA47" i="2"/>
  <c r="BC87" i="2"/>
  <c r="BQ87" i="2"/>
  <c r="BU87" i="2"/>
  <c r="BS94" i="2"/>
  <c r="BS47" i="2"/>
  <c r="CA47" i="2"/>
  <c r="BB64" i="2"/>
  <c r="I77" i="2"/>
  <c r="M77" i="2"/>
  <c r="Y77" i="2"/>
  <c r="AC77" i="2"/>
  <c r="AW77" i="2"/>
  <c r="BA77" i="2"/>
  <c r="F86" i="2"/>
  <c r="F88" i="2" s="1"/>
  <c r="J86" i="2"/>
  <c r="J88" i="2" s="1"/>
  <c r="V86" i="2"/>
  <c r="V88" i="2" s="1"/>
  <c r="Z86" i="2"/>
  <c r="Z88" i="2" s="1"/>
  <c r="AD152" i="2"/>
  <c r="AD154" i="2" s="1"/>
  <c r="AH152" i="2"/>
  <c r="AH154" i="2" s="1"/>
  <c r="AL150" i="2"/>
  <c r="AL152" i="2" s="1"/>
  <c r="AL86" i="2"/>
  <c r="AP150" i="2"/>
  <c r="AP152" i="2" s="1"/>
  <c r="AP86" i="2"/>
  <c r="AT86" i="2"/>
  <c r="BX106" i="2"/>
  <c r="AJ106" i="2"/>
  <c r="AK106" i="2" s="1"/>
  <c r="AL106" i="2" s="1"/>
  <c r="AM106" i="2" s="1"/>
  <c r="CO68" i="2"/>
  <c r="CO74" i="2" s="1"/>
  <c r="G74" i="2"/>
  <c r="G77" i="2" s="1"/>
  <c r="K74" i="2"/>
  <c r="K77" i="2" s="1"/>
  <c r="O74" i="2"/>
  <c r="O77" i="2" s="1"/>
  <c r="S74" i="2"/>
  <c r="S77" i="2" s="1"/>
  <c r="W74" i="2"/>
  <c r="AA74" i="2"/>
  <c r="AA77" i="2" s="1"/>
  <c r="AE74" i="2"/>
  <c r="AE77" i="2" s="1"/>
  <c r="AI74" i="2"/>
  <c r="AI77" i="2" s="1"/>
  <c r="AM74" i="2"/>
  <c r="AM77" i="2" s="1"/>
  <c r="CL77" i="2"/>
  <c r="BC141" i="2"/>
  <c r="BD131" i="2"/>
  <c r="BE131" i="2" s="1"/>
  <c r="BF131" i="2" s="1"/>
  <c r="BG131" i="2" s="1"/>
  <c r="BH131" i="2" s="1"/>
  <c r="BI131" i="2" s="1"/>
  <c r="BJ131" i="2" s="1"/>
  <c r="BK131" i="2" s="1"/>
  <c r="BL131" i="2" s="1"/>
  <c r="BM131" i="2" s="1"/>
  <c r="BN131" i="2" s="1"/>
  <c r="BO131" i="2" s="1"/>
  <c r="D148" i="2"/>
  <c r="D101" i="2"/>
  <c r="D52" i="2"/>
  <c r="D63" i="2" s="1"/>
  <c r="D80" i="2" s="1"/>
  <c r="H148" i="2"/>
  <c r="H101" i="2"/>
  <c r="H52" i="2"/>
  <c r="H63" i="2" s="1"/>
  <c r="H80" i="2" s="1"/>
  <c r="L148" i="2"/>
  <c r="L101" i="2"/>
  <c r="L52" i="2"/>
  <c r="L63" i="2" s="1"/>
  <c r="L80" i="2" s="1"/>
  <c r="P148" i="2"/>
  <c r="P101" i="2"/>
  <c r="P52" i="2"/>
  <c r="P63" i="2" s="1"/>
  <c r="P80" i="2" s="1"/>
  <c r="T148" i="2"/>
  <c r="T101" i="2"/>
  <c r="T52" i="2"/>
  <c r="T63" i="2" s="1"/>
  <c r="T80" i="2" s="1"/>
  <c r="X148" i="2"/>
  <c r="X101" i="2"/>
  <c r="X52" i="2"/>
  <c r="X63" i="2" s="1"/>
  <c r="X80" i="2" s="1"/>
  <c r="AB148" i="2"/>
  <c r="AB101" i="2"/>
  <c r="AB52" i="2"/>
  <c r="AB63" i="2" s="1"/>
  <c r="AB80" i="2" s="1"/>
  <c r="AF148" i="2"/>
  <c r="AF101" i="2"/>
  <c r="AF52" i="2"/>
  <c r="AF63" i="2" s="1"/>
  <c r="AF80" i="2" s="1"/>
  <c r="AJ148" i="2"/>
  <c r="AJ101" i="2"/>
  <c r="AJ52" i="2"/>
  <c r="AJ63" i="2" s="1"/>
  <c r="AJ80" i="2" s="1"/>
  <c r="AN148" i="2"/>
  <c r="AN101" i="2"/>
  <c r="AN52" i="2"/>
  <c r="AN63" i="2" s="1"/>
  <c r="AN80" i="2" s="1"/>
  <c r="AR148" i="2"/>
  <c r="AR101" i="2"/>
  <c r="AR52" i="2"/>
  <c r="AR63" i="2" s="1"/>
  <c r="AR80" i="2" s="1"/>
  <c r="AV148" i="2"/>
  <c r="AV101" i="2"/>
  <c r="AV52" i="2"/>
  <c r="AV63" i="2" s="1"/>
  <c r="AV80" i="2" s="1"/>
  <c r="AZ148" i="2"/>
  <c r="AZ101" i="2"/>
  <c r="AZ52" i="2"/>
  <c r="AZ63" i="2" s="1"/>
  <c r="AZ80" i="2" s="1"/>
  <c r="BD148" i="2"/>
  <c r="BD101" i="2"/>
  <c r="BD52" i="2"/>
  <c r="BD63" i="2" s="1"/>
  <c r="BD80" i="2" s="1"/>
  <c r="BH148" i="2"/>
  <c r="BH101" i="2"/>
  <c r="BH52" i="2"/>
  <c r="BH63" i="2" s="1"/>
  <c r="BH80" i="2" s="1"/>
  <c r="BQ148" i="2"/>
  <c r="BQ101" i="2"/>
  <c r="BQ52" i="2"/>
  <c r="BQ63" i="2" s="1"/>
  <c r="BQ80" i="2" s="1"/>
  <c r="BU148" i="2"/>
  <c r="BU101" i="2"/>
  <c r="BU52" i="2"/>
  <c r="BU63" i="2" s="1"/>
  <c r="BU80" i="2" s="1"/>
  <c r="BY148" i="2"/>
  <c r="BY101" i="2"/>
  <c r="BY52" i="2"/>
  <c r="BY63" i="2" s="1"/>
  <c r="BY80" i="2" s="1"/>
  <c r="CC148" i="2"/>
  <c r="CC101" i="2"/>
  <c r="CC52" i="2"/>
  <c r="CC63" i="2" s="1"/>
  <c r="CC80" i="2" s="1"/>
  <c r="F98" i="2"/>
  <c r="J98" i="2"/>
  <c r="N98" i="2"/>
  <c r="F27" i="2"/>
  <c r="J27" i="2"/>
  <c r="N27" i="2"/>
  <c r="R27" i="2"/>
  <c r="V27" i="2"/>
  <c r="Z27" i="2"/>
  <c r="AD27" i="2"/>
  <c r="AL27" i="2"/>
  <c r="AP27" i="2"/>
  <c r="AT27" i="2"/>
  <c r="AX27" i="2"/>
  <c r="BR94" i="2"/>
  <c r="BV94" i="2"/>
  <c r="BZ94" i="2"/>
  <c r="BZ95" i="2" s="1"/>
  <c r="BZ93" i="2"/>
  <c r="BZ47" i="2"/>
  <c r="CK47" i="2"/>
  <c r="CO47" i="2"/>
  <c r="CS47" i="2"/>
  <c r="I52" i="2"/>
  <c r="I63" i="2" s="1"/>
  <c r="I80" i="2" s="1"/>
  <c r="Q52" i="2"/>
  <c r="Q63" i="2" s="1"/>
  <c r="Q80" i="2" s="1"/>
  <c r="Y52" i="2"/>
  <c r="Y63" i="2" s="1"/>
  <c r="Y80" i="2" s="1"/>
  <c r="AG52" i="2"/>
  <c r="AG63" i="2" s="1"/>
  <c r="AG80" i="2" s="1"/>
  <c r="AO52" i="2"/>
  <c r="AO63" i="2" s="1"/>
  <c r="AO80" i="2" s="1"/>
  <c r="AW52" i="2"/>
  <c r="AW63" i="2" s="1"/>
  <c r="AW80" i="2" s="1"/>
  <c r="BE52" i="2"/>
  <c r="BE63" i="2" s="1"/>
  <c r="BE80" i="2" s="1"/>
  <c r="BR52" i="2"/>
  <c r="BR63" i="2" s="1"/>
  <c r="BR80" i="2" s="1"/>
  <c r="BZ52" i="2"/>
  <c r="BZ63" i="2" s="1"/>
  <c r="BZ80" i="2" s="1"/>
  <c r="BV68" i="2"/>
  <c r="BV74" i="2" s="1"/>
  <c r="BV77" i="2" s="1"/>
  <c r="CH68" i="2"/>
  <c r="CH74" i="2" s="1"/>
  <c r="CH77" i="2" s="1"/>
  <c r="CP68" i="2"/>
  <c r="CP74" i="2" s="1"/>
  <c r="CP77" i="2" s="1"/>
  <c r="AT68" i="2"/>
  <c r="AT74" i="2" s="1"/>
  <c r="AT77" i="2" s="1"/>
  <c r="AH86" i="2"/>
  <c r="BS87" i="2"/>
  <c r="BS88" i="2" s="1"/>
  <c r="BT94" i="2"/>
  <c r="BX94" i="2"/>
  <c r="CB94" i="2"/>
  <c r="CH94" i="2"/>
  <c r="CL94" i="2"/>
  <c r="CL95" i="2" s="1"/>
  <c r="CP93" i="2"/>
  <c r="BT68" i="2"/>
  <c r="BT74" i="2" s="1"/>
  <c r="BT77" i="2" s="1"/>
  <c r="BX68" i="2"/>
  <c r="BX74" i="2" s="1"/>
  <c r="BX77" i="2" s="1"/>
  <c r="CB68" i="2"/>
  <c r="CB74" i="2" s="1"/>
  <c r="CB77" i="2" s="1"/>
  <c r="CJ68" i="2"/>
  <c r="CJ74" i="2" s="1"/>
  <c r="CN68" i="2"/>
  <c r="CN74" i="2" s="1"/>
  <c r="AK74" i="2"/>
  <c r="AK77" i="2" s="1"/>
  <c r="AY74" i="2"/>
  <c r="AY77" i="2" s="1"/>
  <c r="Q74" i="2"/>
  <c r="Q77" i="2" s="1"/>
  <c r="AG74" i="2"/>
  <c r="AG77" i="2" s="1"/>
  <c r="D77" i="2"/>
  <c r="H77" i="2"/>
  <c r="CI76" i="2"/>
  <c r="L77" i="2"/>
  <c r="CJ76" i="2"/>
  <c r="CJ77" i="2" s="1"/>
  <c r="CK76" i="2"/>
  <c r="CK77" i="2" s="1"/>
  <c r="T77" i="2"/>
  <c r="X77" i="2"/>
  <c r="CM76" i="2"/>
  <c r="AB77" i="2"/>
  <c r="CN76" i="2"/>
  <c r="CO76" i="2"/>
  <c r="AJ77" i="2"/>
  <c r="AN77" i="2"/>
  <c r="CQ76" i="2"/>
  <c r="AR77" i="2"/>
  <c r="CR76" i="2"/>
  <c r="AV77" i="2"/>
  <c r="CS76" i="2"/>
  <c r="AJ95" i="2"/>
  <c r="AN95" i="2"/>
  <c r="AR95" i="2"/>
  <c r="AV95" i="2"/>
  <c r="AZ95" i="2"/>
  <c r="BD108" i="2"/>
  <c r="BE108" i="2" s="1"/>
  <c r="BF108" i="2" s="1"/>
  <c r="BG108" i="2" s="1"/>
  <c r="CC108" i="2"/>
  <c r="BW94" i="2"/>
  <c r="CA94" i="2"/>
  <c r="CK94" i="2"/>
  <c r="CO94" i="2"/>
  <c r="CS94" i="2"/>
  <c r="BS68" i="2"/>
  <c r="BS74" i="2" s="1"/>
  <c r="BS77" i="2" s="1"/>
  <c r="BW68" i="2"/>
  <c r="BW74" i="2" s="1"/>
  <c r="BW77" i="2" s="1"/>
  <c r="CA68" i="2"/>
  <c r="CA74" i="2" s="1"/>
  <c r="CA77" i="2" s="1"/>
  <c r="CI68" i="2"/>
  <c r="CI74" i="2" s="1"/>
  <c r="CM68" i="2"/>
  <c r="CM74" i="2" s="1"/>
  <c r="P74" i="2"/>
  <c r="P77" i="2" s="1"/>
  <c r="AF74" i="2"/>
  <c r="AF77" i="2" s="1"/>
  <c r="W77" i="2"/>
  <c r="AQ77" i="2"/>
  <c r="BU77" i="2"/>
  <c r="AB86" i="2"/>
  <c r="AB88" i="2" s="1"/>
  <c r="AF86" i="2"/>
  <c r="AJ86" i="2"/>
  <c r="AN86" i="2"/>
  <c r="AR86" i="2"/>
  <c r="AV86" i="2"/>
  <c r="AV88" i="2" s="1"/>
  <c r="AV90" i="2" s="1"/>
  <c r="AZ86" i="2"/>
  <c r="AZ88" i="2" s="1"/>
  <c r="AZ90" i="2" s="1"/>
  <c r="BQ84" i="2"/>
  <c r="BQ86" i="2" s="1"/>
  <c r="BU84" i="2"/>
  <c r="BU86" i="2" s="1"/>
  <c r="BY84" i="2"/>
  <c r="F95" i="2"/>
  <c r="J95" i="2"/>
  <c r="N95" i="2"/>
  <c r="R95" i="2"/>
  <c r="V95" i="2"/>
  <c r="Z95" i="2"/>
  <c r="AD95" i="2"/>
  <c r="AH95" i="2"/>
  <c r="AL95" i="2"/>
  <c r="AP95" i="2"/>
  <c r="AT95" i="2"/>
  <c r="AX95" i="2"/>
  <c r="AQ95" i="2"/>
  <c r="AG103" i="2"/>
  <c r="AG136" i="2" s="1"/>
  <c r="AC86" i="2"/>
  <c r="AG86" i="2"/>
  <c r="AK86" i="2"/>
  <c r="AO86" i="2"/>
  <c r="AS86" i="2"/>
  <c r="AW86" i="2"/>
  <c r="AW88" i="2" s="1"/>
  <c r="AW90" i="2" s="1"/>
  <c r="BR84" i="2"/>
  <c r="BR86" i="2" s="1"/>
  <c r="BR88" i="2" s="1"/>
  <c r="BV84" i="2"/>
  <c r="BV86" i="2" s="1"/>
  <c r="BZ84" i="2"/>
  <c r="BW85" i="2"/>
  <c r="CA85" i="2"/>
  <c r="AJ105" i="2"/>
  <c r="AK105" i="2" s="1"/>
  <c r="BH106" i="2"/>
  <c r="CD106" i="2"/>
  <c r="BH107" i="2"/>
  <c r="BI107" i="2" s="1"/>
  <c r="BJ107" i="2" s="1"/>
  <c r="BK107" i="2" s="1"/>
  <c r="BW150" i="2"/>
  <c r="AE152" i="2"/>
  <c r="BX150" i="2"/>
  <c r="AI152" i="2"/>
  <c r="AM152" i="2"/>
  <c r="BY150" i="2"/>
  <c r="BZ150" i="2"/>
  <c r="CA150" i="2"/>
  <c r="AU152" i="2"/>
  <c r="CB150" i="2"/>
  <c r="AY152" i="2"/>
  <c r="S86" i="2"/>
  <c r="S88" i="2" s="1"/>
  <c r="AE86" i="2"/>
  <c r="AI86" i="2"/>
  <c r="AM86" i="2"/>
  <c r="AU86" i="2"/>
  <c r="AY86" i="2"/>
  <c r="BX84" i="2"/>
  <c r="BX86" i="2" s="1"/>
  <c r="CB84" i="2"/>
  <c r="BY85" i="2"/>
  <c r="E95" i="2"/>
  <c r="I95" i="2"/>
  <c r="M95" i="2"/>
  <c r="Q95" i="2"/>
  <c r="U95" i="2"/>
  <c r="Y95" i="2"/>
  <c r="AC95" i="2"/>
  <c r="AG95" i="2"/>
  <c r="AK95" i="2"/>
  <c r="AO95" i="2"/>
  <c r="AS95" i="2"/>
  <c r="AW95" i="2"/>
  <c r="BA95" i="2"/>
  <c r="CC107" i="2"/>
  <c r="BH105" i="2"/>
  <c r="BI105" i="2" s="1"/>
  <c r="CD105" i="2"/>
  <c r="AH129" i="2"/>
  <c r="CC127" i="2"/>
  <c r="CD127" i="2"/>
  <c r="AO132" i="2"/>
  <c r="AN142" i="2"/>
  <c r="AG138" i="2"/>
  <c r="BB140" i="2"/>
  <c r="BA141" i="2"/>
  <c r="BW133" i="2"/>
  <c r="AE143" i="2"/>
  <c r="BX133" i="2"/>
  <c r="AI143" i="2"/>
  <c r="BX143" i="2" s="1"/>
  <c r="AM143" i="2"/>
  <c r="BY133" i="2"/>
  <c r="AF136" i="2"/>
  <c r="AH128" i="2"/>
  <c r="BC130" i="2"/>
  <c r="BB141" i="2"/>
  <c r="AM142" i="2"/>
  <c r="BY126" i="2"/>
  <c r="AF138" i="2"/>
  <c r="BA140" i="2"/>
  <c r="CC131" i="1"/>
  <c r="AL132" i="1"/>
  <c r="AM132" i="1" s="1"/>
  <c r="CA131" i="1"/>
  <c r="BB159" i="1"/>
  <c r="CC156" i="1"/>
  <c r="CT156" i="1"/>
  <c r="BE157" i="1"/>
  <c r="CT157" i="1"/>
  <c r="CC157" i="1"/>
  <c r="AW159" i="1"/>
  <c r="F169" i="1"/>
  <c r="CB86" i="2" l="1"/>
  <c r="CS77" i="2"/>
  <c r="CI95" i="2"/>
  <c r="AI27" i="2"/>
  <c r="AI72" i="3" s="1"/>
  <c r="BU95" i="2"/>
  <c r="P52" i="3"/>
  <c r="CL38" i="3"/>
  <c r="CL140" i="3" s="1"/>
  <c r="BZ37" i="3"/>
  <c r="BZ139" i="3" s="1"/>
  <c r="AY36" i="3"/>
  <c r="CS36" i="3" s="1"/>
  <c r="CS138" i="3" s="1"/>
  <c r="BS46" i="3"/>
  <c r="BS148" i="3" s="1"/>
  <c r="CK45" i="3"/>
  <c r="CK147" i="3" s="1"/>
  <c r="BY19" i="3"/>
  <c r="BY121" i="3" s="1"/>
  <c r="BU18" i="3"/>
  <c r="BU120" i="3" s="1"/>
  <c r="AY42" i="21"/>
  <c r="CO77" i="2"/>
  <c r="BX15" i="2"/>
  <c r="BX17" i="2" s="1"/>
  <c r="BX98" i="2" s="1"/>
  <c r="CQ36" i="3"/>
  <c r="CQ138" i="3" s="1"/>
  <c r="BR24" i="3"/>
  <c r="BR126" i="3" s="1"/>
  <c r="CJ15" i="3"/>
  <c r="CJ117" i="3" s="1"/>
  <c r="BD89" i="21"/>
  <c r="BD42" i="21"/>
  <c r="AK51" i="3"/>
  <c r="AL51" i="3" s="1"/>
  <c r="AM51" i="3" s="1"/>
  <c r="CP51" i="3" s="1"/>
  <c r="CP153" i="3" s="1"/>
  <c r="Y52" i="3"/>
  <c r="CQ28" i="3"/>
  <c r="CQ130" i="3" s="1"/>
  <c r="CH21" i="3"/>
  <c r="CH123" i="3" s="1"/>
  <c r="BQ14" i="3"/>
  <c r="BQ116" i="3" s="1"/>
  <c r="BT17" i="3"/>
  <c r="BT119" i="3" s="1"/>
  <c r="BA70" i="3"/>
  <c r="AG52" i="3"/>
  <c r="CC37" i="3"/>
  <c r="CC139" i="3" s="1"/>
  <c r="CA17" i="3"/>
  <c r="CA119" i="3" s="1"/>
  <c r="AX16" i="3"/>
  <c r="AX70" i="3" s="1"/>
  <c r="R16" i="3"/>
  <c r="S16" i="3" s="1"/>
  <c r="S70" i="3" s="1"/>
  <c r="AH47" i="3"/>
  <c r="AP15" i="3"/>
  <c r="CN47" i="2"/>
  <c r="CN49" i="2" s="1"/>
  <c r="CD24" i="2"/>
  <c r="BU88" i="2"/>
  <c r="BQ88" i="2"/>
  <c r="BD21" i="21"/>
  <c r="BD35" i="21"/>
  <c r="AZ58" i="21"/>
  <c r="BD125" i="21"/>
  <c r="BD14" i="21"/>
  <c r="BD82" i="21"/>
  <c r="BC46" i="21"/>
  <c r="BC51" i="21" s="1"/>
  <c r="BC72" i="21"/>
  <c r="BD72" i="21" s="1"/>
  <c r="BV312" i="21"/>
  <c r="BR312" i="21"/>
  <c r="BS312" i="21"/>
  <c r="X195" i="21"/>
  <c r="AQ195" i="21"/>
  <c r="AM195" i="21"/>
  <c r="AJ195" i="21"/>
  <c r="M195" i="21"/>
  <c r="AW195" i="21"/>
  <c r="CC72" i="21"/>
  <c r="BA55" i="21"/>
  <c r="AR42" i="21"/>
  <c r="BB28" i="21"/>
  <c r="BB61" i="21"/>
  <c r="BB62" i="21" s="1"/>
  <c r="CQ54" i="3"/>
  <c r="CQ156" i="3" s="1"/>
  <c r="CB51" i="3"/>
  <c r="CB153" i="3" s="1"/>
  <c r="BT47" i="3"/>
  <c r="BT149" i="3" s="1"/>
  <c r="CR48" i="3"/>
  <c r="CS47" i="3"/>
  <c r="CB46" i="3"/>
  <c r="CB148" i="3" s="1"/>
  <c r="BT57" i="3"/>
  <c r="BT159" i="3" s="1"/>
  <c r="CS49" i="3"/>
  <c r="CS151" i="3" s="1"/>
  <c r="CR17" i="3"/>
  <c r="CR119" i="3" s="1"/>
  <c r="CB20" i="3"/>
  <c r="CB122" i="3" s="1"/>
  <c r="CK39" i="3"/>
  <c r="CK141" i="3" s="1"/>
  <c r="CB95" i="2"/>
  <c r="BV95" i="2"/>
  <c r="CM95" i="2"/>
  <c r="CN95" i="2"/>
  <c r="BQ95" i="2"/>
  <c r="BQ312" i="21"/>
  <c r="BW312" i="21"/>
  <c r="AL63" i="21"/>
  <c r="BC42" i="21"/>
  <c r="CP57" i="3"/>
  <c r="CR50" i="3"/>
  <c r="CR152" i="3" s="1"/>
  <c r="CM30" i="3"/>
  <c r="CM132" i="3" s="1"/>
  <c r="CI28" i="3"/>
  <c r="CI130" i="3" s="1"/>
  <c r="CN14" i="3"/>
  <c r="CN116" i="3" s="1"/>
  <c r="CS57" i="3"/>
  <c r="CK57" i="3"/>
  <c r="CK159" i="3" s="1"/>
  <c r="CN50" i="3"/>
  <c r="CN152" i="3" s="1"/>
  <c r="CB49" i="3"/>
  <c r="CB151" i="3" s="1"/>
  <c r="BY39" i="3"/>
  <c r="BY141" i="3" s="1"/>
  <c r="BW14" i="3"/>
  <c r="BW116" i="3" s="1"/>
  <c r="BQ20" i="3"/>
  <c r="BQ122" i="3" s="1"/>
  <c r="CM54" i="3"/>
  <c r="CM156" i="3" s="1"/>
  <c r="CA50" i="3"/>
  <c r="CA152" i="3" s="1"/>
  <c r="BW30" i="3"/>
  <c r="BW132" i="3" s="1"/>
  <c r="CJ19" i="3"/>
  <c r="CJ121" i="3" s="1"/>
  <c r="CI17" i="3"/>
  <c r="CI119" i="3" s="1"/>
  <c r="BS20" i="3"/>
  <c r="BS122" i="3" s="1"/>
  <c r="BB49" i="3"/>
  <c r="BC49" i="3" s="1"/>
  <c r="BB45" i="3"/>
  <c r="BC45" i="3" s="1"/>
  <c r="CI39" i="3"/>
  <c r="CI141" i="3" s="1"/>
  <c r="BX38" i="3"/>
  <c r="BX140" i="3" s="1"/>
  <c r="BW35" i="3"/>
  <c r="BW137" i="3" s="1"/>
  <c r="BC16" i="3"/>
  <c r="BC70" i="3" s="1"/>
  <c r="BB70" i="3"/>
  <c r="BB41" i="3"/>
  <c r="E52" i="3"/>
  <c r="BV45" i="3"/>
  <c r="BV147" i="3" s="1"/>
  <c r="CL50" i="3"/>
  <c r="CL152" i="3" s="1"/>
  <c r="CK47" i="3"/>
  <c r="CK149" i="3" s="1"/>
  <c r="CM45" i="3"/>
  <c r="CM147" i="3" s="1"/>
  <c r="CO57" i="3"/>
  <c r="BV47" i="3"/>
  <c r="BV149" i="3" s="1"/>
  <c r="CJ46" i="3"/>
  <c r="CJ148" i="3" s="1"/>
  <c r="CB45" i="3"/>
  <c r="CB147" i="3" s="1"/>
  <c r="BT45" i="3"/>
  <c r="BT147" i="3" s="1"/>
  <c r="CJ36" i="3"/>
  <c r="CJ138" i="3" s="1"/>
  <c r="CM46" i="3"/>
  <c r="CM148" i="3" s="1"/>
  <c r="CI46" i="3"/>
  <c r="CI148" i="3" s="1"/>
  <c r="BZ35" i="3"/>
  <c r="BZ137" i="3" s="1"/>
  <c r="BB14" i="3"/>
  <c r="BC13" i="3"/>
  <c r="BB82" i="3"/>
  <c r="BB178" i="21" s="1"/>
  <c r="CP39" i="3"/>
  <c r="CP141" i="3" s="1"/>
  <c r="CQ30" i="3"/>
  <c r="CQ132" i="3" s="1"/>
  <c r="CI30" i="3"/>
  <c r="CI132" i="3" s="1"/>
  <c r="CM28" i="3"/>
  <c r="CM130" i="3" s="1"/>
  <c r="CP24" i="3"/>
  <c r="CP126" i="3" s="1"/>
  <c r="CL14" i="3"/>
  <c r="CL116" i="3" s="1"/>
  <c r="CR20" i="3"/>
  <c r="CR122" i="3" s="1"/>
  <c r="CJ20" i="3"/>
  <c r="CJ122" i="3" s="1"/>
  <c r="BZ19" i="3"/>
  <c r="BZ121" i="3" s="1"/>
  <c r="CP17" i="3"/>
  <c r="CP119" i="3" s="1"/>
  <c r="CL17" i="3"/>
  <c r="CL119" i="3" s="1"/>
  <c r="CJ14" i="3"/>
  <c r="CJ116" i="3" s="1"/>
  <c r="BC44" i="3"/>
  <c r="BT39" i="3"/>
  <c r="BT141" i="3" s="1"/>
  <c r="CS37" i="3"/>
  <c r="CS139" i="3" s="1"/>
  <c r="CT57" i="3"/>
  <c r="CC54" i="3"/>
  <c r="CC156" i="3" s="1"/>
  <c r="BC41" i="3"/>
  <c r="BU312" i="21"/>
  <c r="BT312" i="21"/>
  <c r="AZ195" i="21"/>
  <c r="AR58" i="21"/>
  <c r="AS35" i="21"/>
  <c r="BC89" i="21"/>
  <c r="BA63" i="21"/>
  <c r="J105" i="21"/>
  <c r="AS63" i="21"/>
  <c r="BC40" i="21"/>
  <c r="BC49" i="21"/>
  <c r="AY37" i="21"/>
  <c r="BC125" i="21"/>
  <c r="BB87" i="21"/>
  <c r="BB90" i="21" s="1"/>
  <c r="BC93" i="21"/>
  <c r="BC35" i="21"/>
  <c r="BC82" i="21"/>
  <c r="BC14" i="21"/>
  <c r="BC21" i="21"/>
  <c r="BC25" i="21"/>
  <c r="BD25" i="21" s="1"/>
  <c r="AY195" i="21"/>
  <c r="AK63" i="21"/>
  <c r="CV171" i="3"/>
  <c r="CV183" i="2"/>
  <c r="T115" i="21"/>
  <c r="V105" i="21"/>
  <c r="BB96" i="21"/>
  <c r="CF107" i="21"/>
  <c r="CF117" i="21"/>
  <c r="CE107" i="2"/>
  <c r="BL107" i="2"/>
  <c r="BW86" i="2"/>
  <c r="BV88" i="2"/>
  <c r="AO68" i="2"/>
  <c r="AO74" i="2" s="1"/>
  <c r="AO77" i="2" s="1"/>
  <c r="M49" i="2"/>
  <c r="BT49" i="2"/>
  <c r="CT24" i="2"/>
  <c r="BM105" i="2"/>
  <c r="BN57" i="2"/>
  <c r="CC113" i="1"/>
  <c r="CH95" i="2"/>
  <c r="BX95" i="2"/>
  <c r="BS95" i="2"/>
  <c r="AF221" i="21"/>
  <c r="AF223" i="21" s="1"/>
  <c r="AB221" i="21"/>
  <c r="AB223" i="21" s="1"/>
  <c r="X221" i="21"/>
  <c r="X223" i="21" s="1"/>
  <c r="T221" i="21"/>
  <c r="T223" i="21" s="1"/>
  <c r="P221" i="21"/>
  <c r="P223" i="21" s="1"/>
  <c r="AO221" i="21"/>
  <c r="AO223" i="21" s="1"/>
  <c r="CC158" i="1"/>
  <c r="CC159" i="1" s="1"/>
  <c r="CT158" i="1"/>
  <c r="CT159" i="1" s="1"/>
  <c r="BB149" i="1"/>
  <c r="BB151" i="1" s="1"/>
  <c r="BB152" i="1" s="1"/>
  <c r="BC144" i="1"/>
  <c r="BD144" i="1" s="1"/>
  <c r="BE144" i="1" s="1"/>
  <c r="BF144" i="1" s="1"/>
  <c r="BG144" i="1" s="1"/>
  <c r="BH144" i="1" s="1"/>
  <c r="BI144" i="1" s="1"/>
  <c r="BJ144" i="1" s="1"/>
  <c r="BK144" i="1" s="1"/>
  <c r="BL144" i="1" s="1"/>
  <c r="BM144" i="1" s="1"/>
  <c r="BN144" i="1" s="1"/>
  <c r="BO144" i="1" s="1"/>
  <c r="CS95" i="2"/>
  <c r="CO95" i="2"/>
  <c r="CK95" i="2"/>
  <c r="CA95" i="2"/>
  <c r="BW95" i="2"/>
  <c r="BT95" i="2"/>
  <c r="CD40" i="2"/>
  <c r="BB66" i="3"/>
  <c r="BB81" i="3" s="1"/>
  <c r="BB89" i="3" s="1"/>
  <c r="AZ98" i="2"/>
  <c r="L49" i="2"/>
  <c r="AR109" i="2"/>
  <c r="AS109" i="2" s="1"/>
  <c r="AT109" i="2" s="1"/>
  <c r="AU109" i="2" s="1"/>
  <c r="AV109" i="2" s="1"/>
  <c r="AW109" i="2" s="1"/>
  <c r="AX109" i="2" s="1"/>
  <c r="AY109" i="2" s="1"/>
  <c r="CA86" i="2"/>
  <c r="CR77" i="2"/>
  <c r="BR95" i="2"/>
  <c r="Y49" i="2"/>
  <c r="E49" i="2"/>
  <c r="CQ95" i="2"/>
  <c r="AI49" i="2"/>
  <c r="CJ95" i="2"/>
  <c r="BY95" i="2"/>
  <c r="S49" i="2"/>
  <c r="F111" i="3"/>
  <c r="AL66" i="3"/>
  <c r="AL81" i="3" s="1"/>
  <c r="AL89" i="3" s="1"/>
  <c r="AN86" i="3"/>
  <c r="CC26" i="3"/>
  <c r="CC128" i="3" s="1"/>
  <c r="AG49" i="2"/>
  <c r="AE195" i="21"/>
  <c r="O195" i="21"/>
  <c r="V195" i="21"/>
  <c r="I221" i="21"/>
  <c r="I223" i="21" s="1"/>
  <c r="AZ84" i="21"/>
  <c r="AK14" i="21"/>
  <c r="AN14" i="21"/>
  <c r="AO63" i="21"/>
  <c r="AG63" i="21"/>
  <c r="AW42" i="21"/>
  <c r="BA35" i="21"/>
  <c r="AV14" i="21"/>
  <c r="AT42" i="21"/>
  <c r="AW35" i="21"/>
  <c r="AZ35" i="21"/>
  <c r="X84" i="21"/>
  <c r="AU84" i="21"/>
  <c r="AQ84" i="21"/>
  <c r="AP221" i="21"/>
  <c r="AP223" i="21" s="1"/>
  <c r="Y221" i="21"/>
  <c r="Y223" i="21" s="1"/>
  <c r="AU195" i="21"/>
  <c r="AI195" i="21"/>
  <c r="AA195" i="21"/>
  <c r="S195" i="21"/>
  <c r="AD221" i="21"/>
  <c r="AD223" i="21" s="1"/>
  <c r="AK221" i="21"/>
  <c r="AK223" i="21" s="1"/>
  <c r="AR195" i="21"/>
  <c r="AR84" i="21"/>
  <c r="BU36" i="21"/>
  <c r="AU35" i="21"/>
  <c r="AW63" i="21"/>
  <c r="BW34" i="21"/>
  <c r="BW35" i="21"/>
  <c r="R221" i="21"/>
  <c r="R223" i="21" s="1"/>
  <c r="J221" i="21"/>
  <c r="J223" i="21" s="1"/>
  <c r="X279" i="21"/>
  <c r="X281" i="21" s="1"/>
  <c r="AC195" i="21"/>
  <c r="AI89" i="21"/>
  <c r="AQ89" i="21"/>
  <c r="AX42" i="21"/>
  <c r="AG21" i="21"/>
  <c r="BA248" i="21"/>
  <c r="AU89" i="21"/>
  <c r="AM89" i="21"/>
  <c r="AY89" i="21"/>
  <c r="AP89" i="21"/>
  <c r="AU42" i="21"/>
  <c r="BB40" i="21"/>
  <c r="AZ42" i="21"/>
  <c r="BB42" i="21"/>
  <c r="AK21" i="21"/>
  <c r="AS21" i="21"/>
  <c r="AO21" i="21"/>
  <c r="AW21" i="21"/>
  <c r="BB19" i="21"/>
  <c r="AZ21" i="21"/>
  <c r="H115" i="21"/>
  <c r="J128" i="21"/>
  <c r="T84" i="21"/>
  <c r="K195" i="21"/>
  <c r="O105" i="21"/>
  <c r="K105" i="21"/>
  <c r="BU205" i="21"/>
  <c r="BU208" i="21" s="1"/>
  <c r="AB279" i="21"/>
  <c r="AB281" i="21" s="1"/>
  <c r="P279" i="21"/>
  <c r="P281" i="21" s="1"/>
  <c r="H257" i="21"/>
  <c r="H259" i="21" s="1"/>
  <c r="AG257" i="21"/>
  <c r="AR89" i="21"/>
  <c r="AJ82" i="21"/>
  <c r="AV21" i="21"/>
  <c r="AJ21" i="21"/>
  <c r="AR63" i="21"/>
  <c r="AG221" i="21"/>
  <c r="AG223" i="21" s="1"/>
  <c r="Q195" i="21"/>
  <c r="BA82" i="21"/>
  <c r="AI82" i="21"/>
  <c r="BB89" i="21"/>
  <c r="AO89" i="21"/>
  <c r="AJ56" i="21"/>
  <c r="AM63" i="21"/>
  <c r="AI56" i="21"/>
  <c r="AV42" i="21"/>
  <c r="BB35" i="21"/>
  <c r="AT35" i="21"/>
  <c r="AM21" i="21"/>
  <c r="BA14" i="21"/>
  <c r="AH21" i="21"/>
  <c r="AR14" i="21"/>
  <c r="AN21" i="21"/>
  <c r="BB21" i="21"/>
  <c r="BA57" i="21"/>
  <c r="AV63" i="21"/>
  <c r="BB14" i="21"/>
  <c r="BA42" i="21"/>
  <c r="BB82" i="21"/>
  <c r="AW82" i="21"/>
  <c r="BB132" i="21"/>
  <c r="AX35" i="21"/>
  <c r="BB98" i="21"/>
  <c r="AZ63" i="21"/>
  <c r="BD63" i="21" s="1"/>
  <c r="AJ63" i="21"/>
  <c r="AN63" i="21"/>
  <c r="AS42" i="21"/>
  <c r="AT195" i="21"/>
  <c r="AD195" i="21"/>
  <c r="AO195" i="21"/>
  <c r="AG195" i="21"/>
  <c r="Y195" i="21"/>
  <c r="I195" i="21"/>
  <c r="V84" i="21"/>
  <c r="AJ84" i="21"/>
  <c r="O115" i="21"/>
  <c r="AY58" i="21"/>
  <c r="AM58" i="21"/>
  <c r="AE84" i="21"/>
  <c r="I58" i="21"/>
  <c r="AJ37" i="21"/>
  <c r="AY16" i="21"/>
  <c r="AQ16" i="21"/>
  <c r="AE16" i="21"/>
  <c r="AW58" i="21"/>
  <c r="AQ58" i="21"/>
  <c r="AI58" i="21"/>
  <c r="Y58" i="21"/>
  <c r="AU16" i="21"/>
  <c r="CA117" i="3"/>
  <c r="BW117" i="3"/>
  <c r="AC52" i="3"/>
  <c r="CP50" i="3"/>
  <c r="CP152" i="3" s="1"/>
  <c r="BV54" i="3"/>
  <c r="BV156" i="3" s="1"/>
  <c r="AZ83" i="3"/>
  <c r="AZ178" i="21"/>
  <c r="AZ180" i="21" s="1"/>
  <c r="AZ189" i="21" s="1"/>
  <c r="AR83" i="3"/>
  <c r="AR178" i="21"/>
  <c r="AR180" i="21" s="1"/>
  <c r="AR189" i="21" s="1"/>
  <c r="CI40" i="3"/>
  <c r="CI142" i="3" s="1"/>
  <c r="CB28" i="3"/>
  <c r="CB130" i="3" s="1"/>
  <c r="BW27" i="3"/>
  <c r="BW129" i="3" s="1"/>
  <c r="BW26" i="3"/>
  <c r="BW128" i="3" s="1"/>
  <c r="CQ21" i="3"/>
  <c r="CQ123" i="3" s="1"/>
  <c r="CI21" i="3"/>
  <c r="CI123" i="3" s="1"/>
  <c r="CN19" i="3"/>
  <c r="CN121" i="3" s="1"/>
  <c r="BY54" i="3"/>
  <c r="BY156" i="3" s="1"/>
  <c r="BQ54" i="3"/>
  <c r="BQ156" i="3" s="1"/>
  <c r="BR51" i="3"/>
  <c r="BR153" i="3" s="1"/>
  <c r="BA52" i="3"/>
  <c r="CP35" i="3"/>
  <c r="CP137" i="3" s="1"/>
  <c r="AJ83" i="3"/>
  <c r="AJ178" i="21"/>
  <c r="AJ180" i="21" s="1"/>
  <c r="AJ189" i="21" s="1"/>
  <c r="AB83" i="3"/>
  <c r="AB178" i="21"/>
  <c r="AB180" i="21" s="1"/>
  <c r="AB189" i="21" s="1"/>
  <c r="CB30" i="3"/>
  <c r="CB132" i="3" s="1"/>
  <c r="BT30" i="3"/>
  <c r="BT132" i="3" s="1"/>
  <c r="BT28" i="3"/>
  <c r="BT130" i="3" s="1"/>
  <c r="M52" i="3"/>
  <c r="AK52" i="3"/>
  <c r="CB149" i="3"/>
  <c r="CN54" i="3"/>
  <c r="CN156" i="3" s="1"/>
  <c r="CS51" i="3"/>
  <c r="CS153" i="3" s="1"/>
  <c r="CO51" i="3"/>
  <c r="CO153" i="3" s="1"/>
  <c r="BY50" i="3"/>
  <c r="BY152" i="3" s="1"/>
  <c r="CQ49" i="3"/>
  <c r="CQ151" i="3" s="1"/>
  <c r="CM49" i="3"/>
  <c r="CM151" i="3" s="1"/>
  <c r="AI47" i="3"/>
  <c r="CA54" i="3"/>
  <c r="CA156" i="3" s="1"/>
  <c r="CQ51" i="3"/>
  <c r="CQ153" i="3" s="1"/>
  <c r="CI51" i="3"/>
  <c r="CI153" i="3" s="1"/>
  <c r="BX49" i="3"/>
  <c r="BX151" i="3" s="1"/>
  <c r="BT49" i="3"/>
  <c r="BT151" i="3" s="1"/>
  <c r="AQ47" i="3"/>
  <c r="CM47" i="3"/>
  <c r="CM149" i="3" s="1"/>
  <c r="CI47" i="3"/>
  <c r="CI149" i="3" s="1"/>
  <c r="CN36" i="3"/>
  <c r="CN138" i="3" s="1"/>
  <c r="CQ50" i="3"/>
  <c r="CQ152" i="3" s="1"/>
  <c r="CM50" i="3"/>
  <c r="CM152" i="3" s="1"/>
  <c r="CQ46" i="3"/>
  <c r="CQ148" i="3" s="1"/>
  <c r="BZ46" i="3"/>
  <c r="BZ148" i="3" s="1"/>
  <c r="CS39" i="3"/>
  <c r="CS141" i="3" s="1"/>
  <c r="CO35" i="3"/>
  <c r="CO137" i="3" s="1"/>
  <c r="BV38" i="3"/>
  <c r="BV140" i="3" s="1"/>
  <c r="BT36" i="3"/>
  <c r="BT138" i="3" s="1"/>
  <c r="CM39" i="3"/>
  <c r="CM141" i="3" s="1"/>
  <c r="CH39" i="3"/>
  <c r="CH141" i="3" s="1"/>
  <c r="CR30" i="3"/>
  <c r="CR132" i="3" s="1"/>
  <c r="CJ30" i="3"/>
  <c r="CJ132" i="3" s="1"/>
  <c r="CA25" i="3"/>
  <c r="CA127" i="3" s="1"/>
  <c r="BS25" i="3"/>
  <c r="BS127" i="3" s="1"/>
  <c r="BZ24" i="3"/>
  <c r="BZ126" i="3" s="1"/>
  <c r="BV24" i="3"/>
  <c r="BV126" i="3" s="1"/>
  <c r="BZ125" i="3"/>
  <c r="BV125" i="3"/>
  <c r="BU19" i="3"/>
  <c r="BU121" i="3" s="1"/>
  <c r="BS17" i="3"/>
  <c r="BS119" i="3" s="1"/>
  <c r="BZ39" i="3"/>
  <c r="BZ141" i="3" s="1"/>
  <c r="BQ38" i="3"/>
  <c r="BQ140" i="3" s="1"/>
  <c r="CQ37" i="3"/>
  <c r="CQ139" i="3" s="1"/>
  <c r="CL37" i="3"/>
  <c r="CL139" i="3" s="1"/>
  <c r="BY35" i="3"/>
  <c r="BY137" i="3" s="1"/>
  <c r="AL34" i="3"/>
  <c r="AK95" i="3"/>
  <c r="AM15" i="3"/>
  <c r="CR15" i="3"/>
  <c r="CR117" i="3" s="1"/>
  <c r="CS30" i="3"/>
  <c r="CS132" i="3" s="1"/>
  <c r="CO30" i="3"/>
  <c r="CO132" i="3" s="1"/>
  <c r="CK30" i="3"/>
  <c r="CK132" i="3" s="1"/>
  <c r="CS28" i="3"/>
  <c r="CS130" i="3" s="1"/>
  <c r="CO28" i="3"/>
  <c r="CO130" i="3" s="1"/>
  <c r="CK28" i="3"/>
  <c r="CK130" i="3" s="1"/>
  <c r="CR27" i="3"/>
  <c r="CR129" i="3" s="1"/>
  <c r="CP27" i="3"/>
  <c r="CP129" i="3" s="1"/>
  <c r="CN27" i="3"/>
  <c r="CN129" i="3" s="1"/>
  <c r="CL27" i="3"/>
  <c r="CL129" i="3" s="1"/>
  <c r="CJ27" i="3"/>
  <c r="CJ129" i="3" s="1"/>
  <c r="CH27" i="3"/>
  <c r="CH129" i="3" s="1"/>
  <c r="CR26" i="3"/>
  <c r="CR128" i="3" s="1"/>
  <c r="CP26" i="3"/>
  <c r="CP128" i="3" s="1"/>
  <c r="CN26" i="3"/>
  <c r="CN128" i="3" s="1"/>
  <c r="CL26" i="3"/>
  <c r="CL128" i="3" s="1"/>
  <c r="CI25" i="3"/>
  <c r="CI127" i="3" s="1"/>
  <c r="CL23" i="3"/>
  <c r="CL125" i="3" s="1"/>
  <c r="AV83" i="3"/>
  <c r="AV178" i="21"/>
  <c r="AV180" i="21" s="1"/>
  <c r="AV189" i="21" s="1"/>
  <c r="AN83" i="3"/>
  <c r="AN178" i="21"/>
  <c r="AN180" i="21" s="1"/>
  <c r="AN189" i="21" s="1"/>
  <c r="AF83" i="3"/>
  <c r="AF178" i="21"/>
  <c r="AF180" i="21" s="1"/>
  <c r="AF189" i="21" s="1"/>
  <c r="CI37" i="3"/>
  <c r="CI139" i="3" s="1"/>
  <c r="BV35" i="3"/>
  <c r="BV137" i="3" s="1"/>
  <c r="BZ30" i="3"/>
  <c r="BZ132" i="3" s="1"/>
  <c r="BR30" i="3"/>
  <c r="BR132" i="3" s="1"/>
  <c r="BZ28" i="3"/>
  <c r="BZ130" i="3" s="1"/>
  <c r="BR28" i="3"/>
  <c r="BR130" i="3" s="1"/>
  <c r="CR18" i="3"/>
  <c r="CR120" i="3" s="1"/>
  <c r="BY18" i="3"/>
  <c r="BY120" i="3" s="1"/>
  <c r="BQ18" i="3"/>
  <c r="BQ120" i="3" s="1"/>
  <c r="BV15" i="3"/>
  <c r="CP19" i="3"/>
  <c r="CP121" i="3" s="1"/>
  <c r="CL19" i="3"/>
  <c r="CL121" i="3" s="1"/>
  <c r="CH19" i="3"/>
  <c r="CH121" i="3" s="1"/>
  <c r="CB17" i="3"/>
  <c r="CB119" i="3" s="1"/>
  <c r="CH20" i="3"/>
  <c r="CH122" i="3" s="1"/>
  <c r="CS19" i="3"/>
  <c r="CS121" i="3" s="1"/>
  <c r="CJ17" i="3"/>
  <c r="CJ119" i="3" s="1"/>
  <c r="CJ25" i="3"/>
  <c r="CJ127" i="3" s="1"/>
  <c r="CS20" i="3"/>
  <c r="CS122" i="3" s="1"/>
  <c r="CO20" i="3"/>
  <c r="CO122" i="3" s="1"/>
  <c r="BW19" i="3"/>
  <c r="BW121" i="3" s="1"/>
  <c r="BR17" i="3"/>
  <c r="BR119" i="3" s="1"/>
  <c r="BR19" i="3"/>
  <c r="BR121" i="3" s="1"/>
  <c r="CI19" i="3"/>
  <c r="CI121" i="3" s="1"/>
  <c r="BS39" i="3"/>
  <c r="BS141" i="3" s="1"/>
  <c r="CB39" i="3"/>
  <c r="CB141" i="3" s="1"/>
  <c r="CB37" i="3"/>
  <c r="CB139" i="3" s="1"/>
  <c r="BX35" i="3"/>
  <c r="BX137" i="3" s="1"/>
  <c r="M70" i="3"/>
  <c r="AC88" i="2"/>
  <c r="AB90" i="2"/>
  <c r="CI77" i="2"/>
  <c r="AX49" i="2"/>
  <c r="AX72" i="3"/>
  <c r="AP49" i="2"/>
  <c r="AP72" i="3"/>
  <c r="AD49" i="2"/>
  <c r="AD72" i="3"/>
  <c r="V49" i="2"/>
  <c r="V72" i="3"/>
  <c r="N49" i="2"/>
  <c r="N72" i="3"/>
  <c r="F49" i="2"/>
  <c r="F72" i="3"/>
  <c r="AY49" i="2"/>
  <c r="AY72" i="3"/>
  <c r="AF49" i="2"/>
  <c r="AF72" i="3"/>
  <c r="AK49" i="2"/>
  <c r="AK72" i="3"/>
  <c r="AE49" i="2"/>
  <c r="AE72" i="3"/>
  <c r="U49" i="2"/>
  <c r="AJ49" i="2"/>
  <c r="AJ72" i="3"/>
  <c r="T49" i="2"/>
  <c r="T72" i="3"/>
  <c r="D49" i="2"/>
  <c r="D72" i="3"/>
  <c r="BQ49" i="2"/>
  <c r="BQ72" i="3"/>
  <c r="CT28" i="3"/>
  <c r="CT130" i="3" s="1"/>
  <c r="BG66" i="2"/>
  <c r="BF19" i="3"/>
  <c r="BF121" i="3" s="1"/>
  <c r="AS49" i="2"/>
  <c r="AS72" i="3"/>
  <c r="CC40" i="3"/>
  <c r="CC142" i="3" s="1"/>
  <c r="AO49" i="2"/>
  <c r="AO72" i="3"/>
  <c r="CD41" i="2"/>
  <c r="BH41" i="2"/>
  <c r="BY86" i="2"/>
  <c r="CQ77" i="2"/>
  <c r="AT49" i="2"/>
  <c r="AT72" i="3"/>
  <c r="AL49" i="2"/>
  <c r="AL72" i="3"/>
  <c r="Z49" i="2"/>
  <c r="Z72" i="3"/>
  <c r="R49" i="2"/>
  <c r="R72" i="3"/>
  <c r="J49" i="2"/>
  <c r="J72" i="3"/>
  <c r="AA49" i="2"/>
  <c r="AA72" i="3"/>
  <c r="AC49" i="2"/>
  <c r="AC72" i="3"/>
  <c r="AH49" i="2"/>
  <c r="AH72" i="3"/>
  <c r="Q49" i="2"/>
  <c r="AR49" i="2"/>
  <c r="AR72" i="3"/>
  <c r="AB49" i="2"/>
  <c r="AB72" i="3"/>
  <c r="AW49" i="2"/>
  <c r="AW72" i="3"/>
  <c r="CH72" i="3"/>
  <c r="CT51" i="3"/>
  <c r="CT153" i="3" s="1"/>
  <c r="CC15" i="2"/>
  <c r="CC31" i="2"/>
  <c r="CC20" i="2"/>
  <c r="AM257" i="21"/>
  <c r="AE257" i="21"/>
  <c r="AE259" i="21" s="1"/>
  <c r="W257" i="21"/>
  <c r="W259" i="21" s="1"/>
  <c r="AI279" i="21"/>
  <c r="AI281" i="21" s="1"/>
  <c r="AA257" i="21"/>
  <c r="AA259" i="21" s="1"/>
  <c r="AX257" i="21"/>
  <c r="AX279" i="21"/>
  <c r="AL257" i="21"/>
  <c r="AL279" i="21"/>
  <c r="AL281" i="21" s="1"/>
  <c r="Z257" i="21"/>
  <c r="Z259" i="21" s="1"/>
  <c r="AV257" i="21"/>
  <c r="AR279" i="21"/>
  <c r="AR281" i="21" s="1"/>
  <c r="AJ279" i="21"/>
  <c r="AJ281" i="21" s="1"/>
  <c r="AF279" i="21"/>
  <c r="AF281" i="21" s="1"/>
  <c r="T279" i="21"/>
  <c r="T281" i="21" s="1"/>
  <c r="AO257" i="21"/>
  <c r="AK257" i="21"/>
  <c r="CT171" i="3"/>
  <c r="CT183" i="2"/>
  <c r="CR171" i="3"/>
  <c r="CR183" i="2"/>
  <c r="CP171" i="3"/>
  <c r="CP183" i="2"/>
  <c r="CN171" i="3"/>
  <c r="CN183" i="2"/>
  <c r="CL171" i="3"/>
  <c r="CL183" i="2"/>
  <c r="CJ171" i="3"/>
  <c r="CJ183" i="2"/>
  <c r="CH171" i="3"/>
  <c r="CH183" i="2"/>
  <c r="CC47" i="3"/>
  <c r="CU171" i="3"/>
  <c r="CU183" i="2"/>
  <c r="CS171" i="3"/>
  <c r="CS183" i="2"/>
  <c r="CQ171" i="3"/>
  <c r="CQ183" i="2"/>
  <c r="CO171" i="3"/>
  <c r="CO183" i="2"/>
  <c r="CM171" i="3"/>
  <c r="CM183" i="2"/>
  <c r="CK171" i="3"/>
  <c r="CK183" i="2"/>
  <c r="CI171" i="3"/>
  <c r="CI183" i="2"/>
  <c r="BB68" i="2"/>
  <c r="BC159" i="1"/>
  <c r="CC15" i="3" s="1"/>
  <c r="CT47" i="3"/>
  <c r="BD81" i="2"/>
  <c r="AU54" i="2"/>
  <c r="V279" i="21"/>
  <c r="V281" i="21" s="1"/>
  <c r="Y279" i="21"/>
  <c r="Y281" i="21" s="1"/>
  <c r="M221" i="21"/>
  <c r="M223" i="21" s="1"/>
  <c r="CC162" i="1"/>
  <c r="CC81" i="2"/>
  <c r="BT208" i="21"/>
  <c r="AM279" i="21"/>
  <c r="AM281" i="21" s="1"/>
  <c r="AN208" i="21"/>
  <c r="AN210" i="21" s="1"/>
  <c r="AN218" i="21"/>
  <c r="AN221" i="21" s="1"/>
  <c r="AN223" i="21" s="1"/>
  <c r="BV208" i="21"/>
  <c r="AM218" i="21"/>
  <c r="AM221" i="21" s="1"/>
  <c r="AM223" i="21" s="1"/>
  <c r="AM208" i="21"/>
  <c r="AM210" i="21" s="1"/>
  <c r="S257" i="21"/>
  <c r="S259" i="21" s="1"/>
  <c r="O257" i="21"/>
  <c r="O259" i="21" s="1"/>
  <c r="AP257" i="21"/>
  <c r="R257" i="21"/>
  <c r="R259" i="21" s="1"/>
  <c r="N257" i="21"/>
  <c r="N259" i="21" s="1"/>
  <c r="AZ257" i="21"/>
  <c r="AV279" i="21"/>
  <c r="AV281" i="21" s="1"/>
  <c r="AW257" i="21"/>
  <c r="AS279" i="21"/>
  <c r="AS281" i="21" s="1"/>
  <c r="AG279" i="21"/>
  <c r="AG281" i="21" s="1"/>
  <c r="AC279" i="21"/>
  <c r="AC281" i="21" s="1"/>
  <c r="U257" i="21"/>
  <c r="U259" i="21" s="1"/>
  <c r="U279" i="21"/>
  <c r="U281" i="21" s="1"/>
  <c r="Q279" i="21"/>
  <c r="Q281" i="21" s="1"/>
  <c r="M279" i="21"/>
  <c r="M281" i="21" s="1"/>
  <c r="I257" i="21"/>
  <c r="I259" i="21" s="1"/>
  <c r="BA137" i="21"/>
  <c r="BA132" i="21"/>
  <c r="BA146" i="21" s="1"/>
  <c r="BA76" i="21"/>
  <c r="BA97" i="21"/>
  <c r="BA29" i="21"/>
  <c r="AP184" i="21"/>
  <c r="AP125" i="21"/>
  <c r="AP123" i="21"/>
  <c r="AP58" i="21"/>
  <c r="AP16" i="21"/>
  <c r="AP37" i="21"/>
  <c r="Z125" i="21"/>
  <c r="Z123" i="21"/>
  <c r="Z58" i="21"/>
  <c r="Z37" i="21"/>
  <c r="BS104" i="21"/>
  <c r="BT83" i="21"/>
  <c r="AP82" i="21"/>
  <c r="AQ130" i="21"/>
  <c r="AQ128" i="21"/>
  <c r="AA130" i="21"/>
  <c r="AA128" i="21"/>
  <c r="AK184" i="21"/>
  <c r="AK125" i="21"/>
  <c r="AK84" i="21"/>
  <c r="AK123" i="21"/>
  <c r="AK16" i="21"/>
  <c r="U125" i="21"/>
  <c r="U123" i="21"/>
  <c r="U84" i="21"/>
  <c r="U105" i="21"/>
  <c r="U37" i="21"/>
  <c r="AV89" i="21"/>
  <c r="AP84" i="21"/>
  <c r="Z84" i="21"/>
  <c r="AK82" i="21"/>
  <c r="W130" i="21"/>
  <c r="W128" i="21"/>
  <c r="W123" i="21"/>
  <c r="W125" i="21"/>
  <c r="W37" i="21"/>
  <c r="AH56" i="21"/>
  <c r="AN184" i="21"/>
  <c r="BZ122" i="21"/>
  <c r="BZ58" i="21" s="1"/>
  <c r="AN123" i="21"/>
  <c r="AN125" i="21"/>
  <c r="BT104" i="21"/>
  <c r="AT89" i="21"/>
  <c r="BT57" i="21"/>
  <c r="AP56" i="21"/>
  <c r="Z130" i="21"/>
  <c r="Z128" i="21"/>
  <c r="AB184" i="21"/>
  <c r="AB125" i="21"/>
  <c r="AB123" i="21"/>
  <c r="AB37" i="21"/>
  <c r="BW122" i="21"/>
  <c r="BW58" i="21" s="1"/>
  <c r="CE117" i="21"/>
  <c r="U130" i="21"/>
  <c r="U128" i="21"/>
  <c r="BA89" i="21"/>
  <c r="AS130" i="21"/>
  <c r="AS128" i="21"/>
  <c r="AK89" i="21"/>
  <c r="AC130" i="21"/>
  <c r="AC128" i="21"/>
  <c r="AV82" i="21"/>
  <c r="CA57" i="21"/>
  <c r="AK56" i="21"/>
  <c r="AT128" i="21"/>
  <c r="AT130" i="21"/>
  <c r="BR122" i="21"/>
  <c r="BR105" i="21" s="1"/>
  <c r="H105" i="21"/>
  <c r="AR128" i="21"/>
  <c r="AR130" i="21"/>
  <c r="AB128" i="21"/>
  <c r="AB130" i="21"/>
  <c r="W84" i="21"/>
  <c r="O84" i="21"/>
  <c r="AQ63" i="21"/>
  <c r="Q58" i="21"/>
  <c r="AN56" i="21"/>
  <c r="AK37" i="21"/>
  <c r="AQ56" i="21"/>
  <c r="W58" i="21"/>
  <c r="AZ37" i="21"/>
  <c r="AQ21" i="21"/>
  <c r="AO14" i="21"/>
  <c r="AX14" i="21"/>
  <c r="AT14" i="21"/>
  <c r="AP14" i="21"/>
  <c r="AL14" i="21"/>
  <c r="AH14" i="21"/>
  <c r="AL21" i="21"/>
  <c r="CB15" i="21"/>
  <c r="AZ14" i="21"/>
  <c r="P16" i="21"/>
  <c r="AJ58" i="21"/>
  <c r="T105" i="21"/>
  <c r="BU122" i="21"/>
  <c r="BU84" i="21" s="1"/>
  <c r="T125" i="21"/>
  <c r="T37" i="21"/>
  <c r="T123" i="21"/>
  <c r="I37" i="21"/>
  <c r="W16" i="21"/>
  <c r="BV15" i="21"/>
  <c r="AI14" i="21"/>
  <c r="AB16" i="21"/>
  <c r="AU14" i="21"/>
  <c r="AJ208" i="21"/>
  <c r="AJ210" i="21" s="1"/>
  <c r="AJ218" i="21"/>
  <c r="AJ221" i="21" s="1"/>
  <c r="AJ223" i="21" s="1"/>
  <c r="BX208" i="21"/>
  <c r="BR208" i="21"/>
  <c r="AE218" i="21"/>
  <c r="AE221" i="21" s="1"/>
  <c r="AE223" i="21" s="1"/>
  <c r="AE208" i="21"/>
  <c r="AE210" i="21" s="1"/>
  <c r="S218" i="21"/>
  <c r="S221" i="21" s="1"/>
  <c r="S223" i="21" s="1"/>
  <c r="S208" i="21"/>
  <c r="S210" i="21" s="1"/>
  <c r="BY83" i="21"/>
  <c r="AC221" i="21"/>
  <c r="AC223" i="21" s="1"/>
  <c r="AL221" i="21"/>
  <c r="AL223" i="21" s="1"/>
  <c r="AZ128" i="21"/>
  <c r="AZ130" i="21"/>
  <c r="AL184" i="21"/>
  <c r="AL125" i="21"/>
  <c r="AL123" i="21"/>
  <c r="AL58" i="21"/>
  <c r="AL37" i="21"/>
  <c r="AL16" i="21"/>
  <c r="R125" i="21"/>
  <c r="R123" i="21"/>
  <c r="R58" i="21"/>
  <c r="R115" i="21"/>
  <c r="R37" i="21"/>
  <c r="AL82" i="21"/>
  <c r="AM130" i="21"/>
  <c r="AM128" i="21"/>
  <c r="AW184" i="21"/>
  <c r="AW125" i="21"/>
  <c r="AW84" i="21"/>
  <c r="AW123" i="21"/>
  <c r="AW16" i="21"/>
  <c r="AG184" i="21"/>
  <c r="AG125" i="21"/>
  <c r="AG84" i="21"/>
  <c r="AG123" i="21"/>
  <c r="AG37" i="21"/>
  <c r="AG16" i="21"/>
  <c r="Q125" i="21"/>
  <c r="Q123" i="21"/>
  <c r="Q105" i="21"/>
  <c r="Q84" i="21"/>
  <c r="AL84" i="21"/>
  <c r="CA83" i="21"/>
  <c r="BS120" i="21"/>
  <c r="S130" i="21"/>
  <c r="S128" i="21"/>
  <c r="S123" i="21"/>
  <c r="S125" i="21"/>
  <c r="BY57" i="21"/>
  <c r="AL128" i="21"/>
  <c r="AL130" i="21"/>
  <c r="AF184" i="21"/>
  <c r="AF195" i="21"/>
  <c r="AF125" i="21"/>
  <c r="BX122" i="21"/>
  <c r="BX16" i="21" s="1"/>
  <c r="AF37" i="21"/>
  <c r="AF123" i="21"/>
  <c r="N125" i="21"/>
  <c r="N123" i="21"/>
  <c r="N115" i="21"/>
  <c r="N58" i="21"/>
  <c r="N37" i="21"/>
  <c r="AL56" i="21"/>
  <c r="CA36" i="21"/>
  <c r="L105" i="21"/>
  <c r="L125" i="21"/>
  <c r="L123" i="21"/>
  <c r="BS122" i="21"/>
  <c r="BS105" i="21" s="1"/>
  <c r="Q130" i="21"/>
  <c r="Q128" i="21"/>
  <c r="AW130" i="21"/>
  <c r="AW128" i="21"/>
  <c r="AG130" i="21"/>
  <c r="AG128" i="21"/>
  <c r="AF84" i="21"/>
  <c r="P84" i="21"/>
  <c r="BW57" i="21"/>
  <c r="AW56" i="21"/>
  <c r="BA56" i="21" s="1"/>
  <c r="BE56" i="21" s="1"/>
  <c r="BI56" i="21" s="1"/>
  <c r="BM56" i="21" s="1"/>
  <c r="V130" i="21"/>
  <c r="V128" i="21"/>
  <c r="U115" i="21"/>
  <c r="M115" i="21"/>
  <c r="T128" i="21"/>
  <c r="T130" i="21"/>
  <c r="AN130" i="21"/>
  <c r="AN128" i="21"/>
  <c r="X130" i="21"/>
  <c r="X128" i="21"/>
  <c r="K84" i="21"/>
  <c r="M58" i="21"/>
  <c r="BZ57" i="21"/>
  <c r="AZ56" i="21"/>
  <c r="AW37" i="21"/>
  <c r="Q37" i="21"/>
  <c r="AX63" i="21"/>
  <c r="BB63" i="21" s="1"/>
  <c r="AM56" i="21"/>
  <c r="S58" i="21"/>
  <c r="AV37" i="21"/>
  <c r="P37" i="21"/>
  <c r="CC12" i="21"/>
  <c r="BX15" i="21"/>
  <c r="AY21" i="21"/>
  <c r="L16" i="21"/>
  <c r="CA15" i="21"/>
  <c r="AF58" i="21"/>
  <c r="AX21" i="21"/>
  <c r="S16" i="21"/>
  <c r="BA21" i="21"/>
  <c r="AY35" i="21"/>
  <c r="AN16" i="21"/>
  <c r="AM14" i="21"/>
  <c r="R16" i="21"/>
  <c r="AY279" i="21"/>
  <c r="AU279" i="21"/>
  <c r="AU281" i="21" s="1"/>
  <c r="L208" i="21"/>
  <c r="BS205" i="21"/>
  <c r="W218" i="21"/>
  <c r="W221" i="21" s="1"/>
  <c r="W223" i="21" s="1"/>
  <c r="W208" i="21"/>
  <c r="W210" i="21" s="1"/>
  <c r="K218" i="21"/>
  <c r="K221" i="21" s="1"/>
  <c r="K223" i="21" s="1"/>
  <c r="K208" i="21"/>
  <c r="K210" i="21" s="1"/>
  <c r="AU257" i="21"/>
  <c r="S279" i="21"/>
  <c r="S281" i="21" s="1"/>
  <c r="O279" i="21"/>
  <c r="O281" i="21" s="1"/>
  <c r="Z221" i="21"/>
  <c r="Z223" i="21" s="1"/>
  <c r="AH257" i="21"/>
  <c r="AH279" i="21"/>
  <c r="AH281" i="21" s="1"/>
  <c r="R279" i="21"/>
  <c r="R281" i="21" s="1"/>
  <c r="J257" i="21"/>
  <c r="J259" i="21" s="1"/>
  <c r="AR257" i="21"/>
  <c r="AN279" i="21"/>
  <c r="AN281" i="21" s="1"/>
  <c r="AJ257" i="21"/>
  <c r="AF257" i="21"/>
  <c r="AF259" i="21" s="1"/>
  <c r="AB257" i="21"/>
  <c r="AB259" i="21" s="1"/>
  <c r="X257" i="21"/>
  <c r="X259" i="21" s="1"/>
  <c r="T257" i="21"/>
  <c r="T259" i="21" s="1"/>
  <c r="P257" i="21"/>
  <c r="P259" i="21" s="1"/>
  <c r="BA279" i="21"/>
  <c r="Y257" i="21"/>
  <c r="Y259" i="21" s="1"/>
  <c r="BU83" i="21"/>
  <c r="AQ216" i="21"/>
  <c r="AQ205" i="21"/>
  <c r="AX184" i="21"/>
  <c r="AX125" i="21"/>
  <c r="AX123" i="21"/>
  <c r="AX58" i="21"/>
  <c r="AX37" i="21"/>
  <c r="AX16" i="21"/>
  <c r="AH184" i="21"/>
  <c r="AH125" i="21"/>
  <c r="AH123" i="21"/>
  <c r="AH58" i="21"/>
  <c r="AH37" i="21"/>
  <c r="AH16" i="21"/>
  <c r="CB83" i="21"/>
  <c r="AX82" i="21"/>
  <c r="AG82" i="21"/>
  <c r="AY130" i="21"/>
  <c r="AY128" i="21"/>
  <c r="AI130" i="21"/>
  <c r="AI128" i="21"/>
  <c r="AS184" i="21"/>
  <c r="AS125" i="21"/>
  <c r="AS123" i="21"/>
  <c r="AS84" i="21"/>
  <c r="AS16" i="21"/>
  <c r="AC184" i="21"/>
  <c r="AC125" i="21"/>
  <c r="AC123" i="21"/>
  <c r="AC84" i="21"/>
  <c r="AC37" i="21"/>
  <c r="AC16" i="21"/>
  <c r="M125" i="21"/>
  <c r="M123" i="21"/>
  <c r="M105" i="21"/>
  <c r="M84" i="21"/>
  <c r="R105" i="21"/>
  <c r="AN89" i="21"/>
  <c r="AX84" i="21"/>
  <c r="AH84" i="21"/>
  <c r="R84" i="21"/>
  <c r="BW83" i="21"/>
  <c r="AS82" i="21"/>
  <c r="W105" i="21"/>
  <c r="O130" i="21"/>
  <c r="O128" i="21"/>
  <c r="O123" i="21"/>
  <c r="O125" i="21"/>
  <c r="K123" i="21"/>
  <c r="BU57" i="21"/>
  <c r="BY36" i="21"/>
  <c r="BY34" i="21"/>
  <c r="AD130" i="21"/>
  <c r="AD128" i="21"/>
  <c r="P105" i="21"/>
  <c r="P195" i="21"/>
  <c r="P125" i="21"/>
  <c r="BT122" i="21"/>
  <c r="BT16" i="21" s="1"/>
  <c r="P123" i="21"/>
  <c r="K115" i="21"/>
  <c r="J123" i="21"/>
  <c r="J115" i="21"/>
  <c r="J58" i="21"/>
  <c r="J37" i="21"/>
  <c r="AL89" i="21"/>
  <c r="AY82" i="21"/>
  <c r="BG82" i="21" s="1"/>
  <c r="BK82" i="21" s="1"/>
  <c r="BO82" i="21" s="1"/>
  <c r="AU82" i="21"/>
  <c r="AQ82" i="21"/>
  <c r="AM82" i="21"/>
  <c r="CB57" i="21"/>
  <c r="AX56" i="21"/>
  <c r="BB56" i="21" s="1"/>
  <c r="BF56" i="21" s="1"/>
  <c r="BJ56" i="21" s="1"/>
  <c r="BN56" i="21" s="1"/>
  <c r="AG56" i="21"/>
  <c r="AV35" i="21"/>
  <c r="AX130" i="21"/>
  <c r="AX128" i="21"/>
  <c r="AZ184" i="21"/>
  <c r="AZ123" i="21"/>
  <c r="AZ125" i="21"/>
  <c r="M130" i="21"/>
  <c r="M128" i="21"/>
  <c r="BA256" i="21"/>
  <c r="BA254" i="21"/>
  <c r="BA253" i="21"/>
  <c r="BA251" i="21"/>
  <c r="BA255" i="21"/>
  <c r="BA252" i="21"/>
  <c r="BA130" i="21"/>
  <c r="BA128" i="21"/>
  <c r="BA65" i="21"/>
  <c r="BA44" i="21"/>
  <c r="BA23" i="21"/>
  <c r="AS89" i="21"/>
  <c r="AK130" i="21"/>
  <c r="AK128" i="21"/>
  <c r="BZ83" i="21"/>
  <c r="AB84" i="21"/>
  <c r="L84" i="21"/>
  <c r="BS57" i="21"/>
  <c r="AS56" i="21"/>
  <c r="AV184" i="21"/>
  <c r="AV195" i="21"/>
  <c r="AV123" i="21"/>
  <c r="AV125" i="21"/>
  <c r="CB122" i="21"/>
  <c r="CB37" i="21" s="1"/>
  <c r="P130" i="21"/>
  <c r="P128" i="21"/>
  <c r="AJ128" i="21"/>
  <c r="AJ130" i="21"/>
  <c r="BV83" i="21"/>
  <c r="AA123" i="21"/>
  <c r="AA37" i="21"/>
  <c r="AA125" i="21"/>
  <c r="S84" i="21"/>
  <c r="AY63" i="21"/>
  <c r="BC63" i="21" s="1"/>
  <c r="AI63" i="21"/>
  <c r="BV57" i="21"/>
  <c r="AV56" i="21"/>
  <c r="AS37" i="21"/>
  <c r="AP130" i="21"/>
  <c r="AP128" i="21"/>
  <c r="AY56" i="21"/>
  <c r="O58" i="21"/>
  <c r="L37" i="21"/>
  <c r="AI21" i="21"/>
  <c r="AW14" i="21"/>
  <c r="AU21" i="21"/>
  <c r="Z16" i="21"/>
  <c r="BT15" i="21"/>
  <c r="AG14" i="21"/>
  <c r="BW16" i="21"/>
  <c r="BW15" i="21"/>
  <c r="AJ14" i="21"/>
  <c r="AR184" i="21"/>
  <c r="AR123" i="21"/>
  <c r="AR125" i="21"/>
  <c r="CA122" i="21"/>
  <c r="CA84" i="21" s="1"/>
  <c r="AB58" i="21"/>
  <c r="L58" i="21"/>
  <c r="O16" i="21"/>
  <c r="AY14" i="21"/>
  <c r="BZ36" i="21"/>
  <c r="AZ16" i="21"/>
  <c r="BU15" i="21"/>
  <c r="AA16" i="21"/>
  <c r="N16" i="21"/>
  <c r="AQ279" i="21"/>
  <c r="AQ281" i="21" s="1"/>
  <c r="V218" i="21"/>
  <c r="V221" i="21" s="1"/>
  <c r="V223" i="21" s="1"/>
  <c r="V208" i="21"/>
  <c r="V210" i="21" s="1"/>
  <c r="AH221" i="21"/>
  <c r="AH223" i="21" s="1"/>
  <c r="Q221" i="21"/>
  <c r="Q223" i="21" s="1"/>
  <c r="H221" i="21"/>
  <c r="H223" i="21" s="1"/>
  <c r="AI218" i="21"/>
  <c r="AI221" i="21" s="1"/>
  <c r="AI223" i="21" s="1"/>
  <c r="AI208" i="21"/>
  <c r="AI210" i="21" s="1"/>
  <c r="AA218" i="21"/>
  <c r="AA221" i="21" s="1"/>
  <c r="AA223" i="21" s="1"/>
  <c r="AA208" i="21"/>
  <c r="AA210" i="21" s="1"/>
  <c r="O218" i="21"/>
  <c r="O221" i="21" s="1"/>
  <c r="O223" i="21" s="1"/>
  <c r="O208" i="21"/>
  <c r="O210" i="21" s="1"/>
  <c r="AY257" i="21"/>
  <c r="AQ257" i="21"/>
  <c r="AI257" i="21"/>
  <c r="AE279" i="21"/>
  <c r="AE281" i="21" s="1"/>
  <c r="AA279" i="21"/>
  <c r="AA281" i="21" s="1"/>
  <c r="W279" i="21"/>
  <c r="W281" i="21" s="1"/>
  <c r="K257" i="21"/>
  <c r="K259" i="21" s="1"/>
  <c r="N221" i="21"/>
  <c r="N223" i="21" s="1"/>
  <c r="AT257" i="21"/>
  <c r="AT279" i="21"/>
  <c r="AT281" i="21" s="1"/>
  <c r="AP279" i="21"/>
  <c r="AP281" i="21" s="1"/>
  <c r="AL195" i="21"/>
  <c r="AD257" i="21"/>
  <c r="AD259" i="21" s="1"/>
  <c r="AD279" i="21"/>
  <c r="AD281" i="21" s="1"/>
  <c r="Z279" i="21"/>
  <c r="Z281" i="21" s="1"/>
  <c r="V257" i="21"/>
  <c r="V259" i="21" s="1"/>
  <c r="N279" i="21"/>
  <c r="N281" i="21" s="1"/>
  <c r="BW205" i="21"/>
  <c r="AZ279" i="21"/>
  <c r="AN257" i="21"/>
  <c r="AW279" i="21"/>
  <c r="AS195" i="21"/>
  <c r="AS257" i="21"/>
  <c r="AO279" i="21"/>
  <c r="AO281" i="21" s="1"/>
  <c r="AK279" i="21"/>
  <c r="AK281" i="21" s="1"/>
  <c r="AC257" i="21"/>
  <c r="AC259" i="21" s="1"/>
  <c r="Q257" i="21"/>
  <c r="Q259" i="21" s="1"/>
  <c r="M257" i="21"/>
  <c r="M259" i="21" s="1"/>
  <c r="AH82" i="21"/>
  <c r="U221" i="21"/>
  <c r="U223" i="21" s="1"/>
  <c r="AT184" i="21"/>
  <c r="AT125" i="21"/>
  <c r="AT123" i="21"/>
  <c r="AT58" i="21"/>
  <c r="AT16" i="21"/>
  <c r="AT37" i="21"/>
  <c r="AD184" i="21"/>
  <c r="AD125" i="21"/>
  <c r="AD123" i="21"/>
  <c r="AD58" i="21"/>
  <c r="AD37" i="21"/>
  <c r="BX83" i="21"/>
  <c r="AT82" i="21"/>
  <c r="AU130" i="21"/>
  <c r="AU128" i="21"/>
  <c r="AE130" i="21"/>
  <c r="AE128" i="21"/>
  <c r="AO184" i="21"/>
  <c r="AO125" i="21"/>
  <c r="AO84" i="21"/>
  <c r="AO123" i="21"/>
  <c r="AO16" i="21"/>
  <c r="Y125" i="21"/>
  <c r="Y123" i="21"/>
  <c r="Y84" i="21"/>
  <c r="Y37" i="21"/>
  <c r="I123" i="21"/>
  <c r="I84" i="21"/>
  <c r="I105" i="21"/>
  <c r="N105" i="21"/>
  <c r="AZ89" i="21"/>
  <c r="AJ89" i="21"/>
  <c r="AT84" i="21"/>
  <c r="AD84" i="21"/>
  <c r="N84" i="21"/>
  <c r="BS83" i="21"/>
  <c r="AO82" i="21"/>
  <c r="P115" i="21"/>
  <c r="S105" i="21"/>
  <c r="K128" i="21"/>
  <c r="AN82" i="21"/>
  <c r="AN84" i="21"/>
  <c r="BB49" i="21"/>
  <c r="BB51" i="21"/>
  <c r="CB36" i="21"/>
  <c r="N130" i="21"/>
  <c r="N128" i="21"/>
  <c r="W115" i="21"/>
  <c r="V125" i="21"/>
  <c r="V123" i="21"/>
  <c r="V115" i="21"/>
  <c r="V58" i="21"/>
  <c r="V37" i="21"/>
  <c r="BB136" i="21"/>
  <c r="AX89" i="21"/>
  <c r="AH89" i="21"/>
  <c r="AZ82" i="21"/>
  <c r="BH82" i="21" s="1"/>
  <c r="BL82" i="21" s="1"/>
  <c r="AY184" i="21"/>
  <c r="AY123" i="21"/>
  <c r="AY125" i="21"/>
  <c r="AU123" i="21"/>
  <c r="AU184" i="21"/>
  <c r="AU125" i="21"/>
  <c r="AQ123" i="21"/>
  <c r="AQ184" i="21"/>
  <c r="AQ125" i="21"/>
  <c r="AM184" i="21"/>
  <c r="AM123" i="21"/>
  <c r="AM125" i="21"/>
  <c r="AI184" i="21"/>
  <c r="AI123" i="21"/>
  <c r="AI125" i="21"/>
  <c r="AI37" i="21"/>
  <c r="AU58" i="21"/>
  <c r="BX57" i="21"/>
  <c r="AT56" i="21"/>
  <c r="AR35" i="21"/>
  <c r="AH130" i="21"/>
  <c r="AH128" i="21"/>
  <c r="AJ184" i="21"/>
  <c r="AJ123" i="21"/>
  <c r="BY122" i="21"/>
  <c r="BY58" i="21" s="1"/>
  <c r="AJ125" i="21"/>
  <c r="I128" i="21"/>
  <c r="BA122" i="21"/>
  <c r="AW89" i="21"/>
  <c r="AO130" i="21"/>
  <c r="AO128" i="21"/>
  <c r="AG89" i="21"/>
  <c r="Y130" i="21"/>
  <c r="Y128" i="21"/>
  <c r="H84" i="21"/>
  <c r="AO56" i="21"/>
  <c r="BV122" i="21"/>
  <c r="X125" i="21"/>
  <c r="X37" i="21"/>
  <c r="X123" i="21"/>
  <c r="Q115" i="21"/>
  <c r="I115" i="21"/>
  <c r="BU104" i="21"/>
  <c r="L128" i="21"/>
  <c r="L130" i="21"/>
  <c r="AV130" i="21"/>
  <c r="AV128" i="21"/>
  <c r="AF130" i="21"/>
  <c r="AF128" i="21"/>
  <c r="AR82" i="21"/>
  <c r="AE184" i="21"/>
  <c r="AE123" i="21"/>
  <c r="AE37" i="21"/>
  <c r="AE125" i="21"/>
  <c r="AU63" i="21"/>
  <c r="AK58" i="21"/>
  <c r="U58" i="21"/>
  <c r="AR56" i="21"/>
  <c r="BA50" i="21"/>
  <c r="AO37" i="21"/>
  <c r="AU56" i="21"/>
  <c r="AA58" i="21"/>
  <c r="K58" i="21"/>
  <c r="AN37" i="21"/>
  <c r="H37" i="21"/>
  <c r="AM16" i="21"/>
  <c r="BY15" i="21"/>
  <c r="AS14" i="21"/>
  <c r="R130" i="21"/>
  <c r="R128" i="21"/>
  <c r="AU37" i="21"/>
  <c r="S37" i="21"/>
  <c r="AP21" i="21"/>
  <c r="U16" i="21"/>
  <c r="BS15" i="21"/>
  <c r="AN58" i="21"/>
  <c r="X58" i="21"/>
  <c r="H58" i="21"/>
  <c r="M37" i="21"/>
  <c r="AR21" i="21"/>
  <c r="AT21" i="21"/>
  <c r="BZ15" i="21"/>
  <c r="AQ14" i="21"/>
  <c r="AV16" i="21"/>
  <c r="AF16" i="21"/>
  <c r="H16" i="21"/>
  <c r="K16" i="21"/>
  <c r="J16" i="21"/>
  <c r="AL36" i="3"/>
  <c r="AM36" i="3" s="1"/>
  <c r="F57" i="3"/>
  <c r="BE48" i="3"/>
  <c r="CH54" i="3"/>
  <c r="CH156" i="3" s="1"/>
  <c r="BX47" i="3"/>
  <c r="BX149" i="3" s="1"/>
  <c r="BR45" i="3"/>
  <c r="BR147" i="3" s="1"/>
  <c r="CR54" i="3"/>
  <c r="CR156" i="3" s="1"/>
  <c r="CJ54" i="3"/>
  <c r="CJ156" i="3" s="1"/>
  <c r="BX51" i="3"/>
  <c r="BX153" i="3" s="1"/>
  <c r="CK51" i="3"/>
  <c r="CK153" i="3" s="1"/>
  <c r="BU50" i="3"/>
  <c r="BU152" i="3" s="1"/>
  <c r="CH50" i="3"/>
  <c r="CH152" i="3" s="1"/>
  <c r="BV49" i="3"/>
  <c r="BV151" i="3" s="1"/>
  <c r="CI49" i="3"/>
  <c r="CI151" i="3" s="1"/>
  <c r="CA48" i="3"/>
  <c r="CA150" i="3" s="1"/>
  <c r="CL46" i="3"/>
  <c r="CL148" i="3" s="1"/>
  <c r="CQ45" i="3"/>
  <c r="CQ147" i="3" s="1"/>
  <c r="CI45" i="3"/>
  <c r="CI147" i="3" s="1"/>
  <c r="O38" i="3"/>
  <c r="CJ38" i="3" s="1"/>
  <c r="CJ140" i="3" s="1"/>
  <c r="CH36" i="3"/>
  <c r="CH138" i="3" s="1"/>
  <c r="CI57" i="3"/>
  <c r="CI159" i="3" s="1"/>
  <c r="BS54" i="3"/>
  <c r="BS156" i="3" s="1"/>
  <c r="AY50" i="3"/>
  <c r="CS50" i="3" s="1"/>
  <c r="CS152" i="3" s="1"/>
  <c r="S50" i="3"/>
  <c r="CK50" i="3" s="1"/>
  <c r="CK152" i="3" s="1"/>
  <c r="CS46" i="3"/>
  <c r="CS148" i="3" s="1"/>
  <c r="BZ51" i="3"/>
  <c r="BZ153" i="3" s="1"/>
  <c r="CM51" i="3"/>
  <c r="CM153" i="3" s="1"/>
  <c r="BW50" i="3"/>
  <c r="BW152" i="3" s="1"/>
  <c r="CJ50" i="3"/>
  <c r="CJ152" i="3" s="1"/>
  <c r="CK49" i="3"/>
  <c r="CK151" i="3" s="1"/>
  <c r="CT48" i="3"/>
  <c r="CT150" i="3" s="1"/>
  <c r="G48" i="3"/>
  <c r="F124" i="1"/>
  <c r="BR47" i="3"/>
  <c r="BR149" i="3" s="1"/>
  <c r="CR46" i="3"/>
  <c r="CR148" i="3" s="1"/>
  <c r="AE46" i="3"/>
  <c r="AD116" i="2"/>
  <c r="CS45" i="3"/>
  <c r="CS147" i="3" s="1"/>
  <c r="BX45" i="3"/>
  <c r="BX147" i="3" s="1"/>
  <c r="AU44" i="3"/>
  <c r="BZ50" i="3"/>
  <c r="BZ152" i="3" s="1"/>
  <c r="CI50" i="3"/>
  <c r="CI152" i="3" s="1"/>
  <c r="AU49" i="3"/>
  <c r="CR49" i="3" s="1"/>
  <c r="CR151" i="3" s="1"/>
  <c r="O49" i="3"/>
  <c r="CJ49" i="3" s="1"/>
  <c r="CJ151" i="3" s="1"/>
  <c r="AI48" i="3"/>
  <c r="AH124" i="1"/>
  <c r="W47" i="3"/>
  <c r="CL47" i="3" s="1"/>
  <c r="CL149" i="3" s="1"/>
  <c r="BV46" i="3"/>
  <c r="BV148" i="3" s="1"/>
  <c r="BQ37" i="3"/>
  <c r="BQ139" i="3" s="1"/>
  <c r="AO95" i="3"/>
  <c r="AO67" i="3"/>
  <c r="AO69" i="3" s="1"/>
  <c r="AO41" i="3"/>
  <c r="AP34" i="3"/>
  <c r="BQ39" i="3"/>
  <c r="BQ141" i="3" s="1"/>
  <c r="CM37" i="3"/>
  <c r="CM139" i="3" s="1"/>
  <c r="CQ35" i="3"/>
  <c r="CQ137" i="3" s="1"/>
  <c r="BU35" i="3"/>
  <c r="BU137" i="3" s="1"/>
  <c r="CP30" i="3"/>
  <c r="CP132" i="3" s="1"/>
  <c r="CL30" i="3"/>
  <c r="CL132" i="3" s="1"/>
  <c r="CH30" i="3"/>
  <c r="CH132" i="3" s="1"/>
  <c r="AL29" i="3"/>
  <c r="F29" i="3"/>
  <c r="AL28" i="3"/>
  <c r="AM28" i="3" s="1"/>
  <c r="F28" i="3"/>
  <c r="G28" i="3" s="1"/>
  <c r="Z27" i="3"/>
  <c r="AA27" i="3" s="1"/>
  <c r="AP26" i="3"/>
  <c r="AQ26" i="3" s="1"/>
  <c r="CQ26" i="3" s="1"/>
  <c r="CQ128" i="3" s="1"/>
  <c r="AW94" i="3"/>
  <c r="AX14" i="3"/>
  <c r="AG94" i="3"/>
  <c r="AH14" i="3"/>
  <c r="BX50" i="3"/>
  <c r="BX152" i="3" s="1"/>
  <c r="CL40" i="3"/>
  <c r="CL142" i="3" s="1"/>
  <c r="CQ39" i="3"/>
  <c r="CQ141" i="3" s="1"/>
  <c r="CL39" i="3"/>
  <c r="CL141" i="3" s="1"/>
  <c r="CP38" i="3"/>
  <c r="CP140" i="3" s="1"/>
  <c r="V67" i="3"/>
  <c r="V69" i="3" s="1"/>
  <c r="W34" i="3"/>
  <c r="V41" i="3"/>
  <c r="F67" i="3"/>
  <c r="F69" i="3" s="1"/>
  <c r="G34" i="3"/>
  <c r="F41" i="3"/>
  <c r="BY30" i="3"/>
  <c r="BY132" i="3" s="1"/>
  <c r="BQ30" i="3"/>
  <c r="BQ132" i="3" s="1"/>
  <c r="BQ28" i="3"/>
  <c r="BQ130" i="3" s="1"/>
  <c r="F25" i="3"/>
  <c r="G25" i="3" s="1"/>
  <c r="AH24" i="3"/>
  <c r="AI24" i="3" s="1"/>
  <c r="R23" i="3"/>
  <c r="S23" i="3" s="1"/>
  <c r="AU21" i="3"/>
  <c r="CR21" i="3" s="1"/>
  <c r="CR123" i="3" s="1"/>
  <c r="O21" i="3"/>
  <c r="CJ21" i="3" s="1"/>
  <c r="CJ123" i="3" s="1"/>
  <c r="AQ18" i="3"/>
  <c r="BZ18" i="3" s="1"/>
  <c r="BZ120" i="3" s="1"/>
  <c r="K18" i="3"/>
  <c r="BR18" i="3" s="1"/>
  <c r="BR120" i="3" s="1"/>
  <c r="AL70" i="3"/>
  <c r="AM16" i="3"/>
  <c r="AM70" i="3" s="1"/>
  <c r="V70" i="3"/>
  <c r="W16" i="3"/>
  <c r="BU16" i="3" s="1"/>
  <c r="F70" i="3"/>
  <c r="G16" i="3"/>
  <c r="BQ16" i="3" s="1"/>
  <c r="AO82" i="3"/>
  <c r="AO93" i="3"/>
  <c r="AO85" i="3"/>
  <c r="AP13" i="3"/>
  <c r="AO140" i="1"/>
  <c r="Y82" i="3"/>
  <c r="Y83" i="3" s="1"/>
  <c r="Y85" i="3"/>
  <c r="Z13" i="3"/>
  <c r="Y140" i="1"/>
  <c r="I82" i="3"/>
  <c r="I83" i="3" s="1"/>
  <c r="I85" i="3"/>
  <c r="J13" i="3"/>
  <c r="I140" i="1"/>
  <c r="CP37" i="3"/>
  <c r="CP139" i="3" s="1"/>
  <c r="CI35" i="3"/>
  <c r="CI137" i="3" s="1"/>
  <c r="CQ29" i="3"/>
  <c r="CQ131" i="3" s="1"/>
  <c r="CM29" i="3"/>
  <c r="CM131" i="3" s="1"/>
  <c r="CI29" i="3"/>
  <c r="CI131" i="3" s="1"/>
  <c r="CM25" i="3"/>
  <c r="CM127" i="3" s="1"/>
  <c r="CL24" i="3"/>
  <c r="CL126" i="3" s="1"/>
  <c r="CP23" i="3"/>
  <c r="CP125" i="3" s="1"/>
  <c r="CH23" i="3"/>
  <c r="CH125" i="3" s="1"/>
  <c r="AZ86" i="3"/>
  <c r="AJ86" i="3"/>
  <c r="X86" i="3"/>
  <c r="P86" i="3"/>
  <c r="H86" i="3"/>
  <c r="BR37" i="3"/>
  <c r="BR139" i="3" s="1"/>
  <c r="CM35" i="3"/>
  <c r="CM137" i="3" s="1"/>
  <c r="BQ35" i="3"/>
  <c r="BQ137" i="3" s="1"/>
  <c r="AD67" i="3"/>
  <c r="AD69" i="3" s="1"/>
  <c r="AE34" i="3"/>
  <c r="AD41" i="3"/>
  <c r="BV30" i="3"/>
  <c r="BV132" i="3" s="1"/>
  <c r="BZ29" i="3"/>
  <c r="BZ131" i="3" s="1"/>
  <c r="BR29" i="3"/>
  <c r="BR131" i="3" s="1"/>
  <c r="BV28" i="3"/>
  <c r="BV130" i="3" s="1"/>
  <c r="CA27" i="3"/>
  <c r="CA129" i="3" s="1"/>
  <c r="BS27" i="3"/>
  <c r="BS129" i="3" s="1"/>
  <c r="BY26" i="3"/>
  <c r="BY128" i="3" s="1"/>
  <c r="BR26" i="3"/>
  <c r="BR128" i="3" s="1"/>
  <c r="BU23" i="3"/>
  <c r="BX21" i="3"/>
  <c r="BX123" i="3" s="1"/>
  <c r="BQ94" i="3"/>
  <c r="CI24" i="3"/>
  <c r="CI126" i="3" s="1"/>
  <c r="CM20" i="3"/>
  <c r="CM122" i="3" s="1"/>
  <c r="BX17" i="3"/>
  <c r="BX119" i="3" s="1"/>
  <c r="CS21" i="3"/>
  <c r="CS123" i="3" s="1"/>
  <c r="CO21" i="3"/>
  <c r="CO123" i="3" s="1"/>
  <c r="CK21" i="3"/>
  <c r="CK123" i="3" s="1"/>
  <c r="CP20" i="3"/>
  <c r="CP122" i="3" s="1"/>
  <c r="CB19" i="3"/>
  <c r="CB121" i="3" s="1"/>
  <c r="CO19" i="3"/>
  <c r="CO121" i="3" s="1"/>
  <c r="BS18" i="3"/>
  <c r="BS120" i="3" s="1"/>
  <c r="CM14" i="3"/>
  <c r="CM116" i="3" s="1"/>
  <c r="BX20" i="3"/>
  <c r="BX122" i="3" s="1"/>
  <c r="CK20" i="3"/>
  <c r="CK122" i="3" s="1"/>
  <c r="BS19" i="3"/>
  <c r="BS121" i="3" s="1"/>
  <c r="BZ17" i="3"/>
  <c r="BZ119" i="3" s="1"/>
  <c r="CA20" i="3"/>
  <c r="CA122" i="3" s="1"/>
  <c r="CN20" i="3"/>
  <c r="CN122" i="3" s="1"/>
  <c r="BV19" i="3"/>
  <c r="BV121" i="3" s="1"/>
  <c r="BY17" i="3"/>
  <c r="BY119" i="3" s="1"/>
  <c r="CH17" i="3"/>
  <c r="CH119" i="3" s="1"/>
  <c r="CK14" i="3"/>
  <c r="CK116" i="3" s="1"/>
  <c r="AT51" i="3"/>
  <c r="AU51" i="3" s="1"/>
  <c r="AL49" i="3"/>
  <c r="AM49" i="3" s="1"/>
  <c r="AT47" i="3"/>
  <c r="AU47" i="3" s="1"/>
  <c r="AL45" i="3"/>
  <c r="AM45" i="3" s="1"/>
  <c r="BI69" i="3"/>
  <c r="O48" i="3"/>
  <c r="O124" i="1" s="1"/>
  <c r="N124" i="1"/>
  <c r="AH52" i="3"/>
  <c r="AI44" i="3"/>
  <c r="CO44" i="3" s="1"/>
  <c r="Z52" i="3"/>
  <c r="AA44" i="3"/>
  <c r="O40" i="3"/>
  <c r="BS40" i="3" s="1"/>
  <c r="BS142" i="3" s="1"/>
  <c r="AA48" i="3"/>
  <c r="AA124" i="1" s="1"/>
  <c r="Z124" i="1"/>
  <c r="AI46" i="3"/>
  <c r="AI116" i="2" s="1"/>
  <c r="AI119" i="2" s="1"/>
  <c r="AH116" i="2"/>
  <c r="AH119" i="2" s="1"/>
  <c r="BZ54" i="3"/>
  <c r="BZ156" i="3" s="1"/>
  <c r="W48" i="3"/>
  <c r="W124" i="1" s="1"/>
  <c r="V124" i="1"/>
  <c r="G44" i="3"/>
  <c r="CH44" i="3" s="1"/>
  <c r="G51" i="3"/>
  <c r="CH51" i="3" s="1"/>
  <c r="CH153" i="3" s="1"/>
  <c r="AU45" i="3"/>
  <c r="CR45" i="3" s="1"/>
  <c r="CR147" i="3" s="1"/>
  <c r="O45" i="3"/>
  <c r="CJ45" i="3" s="1"/>
  <c r="CJ147" i="3" s="1"/>
  <c r="Y67" i="3"/>
  <c r="Y69" i="3" s="1"/>
  <c r="Y41" i="3"/>
  <c r="Z34" i="3"/>
  <c r="AD29" i="3"/>
  <c r="AE29" i="3" s="1"/>
  <c r="AD28" i="3"/>
  <c r="AE28" i="3" s="1"/>
  <c r="AX27" i="3"/>
  <c r="AY27" i="3" s="1"/>
  <c r="R27" i="3"/>
  <c r="S27" i="3" s="1"/>
  <c r="AH26" i="3"/>
  <c r="AI26" i="3" s="1"/>
  <c r="AX25" i="3"/>
  <c r="AY25" i="3" s="1"/>
  <c r="R25" i="3"/>
  <c r="S25" i="3" s="1"/>
  <c r="AD24" i="3"/>
  <c r="AE24" i="3" s="1"/>
  <c r="AT23" i="3"/>
  <c r="AU23" i="3" s="1"/>
  <c r="N23" i="3"/>
  <c r="O23" i="3" s="1"/>
  <c r="AS94" i="3"/>
  <c r="AT14" i="3"/>
  <c r="AK41" i="3"/>
  <c r="BW28" i="3"/>
  <c r="BW130" i="3" s="1"/>
  <c r="F26" i="3"/>
  <c r="G26" i="3" s="1"/>
  <c r="V25" i="3"/>
  <c r="W25" i="3" s="1"/>
  <c r="AX24" i="3"/>
  <c r="AY24" i="3" s="1"/>
  <c r="AH23" i="3"/>
  <c r="AI23" i="3" s="1"/>
  <c r="AI18" i="3"/>
  <c r="BX18" i="3" s="1"/>
  <c r="BX120" i="3" s="1"/>
  <c r="AY16" i="3"/>
  <c r="AY70" i="3" s="1"/>
  <c r="AH70" i="3"/>
  <c r="AI16" i="3"/>
  <c r="AI70" i="3" s="1"/>
  <c r="R70" i="3"/>
  <c r="AY15" i="3"/>
  <c r="CB15" i="3" s="1"/>
  <c r="S15" i="3"/>
  <c r="BT15" i="3" s="1"/>
  <c r="BT117" i="3" s="1"/>
  <c r="BA93" i="3"/>
  <c r="BA85" i="3"/>
  <c r="BA82" i="3"/>
  <c r="BA140" i="1"/>
  <c r="AK93" i="3"/>
  <c r="AK85" i="3"/>
  <c r="AK82" i="3"/>
  <c r="AL13" i="3"/>
  <c r="AK140" i="1"/>
  <c r="U85" i="3"/>
  <c r="U82" i="3"/>
  <c r="U83" i="3" s="1"/>
  <c r="V13" i="3"/>
  <c r="U140" i="1"/>
  <c r="E85" i="3"/>
  <c r="E82" i="3"/>
  <c r="E83" i="3" s="1"/>
  <c r="F13" i="3"/>
  <c r="E140" i="1"/>
  <c r="AH95" i="3"/>
  <c r="AH67" i="3"/>
  <c r="AH69" i="3" s="1"/>
  <c r="AH41" i="3"/>
  <c r="AI34" i="3"/>
  <c r="N67" i="3"/>
  <c r="N69" i="3" s="1"/>
  <c r="O34" i="3"/>
  <c r="CJ34" i="3" s="1"/>
  <c r="N41" i="3"/>
  <c r="BX29" i="3"/>
  <c r="BX131" i="3" s="1"/>
  <c r="BY27" i="3"/>
  <c r="BY129" i="3" s="1"/>
  <c r="BQ27" i="3"/>
  <c r="BQ129" i="3" s="1"/>
  <c r="BZ25" i="3"/>
  <c r="BZ127" i="3" s="1"/>
  <c r="BY24" i="3"/>
  <c r="BY126" i="3" s="1"/>
  <c r="CL15" i="3"/>
  <c r="CL117" i="3" s="1"/>
  <c r="BT21" i="3"/>
  <c r="BT123" i="3" s="1"/>
  <c r="CK15" i="3"/>
  <c r="CK117" i="3" s="1"/>
  <c r="AP57" i="3"/>
  <c r="AQ57" i="3" s="1"/>
  <c r="AD51" i="3"/>
  <c r="AE51" i="3" s="1"/>
  <c r="BW51" i="3" s="1"/>
  <c r="BW153" i="3" s="1"/>
  <c r="V49" i="3"/>
  <c r="W49" i="3" s="1"/>
  <c r="AD47" i="3"/>
  <c r="AE47" i="3" s="1"/>
  <c r="V45" i="3"/>
  <c r="W45" i="3" s="1"/>
  <c r="CP54" i="3"/>
  <c r="CP156" i="3" s="1"/>
  <c r="BZ45" i="3"/>
  <c r="BZ147" i="3" s="1"/>
  <c r="AE48" i="3"/>
  <c r="BW48" i="3" s="1"/>
  <c r="BW150" i="3" s="1"/>
  <c r="AD124" i="1"/>
  <c r="BQ46" i="3"/>
  <c r="BQ148" i="3" s="1"/>
  <c r="AU38" i="3"/>
  <c r="CA38" i="3" s="1"/>
  <c r="CA140" i="3" s="1"/>
  <c r="AM48" i="3"/>
  <c r="AL124" i="1"/>
  <c r="AS52" i="3"/>
  <c r="W44" i="3"/>
  <c r="CL44" i="3" s="1"/>
  <c r="O44" i="3"/>
  <c r="BR50" i="3"/>
  <c r="BR152" i="3" s="1"/>
  <c r="AE49" i="3"/>
  <c r="CN49" i="3" s="1"/>
  <c r="CN151" i="3" s="1"/>
  <c r="CS48" i="3"/>
  <c r="AM47" i="3"/>
  <c r="G47" i="3"/>
  <c r="CH47" i="3" s="1"/>
  <c r="CH149" i="3" s="1"/>
  <c r="I67" i="3"/>
  <c r="I69" i="3" s="1"/>
  <c r="I41" i="3"/>
  <c r="J34" i="3"/>
  <c r="V29" i="3"/>
  <c r="W29" i="3" s="1"/>
  <c r="V28" i="3"/>
  <c r="W28" i="3" s="1"/>
  <c r="AP27" i="3"/>
  <c r="AQ27" i="3" s="1"/>
  <c r="J27" i="3"/>
  <c r="K27" i="3" s="1"/>
  <c r="Z26" i="3"/>
  <c r="AA26" i="3" s="1"/>
  <c r="AO94" i="3"/>
  <c r="AP14" i="3"/>
  <c r="BQ40" i="3"/>
  <c r="BQ142" i="3" s="1"/>
  <c r="BU30" i="3"/>
  <c r="BU132" i="3" s="1"/>
  <c r="CC28" i="3"/>
  <c r="CC130" i="3" s="1"/>
  <c r="BZ27" i="3"/>
  <c r="BZ129" i="3" s="1"/>
  <c r="AL25" i="3"/>
  <c r="AM25" i="3" s="1"/>
  <c r="AX23" i="3"/>
  <c r="AY23" i="3" s="1"/>
  <c r="AE21" i="3"/>
  <c r="CN21" i="3" s="1"/>
  <c r="CN123" i="3" s="1"/>
  <c r="AA18" i="3"/>
  <c r="CM18" i="3" s="1"/>
  <c r="CM120" i="3" s="1"/>
  <c r="AT70" i="3"/>
  <c r="AU16" i="3"/>
  <c r="AU70" i="3" s="1"/>
  <c r="AD70" i="3"/>
  <c r="AE16" i="3"/>
  <c r="AE70" i="3" s="1"/>
  <c r="N70" i="3"/>
  <c r="O16" i="3"/>
  <c r="O70" i="3" s="1"/>
  <c r="AW82" i="3"/>
  <c r="AW93" i="3"/>
  <c r="AW85" i="3"/>
  <c r="AX13" i="3"/>
  <c r="AW140" i="1"/>
  <c r="AG82" i="3"/>
  <c r="AG93" i="3"/>
  <c r="AG85" i="3"/>
  <c r="AH13" i="3"/>
  <c r="AG140" i="1"/>
  <c r="Q82" i="3"/>
  <c r="Q83" i="3" s="1"/>
  <c r="Q85" i="3"/>
  <c r="R13" i="3"/>
  <c r="Q140" i="1"/>
  <c r="CQ25" i="3"/>
  <c r="CQ127" i="3" s="1"/>
  <c r="CH24" i="3"/>
  <c r="CH126" i="3" s="1"/>
  <c r="AR86" i="3"/>
  <c r="AB86" i="3"/>
  <c r="T86" i="3"/>
  <c r="L86" i="3"/>
  <c r="D86" i="3"/>
  <c r="CS38" i="3"/>
  <c r="CS140" i="3" s="1"/>
  <c r="BT38" i="3"/>
  <c r="BT140" i="3" s="1"/>
  <c r="AT95" i="3"/>
  <c r="AT67" i="3"/>
  <c r="AT69" i="3" s="1"/>
  <c r="AU34" i="3"/>
  <c r="CR34" i="3" s="1"/>
  <c r="AT41" i="3"/>
  <c r="BV29" i="3"/>
  <c r="BV131" i="3" s="1"/>
  <c r="BU26" i="3"/>
  <c r="BU128" i="3" s="1"/>
  <c r="BV25" i="3"/>
  <c r="BV127" i="3" s="1"/>
  <c r="BU24" i="3"/>
  <c r="BU126" i="3" s="1"/>
  <c r="BY23" i="3"/>
  <c r="BQ23" i="3"/>
  <c r="BQ125" i="3" s="1"/>
  <c r="CH15" i="3"/>
  <c r="CH117" i="3" s="1"/>
  <c r="CR25" i="3"/>
  <c r="CR127" i="3" s="1"/>
  <c r="CQ20" i="3"/>
  <c r="CQ122" i="3" s="1"/>
  <c r="CI20" i="3"/>
  <c r="CI122" i="3" s="1"/>
  <c r="CO17" i="3"/>
  <c r="CO119" i="3" s="1"/>
  <c r="BQ15" i="3"/>
  <c r="BQ117" i="3" s="1"/>
  <c r="BU20" i="3"/>
  <c r="BU122" i="3" s="1"/>
  <c r="BT19" i="3"/>
  <c r="BT121" i="3" s="1"/>
  <c r="BR14" i="3"/>
  <c r="CA19" i="3"/>
  <c r="CA121" i="3" s="1"/>
  <c r="CM17" i="3"/>
  <c r="CM119" i="3" s="1"/>
  <c r="CM24" i="3"/>
  <c r="CM126" i="3" s="1"/>
  <c r="CM19" i="3"/>
  <c r="CM121" i="3" s="1"/>
  <c r="BQ17" i="3"/>
  <c r="BQ119" i="3" s="1"/>
  <c r="AK143" i="3"/>
  <c r="V57" i="3"/>
  <c r="W57" i="3" s="1"/>
  <c r="Z57" i="3"/>
  <c r="AA57" i="3" s="1"/>
  <c r="N51" i="3"/>
  <c r="O51" i="3" s="1"/>
  <c r="BS51" i="3" s="1"/>
  <c r="BS153" i="3" s="1"/>
  <c r="F49" i="3"/>
  <c r="N47" i="3"/>
  <c r="F45" i="3"/>
  <c r="G45" i="3" s="1"/>
  <c r="CL54" i="3"/>
  <c r="CL156" i="3" s="1"/>
  <c r="BU44" i="3"/>
  <c r="BU54" i="3"/>
  <c r="BU156" i="3" s="1"/>
  <c r="BT51" i="3"/>
  <c r="BT153" i="3" s="1"/>
  <c r="BQ50" i="3"/>
  <c r="BQ152" i="3" s="1"/>
  <c r="BR49" i="3"/>
  <c r="BR151" i="3" s="1"/>
  <c r="AM46" i="3"/>
  <c r="BY46" i="3" s="1"/>
  <c r="BY148" i="3" s="1"/>
  <c r="AL116" i="2"/>
  <c r="AL119" i="2" s="1"/>
  <c r="BU46" i="3"/>
  <c r="BU148" i="3" s="1"/>
  <c r="CH46" i="3"/>
  <c r="CH148" i="3" s="1"/>
  <c r="AX52" i="3"/>
  <c r="AY44" i="3"/>
  <c r="CS44" i="3" s="1"/>
  <c r="AP52" i="3"/>
  <c r="AQ44" i="3"/>
  <c r="BZ44" i="3" s="1"/>
  <c r="R52" i="3"/>
  <c r="S44" i="3"/>
  <c r="J52" i="3"/>
  <c r="K44" i="3"/>
  <c r="AE38" i="3"/>
  <c r="CN38" i="3" s="1"/>
  <c r="CN140" i="3" s="1"/>
  <c r="CL36" i="3"/>
  <c r="CL138" i="3" s="1"/>
  <c r="BW54" i="3"/>
  <c r="BW156" i="3" s="1"/>
  <c r="CO50" i="3"/>
  <c r="CO152" i="3" s="1"/>
  <c r="BY49" i="3"/>
  <c r="BY151" i="3" s="1"/>
  <c r="AQ48" i="3"/>
  <c r="BZ48" i="3" s="1"/>
  <c r="BZ150" i="3" s="1"/>
  <c r="AP124" i="1"/>
  <c r="K48" i="3"/>
  <c r="BR48" i="3" s="1"/>
  <c r="BR150" i="3" s="1"/>
  <c r="J124" i="1"/>
  <c r="S46" i="3"/>
  <c r="CK46" i="3" s="1"/>
  <c r="CK148" i="3" s="1"/>
  <c r="BX44" i="3"/>
  <c r="BR54" i="3"/>
  <c r="BR156" i="3" s="1"/>
  <c r="BV51" i="3"/>
  <c r="BV153" i="3" s="1"/>
  <c r="BS50" i="3"/>
  <c r="BS152" i="3" s="1"/>
  <c r="CP48" i="3"/>
  <c r="CA46" i="3"/>
  <c r="CA148" i="3" s="1"/>
  <c r="CO45" i="3"/>
  <c r="CO147" i="3" s="1"/>
  <c r="AM44" i="3"/>
  <c r="AE44" i="3"/>
  <c r="U52" i="3"/>
  <c r="W51" i="3"/>
  <c r="CL51" i="3" s="1"/>
  <c r="CL153" i="3" s="1"/>
  <c r="BV50" i="3"/>
  <c r="BV152" i="3" s="1"/>
  <c r="CB48" i="3"/>
  <c r="CB150" i="3" s="1"/>
  <c r="S48" i="3"/>
  <c r="R124" i="1"/>
  <c r="BR46" i="3"/>
  <c r="BR148" i="3" s="1"/>
  <c r="AE45" i="3"/>
  <c r="CN45" i="3" s="1"/>
  <c r="CN147" i="3" s="1"/>
  <c r="BU37" i="3"/>
  <c r="BU139" i="3" s="1"/>
  <c r="BV37" i="3"/>
  <c r="BV139" i="3" s="1"/>
  <c r="CL35" i="3"/>
  <c r="CL137" i="3" s="1"/>
  <c r="AT29" i="3"/>
  <c r="AU29" i="3" s="1"/>
  <c r="N29" i="3"/>
  <c r="O29" i="3" s="1"/>
  <c r="AT28" i="3"/>
  <c r="AU28" i="3" s="1"/>
  <c r="N28" i="3"/>
  <c r="O28" i="3" s="1"/>
  <c r="AH27" i="3"/>
  <c r="AI27" i="3" s="1"/>
  <c r="AX26" i="3"/>
  <c r="AY26" i="3" s="1"/>
  <c r="R26" i="3"/>
  <c r="S26" i="3" s="1"/>
  <c r="AH25" i="3"/>
  <c r="AI25" i="3" s="1"/>
  <c r="AT24" i="3"/>
  <c r="N24" i="3"/>
  <c r="O24" i="3" s="1"/>
  <c r="AD23" i="3"/>
  <c r="BA94" i="3"/>
  <c r="AK94" i="3"/>
  <c r="AL14" i="3"/>
  <c r="BT94" i="3"/>
  <c r="BT116" i="3"/>
  <c r="BU39" i="3"/>
  <c r="BU141" i="3" s="1"/>
  <c r="AL95" i="3"/>
  <c r="AL67" i="3"/>
  <c r="AL69" i="3" s="1"/>
  <c r="CA30" i="3"/>
  <c r="CA132" i="3" s="1"/>
  <c r="BS30" i="3"/>
  <c r="BS132" i="3" s="1"/>
  <c r="CC29" i="3"/>
  <c r="CC131" i="3" s="1"/>
  <c r="R24" i="3"/>
  <c r="CA23" i="3"/>
  <c r="AY18" i="3"/>
  <c r="CB18" i="3" s="1"/>
  <c r="CB120" i="3" s="1"/>
  <c r="S18" i="3"/>
  <c r="CK18" i="3" s="1"/>
  <c r="CK120" i="3" s="1"/>
  <c r="AP70" i="3"/>
  <c r="AQ16" i="3"/>
  <c r="Z70" i="3"/>
  <c r="AA16" i="3"/>
  <c r="J70" i="3"/>
  <c r="K16" i="3"/>
  <c r="AI15" i="3"/>
  <c r="AS93" i="3"/>
  <c r="AS85" i="3"/>
  <c r="AS82" i="3"/>
  <c r="AT13" i="3"/>
  <c r="AS140" i="1"/>
  <c r="AC85" i="3"/>
  <c r="AC82" i="3"/>
  <c r="AD13" i="3"/>
  <c r="AC140" i="1"/>
  <c r="M85" i="3"/>
  <c r="M82" i="3"/>
  <c r="M83" i="3" s="1"/>
  <c r="N13" i="3"/>
  <c r="M140" i="1"/>
  <c r="AX95" i="3"/>
  <c r="AX67" i="3"/>
  <c r="AX69" i="3" s="1"/>
  <c r="AX41" i="3"/>
  <c r="AY34" i="3"/>
  <c r="CB34" i="3" s="1"/>
  <c r="R67" i="3"/>
  <c r="R69" i="3" s="1"/>
  <c r="R41" i="3"/>
  <c r="S34" i="3"/>
  <c r="BT34" i="3" s="1"/>
  <c r="CS29" i="3"/>
  <c r="CS131" i="3" s="1"/>
  <c r="CO29" i="3"/>
  <c r="CO131" i="3" s="1"/>
  <c r="CK29" i="3"/>
  <c r="CK131" i="3" s="1"/>
  <c r="CI26" i="3"/>
  <c r="CI128" i="3" s="1"/>
  <c r="BX24" i="3"/>
  <c r="BX126" i="3" s="1"/>
  <c r="BT23" i="3"/>
  <c r="BT125" i="3" s="1"/>
  <c r="AV86" i="3"/>
  <c r="AF86" i="3"/>
  <c r="BR44" i="3"/>
  <c r="BR39" i="3"/>
  <c r="BR141" i="3" s="1"/>
  <c r="CH35" i="3"/>
  <c r="CH137" i="3" s="1"/>
  <c r="BX30" i="3"/>
  <c r="BX132" i="3" s="1"/>
  <c r="CB29" i="3"/>
  <c r="CB131" i="3" s="1"/>
  <c r="BT29" i="3"/>
  <c r="BT131" i="3" s="1"/>
  <c r="BX28" i="3"/>
  <c r="BX130" i="3" s="1"/>
  <c r="BU27" i="3"/>
  <c r="BU129" i="3" s="1"/>
  <c r="CA26" i="3"/>
  <c r="CA128" i="3" s="1"/>
  <c r="BR25" i="3"/>
  <c r="BR127" i="3" s="1"/>
  <c r="BQ24" i="3"/>
  <c r="BQ126" i="3" s="1"/>
  <c r="BU116" i="3"/>
  <c r="BU94" i="3"/>
  <c r="CS17" i="3"/>
  <c r="CS119" i="3" s="1"/>
  <c r="BU15" i="3"/>
  <c r="CN25" i="3"/>
  <c r="CN127" i="3" s="1"/>
  <c r="BY20" i="3"/>
  <c r="BY122" i="3" s="1"/>
  <c r="CL20" i="3"/>
  <c r="CL122" i="3" s="1"/>
  <c r="BX19" i="3"/>
  <c r="BX121" i="3" s="1"/>
  <c r="CK19" i="3"/>
  <c r="CK121" i="3" s="1"/>
  <c r="CN17" i="3"/>
  <c r="CN119" i="3" s="1"/>
  <c r="BV14" i="3"/>
  <c r="CI14" i="3"/>
  <c r="CI116" i="3" s="1"/>
  <c r="CQ24" i="3"/>
  <c r="CQ126" i="3" s="1"/>
  <c r="BT20" i="3"/>
  <c r="BT122" i="3" s="1"/>
  <c r="CR19" i="3"/>
  <c r="CR121" i="3" s="1"/>
  <c r="CQ17" i="3"/>
  <c r="CQ119" i="3" s="1"/>
  <c r="BV17" i="3"/>
  <c r="BV119" i="3" s="1"/>
  <c r="CH14" i="3"/>
  <c r="CH116" i="3" s="1"/>
  <c r="BW20" i="3"/>
  <c r="BW122" i="3" s="1"/>
  <c r="CQ19" i="3"/>
  <c r="CQ121" i="3" s="1"/>
  <c r="CQ18" i="3"/>
  <c r="CQ120" i="3" s="1"/>
  <c r="BU17" i="3"/>
  <c r="BU119" i="3" s="1"/>
  <c r="BS14" i="3"/>
  <c r="BH108" i="2"/>
  <c r="BI108" i="2" s="1"/>
  <c r="BJ108" i="2" s="1"/>
  <c r="BK108" i="2" s="1"/>
  <c r="CD108" i="2"/>
  <c r="CC39" i="2"/>
  <c r="BD87" i="2"/>
  <c r="CL98" i="2"/>
  <c r="CL27" i="2"/>
  <c r="BY98" i="2"/>
  <c r="BY27" i="2"/>
  <c r="AP132" i="2"/>
  <c r="AO142" i="2"/>
  <c r="AV155" i="2"/>
  <c r="CA152" i="2"/>
  <c r="AE154" i="2"/>
  <c r="BW152" i="2"/>
  <c r="CM77" i="2"/>
  <c r="BD106" i="2"/>
  <c r="CC106" i="2"/>
  <c r="CT35" i="2"/>
  <c r="BE35" i="2"/>
  <c r="P98" i="2"/>
  <c r="P27" i="2"/>
  <c r="BR98" i="2"/>
  <c r="BR27" i="2"/>
  <c r="BA150" i="2"/>
  <c r="BA152" i="2" s="1"/>
  <c r="BB155" i="2" s="1"/>
  <c r="BA86" i="2"/>
  <c r="BA88" i="2" s="1"/>
  <c r="BA90" i="2" s="1"/>
  <c r="AM98" i="2"/>
  <c r="AM27" i="2"/>
  <c r="W98" i="2"/>
  <c r="W27" i="2"/>
  <c r="BF56" i="2"/>
  <c r="BE43" i="2"/>
  <c r="BF43" i="2" s="1"/>
  <c r="BG43" i="2" s="1"/>
  <c r="CT43" i="2"/>
  <c r="X98" i="2"/>
  <c r="X27" i="2"/>
  <c r="CS98" i="2"/>
  <c r="CS27" i="2"/>
  <c r="CA17" i="2"/>
  <c r="BH23" i="2"/>
  <c r="CD23" i="2"/>
  <c r="CJ17" i="2"/>
  <c r="BU17" i="2"/>
  <c r="CT33" i="2"/>
  <c r="BE33" i="2"/>
  <c r="CQ17" i="2"/>
  <c r="CI17" i="2"/>
  <c r="AQ151" i="2"/>
  <c r="BZ85" i="2"/>
  <c r="BZ86" i="2" s="1"/>
  <c r="BC151" i="2"/>
  <c r="CC151" i="2" s="1"/>
  <c r="CC85" i="2"/>
  <c r="BV98" i="2"/>
  <c r="BV27" i="2"/>
  <c r="BY143" i="2"/>
  <c r="BY152" i="2"/>
  <c r="AL154" i="2"/>
  <c r="AM154" i="2" s="1"/>
  <c r="AN154" i="2" s="1"/>
  <c r="AO154" i="2" s="1"/>
  <c r="CT42" i="2"/>
  <c r="BE42" i="2"/>
  <c r="BH36" i="2"/>
  <c r="CD36" i="2"/>
  <c r="CT34" i="2"/>
  <c r="BE34" i="2"/>
  <c r="BF34" i="2" s="1"/>
  <c r="BG34" i="2" s="1"/>
  <c r="CC87" i="2"/>
  <c r="AQ98" i="2"/>
  <c r="AQ27" i="2"/>
  <c r="AQ49" i="2" s="1"/>
  <c r="O98" i="2"/>
  <c r="O27" i="2"/>
  <c r="G98" i="2"/>
  <c r="G27" i="2"/>
  <c r="BT98" i="2"/>
  <c r="H98" i="2"/>
  <c r="H27" i="2"/>
  <c r="CO98" i="2"/>
  <c r="CO27" i="2"/>
  <c r="BW98" i="2"/>
  <c r="BW27" i="2"/>
  <c r="CU24" i="2"/>
  <c r="BI24" i="2"/>
  <c r="BJ24" i="2" s="1"/>
  <c r="BK24" i="2" s="1"/>
  <c r="CR17" i="2"/>
  <c r="BA49" i="2"/>
  <c r="CT21" i="2"/>
  <c r="BE21" i="2"/>
  <c r="BF21" i="2" s="1"/>
  <c r="BG21" i="2" s="1"/>
  <c r="CT25" i="2"/>
  <c r="BE25" i="2"/>
  <c r="BF25" i="2" s="1"/>
  <c r="BG25" i="2" s="1"/>
  <c r="BD130" i="2"/>
  <c r="BE130" i="2" s="1"/>
  <c r="BF130" i="2" s="1"/>
  <c r="BG130" i="2" s="1"/>
  <c r="BH130" i="2" s="1"/>
  <c r="BI130" i="2" s="1"/>
  <c r="BJ130" i="2" s="1"/>
  <c r="BK130" i="2" s="1"/>
  <c r="BL130" i="2" s="1"/>
  <c r="BM130" i="2" s="1"/>
  <c r="BN130" i="2" s="1"/>
  <c r="BO130" i="2" s="1"/>
  <c r="BC140" i="2"/>
  <c r="AN106" i="2"/>
  <c r="AO106" i="2" s="1"/>
  <c r="AP106" i="2" s="1"/>
  <c r="AQ106" i="2" s="1"/>
  <c r="BY106" i="2"/>
  <c r="AV27" i="2"/>
  <c r="AV98" i="2"/>
  <c r="K98" i="2"/>
  <c r="K27" i="2"/>
  <c r="AN98" i="2"/>
  <c r="AN27" i="2"/>
  <c r="CT15" i="2"/>
  <c r="BE15" i="2"/>
  <c r="AH139" i="2"/>
  <c r="AI129" i="2"/>
  <c r="AQ86" i="2"/>
  <c r="AH138" i="2"/>
  <c r="AI128" i="2"/>
  <c r="AZ155" i="2"/>
  <c r="CB152" i="2"/>
  <c r="BX152" i="2"/>
  <c r="AH103" i="2"/>
  <c r="CN77" i="2"/>
  <c r="BH32" i="2"/>
  <c r="CD32" i="2"/>
  <c r="BZ98" i="2"/>
  <c r="BZ27" i="2"/>
  <c r="BZ49" i="2" s="1"/>
  <c r="CU40" i="2"/>
  <c r="BI40" i="2"/>
  <c r="BJ40" i="2" s="1"/>
  <c r="BK40" i="2" s="1"/>
  <c r="AU98" i="2"/>
  <c r="AU27" i="2"/>
  <c r="CP98" i="2"/>
  <c r="CP27" i="2"/>
  <c r="CB98" i="2"/>
  <c r="CB27" i="2"/>
  <c r="BD85" i="2"/>
  <c r="BD151" i="2" s="1"/>
  <c r="BE12" i="2"/>
  <c r="CT12" i="2"/>
  <c r="CT26" i="2"/>
  <c r="BE26" i="2"/>
  <c r="BF26" i="2" s="1"/>
  <c r="BG26" i="2" s="1"/>
  <c r="CK98" i="2"/>
  <c r="CK27" i="2"/>
  <c r="CK72" i="3" s="1"/>
  <c r="BS17" i="2"/>
  <c r="BD162" i="1"/>
  <c r="BE114" i="1"/>
  <c r="BE131" i="1"/>
  <c r="CT114" i="1"/>
  <c r="BD115" i="1"/>
  <c r="G169" i="1"/>
  <c r="G168" i="1"/>
  <c r="BF157" i="1"/>
  <c r="BG157" i="1" s="1"/>
  <c r="BH157" i="1" s="1"/>
  <c r="BE158" i="1"/>
  <c r="CT131" i="1"/>
  <c r="BE156" i="1"/>
  <c r="AN132" i="1"/>
  <c r="BY132" i="1"/>
  <c r="CA109" i="2" l="1"/>
  <c r="BX27" i="2"/>
  <c r="BX72" i="3" s="1"/>
  <c r="AL52" i="3"/>
  <c r="CP15" i="3"/>
  <c r="CP117" i="3" s="1"/>
  <c r="CB36" i="3"/>
  <c r="CB138" i="3" s="1"/>
  <c r="BY25" i="3"/>
  <c r="BY127" i="3" s="1"/>
  <c r="BU29" i="3"/>
  <c r="BU131" i="3" s="1"/>
  <c r="AL41" i="3"/>
  <c r="CJ40" i="3"/>
  <c r="CJ142" i="3" s="1"/>
  <c r="BY15" i="3"/>
  <c r="BY117" i="3" s="1"/>
  <c r="BG14" i="21"/>
  <c r="BK14" i="21" s="1"/>
  <c r="BO14" i="21" s="1"/>
  <c r="BH14" i="21"/>
  <c r="BL14" i="21" s="1"/>
  <c r="BH35" i="21"/>
  <c r="BL35" i="21" s="1"/>
  <c r="AM34" i="3"/>
  <c r="AD52" i="3"/>
  <c r="BW94" i="3"/>
  <c r="BX58" i="21"/>
  <c r="CO34" i="3"/>
  <c r="CO136" i="3" s="1"/>
  <c r="CO143" i="3" s="1"/>
  <c r="CO46" i="3"/>
  <c r="CO148" i="3" s="1"/>
  <c r="CC49" i="3"/>
  <c r="CC151" i="3" s="1"/>
  <c r="BB52" i="3"/>
  <c r="CA16" i="3"/>
  <c r="CB23" i="3"/>
  <c r="CB125" i="3" s="1"/>
  <c r="BX34" i="3"/>
  <c r="CA21" i="3"/>
  <c r="CA123" i="3" s="1"/>
  <c r="CR38" i="3"/>
  <c r="CR140" i="3" s="1"/>
  <c r="AQ15" i="3"/>
  <c r="BH56" i="21"/>
  <c r="BL56" i="21" s="1"/>
  <c r="BD56" i="21"/>
  <c r="BD30" i="21"/>
  <c r="BD19" i="21"/>
  <c r="BD28" i="21"/>
  <c r="BD93" i="21"/>
  <c r="BD77" i="21"/>
  <c r="BD61" i="21"/>
  <c r="BD75" i="21"/>
  <c r="BD46" i="21"/>
  <c r="BC75" i="21"/>
  <c r="BC61" i="21"/>
  <c r="BC77" i="21"/>
  <c r="CI18" i="3"/>
  <c r="CI120" i="3" s="1"/>
  <c r="CS15" i="3"/>
  <c r="CS117" i="3" s="1"/>
  <c r="BQ25" i="3"/>
  <c r="BQ127" i="3" s="1"/>
  <c r="BX27" i="3"/>
  <c r="BX129" i="3" s="1"/>
  <c r="BR27" i="3"/>
  <c r="BR129" i="3" s="1"/>
  <c r="BU28" i="3"/>
  <c r="BU130" i="3" s="1"/>
  <c r="BW29" i="3"/>
  <c r="BW131" i="3" s="1"/>
  <c r="CI27" i="3"/>
  <c r="CI129" i="3" s="1"/>
  <c r="CQ27" i="3"/>
  <c r="CQ129" i="3" s="1"/>
  <c r="CL28" i="3"/>
  <c r="CL130" i="3" s="1"/>
  <c r="CL29" i="3"/>
  <c r="CL131" i="3" s="1"/>
  <c r="BY45" i="3"/>
  <c r="BY147" i="3" s="1"/>
  <c r="BS48" i="3"/>
  <c r="BS150" i="3" s="1"/>
  <c r="BS21" i="3"/>
  <c r="BS123" i="3" s="1"/>
  <c r="BX23" i="3"/>
  <c r="BA86" i="3"/>
  <c r="CO18" i="3"/>
  <c r="CO120" i="3" s="1"/>
  <c r="BS23" i="3"/>
  <c r="BS125" i="3" s="1"/>
  <c r="CO23" i="3"/>
  <c r="CO125" i="3" s="1"/>
  <c r="BX26" i="3"/>
  <c r="BX128" i="3" s="1"/>
  <c r="CO26" i="3"/>
  <c r="CO128" i="3" s="1"/>
  <c r="CN28" i="3"/>
  <c r="CN130" i="3" s="1"/>
  <c r="CN29" i="3"/>
  <c r="CN131" i="3" s="1"/>
  <c r="CR150" i="3"/>
  <c r="CS149" i="3"/>
  <c r="CC25" i="21"/>
  <c r="BU115" i="21"/>
  <c r="BB88" i="21"/>
  <c r="CP16" i="3"/>
  <c r="CP118" i="3" s="1"/>
  <c r="N52" i="3"/>
  <c r="BW21" i="3"/>
  <c r="BW123" i="3" s="1"/>
  <c r="AW86" i="3"/>
  <c r="BT25" i="3"/>
  <c r="BT127" i="3" s="1"/>
  <c r="BU25" i="3"/>
  <c r="BU127" i="3" s="1"/>
  <c r="BV48" i="3"/>
  <c r="BV150" i="3" s="1"/>
  <c r="AO86" i="3"/>
  <c r="CC45" i="3"/>
  <c r="CC147" i="3" s="1"/>
  <c r="CB27" i="3"/>
  <c r="CB129" i="3" s="1"/>
  <c r="BZ26" i="3"/>
  <c r="BZ128" i="3" s="1"/>
  <c r="BC52" i="3"/>
  <c r="BC14" i="3"/>
  <c r="BB94" i="3"/>
  <c r="CC16" i="3"/>
  <c r="BX25" i="3"/>
  <c r="BX127" i="3" s="1"/>
  <c r="BS28" i="3"/>
  <c r="BS130" i="3" s="1"/>
  <c r="CO25" i="3"/>
  <c r="CO127" i="3" s="1"/>
  <c r="CO27" i="3"/>
  <c r="CO129" i="3" s="1"/>
  <c r="BW38" i="3"/>
  <c r="BW140" i="3" s="1"/>
  <c r="BV18" i="3"/>
  <c r="BV120" i="3" s="1"/>
  <c r="BB31" i="3"/>
  <c r="BB58" i="3" s="1"/>
  <c r="BC85" i="3"/>
  <c r="BC82" i="3"/>
  <c r="BC178" i="21" s="1"/>
  <c r="CC14" i="3"/>
  <c r="CT49" i="3"/>
  <c r="CT151" i="3" s="1"/>
  <c r="CD157" i="1"/>
  <c r="BZ16" i="21"/>
  <c r="BG35" i="21"/>
  <c r="BK35" i="21" s="1"/>
  <c r="BO35" i="21" s="1"/>
  <c r="BE35" i="21"/>
  <c r="BI35" i="21" s="1"/>
  <c r="BM35" i="21" s="1"/>
  <c r="BC56" i="21"/>
  <c r="BG56" i="21" s="1"/>
  <c r="BK56" i="21" s="1"/>
  <c r="BO56" i="21" s="1"/>
  <c r="BB22" i="21"/>
  <c r="BB164" i="21"/>
  <c r="BB171" i="21"/>
  <c r="BC98" i="21"/>
  <c r="BC87" i="21"/>
  <c r="BC132" i="21"/>
  <c r="BC17" i="1" s="1"/>
  <c r="BC136" i="21"/>
  <c r="BC96" i="21"/>
  <c r="CC93" i="21"/>
  <c r="BC19" i="21"/>
  <c r="CC19" i="21" s="1"/>
  <c r="CC22" i="21" s="1"/>
  <c r="BC30" i="21"/>
  <c r="BC28" i="21"/>
  <c r="BC43" i="21"/>
  <c r="BC41" i="21"/>
  <c r="BB17" i="1"/>
  <c r="BX84" i="21"/>
  <c r="BT115" i="21"/>
  <c r="BW84" i="21"/>
  <c r="BF82" i="21"/>
  <c r="BJ82" i="21" s="1"/>
  <c r="BN82" i="21" s="1"/>
  <c r="BM107" i="2"/>
  <c r="BN107" i="2" s="1"/>
  <c r="BO107" i="2" s="1"/>
  <c r="CF107" i="2" s="1"/>
  <c r="CE24" i="2"/>
  <c r="BL24" i="2"/>
  <c r="BO57" i="2"/>
  <c r="CE40" i="2"/>
  <c r="BL40" i="2"/>
  <c r="CV40" i="2" s="1"/>
  <c r="BX49" i="2"/>
  <c r="CE108" i="2"/>
  <c r="BL108" i="2"/>
  <c r="U86" i="3"/>
  <c r="BS124" i="1"/>
  <c r="Y86" i="3"/>
  <c r="Q86" i="3"/>
  <c r="BS16" i="21"/>
  <c r="BS84" i="21"/>
  <c r="BE14" i="21"/>
  <c r="BI14" i="21" s="1"/>
  <c r="BM14" i="21" s="1"/>
  <c r="BS58" i="21"/>
  <c r="BU58" i="21"/>
  <c r="BF14" i="21"/>
  <c r="BJ14" i="21" s="1"/>
  <c r="BN14" i="21" s="1"/>
  <c r="BF35" i="21"/>
  <c r="BJ35" i="21" s="1"/>
  <c r="BN35" i="21" s="1"/>
  <c r="BE82" i="21"/>
  <c r="BI82" i="21" s="1"/>
  <c r="BM82" i="21" s="1"/>
  <c r="BY16" i="21"/>
  <c r="BB133" i="21"/>
  <c r="BB41" i="21"/>
  <c r="BB43" i="21"/>
  <c r="CC40" i="21"/>
  <c r="CC43" i="21" s="1"/>
  <c r="BB150" i="21"/>
  <c r="BB152" i="21" s="1"/>
  <c r="BB146" i="21" s="1"/>
  <c r="BB20" i="21"/>
  <c r="AI124" i="21"/>
  <c r="BR115" i="21"/>
  <c r="BR16" i="21"/>
  <c r="BR58" i="21"/>
  <c r="BR84" i="21"/>
  <c r="CC46" i="21"/>
  <c r="AS124" i="21"/>
  <c r="BA84" i="21"/>
  <c r="BA16" i="21"/>
  <c r="BA37" i="21"/>
  <c r="AS129" i="21"/>
  <c r="AZ129" i="21"/>
  <c r="BD129" i="21" s="1"/>
  <c r="BU117" i="3"/>
  <c r="AC83" i="3"/>
  <c r="AC178" i="21"/>
  <c r="AC180" i="21" s="1"/>
  <c r="AC189" i="21" s="1"/>
  <c r="AS83" i="3"/>
  <c r="AS178" i="21"/>
  <c r="AS180" i="21" s="1"/>
  <c r="AS189" i="21" s="1"/>
  <c r="CA125" i="3"/>
  <c r="AG83" i="3"/>
  <c r="AG178" i="21"/>
  <c r="AG180" i="21" s="1"/>
  <c r="AG189" i="21" s="1"/>
  <c r="CP47" i="3"/>
  <c r="CB117" i="3"/>
  <c r="AA52" i="3"/>
  <c r="AO83" i="3"/>
  <c r="AO178" i="21"/>
  <c r="AO180" i="21" s="1"/>
  <c r="AO189" i="21" s="1"/>
  <c r="BV117" i="3"/>
  <c r="BZ47" i="3"/>
  <c r="CQ47" i="3"/>
  <c r="CO47" i="3"/>
  <c r="AC86" i="3"/>
  <c r="CO15" i="3"/>
  <c r="CO117" i="3" s="1"/>
  <c r="CB26" i="3"/>
  <c r="CB128" i="3" s="1"/>
  <c r="CJ24" i="3"/>
  <c r="CJ126" i="3" s="1"/>
  <c r="BU51" i="3"/>
  <c r="BU153" i="3" s="1"/>
  <c r="CP150" i="3"/>
  <c r="BT46" i="3"/>
  <c r="BT148" i="3" s="1"/>
  <c r="BV57" i="3"/>
  <c r="BV159" i="3" s="1"/>
  <c r="BY125" i="3"/>
  <c r="AW83" i="3"/>
  <c r="AW178" i="21"/>
  <c r="AW180" i="21" s="1"/>
  <c r="AW189" i="21" s="1"/>
  <c r="CP25" i="3"/>
  <c r="CP127" i="3" s="1"/>
  <c r="BQ47" i="3"/>
  <c r="BQ149" i="3" s="1"/>
  <c r="BY47" i="3"/>
  <c r="CS150" i="3"/>
  <c r="BX125" i="3"/>
  <c r="AK83" i="3"/>
  <c r="AK178" i="21"/>
  <c r="AK180" i="21" s="1"/>
  <c r="AK189" i="21" s="1"/>
  <c r="BA83" i="3"/>
  <c r="BA178" i="21"/>
  <c r="BS45" i="3"/>
  <c r="BS147" i="3" s="1"/>
  <c r="CA45" i="3"/>
  <c r="CA147" i="3" s="1"/>
  <c r="BQ51" i="3"/>
  <c r="BQ153" i="3" s="1"/>
  <c r="BY51" i="3"/>
  <c r="BY153" i="3" s="1"/>
  <c r="BV124" i="1"/>
  <c r="CA51" i="3"/>
  <c r="CA153" i="3" s="1"/>
  <c r="BV44" i="3"/>
  <c r="BV146" i="3" s="1"/>
  <c r="BV154" i="3" s="1"/>
  <c r="CP45" i="3"/>
  <c r="CP147" i="3" s="1"/>
  <c r="CR47" i="3"/>
  <c r="CP49" i="3"/>
  <c r="CP151" i="3" s="1"/>
  <c r="CR51" i="3"/>
  <c r="CR153" i="3" s="1"/>
  <c r="BU125" i="3"/>
  <c r="BS49" i="3"/>
  <c r="BS151" i="3" s="1"/>
  <c r="CA49" i="3"/>
  <c r="CA151" i="3" s="1"/>
  <c r="CP36" i="3"/>
  <c r="CP138" i="3" s="1"/>
  <c r="CB49" i="2"/>
  <c r="CB72" i="3"/>
  <c r="AU49" i="2"/>
  <c r="AU72" i="3"/>
  <c r="BF15" i="2"/>
  <c r="BF29" i="3" s="1"/>
  <c r="AN49" i="2"/>
  <c r="AN72" i="3"/>
  <c r="K49" i="2"/>
  <c r="K72" i="3"/>
  <c r="BW49" i="2"/>
  <c r="BW72" i="3"/>
  <c r="CO49" i="2"/>
  <c r="CO72" i="3"/>
  <c r="H49" i="2"/>
  <c r="H72" i="3"/>
  <c r="CK49" i="2"/>
  <c r="CS49" i="2"/>
  <c r="CS72" i="3"/>
  <c r="X49" i="2"/>
  <c r="X72" i="3"/>
  <c r="BE20" i="2"/>
  <c r="BE26" i="3" s="1"/>
  <c r="CT20" i="2"/>
  <c r="CT40" i="3"/>
  <c r="CT142" i="3" s="1"/>
  <c r="AC90" i="2"/>
  <c r="CP49" i="2"/>
  <c r="CP72" i="3"/>
  <c r="AV49" i="2"/>
  <c r="AV72" i="3"/>
  <c r="G49" i="2"/>
  <c r="G72" i="3"/>
  <c r="O49" i="2"/>
  <c r="O72" i="3"/>
  <c r="BF42" i="2"/>
  <c r="BE51" i="3"/>
  <c r="BV49" i="2"/>
  <c r="BV72" i="3"/>
  <c r="W49" i="2"/>
  <c r="W72" i="3"/>
  <c r="AM49" i="2"/>
  <c r="AM72" i="3"/>
  <c r="BR49" i="2"/>
  <c r="BR72" i="3"/>
  <c r="P49" i="2"/>
  <c r="P72" i="3"/>
  <c r="BF35" i="2"/>
  <c r="BE28" i="3"/>
  <c r="BY49" i="2"/>
  <c r="BY72" i="3"/>
  <c r="CL49" i="2"/>
  <c r="CL72" i="3"/>
  <c r="CT31" i="2"/>
  <c r="BE31" i="2"/>
  <c r="CT22" i="2"/>
  <c r="BE22" i="2"/>
  <c r="BE29" i="3"/>
  <c r="CU41" i="2"/>
  <c r="BI41" i="2"/>
  <c r="BJ41" i="2" s="1"/>
  <c r="BK41" i="2" s="1"/>
  <c r="BG19" i="3"/>
  <c r="BH66" i="2"/>
  <c r="CD66" i="2"/>
  <c r="CT29" i="3"/>
  <c r="CT131" i="3" s="1"/>
  <c r="AM155" i="2"/>
  <c r="BD67" i="2"/>
  <c r="CC117" i="3"/>
  <c r="CT149" i="3"/>
  <c r="BE47" i="3"/>
  <c r="BE81" i="2"/>
  <c r="CT15" i="3"/>
  <c r="CT117" i="3" s="1"/>
  <c r="CT162" i="1"/>
  <c r="CT81" i="2"/>
  <c r="CC149" i="3"/>
  <c r="BV105" i="21"/>
  <c r="BV125" i="21"/>
  <c r="BV37" i="21"/>
  <c r="BV115" i="21"/>
  <c r="AN124" i="21"/>
  <c r="AI185" i="21"/>
  <c r="AU185" i="21"/>
  <c r="AY185" i="21"/>
  <c r="BB137" i="21"/>
  <c r="BB29" i="21"/>
  <c r="BB76" i="21"/>
  <c r="BB97" i="21"/>
  <c r="AI129" i="21"/>
  <c r="AH124" i="21"/>
  <c r="AT185" i="21"/>
  <c r="AV124" i="21"/>
  <c r="AT129" i="21"/>
  <c r="AN129" i="21"/>
  <c r="CB125" i="21"/>
  <c r="CB115" i="21"/>
  <c r="CB105" i="21"/>
  <c r="CB184" i="21"/>
  <c r="AV185" i="21"/>
  <c r="AC185" i="21"/>
  <c r="AQ218" i="21"/>
  <c r="AQ221" i="21" s="1"/>
  <c r="AQ223" i="21" s="1"/>
  <c r="AQ208" i="21"/>
  <c r="AQ210" i="21" s="1"/>
  <c r="AJ124" i="21"/>
  <c r="AG185" i="21"/>
  <c r="AL185" i="21"/>
  <c r="CB16" i="21"/>
  <c r="BW115" i="21"/>
  <c r="BW125" i="21"/>
  <c r="BW105" i="21"/>
  <c r="BW37" i="21"/>
  <c r="BW184" i="21"/>
  <c r="AB185" i="21"/>
  <c r="AR124" i="21"/>
  <c r="AE185" i="21"/>
  <c r="BY184" i="21"/>
  <c r="AJ185" i="21"/>
  <c r="AQ185" i="21"/>
  <c r="AY124" i="21"/>
  <c r="CA184" i="21"/>
  <c r="AR185" i="21"/>
  <c r="BV58" i="21"/>
  <c r="CB58" i="21"/>
  <c r="BT125" i="21"/>
  <c r="BT37" i="21"/>
  <c r="AH129" i="21"/>
  <c r="BY37" i="21"/>
  <c r="AS185" i="21"/>
  <c r="AH185" i="21"/>
  <c r="AR129" i="21"/>
  <c r="AF185" i="21"/>
  <c r="BX184" i="21"/>
  <c r="AK124" i="21"/>
  <c r="AW185" i="21"/>
  <c r="AV129" i="21"/>
  <c r="AX129" i="21"/>
  <c r="BB129" i="21" s="1"/>
  <c r="AW129" i="21"/>
  <c r="BA129" i="21" s="1"/>
  <c r="BZ105" i="21"/>
  <c r="BZ125" i="21"/>
  <c r="BZ37" i="21"/>
  <c r="BZ84" i="21"/>
  <c r="BZ115" i="21"/>
  <c r="AU129" i="21"/>
  <c r="AT124" i="21"/>
  <c r="AL129" i="21"/>
  <c r="AQ124" i="21"/>
  <c r="AU124" i="21"/>
  <c r="BB50" i="21"/>
  <c r="AY129" i="21"/>
  <c r="BC129" i="21" s="1"/>
  <c r="AD185" i="21"/>
  <c r="AX124" i="21"/>
  <c r="BB124" i="21" s="1"/>
  <c r="BF124" i="21" s="1"/>
  <c r="BJ124" i="21" s="1"/>
  <c r="BN124" i="21" s="1"/>
  <c r="BW208" i="21"/>
  <c r="CA115" i="21"/>
  <c r="CA125" i="21"/>
  <c r="CA105" i="21"/>
  <c r="BV84" i="21"/>
  <c r="AZ124" i="21"/>
  <c r="BA257" i="21"/>
  <c r="AG124" i="21"/>
  <c r="AM129" i="21"/>
  <c r="CB84" i="21"/>
  <c r="BS208" i="21"/>
  <c r="CA16" i="21"/>
  <c r="AK129" i="21"/>
  <c r="CC80" i="21"/>
  <c r="BS125" i="21"/>
  <c r="BS37" i="21"/>
  <c r="CA37" i="21"/>
  <c r="BX125" i="21"/>
  <c r="BX115" i="21"/>
  <c r="BX37" i="21"/>
  <c r="BX105" i="21"/>
  <c r="AQ129" i="21"/>
  <c r="AP124" i="21"/>
  <c r="BU125" i="21"/>
  <c r="BU37" i="21"/>
  <c r="BU16" i="21"/>
  <c r="BU105" i="21"/>
  <c r="AG129" i="21"/>
  <c r="BT58" i="21"/>
  <c r="BT105" i="21"/>
  <c r="BZ184" i="21"/>
  <c r="AN185" i="21"/>
  <c r="AK185" i="21"/>
  <c r="BT84" i="21"/>
  <c r="AJ129" i="21"/>
  <c r="BA125" i="21"/>
  <c r="BA123" i="21"/>
  <c r="BA58" i="21"/>
  <c r="BA195" i="21"/>
  <c r="BY125" i="21"/>
  <c r="BY105" i="21"/>
  <c r="BY115" i="21"/>
  <c r="AM124" i="21"/>
  <c r="AM185" i="21"/>
  <c r="AO185" i="21"/>
  <c r="CC15" i="21"/>
  <c r="AO129" i="21"/>
  <c r="AZ185" i="21"/>
  <c r="AW124" i="21"/>
  <c r="BA124" i="21" s="1"/>
  <c r="BE124" i="21" s="1"/>
  <c r="BI124" i="21" s="1"/>
  <c r="BM124" i="21" s="1"/>
  <c r="AL124" i="21"/>
  <c r="AX185" i="21"/>
  <c r="AP129" i="21"/>
  <c r="BY84" i="21"/>
  <c r="BV16" i="21"/>
  <c r="CA58" i="21"/>
  <c r="BR37" i="21"/>
  <c r="BS115" i="21"/>
  <c r="AO124" i="21"/>
  <c r="AP185" i="21"/>
  <c r="BT136" i="3"/>
  <c r="BT143" i="3" s="1"/>
  <c r="BT95" i="3"/>
  <c r="BT67" i="3"/>
  <c r="BT41" i="3"/>
  <c r="CB136" i="3"/>
  <c r="CB143" i="3" s="1"/>
  <c r="CB95" i="3"/>
  <c r="CB67" i="3"/>
  <c r="CB41" i="3"/>
  <c r="CS146" i="3"/>
  <c r="CS52" i="3"/>
  <c r="CL146" i="3"/>
  <c r="BQ118" i="3"/>
  <c r="BQ70" i="3"/>
  <c r="CR136" i="3"/>
  <c r="CR143" i="3" s="1"/>
  <c r="CR67" i="3"/>
  <c r="CR41" i="3"/>
  <c r="CO67" i="3"/>
  <c r="CJ136" i="3"/>
  <c r="CJ143" i="3" s="1"/>
  <c r="CJ67" i="3"/>
  <c r="CJ41" i="3"/>
  <c r="BR146" i="3"/>
  <c r="BR154" i="3" s="1"/>
  <c r="BR52" i="3"/>
  <c r="AD85" i="3"/>
  <c r="AD82" i="3"/>
  <c r="AD140" i="1"/>
  <c r="AE13" i="3"/>
  <c r="BW13" i="3" s="1"/>
  <c r="CA34" i="3"/>
  <c r="M86" i="3"/>
  <c r="AT93" i="3"/>
  <c r="AT85" i="3"/>
  <c r="AT82" i="3"/>
  <c r="AT140" i="1"/>
  <c r="AU13" i="3"/>
  <c r="CA13" i="3" s="1"/>
  <c r="K70" i="3"/>
  <c r="CI16" i="3"/>
  <c r="BR16" i="3"/>
  <c r="AQ70" i="3"/>
  <c r="CQ16" i="3"/>
  <c r="BZ16" i="3"/>
  <c r="CS18" i="3"/>
  <c r="CS120" i="3" s="1"/>
  <c r="AM95" i="3"/>
  <c r="AM67" i="3"/>
  <c r="AM69" i="3" s="1"/>
  <c r="AM41" i="3"/>
  <c r="BY34" i="3"/>
  <c r="AE23" i="3"/>
  <c r="CN23" i="3" s="1"/>
  <c r="CN125" i="3" s="1"/>
  <c r="AU24" i="3"/>
  <c r="CR24" i="3" s="1"/>
  <c r="CR126" i="3" s="1"/>
  <c r="CK26" i="3"/>
  <c r="CK128" i="3" s="1"/>
  <c r="CR28" i="3"/>
  <c r="CR130" i="3" s="1"/>
  <c r="CR29" i="3"/>
  <c r="CR131" i="3" s="1"/>
  <c r="S124" i="1"/>
  <c r="BT124" i="1" s="1"/>
  <c r="BT48" i="3"/>
  <c r="BT150" i="3" s="1"/>
  <c r="AE52" i="3"/>
  <c r="CN44" i="3"/>
  <c r="BU45" i="3"/>
  <c r="BU147" i="3" s="1"/>
  <c r="AQ124" i="1"/>
  <c r="BZ124" i="1" s="1"/>
  <c r="CQ48" i="3"/>
  <c r="S52" i="3"/>
  <c r="BT44" i="3"/>
  <c r="AQ52" i="3"/>
  <c r="CQ44" i="3"/>
  <c r="CH45" i="3"/>
  <c r="CH147" i="3" s="1"/>
  <c r="CM57" i="3"/>
  <c r="CM159" i="3" s="1"/>
  <c r="CJ16" i="3"/>
  <c r="AG86" i="3"/>
  <c r="AX82" i="3"/>
  <c r="AX93" i="3"/>
  <c r="AX85" i="3"/>
  <c r="AX140" i="1"/>
  <c r="AY13" i="3"/>
  <c r="CS23" i="3"/>
  <c r="CS125" i="3" s="1"/>
  <c r="BV26" i="3"/>
  <c r="BV128" i="3" s="1"/>
  <c r="CM26" i="3"/>
  <c r="CM128" i="3" s="1"/>
  <c r="BW49" i="3"/>
  <c r="BW151" i="3" s="1"/>
  <c r="V52" i="3"/>
  <c r="AM124" i="1"/>
  <c r="BY124" i="1" s="1"/>
  <c r="BY48" i="3"/>
  <c r="BY150" i="3" s="1"/>
  <c r="CL45" i="3"/>
  <c r="CL147" i="3" s="1"/>
  <c r="CL49" i="3"/>
  <c r="CL151" i="3" s="1"/>
  <c r="CQ57" i="3"/>
  <c r="CQ159" i="3" s="1"/>
  <c r="CB24" i="3"/>
  <c r="CB126" i="3" s="1"/>
  <c r="F85" i="3"/>
  <c r="F82" i="3"/>
  <c r="F83" i="3" s="1"/>
  <c r="F140" i="1"/>
  <c r="G13" i="3"/>
  <c r="AK86" i="3"/>
  <c r="CK16" i="3"/>
  <c r="CO16" i="3"/>
  <c r="CS16" i="3"/>
  <c r="BW24" i="3"/>
  <c r="BW126" i="3" s="1"/>
  <c r="CL25" i="3"/>
  <c r="CL127" i="3" s="1"/>
  <c r="BT27" i="3"/>
  <c r="BT129" i="3" s="1"/>
  <c r="AT94" i="3"/>
  <c r="AU14" i="3"/>
  <c r="CJ23" i="3"/>
  <c r="CJ125" i="3" s="1"/>
  <c r="CN24" i="3"/>
  <c r="CN126" i="3" s="1"/>
  <c r="CS25" i="3"/>
  <c r="CS127" i="3" s="1"/>
  <c r="CK27" i="3"/>
  <c r="CK129" i="3" s="1"/>
  <c r="Z67" i="3"/>
  <c r="Z69" i="3" s="1"/>
  <c r="Z41" i="3"/>
  <c r="AA34" i="3"/>
  <c r="BU124" i="1"/>
  <c r="BX46" i="3"/>
  <c r="BX148" i="3" s="1"/>
  <c r="AI52" i="3"/>
  <c r="BJ69" i="3"/>
  <c r="I86" i="3"/>
  <c r="Z85" i="3"/>
  <c r="Z82" i="3"/>
  <c r="Z83" i="3" s="1"/>
  <c r="Z140" i="1"/>
  <c r="AA13" i="3"/>
  <c r="BV13" i="3" s="1"/>
  <c r="BY16" i="3"/>
  <c r="CK23" i="3"/>
  <c r="CK125" i="3" s="1"/>
  <c r="CH25" i="3"/>
  <c r="CH127" i="3" s="1"/>
  <c r="BY28" i="3"/>
  <c r="BY130" i="3" s="1"/>
  <c r="W67" i="3"/>
  <c r="W69" i="3" s="1"/>
  <c r="W41" i="3"/>
  <c r="BU34" i="3"/>
  <c r="CL34" i="3"/>
  <c r="AH94" i="3"/>
  <c r="AI14" i="3"/>
  <c r="CM27" i="3"/>
  <c r="CM129" i="3" s="1"/>
  <c r="CP28" i="3"/>
  <c r="CP130" i="3" s="1"/>
  <c r="BU47" i="3"/>
  <c r="BU149" i="3" s="1"/>
  <c r="AI124" i="1"/>
  <c r="BX124" i="1" s="1"/>
  <c r="BX48" i="3"/>
  <c r="BX150" i="3" s="1"/>
  <c r="CO48" i="3"/>
  <c r="AT52" i="3"/>
  <c r="AE116" i="2"/>
  <c r="AE119" i="2" s="1"/>
  <c r="CN46" i="3"/>
  <c r="CN148" i="3" s="1"/>
  <c r="BW46" i="3"/>
  <c r="BW148" i="3" s="1"/>
  <c r="G124" i="1"/>
  <c r="BQ124" i="1" s="1"/>
  <c r="BQ48" i="3"/>
  <c r="BQ150" i="3" s="1"/>
  <c r="CH48" i="3"/>
  <c r="CH150" i="3" s="1"/>
  <c r="BT50" i="3"/>
  <c r="BT152" i="3" s="1"/>
  <c r="BS38" i="3"/>
  <c r="BS140" i="3" s="1"/>
  <c r="BE150" i="3"/>
  <c r="BY36" i="3"/>
  <c r="BY138" i="3" s="1"/>
  <c r="BT18" i="3"/>
  <c r="BT120" i="3" s="1"/>
  <c r="BS16" i="3"/>
  <c r="BQ26" i="3"/>
  <c r="BQ128" i="3" s="1"/>
  <c r="CA47" i="3"/>
  <c r="CK44" i="3"/>
  <c r="CA118" i="3"/>
  <c r="CA70" i="3"/>
  <c r="G49" i="3"/>
  <c r="CH49" i="3" s="1"/>
  <c r="BR116" i="3"/>
  <c r="BR94" i="3"/>
  <c r="AU95" i="3"/>
  <c r="AU67" i="3"/>
  <c r="AU69" i="3" s="1"/>
  <c r="AU41" i="3"/>
  <c r="R82" i="3"/>
  <c r="R83" i="3" s="1"/>
  <c r="R85" i="3"/>
  <c r="R140" i="1"/>
  <c r="S13" i="3"/>
  <c r="CK13" i="3" s="1"/>
  <c r="CJ44" i="3"/>
  <c r="O67" i="3"/>
  <c r="O69" i="3" s="1"/>
  <c r="O41" i="3"/>
  <c r="V85" i="3"/>
  <c r="V82" i="3"/>
  <c r="V83" i="3" s="1"/>
  <c r="V140" i="1"/>
  <c r="W13" i="3"/>
  <c r="BU13" i="3" s="1"/>
  <c r="BV52" i="3"/>
  <c r="BW16" i="3"/>
  <c r="AP93" i="3"/>
  <c r="AP85" i="3"/>
  <c r="AP82" i="3"/>
  <c r="AP140" i="1"/>
  <c r="AQ13" i="3"/>
  <c r="CP70" i="3"/>
  <c r="BU118" i="3"/>
  <c r="BU70" i="3"/>
  <c r="G67" i="3"/>
  <c r="G69" i="3" s="1"/>
  <c r="G41" i="3"/>
  <c r="CH34" i="3"/>
  <c r="BQ34" i="3"/>
  <c r="AM29" i="3"/>
  <c r="BY29" i="3" s="1"/>
  <c r="BY131" i="3" s="1"/>
  <c r="BS24" i="3"/>
  <c r="BS126" i="3" s="1"/>
  <c r="CJ48" i="3"/>
  <c r="CJ150" i="3" s="1"/>
  <c r="CN16" i="3"/>
  <c r="CK48" i="3"/>
  <c r="CK150" i="3" s="1"/>
  <c r="CM48" i="3"/>
  <c r="CM150" i="3" s="1"/>
  <c r="K124" i="1"/>
  <c r="BR124" i="1" s="1"/>
  <c r="CI48" i="3"/>
  <c r="CI150" i="3" s="1"/>
  <c r="BV94" i="3"/>
  <c r="BV116" i="3"/>
  <c r="S67" i="3"/>
  <c r="S69" i="3" s="1"/>
  <c r="S41" i="3"/>
  <c r="CK34" i="3"/>
  <c r="AY95" i="3"/>
  <c r="AY67" i="3"/>
  <c r="AY69" i="3" s="1"/>
  <c r="AY41" i="3"/>
  <c r="CS34" i="3"/>
  <c r="N85" i="3"/>
  <c r="N82" i="3"/>
  <c r="N83" i="3" s="1"/>
  <c r="N140" i="1"/>
  <c r="O13" i="3"/>
  <c r="BS13" i="3" s="1"/>
  <c r="CN13" i="3"/>
  <c r="AS86" i="3"/>
  <c r="BX15" i="3"/>
  <c r="AA70" i="3"/>
  <c r="BV16" i="3"/>
  <c r="CM16" i="3"/>
  <c r="BT26" i="3"/>
  <c r="BT128" i="3" s="1"/>
  <c r="CA28" i="3"/>
  <c r="CA130" i="3" s="1"/>
  <c r="CS26" i="3"/>
  <c r="CS128" i="3" s="1"/>
  <c r="CJ28" i="3"/>
  <c r="CJ130" i="3" s="1"/>
  <c r="CJ29" i="3"/>
  <c r="CJ131" i="3" s="1"/>
  <c r="BW45" i="3"/>
  <c r="BW147" i="3" s="1"/>
  <c r="BS44" i="3"/>
  <c r="AM52" i="3"/>
  <c r="BY44" i="3"/>
  <c r="CP44" i="3"/>
  <c r="K52" i="3"/>
  <c r="CI44" i="3"/>
  <c r="AY52" i="3"/>
  <c r="CB44" i="3"/>
  <c r="BU146" i="3"/>
  <c r="CJ51" i="3"/>
  <c r="CJ153" i="3" s="1"/>
  <c r="CL57" i="3"/>
  <c r="CL159" i="3" s="1"/>
  <c r="BX136" i="3"/>
  <c r="BX143" i="3" s="1"/>
  <c r="BX95" i="3"/>
  <c r="BX67" i="3"/>
  <c r="BX41" i="3"/>
  <c r="AH82" i="3"/>
  <c r="AH93" i="3"/>
  <c r="AH85" i="3"/>
  <c r="AH140" i="1"/>
  <c r="AI13" i="3"/>
  <c r="J67" i="3"/>
  <c r="J69" i="3" s="1"/>
  <c r="J41" i="3"/>
  <c r="K34" i="3"/>
  <c r="CL48" i="3"/>
  <c r="CL150" i="3" s="1"/>
  <c r="CO146" i="3"/>
  <c r="CO52" i="3"/>
  <c r="AE124" i="1"/>
  <c r="BW124" i="1" s="1"/>
  <c r="CN48" i="3"/>
  <c r="CN47" i="3"/>
  <c r="CN149" i="3" s="1"/>
  <c r="CN51" i="3"/>
  <c r="CN153" i="3" s="1"/>
  <c r="AI95" i="3"/>
  <c r="AI67" i="3"/>
  <c r="AI69" i="3" s="1"/>
  <c r="AI41" i="3"/>
  <c r="E86" i="3"/>
  <c r="AL93" i="3"/>
  <c r="AL85" i="3"/>
  <c r="AL82" i="3"/>
  <c r="AL140" i="1"/>
  <c r="AM13" i="3"/>
  <c r="CS24" i="3"/>
  <c r="CS126" i="3" s="1"/>
  <c r="CH26" i="3"/>
  <c r="CH128" i="3" s="1"/>
  <c r="CR23" i="3"/>
  <c r="CR125" i="3" s="1"/>
  <c r="CK25" i="3"/>
  <c r="CK127" i="3" s="1"/>
  <c r="CS27" i="3"/>
  <c r="CS129" i="3" s="1"/>
  <c r="F52" i="3"/>
  <c r="BW47" i="3"/>
  <c r="BW149" i="3" s="1"/>
  <c r="AE67" i="3"/>
  <c r="AE69" i="3" s="1"/>
  <c r="AE41" i="3"/>
  <c r="CN34" i="3"/>
  <c r="BW34" i="3"/>
  <c r="W70" i="3"/>
  <c r="CL16" i="3"/>
  <c r="CO24" i="3"/>
  <c r="CO126" i="3" s="1"/>
  <c r="BV27" i="3"/>
  <c r="BV129" i="3" s="1"/>
  <c r="CH28" i="3"/>
  <c r="CH130" i="3" s="1"/>
  <c r="AP95" i="3"/>
  <c r="AP67" i="3"/>
  <c r="AP69" i="3" s="1"/>
  <c r="AP41" i="3"/>
  <c r="AQ34" i="3"/>
  <c r="CB50" i="3"/>
  <c r="CB152" i="3" s="1"/>
  <c r="G57" i="3"/>
  <c r="CH57" i="3" s="1"/>
  <c r="CH159" i="3" s="1"/>
  <c r="CB13" i="3"/>
  <c r="BS29" i="3"/>
  <c r="BS131" i="3" s="1"/>
  <c r="BQ44" i="3"/>
  <c r="CR16" i="3"/>
  <c r="CM44" i="3"/>
  <c r="BW44" i="3"/>
  <c r="BU57" i="3"/>
  <c r="BU159" i="3" s="1"/>
  <c r="CH146" i="3"/>
  <c r="BS116" i="3"/>
  <c r="BS94" i="3"/>
  <c r="S24" i="3"/>
  <c r="CK24" i="3" s="1"/>
  <c r="CK126" i="3" s="1"/>
  <c r="AL94" i="3"/>
  <c r="AM14" i="3"/>
  <c r="BX146" i="3"/>
  <c r="BZ146" i="3"/>
  <c r="BZ52" i="3"/>
  <c r="AM116" i="2"/>
  <c r="AM119" i="2" s="1"/>
  <c r="CP46" i="3"/>
  <c r="CP148" i="3" s="1"/>
  <c r="O47" i="3"/>
  <c r="O52" i="3" s="1"/>
  <c r="BS34" i="3"/>
  <c r="AP94" i="3"/>
  <c r="AQ14" i="3"/>
  <c r="W52" i="3"/>
  <c r="BT16" i="3"/>
  <c r="BX16" i="3"/>
  <c r="CB16" i="3"/>
  <c r="J82" i="3"/>
  <c r="J83" i="3" s="1"/>
  <c r="J85" i="3"/>
  <c r="J140" i="1"/>
  <c r="K13" i="3"/>
  <c r="BR13" i="3" s="1"/>
  <c r="G70" i="3"/>
  <c r="CH16" i="3"/>
  <c r="AX94" i="3"/>
  <c r="AY14" i="3"/>
  <c r="AY94" i="3" s="1"/>
  <c r="G29" i="3"/>
  <c r="CH29" i="3" s="1"/>
  <c r="CH131" i="3" s="1"/>
  <c r="AU52" i="3"/>
  <c r="CR44" i="3"/>
  <c r="CA44" i="3"/>
  <c r="AD119" i="2"/>
  <c r="AD104" i="2"/>
  <c r="BF48" i="3"/>
  <c r="CP34" i="3"/>
  <c r="CA29" i="3"/>
  <c r="CA131" i="3" s="1"/>
  <c r="BU49" i="3"/>
  <c r="BU151" i="3" s="1"/>
  <c r="CB25" i="3"/>
  <c r="CB127" i="3" s="1"/>
  <c r="BZ57" i="3"/>
  <c r="BZ159" i="3" s="1"/>
  <c r="BU48" i="3"/>
  <c r="BU150" i="3" s="1"/>
  <c r="BQ45" i="3"/>
  <c r="BQ147" i="3" s="1"/>
  <c r="CJ98" i="2"/>
  <c r="CJ27" i="2"/>
  <c r="CD26" i="2"/>
  <c r="BH26" i="2"/>
  <c r="BZ106" i="2"/>
  <c r="AR106" i="2"/>
  <c r="AS106" i="2" s="1"/>
  <c r="AT106" i="2" s="1"/>
  <c r="AU106" i="2" s="1"/>
  <c r="BH21" i="2"/>
  <c r="CD21" i="2"/>
  <c r="AP154" i="2"/>
  <c r="AO155" i="2"/>
  <c r="AN155" i="2"/>
  <c r="BZ151" i="2"/>
  <c r="AQ152" i="2"/>
  <c r="BH43" i="2"/>
  <c r="CD43" i="2"/>
  <c r="AP142" i="2"/>
  <c r="AQ132" i="2"/>
  <c r="CR98" i="2"/>
  <c r="CR27" i="2"/>
  <c r="BH34" i="2"/>
  <c r="CD34" i="2"/>
  <c r="CQ98" i="2"/>
  <c r="CQ27" i="2"/>
  <c r="BS98" i="2"/>
  <c r="BS27" i="2"/>
  <c r="BE85" i="2"/>
  <c r="BE151" i="2" s="1"/>
  <c r="BF12" i="2"/>
  <c r="CU32" i="2"/>
  <c r="BI32" i="2"/>
  <c r="BJ32" i="2" s="1"/>
  <c r="BK32" i="2" s="1"/>
  <c r="BI23" i="2"/>
  <c r="BJ23" i="2" s="1"/>
  <c r="BK23" i="2" s="1"/>
  <c r="CU23" i="2"/>
  <c r="BD64" i="2"/>
  <c r="CC64" i="2"/>
  <c r="AI139" i="2"/>
  <c r="BX139" i="2" s="1"/>
  <c r="BX129" i="2"/>
  <c r="AJ129" i="2"/>
  <c r="AI103" i="2"/>
  <c r="AH136" i="2"/>
  <c r="AJ128" i="2"/>
  <c r="AI138" i="2"/>
  <c r="BX138" i="2" s="1"/>
  <c r="BX128" i="2"/>
  <c r="CI98" i="2"/>
  <c r="CI27" i="2"/>
  <c r="BF33" i="2"/>
  <c r="CB109" i="2"/>
  <c r="AZ109" i="2"/>
  <c r="BA109" i="2" s="1"/>
  <c r="BB109" i="2" s="1"/>
  <c r="BC109" i="2" s="1"/>
  <c r="BH25" i="2"/>
  <c r="CD25" i="2"/>
  <c r="CU36" i="2"/>
  <c r="BI36" i="2"/>
  <c r="BJ36" i="2" s="1"/>
  <c r="BK36" i="2" s="1"/>
  <c r="BU98" i="2"/>
  <c r="BU27" i="2"/>
  <c r="CA98" i="2"/>
  <c r="CA27" i="2"/>
  <c r="BG56" i="2"/>
  <c r="BH56" i="2" s="1"/>
  <c r="BI56" i="2" s="1"/>
  <c r="CT39" i="2"/>
  <c r="BE39" i="2"/>
  <c r="BF39" i="2" s="1"/>
  <c r="BG39" i="2" s="1"/>
  <c r="BF158" i="1"/>
  <c r="BG158" i="1" s="1"/>
  <c r="BH158" i="1" s="1"/>
  <c r="AO132" i="1"/>
  <c r="CP132" i="1"/>
  <c r="H168" i="1"/>
  <c r="H169" i="1"/>
  <c r="BF131" i="1"/>
  <c r="BG131" i="1" s="1"/>
  <c r="BH131" i="1" s="1"/>
  <c r="BE159" i="1"/>
  <c r="BE15" i="3" s="1"/>
  <c r="BF156" i="1"/>
  <c r="BI157" i="1"/>
  <c r="BE113" i="1"/>
  <c r="BE115" i="1" s="1"/>
  <c r="CT113" i="1"/>
  <c r="CU157" i="1"/>
  <c r="BE162" i="1"/>
  <c r="BF114" i="1"/>
  <c r="CQ13" i="3" l="1"/>
  <c r="BT13" i="3"/>
  <c r="BT93" i="3" s="1"/>
  <c r="CO41" i="3"/>
  <c r="CA24" i="3"/>
  <c r="CA126" i="3" s="1"/>
  <c r="CS154" i="3"/>
  <c r="CQ15" i="3"/>
  <c r="CQ117" i="3" s="1"/>
  <c r="BZ15" i="3"/>
  <c r="BW23" i="3"/>
  <c r="BH124" i="21"/>
  <c r="BL124" i="21" s="1"/>
  <c r="BD124" i="21"/>
  <c r="BD51" i="21"/>
  <c r="BD40" i="21"/>
  <c r="BD50" i="21"/>
  <c r="BD49" i="21"/>
  <c r="BD20" i="21"/>
  <c r="BD22" i="21"/>
  <c r="BD69" i="21"/>
  <c r="BD62" i="21"/>
  <c r="BD64" i="21"/>
  <c r="BD98" i="21"/>
  <c r="BD87" i="21"/>
  <c r="BD132" i="21"/>
  <c r="BD136" i="21"/>
  <c r="BD97" i="21" s="1"/>
  <c r="BD96" i="21"/>
  <c r="CC136" i="21"/>
  <c r="BD137" i="21"/>
  <c r="BC64" i="21"/>
  <c r="BC69" i="21"/>
  <c r="BC62" i="21"/>
  <c r="CL13" i="3"/>
  <c r="AH86" i="3"/>
  <c r="BX52" i="3"/>
  <c r="G52" i="3"/>
  <c r="CD131" i="1"/>
  <c r="BC29" i="21"/>
  <c r="BC97" i="21"/>
  <c r="CC65" i="2"/>
  <c r="BD65" i="2"/>
  <c r="CC70" i="3"/>
  <c r="CC118" i="3"/>
  <c r="BY13" i="3"/>
  <c r="BQ57" i="3"/>
  <c r="BQ159" i="3" s="1"/>
  <c r="BZ34" i="3"/>
  <c r="CC94" i="3"/>
  <c r="CC116" i="3"/>
  <c r="BC86" i="3"/>
  <c r="BE49" i="3"/>
  <c r="BF49" i="3" s="1"/>
  <c r="BG49" i="3" s="1"/>
  <c r="BH49" i="3" s="1"/>
  <c r="BC94" i="3"/>
  <c r="CT14" i="3"/>
  <c r="CT116" i="3" s="1"/>
  <c r="BE149" i="3"/>
  <c r="BC124" i="21"/>
  <c r="BG124" i="21" s="1"/>
  <c r="BK124" i="21" s="1"/>
  <c r="BO124" i="21" s="1"/>
  <c r="BC164" i="21"/>
  <c r="BC171" i="21"/>
  <c r="BC22" i="21"/>
  <c r="BC20" i="21"/>
  <c r="BB147" i="21"/>
  <c r="BB158" i="21"/>
  <c r="BC133" i="21"/>
  <c r="BC137" i="21"/>
  <c r="BC76" i="21"/>
  <c r="BC50" i="21"/>
  <c r="BC90" i="21"/>
  <c r="BC127" i="21"/>
  <c r="BC88" i="21"/>
  <c r="CC87" i="21"/>
  <c r="CC90" i="21" s="1"/>
  <c r="BM24" i="2"/>
  <c r="BN24" i="2" s="1"/>
  <c r="BO24" i="2" s="1"/>
  <c r="CF24" i="2" s="1"/>
  <c r="CV24" i="2"/>
  <c r="BX154" i="3"/>
  <c r="V86" i="3"/>
  <c r="R86" i="3"/>
  <c r="BM108" i="2"/>
  <c r="BN108" i="2" s="1"/>
  <c r="BO108" i="2" s="1"/>
  <c r="CF108" i="2" s="1"/>
  <c r="BM40" i="2"/>
  <c r="BN40" i="2" s="1"/>
  <c r="BO40" i="2" s="1"/>
  <c r="CF40" i="2" s="1"/>
  <c r="CE23" i="2"/>
  <c r="BL23" i="2"/>
  <c r="CE41" i="2"/>
  <c r="BL41" i="2"/>
  <c r="CV41" i="2" s="1"/>
  <c r="CE36" i="2"/>
  <c r="BL36" i="2"/>
  <c r="CV36" i="2" s="1"/>
  <c r="CE32" i="2"/>
  <c r="BL32" i="2"/>
  <c r="CV32" i="2" s="1"/>
  <c r="BJ157" i="1"/>
  <c r="BK157" i="1" s="1"/>
  <c r="BL157" i="1" s="1"/>
  <c r="AH186" i="21"/>
  <c r="BF87" i="2"/>
  <c r="CC67" i="2"/>
  <c r="BE87" i="2"/>
  <c r="J86" i="3"/>
  <c r="AT86" i="3"/>
  <c r="CC30" i="21"/>
  <c r="AM186" i="21"/>
  <c r="AP83" i="3"/>
  <c r="AP178" i="21"/>
  <c r="AP180" i="21" s="1"/>
  <c r="AP189" i="21" s="1"/>
  <c r="CA149" i="3"/>
  <c r="CQ150" i="3"/>
  <c r="BW125" i="3"/>
  <c r="AD83" i="3"/>
  <c r="AD178" i="21"/>
  <c r="AD180" i="21" s="1"/>
  <c r="AD189" i="21" s="1"/>
  <c r="BY149" i="3"/>
  <c r="BZ149" i="3"/>
  <c r="CP149" i="3"/>
  <c r="BQ29" i="3"/>
  <c r="BQ131" i="3" s="1"/>
  <c r="CB14" i="3"/>
  <c r="CB94" i="3" s="1"/>
  <c r="BZ154" i="3"/>
  <c r="AM94" i="3"/>
  <c r="BT24" i="3"/>
  <c r="BT126" i="3" s="1"/>
  <c r="AL83" i="3"/>
  <c r="AL178" i="21"/>
  <c r="AL180" i="21" s="1"/>
  <c r="AL189" i="21" s="1"/>
  <c r="CN150" i="3"/>
  <c r="AH83" i="3"/>
  <c r="AH178" i="21"/>
  <c r="AH180" i="21" s="1"/>
  <c r="AH189" i="21" s="1"/>
  <c r="BX117" i="3"/>
  <c r="N86" i="3"/>
  <c r="BZ13" i="3"/>
  <c r="AP86" i="3"/>
  <c r="BQ49" i="3"/>
  <c r="BQ151" i="3" s="1"/>
  <c r="CO150" i="3"/>
  <c r="BX14" i="3"/>
  <c r="BX116" i="3" s="1"/>
  <c r="F86" i="3"/>
  <c r="AX83" i="3"/>
  <c r="AX178" i="21"/>
  <c r="AX180" i="21" s="1"/>
  <c r="AX189" i="21" s="1"/>
  <c r="AT83" i="3"/>
  <c r="AT178" i="21"/>
  <c r="AT180" i="21" s="1"/>
  <c r="AT189" i="21" s="1"/>
  <c r="CR149" i="3"/>
  <c r="CO149" i="3"/>
  <c r="CQ149" i="3"/>
  <c r="CA49" i="2"/>
  <c r="CA72" i="3"/>
  <c r="CI49" i="2"/>
  <c r="CI72" i="3"/>
  <c r="BS49" i="2"/>
  <c r="BS72" i="3"/>
  <c r="CQ49" i="2"/>
  <c r="CQ72" i="3"/>
  <c r="CR49" i="2"/>
  <c r="CR72" i="3"/>
  <c r="CJ49" i="2"/>
  <c r="CJ72" i="3"/>
  <c r="BH19" i="3"/>
  <c r="CU19" i="3" s="1"/>
  <c r="CU121" i="3" s="1"/>
  <c r="CU66" i="2"/>
  <c r="BI66" i="2"/>
  <c r="BF31" i="2"/>
  <c r="BE30" i="3"/>
  <c r="BE130" i="3"/>
  <c r="BE153" i="3"/>
  <c r="BE131" i="3"/>
  <c r="BF131" i="3" s="1"/>
  <c r="BF20" i="2"/>
  <c r="BF26" i="3" s="1"/>
  <c r="BG15" i="2"/>
  <c r="BG29" i="3" s="1"/>
  <c r="BU49" i="2"/>
  <c r="BU72" i="3"/>
  <c r="CD19" i="3"/>
  <c r="CD121" i="3" s="1"/>
  <c r="BF22" i="2"/>
  <c r="BF40" i="3" s="1"/>
  <c r="BE40" i="3"/>
  <c r="BE142" i="3" s="1"/>
  <c r="CT26" i="3"/>
  <c r="CT128" i="3" s="1"/>
  <c r="BE128" i="3"/>
  <c r="BG35" i="2"/>
  <c r="BF28" i="3"/>
  <c r="BG42" i="2"/>
  <c r="BF51" i="3"/>
  <c r="BG121" i="3"/>
  <c r="BF47" i="3"/>
  <c r="BF81" i="2"/>
  <c r="CT67" i="2"/>
  <c r="BE67" i="2"/>
  <c r="BE117" i="3"/>
  <c r="AP187" i="21"/>
  <c r="AP186" i="21"/>
  <c r="AK187" i="21"/>
  <c r="AK186" i="21"/>
  <c r="AR187" i="21"/>
  <c r="AR186" i="21"/>
  <c r="AQ187" i="21"/>
  <c r="AQ186" i="21"/>
  <c r="BW185" i="21"/>
  <c r="AG186" i="21"/>
  <c r="CB187" i="21"/>
  <c r="CB185" i="21"/>
  <c r="AZ187" i="21"/>
  <c r="AZ186" i="21"/>
  <c r="AO187" i="21"/>
  <c r="AO186" i="21"/>
  <c r="BX185" i="21"/>
  <c r="AS187" i="21"/>
  <c r="AS186" i="21"/>
  <c r="AU187" i="21"/>
  <c r="AU186" i="21"/>
  <c r="AX187" i="21"/>
  <c r="AX186" i="21"/>
  <c r="AN187" i="21"/>
  <c r="AN186" i="21"/>
  <c r="CC83" i="21"/>
  <c r="AW187" i="21"/>
  <c r="AW186" i="21"/>
  <c r="CA185" i="21"/>
  <c r="CA187" i="21"/>
  <c r="AJ186" i="21"/>
  <c r="AJ187" i="21"/>
  <c r="AL187" i="21"/>
  <c r="AL186" i="21"/>
  <c r="AV187" i="21"/>
  <c r="AV186" i="21"/>
  <c r="BZ185" i="21"/>
  <c r="BZ187" i="21"/>
  <c r="CC33" i="21"/>
  <c r="BY187" i="21"/>
  <c r="BY185" i="21"/>
  <c r="AT187" i="21"/>
  <c r="AT186" i="21"/>
  <c r="AY186" i="21"/>
  <c r="AY187" i="21"/>
  <c r="AI186" i="21"/>
  <c r="CH151" i="3"/>
  <c r="CH52" i="3"/>
  <c r="BS115" i="3"/>
  <c r="BS93" i="3"/>
  <c r="BS85" i="3"/>
  <c r="BS140" i="1"/>
  <c r="BV115" i="3"/>
  <c r="BV93" i="3"/>
  <c r="BV85" i="3"/>
  <c r="BV140" i="1"/>
  <c r="CA93" i="3"/>
  <c r="CA115" i="3"/>
  <c r="CA85" i="3"/>
  <c r="CA140" i="1"/>
  <c r="BW93" i="3"/>
  <c r="BW115" i="3"/>
  <c r="BW85" i="3"/>
  <c r="BW140" i="1"/>
  <c r="K85" i="3"/>
  <c r="K82" i="3"/>
  <c r="K83" i="3" s="1"/>
  <c r="K140" i="1"/>
  <c r="CI140" i="1" s="1"/>
  <c r="CI13" i="3"/>
  <c r="CL115" i="3"/>
  <c r="CL85" i="3"/>
  <c r="BQ146" i="3"/>
  <c r="BZ136" i="3"/>
  <c r="BZ143" i="3" s="1"/>
  <c r="BZ95" i="3"/>
  <c r="BZ67" i="3"/>
  <c r="BZ41" i="3"/>
  <c r="BG48" i="3"/>
  <c r="CD48" i="3" s="1"/>
  <c r="CD150" i="3" s="1"/>
  <c r="CA146" i="3"/>
  <c r="CA52" i="3"/>
  <c r="CQ115" i="3"/>
  <c r="CQ85" i="3"/>
  <c r="CB118" i="3"/>
  <c r="CB70" i="3"/>
  <c r="AQ94" i="3"/>
  <c r="CQ14" i="3"/>
  <c r="CQ116" i="3" s="1"/>
  <c r="BS136" i="3"/>
  <c r="BS143" i="3" s="1"/>
  <c r="BS95" i="3"/>
  <c r="BS67" i="3"/>
  <c r="BS41" i="3"/>
  <c r="BS47" i="3"/>
  <c r="BS149" i="3" s="1"/>
  <c r="CH154" i="3"/>
  <c r="CM146" i="3"/>
  <c r="CM154" i="3" s="1"/>
  <c r="CM52" i="3"/>
  <c r="AQ95" i="3"/>
  <c r="AQ67" i="3"/>
  <c r="AQ41" i="3"/>
  <c r="CQ34" i="3"/>
  <c r="CN136" i="3"/>
  <c r="CN143" i="3" s="1"/>
  <c r="CN67" i="3"/>
  <c r="CN41" i="3"/>
  <c r="AL86" i="3"/>
  <c r="AI93" i="3"/>
  <c r="AI85" i="3"/>
  <c r="AI82" i="3"/>
  <c r="AI140" i="1"/>
  <c r="CO140" i="1" s="1"/>
  <c r="CO13" i="3"/>
  <c r="CB146" i="3"/>
  <c r="CB154" i="3" s="1"/>
  <c r="CB52" i="3"/>
  <c r="CI146" i="3"/>
  <c r="CI154" i="3" s="1"/>
  <c r="CI52" i="3"/>
  <c r="BY146" i="3"/>
  <c r="BY52" i="3"/>
  <c r="BQ136" i="3"/>
  <c r="BQ143" i="3" s="1"/>
  <c r="BQ95" i="3"/>
  <c r="BQ67" i="3"/>
  <c r="BQ41" i="3"/>
  <c r="BW118" i="3"/>
  <c r="BW70" i="3"/>
  <c r="BS118" i="3"/>
  <c r="BS70" i="3"/>
  <c r="AI94" i="3"/>
  <c r="CO14" i="3"/>
  <c r="CO116" i="3" s="1"/>
  <c r="Z86" i="3"/>
  <c r="AU94" i="3"/>
  <c r="CR14" i="3"/>
  <c r="CR116" i="3" s="1"/>
  <c r="CA14" i="3"/>
  <c r="G85" i="3"/>
  <c r="G82" i="3"/>
  <c r="G83" i="3" s="1"/>
  <c r="G140" i="1"/>
  <c r="CH140" i="1" s="1"/>
  <c r="BQ13" i="3"/>
  <c r="CH13" i="3"/>
  <c r="CN146" i="3"/>
  <c r="CN52" i="3"/>
  <c r="BY14" i="3"/>
  <c r="BZ14" i="3"/>
  <c r="CU49" i="3"/>
  <c r="CU151" i="3" s="1"/>
  <c r="CR146" i="3"/>
  <c r="CR52" i="3"/>
  <c r="CH118" i="3"/>
  <c r="CH70" i="3"/>
  <c r="BX118" i="3"/>
  <c r="BX70" i="3"/>
  <c r="CR118" i="3"/>
  <c r="CR70" i="3"/>
  <c r="BY93" i="3"/>
  <c r="AM93" i="3"/>
  <c r="AM85" i="3"/>
  <c r="AM82" i="3"/>
  <c r="AM140" i="1"/>
  <c r="CP140" i="1" s="1"/>
  <c r="CK115" i="3"/>
  <c r="CK85" i="3"/>
  <c r="CJ47" i="3"/>
  <c r="CJ149" i="3" s="1"/>
  <c r="CM118" i="3"/>
  <c r="CM70" i="3"/>
  <c r="CH136" i="3"/>
  <c r="CH143" i="3" s="1"/>
  <c r="CH67" i="3"/>
  <c r="CH41" i="3"/>
  <c r="BZ140" i="1"/>
  <c r="S85" i="3"/>
  <c r="S82" i="3"/>
  <c r="S83" i="3" s="1"/>
  <c r="S140" i="1"/>
  <c r="CK140" i="1" s="1"/>
  <c r="CK146" i="3"/>
  <c r="CK154" i="3" s="1"/>
  <c r="CK52" i="3"/>
  <c r="BY118" i="3"/>
  <c r="BY70" i="3"/>
  <c r="AA85" i="3"/>
  <c r="AA82" i="3"/>
  <c r="AA83" i="3" s="1"/>
  <c r="AA140" i="1"/>
  <c r="CM140" i="1" s="1"/>
  <c r="CM13" i="3"/>
  <c r="AA67" i="3"/>
  <c r="AA69" i="3" s="1"/>
  <c r="AA41" i="3"/>
  <c r="CM34" i="3"/>
  <c r="BV34" i="3"/>
  <c r="CS118" i="3"/>
  <c r="CS70" i="3"/>
  <c r="AX86" i="3"/>
  <c r="CQ146" i="3"/>
  <c r="CQ52" i="3"/>
  <c r="BY136" i="3"/>
  <c r="BY143" i="3" s="1"/>
  <c r="BY95" i="3"/>
  <c r="BY67" i="3"/>
  <c r="BY41" i="3"/>
  <c r="BR118" i="3"/>
  <c r="BR70" i="3"/>
  <c r="CA136" i="3"/>
  <c r="CA143" i="3" s="1"/>
  <c r="CA95" i="3"/>
  <c r="CA67" i="3"/>
  <c r="CA41" i="3"/>
  <c r="CP29" i="3"/>
  <c r="CP131" i="3" s="1"/>
  <c r="CP13" i="3"/>
  <c r="BX13" i="3"/>
  <c r="CP136" i="3"/>
  <c r="CP143" i="3" s="1"/>
  <c r="CP67" i="3"/>
  <c r="CP41" i="3"/>
  <c r="AD110" i="2"/>
  <c r="AD87" i="2" s="1"/>
  <c r="AD88" i="2" s="1"/>
  <c r="AE104" i="2"/>
  <c r="BT118" i="3"/>
  <c r="BT70" i="3"/>
  <c r="BH151" i="3"/>
  <c r="BI49" i="3"/>
  <c r="CB85" i="3"/>
  <c r="CB93" i="3"/>
  <c r="CB115" i="3"/>
  <c r="CB140" i="1"/>
  <c r="BU115" i="3"/>
  <c r="BU93" i="3"/>
  <c r="BU85" i="3"/>
  <c r="BU140" i="1"/>
  <c r="BU52" i="3"/>
  <c r="BS146" i="3"/>
  <c r="BS52" i="3"/>
  <c r="BV118" i="3"/>
  <c r="BV70" i="3"/>
  <c r="O85" i="3"/>
  <c r="O82" i="3"/>
  <c r="O83" i="3" s="1"/>
  <c r="O140" i="1"/>
  <c r="CJ140" i="1" s="1"/>
  <c r="CJ13" i="3"/>
  <c r="CS136" i="3"/>
  <c r="CS143" i="3" s="1"/>
  <c r="CS67" i="3"/>
  <c r="CS41" i="3"/>
  <c r="CK136" i="3"/>
  <c r="CK143" i="3" s="1"/>
  <c r="CK67" i="3"/>
  <c r="CK41" i="3"/>
  <c r="AQ93" i="3"/>
  <c r="AQ85" i="3"/>
  <c r="AQ82" i="3"/>
  <c r="AQ178" i="21" s="1"/>
  <c r="AQ180" i="21" s="1"/>
  <c r="AQ189" i="21" s="1"/>
  <c r="AQ140" i="1"/>
  <c r="CQ140" i="1" s="1"/>
  <c r="W85" i="3"/>
  <c r="W82" i="3"/>
  <c r="W83" i="3" s="1"/>
  <c r="W140" i="1"/>
  <c r="CL140" i="1" s="1"/>
  <c r="CJ146" i="3"/>
  <c r="CL136" i="3"/>
  <c r="CL143" i="3" s="1"/>
  <c r="CL67" i="3"/>
  <c r="CL41" i="3"/>
  <c r="CO118" i="3"/>
  <c r="CO70" i="3"/>
  <c r="BZ118" i="3"/>
  <c r="BZ70" i="3"/>
  <c r="CI118" i="3"/>
  <c r="CI70" i="3"/>
  <c r="AU93" i="3"/>
  <c r="AU85" i="3"/>
  <c r="AU82" i="3"/>
  <c r="AU140" i="1"/>
  <c r="CR140" i="1" s="1"/>
  <c r="CR13" i="3"/>
  <c r="AD86" i="3"/>
  <c r="CS14" i="3"/>
  <c r="CS116" i="3" s="1"/>
  <c r="CL52" i="3"/>
  <c r="BR115" i="3"/>
  <c r="BR93" i="3"/>
  <c r="BR85" i="3"/>
  <c r="BR140" i="1"/>
  <c r="BW146" i="3"/>
  <c r="BW154" i="3" s="1"/>
  <c r="BW52" i="3"/>
  <c r="CL118" i="3"/>
  <c r="CL70" i="3"/>
  <c r="BW136" i="3"/>
  <c r="BW143" i="3" s="1"/>
  <c r="BW95" i="3"/>
  <c r="BW67" i="3"/>
  <c r="BW41" i="3"/>
  <c r="K67" i="3"/>
  <c r="K69" i="3" s="1"/>
  <c r="K41" i="3"/>
  <c r="CI34" i="3"/>
  <c r="BT85" i="3"/>
  <c r="BT140" i="1"/>
  <c r="BU154" i="3"/>
  <c r="CP146" i="3"/>
  <c r="CP52" i="3"/>
  <c r="CN115" i="3"/>
  <c r="CN85" i="3"/>
  <c r="CN118" i="3"/>
  <c r="CN70" i="3"/>
  <c r="BF150" i="3"/>
  <c r="BX94" i="3"/>
  <c r="BU136" i="3"/>
  <c r="BU143" i="3" s="1"/>
  <c r="BU95" i="3"/>
  <c r="BU67" i="3"/>
  <c r="BU41" i="3"/>
  <c r="BK69" i="3"/>
  <c r="BL69" i="3" s="1"/>
  <c r="CK118" i="3"/>
  <c r="CK70" i="3"/>
  <c r="AY93" i="3"/>
  <c r="AY85" i="3"/>
  <c r="AY82" i="3"/>
  <c r="AY140" i="1"/>
  <c r="CS140" i="1" s="1"/>
  <c r="CS13" i="3"/>
  <c r="CJ118" i="3"/>
  <c r="CJ70" i="3"/>
  <c r="BT146" i="3"/>
  <c r="BT154" i="3" s="1"/>
  <c r="BT52" i="3"/>
  <c r="CP14" i="3"/>
  <c r="CP116" i="3" s="1"/>
  <c r="CQ118" i="3"/>
  <c r="CQ70" i="3"/>
  <c r="AE85" i="3"/>
  <c r="AE82" i="3"/>
  <c r="AE140" i="1"/>
  <c r="CN140" i="1" s="1"/>
  <c r="BR34" i="3"/>
  <c r="CL154" i="3"/>
  <c r="BD109" i="2"/>
  <c r="BE109" i="2" s="1"/>
  <c r="BF109" i="2" s="1"/>
  <c r="BG109" i="2" s="1"/>
  <c r="CC109" i="2"/>
  <c r="AJ138" i="2"/>
  <c r="AK128" i="2"/>
  <c r="AJ139" i="2"/>
  <c r="AK129" i="2"/>
  <c r="CU34" i="2"/>
  <c r="BI34" i="2"/>
  <c r="BJ34" i="2" s="1"/>
  <c r="BK34" i="2" s="1"/>
  <c r="BI43" i="2"/>
  <c r="BJ43" i="2" s="1"/>
  <c r="BK43" i="2" s="1"/>
  <c r="CU43" i="2"/>
  <c r="BI21" i="2"/>
  <c r="BJ21" i="2" s="1"/>
  <c r="BK21" i="2" s="1"/>
  <c r="CU21" i="2"/>
  <c r="BH39" i="2"/>
  <c r="CD39" i="2"/>
  <c r="BD68" i="2"/>
  <c r="CT64" i="2"/>
  <c r="BE64" i="2"/>
  <c r="BE55" i="2"/>
  <c r="AQ142" i="2"/>
  <c r="AR132" i="2"/>
  <c r="BZ152" i="2"/>
  <c r="AV106" i="2"/>
  <c r="CA106" i="2"/>
  <c r="CU26" i="2"/>
  <c r="BI26" i="2"/>
  <c r="BJ26" i="2" s="1"/>
  <c r="BK26" i="2" s="1"/>
  <c r="BI25" i="2"/>
  <c r="BJ25" i="2" s="1"/>
  <c r="BK25" i="2" s="1"/>
  <c r="CU25" i="2"/>
  <c r="BG33" i="2"/>
  <c r="BG87" i="2" s="1"/>
  <c r="AJ103" i="2"/>
  <c r="BX103" i="2"/>
  <c r="AI136" i="2"/>
  <c r="BX136" i="2" s="1"/>
  <c r="BF85" i="2"/>
  <c r="BF151" i="2" s="1"/>
  <c r="BG12" i="2"/>
  <c r="AQ154" i="2"/>
  <c r="AP155" i="2"/>
  <c r="BF162" i="1"/>
  <c r="BG114" i="1"/>
  <c r="AP132" i="1"/>
  <c r="AQ132" i="1" s="1"/>
  <c r="BI158" i="1"/>
  <c r="BI131" i="1"/>
  <c r="CD158" i="1"/>
  <c r="CU158" i="1"/>
  <c r="BF113" i="1"/>
  <c r="BF159" i="1"/>
  <c r="BF15" i="3" s="1"/>
  <c r="BG156" i="1"/>
  <c r="CD156" i="1" s="1"/>
  <c r="CD159" i="1" s="1"/>
  <c r="CU131" i="1"/>
  <c r="I168" i="1"/>
  <c r="I169" i="1"/>
  <c r="S101" i="1"/>
  <c r="R101" i="1"/>
  <c r="CK101" i="1" s="1"/>
  <c r="P101" i="1"/>
  <c r="BA95" i="1"/>
  <c r="AZ95" i="1"/>
  <c r="AX95" i="1"/>
  <c r="AV95" i="1"/>
  <c r="AT95" i="1"/>
  <c r="AS95" i="1"/>
  <c r="AR95" i="1"/>
  <c r="AQ95" i="1"/>
  <c r="AP95" i="1"/>
  <c r="BA77" i="1"/>
  <c r="AZ77" i="1"/>
  <c r="AY77" i="1"/>
  <c r="AX77" i="1"/>
  <c r="AW77" i="1"/>
  <c r="AV77" i="1"/>
  <c r="AU77" i="1"/>
  <c r="AT77" i="1"/>
  <c r="AR77" i="1"/>
  <c r="AQ77" i="1"/>
  <c r="AP77" i="1"/>
  <c r="AN77" i="1"/>
  <c r="AL77" i="1"/>
  <c r="AK77" i="1"/>
  <c r="AJ77" i="1"/>
  <c r="AH77" i="1"/>
  <c r="AG77" i="1"/>
  <c r="AF77" i="1"/>
  <c r="AE77" i="1"/>
  <c r="AD77" i="1"/>
  <c r="AC77" i="1"/>
  <c r="AB77" i="1"/>
  <c r="AA77" i="1"/>
  <c r="Z77" i="1"/>
  <c r="Y77" i="1"/>
  <c r="X77" i="1"/>
  <c r="W77" i="1"/>
  <c r="V77" i="1"/>
  <c r="U77" i="1"/>
  <c r="T77" i="1"/>
  <c r="S77" i="1"/>
  <c r="R77" i="1"/>
  <c r="Q77" i="1"/>
  <c r="P77" i="1"/>
  <c r="O77" i="1"/>
  <c r="N77" i="1"/>
  <c r="M77" i="1"/>
  <c r="L77" i="1"/>
  <c r="K77" i="1"/>
  <c r="J77" i="1"/>
  <c r="I77" i="1"/>
  <c r="H77" i="1"/>
  <c r="G77" i="1"/>
  <c r="F77" i="1"/>
  <c r="E77" i="1"/>
  <c r="D77" i="1"/>
  <c r="AO75" i="1"/>
  <c r="AO74" i="1"/>
  <c r="AM76" i="1"/>
  <c r="AM75" i="1"/>
  <c r="AM74" i="1"/>
  <c r="AI76" i="1"/>
  <c r="AI75" i="1"/>
  <c r="AI74" i="1"/>
  <c r="BD97" i="3"/>
  <c r="AS75" i="1"/>
  <c r="AS74" i="1"/>
  <c r="BA73" i="1"/>
  <c r="AX73" i="1"/>
  <c r="AW73" i="1"/>
  <c r="AV73" i="1"/>
  <c r="AU73" i="1"/>
  <c r="AT73" i="1"/>
  <c r="AR73" i="1"/>
  <c r="AQ73" i="1"/>
  <c r="AP73" i="1"/>
  <c r="AN73" i="1"/>
  <c r="AL73" i="1"/>
  <c r="AK73" i="1"/>
  <c r="AJ73" i="1"/>
  <c r="AH73" i="1"/>
  <c r="AG73" i="1"/>
  <c r="AF73" i="1"/>
  <c r="AE73" i="1"/>
  <c r="AD73" i="1"/>
  <c r="AC73" i="1"/>
  <c r="AB73" i="1"/>
  <c r="AA73" i="1"/>
  <c r="Z73" i="1"/>
  <c r="Y73" i="1"/>
  <c r="X73" i="1"/>
  <c r="W73" i="1"/>
  <c r="V73" i="1"/>
  <c r="U73" i="1"/>
  <c r="T73" i="1"/>
  <c r="S73" i="1"/>
  <c r="R73" i="1"/>
  <c r="Q73" i="1"/>
  <c r="P73" i="1"/>
  <c r="O73" i="1"/>
  <c r="N73" i="1"/>
  <c r="M73" i="1"/>
  <c r="L73" i="1"/>
  <c r="K73" i="1"/>
  <c r="J73" i="1"/>
  <c r="I73" i="1"/>
  <c r="H73" i="1"/>
  <c r="G73" i="1"/>
  <c r="F73" i="1"/>
  <c r="E73" i="1"/>
  <c r="D73" i="1"/>
  <c r="AK63" i="1"/>
  <c r="AI63" i="1"/>
  <c r="AG63" i="1"/>
  <c r="AP61" i="1"/>
  <c r="AO61" i="1"/>
  <c r="AN61" i="1"/>
  <c r="AM61" i="1"/>
  <c r="AL61" i="1"/>
  <c r="AK61" i="1"/>
  <c r="AJ61" i="1"/>
  <c r="AI61" i="1"/>
  <c r="AH61" i="1"/>
  <c r="AG61" i="1"/>
  <c r="AF61" i="1"/>
  <c r="AE61" i="1"/>
  <c r="AD61" i="1"/>
  <c r="AC61" i="1"/>
  <c r="AB61" i="1"/>
  <c r="AA61" i="1"/>
  <c r="Z61" i="1"/>
  <c r="Y61" i="1"/>
  <c r="X61" i="1"/>
  <c r="W61" i="1"/>
  <c r="V61" i="1"/>
  <c r="U61" i="1"/>
  <c r="T61" i="1"/>
  <c r="S61" i="1"/>
  <c r="R61" i="1"/>
  <c r="Q61" i="1"/>
  <c r="P61" i="1"/>
  <c r="O61" i="1"/>
  <c r="N61" i="1"/>
  <c r="M61" i="1"/>
  <c r="K61" i="1"/>
  <c r="J61" i="1"/>
  <c r="I61" i="1"/>
  <c r="H61" i="1"/>
  <c r="G61" i="1"/>
  <c r="F61" i="1"/>
  <c r="E61" i="1"/>
  <c r="D61" i="1"/>
  <c r="AZ60" i="1"/>
  <c r="AY60" i="1"/>
  <c r="AY61" i="1" s="1"/>
  <c r="AX60" i="1"/>
  <c r="AX61" i="1" s="1"/>
  <c r="AV60" i="1"/>
  <c r="AU60" i="1"/>
  <c r="AU61" i="1" s="1"/>
  <c r="AT60" i="1"/>
  <c r="AT61" i="1" s="1"/>
  <c r="AS60" i="1"/>
  <c r="AR60" i="1"/>
  <c r="AQ60" i="1"/>
  <c r="AQ61" i="1" s="1"/>
  <c r="AP60" i="1"/>
  <c r="BA57" i="1"/>
  <c r="CT57" i="1" s="1"/>
  <c r="AZ57" i="1"/>
  <c r="AW57" i="1"/>
  <c r="AR57" i="1"/>
  <c r="AQ57" i="1"/>
  <c r="K57" i="1"/>
  <c r="J57" i="1"/>
  <c r="AZ55" i="1"/>
  <c r="AY55" i="1"/>
  <c r="AX55" i="1"/>
  <c r="AW55" i="1"/>
  <c r="AV55" i="1"/>
  <c r="AU55" i="1"/>
  <c r="AT55" i="1"/>
  <c r="AS55" i="1"/>
  <c r="AP55" i="1"/>
  <c r="AP63" i="1" s="1"/>
  <c r="AO55" i="1"/>
  <c r="AN55" i="1"/>
  <c r="AM55" i="1"/>
  <c r="AL55" i="1"/>
  <c r="AJ55" i="1"/>
  <c r="AH55" i="1"/>
  <c r="AF55" i="1"/>
  <c r="AE55" i="1"/>
  <c r="AE94" i="1" s="1"/>
  <c r="AD55" i="1"/>
  <c r="AD94" i="1" s="1"/>
  <c r="AC55" i="1"/>
  <c r="AB55" i="1"/>
  <c r="AA55" i="1"/>
  <c r="Z55" i="1"/>
  <c r="Z94" i="1" s="1"/>
  <c r="Y55" i="1"/>
  <c r="X55" i="1"/>
  <c r="W55" i="1"/>
  <c r="V55" i="1"/>
  <c r="V94" i="1" s="1"/>
  <c r="U55" i="1"/>
  <c r="T55" i="1"/>
  <c r="S55" i="1"/>
  <c r="R55" i="1"/>
  <c r="R94" i="1" s="1"/>
  <c r="Q55" i="1"/>
  <c r="P55" i="1"/>
  <c r="O55" i="1"/>
  <c r="O94" i="1" s="1"/>
  <c r="N55" i="1"/>
  <c r="N94" i="1" s="1"/>
  <c r="M55" i="1"/>
  <c r="L55" i="1"/>
  <c r="K55" i="1"/>
  <c r="J55" i="1"/>
  <c r="J94" i="1" s="1"/>
  <c r="I55" i="1"/>
  <c r="H55" i="1"/>
  <c r="G55" i="1"/>
  <c r="F55" i="1"/>
  <c r="F94" i="1" s="1"/>
  <c r="E55" i="1"/>
  <c r="D55" i="1"/>
  <c r="BA52" i="1"/>
  <c r="BA53" i="1" s="1"/>
  <c r="AZ52" i="1"/>
  <c r="AZ53" i="1" s="1"/>
  <c r="AY52" i="1"/>
  <c r="AY53" i="1" s="1"/>
  <c r="AX52" i="1"/>
  <c r="AX53" i="1" s="1"/>
  <c r="AW52" i="1"/>
  <c r="AW53" i="1" s="1"/>
  <c r="AV52" i="1"/>
  <c r="AV53" i="1" s="1"/>
  <c r="AU52" i="1"/>
  <c r="AU53" i="1" s="1"/>
  <c r="AT52" i="1"/>
  <c r="AT53" i="1" s="1"/>
  <c r="AS52" i="1"/>
  <c r="AS53" i="1" s="1"/>
  <c r="AR52" i="1"/>
  <c r="AR53" i="1" s="1"/>
  <c r="AQ52" i="1"/>
  <c r="AQ53" i="1" s="1"/>
  <c r="AP52" i="1"/>
  <c r="AP53" i="1" s="1"/>
  <c r="AO52" i="1"/>
  <c r="AO53" i="1" s="1"/>
  <c r="AN52" i="1"/>
  <c r="AN53" i="1" s="1"/>
  <c r="AM52" i="1"/>
  <c r="AM53" i="1" s="1"/>
  <c r="AL52" i="1"/>
  <c r="AL53" i="1" s="1"/>
  <c r="AK52" i="1"/>
  <c r="AK53" i="1" s="1"/>
  <c r="AJ52" i="1"/>
  <c r="AJ53" i="1" s="1"/>
  <c r="AI52" i="1"/>
  <c r="AI53" i="1" s="1"/>
  <c r="AH52" i="1"/>
  <c r="AH53" i="1" s="1"/>
  <c r="AG52" i="1"/>
  <c r="AG53" i="1" s="1"/>
  <c r="AF52" i="1"/>
  <c r="AF53" i="1" s="1"/>
  <c r="AE52" i="1"/>
  <c r="AD52" i="1"/>
  <c r="AD53" i="1" s="1"/>
  <c r="AC52" i="1"/>
  <c r="AC53" i="1" s="1"/>
  <c r="AB52" i="1"/>
  <c r="AB53" i="1" s="1"/>
  <c r="AA52" i="1"/>
  <c r="AA53" i="1" s="1"/>
  <c r="Z52" i="1"/>
  <c r="Z53" i="1" s="1"/>
  <c r="Y52" i="1"/>
  <c r="Y53" i="1" s="1"/>
  <c r="X52" i="1"/>
  <c r="X53" i="1" s="1"/>
  <c r="W52" i="1"/>
  <c r="W53" i="1" s="1"/>
  <c r="V52" i="1"/>
  <c r="V53" i="1" s="1"/>
  <c r="U52" i="1"/>
  <c r="U53" i="1" s="1"/>
  <c r="T52" i="1"/>
  <c r="T53" i="1" s="1"/>
  <c r="S52" i="1"/>
  <c r="S53" i="1" s="1"/>
  <c r="R52" i="1"/>
  <c r="R53" i="1" s="1"/>
  <c r="Q52" i="1"/>
  <c r="Q53" i="1" s="1"/>
  <c r="P52" i="1"/>
  <c r="P53" i="1" s="1"/>
  <c r="O52" i="1"/>
  <c r="O53" i="1" s="1"/>
  <c r="N52" i="1"/>
  <c r="N53" i="1" s="1"/>
  <c r="M52" i="1"/>
  <c r="M53" i="1" s="1"/>
  <c r="L52" i="1"/>
  <c r="K52" i="1"/>
  <c r="K53" i="1" s="1"/>
  <c r="J52" i="1"/>
  <c r="J53" i="1" s="1"/>
  <c r="I52" i="1"/>
  <c r="I53" i="1" s="1"/>
  <c r="H52" i="1"/>
  <c r="H53" i="1" s="1"/>
  <c r="G52" i="1"/>
  <c r="G53" i="1" s="1"/>
  <c r="F52" i="1"/>
  <c r="F53" i="1" s="1"/>
  <c r="E52" i="1"/>
  <c r="E53" i="1" s="1"/>
  <c r="D52" i="1"/>
  <c r="D53" i="1" s="1"/>
  <c r="BA47" i="1"/>
  <c r="AZ47" i="1"/>
  <c r="AY47" i="1"/>
  <c r="AX47" i="1"/>
  <c r="AW47" i="1"/>
  <c r="AV47" i="1"/>
  <c r="AU47" i="1"/>
  <c r="AT47" i="1"/>
  <c r="AS47" i="1"/>
  <c r="AR47" i="1"/>
  <c r="AQ47" i="1"/>
  <c r="AP47" i="1"/>
  <c r="AO47" i="1"/>
  <c r="AN47" i="1"/>
  <c r="AM47" i="1"/>
  <c r="AL47" i="1"/>
  <c r="AK47" i="1"/>
  <c r="AJ47" i="1"/>
  <c r="AI47" i="1"/>
  <c r="AH47" i="1"/>
  <c r="AG47" i="1"/>
  <c r="AF47" i="1"/>
  <c r="AE47" i="1"/>
  <c r="AD47" i="1"/>
  <c r="AC47" i="1"/>
  <c r="AB47" i="1"/>
  <c r="AA47" i="1"/>
  <c r="Z47" i="1"/>
  <c r="Y47" i="1"/>
  <c r="X47" i="1"/>
  <c r="W47" i="1"/>
  <c r="V47" i="1"/>
  <c r="U47" i="1"/>
  <c r="T47" i="1"/>
  <c r="S47" i="1"/>
  <c r="R47" i="1"/>
  <c r="Q47" i="1"/>
  <c r="P47" i="1"/>
  <c r="O47" i="1"/>
  <c r="N47" i="1"/>
  <c r="M47" i="1"/>
  <c r="K47" i="1"/>
  <c r="J47" i="1"/>
  <c r="I47" i="1"/>
  <c r="H47" i="1"/>
  <c r="G47" i="1"/>
  <c r="F47" i="1"/>
  <c r="E47" i="1"/>
  <c r="D47" i="1"/>
  <c r="AZ43" i="1"/>
  <c r="AZ44" i="1" s="1"/>
  <c r="AY43" i="1"/>
  <c r="AX43" i="1"/>
  <c r="AW43" i="1"/>
  <c r="AV43" i="1"/>
  <c r="AU43" i="1"/>
  <c r="AU44" i="1" s="1"/>
  <c r="AT43" i="1"/>
  <c r="AT44" i="1" s="1"/>
  <c r="AS43" i="1"/>
  <c r="AR43" i="1"/>
  <c r="AQ43" i="1"/>
  <c r="AP43" i="1"/>
  <c r="AP44" i="1" s="1"/>
  <c r="AN43" i="1"/>
  <c r="AN64" i="1" s="1"/>
  <c r="AM43" i="1"/>
  <c r="AL43" i="1"/>
  <c r="AL44" i="1" s="1"/>
  <c r="AJ43" i="1"/>
  <c r="AJ44" i="1" s="1"/>
  <c r="AI43" i="1"/>
  <c r="AH43" i="1"/>
  <c r="AE43" i="1"/>
  <c r="AE44" i="1" s="1"/>
  <c r="AD43" i="1"/>
  <c r="AD44" i="1" s="1"/>
  <c r="AC43" i="1"/>
  <c r="AA43" i="1"/>
  <c r="Z43" i="1"/>
  <c r="Z44" i="1" s="1"/>
  <c r="Y43" i="1"/>
  <c r="Y64" i="1" s="1"/>
  <c r="X43" i="1"/>
  <c r="X64" i="1" s="1"/>
  <c r="W43" i="1"/>
  <c r="V43" i="1"/>
  <c r="V44" i="1" s="1"/>
  <c r="U43" i="1"/>
  <c r="U64" i="1" s="1"/>
  <c r="T43" i="1"/>
  <c r="T64" i="1" s="1"/>
  <c r="S43" i="1"/>
  <c r="R43" i="1"/>
  <c r="R64" i="1" s="1"/>
  <c r="Q43" i="1"/>
  <c r="Q64" i="1" s="1"/>
  <c r="P43" i="1"/>
  <c r="P64" i="1" s="1"/>
  <c r="O43" i="1"/>
  <c r="O44" i="1" s="1"/>
  <c r="N43" i="1"/>
  <c r="N44" i="1" s="1"/>
  <c r="M43" i="1"/>
  <c r="M64" i="1" s="1"/>
  <c r="L43" i="1"/>
  <c r="L64" i="1" s="1"/>
  <c r="K43" i="1"/>
  <c r="J43" i="1"/>
  <c r="J44" i="1" s="1"/>
  <c r="I43" i="1"/>
  <c r="I64" i="1" s="1"/>
  <c r="H43" i="1"/>
  <c r="H64" i="1" s="1"/>
  <c r="G43" i="1"/>
  <c r="F43" i="1"/>
  <c r="F44" i="1" s="1"/>
  <c r="E43" i="1"/>
  <c r="E64" i="1" s="1"/>
  <c r="D43" i="1"/>
  <c r="D64" i="1" s="1"/>
  <c r="BA42" i="1"/>
  <c r="AO42" i="1"/>
  <c r="AK42" i="1"/>
  <c r="AF42" i="1"/>
  <c r="AB42" i="1"/>
  <c r="BA38" i="1"/>
  <c r="AZ38" i="1"/>
  <c r="AY38" i="1"/>
  <c r="AX38" i="1"/>
  <c r="AW38" i="1"/>
  <c r="AV38" i="1"/>
  <c r="AU38" i="1"/>
  <c r="AT38" i="1"/>
  <c r="AS38" i="1"/>
  <c r="AR38" i="1"/>
  <c r="AQ38" i="1"/>
  <c r="AP38" i="1"/>
  <c r="AO38" i="1"/>
  <c r="AN38" i="1"/>
  <c r="AM38" i="1"/>
  <c r="AL38" i="1"/>
  <c r="AK38" i="1"/>
  <c r="AJ38" i="1"/>
  <c r="AI38" i="1"/>
  <c r="AH38" i="1"/>
  <c r="AG38" i="1"/>
  <c r="AF38" i="1"/>
  <c r="AE38" i="1"/>
  <c r="AD38" i="1"/>
  <c r="AC38" i="1"/>
  <c r="AB38" i="1"/>
  <c r="AA38" i="1"/>
  <c r="Z38" i="1"/>
  <c r="Y38" i="1"/>
  <c r="X38" i="1"/>
  <c r="W38" i="1"/>
  <c r="V38" i="1"/>
  <c r="U38" i="1"/>
  <c r="T38" i="1"/>
  <c r="S38" i="1"/>
  <c r="R38" i="1"/>
  <c r="Q38" i="1"/>
  <c r="P38" i="1"/>
  <c r="O38" i="1"/>
  <c r="N38" i="1"/>
  <c r="M38" i="1"/>
  <c r="K38" i="1"/>
  <c r="J38" i="1"/>
  <c r="I38" i="1"/>
  <c r="H38" i="1"/>
  <c r="G38" i="1"/>
  <c r="F38" i="1"/>
  <c r="E38" i="1"/>
  <c r="D38" i="1"/>
  <c r="BA31" i="1"/>
  <c r="BA191" i="21" s="1"/>
  <c r="AZ31" i="1"/>
  <c r="AZ191" i="21" s="1"/>
  <c r="AZ196" i="21" s="1"/>
  <c r="AY31" i="1"/>
  <c r="AY191" i="21" s="1"/>
  <c r="AY196" i="21" s="1"/>
  <c r="AX31" i="1"/>
  <c r="AX191" i="21" s="1"/>
  <c r="AX196" i="21" s="1"/>
  <c r="AW31" i="1"/>
  <c r="AW191" i="21" s="1"/>
  <c r="AW196" i="21" s="1"/>
  <c r="AV31" i="1"/>
  <c r="AV191" i="21" s="1"/>
  <c r="AV196" i="21" s="1"/>
  <c r="AU31" i="1"/>
  <c r="AU191" i="21" s="1"/>
  <c r="AU196" i="21" s="1"/>
  <c r="AT31" i="1"/>
  <c r="AT191" i="21" s="1"/>
  <c r="AT196" i="21" s="1"/>
  <c r="AS31" i="1"/>
  <c r="AS191" i="21" s="1"/>
  <c r="AS196" i="21" s="1"/>
  <c r="AR31" i="1"/>
  <c r="AQ31" i="1"/>
  <c r="AQ191" i="21" s="1"/>
  <c r="AQ196" i="21" s="1"/>
  <c r="AP31" i="1"/>
  <c r="AO31" i="1"/>
  <c r="AN31" i="1"/>
  <c r="AN191" i="21" s="1"/>
  <c r="AN196" i="21" s="1"/>
  <c r="AM31" i="1"/>
  <c r="AM191" i="21" s="1"/>
  <c r="AM196" i="21" s="1"/>
  <c r="AL31" i="1"/>
  <c r="AL191" i="21" s="1"/>
  <c r="AL196" i="21" s="1"/>
  <c r="AK31" i="1"/>
  <c r="AJ31" i="1"/>
  <c r="AJ191" i="21" s="1"/>
  <c r="AJ196" i="21" s="1"/>
  <c r="AI31" i="1"/>
  <c r="AH31" i="1"/>
  <c r="AH191" i="21" s="1"/>
  <c r="AH196" i="21" s="1"/>
  <c r="AG31" i="1"/>
  <c r="AF31" i="1"/>
  <c r="AE31" i="1"/>
  <c r="AE191" i="21" s="1"/>
  <c r="AE196" i="21" s="1"/>
  <c r="AD31" i="1"/>
  <c r="AC31" i="1"/>
  <c r="AC191" i="21" s="1"/>
  <c r="AC196" i="21" s="1"/>
  <c r="AB31" i="1"/>
  <c r="AA31" i="1"/>
  <c r="AA191" i="21" s="1"/>
  <c r="Z31" i="1"/>
  <c r="Y31" i="1"/>
  <c r="Y191" i="21" s="1"/>
  <c r="X31" i="1"/>
  <c r="X191" i="21" s="1"/>
  <c r="W31" i="1"/>
  <c r="W191" i="21" s="1"/>
  <c r="V31" i="1"/>
  <c r="U31" i="1"/>
  <c r="T31" i="1"/>
  <c r="T191" i="21" s="1"/>
  <c r="S31" i="1"/>
  <c r="S191" i="21" s="1"/>
  <c r="R31" i="1"/>
  <c r="Q31" i="1"/>
  <c r="P31" i="1"/>
  <c r="P191" i="21" s="1"/>
  <c r="O31" i="1"/>
  <c r="O191" i="21" s="1"/>
  <c r="N31" i="1"/>
  <c r="N191" i="21" s="1"/>
  <c r="M31" i="1"/>
  <c r="M191" i="21" s="1"/>
  <c r="K31" i="1"/>
  <c r="J31" i="1"/>
  <c r="I31" i="1"/>
  <c r="I191" i="21" s="1"/>
  <c r="H31" i="1"/>
  <c r="H191" i="21" s="1"/>
  <c r="G31" i="1"/>
  <c r="G191" i="21" s="1"/>
  <c r="F31" i="1"/>
  <c r="F191" i="21" s="1"/>
  <c r="E31" i="1"/>
  <c r="D31" i="1"/>
  <c r="D191" i="21" s="1"/>
  <c r="BA28" i="1"/>
  <c r="AZ28" i="1"/>
  <c r="AZ29" i="1" s="1"/>
  <c r="AY28" i="1"/>
  <c r="AY29" i="1" s="1"/>
  <c r="AX28" i="1"/>
  <c r="AX34" i="1" s="1"/>
  <c r="AW28" i="1"/>
  <c r="AW34" i="1" s="1"/>
  <c r="AV28" i="1"/>
  <c r="AV29" i="1" s="1"/>
  <c r="AU28" i="1"/>
  <c r="AU29" i="1" s="1"/>
  <c r="AT28" i="1"/>
  <c r="AT34" i="1" s="1"/>
  <c r="AT35" i="1" s="1"/>
  <c r="AS28" i="1"/>
  <c r="AS34" i="1" s="1"/>
  <c r="AR28" i="1"/>
  <c r="AR34" i="1" s="1"/>
  <c r="AO28" i="1"/>
  <c r="AO29" i="1" s="1"/>
  <c r="AN28" i="1"/>
  <c r="AN29" i="1" s="1"/>
  <c r="AM28" i="1"/>
  <c r="AM34" i="1" s="1"/>
  <c r="AL28" i="1"/>
  <c r="AL34" i="1" s="1"/>
  <c r="AK28" i="1"/>
  <c r="AK29" i="1" s="1"/>
  <c r="AJ28" i="1"/>
  <c r="AJ29" i="1" s="1"/>
  <c r="AI28" i="1"/>
  <c r="AI29" i="1" s="1"/>
  <c r="AH28" i="1"/>
  <c r="AH34" i="1" s="1"/>
  <c r="AG28" i="1"/>
  <c r="AG29" i="1" s="1"/>
  <c r="AF28" i="1"/>
  <c r="AF29" i="1" s="1"/>
  <c r="AE28" i="1"/>
  <c r="AE29" i="1" s="1"/>
  <c r="AD28" i="1"/>
  <c r="AD34" i="1" s="1"/>
  <c r="AC28" i="1"/>
  <c r="AC29" i="1" s="1"/>
  <c r="AB28" i="1"/>
  <c r="AB29" i="1" s="1"/>
  <c r="AA28" i="1"/>
  <c r="AA29" i="1" s="1"/>
  <c r="Z28" i="1"/>
  <c r="Z34" i="1" s="1"/>
  <c r="Y28" i="1"/>
  <c r="Y29" i="1" s="1"/>
  <c r="X28" i="1"/>
  <c r="X29" i="1" s="1"/>
  <c r="W28" i="1"/>
  <c r="W29" i="1" s="1"/>
  <c r="V28" i="1"/>
  <c r="V34" i="1" s="1"/>
  <c r="U28" i="1"/>
  <c r="U29" i="1" s="1"/>
  <c r="T28" i="1"/>
  <c r="T29" i="1" s="1"/>
  <c r="S28" i="1"/>
  <c r="S29" i="1" s="1"/>
  <c r="R28" i="1"/>
  <c r="R34" i="1" s="1"/>
  <c r="Q28" i="1"/>
  <c r="Q29" i="1" s="1"/>
  <c r="P28" i="1"/>
  <c r="P29" i="1" s="1"/>
  <c r="O28" i="1"/>
  <c r="O29" i="1" s="1"/>
  <c r="N28" i="1"/>
  <c r="N34" i="1" s="1"/>
  <c r="M28" i="1"/>
  <c r="M29" i="1" s="1"/>
  <c r="L28" i="1"/>
  <c r="K28" i="1"/>
  <c r="K29" i="1" s="1"/>
  <c r="J28" i="1"/>
  <c r="J34" i="1" s="1"/>
  <c r="I28" i="1"/>
  <c r="I29" i="1" s="1"/>
  <c r="H28" i="1"/>
  <c r="H29" i="1" s="1"/>
  <c r="G28" i="1"/>
  <c r="G29" i="1" s="1"/>
  <c r="F28" i="1"/>
  <c r="F34" i="1" s="1"/>
  <c r="E28" i="1"/>
  <c r="E29" i="1" s="1"/>
  <c r="D28" i="1"/>
  <c r="D29" i="1" s="1"/>
  <c r="AQ27" i="1"/>
  <c r="AQ28" i="1" s="1"/>
  <c r="AP27" i="1"/>
  <c r="AP28" i="1" s="1"/>
  <c r="AP34" i="1" s="1"/>
  <c r="BA24" i="1"/>
  <c r="AZ24" i="1"/>
  <c r="AY24" i="1"/>
  <c r="AX24" i="1"/>
  <c r="AW24" i="1"/>
  <c r="AV24" i="1"/>
  <c r="AU24" i="1"/>
  <c r="AT24" i="1"/>
  <c r="AS24" i="1"/>
  <c r="AR24" i="1"/>
  <c r="AQ24" i="1"/>
  <c r="AP24" i="1"/>
  <c r="AO24" i="1"/>
  <c r="AN24" i="1"/>
  <c r="AM24" i="1"/>
  <c r="AL24" i="1"/>
  <c r="AK24" i="1"/>
  <c r="AJ24" i="1"/>
  <c r="AI24" i="1"/>
  <c r="AH24" i="1"/>
  <c r="AG24" i="1"/>
  <c r="AF24" i="1"/>
  <c r="AE24" i="1"/>
  <c r="AD24" i="1"/>
  <c r="AC24" i="1"/>
  <c r="AB24" i="1"/>
  <c r="AA24" i="1"/>
  <c r="Z24" i="1"/>
  <c r="Y24" i="1"/>
  <c r="X24" i="1"/>
  <c r="W24" i="1"/>
  <c r="V24" i="1"/>
  <c r="U24" i="1"/>
  <c r="T24" i="1"/>
  <c r="S24" i="1"/>
  <c r="R24" i="1"/>
  <c r="Q24" i="1"/>
  <c r="P24" i="1"/>
  <c r="O24" i="1"/>
  <c r="N24" i="1"/>
  <c r="M24" i="1"/>
  <c r="K24" i="1"/>
  <c r="J24" i="1"/>
  <c r="I24" i="1"/>
  <c r="H24" i="1"/>
  <c r="G24" i="1"/>
  <c r="F24" i="1"/>
  <c r="E24" i="1"/>
  <c r="D24" i="1"/>
  <c r="CS60" i="2"/>
  <c r="CR60" i="2"/>
  <c r="CQ60" i="2"/>
  <c r="CP60" i="2"/>
  <c r="CO60" i="2"/>
  <c r="CN60" i="2"/>
  <c r="CM60" i="2"/>
  <c r="CL60" i="2"/>
  <c r="CK60" i="2"/>
  <c r="CJ60" i="2"/>
  <c r="CI60" i="2"/>
  <c r="CH60" i="2"/>
  <c r="CA60" i="2"/>
  <c r="BW60" i="2"/>
  <c r="BS60" i="2"/>
  <c r="BA21" i="1"/>
  <c r="AZ21" i="1"/>
  <c r="AY21" i="1"/>
  <c r="AX21" i="1"/>
  <c r="AW21" i="1"/>
  <c r="AV21" i="1"/>
  <c r="AU21" i="1"/>
  <c r="AT21" i="1"/>
  <c r="AS21" i="1"/>
  <c r="AR21" i="1"/>
  <c r="AQ21" i="1"/>
  <c r="AP21" i="1"/>
  <c r="AO21" i="1"/>
  <c r="AN21" i="1"/>
  <c r="AM21" i="1"/>
  <c r="AL21" i="1"/>
  <c r="AK21" i="1"/>
  <c r="AJ21" i="1"/>
  <c r="AI21" i="1"/>
  <c r="AH21" i="1"/>
  <c r="AG21" i="1"/>
  <c r="AF21" i="1"/>
  <c r="AE21" i="1"/>
  <c r="AD21" i="1"/>
  <c r="AC21" i="1"/>
  <c r="AB21" i="1"/>
  <c r="AA21" i="1"/>
  <c r="Z21" i="1"/>
  <c r="Y21" i="1"/>
  <c r="X21" i="1"/>
  <c r="W21" i="1"/>
  <c r="V21" i="1"/>
  <c r="U21" i="1"/>
  <c r="T21" i="1"/>
  <c r="S21" i="1"/>
  <c r="R21" i="1"/>
  <c r="Q21" i="1"/>
  <c r="P21" i="1"/>
  <c r="O21" i="1"/>
  <c r="N21" i="1"/>
  <c r="M21" i="1"/>
  <c r="K21" i="1"/>
  <c r="J21" i="1"/>
  <c r="I21" i="1"/>
  <c r="H21" i="1"/>
  <c r="G21" i="1"/>
  <c r="F21" i="1"/>
  <c r="E21" i="1"/>
  <c r="D21" i="1"/>
  <c r="CU19" i="1"/>
  <c r="CU94" i="1" s="1"/>
  <c r="CT19" i="1"/>
  <c r="CE19" i="1"/>
  <c r="CE94" i="1" s="1"/>
  <c r="CD19" i="1"/>
  <c r="CD94" i="1" s="1"/>
  <c r="CC19" i="1"/>
  <c r="BA17" i="1"/>
  <c r="BA15" i="1"/>
  <c r="BA13" i="1"/>
  <c r="AZ13" i="1"/>
  <c r="AY13" i="1"/>
  <c r="AX13" i="1"/>
  <c r="AW13" i="1"/>
  <c r="AV13" i="1"/>
  <c r="AU13" i="1"/>
  <c r="AT13" i="1"/>
  <c r="AS13" i="1"/>
  <c r="AR13" i="1"/>
  <c r="AQ13" i="1"/>
  <c r="AP13" i="1"/>
  <c r="AO13" i="1"/>
  <c r="AN13" i="1"/>
  <c r="AM13" i="1"/>
  <c r="AL13" i="1"/>
  <c r="AK13" i="1"/>
  <c r="AJ13" i="1"/>
  <c r="AI13" i="1"/>
  <c r="AH13" i="1"/>
  <c r="AG13" i="1"/>
  <c r="AF13" i="1"/>
  <c r="AE13" i="1"/>
  <c r="AD13" i="1"/>
  <c r="AC13" i="1"/>
  <c r="AB13" i="1"/>
  <c r="AA13" i="1"/>
  <c r="Z13" i="1"/>
  <c r="Y13" i="1"/>
  <c r="X13" i="1"/>
  <c r="W13" i="1"/>
  <c r="V13" i="1"/>
  <c r="U13" i="1"/>
  <c r="T13" i="1"/>
  <c r="S13" i="1"/>
  <c r="R13" i="1"/>
  <c r="Q13" i="1"/>
  <c r="O13" i="1"/>
  <c r="N13" i="1"/>
  <c r="M13" i="1"/>
  <c r="K13" i="1"/>
  <c r="J13" i="1"/>
  <c r="I13" i="1"/>
  <c r="H13" i="1"/>
  <c r="BA12" i="1"/>
  <c r="AZ12" i="1"/>
  <c r="AZ48" i="1" s="1"/>
  <c r="AY12" i="1"/>
  <c r="AY39" i="1" s="1"/>
  <c r="AX12" i="1"/>
  <c r="AW12" i="1"/>
  <c r="AV12" i="1"/>
  <c r="AV48" i="1" s="1"/>
  <c r="AU12" i="1"/>
  <c r="AU39" i="1" s="1"/>
  <c r="AT12" i="1"/>
  <c r="AS12" i="1"/>
  <c r="AR12" i="1"/>
  <c r="AR48" i="1" s="1"/>
  <c r="AQ12" i="1"/>
  <c r="AQ39" i="1" s="1"/>
  <c r="AP12" i="1"/>
  <c r="AO12" i="1"/>
  <c r="AN12" i="1"/>
  <c r="AN48" i="1" s="1"/>
  <c r="AM12" i="1"/>
  <c r="AM39" i="1" s="1"/>
  <c r="AL12" i="1"/>
  <c r="AK12" i="1"/>
  <c r="AJ12" i="1"/>
  <c r="AJ48" i="1" s="1"/>
  <c r="AI12" i="1"/>
  <c r="AI39" i="1" s="1"/>
  <c r="AH12" i="1"/>
  <c r="AG12" i="1"/>
  <c r="AF12" i="1"/>
  <c r="AF48" i="1" s="1"/>
  <c r="AE12" i="1"/>
  <c r="AE39" i="1" s="1"/>
  <c r="AD12" i="1"/>
  <c r="AC12" i="1"/>
  <c r="AB12" i="1"/>
  <c r="AB48" i="1" s="1"/>
  <c r="AA12" i="1"/>
  <c r="AA39" i="1" s="1"/>
  <c r="Z12" i="1"/>
  <c r="Y12" i="1"/>
  <c r="X12" i="1"/>
  <c r="X48" i="1" s="1"/>
  <c r="W12" i="1"/>
  <c r="W39" i="1" s="1"/>
  <c r="V12" i="1"/>
  <c r="U12" i="1"/>
  <c r="T12" i="1"/>
  <c r="T48" i="1" s="1"/>
  <c r="S12" i="1"/>
  <c r="S39" i="1" s="1"/>
  <c r="R12" i="1"/>
  <c r="Q12" i="1"/>
  <c r="P12" i="1"/>
  <c r="P48" i="1" s="1"/>
  <c r="O12" i="1"/>
  <c r="O39" i="1" s="1"/>
  <c r="N12" i="1"/>
  <c r="K12" i="1"/>
  <c r="K39" i="1" s="1"/>
  <c r="J12" i="1"/>
  <c r="I12" i="1"/>
  <c r="H12" i="1"/>
  <c r="H48" i="1" s="1"/>
  <c r="G12" i="1"/>
  <c r="G39" i="1" s="1"/>
  <c r="F12" i="1"/>
  <c r="E12" i="1"/>
  <c r="BZ57" i="1" l="1"/>
  <c r="CQ57" i="1"/>
  <c r="AR55" i="1"/>
  <c r="CA57" i="1"/>
  <c r="CC57" i="1"/>
  <c r="BT101" i="1"/>
  <c r="CJ101" i="1"/>
  <c r="CE157" i="1"/>
  <c r="BT115" i="3"/>
  <c r="BY85" i="3"/>
  <c r="BY83" i="3" s="1"/>
  <c r="BY82" i="3" s="1"/>
  <c r="BY86" i="3" s="1"/>
  <c r="BQ154" i="3"/>
  <c r="CC98" i="21"/>
  <c r="CQ27" i="1"/>
  <c r="CQ28" i="1" s="1"/>
  <c r="BZ27" i="1"/>
  <c r="BZ28" i="1" s="1"/>
  <c r="BZ60" i="1"/>
  <c r="CQ60" i="1"/>
  <c r="BS154" i="3"/>
  <c r="BY115" i="3"/>
  <c r="BR57" i="1"/>
  <c r="CI57" i="1"/>
  <c r="CS57" i="1"/>
  <c r="CB57" i="1"/>
  <c r="CP154" i="3"/>
  <c r="CQ154" i="3"/>
  <c r="BY140" i="1"/>
  <c r="CN154" i="3"/>
  <c r="BQ52" i="3"/>
  <c r="BZ117" i="3"/>
  <c r="CB116" i="3"/>
  <c r="BZ85" i="3"/>
  <c r="BY154" i="3"/>
  <c r="BZ93" i="3"/>
  <c r="CD49" i="3"/>
  <c r="CD151" i="3" s="1"/>
  <c r="BZ115" i="3"/>
  <c r="BD29" i="21"/>
  <c r="BD76" i="21"/>
  <c r="BD90" i="21"/>
  <c r="BD127" i="21"/>
  <c r="BD88" i="21"/>
  <c r="BD41" i="21"/>
  <c r="BD43" i="21"/>
  <c r="BD44" i="21"/>
  <c r="BD128" i="21"/>
  <c r="BD17" i="1"/>
  <c r="BD133" i="21"/>
  <c r="BE151" i="3"/>
  <c r="BF151" i="3" s="1"/>
  <c r="BG151" i="3" s="1"/>
  <c r="CJ52" i="3"/>
  <c r="CR154" i="3"/>
  <c r="CJ154" i="3"/>
  <c r="CO154" i="3"/>
  <c r="CC68" i="2"/>
  <c r="BF149" i="3"/>
  <c r="AU94" i="1"/>
  <c r="AU96" i="1" s="1"/>
  <c r="AZ94" i="1"/>
  <c r="AY64" i="1"/>
  <c r="CC73" i="2"/>
  <c r="BE65" i="2"/>
  <c r="BF65" i="2" s="1"/>
  <c r="BG65" i="2" s="1"/>
  <c r="CD65" i="2" s="1"/>
  <c r="CT65" i="2"/>
  <c r="CT68" i="2" s="1"/>
  <c r="W86" i="3"/>
  <c r="O86" i="3"/>
  <c r="AY94" i="1"/>
  <c r="AY96" i="1" s="1"/>
  <c r="AY63" i="1"/>
  <c r="AY67" i="1" s="1"/>
  <c r="AY192" i="21" s="1"/>
  <c r="AR64" i="1"/>
  <c r="AR70" i="1" s="1"/>
  <c r="AV64" i="1"/>
  <c r="BC91" i="21"/>
  <c r="BC184" i="21"/>
  <c r="BC185" i="21" s="1"/>
  <c r="BC130" i="21"/>
  <c r="BC15" i="1"/>
  <c r="BC16" i="1" s="1"/>
  <c r="BC65" i="21"/>
  <c r="BC44" i="21"/>
  <c r="BC159" i="21"/>
  <c r="BB160" i="21"/>
  <c r="BB180" i="21"/>
  <c r="BB189" i="21" s="1"/>
  <c r="BC23" i="21"/>
  <c r="BC180" i="21"/>
  <c r="BC189" i="21" s="1"/>
  <c r="BM23" i="2"/>
  <c r="BN23" i="2" s="1"/>
  <c r="BO23" i="2" s="1"/>
  <c r="CF23" i="2" s="1"/>
  <c r="CV23" i="2"/>
  <c r="CV157" i="1"/>
  <c r="CV11" i="1"/>
  <c r="BM157" i="1"/>
  <c r="BN157" i="1" s="1"/>
  <c r="BO157" i="1" s="1"/>
  <c r="BJ49" i="3"/>
  <c r="BK49" i="3" s="1"/>
  <c r="BL49" i="3" s="1"/>
  <c r="BM69" i="3"/>
  <c r="CA154" i="3"/>
  <c r="BM32" i="2"/>
  <c r="BN32" i="2" s="1"/>
  <c r="BO32" i="2" s="1"/>
  <c r="CF32" i="2" s="1"/>
  <c r="BM36" i="2"/>
  <c r="BN36" i="2" s="1"/>
  <c r="BO36" i="2" s="1"/>
  <c r="CF36" i="2" s="1"/>
  <c r="BM41" i="2"/>
  <c r="BN41" i="2" s="1"/>
  <c r="BO41" i="2" s="1"/>
  <c r="CF41" i="2" s="1"/>
  <c r="CE26" i="2"/>
  <c r="BL26" i="2"/>
  <c r="CE34" i="2"/>
  <c r="BL34" i="2"/>
  <c r="CV34" i="2" s="1"/>
  <c r="CE25" i="2"/>
  <c r="BL25" i="2"/>
  <c r="CE21" i="2"/>
  <c r="BL21" i="2"/>
  <c r="CE43" i="2"/>
  <c r="BL43" i="2"/>
  <c r="CV43" i="2" s="1"/>
  <c r="BJ131" i="1"/>
  <c r="BK131" i="1" s="1"/>
  <c r="BL131" i="1" s="1"/>
  <c r="BJ158" i="1"/>
  <c r="BK158" i="1" s="1"/>
  <c r="BL158" i="1" s="1"/>
  <c r="AM94" i="1"/>
  <c r="BQ21" i="1"/>
  <c r="BR21" i="1"/>
  <c r="CJ21" i="1"/>
  <c r="CK21" i="1"/>
  <c r="CL21" i="1"/>
  <c r="CM21" i="1"/>
  <c r="CN21" i="1"/>
  <c r="CO21" i="1"/>
  <c r="CP21" i="1"/>
  <c r="CS21" i="1"/>
  <c r="CP55" i="1"/>
  <c r="CQ21" i="1"/>
  <c r="CR21" i="1"/>
  <c r="CH21" i="1"/>
  <c r="BT21" i="1"/>
  <c r="BU21" i="1"/>
  <c r="BV21" i="1"/>
  <c r="BW21" i="1"/>
  <c r="BX21" i="1"/>
  <c r="BY21" i="1"/>
  <c r="BZ21" i="1"/>
  <c r="CA21" i="1"/>
  <c r="CB21" i="1"/>
  <c r="AC64" i="1"/>
  <c r="AI64" i="1"/>
  <c r="AS64" i="1"/>
  <c r="AS65" i="1" s="1"/>
  <c r="BY55" i="1"/>
  <c r="BY63" i="1" s="1"/>
  <c r="AA86" i="3"/>
  <c r="AM86" i="3"/>
  <c r="AB94" i="1"/>
  <c r="BW42" i="1"/>
  <c r="BW43" i="1" s="1"/>
  <c r="CM42" i="1"/>
  <c r="CM43" i="1" s="1"/>
  <c r="BA43" i="1"/>
  <c r="BA44" i="1" s="1"/>
  <c r="CC42" i="1"/>
  <c r="CT42" i="1"/>
  <c r="AF94" i="1"/>
  <c r="CN42" i="1"/>
  <c r="CN43" i="1" s="1"/>
  <c r="BZ42" i="1"/>
  <c r="BZ43" i="1" s="1"/>
  <c r="CQ42" i="1"/>
  <c r="CQ43" i="1" s="1"/>
  <c r="BY42" i="1"/>
  <c r="BY43" i="1" s="1"/>
  <c r="CP42" i="1"/>
  <c r="CP43" i="1" s="1"/>
  <c r="AH64" i="1"/>
  <c r="AH70" i="1" s="1"/>
  <c r="AX64" i="1"/>
  <c r="D94" i="1"/>
  <c r="BQ55" i="1"/>
  <c r="BR55" i="1"/>
  <c r="BS55" i="1"/>
  <c r="BT55" i="1"/>
  <c r="BU55" i="1"/>
  <c r="BV55" i="1"/>
  <c r="AB63" i="1"/>
  <c r="AB67" i="1" s="1"/>
  <c r="BW55" i="1"/>
  <c r="AF63" i="1"/>
  <c r="AF67" i="1" s="1"/>
  <c r="AF68" i="1" s="1"/>
  <c r="BX55" i="1"/>
  <c r="BX63" i="1" s="1"/>
  <c r="AS94" i="1"/>
  <c r="AS96" i="1" s="1"/>
  <c r="CR55" i="1"/>
  <c r="AW94" i="1"/>
  <c r="CS55" i="1"/>
  <c r="CA55" i="1"/>
  <c r="E94" i="1"/>
  <c r="CH55" i="1"/>
  <c r="I94" i="1"/>
  <c r="CI55" i="1"/>
  <c r="M94" i="1"/>
  <c r="CJ55" i="1"/>
  <c r="Q94" i="1"/>
  <c r="CK55" i="1"/>
  <c r="U94" i="1"/>
  <c r="CL55" i="1"/>
  <c r="Y94" i="1"/>
  <c r="CM55" i="1"/>
  <c r="AC94" i="1"/>
  <c r="CN55" i="1"/>
  <c r="AH94" i="1"/>
  <c r="CO55" i="1"/>
  <c r="CO63" i="1" s="1"/>
  <c r="AO63" i="1"/>
  <c r="AO67" i="1" s="1"/>
  <c r="AV61" i="1"/>
  <c r="CB55" i="1"/>
  <c r="AS61" i="1"/>
  <c r="CR60" i="1"/>
  <c r="CA60" i="1"/>
  <c r="CO74" i="1"/>
  <c r="BX74" i="1"/>
  <c r="AM145" i="2"/>
  <c r="BY145" i="2" s="1"/>
  <c r="BY75" i="1"/>
  <c r="CP75" i="1"/>
  <c r="AS73" i="1"/>
  <c r="CR74" i="1"/>
  <c r="CA74" i="1"/>
  <c r="AI145" i="2"/>
  <c r="BX145" i="2" s="1"/>
  <c r="BX75" i="1"/>
  <c r="CO75" i="1"/>
  <c r="BY76" i="1"/>
  <c r="CP76" i="1"/>
  <c r="CR75" i="1"/>
  <c r="CA75" i="1"/>
  <c r="CO76" i="1"/>
  <c r="BX76" i="1"/>
  <c r="BZ74" i="1"/>
  <c r="CQ74" i="1"/>
  <c r="AM77" i="1"/>
  <c r="CP74" i="1"/>
  <c r="BY74" i="1"/>
  <c r="BZ75" i="1"/>
  <c r="CQ75" i="1"/>
  <c r="BG150" i="3"/>
  <c r="AY83" i="3"/>
  <c r="AY178" i="21"/>
  <c r="AY180" i="21" s="1"/>
  <c r="AY189" i="21" s="1"/>
  <c r="AQ86" i="3"/>
  <c r="CE49" i="3"/>
  <c r="CE151" i="3" s="1"/>
  <c r="BI151" i="3"/>
  <c r="S86" i="3"/>
  <c r="AM83" i="3"/>
  <c r="AM178" i="21"/>
  <c r="AM180" i="21" s="1"/>
  <c r="AM189" i="21" s="1"/>
  <c r="G86" i="3"/>
  <c r="AI86" i="3"/>
  <c r="K86" i="3"/>
  <c r="AE83" i="3"/>
  <c r="AE178" i="21"/>
  <c r="AE180" i="21" s="1"/>
  <c r="AE189" i="21" s="1"/>
  <c r="AU83" i="3"/>
  <c r="AU178" i="21"/>
  <c r="AU180" i="21" s="1"/>
  <c r="AU189" i="21" s="1"/>
  <c r="AI83" i="3"/>
  <c r="AI178" i="21"/>
  <c r="AI180" i="21" s="1"/>
  <c r="AI189" i="21" s="1"/>
  <c r="BE132" i="3"/>
  <c r="CD29" i="3"/>
  <c r="CD131" i="3" s="1"/>
  <c r="BG51" i="3"/>
  <c r="CD51" i="3" s="1"/>
  <c r="CD153" i="3" s="1"/>
  <c r="CD42" i="2"/>
  <c r="BH42" i="2"/>
  <c r="BG28" i="3"/>
  <c r="CD28" i="3" s="1"/>
  <c r="CD130" i="3" s="1"/>
  <c r="CD35" i="2"/>
  <c r="BH35" i="2"/>
  <c r="BF128" i="3"/>
  <c r="BG22" i="2"/>
  <c r="BG40" i="3" s="1"/>
  <c r="CD40" i="3" s="1"/>
  <c r="CD142" i="3" s="1"/>
  <c r="BG20" i="2"/>
  <c r="BG26" i="3" s="1"/>
  <c r="BG131" i="3"/>
  <c r="BF153" i="3"/>
  <c r="BG153" i="3" s="1"/>
  <c r="BF130" i="3"/>
  <c r="AD90" i="2"/>
  <c r="CD15" i="2"/>
  <c r="BH15" i="2"/>
  <c r="BF142" i="3"/>
  <c r="BG31" i="2"/>
  <c r="BF30" i="3"/>
  <c r="BJ66" i="2"/>
  <c r="BI19" i="3"/>
  <c r="BH121" i="3"/>
  <c r="CE97" i="3"/>
  <c r="I65" i="1"/>
  <c r="R65" i="1"/>
  <c r="AO76" i="1"/>
  <c r="CC97" i="3"/>
  <c r="BQ60" i="2"/>
  <c r="BS56" i="2"/>
  <c r="BS55" i="2"/>
  <c r="BS54" i="2" s="1"/>
  <c r="BU60" i="2"/>
  <c r="BW55" i="2"/>
  <c r="BW54" i="2" s="1"/>
  <c r="BW56" i="2"/>
  <c r="BY60" i="2"/>
  <c r="CA56" i="2"/>
  <c r="CA55" i="2"/>
  <c r="CA54" i="2" s="1"/>
  <c r="CH56" i="2"/>
  <c r="CH55" i="2"/>
  <c r="CH54" i="2" s="1"/>
  <c r="CJ55" i="2"/>
  <c r="CJ54" i="2" s="1"/>
  <c r="CJ56" i="2"/>
  <c r="CL56" i="2"/>
  <c r="CL55" i="2"/>
  <c r="CL54" i="2" s="1"/>
  <c r="CN55" i="2"/>
  <c r="CN54" i="2" s="1"/>
  <c r="CN56" i="2"/>
  <c r="CP56" i="2"/>
  <c r="CP55" i="2"/>
  <c r="CP54" i="2" s="1"/>
  <c r="CR55" i="2"/>
  <c r="CR54" i="2" s="1"/>
  <c r="CR56" i="2"/>
  <c r="H184" i="21"/>
  <c r="H196" i="21" s="1"/>
  <c r="H107" i="21"/>
  <c r="J191" i="21"/>
  <c r="M184" i="21"/>
  <c r="M185" i="21" s="1"/>
  <c r="M107" i="21"/>
  <c r="O184" i="21"/>
  <c r="O185" i="21" s="1"/>
  <c r="O107" i="21"/>
  <c r="Q32" i="1"/>
  <c r="Q191" i="21"/>
  <c r="S184" i="21"/>
  <c r="S185" i="21" s="1"/>
  <c r="S107" i="21"/>
  <c r="U191" i="21"/>
  <c r="W184" i="21"/>
  <c r="W185" i="21" s="1"/>
  <c r="W107" i="21"/>
  <c r="Y184" i="21"/>
  <c r="Y185" i="21" s="1"/>
  <c r="AA184" i="21"/>
  <c r="AA185" i="21" s="1"/>
  <c r="AG67" i="1"/>
  <c r="AG192" i="21" s="1"/>
  <c r="AG191" i="21"/>
  <c r="AG196" i="21" s="1"/>
  <c r="AI67" i="1"/>
  <c r="AI192" i="21" s="1"/>
  <c r="AI191" i="21"/>
  <c r="AI196" i="21" s="1"/>
  <c r="AK67" i="1"/>
  <c r="AK68" i="1" s="1"/>
  <c r="AK191" i="21"/>
  <c r="AK196" i="21" s="1"/>
  <c r="AO191" i="21"/>
  <c r="AO196" i="21" s="1"/>
  <c r="E34" i="1"/>
  <c r="E70" i="1" s="1"/>
  <c r="I34" i="1"/>
  <c r="I70" i="1" s="1"/>
  <c r="P34" i="1"/>
  <c r="P70" i="1" s="1"/>
  <c r="P82" i="1" s="1"/>
  <c r="T34" i="1"/>
  <c r="T35" i="1" s="1"/>
  <c r="X34" i="1"/>
  <c r="X35" i="1" s="1"/>
  <c r="AB34" i="1"/>
  <c r="AB35" i="1" s="1"/>
  <c r="AF34" i="1"/>
  <c r="AF35" i="1" s="1"/>
  <c r="AJ34" i="1"/>
  <c r="AJ35" i="1" s="1"/>
  <c r="AO34" i="1"/>
  <c r="AO35" i="1" s="1"/>
  <c r="AZ34" i="1"/>
  <c r="P39" i="1"/>
  <c r="AV39" i="1"/>
  <c r="AG42" i="1"/>
  <c r="CO42" i="1" s="1"/>
  <c r="CO43" i="1" s="1"/>
  <c r="AR44" i="1"/>
  <c r="K48" i="1"/>
  <c r="AQ48" i="1"/>
  <c r="AE64" i="1"/>
  <c r="J63" i="1"/>
  <c r="J67" i="1" s="1"/>
  <c r="Z63" i="1"/>
  <c r="Z67" i="1" s="1"/>
  <c r="AU63" i="1"/>
  <c r="AU67" i="1" s="1"/>
  <c r="Z64" i="1"/>
  <c r="Z65" i="1" s="1"/>
  <c r="CB97" i="3"/>
  <c r="AS77" i="1"/>
  <c r="AS97" i="3"/>
  <c r="BJ97" i="3"/>
  <c r="AI97" i="3"/>
  <c r="AI155" i="2"/>
  <c r="AI154" i="2" s="1"/>
  <c r="AO77" i="1"/>
  <c r="AO97" i="3"/>
  <c r="AI77" i="1"/>
  <c r="BG47" i="3"/>
  <c r="CD47" i="3" s="1"/>
  <c r="BG81" i="2"/>
  <c r="BF117" i="3"/>
  <c r="BR60" i="2"/>
  <c r="BT60" i="2"/>
  <c r="BV60" i="2"/>
  <c r="BX60" i="2"/>
  <c r="BZ60" i="2"/>
  <c r="CB60" i="2"/>
  <c r="CI55" i="2"/>
  <c r="CI54" i="2" s="1"/>
  <c r="CI56" i="2"/>
  <c r="CK56" i="2"/>
  <c r="CK55" i="2"/>
  <c r="CK54" i="2" s="1"/>
  <c r="CM55" i="2"/>
  <c r="CM54" i="2" s="1"/>
  <c r="CM56" i="2"/>
  <c r="CO56" i="2"/>
  <c r="CO55" i="2"/>
  <c r="CO54" i="2" s="1"/>
  <c r="CQ55" i="2"/>
  <c r="CQ54" i="2" s="1"/>
  <c r="CQ56" i="2"/>
  <c r="CS56" i="2"/>
  <c r="CS55" i="2"/>
  <c r="CS54" i="2" s="1"/>
  <c r="BA34" i="1"/>
  <c r="BA158" i="21"/>
  <c r="BB159" i="21" s="1"/>
  <c r="E191" i="21"/>
  <c r="I184" i="21"/>
  <c r="I185" i="21" s="1"/>
  <c r="I107" i="21"/>
  <c r="K32" i="1"/>
  <c r="K191" i="21"/>
  <c r="N184" i="21"/>
  <c r="N185" i="21" s="1"/>
  <c r="N107" i="21"/>
  <c r="P184" i="21"/>
  <c r="P107" i="21"/>
  <c r="R32" i="1"/>
  <c r="R191" i="21"/>
  <c r="T184" i="21"/>
  <c r="T196" i="21" s="1"/>
  <c r="T107" i="21"/>
  <c r="V32" i="1"/>
  <c r="V191" i="21"/>
  <c r="X184" i="21"/>
  <c r="X196" i="21" s="1"/>
  <c r="Z191" i="21"/>
  <c r="AB191" i="21"/>
  <c r="AB196" i="21" s="1"/>
  <c r="AD32" i="1"/>
  <c r="AD191" i="21"/>
  <c r="AD196" i="21" s="1"/>
  <c r="AF191" i="21"/>
  <c r="AF196" i="21" s="1"/>
  <c r="AP32" i="1"/>
  <c r="AP191" i="21"/>
  <c r="AP196" i="21" s="1"/>
  <c r="AR32" i="1"/>
  <c r="AR191" i="21"/>
  <c r="AR196" i="21" s="1"/>
  <c r="D34" i="1"/>
  <c r="D70" i="1" s="1"/>
  <c r="D82" i="1" s="1"/>
  <c r="H34" i="1"/>
  <c r="H70" i="1" s="1"/>
  <c r="H82" i="1" s="1"/>
  <c r="M34" i="1"/>
  <c r="M70" i="1" s="1"/>
  <c r="Q34" i="1"/>
  <c r="Q70" i="1" s="1"/>
  <c r="U34" i="1"/>
  <c r="U35" i="1" s="1"/>
  <c r="Y34" i="1"/>
  <c r="Y70" i="1" s="1"/>
  <c r="AC34" i="1"/>
  <c r="AC35" i="1" s="1"/>
  <c r="AG34" i="1"/>
  <c r="AG35" i="1" s="1"/>
  <c r="AK34" i="1"/>
  <c r="AK35" i="1" s="1"/>
  <c r="AU34" i="1"/>
  <c r="AU35" i="1" s="1"/>
  <c r="AF39" i="1"/>
  <c r="AB43" i="1"/>
  <c r="AF43" i="1"/>
  <c r="P44" i="1"/>
  <c r="AV44" i="1"/>
  <c r="AA48" i="1"/>
  <c r="E63" i="1"/>
  <c r="E67" i="1" s="1"/>
  <c r="U63" i="1"/>
  <c r="U67" i="1" s="1"/>
  <c r="J64" i="1"/>
  <c r="J65" i="1" s="1"/>
  <c r="AP64" i="1"/>
  <c r="AP70" i="1" s="1"/>
  <c r="BG97" i="3"/>
  <c r="BK97" i="3"/>
  <c r="AM97" i="3"/>
  <c r="BF67" i="2"/>
  <c r="CC51" i="21"/>
  <c r="CC36" i="21"/>
  <c r="BA16" i="1"/>
  <c r="BF15" i="21"/>
  <c r="BF17" i="21"/>
  <c r="BE15" i="21"/>
  <c r="BE17" i="21"/>
  <c r="CC146" i="21"/>
  <c r="CM136" i="3"/>
  <c r="CM143" i="3" s="1"/>
  <c r="CM67" i="3"/>
  <c r="CM41" i="3"/>
  <c r="CN83" i="3"/>
  <c r="CN82" i="3" s="1"/>
  <c r="CN86" i="3" s="1"/>
  <c r="CI136" i="3"/>
  <c r="CI143" i="3" s="1"/>
  <c r="CI67" i="3"/>
  <c r="CI41" i="3"/>
  <c r="CR115" i="3"/>
  <c r="CR85" i="3"/>
  <c r="AU86" i="3"/>
  <c r="BX93" i="3"/>
  <c r="BX85" i="3"/>
  <c r="BX115" i="3"/>
  <c r="BX140" i="1"/>
  <c r="BV136" i="3"/>
  <c r="BV143" i="3" s="1"/>
  <c r="BV95" i="3"/>
  <c r="BV67" i="3"/>
  <c r="BV41" i="3"/>
  <c r="CK83" i="3"/>
  <c r="CK82" i="3" s="1"/>
  <c r="CK86" i="3" s="1"/>
  <c r="BY116" i="3"/>
  <c r="BY94" i="3"/>
  <c r="AQ71" i="3"/>
  <c r="AQ83" i="3" s="1"/>
  <c r="AQ69" i="3"/>
  <c r="BW83" i="3"/>
  <c r="BW82" i="3" s="1"/>
  <c r="BW86" i="3" s="1"/>
  <c r="BS83" i="3"/>
  <c r="BS82" i="3" s="1"/>
  <c r="BS86" i="3" s="1"/>
  <c r="CH115" i="3"/>
  <c r="CH85" i="3"/>
  <c r="CA116" i="3"/>
  <c r="CA94" i="3"/>
  <c r="CI115" i="3"/>
  <c r="CI85" i="3"/>
  <c r="CA83" i="3"/>
  <c r="CA82" i="3" s="1"/>
  <c r="CA86" i="3" s="1"/>
  <c r="CB83" i="3"/>
  <c r="CB82" i="3" s="1"/>
  <c r="CB86" i="3" s="1"/>
  <c r="AF104" i="2"/>
  <c r="AE137" i="2"/>
  <c r="AE144" i="2" s="1"/>
  <c r="AE110" i="2"/>
  <c r="BW104" i="2"/>
  <c r="CP115" i="3"/>
  <c r="CP85" i="3"/>
  <c r="CM115" i="3"/>
  <c r="CM85" i="3"/>
  <c r="AE86" i="3"/>
  <c r="CS115" i="3"/>
  <c r="CS85" i="3"/>
  <c r="AY86" i="3"/>
  <c r="BR83" i="3"/>
  <c r="BR82" i="3" s="1"/>
  <c r="BR86" i="3" s="1"/>
  <c r="BU83" i="3"/>
  <c r="BU82" i="3" s="1"/>
  <c r="BU86" i="3" s="1"/>
  <c r="BQ115" i="3"/>
  <c r="BQ93" i="3"/>
  <c r="BQ85" i="3"/>
  <c r="BQ140" i="1"/>
  <c r="CQ136" i="3"/>
  <c r="CQ143" i="3" s="1"/>
  <c r="CQ67" i="3"/>
  <c r="CQ41" i="3"/>
  <c r="CQ83" i="3"/>
  <c r="CQ82" i="3" s="1"/>
  <c r="CQ86" i="3" s="1"/>
  <c r="BR136" i="3"/>
  <c r="BR143" i="3" s="1"/>
  <c r="BR95" i="3"/>
  <c r="BR67" i="3"/>
  <c r="BR41" i="3"/>
  <c r="CJ115" i="3"/>
  <c r="CJ85" i="3"/>
  <c r="BT83" i="3"/>
  <c r="BT82" i="3" s="1"/>
  <c r="BT86" i="3" s="1"/>
  <c r="BH65" i="2"/>
  <c r="BZ116" i="3"/>
  <c r="BZ94" i="3"/>
  <c r="CO115" i="3"/>
  <c r="CO85" i="3"/>
  <c r="BH48" i="3"/>
  <c r="CU48" i="3" s="1"/>
  <c r="CU150" i="3" s="1"/>
  <c r="CL83" i="3"/>
  <c r="CL82" i="3" s="1"/>
  <c r="CL86" i="3" s="1"/>
  <c r="BV83" i="3"/>
  <c r="BV82" i="3" s="1"/>
  <c r="BV86" i="3" s="1"/>
  <c r="BG85" i="2"/>
  <c r="CD12" i="2"/>
  <c r="BH12" i="2"/>
  <c r="BF55" i="2"/>
  <c r="BE54" i="2"/>
  <c r="AR154" i="2"/>
  <c r="AQ155" i="2"/>
  <c r="CD87" i="2"/>
  <c r="CD33" i="2"/>
  <c r="BH33" i="2"/>
  <c r="AS132" i="2"/>
  <c r="AR142" i="2"/>
  <c r="AK138" i="2"/>
  <c r="AL128" i="2"/>
  <c r="BF64" i="2"/>
  <c r="CU39" i="2"/>
  <c r="BI39" i="2"/>
  <c r="BJ39" i="2" s="1"/>
  <c r="BK39" i="2" s="1"/>
  <c r="AK103" i="2"/>
  <c r="AJ136" i="2"/>
  <c r="AK139" i="2"/>
  <c r="AL129" i="2"/>
  <c r="CD109" i="2"/>
  <c r="BH109" i="2"/>
  <c r="BI109" i="2" s="1"/>
  <c r="BJ109" i="2" s="1"/>
  <c r="BK109" i="2" s="1"/>
  <c r="J35" i="1"/>
  <c r="V35" i="1"/>
  <c r="AH35" i="1"/>
  <c r="AR35" i="1"/>
  <c r="AW35" i="1"/>
  <c r="AQ34" i="1"/>
  <c r="AQ29" i="1"/>
  <c r="AG79" i="1"/>
  <c r="N35" i="1"/>
  <c r="Z35" i="1"/>
  <c r="F35" i="1"/>
  <c r="R70" i="1"/>
  <c r="R35" i="1"/>
  <c r="AD35" i="1"/>
  <c r="AM35" i="1"/>
  <c r="AS35" i="1"/>
  <c r="Y48" i="1"/>
  <c r="Y39" i="1"/>
  <c r="AG48" i="1"/>
  <c r="AG39" i="1"/>
  <c r="AO48" i="1"/>
  <c r="AO39" i="1"/>
  <c r="BA48" i="1"/>
  <c r="BA39" i="1"/>
  <c r="AL35" i="1"/>
  <c r="AX35" i="1"/>
  <c r="N29" i="1"/>
  <c r="Z29" i="1"/>
  <c r="AL29" i="1"/>
  <c r="J32" i="1"/>
  <c r="AE53" i="1"/>
  <c r="G94" i="1"/>
  <c r="G63" i="1"/>
  <c r="G67" i="1" s="1"/>
  <c r="G192" i="21" s="1"/>
  <c r="AZ61" i="1"/>
  <c r="O63" i="1"/>
  <c r="O67" i="1" s="1"/>
  <c r="O192" i="21" s="1"/>
  <c r="R39" i="1"/>
  <c r="R48" i="1"/>
  <c r="AD39" i="1"/>
  <c r="AD48" i="1"/>
  <c r="AT39" i="1"/>
  <c r="AT48" i="1"/>
  <c r="AS29" i="1"/>
  <c r="AW29" i="1"/>
  <c r="BA29" i="1"/>
  <c r="E32" i="1"/>
  <c r="I32" i="1"/>
  <c r="M32" i="1"/>
  <c r="U32" i="1"/>
  <c r="Y32" i="1"/>
  <c r="AC32" i="1"/>
  <c r="AG32" i="1"/>
  <c r="AK32" i="1"/>
  <c r="AO32" i="1"/>
  <c r="AS32" i="1"/>
  <c r="AW32" i="1"/>
  <c r="BA32" i="1"/>
  <c r="G34" i="1"/>
  <c r="K34" i="1"/>
  <c r="O34" i="1"/>
  <c r="S34" i="1"/>
  <c r="W34" i="1"/>
  <c r="AA34" i="1"/>
  <c r="AE34" i="1"/>
  <c r="AI34" i="1"/>
  <c r="AN34" i="1"/>
  <c r="AY34" i="1"/>
  <c r="AB39" i="1"/>
  <c r="AR39" i="1"/>
  <c r="E65" i="1"/>
  <c r="M65" i="1"/>
  <c r="Q65" i="1"/>
  <c r="U65" i="1"/>
  <c r="AM64" i="1"/>
  <c r="AN65" i="1" s="1"/>
  <c r="H44" i="1"/>
  <c r="X44" i="1"/>
  <c r="AN44" i="1"/>
  <c r="G48" i="1"/>
  <c r="W48" i="1"/>
  <c r="AM48" i="1"/>
  <c r="AR94" i="1"/>
  <c r="AR96" i="1" s="1"/>
  <c r="AR63" i="1"/>
  <c r="AR67" i="1" s="1"/>
  <c r="AR192" i="21" s="1"/>
  <c r="AE63" i="1"/>
  <c r="AE67" i="1" s="1"/>
  <c r="AE192" i="21" s="1"/>
  <c r="AU64" i="1"/>
  <c r="AV65" i="1" s="1"/>
  <c r="BE97" i="3"/>
  <c r="E48" i="1"/>
  <c r="E39" i="1"/>
  <c r="Q48" i="1"/>
  <c r="Q39" i="1"/>
  <c r="AC48" i="1"/>
  <c r="AC39" i="1"/>
  <c r="AS48" i="1"/>
  <c r="AS39" i="1"/>
  <c r="AP35" i="1"/>
  <c r="F29" i="1"/>
  <c r="R29" i="1"/>
  <c r="AD29" i="1"/>
  <c r="AP29" i="1"/>
  <c r="AX29" i="1"/>
  <c r="N32" i="1"/>
  <c r="Z32" i="1"/>
  <c r="AH32" i="1"/>
  <c r="AT32" i="1"/>
  <c r="W94" i="1"/>
  <c r="W63" i="1"/>
  <c r="W67" i="1" s="1"/>
  <c r="W192" i="21" s="1"/>
  <c r="AL94" i="1"/>
  <c r="AL63" i="1"/>
  <c r="AL67" i="1" s="1"/>
  <c r="AL192" i="21" s="1"/>
  <c r="J39" i="1"/>
  <c r="J48" i="1"/>
  <c r="Z39" i="1"/>
  <c r="Z48" i="1"/>
  <c r="AL39" i="1"/>
  <c r="AL48" i="1"/>
  <c r="AX39" i="1"/>
  <c r="AX48" i="1"/>
  <c r="AP94" i="1"/>
  <c r="AP96" i="1" s="1"/>
  <c r="AM29" i="1"/>
  <c r="G32" i="1"/>
  <c r="O32" i="1"/>
  <c r="S32" i="1"/>
  <c r="W32" i="1"/>
  <c r="AA32" i="1"/>
  <c r="AE32" i="1"/>
  <c r="AI32" i="1"/>
  <c r="AM32" i="1"/>
  <c r="AQ32" i="1"/>
  <c r="AU32" i="1"/>
  <c r="AY32" i="1"/>
  <c r="AV34" i="1"/>
  <c r="T39" i="1"/>
  <c r="AJ39" i="1"/>
  <c r="AZ39" i="1"/>
  <c r="G64" i="1"/>
  <c r="H65" i="1" s="1"/>
  <c r="K64" i="1"/>
  <c r="S64" i="1"/>
  <c r="S65" i="1" s="1"/>
  <c r="W64" i="1"/>
  <c r="X65" i="1" s="1"/>
  <c r="AA64" i="1"/>
  <c r="O48" i="1"/>
  <c r="AE48" i="1"/>
  <c r="AU48" i="1"/>
  <c r="AR61" i="1"/>
  <c r="O64" i="1"/>
  <c r="P65" i="1" s="1"/>
  <c r="AJ64" i="1"/>
  <c r="I48" i="1"/>
  <c r="I39" i="1"/>
  <c r="U48" i="1"/>
  <c r="U39" i="1"/>
  <c r="AK48" i="1"/>
  <c r="AK39" i="1"/>
  <c r="AW48" i="1"/>
  <c r="AW39" i="1"/>
  <c r="J29" i="1"/>
  <c r="V29" i="1"/>
  <c r="AH29" i="1"/>
  <c r="AT29" i="1"/>
  <c r="AP67" i="1"/>
  <c r="AP192" i="21" s="1"/>
  <c r="F32" i="1"/>
  <c r="AL32" i="1"/>
  <c r="AX32" i="1"/>
  <c r="K94" i="1"/>
  <c r="K63" i="1"/>
  <c r="K67" i="1" s="1"/>
  <c r="K192" i="21" s="1"/>
  <c r="S94" i="1"/>
  <c r="S63" i="1"/>
  <c r="S67" i="1" s="1"/>
  <c r="S192" i="21" s="1"/>
  <c r="AA94" i="1"/>
  <c r="AA63" i="1"/>
  <c r="AA67" i="1" s="1"/>
  <c r="AA192" i="21" s="1"/>
  <c r="AZ64" i="1"/>
  <c r="F39" i="1"/>
  <c r="F48" i="1"/>
  <c r="N39" i="1"/>
  <c r="N48" i="1"/>
  <c r="V39" i="1"/>
  <c r="V48" i="1"/>
  <c r="AH39" i="1"/>
  <c r="AH48" i="1"/>
  <c r="AP39" i="1"/>
  <c r="AP48" i="1"/>
  <c r="AR29" i="1"/>
  <c r="D32" i="1"/>
  <c r="H32" i="1"/>
  <c r="P32" i="1"/>
  <c r="T32" i="1"/>
  <c r="X32" i="1"/>
  <c r="AB32" i="1"/>
  <c r="AF32" i="1"/>
  <c r="AJ32" i="1"/>
  <c r="AN32" i="1"/>
  <c r="AV32" i="1"/>
  <c r="AZ32" i="1"/>
  <c r="H39" i="1"/>
  <c r="X39" i="1"/>
  <c r="AN39" i="1"/>
  <c r="AK94" i="1"/>
  <c r="AK43" i="1"/>
  <c r="AQ64" i="1"/>
  <c r="D44" i="1"/>
  <c r="T44" i="1"/>
  <c r="S48" i="1"/>
  <c r="AI48" i="1"/>
  <c r="AY48" i="1"/>
  <c r="AT94" i="1"/>
  <c r="AT96" i="1" s="1"/>
  <c r="AT63" i="1"/>
  <c r="AT67" i="1" s="1"/>
  <c r="AT192" i="21" s="1"/>
  <c r="AX94" i="1"/>
  <c r="AX96" i="1" s="1"/>
  <c r="AX63" i="1"/>
  <c r="AX67" i="1" s="1"/>
  <c r="AX192" i="21" s="1"/>
  <c r="AQ55" i="1"/>
  <c r="AQ63" i="1" s="1"/>
  <c r="AQ67" i="1" s="1"/>
  <c r="AQ192" i="21" s="1"/>
  <c r="BA60" i="1"/>
  <c r="CC60" i="1" s="1"/>
  <c r="BA55" i="1"/>
  <c r="Y65" i="1"/>
  <c r="G44" i="1"/>
  <c r="K44" i="1"/>
  <c r="S44" i="1"/>
  <c r="W44" i="1"/>
  <c r="AA44" i="1"/>
  <c r="AI44" i="1"/>
  <c r="AM44" i="1"/>
  <c r="AQ44" i="1"/>
  <c r="AY44" i="1"/>
  <c r="AJ94" i="1"/>
  <c r="AJ63" i="1"/>
  <c r="AJ67" i="1" s="1"/>
  <c r="AJ192" i="21" s="1"/>
  <c r="I63" i="1"/>
  <c r="I67" i="1" s="1"/>
  <c r="I192" i="21" s="1"/>
  <c r="N63" i="1"/>
  <c r="N67" i="1" s="1"/>
  <c r="N192" i="21" s="1"/>
  <c r="Y63" i="1"/>
  <c r="Y67" i="1" s="1"/>
  <c r="Y192" i="21" s="1"/>
  <c r="AD63" i="1"/>
  <c r="AD67" i="1" s="1"/>
  <c r="AD192" i="21" s="1"/>
  <c r="N64" i="1"/>
  <c r="N65" i="1" s="1"/>
  <c r="AD64" i="1"/>
  <c r="AT64" i="1"/>
  <c r="AO43" i="1"/>
  <c r="E44" i="1"/>
  <c r="I44" i="1"/>
  <c r="M44" i="1"/>
  <c r="Q44" i="1"/>
  <c r="U44" i="1"/>
  <c r="Y44" i="1"/>
  <c r="AC44" i="1"/>
  <c r="AS44" i="1"/>
  <c r="AW44" i="1"/>
  <c r="H94" i="1"/>
  <c r="H63" i="1"/>
  <c r="H67" i="1" s="1"/>
  <c r="H192" i="21" s="1"/>
  <c r="L94" i="1"/>
  <c r="L63" i="1"/>
  <c r="P94" i="1"/>
  <c r="P63" i="1"/>
  <c r="P67" i="1" s="1"/>
  <c r="P192" i="21" s="1"/>
  <c r="T94" i="1"/>
  <c r="T63" i="1"/>
  <c r="T67" i="1" s="1"/>
  <c r="T192" i="21" s="1"/>
  <c r="X94" i="1"/>
  <c r="X63" i="1"/>
  <c r="X67" i="1" s="1"/>
  <c r="X192" i="21" s="1"/>
  <c r="AW60" i="1"/>
  <c r="CS60" i="1" s="1"/>
  <c r="F63" i="1"/>
  <c r="F67" i="1" s="1"/>
  <c r="F192" i="21" s="1"/>
  <c r="Q63" i="1"/>
  <c r="Q67" i="1" s="1"/>
  <c r="Q192" i="21" s="1"/>
  <c r="V63" i="1"/>
  <c r="V67" i="1" s="1"/>
  <c r="V192" i="21" s="1"/>
  <c r="AW63" i="1"/>
  <c r="AW67" i="1" s="1"/>
  <c r="AW192" i="21" s="1"/>
  <c r="F64" i="1"/>
  <c r="F65" i="1" s="1"/>
  <c r="V64" i="1"/>
  <c r="V65" i="1" s="1"/>
  <c r="AL64" i="1"/>
  <c r="D63" i="1"/>
  <c r="D67" i="1" s="1"/>
  <c r="D192" i="21" s="1"/>
  <c r="AM73" i="1"/>
  <c r="R44" i="1"/>
  <c r="AH44" i="1"/>
  <c r="AX44" i="1"/>
  <c r="AN94" i="1"/>
  <c r="AN63" i="1"/>
  <c r="AN67" i="1" s="1"/>
  <c r="AN192" i="21" s="1"/>
  <c r="AV94" i="1"/>
  <c r="AV96" i="1" s="1"/>
  <c r="AV63" i="1"/>
  <c r="AV67" i="1" s="1"/>
  <c r="AV192" i="21" s="1"/>
  <c r="AZ96" i="1"/>
  <c r="AZ63" i="1"/>
  <c r="AZ67" i="1" s="1"/>
  <c r="AZ192" i="21" s="1"/>
  <c r="M63" i="1"/>
  <c r="M67" i="1" s="1"/>
  <c r="M192" i="21" s="1"/>
  <c r="R63" i="1"/>
  <c r="R67" i="1" s="1"/>
  <c r="R192" i="21" s="1"/>
  <c r="AC63" i="1"/>
  <c r="AC67" i="1" s="1"/>
  <c r="AC192" i="21" s="1"/>
  <c r="AH63" i="1"/>
  <c r="AH67" i="1" s="1"/>
  <c r="AH192" i="21" s="1"/>
  <c r="AM63" i="1"/>
  <c r="AM67" i="1" s="1"/>
  <c r="AM192" i="21" s="1"/>
  <c r="AS63" i="1"/>
  <c r="AS67" i="1" s="1"/>
  <c r="AS192" i="21" s="1"/>
  <c r="AI94" i="1"/>
  <c r="AI73" i="1"/>
  <c r="AI79" i="1" s="1"/>
  <c r="CR146" i="1"/>
  <c r="CA146" i="1"/>
  <c r="BG162" i="1"/>
  <c r="BH114" i="1"/>
  <c r="CU114" i="1" s="1"/>
  <c r="CD114" i="1"/>
  <c r="BG113" i="1"/>
  <c r="BG115" i="1" s="1"/>
  <c r="AR132" i="1"/>
  <c r="AS132" i="1" s="1"/>
  <c r="BZ132" i="1"/>
  <c r="BF115" i="1"/>
  <c r="J168" i="1"/>
  <c r="J169" i="1"/>
  <c r="BG159" i="1"/>
  <c r="BG15" i="3" s="1"/>
  <c r="CD15" i="3" s="1"/>
  <c r="BH156" i="1"/>
  <c r="CU156" i="1" s="1"/>
  <c r="CU159" i="1" s="1"/>
  <c r="CO11" i="1"/>
  <c r="L10" i="1"/>
  <c r="CU11" i="1"/>
  <c r="CT11" i="1"/>
  <c r="CN11" i="1"/>
  <c r="CM11" i="1"/>
  <c r="CL11" i="1"/>
  <c r="CK11" i="1"/>
  <c r="CJ11" i="1"/>
  <c r="CI11" i="1"/>
  <c r="CH11" i="1"/>
  <c r="CS10" i="1"/>
  <c r="CR10" i="1"/>
  <c r="CQ10" i="1"/>
  <c r="CP10" i="1"/>
  <c r="CO10" i="1"/>
  <c r="CN10" i="1"/>
  <c r="CM10" i="1"/>
  <c r="CL10" i="1"/>
  <c r="CK10" i="1"/>
  <c r="CJ10" i="1"/>
  <c r="CH10" i="1"/>
  <c r="P35" i="1" l="1"/>
  <c r="L53" i="1"/>
  <c r="L59" i="2"/>
  <c r="L140" i="21"/>
  <c r="L69" i="3"/>
  <c r="BD91" i="21"/>
  <c r="BD15" i="1"/>
  <c r="BD16" i="1" s="1"/>
  <c r="BD130" i="21"/>
  <c r="BD23" i="21"/>
  <c r="BD65" i="21"/>
  <c r="CP63" i="1"/>
  <c r="I35" i="1"/>
  <c r="AI68" i="1"/>
  <c r="AG68" i="1"/>
  <c r="BE68" i="2"/>
  <c r="P139" i="1"/>
  <c r="P141" i="1" s="1"/>
  <c r="M35" i="1"/>
  <c r="T70" i="1"/>
  <c r="T139" i="1" s="1"/>
  <c r="T141" i="1" s="1"/>
  <c r="AX70" i="1"/>
  <c r="AX82" i="1" s="1"/>
  <c r="BA94" i="1"/>
  <c r="BA96" i="1" s="1"/>
  <c r="AG43" i="1"/>
  <c r="AG44" i="1" s="1"/>
  <c r="D35" i="1"/>
  <c r="P71" i="1"/>
  <c r="AJ65" i="1"/>
  <c r="U70" i="1"/>
  <c r="U82" i="1" s="1"/>
  <c r="E35" i="1"/>
  <c r="D139" i="1"/>
  <c r="D141" i="1" s="1"/>
  <c r="AC70" i="1"/>
  <c r="AC139" i="1" s="1"/>
  <c r="AU192" i="21"/>
  <c r="AU79" i="1"/>
  <c r="AB192" i="21"/>
  <c r="AB68" i="1"/>
  <c r="AB79" i="1"/>
  <c r="AB91" i="1" s="1"/>
  <c r="AB185" i="2" s="1"/>
  <c r="CA94" i="1"/>
  <c r="CA96" i="1" s="1"/>
  <c r="AY79" i="1"/>
  <c r="AY68" i="1"/>
  <c r="AY65" i="1"/>
  <c r="AT65" i="1"/>
  <c r="X70" i="1"/>
  <c r="X71" i="1" s="1"/>
  <c r="AS70" i="1"/>
  <c r="AS71" i="1" s="1"/>
  <c r="H71" i="1"/>
  <c r="CE131" i="1"/>
  <c r="CP94" i="1"/>
  <c r="AY70" i="1"/>
  <c r="BC187" i="21"/>
  <c r="CV49" i="3"/>
  <c r="CV151" i="3" s="1"/>
  <c r="BM25" i="2"/>
  <c r="BN25" i="2" s="1"/>
  <c r="BO25" i="2" s="1"/>
  <c r="CF25" i="2" s="1"/>
  <c r="CV25" i="2"/>
  <c r="BM26" i="2"/>
  <c r="BN26" i="2" s="1"/>
  <c r="BO26" i="2" s="1"/>
  <c r="CF26" i="2" s="1"/>
  <c r="CV26" i="2"/>
  <c r="CE158" i="1"/>
  <c r="BX42" i="1"/>
  <c r="BX43" i="1" s="1"/>
  <c r="BX64" i="1" s="1"/>
  <c r="BM158" i="1"/>
  <c r="BN158" i="1" s="1"/>
  <c r="BO158" i="1" s="1"/>
  <c r="CV158" i="1"/>
  <c r="CF157" i="1"/>
  <c r="BM131" i="1"/>
  <c r="BN131" i="1" s="1"/>
  <c r="BO131" i="1" s="1"/>
  <c r="CV131" i="1"/>
  <c r="BL151" i="3"/>
  <c r="BM49" i="3"/>
  <c r="BN49" i="3" s="1"/>
  <c r="BO49" i="3" s="1"/>
  <c r="BJ151" i="3"/>
  <c r="BK151" i="3" s="1"/>
  <c r="BM21" i="2"/>
  <c r="BN21" i="2" s="1"/>
  <c r="BO21" i="2" s="1"/>
  <c r="CF21" i="2" s="1"/>
  <c r="CV21" i="2"/>
  <c r="BN69" i="3"/>
  <c r="BM43" i="2"/>
  <c r="BN43" i="2" s="1"/>
  <c r="BO43" i="2" s="1"/>
  <c r="CF43" i="2" s="1"/>
  <c r="BM34" i="2"/>
  <c r="BN34" i="2" s="1"/>
  <c r="BO34" i="2" s="1"/>
  <c r="CF34" i="2" s="1"/>
  <c r="CE109" i="2"/>
  <c r="BL109" i="2"/>
  <c r="CE39" i="2"/>
  <c r="BL39" i="2"/>
  <c r="CV39" i="2" s="1"/>
  <c r="AO192" i="21"/>
  <c r="AO68" i="1"/>
  <c r="CH59" i="2"/>
  <c r="CH57" i="2" s="1"/>
  <c r="CH31" i="1"/>
  <c r="CH32" i="1" s="1"/>
  <c r="CH24" i="1"/>
  <c r="CH38" i="1"/>
  <c r="CH44" i="1"/>
  <c r="CH61" i="1"/>
  <c r="CH47" i="1"/>
  <c r="CH29" i="1"/>
  <c r="CH34" i="1"/>
  <c r="CH53" i="1"/>
  <c r="CK47" i="1"/>
  <c r="CK53" i="1"/>
  <c r="CK61" i="1"/>
  <c r="CK38" i="1"/>
  <c r="CK24" i="1"/>
  <c r="CK31" i="1"/>
  <c r="CK32" i="1" s="1"/>
  <c r="CK44" i="1"/>
  <c r="CK34" i="1"/>
  <c r="CK29" i="1"/>
  <c r="CM47" i="1"/>
  <c r="CM38" i="1"/>
  <c r="CM24" i="1"/>
  <c r="CM31" i="1"/>
  <c r="CM32" i="1" s="1"/>
  <c r="CM61" i="1"/>
  <c r="CM53" i="1"/>
  <c r="CM29" i="1"/>
  <c r="CM34" i="1"/>
  <c r="CM35" i="1" s="1"/>
  <c r="CO47" i="1"/>
  <c r="CO61" i="1"/>
  <c r="CO53" i="1"/>
  <c r="CO38" i="1"/>
  <c r="CO24" i="1"/>
  <c r="CO31" i="1"/>
  <c r="CO32" i="1" s="1"/>
  <c r="CO29" i="1"/>
  <c r="CO34" i="1"/>
  <c r="CO35" i="1" s="1"/>
  <c r="CQ47" i="1"/>
  <c r="CQ38" i="1"/>
  <c r="CQ53" i="1"/>
  <c r="CQ24" i="1"/>
  <c r="CQ31" i="1"/>
  <c r="CQ32" i="1" s="1"/>
  <c r="CQ61" i="1"/>
  <c r="CQ34" i="1"/>
  <c r="CQ35" i="1" s="1"/>
  <c r="CQ29" i="1"/>
  <c r="CS47" i="1"/>
  <c r="CS38" i="1"/>
  <c r="CS53" i="1"/>
  <c r="CS44" i="1"/>
  <c r="CS24" i="1"/>
  <c r="CS31" i="1"/>
  <c r="CS32" i="1" s="1"/>
  <c r="CS34" i="1"/>
  <c r="CS35" i="1" s="1"/>
  <c r="CS29" i="1"/>
  <c r="CJ24" i="1"/>
  <c r="CJ31" i="1"/>
  <c r="CJ32" i="1" s="1"/>
  <c r="CJ34" i="1"/>
  <c r="CJ38" i="1"/>
  <c r="CJ61" i="1"/>
  <c r="CJ44" i="1"/>
  <c r="CJ47" i="1"/>
  <c r="CJ29" i="1"/>
  <c r="CJ53" i="1"/>
  <c r="CL31" i="1"/>
  <c r="CL32" i="1" s="1"/>
  <c r="CL34" i="1"/>
  <c r="CL38" i="1"/>
  <c r="CL24" i="1"/>
  <c r="CL47" i="1"/>
  <c r="CL29" i="1"/>
  <c r="CL61" i="1"/>
  <c r="CL44" i="1"/>
  <c r="CL53" i="1"/>
  <c r="CN59" i="2"/>
  <c r="CN53" i="2" s="1"/>
  <c r="CN24" i="1"/>
  <c r="CN31" i="1"/>
  <c r="CN32" i="1" s="1"/>
  <c r="CN34" i="1"/>
  <c r="CN35" i="1" s="1"/>
  <c r="CN38" i="1"/>
  <c r="CN61" i="1"/>
  <c r="CN29" i="1"/>
  <c r="CN53" i="1"/>
  <c r="CN47" i="1"/>
  <c r="CP31" i="1"/>
  <c r="CP32" i="1" s="1"/>
  <c r="CP24" i="1"/>
  <c r="CP38" i="1"/>
  <c r="CP61" i="1"/>
  <c r="CP47" i="1"/>
  <c r="CP34" i="1"/>
  <c r="CP35" i="1" s="1"/>
  <c r="CP29" i="1"/>
  <c r="CP53" i="1"/>
  <c r="CR24" i="1"/>
  <c r="CR34" i="1"/>
  <c r="CR35" i="1" s="1"/>
  <c r="CR31" i="1"/>
  <c r="CR32" i="1" s="1"/>
  <c r="CR53" i="1"/>
  <c r="CR47" i="1"/>
  <c r="CR44" i="1"/>
  <c r="CR38" i="1"/>
  <c r="CR29" i="1"/>
  <c r="CS11" i="1"/>
  <c r="AD65" i="1"/>
  <c r="Y35" i="1"/>
  <c r="Q35" i="1"/>
  <c r="BA35" i="1"/>
  <c r="CQ11" i="1"/>
  <c r="CP11" i="1"/>
  <c r="CR11" i="1"/>
  <c r="CQ132" i="1"/>
  <c r="AI65" i="1"/>
  <c r="W196" i="21"/>
  <c r="O196" i="21"/>
  <c r="BY64" i="1"/>
  <c r="H139" i="1"/>
  <c r="H141" i="1" s="1"/>
  <c r="CQ44" i="1"/>
  <c r="CQ64" i="1"/>
  <c r="CM44" i="1"/>
  <c r="CM64" i="1"/>
  <c r="BZ64" i="1"/>
  <c r="BW64" i="1"/>
  <c r="CO44" i="1"/>
  <c r="CO64" i="1"/>
  <c r="CO94" i="1"/>
  <c r="BY94" i="1"/>
  <c r="CP44" i="1"/>
  <c r="CP64" i="1"/>
  <c r="CN44" i="1"/>
  <c r="CN64" i="1"/>
  <c r="J70" i="1"/>
  <c r="J139" i="1" s="1"/>
  <c r="J141" i="1" s="1"/>
  <c r="K65" i="1"/>
  <c r="CR61" i="1"/>
  <c r="CR64" i="1"/>
  <c r="CB60" i="1"/>
  <c r="CB94" i="1" s="1"/>
  <c r="CA63" i="1"/>
  <c r="BS63" i="1"/>
  <c r="BS94" i="1"/>
  <c r="CN63" i="1"/>
  <c r="CN94" i="1"/>
  <c r="CL94" i="1"/>
  <c r="CL63" i="1"/>
  <c r="CJ94" i="1"/>
  <c r="CJ63" i="1"/>
  <c r="CH94" i="1"/>
  <c r="CH63" i="1"/>
  <c r="CS63" i="1"/>
  <c r="CS94" i="1"/>
  <c r="BV63" i="1"/>
  <c r="BV94" i="1"/>
  <c r="BR63" i="1"/>
  <c r="BR94" i="1"/>
  <c r="CS61" i="1"/>
  <c r="CS64" i="1"/>
  <c r="AW64" i="1"/>
  <c r="AW65" i="1" s="1"/>
  <c r="CT55" i="1"/>
  <c r="CC55" i="1"/>
  <c r="CC94" i="1" s="1"/>
  <c r="CQ55" i="1"/>
  <c r="BZ55" i="1"/>
  <c r="BZ63" i="1" s="1"/>
  <c r="BU94" i="1"/>
  <c r="BU63" i="1"/>
  <c r="BQ94" i="1"/>
  <c r="BQ63" i="1"/>
  <c r="BA64" i="1"/>
  <c r="BA70" i="1" s="1"/>
  <c r="CT60" i="1"/>
  <c r="CA64" i="1"/>
  <c r="CB63" i="1"/>
  <c r="CM63" i="1"/>
  <c r="CM94" i="1"/>
  <c r="CK94" i="1"/>
  <c r="CK63" i="1"/>
  <c r="CI63" i="1"/>
  <c r="CI94" i="1"/>
  <c r="CR63" i="1"/>
  <c r="CR94" i="1"/>
  <c r="CR96" i="1" s="1"/>
  <c r="BW63" i="1"/>
  <c r="BW94" i="1"/>
  <c r="BT63" i="1"/>
  <c r="BT94" i="1"/>
  <c r="BZ76" i="1"/>
  <c r="CQ76" i="1"/>
  <c r="CQ73" i="1" s="1"/>
  <c r="CA73" i="1"/>
  <c r="CA77" i="1"/>
  <c r="CQ77" i="1"/>
  <c r="CR73" i="1"/>
  <c r="CR77" i="1"/>
  <c r="BY73" i="1"/>
  <c r="BY77" i="1"/>
  <c r="BZ77" i="1"/>
  <c r="BX73" i="1"/>
  <c r="BX77" i="1"/>
  <c r="CP73" i="1"/>
  <c r="CP77" i="1"/>
  <c r="CO73" i="1"/>
  <c r="CO77" i="1"/>
  <c r="D71" i="1"/>
  <c r="BG15" i="21"/>
  <c r="BG130" i="3"/>
  <c r="BG142" i="3"/>
  <c r="CD26" i="3"/>
  <c r="CD128" i="3" s="1"/>
  <c r="BI121" i="3"/>
  <c r="BK66" i="2"/>
  <c r="BL66" i="2" s="1"/>
  <c r="CV66" i="2" s="1"/>
  <c r="BJ19" i="3"/>
  <c r="CD31" i="2"/>
  <c r="BG30" i="3"/>
  <c r="BH31" i="2"/>
  <c r="CU15" i="2"/>
  <c r="BI15" i="2"/>
  <c r="BH29" i="3"/>
  <c r="CD22" i="2"/>
  <c r="BH22" i="2"/>
  <c r="BG128" i="3"/>
  <c r="BH51" i="3"/>
  <c r="BI42" i="2"/>
  <c r="CU42" i="2"/>
  <c r="BF132" i="3"/>
  <c r="BH20" i="2"/>
  <c r="BH26" i="3" s="1"/>
  <c r="CD20" i="2"/>
  <c r="BH28" i="3"/>
  <c r="CU35" i="2"/>
  <c r="BI35" i="2"/>
  <c r="Z192" i="21"/>
  <c r="Z68" i="1"/>
  <c r="Z79" i="1"/>
  <c r="Z91" i="1" s="1"/>
  <c r="Z185" i="2" s="1"/>
  <c r="AO94" i="1"/>
  <c r="L65" i="1"/>
  <c r="AZ35" i="1"/>
  <c r="AA65" i="1"/>
  <c r="AO73" i="1"/>
  <c r="AO79" i="1" s="1"/>
  <c r="AO91" i="1" s="1"/>
  <c r="AO185" i="2" s="1"/>
  <c r="H35" i="1"/>
  <c r="Z70" i="1"/>
  <c r="Z71" i="1" s="1"/>
  <c r="CD117" i="3"/>
  <c r="CU162" i="1"/>
  <c r="CU81" i="2"/>
  <c r="U79" i="1"/>
  <c r="U192" i="21"/>
  <c r="U68" i="1"/>
  <c r="E79" i="1"/>
  <c r="E192" i="21"/>
  <c r="E68" i="1"/>
  <c r="J192" i="21"/>
  <c r="J68" i="1"/>
  <c r="J79" i="1"/>
  <c r="J91" i="1" s="1"/>
  <c r="J185" i="2" s="1"/>
  <c r="CK59" i="2"/>
  <c r="CO59" i="2"/>
  <c r="CO69" i="3"/>
  <c r="CS59" i="2"/>
  <c r="CJ59" i="2"/>
  <c r="CJ69" i="3"/>
  <c r="CL59" i="2"/>
  <c r="CN57" i="2"/>
  <c r="CP59" i="2"/>
  <c r="CR59" i="2"/>
  <c r="CR69" i="3"/>
  <c r="CD113" i="1"/>
  <c r="AQ65" i="1"/>
  <c r="CD149" i="3"/>
  <c r="CS69" i="3"/>
  <c r="AF64" i="1"/>
  <c r="AF65" i="1" s="1"/>
  <c r="AF44" i="1"/>
  <c r="Z184" i="21"/>
  <c r="Z185" i="21" s="1"/>
  <c r="X185" i="21"/>
  <c r="V184" i="21"/>
  <c r="V185" i="21" s="1"/>
  <c r="V107" i="21"/>
  <c r="W108" i="21" s="1"/>
  <c r="T110" i="21"/>
  <c r="T109" i="21"/>
  <c r="T108" i="21"/>
  <c r="T185" i="21"/>
  <c r="P196" i="21"/>
  <c r="P185" i="21"/>
  <c r="N196" i="21"/>
  <c r="K184" i="21"/>
  <c r="K185" i="21" s="1"/>
  <c r="K107" i="21"/>
  <c r="O109" i="21" s="1"/>
  <c r="I108" i="21"/>
  <c r="I110" i="21"/>
  <c r="I196" i="21"/>
  <c r="CB55" i="2"/>
  <c r="CB54" i="2" s="1"/>
  <c r="CB56" i="2"/>
  <c r="BZ55" i="2"/>
  <c r="BZ54" i="2" s="1"/>
  <c r="BZ56" i="2"/>
  <c r="BX55" i="2"/>
  <c r="BX54" i="2" s="1"/>
  <c r="BX56" i="2"/>
  <c r="BV55" i="2"/>
  <c r="BV54" i="2" s="1"/>
  <c r="BV56" i="2"/>
  <c r="BT55" i="2"/>
  <c r="BT54" i="2" s="1"/>
  <c r="BT56" i="2"/>
  <c r="BR55" i="2"/>
  <c r="BR54" i="2" s="1"/>
  <c r="BR56" i="2"/>
  <c r="CH69" i="3"/>
  <c r="CK69" i="3"/>
  <c r="CL69" i="3"/>
  <c r="AK79" i="1"/>
  <c r="AK192" i="21"/>
  <c r="AA196" i="21"/>
  <c r="Y196" i="21"/>
  <c r="U184" i="21"/>
  <c r="U185" i="21" s="1"/>
  <c r="U107" i="21"/>
  <c r="S109" i="21"/>
  <c r="S110" i="21"/>
  <c r="S196" i="21"/>
  <c r="M109" i="21"/>
  <c r="M110" i="21"/>
  <c r="M196" i="21"/>
  <c r="H185" i="21"/>
  <c r="CH53" i="2"/>
  <c r="CM59" i="2"/>
  <c r="CQ59" i="2"/>
  <c r="CD162" i="1"/>
  <c r="CD81" i="2"/>
  <c r="BH47" i="3"/>
  <c r="CU47" i="3" s="1"/>
  <c r="CU149" i="3" s="1"/>
  <c r="BH81" i="2"/>
  <c r="CD97" i="3"/>
  <c r="CQ69" i="3"/>
  <c r="CM69" i="3"/>
  <c r="BG67" i="2"/>
  <c r="CN69" i="3"/>
  <c r="CP69" i="3"/>
  <c r="AB64" i="1"/>
  <c r="AB70" i="1" s="1"/>
  <c r="AB44" i="1"/>
  <c r="AF79" i="1"/>
  <c r="AF192" i="21"/>
  <c r="R184" i="21"/>
  <c r="R185" i="21" s="1"/>
  <c r="R107" i="21"/>
  <c r="S108" i="21" s="1"/>
  <c r="P110" i="21"/>
  <c r="P108" i="21"/>
  <c r="O108" i="21"/>
  <c r="N110" i="21"/>
  <c r="N108" i="21"/>
  <c r="BA180" i="21"/>
  <c r="BA189" i="21" s="1"/>
  <c r="BA160" i="21"/>
  <c r="BA159" i="21"/>
  <c r="BA184" i="21"/>
  <c r="BG117" i="3"/>
  <c r="AG94" i="1"/>
  <c r="W109" i="21"/>
  <c r="W110" i="21"/>
  <c r="Q184" i="21"/>
  <c r="Q185" i="21" s="1"/>
  <c r="Q107" i="21"/>
  <c r="O110" i="21"/>
  <c r="J184" i="21"/>
  <c r="J185" i="21" s="1"/>
  <c r="J107" i="21"/>
  <c r="J110" i="21" s="1"/>
  <c r="H110" i="21"/>
  <c r="BY55" i="2"/>
  <c r="BY54" i="2" s="1"/>
  <c r="BY56" i="2"/>
  <c r="BU56" i="2"/>
  <c r="BU55" i="2"/>
  <c r="BU54" i="2" s="1"/>
  <c r="BQ55" i="2"/>
  <c r="BQ54" i="2" s="1"/>
  <c r="BQ56" i="2"/>
  <c r="BG149" i="3"/>
  <c r="BE36" i="21"/>
  <c r="BE83" i="21"/>
  <c r="BG17" i="21"/>
  <c r="BH150" i="3"/>
  <c r="BI48" i="3"/>
  <c r="CO83" i="3"/>
  <c r="CO82" i="3" s="1"/>
  <c r="CO86" i="3" s="1"/>
  <c r="CU65" i="2"/>
  <c r="BI65" i="2"/>
  <c r="BJ65" i="2" s="1"/>
  <c r="BK65" i="2" s="1"/>
  <c r="CS83" i="3"/>
  <c r="CS82" i="3" s="1"/>
  <c r="CS86" i="3" s="1"/>
  <c r="CM83" i="3"/>
  <c r="CM82" i="3" s="1"/>
  <c r="CM86" i="3" s="1"/>
  <c r="AF110" i="2"/>
  <c r="AF87" i="2" s="1"/>
  <c r="AF88" i="2" s="1"/>
  <c r="AF137" i="2"/>
  <c r="AF144" i="2" s="1"/>
  <c r="AG104" i="2"/>
  <c r="BZ71" i="3"/>
  <c r="AQ73" i="3"/>
  <c r="BZ73" i="3" s="1"/>
  <c r="AQ72" i="3"/>
  <c r="CH83" i="3"/>
  <c r="CH82" i="3" s="1"/>
  <c r="CH86" i="3" s="1"/>
  <c r="BQ83" i="3"/>
  <c r="BQ82" i="3" s="1"/>
  <c r="BQ86" i="3" s="1"/>
  <c r="AE87" i="2"/>
  <c r="BW110" i="2"/>
  <c r="BX83" i="3"/>
  <c r="BX82" i="3" s="1"/>
  <c r="BX86" i="3" s="1"/>
  <c r="CJ83" i="3"/>
  <c r="CJ82" i="3" s="1"/>
  <c r="CJ86" i="3" s="1"/>
  <c r="CP83" i="3"/>
  <c r="CP82" i="3" s="1"/>
  <c r="CP86" i="3" s="1"/>
  <c r="CI83" i="3"/>
  <c r="CI82" i="3" s="1"/>
  <c r="CI86" i="3" s="1"/>
  <c r="CR83" i="3"/>
  <c r="CR82" i="3" s="1"/>
  <c r="CR86" i="3" s="1"/>
  <c r="AL139" i="2"/>
  <c r="AM129" i="2"/>
  <c r="BJ56" i="2"/>
  <c r="BH87" i="2"/>
  <c r="BI33" i="2"/>
  <c r="CU33" i="2"/>
  <c r="AL138" i="2"/>
  <c r="AM128" i="2"/>
  <c r="BH85" i="2"/>
  <c r="BH151" i="2" s="1"/>
  <c r="CU12" i="2"/>
  <c r="BI12" i="2"/>
  <c r="AT132" i="2"/>
  <c r="AS142" i="2"/>
  <c r="BG151" i="2"/>
  <c r="CD151" i="2" s="1"/>
  <c r="CD85" i="2"/>
  <c r="AS154" i="2"/>
  <c r="AS155" i="2" s="1"/>
  <c r="AR155" i="2"/>
  <c r="AL103" i="2"/>
  <c r="AK136" i="2"/>
  <c r="BF68" i="2"/>
  <c r="BG64" i="2"/>
  <c r="BG55" i="2"/>
  <c r="BH55" i="2" s="1"/>
  <c r="BI55" i="2" s="1"/>
  <c r="BF54" i="2"/>
  <c r="AI86" i="1"/>
  <c r="AI89" i="1" s="1"/>
  <c r="AI91" i="1"/>
  <c r="AI185" i="2" s="1"/>
  <c r="AI80" i="1"/>
  <c r="AC79" i="1"/>
  <c r="AC68" i="1"/>
  <c r="T79" i="1"/>
  <c r="T68" i="1"/>
  <c r="I79" i="1"/>
  <c r="I68" i="1"/>
  <c r="K79" i="1"/>
  <c r="K68" i="1"/>
  <c r="AS79" i="1"/>
  <c r="AS68" i="1"/>
  <c r="R79" i="1"/>
  <c r="R68" i="1"/>
  <c r="AZ79" i="1"/>
  <c r="AZ68" i="1"/>
  <c r="AN79" i="1"/>
  <c r="AN68" i="1"/>
  <c r="F79" i="1"/>
  <c r="F68" i="1"/>
  <c r="AD79" i="1"/>
  <c r="AD68" i="1"/>
  <c r="AT79" i="1"/>
  <c r="AT68" i="1"/>
  <c r="AM68" i="1"/>
  <c r="AM79" i="1"/>
  <c r="M79" i="1"/>
  <c r="M68" i="1"/>
  <c r="D79" i="1"/>
  <c r="D68" i="1"/>
  <c r="AW79" i="1"/>
  <c r="AW68" i="1"/>
  <c r="X79" i="1"/>
  <c r="X68" i="1"/>
  <c r="P79" i="1"/>
  <c r="P68" i="1"/>
  <c r="H79" i="1"/>
  <c r="H68" i="1"/>
  <c r="Y79" i="1"/>
  <c r="Y68" i="1"/>
  <c r="S68" i="1"/>
  <c r="S79" i="1"/>
  <c r="AH79" i="1"/>
  <c r="AH68" i="1"/>
  <c r="AQ79" i="1"/>
  <c r="AQ68" i="1"/>
  <c r="AX79" i="1"/>
  <c r="AX68" i="1"/>
  <c r="AL79" i="1"/>
  <c r="AL68" i="1"/>
  <c r="AV79" i="1"/>
  <c r="AV68" i="1"/>
  <c r="V79" i="1"/>
  <c r="V68" i="1"/>
  <c r="N79" i="1"/>
  <c r="N68" i="1"/>
  <c r="AA79" i="1"/>
  <c r="AA68" i="1"/>
  <c r="CO13" i="1"/>
  <c r="CN13" i="1"/>
  <c r="CR13" i="1"/>
  <c r="AW61" i="1"/>
  <c r="BA63" i="1"/>
  <c r="BA67" i="1" s="1"/>
  <c r="BA192" i="21" s="1"/>
  <c r="P83" i="1"/>
  <c r="W65" i="1"/>
  <c r="AV70" i="1"/>
  <c r="AV35" i="1"/>
  <c r="Y139" i="1"/>
  <c r="Y71" i="1"/>
  <c r="Y82" i="1"/>
  <c r="Q139" i="1"/>
  <c r="Q71" i="1"/>
  <c r="Q82" i="1"/>
  <c r="I139" i="1"/>
  <c r="I71" i="1"/>
  <c r="I82" i="1"/>
  <c r="AE79" i="1"/>
  <c r="AE68" i="1"/>
  <c r="G68" i="1"/>
  <c r="G79" i="1"/>
  <c r="AM65" i="1"/>
  <c r="AN70" i="1"/>
  <c r="AN35" i="1"/>
  <c r="W70" i="1"/>
  <c r="W35" i="1"/>
  <c r="G70" i="1"/>
  <c r="G35" i="1"/>
  <c r="D83" i="1"/>
  <c r="R139" i="1"/>
  <c r="R141" i="1" s="1"/>
  <c r="R82" i="1"/>
  <c r="R71" i="1"/>
  <c r="AG91" i="1"/>
  <c r="AG185" i="2" s="1"/>
  <c r="AG80" i="1"/>
  <c r="AG86" i="1"/>
  <c r="AG89" i="1" s="1"/>
  <c r="AQ70" i="1"/>
  <c r="AQ35" i="1"/>
  <c r="H83" i="1"/>
  <c r="L29" i="1"/>
  <c r="AJ79" i="1"/>
  <c r="AJ68" i="1"/>
  <c r="AP79" i="1"/>
  <c r="AP68" i="1"/>
  <c r="W68" i="1"/>
  <c r="W79" i="1"/>
  <c r="AP139" i="1"/>
  <c r="AP141" i="1" s="1"/>
  <c r="AP82" i="1"/>
  <c r="AP71" i="1"/>
  <c r="AP69" i="1"/>
  <c r="AR79" i="1"/>
  <c r="AR68" i="1"/>
  <c r="AI70" i="1"/>
  <c r="AI35" i="1"/>
  <c r="S70" i="1"/>
  <c r="S35" i="1"/>
  <c r="AL70" i="1"/>
  <c r="AD70" i="1"/>
  <c r="AH139" i="1"/>
  <c r="AH141" i="1" s="1"/>
  <c r="AH82" i="1"/>
  <c r="AH71" i="1"/>
  <c r="CS13" i="1"/>
  <c r="AT132" i="1"/>
  <c r="AU132" i="1" s="1"/>
  <c r="CP13" i="1"/>
  <c r="Q79" i="1"/>
  <c r="Q68" i="1"/>
  <c r="AO64" i="1"/>
  <c r="AO44" i="1"/>
  <c r="BA61" i="1"/>
  <c r="AQ94" i="1"/>
  <c r="AQ96" i="1" s="1"/>
  <c r="AJ70" i="1"/>
  <c r="O65" i="1"/>
  <c r="AC71" i="1"/>
  <c r="M139" i="1"/>
  <c r="M71" i="1"/>
  <c r="M82" i="1"/>
  <c r="E139" i="1"/>
  <c r="E71" i="1"/>
  <c r="E82" i="1"/>
  <c r="AE70" i="1"/>
  <c r="AE35" i="1"/>
  <c r="O70" i="1"/>
  <c r="O35" i="1"/>
  <c r="J86" i="1"/>
  <c r="J89" i="1" s="1"/>
  <c r="F70" i="1"/>
  <c r="AE65" i="1"/>
  <c r="N70" i="1"/>
  <c r="CK13" i="1"/>
  <c r="K169" i="1"/>
  <c r="K168" i="1"/>
  <c r="CL13" i="1"/>
  <c r="L61" i="1"/>
  <c r="L38" i="1"/>
  <c r="L47" i="1"/>
  <c r="L31" i="1"/>
  <c r="L191" i="21" s="1"/>
  <c r="L21" i="1"/>
  <c r="L44" i="1"/>
  <c r="L24" i="1"/>
  <c r="L34" i="1"/>
  <c r="P13" i="1"/>
  <c r="L13" i="1"/>
  <c r="L12" i="1"/>
  <c r="M12" i="1"/>
  <c r="CI10" i="1"/>
  <c r="CM13" i="1"/>
  <c r="CQ13" i="1"/>
  <c r="BH159" i="1"/>
  <c r="BH15" i="3" s="1"/>
  <c r="BI156" i="1"/>
  <c r="BH113" i="1"/>
  <c r="CU113" i="1" s="1"/>
  <c r="BH162" i="1"/>
  <c r="BI114" i="1"/>
  <c r="AK64" i="1"/>
  <c r="AL65" i="1" s="1"/>
  <c r="AK44" i="1"/>
  <c r="AZ65" i="1"/>
  <c r="G65" i="1"/>
  <c r="AU68" i="1"/>
  <c r="O79" i="1"/>
  <c r="O68" i="1"/>
  <c r="AZ70" i="1"/>
  <c r="AZ82" i="1" s="1"/>
  <c r="AT70" i="1"/>
  <c r="AU65" i="1"/>
  <c r="AR65" i="1"/>
  <c r="AY35" i="1"/>
  <c r="AA70" i="1"/>
  <c r="AA35" i="1"/>
  <c r="K70" i="1"/>
  <c r="K35" i="1"/>
  <c r="AU70" i="1"/>
  <c r="AU82" i="1" s="1"/>
  <c r="T65" i="1"/>
  <c r="AM70" i="1"/>
  <c r="AR139" i="1"/>
  <c r="AR141" i="1" s="1"/>
  <c r="AR71" i="1"/>
  <c r="AR82" i="1"/>
  <c r="V70" i="1"/>
  <c r="BW11" i="1"/>
  <c r="BV11" i="1"/>
  <c r="BU11" i="1"/>
  <c r="BT11" i="1"/>
  <c r="BS11" i="1"/>
  <c r="BR11" i="1"/>
  <c r="BQ11" i="1"/>
  <c r="CB10" i="1"/>
  <c r="CA10" i="1"/>
  <c r="BZ10" i="1"/>
  <c r="BY10" i="1"/>
  <c r="BY44" i="1" s="1"/>
  <c r="BX10" i="1"/>
  <c r="BW10" i="1"/>
  <c r="BW44" i="1" s="1"/>
  <c r="BV10" i="1"/>
  <c r="BU10" i="1"/>
  <c r="BT10" i="1"/>
  <c r="BS10" i="1"/>
  <c r="BR10" i="1"/>
  <c r="BQ10" i="1"/>
  <c r="L53" i="2" l="1"/>
  <c r="L57" i="2"/>
  <c r="L276" i="21"/>
  <c r="L273" i="21"/>
  <c r="L254" i="21"/>
  <c r="L220" i="21"/>
  <c r="L213" i="21"/>
  <c r="L216" i="21"/>
  <c r="L248" i="21"/>
  <c r="L277" i="21"/>
  <c r="L215" i="21"/>
  <c r="L274" i="21"/>
  <c r="L255" i="21"/>
  <c r="L252" i="21"/>
  <c r="L217" i="21"/>
  <c r="L219" i="21"/>
  <c r="L256" i="21"/>
  <c r="L278" i="21"/>
  <c r="L275" i="21"/>
  <c r="L270" i="21"/>
  <c r="L251" i="21"/>
  <c r="L214" i="21"/>
  <c r="L253" i="21"/>
  <c r="L218" i="21"/>
  <c r="L195" i="21"/>
  <c r="L210" i="21"/>
  <c r="AG64" i="1"/>
  <c r="CQ63" i="1"/>
  <c r="CT94" i="1"/>
  <c r="AB80" i="1"/>
  <c r="CK67" i="1"/>
  <c r="CK79" i="1" s="1"/>
  <c r="CN67" i="1"/>
  <c r="CN79" i="1" s="1"/>
  <c r="CP70" i="1"/>
  <c r="CP71" i="1" s="1"/>
  <c r="CR70" i="1"/>
  <c r="CR71" i="1" s="1"/>
  <c r="CL67" i="1"/>
  <c r="CL79" i="1" s="1"/>
  <c r="CJ67" i="1"/>
  <c r="AS82" i="1"/>
  <c r="AS98" i="1" s="1"/>
  <c r="AC82" i="1"/>
  <c r="BX94" i="1"/>
  <c r="U139" i="1"/>
  <c r="U141" i="1" s="1"/>
  <c r="AS139" i="1"/>
  <c r="AS141" i="1" s="1"/>
  <c r="AX139" i="1"/>
  <c r="AX141" i="1" s="1"/>
  <c r="CH67" i="1"/>
  <c r="CH68" i="1" s="1"/>
  <c r="CQ70" i="1"/>
  <c r="CQ71" i="1" s="1"/>
  <c r="T71" i="1"/>
  <c r="X139" i="1"/>
  <c r="X141" i="1" s="1"/>
  <c r="X82" i="1"/>
  <c r="X83" i="1" s="1"/>
  <c r="AX71" i="1"/>
  <c r="AW70" i="1"/>
  <c r="AW139" i="1" s="1"/>
  <c r="AX65" i="1"/>
  <c r="T82" i="1"/>
  <c r="T83" i="1" s="1"/>
  <c r="CQ82" i="1"/>
  <c r="CQ83" i="1" s="1"/>
  <c r="U71" i="1"/>
  <c r="AB86" i="1"/>
  <c r="AB89" i="1" s="1"/>
  <c r="AO80" i="1"/>
  <c r="CF131" i="1"/>
  <c r="AU80" i="1"/>
  <c r="AU91" i="1"/>
  <c r="AU83" i="1"/>
  <c r="AU98" i="1"/>
  <c r="J80" i="1"/>
  <c r="J82" i="1"/>
  <c r="J83" i="1" s="1"/>
  <c r="CM67" i="1"/>
  <c r="CM68" i="1" s="1"/>
  <c r="CS67" i="1"/>
  <c r="CS68" i="1" s="1"/>
  <c r="CO70" i="1"/>
  <c r="CO71" i="1" s="1"/>
  <c r="CM70" i="1"/>
  <c r="CM71" i="1" s="1"/>
  <c r="CO67" i="1"/>
  <c r="CO68" i="1" s="1"/>
  <c r="AY82" i="1"/>
  <c r="AY71" i="1"/>
  <c r="AY91" i="1"/>
  <c r="AY92" i="1" s="1"/>
  <c r="AY80" i="1"/>
  <c r="BM151" i="3"/>
  <c r="BN151" i="3" s="1"/>
  <c r="BO151" i="3" s="1"/>
  <c r="CF49" i="3"/>
  <c r="CF151" i="3" s="1"/>
  <c r="CF158" i="1"/>
  <c r="BJ48" i="3"/>
  <c r="BK48" i="3" s="1"/>
  <c r="BL48" i="3" s="1"/>
  <c r="BL150" i="3" s="1"/>
  <c r="BO69" i="3"/>
  <c r="BM39" i="2"/>
  <c r="BN39" i="2" s="1"/>
  <c r="BO39" i="2" s="1"/>
  <c r="CF39" i="2" s="1"/>
  <c r="BM109" i="2"/>
  <c r="CE65" i="2"/>
  <c r="BL65" i="2"/>
  <c r="CV65" i="2" s="1"/>
  <c r="BL19" i="3"/>
  <c r="BM66" i="2"/>
  <c r="BR31" i="1"/>
  <c r="BR32" i="1" s="1"/>
  <c r="BR34" i="1"/>
  <c r="BR24" i="1"/>
  <c r="BR47" i="1"/>
  <c r="BR53" i="1"/>
  <c r="BR29" i="1"/>
  <c r="BR38" i="1"/>
  <c r="BR61" i="1"/>
  <c r="BR44" i="1"/>
  <c r="BT34" i="1"/>
  <c r="BT47" i="1"/>
  <c r="BT31" i="1"/>
  <c r="BT32" i="1" s="1"/>
  <c r="BT61" i="1"/>
  <c r="BT24" i="1"/>
  <c r="BT38" i="1"/>
  <c r="BT53" i="1"/>
  <c r="BT29" i="1"/>
  <c r="BT44" i="1"/>
  <c r="BV31" i="1"/>
  <c r="BV32" i="1" s="1"/>
  <c r="BV47" i="1"/>
  <c r="BV44" i="1"/>
  <c r="BV61" i="1"/>
  <c r="BV34" i="1"/>
  <c r="BV53" i="1"/>
  <c r="BV24" i="1"/>
  <c r="BV38" i="1"/>
  <c r="BV29" i="1"/>
  <c r="BX61" i="1"/>
  <c r="BX31" i="1"/>
  <c r="BX191" i="21" s="1"/>
  <c r="BX196" i="21" s="1"/>
  <c r="BX47" i="1"/>
  <c r="BX34" i="1"/>
  <c r="BX35" i="1" s="1"/>
  <c r="BX24" i="1"/>
  <c r="BX38" i="1"/>
  <c r="BX53" i="1"/>
  <c r="BX29" i="1"/>
  <c r="BZ31" i="1"/>
  <c r="BZ32" i="1" s="1"/>
  <c r="BZ24" i="1"/>
  <c r="BZ47" i="1"/>
  <c r="BZ61" i="1"/>
  <c r="BZ29" i="1"/>
  <c r="BZ34" i="1"/>
  <c r="BZ35" i="1" s="1"/>
  <c r="BZ53" i="1"/>
  <c r="BZ38" i="1"/>
  <c r="CB34" i="1"/>
  <c r="CB35" i="1" s="1"/>
  <c r="CB47" i="1"/>
  <c r="CB31" i="1"/>
  <c r="CB32" i="1" s="1"/>
  <c r="CB24" i="1"/>
  <c r="CB38" i="1"/>
  <c r="CB53" i="1"/>
  <c r="CB44" i="1"/>
  <c r="CB29" i="1"/>
  <c r="BX44" i="1"/>
  <c r="BZ44" i="1"/>
  <c r="CK70" i="1"/>
  <c r="CK35" i="1"/>
  <c r="BQ38" i="1"/>
  <c r="BQ61" i="1"/>
  <c r="BQ47" i="1"/>
  <c r="BQ24" i="1"/>
  <c r="BQ31" i="1"/>
  <c r="BQ32" i="1" s="1"/>
  <c r="BQ44" i="1"/>
  <c r="BQ29" i="1"/>
  <c r="BQ53" i="1"/>
  <c r="BQ34" i="1"/>
  <c r="BS38" i="1"/>
  <c r="BS44" i="1"/>
  <c r="BS53" i="1"/>
  <c r="BS61" i="1"/>
  <c r="BS47" i="1"/>
  <c r="BS24" i="1"/>
  <c r="BS31" i="1"/>
  <c r="BS32" i="1" s="1"/>
  <c r="BS34" i="1"/>
  <c r="BS29" i="1"/>
  <c r="BU38" i="1"/>
  <c r="BU61" i="1"/>
  <c r="BU24" i="1"/>
  <c r="BU31" i="1"/>
  <c r="BU32" i="1" s="1"/>
  <c r="BU44" i="1"/>
  <c r="BU47" i="1"/>
  <c r="BU34" i="1"/>
  <c r="BU53" i="1"/>
  <c r="BU29" i="1"/>
  <c r="BW38" i="1"/>
  <c r="BW53" i="1"/>
  <c r="BW47" i="1"/>
  <c r="BW61" i="1"/>
  <c r="BW24" i="1"/>
  <c r="BW31" i="1"/>
  <c r="BW32" i="1" s="1"/>
  <c r="BW34" i="1"/>
  <c r="BW35" i="1" s="1"/>
  <c r="BW29" i="1"/>
  <c r="BY38" i="1"/>
  <c r="BY47" i="1"/>
  <c r="BY24" i="1"/>
  <c r="BY31" i="1"/>
  <c r="BY191" i="21" s="1"/>
  <c r="BY196" i="21" s="1"/>
  <c r="BY61" i="1"/>
  <c r="BY53" i="1"/>
  <c r="BY29" i="1"/>
  <c r="BY34" i="1"/>
  <c r="BY35" i="1" s="1"/>
  <c r="CA38" i="1"/>
  <c r="CA44" i="1"/>
  <c r="CA53" i="1"/>
  <c r="CA47" i="1"/>
  <c r="CA24" i="1"/>
  <c r="CA31" i="1"/>
  <c r="CA32" i="1" s="1"/>
  <c r="CA34" i="1"/>
  <c r="CA35" i="1" s="1"/>
  <c r="CA29" i="1"/>
  <c r="CI47" i="1"/>
  <c r="CI38" i="1"/>
  <c r="CI53" i="1"/>
  <c r="CI24" i="1"/>
  <c r="CI31" i="1"/>
  <c r="CI32" i="1" s="1"/>
  <c r="CI61" i="1"/>
  <c r="CI29" i="1"/>
  <c r="CI44" i="1"/>
  <c r="CI34" i="1"/>
  <c r="J71" i="1"/>
  <c r="Z80" i="1"/>
  <c r="CR67" i="1"/>
  <c r="CR68" i="1" s="1"/>
  <c r="CA61" i="1"/>
  <c r="CQ67" i="1"/>
  <c r="CQ68" i="1" s="1"/>
  <c r="CN70" i="1"/>
  <c r="CN71" i="1" s="1"/>
  <c r="CP67" i="1"/>
  <c r="CP68" i="1" s="1"/>
  <c r="CL35" i="1"/>
  <c r="CL70" i="1"/>
  <c r="CJ35" i="1"/>
  <c r="CJ70" i="1"/>
  <c r="CH35" i="1"/>
  <c r="CH70" i="1"/>
  <c r="BZ94" i="1"/>
  <c r="AO86" i="1"/>
  <c r="CQ94" i="1"/>
  <c r="BS21" i="1"/>
  <c r="CI21" i="1"/>
  <c r="Z82" i="1"/>
  <c r="Z83" i="1" s="1"/>
  <c r="BA65" i="1"/>
  <c r="Z139" i="1"/>
  <c r="Z141" i="1" s="1"/>
  <c r="AF70" i="1"/>
  <c r="AF82" i="1" s="1"/>
  <c r="CR82" i="1"/>
  <c r="CR83" i="1" s="1"/>
  <c r="CS79" i="1"/>
  <c r="CN68" i="1"/>
  <c r="CK68" i="1"/>
  <c r="CS65" i="1"/>
  <c r="CS70" i="1"/>
  <c r="CB61" i="1"/>
  <c r="CB64" i="1"/>
  <c r="BB65" i="1"/>
  <c r="CJ68" i="1"/>
  <c r="CJ79" i="1"/>
  <c r="BZ73" i="1"/>
  <c r="BY97" i="3"/>
  <c r="Z86" i="1"/>
  <c r="Z89" i="1" s="1"/>
  <c r="BZ97" i="3"/>
  <c r="CA97" i="3"/>
  <c r="BR107" i="21"/>
  <c r="BR110" i="21" s="1"/>
  <c r="CD12" i="21"/>
  <c r="BG132" i="3"/>
  <c r="BH128" i="3"/>
  <c r="CU26" i="3"/>
  <c r="CU128" i="3" s="1"/>
  <c r="CD30" i="3"/>
  <c r="CD132" i="3" s="1"/>
  <c r="BJ42" i="2"/>
  <c r="BI51" i="3"/>
  <c r="BH131" i="3"/>
  <c r="CU29" i="3"/>
  <c r="CU131" i="3" s="1"/>
  <c r="CU31" i="2"/>
  <c r="BH30" i="3"/>
  <c r="BI31" i="2"/>
  <c r="CE66" i="2"/>
  <c r="BK19" i="3"/>
  <c r="CE19" i="3" s="1"/>
  <c r="CE121" i="3" s="1"/>
  <c r="AF90" i="2"/>
  <c r="BJ35" i="2"/>
  <c r="BI28" i="3"/>
  <c r="BH130" i="3"/>
  <c r="BI20" i="2"/>
  <c r="BI26" i="3" s="1"/>
  <c r="CU20" i="2"/>
  <c r="BH153" i="3"/>
  <c r="CU51" i="3"/>
  <c r="CU153" i="3" s="1"/>
  <c r="CU22" i="2"/>
  <c r="BI22" i="2"/>
  <c r="BH40" i="3"/>
  <c r="BJ15" i="2"/>
  <c r="BJ29" i="3" s="1"/>
  <c r="BI29" i="3"/>
  <c r="BJ121" i="3"/>
  <c r="CU28" i="3"/>
  <c r="CU130" i="3" s="1"/>
  <c r="BH115" i="1"/>
  <c r="U196" i="21"/>
  <c r="BV184" i="21"/>
  <c r="BV185" i="21" s="1"/>
  <c r="AB139" i="1"/>
  <c r="AB141" i="1" s="1"/>
  <c r="AB82" i="1"/>
  <c r="AB83" i="1" s="1"/>
  <c r="AB71" i="1"/>
  <c r="BQ227" i="21"/>
  <c r="BQ226" i="21"/>
  <c r="BQ140" i="21"/>
  <c r="BQ59" i="2"/>
  <c r="BQ69" i="3"/>
  <c r="BS227" i="21"/>
  <c r="BS226" i="21"/>
  <c r="BS140" i="21"/>
  <c r="BS59" i="2"/>
  <c r="BS69" i="3"/>
  <c r="BU227" i="21"/>
  <c r="BU226" i="21"/>
  <c r="BU140" i="21"/>
  <c r="BU59" i="2"/>
  <c r="BU69" i="3"/>
  <c r="BW227" i="21"/>
  <c r="BW226" i="21"/>
  <c r="BW140" i="21"/>
  <c r="BW59" i="2"/>
  <c r="BW69" i="3"/>
  <c r="BY140" i="21"/>
  <c r="BY195" i="21" s="1"/>
  <c r="BY59" i="2"/>
  <c r="BY69" i="3"/>
  <c r="CA140" i="21"/>
  <c r="CA195" i="21" s="1"/>
  <c r="CA59" i="2"/>
  <c r="CA69" i="3"/>
  <c r="BR226" i="21"/>
  <c r="BR227" i="21"/>
  <c r="BR140" i="21"/>
  <c r="BR59" i="2"/>
  <c r="BT226" i="21"/>
  <c r="BT227" i="21"/>
  <c r="BT140" i="21"/>
  <c r="BT59" i="2"/>
  <c r="BT69" i="3"/>
  <c r="BV226" i="21"/>
  <c r="BV227" i="21"/>
  <c r="BV140" i="21"/>
  <c r="BV59" i="2"/>
  <c r="BX140" i="21"/>
  <c r="BX59" i="2"/>
  <c r="BX69" i="3"/>
  <c r="BZ140" i="21"/>
  <c r="BZ195" i="21" s="1"/>
  <c r="BZ59" i="2"/>
  <c r="BZ69" i="3"/>
  <c r="CB140" i="21"/>
  <c r="CB195" i="21" s="1"/>
  <c r="CB59" i="2"/>
  <c r="CB69" i="3"/>
  <c r="BI47" i="3"/>
  <c r="BI81" i="2"/>
  <c r="BH117" i="3"/>
  <c r="CI59" i="2"/>
  <c r="J196" i="21"/>
  <c r="Q109" i="21"/>
  <c r="Q110" i="21"/>
  <c r="Q108" i="21"/>
  <c r="Q196" i="21"/>
  <c r="BT107" i="21"/>
  <c r="BT110" i="21" s="1"/>
  <c r="R196" i="21"/>
  <c r="CD67" i="2"/>
  <c r="BH67" i="2"/>
  <c r="CI69" i="3"/>
  <c r="BV69" i="3"/>
  <c r="CM57" i="2"/>
  <c r="CM53" i="2"/>
  <c r="BR184" i="21"/>
  <c r="BR185" i="21" s="1"/>
  <c r="CU15" i="3"/>
  <c r="CU117" i="3" s="1"/>
  <c r="K110" i="21"/>
  <c r="K108" i="21"/>
  <c r="K196" i="21"/>
  <c r="BU184" i="21"/>
  <c r="BU185" i="21" s="1"/>
  <c r="V196" i="21"/>
  <c r="Z196" i="21"/>
  <c r="BR69" i="3"/>
  <c r="CL53" i="2"/>
  <c r="CL57" i="2"/>
  <c r="CS53" i="2"/>
  <c r="CS57" i="2"/>
  <c r="CK53" i="2"/>
  <c r="CK57" i="2"/>
  <c r="U91" i="1"/>
  <c r="U86" i="1"/>
  <c r="U89" i="1" s="1"/>
  <c r="U88" i="1" s="1"/>
  <c r="U80" i="1"/>
  <c r="L184" i="21"/>
  <c r="L107" i="21"/>
  <c r="BA196" i="21"/>
  <c r="BA185" i="21"/>
  <c r="N109" i="21"/>
  <c r="R108" i="21"/>
  <c r="R109" i="21"/>
  <c r="R110" i="21"/>
  <c r="AF91" i="1"/>
  <c r="AF80" i="1"/>
  <c r="AF86" i="1"/>
  <c r="AF89" i="1" s="1"/>
  <c r="AC65" i="1"/>
  <c r="AB65" i="1"/>
  <c r="BH149" i="3"/>
  <c r="CQ53" i="2"/>
  <c r="CQ57" i="2"/>
  <c r="U109" i="21"/>
  <c r="U110" i="21"/>
  <c r="U108" i="21"/>
  <c r="AK86" i="1"/>
  <c r="AK91" i="1"/>
  <c r="AK80" i="1"/>
  <c r="J108" i="21"/>
  <c r="BT184" i="21"/>
  <c r="BT185" i="21" s="1"/>
  <c r="BU107" i="21"/>
  <c r="BU110" i="21" s="1"/>
  <c r="V110" i="21"/>
  <c r="V108" i="21"/>
  <c r="V109" i="21"/>
  <c r="CR53" i="2"/>
  <c r="CR57" i="2"/>
  <c r="CP53" i="2"/>
  <c r="CP57" i="2"/>
  <c r="CJ53" i="2"/>
  <c r="CJ57" i="2"/>
  <c r="CO53" i="2"/>
  <c r="CO57" i="2"/>
  <c r="E80" i="1"/>
  <c r="E91" i="1"/>
  <c r="E86" i="1"/>
  <c r="E89" i="1" s="1"/>
  <c r="E88" i="1" s="1"/>
  <c r="BF36" i="21"/>
  <c r="BF83" i="21"/>
  <c r="BB140" i="21"/>
  <c r="BB67" i="3"/>
  <c r="BW87" i="2"/>
  <c r="BW88" i="2" s="1"/>
  <c r="AE88" i="2"/>
  <c r="AQ74" i="3"/>
  <c r="AQ77" i="3" s="1"/>
  <c r="BZ72" i="3"/>
  <c r="BZ74" i="3"/>
  <c r="BZ77" i="3" s="1"/>
  <c r="BZ83" i="3"/>
  <c r="BZ82" i="3" s="1"/>
  <c r="BZ86" i="3" s="1"/>
  <c r="AH104" i="2"/>
  <c r="AG137" i="2"/>
  <c r="AG144" i="2" s="1"/>
  <c r="AG110" i="2"/>
  <c r="AG87" i="2" s="1"/>
  <c r="AG88" i="2" s="1"/>
  <c r="BI150" i="3"/>
  <c r="AM139" i="2"/>
  <c r="AN129" i="2"/>
  <c r="BY129" i="2"/>
  <c r="BG54" i="2"/>
  <c r="AT142" i="2"/>
  <c r="AU132" i="2"/>
  <c r="BK56" i="2"/>
  <c r="BL56" i="2" s="1"/>
  <c r="BM56" i="2" s="1"/>
  <c r="BN56" i="2" s="1"/>
  <c r="BO56" i="2" s="1"/>
  <c r="BH64" i="2"/>
  <c r="BG68" i="2"/>
  <c r="CD64" i="2"/>
  <c r="AM103" i="2"/>
  <c r="AL136" i="2"/>
  <c r="BI85" i="2"/>
  <c r="BI151" i="2" s="1"/>
  <c r="BJ12" i="2"/>
  <c r="BI87" i="2"/>
  <c r="BJ33" i="2"/>
  <c r="AN128" i="2"/>
  <c r="BY128" i="2"/>
  <c r="AM138" i="2"/>
  <c r="BY138" i="2" s="1"/>
  <c r="CB13" i="1"/>
  <c r="AX143" i="1"/>
  <c r="AX145" i="1" s="1"/>
  <c r="AX147" i="1" s="1"/>
  <c r="AX149" i="1" s="1"/>
  <c r="AX101" i="3" s="1"/>
  <c r="AX98" i="1"/>
  <c r="AX83" i="1"/>
  <c r="AZ139" i="1"/>
  <c r="AZ141" i="1" s="1"/>
  <c r="AZ71" i="1"/>
  <c r="BR13" i="1"/>
  <c r="BV13" i="1"/>
  <c r="BZ191" i="21"/>
  <c r="BZ196" i="21" s="1"/>
  <c r="BZ13" i="1"/>
  <c r="AU139" i="1"/>
  <c r="AU141" i="1" s="1"/>
  <c r="AU71" i="1"/>
  <c r="AU86" i="1"/>
  <c r="AU89" i="1" s="1"/>
  <c r="AU185" i="2"/>
  <c r="BI159" i="1"/>
  <c r="BI15" i="3" s="1"/>
  <c r="BJ156" i="1"/>
  <c r="L48" i="1"/>
  <c r="L39" i="1"/>
  <c r="M141" i="1"/>
  <c r="AC83" i="1"/>
  <c r="Q91" i="1"/>
  <c r="Q185" i="2" s="1"/>
  <c r="Q80" i="1"/>
  <c r="Q86" i="1"/>
  <c r="Q89" i="1" s="1"/>
  <c r="Q88" i="1" s="1"/>
  <c r="AI139" i="1"/>
  <c r="AI141" i="1" s="1"/>
  <c r="AI82" i="1"/>
  <c r="AI71" i="1"/>
  <c r="Q141" i="1"/>
  <c r="N91" i="1"/>
  <c r="N185" i="2" s="1"/>
  <c r="N80" i="1"/>
  <c r="N86" i="1"/>
  <c r="N89" i="1" s="1"/>
  <c r="S86" i="1"/>
  <c r="S89" i="1" s="1"/>
  <c r="S91" i="1"/>
  <c r="S185" i="2" s="1"/>
  <c r="S80" i="1"/>
  <c r="AM86" i="1"/>
  <c r="AM91" i="1"/>
  <c r="AM185" i="2" s="1"/>
  <c r="AM80" i="1"/>
  <c r="AS91" i="1"/>
  <c r="AS185" i="2" s="1"/>
  <c r="AS80" i="1"/>
  <c r="AS86" i="1"/>
  <c r="AS89" i="1" s="1"/>
  <c r="I91" i="1"/>
  <c r="I185" i="2" s="1"/>
  <c r="I80" i="1"/>
  <c r="I86" i="1"/>
  <c r="I89" i="1" s="1"/>
  <c r="I88" i="1" s="1"/>
  <c r="CA13" i="1"/>
  <c r="AA139" i="1"/>
  <c r="AA141" i="1" s="1"/>
  <c r="AA82" i="1"/>
  <c r="AA71" i="1"/>
  <c r="AT139" i="1"/>
  <c r="AT141" i="1" s="1"/>
  <c r="AT82" i="1"/>
  <c r="AT71" i="1"/>
  <c r="AG65" i="1"/>
  <c r="AH65" i="1"/>
  <c r="AG70" i="1"/>
  <c r="L168" i="1"/>
  <c r="L169" i="1"/>
  <c r="F139" i="1"/>
  <c r="F141" i="1" s="1"/>
  <c r="F82" i="1"/>
  <c r="F71" i="1"/>
  <c r="AE139" i="1"/>
  <c r="AE141" i="1" s="1"/>
  <c r="AE82" i="1"/>
  <c r="AE71" i="1"/>
  <c r="E141" i="1"/>
  <c r="U83" i="1"/>
  <c r="AB102" i="1"/>
  <c r="AB105" i="1" s="1"/>
  <c r="AB92" i="1"/>
  <c r="AH143" i="1"/>
  <c r="AH145" i="1" s="1"/>
  <c r="AH83" i="1"/>
  <c r="AR91" i="1"/>
  <c r="AR185" i="2" s="1"/>
  <c r="AR86" i="1"/>
  <c r="AR89" i="1" s="1"/>
  <c r="AR80" i="1"/>
  <c r="Z102" i="1"/>
  <c r="Z105" i="1" s="1"/>
  <c r="Z92" i="1"/>
  <c r="W86" i="1"/>
  <c r="W89" i="1" s="1"/>
  <c r="W91" i="1"/>
  <c r="W185" i="2" s="1"/>
  <c r="W80" i="1"/>
  <c r="AP86" i="1"/>
  <c r="AP89" i="1" s="1"/>
  <c r="AP91" i="1"/>
  <c r="AP185" i="2" s="1"/>
  <c r="AP80" i="1"/>
  <c r="AG102" i="1"/>
  <c r="AG105" i="1" s="1"/>
  <c r="AG92" i="1"/>
  <c r="G139" i="1"/>
  <c r="G141" i="1" s="1"/>
  <c r="G82" i="1"/>
  <c r="G71" i="1"/>
  <c r="AN139" i="1"/>
  <c r="AN141" i="1" s="1"/>
  <c r="AN71" i="1"/>
  <c r="AN82" i="1"/>
  <c r="I141" i="1"/>
  <c r="Y83" i="1"/>
  <c r="AV139" i="1"/>
  <c r="AV141" i="1" s="1"/>
  <c r="AV71" i="1"/>
  <c r="AV82" i="1"/>
  <c r="AA86" i="1"/>
  <c r="AA89" i="1" s="1"/>
  <c r="AA91" i="1"/>
  <c r="AA185" i="2" s="1"/>
  <c r="AA80" i="1"/>
  <c r="V80" i="1"/>
  <c r="V91" i="1"/>
  <c r="V185" i="2" s="1"/>
  <c r="V86" i="1"/>
  <c r="V89" i="1" s="1"/>
  <c r="AL86" i="1"/>
  <c r="AL89" i="1" s="1"/>
  <c r="AL80" i="1"/>
  <c r="AL91" i="1"/>
  <c r="AL185" i="2" s="1"/>
  <c r="AQ86" i="1"/>
  <c r="AQ89" i="1" s="1"/>
  <c r="AQ91" i="1"/>
  <c r="AQ185" i="2" s="1"/>
  <c r="AQ80" i="1"/>
  <c r="H91" i="1"/>
  <c r="H185" i="2" s="1"/>
  <c r="H86" i="1"/>
  <c r="H89" i="1" s="1"/>
  <c r="H88" i="1" s="1"/>
  <c r="H80" i="1"/>
  <c r="X91" i="1"/>
  <c r="X185" i="2" s="1"/>
  <c r="X86" i="1"/>
  <c r="X89" i="1" s="1"/>
  <c r="X80" i="1"/>
  <c r="D91" i="1"/>
  <c r="D185" i="2" s="1"/>
  <c r="D86" i="1"/>
  <c r="D89" i="1" s="1"/>
  <c r="D88" i="1" s="1"/>
  <c r="D80" i="1"/>
  <c r="AD91" i="1"/>
  <c r="AD185" i="2" s="1"/>
  <c r="AD80" i="1"/>
  <c r="AD86" i="1"/>
  <c r="AD89" i="1" s="1"/>
  <c r="AN91" i="1"/>
  <c r="AN185" i="2" s="1"/>
  <c r="AN86" i="1"/>
  <c r="AN80" i="1"/>
  <c r="AC91" i="1"/>
  <c r="AC185" i="2" s="1"/>
  <c r="AC80" i="1"/>
  <c r="AC86" i="1"/>
  <c r="AC89" i="1" s="1"/>
  <c r="AC88" i="1" s="1"/>
  <c r="BW13" i="1"/>
  <c r="V139" i="1"/>
  <c r="V141" i="1" s="1"/>
  <c r="V82" i="1"/>
  <c r="V71" i="1"/>
  <c r="BX13" i="1"/>
  <c r="O86" i="1"/>
  <c r="O89" i="1" s="1"/>
  <c r="O91" i="1"/>
  <c r="O185" i="2" s="1"/>
  <c r="O80" i="1"/>
  <c r="CI13" i="1"/>
  <c r="J102" i="1"/>
  <c r="J105" i="1" s="1"/>
  <c r="J92" i="1"/>
  <c r="M83" i="1"/>
  <c r="AC141" i="1"/>
  <c r="AJ139" i="1"/>
  <c r="AJ141" i="1" s="1"/>
  <c r="AJ71" i="1"/>
  <c r="AJ82" i="1"/>
  <c r="AO65" i="1"/>
  <c r="AO70" i="1"/>
  <c r="AP65" i="1"/>
  <c r="CA132" i="1"/>
  <c r="AV132" i="1"/>
  <c r="AW132" i="1" s="1"/>
  <c r="AD139" i="1"/>
  <c r="AD141" i="1" s="1"/>
  <c r="AD82" i="1"/>
  <c r="AD71" i="1"/>
  <c r="AL139" i="1"/>
  <c r="AL141" i="1" s="1"/>
  <c r="AL82" i="1"/>
  <c r="AL71" i="1"/>
  <c r="S139" i="1"/>
  <c r="S141" i="1" s="1"/>
  <c r="S82" i="1"/>
  <c r="S71" i="1"/>
  <c r="AP143" i="1"/>
  <c r="AP145" i="1" s="1"/>
  <c r="AP147" i="1" s="1"/>
  <c r="AP149" i="1" s="1"/>
  <c r="AP101" i="3" s="1"/>
  <c r="AP98" i="1"/>
  <c r="AP83" i="1"/>
  <c r="AJ91" i="1"/>
  <c r="AJ185" i="2" s="1"/>
  <c r="AJ86" i="1"/>
  <c r="AJ80" i="1"/>
  <c r="AQ139" i="1"/>
  <c r="AQ141" i="1" s="1"/>
  <c r="AQ82" i="1"/>
  <c r="AQ71" i="1"/>
  <c r="R83" i="1"/>
  <c r="AE86" i="1"/>
  <c r="AE89" i="1" s="1"/>
  <c r="AE91" i="1"/>
  <c r="AE185" i="2" s="1"/>
  <c r="AE80" i="1"/>
  <c r="Q83" i="1"/>
  <c r="CJ13" i="1"/>
  <c r="AY86" i="1"/>
  <c r="AY89" i="1" s="1"/>
  <c r="AY185" i="2"/>
  <c r="AH86" i="1"/>
  <c r="AH89" i="1" s="1"/>
  <c r="AH88" i="1" s="1"/>
  <c r="AH91" i="1"/>
  <c r="AH185" i="2" s="1"/>
  <c r="AH80" i="1"/>
  <c r="R86" i="1"/>
  <c r="R89" i="1" s="1"/>
  <c r="R88" i="1" s="1"/>
  <c r="R91" i="1"/>
  <c r="R185" i="2" s="1"/>
  <c r="R80" i="1"/>
  <c r="K86" i="1"/>
  <c r="K89" i="1" s="1"/>
  <c r="K91" i="1"/>
  <c r="K185" i="2" s="1"/>
  <c r="K80" i="1"/>
  <c r="T91" i="1"/>
  <c r="T185" i="2" s="1"/>
  <c r="T86" i="1"/>
  <c r="T89" i="1" s="1"/>
  <c r="T80" i="1"/>
  <c r="BS13" i="1"/>
  <c r="BT13" i="1"/>
  <c r="AR143" i="1"/>
  <c r="AR145" i="1" s="1"/>
  <c r="AR147" i="1" s="1"/>
  <c r="AR149" i="1" s="1"/>
  <c r="AR101" i="3" s="1"/>
  <c r="AR98" i="1"/>
  <c r="AR83" i="1"/>
  <c r="BU13" i="1"/>
  <c r="BY13" i="1"/>
  <c r="AM139" i="1"/>
  <c r="AM141" i="1" s="1"/>
  <c r="AM82" i="1"/>
  <c r="AM71" i="1"/>
  <c r="K139" i="1"/>
  <c r="K141" i="1" s="1"/>
  <c r="K82" i="1"/>
  <c r="K71" i="1"/>
  <c r="AY139" i="1"/>
  <c r="AY141" i="1" s="1"/>
  <c r="AK65" i="1"/>
  <c r="AK70" i="1"/>
  <c r="BI162" i="1"/>
  <c r="BJ114" i="1"/>
  <c r="BI113" i="1"/>
  <c r="M48" i="1"/>
  <c r="M39" i="1"/>
  <c r="L70" i="1"/>
  <c r="L35" i="1"/>
  <c r="L67" i="1"/>
  <c r="L192" i="21" s="1"/>
  <c r="L32" i="1"/>
  <c r="N139" i="1"/>
  <c r="N141" i="1" s="1"/>
  <c r="N82" i="1"/>
  <c r="N71" i="1"/>
  <c r="O139" i="1"/>
  <c r="O141" i="1" s="1"/>
  <c r="O82" i="1"/>
  <c r="O71" i="1"/>
  <c r="E83" i="1"/>
  <c r="W139" i="1"/>
  <c r="W141" i="1" s="1"/>
  <c r="W82" i="1"/>
  <c r="W71" i="1"/>
  <c r="G86" i="1"/>
  <c r="G89" i="1" s="1"/>
  <c r="G91" i="1"/>
  <c r="G185" i="2" s="1"/>
  <c r="G80" i="1"/>
  <c r="I83" i="1"/>
  <c r="Y141" i="1"/>
  <c r="BA79" i="1"/>
  <c r="BA68" i="1"/>
  <c r="AO92" i="1"/>
  <c r="AO102" i="1"/>
  <c r="AO105" i="1" s="1"/>
  <c r="AV91" i="1"/>
  <c r="AV185" i="2" s="1"/>
  <c r="AV86" i="1"/>
  <c r="AV89" i="1" s="1"/>
  <c r="AV80" i="1"/>
  <c r="AX86" i="1"/>
  <c r="AX89" i="1" s="1"/>
  <c r="AX91" i="1"/>
  <c r="AX185" i="2" s="1"/>
  <c r="AX80" i="1"/>
  <c r="BA139" i="1"/>
  <c r="BA71" i="1"/>
  <c r="BA82" i="1"/>
  <c r="Y91" i="1"/>
  <c r="Y185" i="2" s="1"/>
  <c r="Y80" i="1"/>
  <c r="Y86" i="1"/>
  <c r="Y89" i="1" s="1"/>
  <c r="Y88" i="1" s="1"/>
  <c r="P91" i="1"/>
  <c r="P185" i="2" s="1"/>
  <c r="P86" i="1"/>
  <c r="P89" i="1" s="1"/>
  <c r="P88" i="1" s="1"/>
  <c r="P80" i="1"/>
  <c r="AW91" i="1"/>
  <c r="AW185" i="2" s="1"/>
  <c r="AW80" i="1"/>
  <c r="AW86" i="1"/>
  <c r="M91" i="1"/>
  <c r="M185" i="2" s="1"/>
  <c r="M80" i="1"/>
  <c r="M86" i="1"/>
  <c r="M89" i="1" s="1"/>
  <c r="M88" i="1" s="1"/>
  <c r="AT86" i="1"/>
  <c r="AT89" i="1" s="1"/>
  <c r="AT91" i="1"/>
  <c r="AT185" i="2" s="1"/>
  <c r="AT80" i="1"/>
  <c r="F80" i="1"/>
  <c r="F91" i="1"/>
  <c r="F185" i="2" s="1"/>
  <c r="F86" i="1"/>
  <c r="F89" i="1" s="1"/>
  <c r="AZ91" i="1"/>
  <c r="AZ185" i="2" s="1"/>
  <c r="AZ86" i="1"/>
  <c r="AZ89" i="1" s="1"/>
  <c r="AZ80" i="1"/>
  <c r="AI102" i="1"/>
  <c r="AI105" i="1" s="1"/>
  <c r="AI92" i="1"/>
  <c r="L221" i="21" l="1"/>
  <c r="L223" i="21" s="1"/>
  <c r="L279" i="21"/>
  <c r="L281" i="21" s="1"/>
  <c r="BS191" i="21"/>
  <c r="L257" i="21"/>
  <c r="L259" i="21" s="1"/>
  <c r="CP82" i="1"/>
  <c r="CP83" i="1" s="1"/>
  <c r="CB67" i="1"/>
  <c r="CB68" i="1" s="1"/>
  <c r="BQ191" i="21"/>
  <c r="T88" i="1"/>
  <c r="X88" i="1"/>
  <c r="X95" i="1" s="1"/>
  <c r="X96" i="1" s="1"/>
  <c r="CB70" i="1"/>
  <c r="CL68" i="1"/>
  <c r="CA67" i="1"/>
  <c r="CA68" i="1" s="1"/>
  <c r="CP79" i="1"/>
  <c r="CP86" i="1" s="1"/>
  <c r="AS143" i="1"/>
  <c r="AS145" i="1" s="1"/>
  <c r="AS147" i="1" s="1"/>
  <c r="AS149" i="1" s="1"/>
  <c r="AS101" i="3" s="1"/>
  <c r="CM79" i="1"/>
  <c r="CM80" i="1" s="1"/>
  <c r="AS83" i="1"/>
  <c r="AW82" i="1"/>
  <c r="BY70" i="1"/>
  <c r="BY71" i="1" s="1"/>
  <c r="AF71" i="1"/>
  <c r="BR67" i="1"/>
  <c r="BR68" i="1" s="1"/>
  <c r="BW67" i="1"/>
  <c r="CH79" i="1"/>
  <c r="CH80" i="1" s="1"/>
  <c r="AW71" i="1"/>
  <c r="AF139" i="1"/>
  <c r="AF141" i="1" s="1"/>
  <c r="CN141" i="1" s="1"/>
  <c r="J88" i="1"/>
  <c r="J95" i="1" s="1"/>
  <c r="J96" i="1" s="1"/>
  <c r="CM82" i="1"/>
  <c r="CM83" i="1" s="1"/>
  <c r="CN82" i="1"/>
  <c r="CN83" i="1" s="1"/>
  <c r="AB88" i="1"/>
  <c r="AB95" i="1" s="1"/>
  <c r="AB96" i="1" s="1"/>
  <c r="BS67" i="1"/>
  <c r="BS192" i="21" s="1"/>
  <c r="CO79" i="1"/>
  <c r="BB278" i="21"/>
  <c r="BB276" i="21"/>
  <c r="BB274" i="21"/>
  <c r="BB277" i="21"/>
  <c r="BB275" i="21"/>
  <c r="BB273" i="21"/>
  <c r="BB270" i="21"/>
  <c r="AY83" i="1"/>
  <c r="AY98" i="1"/>
  <c r="AY99" i="1" s="1"/>
  <c r="BT191" i="21"/>
  <c r="BT196" i="21" s="1"/>
  <c r="BW191" i="21"/>
  <c r="BW196" i="21" s="1"/>
  <c r="CA191" i="21"/>
  <c r="CA196" i="21" s="1"/>
  <c r="BT67" i="1"/>
  <c r="BZ67" i="1"/>
  <c r="BZ68" i="1" s="1"/>
  <c r="AU109" i="1"/>
  <c r="AU99" i="1"/>
  <c r="AU92" i="1"/>
  <c r="AU102" i="1"/>
  <c r="AU105" i="1" s="1"/>
  <c r="AU107" i="1" s="1"/>
  <c r="CO82" i="1"/>
  <c r="CO83" i="1" s="1"/>
  <c r="BM48" i="3"/>
  <c r="BN48" i="3" s="1"/>
  <c r="BO48" i="3" s="1"/>
  <c r="CV48" i="3"/>
  <c r="CV150" i="3" s="1"/>
  <c r="CV19" i="3"/>
  <c r="CV121" i="3" s="1"/>
  <c r="BW70" i="1"/>
  <c r="BQ67" i="1"/>
  <c r="BQ192" i="21" s="1"/>
  <c r="BL121" i="3"/>
  <c r="BJ150" i="3"/>
  <c r="BK150" i="3" s="1"/>
  <c r="CE48" i="3"/>
  <c r="CE150" i="3" s="1"/>
  <c r="BM65" i="2"/>
  <c r="BN65" i="2" s="1"/>
  <c r="BO65" i="2" s="1"/>
  <c r="CF65" i="2" s="1"/>
  <c r="BN66" i="2"/>
  <c r="BM19" i="3"/>
  <c r="BN109" i="2"/>
  <c r="CR79" i="1"/>
  <c r="CI70" i="1"/>
  <c r="CI35" i="1"/>
  <c r="BX32" i="1"/>
  <c r="BX67" i="1"/>
  <c r="BX192" i="21" s="1"/>
  <c r="BV35" i="1"/>
  <c r="BV70" i="1"/>
  <c r="BU191" i="21"/>
  <c r="BU196" i="21" s="1"/>
  <c r="BV191" i="21"/>
  <c r="BV196" i="21" s="1"/>
  <c r="BR191" i="21"/>
  <c r="BR196" i="21" s="1"/>
  <c r="CB191" i="21"/>
  <c r="CB196" i="21" s="1"/>
  <c r="BI149" i="3"/>
  <c r="CH71" i="1"/>
  <c r="CH82" i="1"/>
  <c r="CH83" i="1" s="1"/>
  <c r="CJ71" i="1"/>
  <c r="CJ82" i="1"/>
  <c r="CJ83" i="1" s="1"/>
  <c r="CL71" i="1"/>
  <c r="CL82" i="1"/>
  <c r="CL83" i="1" s="1"/>
  <c r="BZ70" i="1"/>
  <c r="BX70" i="1"/>
  <c r="BV67" i="1"/>
  <c r="CI67" i="1"/>
  <c r="CA79" i="1"/>
  <c r="BY32" i="1"/>
  <c r="BY67" i="1"/>
  <c r="BY192" i="21" s="1"/>
  <c r="BU70" i="1"/>
  <c r="BU35" i="1"/>
  <c r="BS70" i="1"/>
  <c r="BS35" i="1"/>
  <c r="BQ70" i="1"/>
  <c r="BQ35" i="1"/>
  <c r="CK82" i="1"/>
  <c r="CK83" i="1" s="1"/>
  <c r="CK71" i="1"/>
  <c r="BU67" i="1"/>
  <c r="BU192" i="21" s="1"/>
  <c r="CA70" i="1"/>
  <c r="BT35" i="1"/>
  <c r="BT70" i="1"/>
  <c r="BR35" i="1"/>
  <c r="BR70" i="1"/>
  <c r="CQ79" i="1"/>
  <c r="BS39" i="1"/>
  <c r="BS48" i="1"/>
  <c r="BX48" i="1"/>
  <c r="BX39" i="1"/>
  <c r="BW39" i="1"/>
  <c r="BW48" i="1"/>
  <c r="CA39" i="1"/>
  <c r="CA48" i="1"/>
  <c r="BY39" i="1"/>
  <c r="BY48" i="1"/>
  <c r="BU39" i="1"/>
  <c r="BU48" i="1"/>
  <c r="BT48" i="1"/>
  <c r="BT39" i="1"/>
  <c r="BZ48" i="1"/>
  <c r="BZ39" i="1"/>
  <c r="BV48" i="1"/>
  <c r="BV39" i="1"/>
  <c r="BR48" i="1"/>
  <c r="BR39" i="1"/>
  <c r="CB48" i="1"/>
  <c r="CB39" i="1"/>
  <c r="Z88" i="1"/>
  <c r="Z95" i="1" s="1"/>
  <c r="Z96" i="1" s="1"/>
  <c r="BB256" i="21"/>
  <c r="BB254" i="21"/>
  <c r="BB252" i="21"/>
  <c r="BB255" i="21"/>
  <c r="BB253" i="21"/>
  <c r="BB251" i="21"/>
  <c r="BB248" i="21"/>
  <c r="BK121" i="3"/>
  <c r="CR98" i="1"/>
  <c r="CR109" i="1" s="1"/>
  <c r="CR89" i="1"/>
  <c r="CM141" i="1"/>
  <c r="CB71" i="1"/>
  <c r="CB82" i="1"/>
  <c r="CB83" i="1" s="1"/>
  <c r="CL80" i="1"/>
  <c r="CL91" i="1"/>
  <c r="CL86" i="1"/>
  <c r="CS71" i="1"/>
  <c r="CS82" i="1"/>
  <c r="CS83" i="1" s="1"/>
  <c r="CN80" i="1"/>
  <c r="CN91" i="1"/>
  <c r="CN86" i="1"/>
  <c r="CJ86" i="1"/>
  <c r="CJ91" i="1"/>
  <c r="CJ80" i="1"/>
  <c r="CM86" i="1"/>
  <c r="CK86" i="1"/>
  <c r="CK91" i="1"/>
  <c r="CK80" i="1"/>
  <c r="CS91" i="1"/>
  <c r="CS86" i="1"/>
  <c r="CS80" i="1"/>
  <c r="X98" i="1"/>
  <c r="X109" i="1" s="1"/>
  <c r="U98" i="1"/>
  <c r="U109" i="1" s="1"/>
  <c r="E98" i="1"/>
  <c r="E109" i="1" s="1"/>
  <c r="I98" i="1"/>
  <c r="I109" i="1" s="1"/>
  <c r="Q98" i="1"/>
  <c r="Q109" i="1" s="1"/>
  <c r="CD15" i="21"/>
  <c r="BU228" i="21"/>
  <c r="BU230" i="21" s="1"/>
  <c r="BS228" i="21"/>
  <c r="BS230" i="21" s="1"/>
  <c r="CD33" i="21"/>
  <c r="BI153" i="3"/>
  <c r="AE90" i="2"/>
  <c r="BW90" i="2" s="1"/>
  <c r="BK15" i="2"/>
  <c r="BJ22" i="2"/>
  <c r="BJ40" i="3" s="1"/>
  <c r="BI40" i="3"/>
  <c r="BI130" i="3"/>
  <c r="BK35" i="2"/>
  <c r="BL35" i="2" s="1"/>
  <c r="CV35" i="2" s="1"/>
  <c r="BJ28" i="3"/>
  <c r="BH132" i="3"/>
  <c r="BI131" i="3"/>
  <c r="BJ131" i="3" s="1"/>
  <c r="BK42" i="2"/>
  <c r="BL42" i="2" s="1"/>
  <c r="CV42" i="2" s="1"/>
  <c r="BJ51" i="3"/>
  <c r="CU30" i="3"/>
  <c r="CU132" i="3" s="1"/>
  <c r="AG90" i="2"/>
  <c r="BH142" i="3"/>
  <c r="CU40" i="3"/>
  <c r="CU142" i="3" s="1"/>
  <c r="BJ20" i="2"/>
  <c r="BJ26" i="3" s="1"/>
  <c r="BJ31" i="2"/>
  <c r="BI30" i="3"/>
  <c r="BI128" i="3"/>
  <c r="CM139" i="1"/>
  <c r="CL139" i="1"/>
  <c r="BJ113" i="1"/>
  <c r="BJ115" i="1" s="1"/>
  <c r="BR228" i="21"/>
  <c r="BR230" i="21" s="1"/>
  <c r="AI107" i="1"/>
  <c r="AI11" i="3"/>
  <c r="AO107" i="1"/>
  <c r="AO11" i="3"/>
  <c r="BJ47" i="3"/>
  <c r="BJ81" i="2"/>
  <c r="J107" i="1"/>
  <c r="J11" i="3"/>
  <c r="J31" i="3" s="1"/>
  <c r="AG107" i="1"/>
  <c r="AG11" i="3"/>
  <c r="E185" i="2"/>
  <c r="E92" i="1"/>
  <c r="E102" i="1"/>
  <c r="E105" i="1" s="1"/>
  <c r="AK185" i="2"/>
  <c r="AK102" i="1"/>
  <c r="AK105" i="1" s="1"/>
  <c r="AK92" i="1"/>
  <c r="BA187" i="21"/>
  <c r="BA186" i="21"/>
  <c r="L196" i="21"/>
  <c r="L185" i="21"/>
  <c r="BS184" i="21"/>
  <c r="BS185" i="21" s="1"/>
  <c r="U185" i="2"/>
  <c r="U92" i="1"/>
  <c r="U102" i="1"/>
  <c r="U105" i="1" s="1"/>
  <c r="CI53" i="2"/>
  <c r="CI57" i="2"/>
  <c r="BX214" i="21"/>
  <c r="BX251" i="21"/>
  <c r="BX254" i="21"/>
  <c r="BX270" i="21"/>
  <c r="BX256" i="21"/>
  <c r="BX275" i="21"/>
  <c r="BX274" i="21"/>
  <c r="BX273" i="21"/>
  <c r="BX217" i="21"/>
  <c r="BX213" i="21"/>
  <c r="BX220" i="21"/>
  <c r="BX215" i="21"/>
  <c r="BX219" i="21"/>
  <c r="BX255" i="21"/>
  <c r="BX253" i="21"/>
  <c r="BX252" i="21"/>
  <c r="BX276" i="21"/>
  <c r="BX278" i="21"/>
  <c r="BX277" i="21"/>
  <c r="BX248" i="21"/>
  <c r="BX216" i="21"/>
  <c r="BX218" i="21"/>
  <c r="BX210" i="21"/>
  <c r="BX195" i="21"/>
  <c r="BV220" i="21"/>
  <c r="BV219" i="21"/>
  <c r="BV215" i="21"/>
  <c r="BV214" i="21"/>
  <c r="BV248" i="21"/>
  <c r="BV252" i="21"/>
  <c r="BV255" i="21"/>
  <c r="BV254" i="21"/>
  <c r="BV278" i="21"/>
  <c r="BV273" i="21"/>
  <c r="BV213" i="21"/>
  <c r="BV217" i="21"/>
  <c r="BV253" i="21"/>
  <c r="BV256" i="21"/>
  <c r="BV251" i="21"/>
  <c r="BV274" i="21"/>
  <c r="BV277" i="21"/>
  <c r="BV276" i="21"/>
  <c r="BV275" i="21"/>
  <c r="BV216" i="21"/>
  <c r="BV270" i="21"/>
  <c r="BV218" i="21"/>
  <c r="BV195" i="21"/>
  <c r="BV210" i="21"/>
  <c r="BV228" i="21"/>
  <c r="BT217" i="21"/>
  <c r="BT213" i="21"/>
  <c r="BT220" i="21"/>
  <c r="BT215" i="21"/>
  <c r="BT219" i="21"/>
  <c r="BT255" i="21"/>
  <c r="BT253" i="21"/>
  <c r="BT252" i="21"/>
  <c r="BT276" i="21"/>
  <c r="BT278" i="21"/>
  <c r="BT277" i="21"/>
  <c r="BT214" i="21"/>
  <c r="BT251" i="21"/>
  <c r="BT254" i="21"/>
  <c r="BT270" i="21"/>
  <c r="BT256" i="21"/>
  <c r="BT275" i="21"/>
  <c r="BT274" i="21"/>
  <c r="BT273" i="21"/>
  <c r="BT248" i="21"/>
  <c r="BT218" i="21"/>
  <c r="BT216" i="21"/>
  <c r="BT195" i="21"/>
  <c r="BT210" i="21"/>
  <c r="BT228" i="21"/>
  <c r="BT230" i="21" s="1"/>
  <c r="BR53" i="2"/>
  <c r="BR57" i="2"/>
  <c r="BW53" i="2"/>
  <c r="BW57" i="2"/>
  <c r="BW228" i="21"/>
  <c r="BU214" i="21"/>
  <c r="BU219" i="21"/>
  <c r="BU213" i="21"/>
  <c r="BU220" i="21"/>
  <c r="BU256" i="21"/>
  <c r="BU251" i="21"/>
  <c r="BU254" i="21"/>
  <c r="BU253" i="21"/>
  <c r="BU277" i="21"/>
  <c r="BU278" i="21"/>
  <c r="BU215" i="21"/>
  <c r="BU217" i="21"/>
  <c r="BU252" i="21"/>
  <c r="BU255" i="21"/>
  <c r="BU273" i="21"/>
  <c r="BU276" i="21"/>
  <c r="BU275" i="21"/>
  <c r="BU274" i="21"/>
  <c r="BU216" i="21"/>
  <c r="BU218" i="21"/>
  <c r="BU248" i="21"/>
  <c r="BU270" i="21"/>
  <c r="BU210" i="21"/>
  <c r="BU195" i="21"/>
  <c r="BS217" i="21"/>
  <c r="BS213" i="21"/>
  <c r="BS219" i="21"/>
  <c r="BS214" i="21"/>
  <c r="BS248" i="21"/>
  <c r="BS254" i="21"/>
  <c r="BS270" i="21"/>
  <c r="BS252" i="21"/>
  <c r="BS251" i="21"/>
  <c r="BS275" i="21"/>
  <c r="BS278" i="21"/>
  <c r="BS277" i="21"/>
  <c r="BS276" i="21"/>
  <c r="BS216" i="21"/>
  <c r="BS220" i="21"/>
  <c r="BS215" i="21"/>
  <c r="BS253" i="21"/>
  <c r="BS256" i="21"/>
  <c r="BS255" i="21"/>
  <c r="BS274" i="21"/>
  <c r="BS273" i="21"/>
  <c r="BS218" i="21"/>
  <c r="BS195" i="21"/>
  <c r="BS210" i="21"/>
  <c r="BQ57" i="2"/>
  <c r="BQ53" i="2"/>
  <c r="BQ228" i="21"/>
  <c r="BQ230" i="21" s="1"/>
  <c r="Z107" i="1"/>
  <c r="Z11" i="3"/>
  <c r="Z31" i="3" s="1"/>
  <c r="AB107" i="1"/>
  <c r="AB11" i="3"/>
  <c r="AF185" i="2"/>
  <c r="AF102" i="1"/>
  <c r="AF105" i="1" s="1"/>
  <c r="AF92" i="1"/>
  <c r="L110" i="21"/>
  <c r="L108" i="21"/>
  <c r="BS107" i="21"/>
  <c r="BS110" i="21" s="1"/>
  <c r="L109" i="21"/>
  <c r="P109" i="21"/>
  <c r="M108" i="21"/>
  <c r="AF143" i="1"/>
  <c r="AF145" i="1" s="1"/>
  <c r="AF83" i="1"/>
  <c r="AF88" i="1"/>
  <c r="CU67" i="2"/>
  <c r="BI67" i="2"/>
  <c r="BI117" i="3"/>
  <c r="CB57" i="2"/>
  <c r="CB53" i="2"/>
  <c r="BZ53" i="2"/>
  <c r="BZ57" i="2"/>
  <c r="BX53" i="2"/>
  <c r="BX57" i="2"/>
  <c r="BV57" i="2"/>
  <c r="BV53" i="2"/>
  <c r="BT53" i="2"/>
  <c r="BT57" i="2"/>
  <c r="BR213" i="21"/>
  <c r="BR217" i="21"/>
  <c r="BR253" i="21"/>
  <c r="BR256" i="21"/>
  <c r="BR251" i="21"/>
  <c r="BR274" i="21"/>
  <c r="BR277" i="21"/>
  <c r="BR276" i="21"/>
  <c r="BR275" i="21"/>
  <c r="BR219" i="21"/>
  <c r="BR215" i="21"/>
  <c r="BR220" i="21"/>
  <c r="BR214" i="21"/>
  <c r="BR248" i="21"/>
  <c r="BR252" i="21"/>
  <c r="BR255" i="21"/>
  <c r="BR254" i="21"/>
  <c r="BR278" i="21"/>
  <c r="BR273" i="21"/>
  <c r="BR270" i="21"/>
  <c r="BR216" i="21"/>
  <c r="BR218" i="21"/>
  <c r="BR210" i="21"/>
  <c r="BR195" i="21"/>
  <c r="CA53" i="2"/>
  <c r="CA57" i="2"/>
  <c r="BY53" i="2"/>
  <c r="BY57" i="2"/>
  <c r="BW213" i="21"/>
  <c r="BW220" i="21"/>
  <c r="BW215" i="21"/>
  <c r="BW253" i="21"/>
  <c r="BW256" i="21"/>
  <c r="BW255" i="21"/>
  <c r="BW274" i="21"/>
  <c r="BW273" i="21"/>
  <c r="BW217" i="21"/>
  <c r="BW216" i="21"/>
  <c r="BW219" i="21"/>
  <c r="BW214" i="21"/>
  <c r="BW248" i="21"/>
  <c r="BW254" i="21"/>
  <c r="BW270" i="21"/>
  <c r="BW252" i="21"/>
  <c r="BW251" i="21"/>
  <c r="BW275" i="21"/>
  <c r="BW278" i="21"/>
  <c r="BW277" i="21"/>
  <c r="BW276" i="21"/>
  <c r="BW195" i="21"/>
  <c r="BW218" i="21"/>
  <c r="BW210" i="21"/>
  <c r="BU53" i="2"/>
  <c r="BU57" i="2"/>
  <c r="BS53" i="2"/>
  <c r="BS57" i="2"/>
  <c r="BG83" i="21"/>
  <c r="CD80" i="21"/>
  <c r="BB83" i="3"/>
  <c r="BG36" i="21"/>
  <c r="BH17" i="21"/>
  <c r="BH15" i="21"/>
  <c r="AI104" i="2"/>
  <c r="AH137" i="2"/>
  <c r="AH110" i="2"/>
  <c r="AH87" i="2" s="1"/>
  <c r="AH88" i="2" s="1"/>
  <c r="BJ87" i="2"/>
  <c r="BK33" i="2"/>
  <c r="BL33" i="2" s="1"/>
  <c r="CV33" i="2" s="1"/>
  <c r="BH68" i="2"/>
  <c r="CU64" i="2"/>
  <c r="BI64" i="2"/>
  <c r="BJ85" i="2"/>
  <c r="BJ151" i="2" s="1"/>
  <c r="BK12" i="2"/>
  <c r="BL12" i="2" s="1"/>
  <c r="CV12" i="2" s="1"/>
  <c r="BY103" i="2"/>
  <c r="AN103" i="2"/>
  <c r="AM136" i="2"/>
  <c r="BY136" i="2" s="1"/>
  <c r="AO129" i="2"/>
  <c r="AN139" i="2"/>
  <c r="CD68" i="2"/>
  <c r="BH54" i="2"/>
  <c r="BY139" i="2"/>
  <c r="AN138" i="2"/>
  <c r="AO128" i="2"/>
  <c r="AU142" i="2"/>
  <c r="AV132" i="2"/>
  <c r="AH146" i="1"/>
  <c r="AH147" i="1" s="1"/>
  <c r="AH149" i="1" s="1"/>
  <c r="AH101" i="3" s="1"/>
  <c r="AH95" i="1"/>
  <c r="AH96" i="1" s="1"/>
  <c r="AH98" i="1"/>
  <c r="R95" i="1"/>
  <c r="R96" i="1" s="1"/>
  <c r="R98" i="1"/>
  <c r="M95" i="1"/>
  <c r="M96" i="1" s="1"/>
  <c r="M98" i="1"/>
  <c r="T95" i="1"/>
  <c r="T96" i="1" s="1"/>
  <c r="T98" i="1"/>
  <c r="Y95" i="1"/>
  <c r="Y96" i="1" s="1"/>
  <c r="Y98" i="1"/>
  <c r="AC95" i="1"/>
  <c r="AC96" i="1" s="1"/>
  <c r="AC98" i="1"/>
  <c r="AV102" i="1"/>
  <c r="AV105" i="1" s="1"/>
  <c r="AV92" i="1"/>
  <c r="M102" i="1"/>
  <c r="M105" i="1" s="1"/>
  <c r="M92" i="1"/>
  <c r="BA141" i="1"/>
  <c r="BA91" i="1"/>
  <c r="BA185" i="2" s="1"/>
  <c r="BA86" i="1"/>
  <c r="BA89" i="1" s="1"/>
  <c r="BA80" i="1"/>
  <c r="L79" i="1"/>
  <c r="L68" i="1"/>
  <c r="AK139" i="1"/>
  <c r="AK71" i="1"/>
  <c r="AK82" i="1"/>
  <c r="F102" i="1"/>
  <c r="F105" i="1" s="1"/>
  <c r="F92" i="1"/>
  <c r="P95" i="1"/>
  <c r="P96" i="1" s="1"/>
  <c r="P98" i="1"/>
  <c r="Y92" i="1"/>
  <c r="Y102" i="1"/>
  <c r="Y105" i="1" s="1"/>
  <c r="I95" i="1"/>
  <c r="I96" i="1" s="1"/>
  <c r="CR132" i="1"/>
  <c r="CL141" i="1"/>
  <c r="BJ162" i="1"/>
  <c r="BK114" i="1"/>
  <c r="K88" i="1"/>
  <c r="K95" i="1" s="1"/>
  <c r="K96" i="1" s="1"/>
  <c r="K83" i="1"/>
  <c r="AR151" i="1"/>
  <c r="AR152" i="1" s="1"/>
  <c r="AR109" i="1"/>
  <c r="AR99" i="1"/>
  <c r="R102" i="1"/>
  <c r="R105" i="1" s="1"/>
  <c r="R92" i="1"/>
  <c r="Q95" i="1"/>
  <c r="Q96" i="1" s="1"/>
  <c r="AP151" i="1"/>
  <c r="AP152" i="1" s="1"/>
  <c r="AP109" i="1"/>
  <c r="AP99" i="1"/>
  <c r="AJ143" i="1"/>
  <c r="AJ145" i="1" s="1"/>
  <c r="AJ88" i="1"/>
  <c r="AJ83" i="1"/>
  <c r="D102" i="1"/>
  <c r="D105" i="1" s="1"/>
  <c r="D92" i="1"/>
  <c r="AQ102" i="1"/>
  <c r="AQ105" i="1" s="1"/>
  <c r="AQ92" i="1"/>
  <c r="AV143" i="1"/>
  <c r="AV145" i="1" s="1"/>
  <c r="AV147" i="1" s="1"/>
  <c r="AV149" i="1" s="1"/>
  <c r="AV101" i="3" s="1"/>
  <c r="AV83" i="1"/>
  <c r="AV98" i="1"/>
  <c r="AP102" i="1"/>
  <c r="AP105" i="1" s="1"/>
  <c r="AP92" i="1"/>
  <c r="AR102" i="1"/>
  <c r="AR105" i="1" s="1"/>
  <c r="AR92" i="1"/>
  <c r="U95" i="1"/>
  <c r="U96" i="1" s="1"/>
  <c r="F83" i="1"/>
  <c r="F88" i="1"/>
  <c r="F95" i="1" s="1"/>
  <c r="F96" i="1" s="1"/>
  <c r="CA192" i="21"/>
  <c r="AS102" i="1"/>
  <c r="AS105" i="1" s="1"/>
  <c r="AS92" i="1"/>
  <c r="P102" i="1"/>
  <c r="P105" i="1" s="1"/>
  <c r="P92" i="1"/>
  <c r="W88" i="1"/>
  <c r="W95" i="1" s="1"/>
  <c r="W96" i="1" s="1"/>
  <c r="W83" i="1"/>
  <c r="L139" i="1"/>
  <c r="L141" i="1" s="1"/>
  <c r="CI141" i="1" s="1"/>
  <c r="L82" i="1"/>
  <c r="L71" i="1"/>
  <c r="BI115" i="1"/>
  <c r="AY143" i="1"/>
  <c r="AY145" i="1" s="1"/>
  <c r="AY147" i="1" s="1"/>
  <c r="AY149" i="1" s="1"/>
  <c r="AY101" i="3" s="1"/>
  <c r="K102" i="1"/>
  <c r="K105" i="1" s="1"/>
  <c r="K92" i="1"/>
  <c r="AQ143" i="1"/>
  <c r="AQ145" i="1" s="1"/>
  <c r="AQ147" i="1" s="1"/>
  <c r="AQ149" i="1" s="1"/>
  <c r="AQ101" i="3" s="1"/>
  <c r="AQ98" i="1"/>
  <c r="AQ83" i="1"/>
  <c r="AJ102" i="1"/>
  <c r="AJ105" i="1" s="1"/>
  <c r="AJ92" i="1"/>
  <c r="AD102" i="1"/>
  <c r="AD105" i="1" s="1"/>
  <c r="AD92" i="1"/>
  <c r="H95" i="1"/>
  <c r="H96" i="1" s="1"/>
  <c r="H98" i="1"/>
  <c r="AA102" i="1"/>
  <c r="AA105" i="1" s="1"/>
  <c r="AA92" i="1"/>
  <c r="AE88" i="1"/>
  <c r="AE95" i="1" s="1"/>
  <c r="AE96" i="1" s="1"/>
  <c r="AE83" i="1"/>
  <c r="AA88" i="1"/>
  <c r="AA95" i="1" s="1"/>
  <c r="AA96" i="1" s="1"/>
  <c r="AA83" i="1"/>
  <c r="AW141" i="1"/>
  <c r="CS141" i="1" s="1"/>
  <c r="CS139" i="1"/>
  <c r="I92" i="1"/>
  <c r="I102" i="1"/>
  <c r="I105" i="1" s="1"/>
  <c r="S102" i="1"/>
  <c r="S105" i="1" s="1"/>
  <c r="S92" i="1"/>
  <c r="N102" i="1"/>
  <c r="N105" i="1" s="1"/>
  <c r="N92" i="1"/>
  <c r="Q102" i="1"/>
  <c r="Q105" i="1" s="1"/>
  <c r="Q92" i="1"/>
  <c r="CJ139" i="1"/>
  <c r="BJ159" i="1"/>
  <c r="BJ15" i="3" s="1"/>
  <c r="BK156" i="1"/>
  <c r="BA143" i="1"/>
  <c r="BA145" i="1" s="1"/>
  <c r="BA147" i="1" s="1"/>
  <c r="BA149" i="1" s="1"/>
  <c r="BA101" i="3" s="1"/>
  <c r="BA98" i="1"/>
  <c r="BA83" i="1"/>
  <c r="AZ102" i="1"/>
  <c r="AZ105" i="1" s="1"/>
  <c r="AZ92" i="1"/>
  <c r="AW102" i="1"/>
  <c r="AW105" i="1" s="1"/>
  <c r="AW92" i="1"/>
  <c r="O88" i="1"/>
  <c r="O95" i="1" s="1"/>
  <c r="O96" i="1" s="1"/>
  <c r="O83" i="1"/>
  <c r="AY102" i="1"/>
  <c r="AD88" i="1"/>
  <c r="AD95" i="1" s="1"/>
  <c r="AD96" i="1" s="1"/>
  <c r="AD83" i="1"/>
  <c r="AO139" i="1"/>
  <c r="AO71" i="1"/>
  <c r="AO82" i="1"/>
  <c r="O102" i="1"/>
  <c r="O105" i="1" s="1"/>
  <c r="O92" i="1"/>
  <c r="V83" i="1"/>
  <c r="V88" i="1"/>
  <c r="V95" i="1" s="1"/>
  <c r="V96" i="1" s="1"/>
  <c r="AN102" i="1"/>
  <c r="AN105" i="1" s="1"/>
  <c r="AN92" i="1"/>
  <c r="H102" i="1"/>
  <c r="H105" i="1" s="1"/>
  <c r="H92" i="1"/>
  <c r="AL102" i="1"/>
  <c r="AL105" i="1" s="1"/>
  <c r="AL92" i="1"/>
  <c r="V102" i="1"/>
  <c r="V105" i="1" s="1"/>
  <c r="V92" i="1"/>
  <c r="AN143" i="1"/>
  <c r="AN145" i="1" s="1"/>
  <c r="AN88" i="1"/>
  <c r="AN83" i="1"/>
  <c r="G88" i="1"/>
  <c r="G95" i="1" s="1"/>
  <c r="G96" i="1" s="1"/>
  <c r="G83" i="1"/>
  <c r="CR139" i="1"/>
  <c r="CH141" i="1"/>
  <c r="M168" i="1"/>
  <c r="M169" i="1"/>
  <c r="AG139" i="1"/>
  <c r="AG71" i="1"/>
  <c r="AG82" i="1"/>
  <c r="AT143" i="1"/>
  <c r="AT145" i="1" s="1"/>
  <c r="AT147" i="1" s="1"/>
  <c r="AT149" i="1" s="1"/>
  <c r="AT101" i="3" s="1"/>
  <c r="AT98" i="1"/>
  <c r="AT83" i="1"/>
  <c r="AM102" i="1"/>
  <c r="AM105" i="1" s="1"/>
  <c r="AM92" i="1"/>
  <c r="CK141" i="1"/>
  <c r="CJ141" i="1"/>
  <c r="AU143" i="1"/>
  <c r="AU145" i="1" s="1"/>
  <c r="AU147" i="1" s="1"/>
  <c r="AU149" i="1" s="1"/>
  <c r="AU101" i="3" s="1"/>
  <c r="BV192" i="21"/>
  <c r="AX102" i="1"/>
  <c r="AX105" i="1" s="1"/>
  <c r="AX92" i="1"/>
  <c r="N88" i="1"/>
  <c r="N95" i="1" s="1"/>
  <c r="N96" i="1" s="1"/>
  <c r="N83" i="1"/>
  <c r="AT102" i="1"/>
  <c r="AT105" i="1" s="1"/>
  <c r="AT92" i="1"/>
  <c r="G102" i="1"/>
  <c r="G105" i="1" s="1"/>
  <c r="G92" i="1"/>
  <c r="AS151" i="1"/>
  <c r="AS152" i="1" s="1"/>
  <c r="AS109" i="1"/>
  <c r="AS99" i="1"/>
  <c r="E95" i="1"/>
  <c r="E96" i="1" s="1"/>
  <c r="AM143" i="1"/>
  <c r="AM145" i="1" s="1"/>
  <c r="AM83" i="1"/>
  <c r="AM88" i="1"/>
  <c r="T102" i="1"/>
  <c r="T105" i="1" s="1"/>
  <c r="T92" i="1"/>
  <c r="AH102" i="1"/>
  <c r="AH105" i="1" s="1"/>
  <c r="AH92" i="1"/>
  <c r="AE102" i="1"/>
  <c r="AE105" i="1" s="1"/>
  <c r="AE92" i="1"/>
  <c r="S88" i="1"/>
  <c r="S95" i="1" s="1"/>
  <c r="S96" i="1" s="1"/>
  <c r="S83" i="1"/>
  <c r="AL143" i="1"/>
  <c r="AL145" i="1" s="1"/>
  <c r="AL88" i="1"/>
  <c r="AL98" i="1" s="1"/>
  <c r="AL83" i="1"/>
  <c r="AX132" i="1"/>
  <c r="AY132" i="1" s="1"/>
  <c r="BW192" i="21"/>
  <c r="AC102" i="1"/>
  <c r="AC105" i="1" s="1"/>
  <c r="AC92" i="1"/>
  <c r="D95" i="1"/>
  <c r="D96" i="1" s="1"/>
  <c r="D98" i="1"/>
  <c r="X102" i="1"/>
  <c r="X105" i="1" s="1"/>
  <c r="X92" i="1"/>
  <c r="W102" i="1"/>
  <c r="W105" i="1" s="1"/>
  <c r="W92" i="1"/>
  <c r="CR141" i="1"/>
  <c r="CH139" i="1"/>
  <c r="AW143" i="1"/>
  <c r="AW145" i="1" s="1"/>
  <c r="AW88" i="1"/>
  <c r="AW83" i="1"/>
  <c r="CK139" i="1"/>
  <c r="AI143" i="1"/>
  <c r="AI145" i="1" s="1"/>
  <c r="AI88" i="1"/>
  <c r="AI98" i="1" s="1"/>
  <c r="AI83" i="1"/>
  <c r="AZ143" i="1"/>
  <c r="AZ145" i="1" s="1"/>
  <c r="AZ147" i="1" s="1"/>
  <c r="AZ149" i="1" s="1"/>
  <c r="AZ101" i="3" s="1"/>
  <c r="AZ83" i="1"/>
  <c r="AZ98" i="1"/>
  <c r="AX151" i="1"/>
  <c r="AX152" i="1" s="1"/>
  <c r="AX109" i="1"/>
  <c r="AX99" i="1"/>
  <c r="CB192" i="21" l="1"/>
  <c r="CB79" i="1"/>
  <c r="BJ153" i="3"/>
  <c r="BR192" i="21"/>
  <c r="CP80" i="1"/>
  <c r="CP91" i="1"/>
  <c r="CP92" i="1" s="1"/>
  <c r="CM91" i="1"/>
  <c r="CM102" i="1" s="1"/>
  <c r="CM105" i="1" s="1"/>
  <c r="CM107" i="1" s="1"/>
  <c r="BR79" i="1"/>
  <c r="CH91" i="1"/>
  <c r="CH92" i="1" s="1"/>
  <c r="CN139" i="1"/>
  <c r="CH86" i="1"/>
  <c r="BR80" i="1"/>
  <c r="BY82" i="1"/>
  <c r="BY83" i="1" s="1"/>
  <c r="AB98" i="1"/>
  <c r="AB109" i="1" s="1"/>
  <c r="Z98" i="1"/>
  <c r="Z99" i="1" s="1"/>
  <c r="BW79" i="1"/>
  <c r="BW68" i="1"/>
  <c r="J98" i="1"/>
  <c r="J99" i="1" s="1"/>
  <c r="BU221" i="21"/>
  <c r="BU223" i="21" s="1"/>
  <c r="BR221" i="21"/>
  <c r="BR223" i="21" s="1"/>
  <c r="BT221" i="21"/>
  <c r="BT223" i="21" s="1"/>
  <c r="BZ192" i="21"/>
  <c r="BZ79" i="1"/>
  <c r="BB279" i="21"/>
  <c r="BS68" i="1"/>
  <c r="BS79" i="1"/>
  <c r="CO80" i="1"/>
  <c r="CO91" i="1"/>
  <c r="CO185" i="2" s="1"/>
  <c r="CO86" i="1"/>
  <c r="BT68" i="1"/>
  <c r="BT79" i="1"/>
  <c r="BT192" i="21"/>
  <c r="E99" i="1"/>
  <c r="CR99" i="1"/>
  <c r="BM121" i="3"/>
  <c r="BM150" i="3"/>
  <c r="BN150" i="3" s="1"/>
  <c r="BO150" i="3" s="1"/>
  <c r="CF48" i="3"/>
  <c r="CF150" i="3" s="1"/>
  <c r="AY105" i="1"/>
  <c r="AY11" i="3" s="1"/>
  <c r="BW71" i="1"/>
  <c r="BW82" i="1"/>
  <c r="BW83" i="1" s="1"/>
  <c r="BQ79" i="1"/>
  <c r="BQ68" i="1"/>
  <c r="BJ149" i="3"/>
  <c r="BL87" i="2"/>
  <c r="BM33" i="2"/>
  <c r="BL51" i="3"/>
  <c r="BM42" i="2"/>
  <c r="BL28" i="3"/>
  <c r="BM35" i="2"/>
  <c r="CE15" i="2"/>
  <c r="BL15" i="2"/>
  <c r="CV15" i="2" s="1"/>
  <c r="BO66" i="2"/>
  <c r="BN19" i="3"/>
  <c r="BL85" i="2"/>
  <c r="BM12" i="2"/>
  <c r="BO109" i="2"/>
  <c r="CF109" i="2" s="1"/>
  <c r="CQ86" i="1"/>
  <c r="CQ80" i="1"/>
  <c r="CQ91" i="1"/>
  <c r="CQ185" i="2" s="1"/>
  <c r="BU79" i="1"/>
  <c r="BU68" i="1"/>
  <c r="BQ82" i="1"/>
  <c r="BQ83" i="1" s="1"/>
  <c r="BQ71" i="1"/>
  <c r="BS82" i="1"/>
  <c r="BS83" i="1" s="1"/>
  <c r="BS71" i="1"/>
  <c r="BU82" i="1"/>
  <c r="BU83" i="1" s="1"/>
  <c r="BU71" i="1"/>
  <c r="CI68" i="1"/>
  <c r="CI79" i="1"/>
  <c r="BX71" i="1"/>
  <c r="BX82" i="1"/>
  <c r="BX83" i="1" s="1"/>
  <c r="CI82" i="1"/>
  <c r="CI83" i="1" s="1"/>
  <c r="CI71" i="1"/>
  <c r="BZ86" i="1"/>
  <c r="BR71" i="1"/>
  <c r="BR82" i="1"/>
  <c r="BR83" i="1" s="1"/>
  <c r="BT71" i="1"/>
  <c r="BT82" i="1"/>
  <c r="BT83" i="1" s="1"/>
  <c r="CA71" i="1"/>
  <c r="CA82" i="1"/>
  <c r="BY68" i="1"/>
  <c r="BY79" i="1"/>
  <c r="CA91" i="1"/>
  <c r="CA86" i="1"/>
  <c r="CA80" i="1"/>
  <c r="BV68" i="1"/>
  <c r="BV79" i="1"/>
  <c r="BZ71" i="1"/>
  <c r="BZ82" i="1"/>
  <c r="BZ83" i="1" s="1"/>
  <c r="BV71" i="1"/>
  <c r="BV82" i="1"/>
  <c r="BV83" i="1" s="1"/>
  <c r="BX68" i="1"/>
  <c r="BX79" i="1"/>
  <c r="CR80" i="1"/>
  <c r="CR91" i="1"/>
  <c r="CR86" i="1"/>
  <c r="BK159" i="1"/>
  <c r="BK15" i="3" s="1"/>
  <c r="CE15" i="3" s="1"/>
  <c r="BL156" i="1"/>
  <c r="CE114" i="1"/>
  <c r="CE162" i="1" s="1"/>
  <c r="BL114" i="1"/>
  <c r="CI139" i="1"/>
  <c r="BW221" i="21"/>
  <c r="BW223" i="21" s="1"/>
  <c r="BS279" i="21"/>
  <c r="BS281" i="21" s="1"/>
  <c r="BT279" i="21"/>
  <c r="BT281" i="21" s="1"/>
  <c r="BV221" i="21"/>
  <c r="BV223" i="21" s="1"/>
  <c r="BX221" i="21"/>
  <c r="BX223" i="21" s="1"/>
  <c r="BB257" i="21"/>
  <c r="X99" i="1"/>
  <c r="Q99" i="1"/>
  <c r="CK92" i="1"/>
  <c r="CK102" i="1"/>
  <c r="CK105" i="1" s="1"/>
  <c r="CK107" i="1" s="1"/>
  <c r="CM92" i="1"/>
  <c r="CJ92" i="1"/>
  <c r="CJ102" i="1"/>
  <c r="CJ105" i="1" s="1"/>
  <c r="CJ107" i="1" s="1"/>
  <c r="CS102" i="1"/>
  <c r="CS105" i="1" s="1"/>
  <c r="CS107" i="1" s="1"/>
  <c r="CS92" i="1"/>
  <c r="CN92" i="1"/>
  <c r="CN102" i="1"/>
  <c r="CN105" i="1" s="1"/>
  <c r="CN107" i="1" s="1"/>
  <c r="CL92" i="1"/>
  <c r="CL102" i="1"/>
  <c r="CL105" i="1" s="1"/>
  <c r="CL107" i="1" s="1"/>
  <c r="CH102" i="1"/>
  <c r="CH105" i="1" s="1"/>
  <c r="CH107" i="1" s="1"/>
  <c r="CN88" i="1"/>
  <c r="CN89" i="1" s="1"/>
  <c r="CJ88" i="1"/>
  <c r="CJ98" i="1" s="1"/>
  <c r="AW98" i="1"/>
  <c r="AW109" i="1" s="1"/>
  <c r="CB88" i="1"/>
  <c r="CS88" i="1"/>
  <c r="I99" i="1"/>
  <c r="AN98" i="1"/>
  <c r="AN109" i="1" s="1"/>
  <c r="U99" i="1"/>
  <c r="BW88" i="1"/>
  <c r="AJ98" i="1"/>
  <c r="AJ109" i="1" s="1"/>
  <c r="BR88" i="1"/>
  <c r="BR146" i="1" s="1"/>
  <c r="BU88" i="1"/>
  <c r="CL88" i="1"/>
  <c r="BV88" i="1"/>
  <c r="CK88" i="1"/>
  <c r="BT88" i="1"/>
  <c r="CH88" i="1"/>
  <c r="CH146" i="1" s="1"/>
  <c r="BQ88" i="1"/>
  <c r="BQ146" i="1" s="1"/>
  <c r="CM88" i="1"/>
  <c r="CD36" i="21"/>
  <c r="BT257" i="21"/>
  <c r="BT259" i="21" s="1"/>
  <c r="BJ15" i="21"/>
  <c r="BI142" i="3"/>
  <c r="BJ142" i="3" s="1"/>
  <c r="BJ128" i="3"/>
  <c r="BI132" i="3"/>
  <c r="BK20" i="2"/>
  <c r="CE42" i="2"/>
  <c r="BK51" i="3"/>
  <c r="BJ130" i="3"/>
  <c r="BK29" i="3"/>
  <c r="BK131" i="3" s="1"/>
  <c r="AH90" i="2"/>
  <c r="BK31" i="2"/>
  <c r="BL31" i="2" s="1"/>
  <c r="CV31" i="2" s="1"/>
  <c r="BJ30" i="3"/>
  <c r="CE35" i="2"/>
  <c r="BK28" i="3"/>
  <c r="CE28" i="3" s="1"/>
  <c r="CE130" i="3" s="1"/>
  <c r="BK22" i="2"/>
  <c r="AD98" i="1"/>
  <c r="AD109" i="1" s="1"/>
  <c r="AA98" i="1"/>
  <c r="AA99" i="1" s="1"/>
  <c r="K98" i="1"/>
  <c r="K109" i="1" s="1"/>
  <c r="X107" i="1"/>
  <c r="X11" i="3"/>
  <c r="AE107" i="1"/>
  <c r="AE11" i="3"/>
  <c r="AE31" i="3" s="1"/>
  <c r="W107" i="1"/>
  <c r="W11" i="3"/>
  <c r="W31" i="3" s="1"/>
  <c r="AC107" i="1"/>
  <c r="AC11" i="3"/>
  <c r="N98" i="1"/>
  <c r="N109" i="1" s="1"/>
  <c r="AX107" i="1"/>
  <c r="AX11" i="3"/>
  <c r="G98" i="1"/>
  <c r="G109" i="1" s="1"/>
  <c r="V107" i="1"/>
  <c r="V11" i="3"/>
  <c r="V31" i="3" s="1"/>
  <c r="AL107" i="1"/>
  <c r="AL11" i="3"/>
  <c r="H107" i="1"/>
  <c r="H11" i="3"/>
  <c r="AN107" i="1"/>
  <c r="AN11" i="3"/>
  <c r="I107" i="1"/>
  <c r="I11" i="3"/>
  <c r="AE98" i="1"/>
  <c r="AE99" i="1" s="1"/>
  <c r="AA107" i="1"/>
  <c r="AA11" i="3"/>
  <c r="AA31" i="3" s="1"/>
  <c r="K107" i="1"/>
  <c r="K11" i="3"/>
  <c r="K31" i="3" s="1"/>
  <c r="P107" i="1"/>
  <c r="P11" i="3"/>
  <c r="AS107" i="1"/>
  <c r="AS11" i="3"/>
  <c r="AR107" i="1"/>
  <c r="AR11" i="3"/>
  <c r="AP107" i="1"/>
  <c r="AP11" i="3"/>
  <c r="F107" i="1"/>
  <c r="F11" i="3"/>
  <c r="F31" i="3" s="1"/>
  <c r="BW279" i="21"/>
  <c r="BW281" i="21" s="1"/>
  <c r="BR279" i="21"/>
  <c r="BR281" i="21" s="1"/>
  <c r="BR257" i="21"/>
  <c r="BR259" i="21" s="1"/>
  <c r="BJ117" i="3"/>
  <c r="BS221" i="21"/>
  <c r="BS223" i="21" s="1"/>
  <c r="BU257" i="21"/>
  <c r="BU259" i="21" s="1"/>
  <c r="BV257" i="21"/>
  <c r="BV259" i="21" s="1"/>
  <c r="E107" i="1"/>
  <c r="E11" i="3"/>
  <c r="AU11" i="3"/>
  <c r="AH107" i="1"/>
  <c r="AH11" i="3"/>
  <c r="T107" i="1"/>
  <c r="T11" i="3"/>
  <c r="G107" i="1"/>
  <c r="G11" i="3"/>
  <c r="G31" i="3" s="1"/>
  <c r="AT107" i="1"/>
  <c r="AT11" i="3"/>
  <c r="AM107" i="1"/>
  <c r="AM11" i="3"/>
  <c r="V98" i="1"/>
  <c r="V99" i="1" s="1"/>
  <c r="O107" i="1"/>
  <c r="O11" i="3"/>
  <c r="O31" i="3" s="1"/>
  <c r="AW107" i="1"/>
  <c r="AW11" i="3"/>
  <c r="AZ107" i="1"/>
  <c r="AZ11" i="3"/>
  <c r="Q107" i="1"/>
  <c r="Q11" i="3"/>
  <c r="N107" i="1"/>
  <c r="N11" i="3"/>
  <c r="N31" i="3" s="1"/>
  <c r="S107" i="1"/>
  <c r="S11" i="3"/>
  <c r="S31" i="3" s="1"/>
  <c r="AD107" i="1"/>
  <c r="AD11" i="3"/>
  <c r="AD31" i="3" s="1"/>
  <c r="AJ107" i="1"/>
  <c r="AJ11" i="3"/>
  <c r="F98" i="1"/>
  <c r="F99" i="1" s="1"/>
  <c r="AQ107" i="1"/>
  <c r="AQ11" i="3"/>
  <c r="D107" i="1"/>
  <c r="D11" i="3"/>
  <c r="R107" i="1"/>
  <c r="R11" i="3"/>
  <c r="R31" i="3" s="1"/>
  <c r="BK113" i="1"/>
  <c r="BK115" i="1" s="1"/>
  <c r="BK47" i="3"/>
  <c r="CE47" i="3" s="1"/>
  <c r="CE149" i="3" s="1"/>
  <c r="BK81" i="2"/>
  <c r="Y107" i="1"/>
  <c r="Y11" i="3"/>
  <c r="M107" i="1"/>
  <c r="M11" i="3"/>
  <c r="AV107" i="1"/>
  <c r="AV11" i="3"/>
  <c r="BW257" i="21"/>
  <c r="BW259" i="21" s="1"/>
  <c r="BJ67" i="2"/>
  <c r="AF98" i="1"/>
  <c r="AF146" i="1"/>
  <c r="AF147" i="1" s="1"/>
  <c r="AF149" i="1" s="1"/>
  <c r="AF95" i="1"/>
  <c r="AF96" i="1" s="1"/>
  <c r="AF107" i="1"/>
  <c r="AF11" i="3"/>
  <c r="AB113" i="3"/>
  <c r="AB31" i="3"/>
  <c r="Z90" i="3"/>
  <c r="Z105" i="3" s="1"/>
  <c r="Z58" i="3"/>
  <c r="BS257" i="21"/>
  <c r="BS259" i="21" s="1"/>
  <c r="BU279" i="21"/>
  <c r="BU281" i="21" s="1"/>
  <c r="BV279" i="21"/>
  <c r="BV281" i="21" s="1"/>
  <c r="BX279" i="21"/>
  <c r="BX281" i="21" s="1"/>
  <c r="BX257" i="21"/>
  <c r="BX259" i="21" s="1"/>
  <c r="U107" i="1"/>
  <c r="U11" i="3"/>
  <c r="AK107" i="1"/>
  <c r="AK11" i="3"/>
  <c r="AG92" i="3"/>
  <c r="AG96" i="3" s="1"/>
  <c r="AG31" i="3"/>
  <c r="J90" i="3"/>
  <c r="J105" i="3" s="1"/>
  <c r="J58" i="3"/>
  <c r="BS196" i="21"/>
  <c r="AO92" i="3"/>
  <c r="AO96" i="3" s="1"/>
  <c r="AO31" i="3"/>
  <c r="AI92" i="3"/>
  <c r="AI96" i="3" s="1"/>
  <c r="AI31" i="3"/>
  <c r="CU17" i="1"/>
  <c r="BB95" i="3"/>
  <c r="BH83" i="21"/>
  <c r="BI15" i="21"/>
  <c r="BI17" i="21"/>
  <c r="BH36" i="21"/>
  <c r="CD83" i="21"/>
  <c r="BX104" i="2"/>
  <c r="AJ104" i="2"/>
  <c r="AI137" i="2"/>
  <c r="AI144" i="2" s="1"/>
  <c r="AI110" i="2"/>
  <c r="AH144" i="2"/>
  <c r="BK85" i="2"/>
  <c r="CE12" i="2"/>
  <c r="AO138" i="2"/>
  <c r="AP128" i="2"/>
  <c r="BJ55" i="2"/>
  <c r="BI54" i="2"/>
  <c r="AO139" i="2"/>
  <c r="AP129" i="2"/>
  <c r="AO103" i="2"/>
  <c r="AN136" i="2"/>
  <c r="BI68" i="2"/>
  <c r="BJ64" i="2"/>
  <c r="BK87" i="2"/>
  <c r="CE87" i="2" s="1"/>
  <c r="CE33" i="2"/>
  <c r="AW132" i="2"/>
  <c r="AV142" i="2"/>
  <c r="CU68" i="2"/>
  <c r="AL109" i="1"/>
  <c r="AL99" i="1"/>
  <c r="CB139" i="1"/>
  <c r="CB141" i="1" s="1"/>
  <c r="AZ151" i="1"/>
  <c r="AZ152" i="1" s="1"/>
  <c r="AZ109" i="1"/>
  <c r="AZ99" i="1"/>
  <c r="AI146" i="1"/>
  <c r="AI147" i="1" s="1"/>
  <c r="AI149" i="1" s="1"/>
  <c r="AI95" i="1"/>
  <c r="AI96" i="1" s="1"/>
  <c r="D109" i="1"/>
  <c r="D99" i="1"/>
  <c r="S98" i="1"/>
  <c r="AG143" i="1"/>
  <c r="AG145" i="1" s="1"/>
  <c r="AG88" i="1"/>
  <c r="AG83" i="1"/>
  <c r="CH185" i="2"/>
  <c r="CL143" i="1"/>
  <c r="CL145" i="1" s="1"/>
  <c r="CQ139" i="1"/>
  <c r="AO141" i="1"/>
  <c r="CQ141" i="1" s="1"/>
  <c r="O98" i="1"/>
  <c r="CR143" i="1"/>
  <c r="CR145" i="1" s="1"/>
  <c r="CR147" i="1" s="1"/>
  <c r="CR149" i="1" s="1"/>
  <c r="CE156" i="1"/>
  <c r="CE159" i="1" s="1"/>
  <c r="CK185" i="2"/>
  <c r="P109" i="1"/>
  <c r="P99" i="1"/>
  <c r="M109" i="1"/>
  <c r="M99" i="1"/>
  <c r="AI109" i="1"/>
  <c r="AI99" i="1"/>
  <c r="CO143" i="1"/>
  <c r="CO145" i="1" s="1"/>
  <c r="CB132" i="1"/>
  <c r="AZ132" i="1"/>
  <c r="BA132" i="1" s="1"/>
  <c r="AM146" i="1"/>
  <c r="AM147" i="1" s="1"/>
  <c r="AM149" i="1" s="1"/>
  <c r="AM101" i="3" s="1"/>
  <c r="AM95" i="1"/>
  <c r="AM96" i="1" s="1"/>
  <c r="BR139" i="1"/>
  <c r="BR141" i="1" s="1"/>
  <c r="CS143" i="1"/>
  <c r="CS145" i="1" s="1"/>
  <c r="H109" i="1"/>
  <c r="H99" i="1"/>
  <c r="L83" i="1"/>
  <c r="CJ185" i="2"/>
  <c r="BZ139" i="1"/>
  <c r="BZ141" i="1" s="1"/>
  <c r="AV151" i="1"/>
  <c r="AV152" i="1" s="1"/>
  <c r="AV109" i="1"/>
  <c r="AV99" i="1"/>
  <c r="BX139" i="1"/>
  <c r="BX141" i="1" s="1"/>
  <c r="CK143" i="1"/>
  <c r="CK145" i="1" s="1"/>
  <c r="AJ146" i="1"/>
  <c r="AJ147" i="1" s="1"/>
  <c r="AJ149" i="1" s="1"/>
  <c r="AJ95" i="1"/>
  <c r="AJ96" i="1" s="1"/>
  <c r="CN185" i="2"/>
  <c r="BT139" i="1"/>
  <c r="BT141" i="1" s="1"/>
  <c r="CP139" i="1"/>
  <c r="AK141" i="1"/>
  <c r="CP141" i="1" s="1"/>
  <c r="CN143" i="1"/>
  <c r="CN145" i="1" s="1"/>
  <c r="CM143" i="1"/>
  <c r="CM145" i="1" s="1"/>
  <c r="AH151" i="1"/>
  <c r="AH152" i="1" s="1"/>
  <c r="AH109" i="1"/>
  <c r="AH99" i="1"/>
  <c r="CA139" i="1"/>
  <c r="CA141" i="1" s="1"/>
  <c r="CL185" i="2"/>
  <c r="AT151" i="1"/>
  <c r="AT152" i="1" s="1"/>
  <c r="AT109" i="1"/>
  <c r="AT99" i="1"/>
  <c r="AG141" i="1"/>
  <c r="CO141" i="1" s="1"/>
  <c r="CO139" i="1"/>
  <c r="BW139" i="1"/>
  <c r="BW141" i="1" s="1"/>
  <c r="AO143" i="1"/>
  <c r="AO145" i="1" s="1"/>
  <c r="AO88" i="1"/>
  <c r="AO83" i="1"/>
  <c r="BA151" i="1"/>
  <c r="BA152" i="1" s="1"/>
  <c r="BA109" i="1"/>
  <c r="BA99" i="1"/>
  <c r="BV139" i="1"/>
  <c r="BV141" i="1" s="1"/>
  <c r="CS185" i="2"/>
  <c r="BQ139" i="1"/>
  <c r="BQ141" i="1" s="1"/>
  <c r="BY139" i="1"/>
  <c r="BY141" i="1" s="1"/>
  <c r="CH143" i="1"/>
  <c r="CH145" i="1" s="1"/>
  <c r="BU139" i="1"/>
  <c r="BU141" i="1" s="1"/>
  <c r="AC109" i="1"/>
  <c r="AC99" i="1"/>
  <c r="Y109" i="1"/>
  <c r="Y99" i="1"/>
  <c r="AW146" i="1"/>
  <c r="AW147" i="1" s="1"/>
  <c r="AW149" i="1" s="1"/>
  <c r="AW95" i="1"/>
  <c r="AW96" i="1" s="1"/>
  <c r="CP143" i="1"/>
  <c r="CP145" i="1" s="1"/>
  <c r="AL146" i="1"/>
  <c r="AL147" i="1" s="1"/>
  <c r="AL149" i="1" s="1"/>
  <c r="AL95" i="1"/>
  <c r="AL96" i="1" s="1"/>
  <c r="BS139" i="1"/>
  <c r="BS141" i="1" s="1"/>
  <c r="AM98" i="1"/>
  <c r="AU151" i="1"/>
  <c r="AU152" i="1" s="1"/>
  <c r="N168" i="1"/>
  <c r="N169" i="1"/>
  <c r="AN146" i="1"/>
  <c r="AN147" i="1" s="1"/>
  <c r="AN149" i="1" s="1"/>
  <c r="AN95" i="1"/>
  <c r="AN96" i="1" s="1"/>
  <c r="CJ143" i="1"/>
  <c r="CJ145" i="1" s="1"/>
  <c r="CQ143" i="1"/>
  <c r="CQ145" i="1" s="1"/>
  <c r="AQ151" i="1"/>
  <c r="AQ152" i="1" s="1"/>
  <c r="AQ109" i="1"/>
  <c r="AQ99" i="1"/>
  <c r="AY151" i="1"/>
  <c r="AY152" i="1" s="1"/>
  <c r="AY109" i="1"/>
  <c r="CM185" i="2"/>
  <c r="W98" i="1"/>
  <c r="BK162" i="1"/>
  <c r="AK143" i="1"/>
  <c r="AK145" i="1" s="1"/>
  <c r="AK88" i="1"/>
  <c r="CP88" i="1" s="1"/>
  <c r="AK83" i="1"/>
  <c r="L91" i="1"/>
  <c r="L185" i="2" s="1"/>
  <c r="L86" i="1"/>
  <c r="L89" i="1" s="1"/>
  <c r="L88" i="1" s="1"/>
  <c r="BS88" i="1" s="1"/>
  <c r="L80" i="1"/>
  <c r="BA102" i="1"/>
  <c r="BA105" i="1" s="1"/>
  <c r="BA92" i="1"/>
  <c r="T109" i="1"/>
  <c r="T99" i="1"/>
  <c r="R109" i="1"/>
  <c r="R99" i="1"/>
  <c r="CP102" i="1" l="1"/>
  <c r="CP105" i="1" s="1"/>
  <c r="CP107" i="1" s="1"/>
  <c r="BK153" i="3"/>
  <c r="CB86" i="1"/>
  <c r="CB91" i="1"/>
  <c r="CB80" i="1"/>
  <c r="CQ11" i="3"/>
  <c r="CE81" i="2"/>
  <c r="CP185" i="2"/>
  <c r="AY107" i="1"/>
  <c r="BR91" i="1"/>
  <c r="BR185" i="2" s="1"/>
  <c r="BR86" i="1"/>
  <c r="CJ95" i="1"/>
  <c r="CJ96" i="1" s="1"/>
  <c r="Z109" i="1"/>
  <c r="AB99" i="1"/>
  <c r="BW91" i="1"/>
  <c r="BW185" i="2" s="1"/>
  <c r="BW80" i="1"/>
  <c r="BW86" i="1"/>
  <c r="J109" i="1"/>
  <c r="BZ80" i="1"/>
  <c r="BZ91" i="1"/>
  <c r="BZ185" i="2" s="1"/>
  <c r="BS86" i="1"/>
  <c r="BS80" i="1"/>
  <c r="BS91" i="1"/>
  <c r="CO102" i="1"/>
  <c r="CO105" i="1" s="1"/>
  <c r="CO107" i="1" s="1"/>
  <c r="CO92" i="1"/>
  <c r="BT86" i="1"/>
  <c r="BT91" i="1"/>
  <c r="BT80" i="1"/>
  <c r="BN121" i="3"/>
  <c r="CV51" i="3"/>
  <c r="CV153" i="3" s="1"/>
  <c r="CV28" i="3"/>
  <c r="CV130" i="3" s="1"/>
  <c r="CE29" i="3"/>
  <c r="CE131" i="3" s="1"/>
  <c r="BK67" i="2"/>
  <c r="CE67" i="2" s="1"/>
  <c r="BK117" i="3"/>
  <c r="BQ91" i="1"/>
  <c r="BQ80" i="1"/>
  <c r="BQ86" i="1"/>
  <c r="CV114" i="1"/>
  <c r="CV156" i="1"/>
  <c r="CV159" i="1" s="1"/>
  <c r="BL130" i="3"/>
  <c r="BL153" i="3"/>
  <c r="BO19" i="3"/>
  <c r="CF19" i="3" s="1"/>
  <c r="CF121" i="3" s="1"/>
  <c r="CF66" i="2"/>
  <c r="BL151" i="2"/>
  <c r="CE20" i="2"/>
  <c r="BL20" i="2"/>
  <c r="BM15" i="2"/>
  <c r="BM29" i="3" s="1"/>
  <c r="CE22" i="2"/>
  <c r="BL22" i="2"/>
  <c r="CV22" i="2" s="1"/>
  <c r="BL30" i="3"/>
  <c r="BM31" i="2"/>
  <c r="BM85" i="2"/>
  <c r="BM151" i="2" s="1"/>
  <c r="BN12" i="2"/>
  <c r="BL29" i="3"/>
  <c r="CV29" i="3" s="1"/>
  <c r="CV131" i="3" s="1"/>
  <c r="BN35" i="2"/>
  <c r="BM28" i="3"/>
  <c r="BN42" i="2"/>
  <c r="BM51" i="3"/>
  <c r="BN33" i="2"/>
  <c r="BM87" i="2"/>
  <c r="CR92" i="1"/>
  <c r="CR102" i="1"/>
  <c r="CR105" i="1" s="1"/>
  <c r="CR107" i="1" s="1"/>
  <c r="BX80" i="1"/>
  <c r="BX86" i="1"/>
  <c r="BX91" i="1"/>
  <c r="BV80" i="1"/>
  <c r="BV86" i="1"/>
  <c r="BV91" i="1"/>
  <c r="BV185" i="2" s="1"/>
  <c r="CA92" i="1"/>
  <c r="CA102" i="1"/>
  <c r="CA105" i="1" s="1"/>
  <c r="CA107" i="1" s="1"/>
  <c r="CI91" i="1"/>
  <c r="CI185" i="2" s="1"/>
  <c r="CI86" i="1"/>
  <c r="CI80" i="1"/>
  <c r="CQ102" i="1"/>
  <c r="CQ105" i="1" s="1"/>
  <c r="CQ107" i="1" s="1"/>
  <c r="CQ92" i="1"/>
  <c r="CR185" i="2"/>
  <c r="BY80" i="1"/>
  <c r="BY91" i="1"/>
  <c r="BY86" i="1"/>
  <c r="CA83" i="1"/>
  <c r="CA89" i="1"/>
  <c r="CA98" i="1"/>
  <c r="BU86" i="1"/>
  <c r="BU80" i="1"/>
  <c r="BU91" i="1"/>
  <c r="CE117" i="3"/>
  <c r="BL162" i="1"/>
  <c r="BL47" i="3"/>
  <c r="CV47" i="3" s="1"/>
  <c r="BL81" i="2"/>
  <c r="BM114" i="1"/>
  <c r="BL159" i="1"/>
  <c r="BL15" i="3" s="1"/>
  <c r="CV15" i="3" s="1"/>
  <c r="CV117" i="3" s="1"/>
  <c r="BM156" i="1"/>
  <c r="CE113" i="1"/>
  <c r="BL113" i="1"/>
  <c r="BK149" i="3"/>
  <c r="CO11" i="3"/>
  <c r="CO31" i="3" s="1"/>
  <c r="CO90" i="3" s="1"/>
  <c r="CO105" i="3" s="1"/>
  <c r="BX144" i="2"/>
  <c r="K99" i="1"/>
  <c r="AE109" i="1"/>
  <c r="AD99" i="1"/>
  <c r="CN98" i="1"/>
  <c r="CN109" i="1" s="1"/>
  <c r="AN99" i="1"/>
  <c r="CN95" i="1"/>
  <c r="CN96" i="1" s="1"/>
  <c r="AW99" i="1"/>
  <c r="G99" i="1"/>
  <c r="CJ89" i="1"/>
  <c r="AJ99" i="1"/>
  <c r="F109" i="1"/>
  <c r="AA109" i="1"/>
  <c r="N99" i="1"/>
  <c r="V109" i="1"/>
  <c r="BS95" i="1"/>
  <c r="BS96" i="1" s="1"/>
  <c r="BS98" i="1"/>
  <c r="BS89" i="1"/>
  <c r="AG98" i="1"/>
  <c r="AG99" i="1" s="1"/>
  <c r="CO88" i="1"/>
  <c r="CM95" i="1"/>
  <c r="CM96" i="1" s="1"/>
  <c r="CM89" i="1"/>
  <c r="CM98" i="1"/>
  <c r="CK95" i="1"/>
  <c r="CK96" i="1" s="1"/>
  <c r="CK98" i="1"/>
  <c r="CK89" i="1"/>
  <c r="BU95" i="1"/>
  <c r="BU96" i="1" s="1"/>
  <c r="BU98" i="1"/>
  <c r="BU89" i="1"/>
  <c r="CJ99" i="1"/>
  <c r="CJ109" i="1"/>
  <c r="BX88" i="1"/>
  <c r="BQ95" i="1"/>
  <c r="BQ96" i="1" s="1"/>
  <c r="BQ98" i="1"/>
  <c r="BQ89" i="1"/>
  <c r="BV95" i="1"/>
  <c r="BV96" i="1" s="1"/>
  <c r="BV89" i="1"/>
  <c r="BV98" i="1"/>
  <c r="BR95" i="1"/>
  <c r="BR96" i="1" s="1"/>
  <c r="BR89" i="1"/>
  <c r="BR98" i="1"/>
  <c r="CS95" i="1"/>
  <c r="CS96" i="1" s="1"/>
  <c r="CS98" i="1"/>
  <c r="CS89" i="1"/>
  <c r="CP95" i="1"/>
  <c r="CP96" i="1" s="1"/>
  <c r="CP89" i="1"/>
  <c r="CP98" i="1"/>
  <c r="AO98" i="1"/>
  <c r="AO109" i="1" s="1"/>
  <c r="CQ88" i="1"/>
  <c r="CH95" i="1"/>
  <c r="CH96" i="1" s="1"/>
  <c r="CH89" i="1"/>
  <c r="CH98" i="1"/>
  <c r="CL95" i="1"/>
  <c r="CL96" i="1" s="1"/>
  <c r="CL89" i="1"/>
  <c r="CL98" i="1"/>
  <c r="BY88" i="1"/>
  <c r="BZ88" i="1"/>
  <c r="BZ146" i="1" s="1"/>
  <c r="CB95" i="1"/>
  <c r="CB96" i="1" s="1"/>
  <c r="CB98" i="1"/>
  <c r="CB89" i="1"/>
  <c r="BT95" i="1"/>
  <c r="BT96" i="1" s="1"/>
  <c r="BT98" i="1"/>
  <c r="BT89" i="1"/>
  <c r="CI88" i="1"/>
  <c r="BW95" i="1"/>
  <c r="BW96" i="1" s="1"/>
  <c r="BW89" i="1"/>
  <c r="BW98" i="1"/>
  <c r="CU15" i="1"/>
  <c r="CV16" i="1" s="1"/>
  <c r="BJ17" i="21"/>
  <c r="BJ132" i="3"/>
  <c r="CE51" i="3"/>
  <c r="CE153" i="3" s="1"/>
  <c r="BK26" i="3"/>
  <c r="BX137" i="2"/>
  <c r="BK40" i="3"/>
  <c r="BK142" i="3" s="1"/>
  <c r="BK130" i="3"/>
  <c r="CE31" i="2"/>
  <c r="BK30" i="3"/>
  <c r="CE30" i="3" s="1"/>
  <c r="CE132" i="3" s="1"/>
  <c r="AN151" i="1"/>
  <c r="AN152" i="1" s="1"/>
  <c r="AN101" i="3"/>
  <c r="AI98" i="3"/>
  <c r="CQ113" i="3"/>
  <c r="CQ133" i="3" s="1"/>
  <c r="CQ160" i="3" s="1"/>
  <c r="CQ31" i="3"/>
  <c r="CQ90" i="3" s="1"/>
  <c r="CQ105" i="3" s="1"/>
  <c r="AG98" i="3"/>
  <c r="AK92" i="3"/>
  <c r="AK96" i="3" s="1"/>
  <c r="CP11" i="3"/>
  <c r="AK31" i="3"/>
  <c r="AB90" i="3"/>
  <c r="AB105" i="3" s="1"/>
  <c r="AB58" i="3"/>
  <c r="AF113" i="3"/>
  <c r="AF31" i="3"/>
  <c r="BX11" i="3"/>
  <c r="AF92" i="3"/>
  <c r="AF96" i="3" s="1"/>
  <c r="AF151" i="1"/>
  <c r="AF152" i="1" s="1"/>
  <c r="AF101" i="3"/>
  <c r="R90" i="3"/>
  <c r="R105" i="3" s="1"/>
  <c r="R58" i="3"/>
  <c r="D113" i="3"/>
  <c r="BQ11" i="3"/>
  <c r="D31" i="3"/>
  <c r="AQ92" i="3"/>
  <c r="AQ96" i="3" s="1"/>
  <c r="AQ31" i="3"/>
  <c r="AM92" i="3"/>
  <c r="AM96" i="3" s="1"/>
  <c r="AM31" i="3"/>
  <c r="AT92" i="3"/>
  <c r="AT96" i="3" s="1"/>
  <c r="AT31" i="3"/>
  <c r="G90" i="3"/>
  <c r="G105" i="3" s="1"/>
  <c r="G58" i="3"/>
  <c r="T113" i="3"/>
  <c r="T31" i="3"/>
  <c r="BU11" i="3"/>
  <c r="AH92" i="3"/>
  <c r="AH96" i="3" s="1"/>
  <c r="AH31" i="3"/>
  <c r="AU92" i="3"/>
  <c r="AU96" i="3" s="1"/>
  <c r="AU31" i="3"/>
  <c r="I31" i="3"/>
  <c r="AN113" i="3"/>
  <c r="AN31" i="3"/>
  <c r="BZ11" i="3"/>
  <c r="AN92" i="3"/>
  <c r="AN96" i="3" s="1"/>
  <c r="H113" i="3"/>
  <c r="BR11" i="3"/>
  <c r="H31" i="3"/>
  <c r="AL92" i="3"/>
  <c r="AL96" i="3" s="1"/>
  <c r="AL31" i="3"/>
  <c r="V90" i="3"/>
  <c r="V105" i="3" s="1"/>
  <c r="V58" i="3"/>
  <c r="BW11" i="3"/>
  <c r="CN11" i="3"/>
  <c r="AC31" i="3"/>
  <c r="W90" i="3"/>
  <c r="W105" i="3" s="1"/>
  <c r="W58" i="3"/>
  <c r="AE90" i="3"/>
  <c r="AE105" i="3" s="1"/>
  <c r="AE58" i="3"/>
  <c r="X113" i="3"/>
  <c r="X31" i="3"/>
  <c r="BV11" i="3"/>
  <c r="BA107" i="1"/>
  <c r="BA11" i="3"/>
  <c r="AL151" i="1"/>
  <c r="AL152" i="1" s="1"/>
  <c r="AL101" i="3"/>
  <c r="AW151" i="1"/>
  <c r="AW152" i="1" s="1"/>
  <c r="AW101" i="3"/>
  <c r="AJ151" i="1"/>
  <c r="AJ152" i="1" s="1"/>
  <c r="AJ101" i="3"/>
  <c r="AI151" i="1"/>
  <c r="AI152" i="1" s="1"/>
  <c r="AI101" i="3"/>
  <c r="AI102" i="3" s="1"/>
  <c r="AI90" i="3"/>
  <c r="AI105" i="3" s="1"/>
  <c r="AI58" i="3"/>
  <c r="AO90" i="3"/>
  <c r="AO105" i="3" s="1"/>
  <c r="AO58" i="3"/>
  <c r="AO98" i="3"/>
  <c r="AG90" i="3"/>
  <c r="AG105" i="3" s="1"/>
  <c r="AG58" i="3"/>
  <c r="CL11" i="3"/>
  <c r="U31" i="3"/>
  <c r="AC113" i="3"/>
  <c r="AB133" i="3"/>
  <c r="AB160" i="3" s="1"/>
  <c r="AF109" i="1"/>
  <c r="AF99" i="1"/>
  <c r="AV113" i="3"/>
  <c r="AV31" i="3"/>
  <c r="AV92" i="3"/>
  <c r="AV96" i="3" s="1"/>
  <c r="CB11" i="3"/>
  <c r="CJ11" i="3"/>
  <c r="M31" i="3"/>
  <c r="CM11" i="3"/>
  <c r="Y31" i="3"/>
  <c r="AJ92" i="3"/>
  <c r="AJ96" i="3" s="1"/>
  <c r="BY11" i="3"/>
  <c r="AJ113" i="3"/>
  <c r="AJ31" i="3"/>
  <c r="AD90" i="3"/>
  <c r="AD105" i="3" s="1"/>
  <c r="AD58" i="3"/>
  <c r="S90" i="3"/>
  <c r="S105" i="3" s="1"/>
  <c r="S58" i="3"/>
  <c r="N90" i="3"/>
  <c r="N105" i="3" s="1"/>
  <c r="N58" i="3"/>
  <c r="CK11" i="3"/>
  <c r="Q31" i="3"/>
  <c r="AZ92" i="3"/>
  <c r="AZ96" i="3" s="1"/>
  <c r="AZ113" i="3"/>
  <c r="AZ31" i="3"/>
  <c r="AW92" i="3"/>
  <c r="AW96" i="3" s="1"/>
  <c r="CS11" i="3"/>
  <c r="AW31" i="3"/>
  <c r="AY92" i="3"/>
  <c r="AY96" i="3" s="1"/>
  <c r="AY31" i="3"/>
  <c r="O90" i="3"/>
  <c r="O105" i="3" s="1"/>
  <c r="O58" i="3"/>
  <c r="CH11" i="3"/>
  <c r="E31" i="3"/>
  <c r="F90" i="3"/>
  <c r="F105" i="3" s="1"/>
  <c r="F58" i="3"/>
  <c r="AP92" i="3"/>
  <c r="AP96" i="3" s="1"/>
  <c r="AP31" i="3"/>
  <c r="AR92" i="3"/>
  <c r="AR96" i="3" s="1"/>
  <c r="CA11" i="3"/>
  <c r="AR113" i="3"/>
  <c r="AR31" i="3"/>
  <c r="AS92" i="3"/>
  <c r="AS96" i="3" s="1"/>
  <c r="CR11" i="3"/>
  <c r="AS31" i="3"/>
  <c r="P113" i="3"/>
  <c r="P31" i="3"/>
  <c r="BT11" i="3"/>
  <c r="K90" i="3"/>
  <c r="K105" i="3" s="1"/>
  <c r="K58" i="3"/>
  <c r="AA90" i="3"/>
  <c r="AA105" i="3" s="1"/>
  <c r="AA58" i="3"/>
  <c r="AX92" i="3"/>
  <c r="AX96" i="3" s="1"/>
  <c r="AX31" i="3"/>
  <c r="BB140" i="1"/>
  <c r="BB141" i="1" s="1"/>
  <c r="BI83" i="21"/>
  <c r="BI36" i="21"/>
  <c r="AJ110" i="2"/>
  <c r="AK104" i="2"/>
  <c r="AJ137" i="2"/>
  <c r="AJ144" i="2" s="1"/>
  <c r="BX110" i="2"/>
  <c r="AI87" i="2"/>
  <c r="BJ68" i="2"/>
  <c r="BK64" i="2"/>
  <c r="BL64" i="2" s="1"/>
  <c r="CV64" i="2" s="1"/>
  <c r="AP103" i="2"/>
  <c r="AO136" i="2"/>
  <c r="BK151" i="2"/>
  <c r="CE151" i="2" s="1"/>
  <c r="CE85" i="2"/>
  <c r="AP138" i="2"/>
  <c r="AQ128" i="2"/>
  <c r="AX132" i="2"/>
  <c r="AW142" i="2"/>
  <c r="AP139" i="2"/>
  <c r="AQ129" i="2"/>
  <c r="BK55" i="2"/>
  <c r="BL55" i="2" s="1"/>
  <c r="BJ54" i="2"/>
  <c r="L95" i="1"/>
  <c r="L96" i="1" s="1"/>
  <c r="L98" i="1"/>
  <c r="AM151" i="1"/>
  <c r="AM152" i="1" s="1"/>
  <c r="AM109" i="1"/>
  <c r="AM99" i="1"/>
  <c r="BY143" i="1"/>
  <c r="BY145" i="1" s="1"/>
  <c r="L102" i="1"/>
  <c r="L105" i="1" s="1"/>
  <c r="L92" i="1"/>
  <c r="W109" i="1"/>
  <c r="W99" i="1"/>
  <c r="CS146" i="1"/>
  <c r="CS147" i="1" s="1"/>
  <c r="CS149" i="1" s="1"/>
  <c r="CM146" i="1"/>
  <c r="CM147" i="1" s="1"/>
  <c r="CM149" i="1" s="1"/>
  <c r="BV146" i="1"/>
  <c r="CL146" i="1"/>
  <c r="CL147" i="1" s="1"/>
  <c r="CL149" i="1" s="1"/>
  <c r="CB185" i="2"/>
  <c r="BS143" i="1"/>
  <c r="BS145" i="1" s="1"/>
  <c r="CB146" i="1"/>
  <c r="CH147" i="1"/>
  <c r="CH149" i="1" s="1"/>
  <c r="AO146" i="1"/>
  <c r="AO147" i="1" s="1"/>
  <c r="AO149" i="1" s="1"/>
  <c r="AO95" i="1"/>
  <c r="AO96" i="1" s="1"/>
  <c r="BQ185" i="2"/>
  <c r="CJ146" i="1"/>
  <c r="CJ147" i="1" s="1"/>
  <c r="CJ149" i="1" s="1"/>
  <c r="CJ151" i="1" s="1"/>
  <c r="CJ152" i="1" s="1"/>
  <c r="BT143" i="1"/>
  <c r="BT145" i="1" s="1"/>
  <c r="BU185" i="2"/>
  <c r="BU146" i="1"/>
  <c r="AG146" i="1"/>
  <c r="AG147" i="1" s="1"/>
  <c r="AG149" i="1" s="1"/>
  <c r="AG101" i="3" s="1"/>
  <c r="AG102" i="3" s="1"/>
  <c r="AG95" i="1"/>
  <c r="AG96" i="1" s="1"/>
  <c r="BW146" i="1"/>
  <c r="AK146" i="1"/>
  <c r="AK147" i="1" s="1"/>
  <c r="AK149" i="1" s="1"/>
  <c r="AK101" i="3" s="1"/>
  <c r="AK95" i="1"/>
  <c r="AK96" i="1" s="1"/>
  <c r="BY185" i="2"/>
  <c r="CK146" i="1"/>
  <c r="CK147" i="1" s="1"/>
  <c r="CK149" i="1" s="1"/>
  <c r="BQ143" i="1"/>
  <c r="BQ145" i="1" s="1"/>
  <c r="BQ147" i="1" s="1"/>
  <c r="BQ149" i="1" s="1"/>
  <c r="BQ101" i="3" s="1"/>
  <c r="BQ103" i="3" s="1"/>
  <c r="BT146" i="1"/>
  <c r="BX143" i="1"/>
  <c r="BX145" i="1" s="1"/>
  <c r="BB132" i="1"/>
  <c r="BC132" i="1" s="1"/>
  <c r="BD132" i="1" s="1"/>
  <c r="CN146" i="1"/>
  <c r="CN147" i="1" s="1"/>
  <c r="CN149" i="1" s="1"/>
  <c r="AK98" i="1"/>
  <c r="CA185" i="2"/>
  <c r="BU143" i="1"/>
  <c r="BU145" i="1" s="1"/>
  <c r="BV143" i="1"/>
  <c r="BV145" i="1" s="1"/>
  <c r="BW143" i="1"/>
  <c r="BW145" i="1" s="1"/>
  <c r="BS185" i="2"/>
  <c r="CA143" i="1"/>
  <c r="CA145" i="1" s="1"/>
  <c r="CA147" i="1" s="1"/>
  <c r="CA149" i="1" s="1"/>
  <c r="CA101" i="3" s="1"/>
  <c r="BR143" i="1"/>
  <c r="BR145" i="1" s="1"/>
  <c r="BR147" i="1" s="1"/>
  <c r="BR149" i="1" s="1"/>
  <c r="BR101" i="3" s="1"/>
  <c r="BR103" i="3" s="1"/>
  <c r="O109" i="1"/>
  <c r="O99" i="1"/>
  <c r="S109" i="1"/>
  <c r="S99" i="1"/>
  <c r="CB143" i="1"/>
  <c r="CB145" i="1" s="1"/>
  <c r="CI143" i="1"/>
  <c r="CI145" i="1" s="1"/>
  <c r="O169" i="1"/>
  <c r="O168" i="1"/>
  <c r="BX185" i="2"/>
  <c r="BZ143" i="1"/>
  <c r="BZ145" i="1" s="1"/>
  <c r="CR151" i="1"/>
  <c r="CR152" i="1" s="1"/>
  <c r="CS132" i="1"/>
  <c r="CB102" i="1" l="1"/>
  <c r="CB92" i="1"/>
  <c r="BM153" i="3"/>
  <c r="CO113" i="3"/>
  <c r="CO133" i="3" s="1"/>
  <c r="CO160" i="3" s="1"/>
  <c r="BR92" i="1"/>
  <c r="BR102" i="1"/>
  <c r="BR105" i="1" s="1"/>
  <c r="BR107" i="1" s="1"/>
  <c r="BW102" i="1"/>
  <c r="BW105" i="1" s="1"/>
  <c r="BW107" i="1" s="1"/>
  <c r="BW92" i="1"/>
  <c r="CM151" i="1"/>
  <c r="CM152" i="1" s="1"/>
  <c r="BZ102" i="1"/>
  <c r="BZ105" i="1" s="1"/>
  <c r="BZ92" i="1"/>
  <c r="BS102" i="1"/>
  <c r="BS105" i="1" s="1"/>
  <c r="BS107" i="1" s="1"/>
  <c r="BS92" i="1"/>
  <c r="BO121" i="3"/>
  <c r="BT92" i="1"/>
  <c r="BT102" i="1"/>
  <c r="BT105" i="1" s="1"/>
  <c r="BT107" i="1" s="1"/>
  <c r="AG109" i="1"/>
  <c r="BT185" i="2"/>
  <c r="BM130" i="3"/>
  <c r="CE40" i="3"/>
  <c r="CE142" i="3" s="1"/>
  <c r="CE26" i="3"/>
  <c r="CE128" i="3" s="1"/>
  <c r="BL26" i="3"/>
  <c r="CV26" i="3" s="1"/>
  <c r="CV128" i="3" s="1"/>
  <c r="CV20" i="2"/>
  <c r="CV30" i="3"/>
  <c r="CV132" i="3" s="1"/>
  <c r="CV149" i="3"/>
  <c r="BM113" i="1"/>
  <c r="BM115" i="1" s="1"/>
  <c r="CV81" i="2"/>
  <c r="CV162" i="1"/>
  <c r="BQ92" i="1"/>
  <c r="BQ102" i="1"/>
  <c r="BQ105" i="1" s="1"/>
  <c r="BQ107" i="1" s="1"/>
  <c r="CV113" i="1"/>
  <c r="BL131" i="3"/>
  <c r="BM131" i="3" s="1"/>
  <c r="BL132" i="3"/>
  <c r="BL117" i="3"/>
  <c r="BM64" i="2"/>
  <c r="BN64" i="2" s="1"/>
  <c r="BO64" i="2" s="1"/>
  <c r="CF64" i="2" s="1"/>
  <c r="BN31" i="2"/>
  <c r="BM30" i="3"/>
  <c r="BM22" i="2"/>
  <c r="BM40" i="3" s="1"/>
  <c r="BM55" i="2"/>
  <c r="BL54" i="2"/>
  <c r="BO33" i="2"/>
  <c r="BN87" i="2"/>
  <c r="BO42" i="2"/>
  <c r="BN51" i="3"/>
  <c r="BO35" i="2"/>
  <c r="BN28" i="3"/>
  <c r="BN85" i="2"/>
  <c r="BN151" i="2" s="1"/>
  <c r="BO12" i="2"/>
  <c r="BL40" i="3"/>
  <c r="CV40" i="3" s="1"/>
  <c r="CV142" i="3" s="1"/>
  <c r="BN15" i="2"/>
  <c r="BN29" i="3" s="1"/>
  <c r="BM20" i="2"/>
  <c r="BM26" i="3" s="1"/>
  <c r="BU92" i="1"/>
  <c r="BU102" i="1"/>
  <c r="BU105" i="1" s="1"/>
  <c r="BU107" i="1" s="1"/>
  <c r="CI102" i="1"/>
  <c r="CI105" i="1" s="1"/>
  <c r="CI107" i="1" s="1"/>
  <c r="CI92" i="1"/>
  <c r="BX92" i="1"/>
  <c r="BX102" i="1"/>
  <c r="BX105" i="1" s="1"/>
  <c r="BX107" i="1" s="1"/>
  <c r="CA99" i="1"/>
  <c r="CA109" i="1"/>
  <c r="BY92" i="1"/>
  <c r="BY102" i="1"/>
  <c r="BY105" i="1" s="1"/>
  <c r="BY107" i="1" s="1"/>
  <c r="BV92" i="1"/>
  <c r="BV102" i="1"/>
  <c r="BV105" i="1" s="1"/>
  <c r="BV107" i="1" s="1"/>
  <c r="BM162" i="1"/>
  <c r="BM81" i="2"/>
  <c r="BM47" i="3"/>
  <c r="BN114" i="1"/>
  <c r="BL149" i="3"/>
  <c r="BL67" i="2"/>
  <c r="CV67" i="2" s="1"/>
  <c r="CV68" i="2" s="1"/>
  <c r="BM159" i="1"/>
  <c r="BM15" i="3" s="1"/>
  <c r="BN156" i="1"/>
  <c r="BL115" i="1"/>
  <c r="CN99" i="1"/>
  <c r="CN151" i="1"/>
  <c r="CN152" i="1" s="1"/>
  <c r="CH151" i="1"/>
  <c r="CH152" i="1" s="1"/>
  <c r="BV147" i="1"/>
  <c r="BV149" i="1" s="1"/>
  <c r="BV101" i="3" s="1"/>
  <c r="BV103" i="3" s="1"/>
  <c r="AO99" i="1"/>
  <c r="BW147" i="1"/>
  <c r="BW149" i="1" s="1"/>
  <c r="BW101" i="3" s="1"/>
  <c r="BW103" i="3" s="1"/>
  <c r="CB147" i="1"/>
  <c r="CB149" i="1" s="1"/>
  <c r="CB101" i="3" s="1"/>
  <c r="CB109" i="1"/>
  <c r="CB99" i="1"/>
  <c r="CL99" i="1"/>
  <c r="CL109" i="1"/>
  <c r="CP99" i="1"/>
  <c r="CP109" i="1"/>
  <c r="CS109" i="1"/>
  <c r="CS99" i="1"/>
  <c r="CM99" i="1"/>
  <c r="CM109" i="1"/>
  <c r="CI95" i="1"/>
  <c r="CI96" i="1" s="1"/>
  <c r="CI98" i="1"/>
  <c r="CI89" i="1"/>
  <c r="BT109" i="1"/>
  <c r="BT108" i="1" s="1"/>
  <c r="BT99" i="1"/>
  <c r="BV99" i="1"/>
  <c r="BV109" i="1"/>
  <c r="BV108" i="1" s="1"/>
  <c r="BQ99" i="1"/>
  <c r="BQ109" i="1"/>
  <c r="BQ108" i="1" s="1"/>
  <c r="BW99" i="1"/>
  <c r="BW109" i="1"/>
  <c r="BW108" i="1" s="1"/>
  <c r="BZ95" i="1"/>
  <c r="BZ96" i="1" s="1"/>
  <c r="BZ89" i="1"/>
  <c r="BZ98" i="1"/>
  <c r="CQ95" i="1"/>
  <c r="CQ96" i="1" s="1"/>
  <c r="CQ98" i="1"/>
  <c r="CQ89" i="1"/>
  <c r="BR99" i="1"/>
  <c r="BR109" i="1"/>
  <c r="BR108" i="1" s="1"/>
  <c r="CK99" i="1"/>
  <c r="CK109" i="1"/>
  <c r="BS99" i="1"/>
  <c r="BS109" i="1"/>
  <c r="BS108" i="1" s="1"/>
  <c r="BY95" i="1"/>
  <c r="BY96" i="1" s="1"/>
  <c r="BY89" i="1"/>
  <c r="BY98" i="1"/>
  <c r="CH99" i="1"/>
  <c r="CH109" i="1"/>
  <c r="BX95" i="1"/>
  <c r="BX96" i="1" s="1"/>
  <c r="BX89" i="1"/>
  <c r="BX98" i="1"/>
  <c r="BU99" i="1"/>
  <c r="BU109" i="1"/>
  <c r="BU108" i="1" s="1"/>
  <c r="CO95" i="1"/>
  <c r="CO96" i="1" s="1"/>
  <c r="CO98" i="1"/>
  <c r="CO89" i="1"/>
  <c r="BK128" i="3"/>
  <c r="BK132" i="3"/>
  <c r="AO101" i="3"/>
  <c r="AO102" i="3" s="1"/>
  <c r="AO151" i="1"/>
  <c r="AO152" i="1" s="1"/>
  <c r="BZ147" i="1"/>
  <c r="BZ149" i="1" s="1"/>
  <c r="BZ101" i="3" s="1"/>
  <c r="AX90" i="3"/>
  <c r="AX105" i="3" s="1"/>
  <c r="AX58" i="3"/>
  <c r="BT92" i="3"/>
  <c r="BT96" i="3" s="1"/>
  <c r="BT113" i="3"/>
  <c r="BT133" i="3" s="1"/>
  <c r="BT160" i="3" s="1"/>
  <c r="BT31" i="3"/>
  <c r="BT90" i="3" s="1"/>
  <c r="BT105" i="3" s="1"/>
  <c r="P133" i="3"/>
  <c r="P160" i="3" s="1"/>
  <c r="Q113" i="3"/>
  <c r="CR113" i="3"/>
  <c r="CR133" i="3" s="1"/>
  <c r="CR160" i="3" s="1"/>
  <c r="CR31" i="3"/>
  <c r="CR90" i="3" s="1"/>
  <c r="CR105" i="3" s="1"/>
  <c r="AR90" i="3"/>
  <c r="AR105" i="3" s="1"/>
  <c r="AR58" i="3"/>
  <c r="CA92" i="3"/>
  <c r="CA96" i="3" s="1"/>
  <c r="CA113" i="3"/>
  <c r="CA133" i="3" s="1"/>
  <c r="CA160" i="3" s="1"/>
  <c r="CA31" i="3"/>
  <c r="AP90" i="3"/>
  <c r="AP105" i="3" s="1"/>
  <c r="AP58" i="3"/>
  <c r="CH113" i="3"/>
  <c r="CH133" i="3" s="1"/>
  <c r="CH160" i="3" s="1"/>
  <c r="CH31" i="3"/>
  <c r="CH90" i="3" s="1"/>
  <c r="CH105" i="3" s="1"/>
  <c r="AY98" i="3"/>
  <c r="AY103" i="3" s="1"/>
  <c r="AY102" i="3"/>
  <c r="CS113" i="3"/>
  <c r="CS133" i="3" s="1"/>
  <c r="CS160" i="3" s="1"/>
  <c r="CS31" i="3"/>
  <c r="CS90" i="3" s="1"/>
  <c r="CS105" i="3" s="1"/>
  <c r="AZ90" i="3"/>
  <c r="AZ105" i="3" s="1"/>
  <c r="AZ58" i="3"/>
  <c r="AZ98" i="3"/>
  <c r="AZ103" i="3" s="1"/>
  <c r="AZ102" i="3"/>
  <c r="CK113" i="3"/>
  <c r="CK133" i="3" s="1"/>
  <c r="CK160" i="3" s="1"/>
  <c r="CK31" i="3"/>
  <c r="CK90" i="3" s="1"/>
  <c r="CK105" i="3" s="1"/>
  <c r="AK113" i="3"/>
  <c r="AJ133" i="3"/>
  <c r="AJ160" i="3" s="1"/>
  <c r="AJ102" i="3"/>
  <c r="AJ98" i="3"/>
  <c r="AJ103" i="3" s="1"/>
  <c r="Y90" i="3"/>
  <c r="Y105" i="3" s="1"/>
  <c r="Y58" i="3"/>
  <c r="CM58" i="3" s="1"/>
  <c r="M90" i="3"/>
  <c r="M105" i="3" s="1"/>
  <c r="M58" i="3"/>
  <c r="AV98" i="3"/>
  <c r="AV103" i="3" s="1"/>
  <c r="AV102" i="3"/>
  <c r="AW113" i="3"/>
  <c r="AV133" i="3"/>
  <c r="AV160" i="3" s="1"/>
  <c r="AC133" i="3"/>
  <c r="AC160" i="3" s="1"/>
  <c r="AD113" i="3"/>
  <c r="CL113" i="3"/>
  <c r="CL133" i="3" s="1"/>
  <c r="CL160" i="3" s="1"/>
  <c r="CL31" i="3"/>
  <c r="CL90" i="3" s="1"/>
  <c r="CL105" i="3" s="1"/>
  <c r="BA92" i="3"/>
  <c r="BA96" i="3" s="1"/>
  <c r="BA31" i="3"/>
  <c r="BV113" i="3"/>
  <c r="BV133" i="3" s="1"/>
  <c r="BV160" i="3" s="1"/>
  <c r="BV92" i="3"/>
  <c r="BV96" i="3" s="1"/>
  <c r="BV31" i="3"/>
  <c r="BV90" i="3" s="1"/>
  <c r="BV105" i="3" s="1"/>
  <c r="X133" i="3"/>
  <c r="X160" i="3" s="1"/>
  <c r="Y113" i="3"/>
  <c r="CN113" i="3"/>
  <c r="CN133" i="3" s="1"/>
  <c r="CN160" i="3" s="1"/>
  <c r="CN31" i="3"/>
  <c r="CN90" i="3" s="1"/>
  <c r="CN105" i="3" s="1"/>
  <c r="AL90" i="3"/>
  <c r="AL105" i="3" s="1"/>
  <c r="AL58" i="3"/>
  <c r="BR113" i="3"/>
  <c r="BR133" i="3" s="1"/>
  <c r="BR160" i="3" s="1"/>
  <c r="BR92" i="3"/>
  <c r="BR96" i="3" s="1"/>
  <c r="BR102" i="3" s="1"/>
  <c r="BR31" i="3"/>
  <c r="BR90" i="3" s="1"/>
  <c r="BR105" i="3" s="1"/>
  <c r="AN102" i="3"/>
  <c r="AN98" i="3"/>
  <c r="AN103" i="3" s="1"/>
  <c r="AN90" i="3"/>
  <c r="AN105" i="3" s="1"/>
  <c r="AN58" i="3"/>
  <c r="AU102" i="3"/>
  <c r="AU98" i="3"/>
  <c r="AU103" i="3" s="1"/>
  <c r="AH98" i="3"/>
  <c r="AH103" i="3" s="1"/>
  <c r="AH102" i="3"/>
  <c r="BU113" i="3"/>
  <c r="BU133" i="3" s="1"/>
  <c r="BU160" i="3" s="1"/>
  <c r="BU92" i="3"/>
  <c r="BU96" i="3" s="1"/>
  <c r="BU31" i="3"/>
  <c r="BU90" i="3" s="1"/>
  <c r="BU105" i="3" s="1"/>
  <c r="U113" i="3"/>
  <c r="T133" i="3"/>
  <c r="T160" i="3" s="1"/>
  <c r="AT102" i="3"/>
  <c r="AT98" i="3"/>
  <c r="AT103" i="3" s="1"/>
  <c r="AM98" i="3"/>
  <c r="AM103" i="3" s="1"/>
  <c r="AM102" i="3"/>
  <c r="AQ90" i="3"/>
  <c r="AQ105" i="3" s="1"/>
  <c r="AQ58" i="3"/>
  <c r="BQ113" i="3"/>
  <c r="BQ133" i="3" s="1"/>
  <c r="BQ160" i="3" s="1"/>
  <c r="BQ161" i="3" s="1"/>
  <c r="BQ92" i="3"/>
  <c r="BQ96" i="3" s="1"/>
  <c r="BQ102" i="3" s="1"/>
  <c r="BQ31" i="3"/>
  <c r="BQ90" i="3" s="1"/>
  <c r="BQ105" i="3" s="1"/>
  <c r="AF98" i="3"/>
  <c r="AF103" i="3" s="1"/>
  <c r="AF102" i="3"/>
  <c r="AF90" i="3"/>
  <c r="AF105" i="3" s="1"/>
  <c r="AF58" i="3"/>
  <c r="CP113" i="3"/>
  <c r="CP133" i="3" s="1"/>
  <c r="CP160" i="3" s="1"/>
  <c r="CP31" i="3"/>
  <c r="CP90" i="3" s="1"/>
  <c r="CP105" i="3" s="1"/>
  <c r="AK98" i="3"/>
  <c r="AK103" i="3" s="1"/>
  <c r="AK102" i="3"/>
  <c r="AG103" i="3"/>
  <c r="AG151" i="1"/>
  <c r="AG152" i="1" s="1"/>
  <c r="L107" i="1"/>
  <c r="L11" i="3"/>
  <c r="AX102" i="3"/>
  <c r="AX98" i="3"/>
  <c r="AX103" i="3" s="1"/>
  <c r="P90" i="3"/>
  <c r="P105" i="3" s="1"/>
  <c r="P58" i="3"/>
  <c r="AS90" i="3"/>
  <c r="AS105" i="3" s="1"/>
  <c r="AS58" i="3"/>
  <c r="AS102" i="3"/>
  <c r="AS98" i="3"/>
  <c r="AS103" i="3" s="1"/>
  <c r="AS113" i="3"/>
  <c r="AR133" i="3"/>
  <c r="AR160" i="3" s="1"/>
  <c r="AR102" i="3"/>
  <c r="AR98" i="3"/>
  <c r="AR103" i="3" s="1"/>
  <c r="AP102" i="3"/>
  <c r="AP98" i="3"/>
  <c r="AP103" i="3" s="1"/>
  <c r="E90" i="3"/>
  <c r="E105" i="3" s="1"/>
  <c r="E58" i="3"/>
  <c r="AY90" i="3"/>
  <c r="AY105" i="3" s="1"/>
  <c r="AY58" i="3"/>
  <c r="AW90" i="3"/>
  <c r="AW105" i="3" s="1"/>
  <c r="AW58" i="3"/>
  <c r="AW102" i="3"/>
  <c r="AW98" i="3"/>
  <c r="AW103" i="3" s="1"/>
  <c r="AZ133" i="3"/>
  <c r="AZ160" i="3" s="1"/>
  <c r="BA113" i="3"/>
  <c r="BA133" i="3" s="1"/>
  <c r="BA160" i="3" s="1"/>
  <c r="Q90" i="3"/>
  <c r="Q105" i="3" s="1"/>
  <c r="Q58" i="3"/>
  <c r="AJ90" i="3"/>
  <c r="AJ105" i="3" s="1"/>
  <c r="AJ58" i="3"/>
  <c r="BY113" i="3"/>
  <c r="BY133" i="3" s="1"/>
  <c r="BY160" i="3" s="1"/>
  <c r="BY92" i="3"/>
  <c r="BY96" i="3" s="1"/>
  <c r="BY31" i="3"/>
  <c r="BY90" i="3" s="1"/>
  <c r="BY105" i="3" s="1"/>
  <c r="CM113" i="3"/>
  <c r="CM133" i="3" s="1"/>
  <c r="CM160" i="3" s="1"/>
  <c r="CM31" i="3"/>
  <c r="CM90" i="3" s="1"/>
  <c r="CM105" i="3" s="1"/>
  <c r="CJ113" i="3"/>
  <c r="CJ133" i="3" s="1"/>
  <c r="CJ160" i="3" s="1"/>
  <c r="CJ31" i="3"/>
  <c r="CJ90" i="3" s="1"/>
  <c r="CJ105" i="3" s="1"/>
  <c r="CB113" i="3"/>
  <c r="CB133" i="3" s="1"/>
  <c r="CB160" i="3" s="1"/>
  <c r="CB92" i="3"/>
  <c r="CB96" i="3" s="1"/>
  <c r="CB31" i="3"/>
  <c r="CB90" i="3" s="1"/>
  <c r="CB105" i="3" s="1"/>
  <c r="AV90" i="3"/>
  <c r="AV105" i="3" s="1"/>
  <c r="AV58" i="3"/>
  <c r="U90" i="3"/>
  <c r="U105" i="3" s="1"/>
  <c r="U58" i="3"/>
  <c r="X90" i="3"/>
  <c r="X105" i="3" s="1"/>
  <c r="X58" i="3"/>
  <c r="BV58" i="3" s="1"/>
  <c r="AC90" i="3"/>
  <c r="AC105" i="3" s="1"/>
  <c r="AC58" i="3"/>
  <c r="BW58" i="3" s="1"/>
  <c r="BW113" i="3"/>
  <c r="BW133" i="3" s="1"/>
  <c r="BW160" i="3" s="1"/>
  <c r="BW92" i="3"/>
  <c r="BW96" i="3" s="1"/>
  <c r="BW31" i="3"/>
  <c r="BW90" i="3" s="1"/>
  <c r="BW105" i="3" s="1"/>
  <c r="AL98" i="3"/>
  <c r="AL103" i="3" s="1"/>
  <c r="AL102" i="3"/>
  <c r="H90" i="3"/>
  <c r="H105" i="3" s="1"/>
  <c r="H58" i="3"/>
  <c r="H133" i="3"/>
  <c r="H160" i="3" s="1"/>
  <c r="I113" i="3"/>
  <c r="BZ113" i="3"/>
  <c r="BZ133" i="3" s="1"/>
  <c r="BZ160" i="3" s="1"/>
  <c r="BZ92" i="3"/>
  <c r="BZ96" i="3" s="1"/>
  <c r="BZ31" i="3"/>
  <c r="BZ90" i="3" s="1"/>
  <c r="BZ105" i="3" s="1"/>
  <c r="AO113" i="3"/>
  <c r="AN133" i="3"/>
  <c r="AN160" i="3" s="1"/>
  <c r="I90" i="3"/>
  <c r="I105" i="3" s="1"/>
  <c r="I58" i="3"/>
  <c r="AU90" i="3"/>
  <c r="AU105" i="3" s="1"/>
  <c r="AU58" i="3"/>
  <c r="AH90" i="3"/>
  <c r="AH105" i="3" s="1"/>
  <c r="AH58" i="3"/>
  <c r="T90" i="3"/>
  <c r="T105" i="3" s="1"/>
  <c r="T58" i="3"/>
  <c r="AT90" i="3"/>
  <c r="AT105" i="3" s="1"/>
  <c r="AT58" i="3"/>
  <c r="AM90" i="3"/>
  <c r="AM105" i="3" s="1"/>
  <c r="AM58" i="3"/>
  <c r="AQ98" i="3"/>
  <c r="AQ103" i="3" s="1"/>
  <c r="AQ102" i="3"/>
  <c r="D90" i="3"/>
  <c r="D105" i="3" s="1"/>
  <c r="D58" i="3"/>
  <c r="E113" i="3"/>
  <c r="D133" i="3"/>
  <c r="D160" i="3" s="1"/>
  <c r="D161" i="3" s="1"/>
  <c r="D164" i="3" s="1"/>
  <c r="BX92" i="3"/>
  <c r="BX96" i="3" s="1"/>
  <c r="BX113" i="3"/>
  <c r="BX133" i="3" s="1"/>
  <c r="BX160" i="3" s="1"/>
  <c r="BX31" i="3"/>
  <c r="BX90" i="3" s="1"/>
  <c r="BX105" i="3" s="1"/>
  <c r="AF133" i="3"/>
  <c r="AF160" i="3" s="1"/>
  <c r="AG113" i="3"/>
  <c r="AK90" i="3"/>
  <c r="AK105" i="3" s="1"/>
  <c r="AK58" i="3"/>
  <c r="AI103" i="3"/>
  <c r="BB93" i="3"/>
  <c r="BB85" i="3"/>
  <c r="BB86" i="3" s="1"/>
  <c r="BJ83" i="21"/>
  <c r="BJ36" i="21"/>
  <c r="BB74" i="3"/>
  <c r="BB76" i="3" s="1"/>
  <c r="BB77" i="3" s="1"/>
  <c r="BK17" i="21"/>
  <c r="BK15" i="21"/>
  <c r="CE12" i="21"/>
  <c r="CF15" i="21" s="1"/>
  <c r="BX87" i="2"/>
  <c r="BX88" i="2" s="1"/>
  <c r="AI88" i="2"/>
  <c r="AL104" i="2"/>
  <c r="AK137" i="2"/>
  <c r="AK144" i="2" s="1"/>
  <c r="AK110" i="2"/>
  <c r="AJ111" i="2"/>
  <c r="AJ87" i="2"/>
  <c r="AJ88" i="2" s="1"/>
  <c r="CE64" i="2"/>
  <c r="BK68" i="2"/>
  <c r="AX142" i="2"/>
  <c r="AY132" i="2"/>
  <c r="BK54" i="2"/>
  <c r="AQ138" i="2"/>
  <c r="BZ138" i="2" s="1"/>
  <c r="AR128" i="2"/>
  <c r="BZ128" i="2"/>
  <c r="AQ103" i="2"/>
  <c r="AP136" i="2"/>
  <c r="AQ139" i="2"/>
  <c r="BZ129" i="2"/>
  <c r="AR129" i="2"/>
  <c r="CK151" i="1"/>
  <c r="CK152" i="1" s="1"/>
  <c r="BU147" i="1"/>
  <c r="BU149" i="1" s="1"/>
  <c r="BU101" i="3" s="1"/>
  <c r="BU103" i="3" s="1"/>
  <c r="CS151" i="1"/>
  <c r="CS152" i="1" s="1"/>
  <c r="CO146" i="1"/>
  <c r="CO147" i="1" s="1"/>
  <c r="CO149" i="1" s="1"/>
  <c r="BT147" i="1"/>
  <c r="BT149" i="1" s="1"/>
  <c r="CI146" i="1"/>
  <c r="CI147" i="1" s="1"/>
  <c r="CI149" i="1" s="1"/>
  <c r="P168" i="1"/>
  <c r="P169" i="1"/>
  <c r="BY146" i="1"/>
  <c r="BY147" i="1" s="1"/>
  <c r="BY149" i="1" s="1"/>
  <c r="AK151" i="1"/>
  <c r="AK152" i="1" s="1"/>
  <c r="AK109" i="1"/>
  <c r="AK99" i="1"/>
  <c r="L109" i="1"/>
  <c r="L99" i="1"/>
  <c r="CL151" i="1"/>
  <c r="CL152" i="1" s="1"/>
  <c r="BR151" i="1"/>
  <c r="BR152" i="1" s="1"/>
  <c r="CA151" i="1"/>
  <c r="CA152" i="1" s="1"/>
  <c r="CC132" i="1"/>
  <c r="BS146" i="1"/>
  <c r="BS147" i="1" s="1"/>
  <c r="BS149" i="1" s="1"/>
  <c r="BQ151" i="1"/>
  <c r="BQ152" i="1" s="1"/>
  <c r="CP146" i="1"/>
  <c r="CP147" i="1" s="1"/>
  <c r="CP149" i="1" s="1"/>
  <c r="BX146" i="1"/>
  <c r="BX147" i="1" s="1"/>
  <c r="BX149" i="1" s="1"/>
  <c r="CQ146" i="1"/>
  <c r="CQ147" i="1" s="1"/>
  <c r="CQ149" i="1" s="1"/>
  <c r="BN153" i="3" l="1"/>
  <c r="CB105" i="1"/>
  <c r="CB107" i="1" s="1"/>
  <c r="BZ107" i="1"/>
  <c r="BV151" i="1"/>
  <c r="BV152" i="1" s="1"/>
  <c r="BN130" i="3"/>
  <c r="BM132" i="3"/>
  <c r="BO28" i="3"/>
  <c r="CF28" i="3" s="1"/>
  <c r="CF130" i="3" s="1"/>
  <c r="CF35" i="2"/>
  <c r="BO51" i="3"/>
  <c r="CF51" i="3" s="1"/>
  <c r="CF153" i="3" s="1"/>
  <c r="CF42" i="2"/>
  <c r="BO87" i="2"/>
  <c r="CF87" i="2" s="1"/>
  <c r="CF33" i="2"/>
  <c r="BL128" i="3"/>
  <c r="BN113" i="1"/>
  <c r="BN115" i="1" s="1"/>
  <c r="CS58" i="3"/>
  <c r="BM117" i="3"/>
  <c r="BM128" i="3"/>
  <c r="BN131" i="3"/>
  <c r="BO85" i="2"/>
  <c r="CF12" i="2"/>
  <c r="BL142" i="3"/>
  <c r="BO31" i="2"/>
  <c r="BN30" i="3"/>
  <c r="BN20" i="2"/>
  <c r="BO15" i="2"/>
  <c r="BM54" i="2"/>
  <c r="BN55" i="2"/>
  <c r="BN22" i="2"/>
  <c r="BN40" i="3" s="1"/>
  <c r="BO156" i="1"/>
  <c r="BO159" i="1" s="1"/>
  <c r="BO15" i="3" s="1"/>
  <c r="BN159" i="1"/>
  <c r="BN15" i="3" s="1"/>
  <c r="BM67" i="2"/>
  <c r="BL68" i="2"/>
  <c r="BM149" i="3"/>
  <c r="BN47" i="3"/>
  <c r="BN81" i="2"/>
  <c r="BO114" i="1"/>
  <c r="CF114" i="1" s="1"/>
  <c r="BN162" i="1"/>
  <c r="BV102" i="3"/>
  <c r="BW102" i="3"/>
  <c r="CB151" i="1"/>
  <c r="CB152" i="1" s="1"/>
  <c r="BW151" i="1"/>
  <c r="BW152" i="1" s="1"/>
  <c r="BZ151" i="1"/>
  <c r="BZ152" i="1" s="1"/>
  <c r="CB58" i="3"/>
  <c r="CQ58" i="3"/>
  <c r="CI151" i="1"/>
  <c r="CI152" i="1" s="1"/>
  <c r="CP58" i="3"/>
  <c r="BU58" i="3"/>
  <c r="CO58" i="3"/>
  <c r="CN58" i="3"/>
  <c r="AO103" i="3"/>
  <c r="BY99" i="1"/>
  <c r="BY109" i="1"/>
  <c r="BZ99" i="1"/>
  <c r="BZ109" i="1"/>
  <c r="CI109" i="1"/>
  <c r="CI99" i="1"/>
  <c r="CQ99" i="1"/>
  <c r="CQ109" i="1"/>
  <c r="CO99" i="1"/>
  <c r="CO109" i="1"/>
  <c r="BX109" i="1"/>
  <c r="BX99" i="1"/>
  <c r="AJ90" i="2"/>
  <c r="AI90" i="2"/>
  <c r="BX90" i="2" s="1"/>
  <c r="BU151" i="1"/>
  <c r="BU152" i="1" s="1"/>
  <c r="BS151" i="1"/>
  <c r="BS152" i="1" s="1"/>
  <c r="BS101" i="3"/>
  <c r="BS103" i="3" s="1"/>
  <c r="BX151" i="1"/>
  <c r="BX152" i="1" s="1"/>
  <c r="BX101" i="3"/>
  <c r="BX103" i="3" s="1"/>
  <c r="BT151" i="1"/>
  <c r="BT152" i="1" s="1"/>
  <c r="BT101" i="3"/>
  <c r="BT103" i="3" s="1"/>
  <c r="AG133" i="3"/>
  <c r="AG160" i="3" s="1"/>
  <c r="AH113" i="3"/>
  <c r="E133" i="3"/>
  <c r="E160" i="3" s="1"/>
  <c r="E161" i="3" s="1"/>
  <c r="E164" i="3" s="1"/>
  <c r="F113" i="3"/>
  <c r="CL58" i="3"/>
  <c r="AT113" i="3"/>
  <c r="AS133" i="3"/>
  <c r="AS160" i="3" s="1"/>
  <c r="BX58" i="3"/>
  <c r="BR158" i="3"/>
  <c r="BR161" i="3" s="1"/>
  <c r="BQ164" i="3"/>
  <c r="U133" i="3"/>
  <c r="U160" i="3" s="1"/>
  <c r="V113" i="3"/>
  <c r="BU102" i="3"/>
  <c r="Y133" i="3"/>
  <c r="Y160" i="3" s="1"/>
  <c r="Z113" i="3"/>
  <c r="BA98" i="3"/>
  <c r="BA103" i="3" s="1"/>
  <c r="BA102" i="3"/>
  <c r="AX113" i="3"/>
  <c r="AW133" i="3"/>
  <c r="AW160" i="3" s="1"/>
  <c r="AL113" i="3"/>
  <c r="AK133" i="3"/>
  <c r="AK160" i="3" s="1"/>
  <c r="CA58" i="3"/>
  <c r="Q133" i="3"/>
  <c r="Q160" i="3" s="1"/>
  <c r="R113" i="3"/>
  <c r="BY151" i="1"/>
  <c r="BY152" i="1" s="1"/>
  <c r="BY101" i="3"/>
  <c r="BY102" i="3" s="1"/>
  <c r="D59" i="3"/>
  <c r="BQ58" i="3"/>
  <c r="BQ59" i="3" s="1"/>
  <c r="BY58" i="3"/>
  <c r="AO133" i="3"/>
  <c r="AO160" i="3" s="1"/>
  <c r="AP113" i="3"/>
  <c r="BZ102" i="3"/>
  <c r="BZ98" i="3"/>
  <c r="BZ103" i="3" s="1"/>
  <c r="I133" i="3"/>
  <c r="I160" i="3" s="1"/>
  <c r="J113" i="3"/>
  <c r="BR58" i="3"/>
  <c r="CB98" i="3"/>
  <c r="CB103" i="3" s="1"/>
  <c r="CB102" i="3"/>
  <c r="BY98" i="3"/>
  <c r="CK58" i="3"/>
  <c r="CH58" i="3"/>
  <c r="CR58" i="3"/>
  <c r="BT58" i="3"/>
  <c r="L113" i="3"/>
  <c r="L31" i="3"/>
  <c r="CI11" i="3"/>
  <c r="BS11" i="3"/>
  <c r="BZ58" i="3"/>
  <c r="BA90" i="3"/>
  <c r="BA105" i="3" s="1"/>
  <c r="BA58" i="3"/>
  <c r="AE113" i="3"/>
  <c r="AE133" i="3" s="1"/>
  <c r="AE160" i="3" s="1"/>
  <c r="AD133" i="3"/>
  <c r="AD160" i="3" s="1"/>
  <c r="CJ58" i="3"/>
  <c r="CA90" i="3"/>
  <c r="CA105" i="3" s="1"/>
  <c r="CA98" i="3"/>
  <c r="CA103" i="3" s="1"/>
  <c r="CA102" i="3"/>
  <c r="BK36" i="21"/>
  <c r="CE15" i="21"/>
  <c r="BK83" i="21"/>
  <c r="CE80" i="21"/>
  <c r="CF83" i="21" s="1"/>
  <c r="CE33" i="21"/>
  <c r="CF36" i="21" s="1"/>
  <c r="AK111" i="2"/>
  <c r="AK87" i="2"/>
  <c r="AK88" i="2" s="1"/>
  <c r="AL137" i="2"/>
  <c r="AL144" i="2" s="1"/>
  <c r="AL110" i="2"/>
  <c r="AM104" i="2"/>
  <c r="AR139" i="2"/>
  <c r="AS129" i="2"/>
  <c r="AY142" i="2"/>
  <c r="AZ132" i="2"/>
  <c r="CE68" i="2"/>
  <c r="AR103" i="2"/>
  <c r="BZ103" i="2"/>
  <c r="AQ136" i="2"/>
  <c r="BZ136" i="2" s="1"/>
  <c r="BZ139" i="2"/>
  <c r="AR138" i="2"/>
  <c r="AS128" i="2"/>
  <c r="CP151" i="1"/>
  <c r="CP152" i="1" s="1"/>
  <c r="BE132" i="1"/>
  <c r="CT132" i="1"/>
  <c r="Q168" i="1"/>
  <c r="Q169" i="1"/>
  <c r="CQ151" i="1"/>
  <c r="CQ152" i="1" s="1"/>
  <c r="CO151" i="1"/>
  <c r="CO152" i="1" s="1"/>
  <c r="BO153" i="3" l="1"/>
  <c r="BX102" i="3"/>
  <c r="BN132" i="3"/>
  <c r="BO132" i="3" s="1"/>
  <c r="BT102" i="3"/>
  <c r="BO130" i="3"/>
  <c r="BO30" i="3"/>
  <c r="CF30" i="3" s="1"/>
  <c r="CF132" i="3" s="1"/>
  <c r="CF31" i="2"/>
  <c r="BN117" i="3"/>
  <c r="BO117" i="3" s="1"/>
  <c r="CF81" i="2"/>
  <c r="CF162" i="1"/>
  <c r="CF15" i="3"/>
  <c r="CF117" i="3" s="1"/>
  <c r="CF156" i="1"/>
  <c r="CF159" i="1" s="1"/>
  <c r="BO151" i="2"/>
  <c r="CF151" i="2" s="1"/>
  <c r="CF85" i="2"/>
  <c r="BO29" i="3"/>
  <c r="CF15" i="2"/>
  <c r="BO55" i="2"/>
  <c r="BO54" i="2" s="1"/>
  <c r="BN54" i="2"/>
  <c r="BO20" i="2"/>
  <c r="CF20" i="2" s="1"/>
  <c r="BM142" i="3"/>
  <c r="BO22" i="2"/>
  <c r="BN26" i="3"/>
  <c r="BO81" i="2"/>
  <c r="BO47" i="3"/>
  <c r="CF47" i="3" s="1"/>
  <c r="CF149" i="3" s="1"/>
  <c r="BO162" i="1"/>
  <c r="BN149" i="3"/>
  <c r="BN67" i="2"/>
  <c r="BM68" i="2"/>
  <c r="BO113" i="1"/>
  <c r="BY103" i="3"/>
  <c r="AK90" i="2"/>
  <c r="BR164" i="3"/>
  <c r="BS158" i="3"/>
  <c r="BS113" i="3"/>
  <c r="BS133" i="3" s="1"/>
  <c r="BS160" i="3" s="1"/>
  <c r="BS92" i="3"/>
  <c r="BS96" i="3" s="1"/>
  <c r="BS102" i="3" s="1"/>
  <c r="BS31" i="3"/>
  <c r="BS90" i="3" s="1"/>
  <c r="BS105" i="3" s="1"/>
  <c r="L90" i="3"/>
  <c r="L105" i="3" s="1"/>
  <c r="L58" i="3"/>
  <c r="BQ62" i="3"/>
  <c r="BR56" i="3"/>
  <c r="BR59" i="3" s="1"/>
  <c r="R133" i="3"/>
  <c r="R160" i="3" s="1"/>
  <c r="S113" i="3"/>
  <c r="S133" i="3" s="1"/>
  <c r="S160" i="3" s="1"/>
  <c r="Z133" i="3"/>
  <c r="Z160" i="3" s="1"/>
  <c r="AA113" i="3"/>
  <c r="AA133" i="3" s="1"/>
  <c r="AA160" i="3" s="1"/>
  <c r="AI113" i="3"/>
  <c r="AI133" i="3" s="1"/>
  <c r="AI160" i="3" s="1"/>
  <c r="AH133" i="3"/>
  <c r="AH160" i="3" s="1"/>
  <c r="CI113" i="3"/>
  <c r="CI133" i="3" s="1"/>
  <c r="CI160" i="3" s="1"/>
  <c r="CI31" i="3"/>
  <c r="CI90" i="3" s="1"/>
  <c r="CI105" i="3" s="1"/>
  <c r="M113" i="3"/>
  <c r="L133" i="3"/>
  <c r="L160" i="3" s="1"/>
  <c r="K113" i="3"/>
  <c r="K133" i="3" s="1"/>
  <c r="K160" i="3" s="1"/>
  <c r="J133" i="3"/>
  <c r="J160" i="3" s="1"/>
  <c r="AP133" i="3"/>
  <c r="AP160" i="3" s="1"/>
  <c r="AQ113" i="3"/>
  <c r="AQ133" i="3" s="1"/>
  <c r="AQ160" i="3" s="1"/>
  <c r="D62" i="3"/>
  <c r="E56" i="3"/>
  <c r="AL133" i="3"/>
  <c r="AL160" i="3" s="1"/>
  <c r="AM113" i="3"/>
  <c r="AM133" i="3" s="1"/>
  <c r="AM160" i="3" s="1"/>
  <c r="AX133" i="3"/>
  <c r="AX160" i="3" s="1"/>
  <c r="AY113" i="3"/>
  <c r="AY133" i="3" s="1"/>
  <c r="AY160" i="3" s="1"/>
  <c r="W113" i="3"/>
  <c r="W133" i="3" s="1"/>
  <c r="W160" i="3" s="1"/>
  <c r="V133" i="3"/>
  <c r="V160" i="3" s="1"/>
  <c r="AT133" i="3"/>
  <c r="AT160" i="3" s="1"/>
  <c r="AU113" i="3"/>
  <c r="AU133" i="3" s="1"/>
  <c r="AU160" i="3" s="1"/>
  <c r="G113" i="3"/>
  <c r="G133" i="3" s="1"/>
  <c r="G160" i="3" s="1"/>
  <c r="G161" i="3" s="1"/>
  <c r="F133" i="3"/>
  <c r="F160" i="3" s="1"/>
  <c r="F161" i="3" s="1"/>
  <c r="F164" i="3" s="1"/>
  <c r="CE83" i="21"/>
  <c r="CE36" i="21"/>
  <c r="AN116" i="2"/>
  <c r="AN119" i="2" s="1"/>
  <c r="BY104" i="2"/>
  <c r="AM137" i="2"/>
  <c r="AM110" i="2"/>
  <c r="AL111" i="2"/>
  <c r="AL87" i="2"/>
  <c r="AL88" i="2" s="1"/>
  <c r="AS138" i="2"/>
  <c r="AT128" i="2"/>
  <c r="AS139" i="2"/>
  <c r="AT129" i="2"/>
  <c r="AS103" i="2"/>
  <c r="AR136" i="2"/>
  <c r="BA132" i="2"/>
  <c r="AZ142" i="2"/>
  <c r="BF132" i="1"/>
  <c r="BG132" i="1" s="1"/>
  <c r="BH132" i="1" s="1"/>
  <c r="R168" i="1"/>
  <c r="R169" i="1"/>
  <c r="BO115" i="1" l="1"/>
  <c r="CF113" i="1"/>
  <c r="BN128" i="3"/>
  <c r="BO131" i="3"/>
  <c r="CF29" i="3"/>
  <c r="CF131" i="3" s="1"/>
  <c r="BO26" i="3"/>
  <c r="BO40" i="3"/>
  <c r="CF22" i="2"/>
  <c r="BN142" i="3"/>
  <c r="BO67" i="2"/>
  <c r="BN68" i="2"/>
  <c r="BO149" i="3"/>
  <c r="AL90" i="2"/>
  <c r="CH56" i="3"/>
  <c r="E59" i="3"/>
  <c r="BS56" i="3"/>
  <c r="BR62" i="3"/>
  <c r="BS58" i="3"/>
  <c r="CI58" i="3"/>
  <c r="BS161" i="3"/>
  <c r="CU132" i="1"/>
  <c r="H158" i="3"/>
  <c r="G164" i="3"/>
  <c r="M133" i="3"/>
  <c r="M160" i="3" s="1"/>
  <c r="N113" i="3"/>
  <c r="AN104" i="2"/>
  <c r="AM87" i="2"/>
  <c r="AM111" i="2"/>
  <c r="BY111" i="2" s="1"/>
  <c r="BY110" i="2"/>
  <c r="AM144" i="2"/>
  <c r="BY144" i="2" s="1"/>
  <c r="BY137" i="2"/>
  <c r="BB132" i="2"/>
  <c r="BA142" i="2"/>
  <c r="AT138" i="2"/>
  <c r="AU128" i="2"/>
  <c r="AT103" i="2"/>
  <c r="AS136" i="2"/>
  <c r="AT139" i="2"/>
  <c r="AU129" i="2"/>
  <c r="BI132" i="1"/>
  <c r="CD132" i="1"/>
  <c r="S169" i="1"/>
  <c r="S168" i="1"/>
  <c r="BO128" i="3" l="1"/>
  <c r="CF26" i="3"/>
  <c r="CF128" i="3" s="1"/>
  <c r="BJ132" i="1"/>
  <c r="BK132" i="1" s="1"/>
  <c r="BL132" i="1" s="1"/>
  <c r="CF40" i="3"/>
  <c r="CF142" i="3" s="1"/>
  <c r="BO68" i="2"/>
  <c r="CF67" i="2"/>
  <c r="CF68" i="2" s="1"/>
  <c r="BO142" i="3"/>
  <c r="N133" i="3"/>
  <c r="N160" i="3" s="1"/>
  <c r="O113" i="3"/>
  <c r="O133" i="3" s="1"/>
  <c r="O160" i="3" s="1"/>
  <c r="CH158" i="3"/>
  <c r="CH161" i="3" s="1"/>
  <c r="CH59" i="3"/>
  <c r="K158" i="3"/>
  <c r="K161" i="3" s="1"/>
  <c r="I158" i="3"/>
  <c r="I161" i="3" s="1"/>
  <c r="I164" i="3" s="1"/>
  <c r="J158" i="3"/>
  <c r="J161" i="3" s="1"/>
  <c r="J164" i="3" s="1"/>
  <c r="H161" i="3"/>
  <c r="H164" i="3" s="1"/>
  <c r="BS164" i="3"/>
  <c r="BT158" i="3"/>
  <c r="BT161" i="3" s="1"/>
  <c r="BS59" i="3"/>
  <c r="E62" i="3"/>
  <c r="F56" i="3"/>
  <c r="F59" i="3" s="1"/>
  <c r="AO104" i="2"/>
  <c r="AN137" i="2"/>
  <c r="AN145" i="2" s="1"/>
  <c r="AN110" i="2"/>
  <c r="BY87" i="2"/>
  <c r="BY88" i="2" s="1"/>
  <c r="AM88" i="2"/>
  <c r="AU139" i="2"/>
  <c r="AV129" i="2"/>
  <c r="CA129" i="2"/>
  <c r="AU103" i="2"/>
  <c r="AT136" i="2"/>
  <c r="AV128" i="2"/>
  <c r="CA128" i="2"/>
  <c r="AU138" i="2"/>
  <c r="CA138" i="2" s="1"/>
  <c r="CA139" i="2"/>
  <c r="BB142" i="2"/>
  <c r="BC132" i="2"/>
  <c r="T168" i="1"/>
  <c r="T169" i="1"/>
  <c r="CE132" i="1" l="1"/>
  <c r="CV132" i="1"/>
  <c r="BM132" i="1"/>
  <c r="BN132" i="1" s="1"/>
  <c r="BO132" i="1" s="1"/>
  <c r="CF132" i="1" s="1"/>
  <c r="AM90" i="2"/>
  <c r="BY90" i="2" s="1"/>
  <c r="BU158" i="3"/>
  <c r="BU161" i="3" s="1"/>
  <c r="BT164" i="3"/>
  <c r="CH62" i="3"/>
  <c r="CI56" i="3"/>
  <c r="CI59" i="3" s="1"/>
  <c r="G56" i="3"/>
  <c r="G59" i="3" s="1"/>
  <c r="F62" i="3"/>
  <c r="BT56" i="3"/>
  <c r="BT59" i="3" s="1"/>
  <c r="BS62" i="3"/>
  <c r="L158" i="3"/>
  <c r="K164" i="3"/>
  <c r="CH164" i="3"/>
  <c r="CI158" i="3"/>
  <c r="CI161" i="3" s="1"/>
  <c r="AO110" i="2"/>
  <c r="AO137" i="2"/>
  <c r="AO145" i="2" s="1"/>
  <c r="AP104" i="2"/>
  <c r="AN111" i="2"/>
  <c r="AN87" i="2"/>
  <c r="AN88" i="2" s="1"/>
  <c r="AN90" i="2" s="1"/>
  <c r="AV138" i="2"/>
  <c r="AW128" i="2"/>
  <c r="CA103" i="2"/>
  <c r="AV103" i="2"/>
  <c r="AU136" i="2"/>
  <c r="CA136" i="2" s="1"/>
  <c r="AV139" i="2"/>
  <c r="AW129" i="2"/>
  <c r="BC142" i="2"/>
  <c r="BD132" i="2"/>
  <c r="U168" i="1"/>
  <c r="U169" i="1"/>
  <c r="O158" i="3" l="1"/>
  <c r="O161" i="3" s="1"/>
  <c r="M158" i="3"/>
  <c r="M161" i="3" s="1"/>
  <c r="M164" i="3" s="1"/>
  <c r="N158" i="3"/>
  <c r="N161" i="3" s="1"/>
  <c r="N164" i="3" s="1"/>
  <c r="L161" i="3"/>
  <c r="L164" i="3" s="1"/>
  <c r="BT62" i="3"/>
  <c r="BU56" i="3"/>
  <c r="BU59" i="3" s="1"/>
  <c r="H56" i="3"/>
  <c r="H59" i="3" s="1"/>
  <c r="G62" i="3"/>
  <c r="BU164" i="3"/>
  <c r="BV158" i="3"/>
  <c r="BV161" i="3" s="1"/>
  <c r="CJ158" i="3"/>
  <c r="CJ161" i="3" s="1"/>
  <c r="CI164" i="3"/>
  <c r="CI62" i="3"/>
  <c r="CJ56" i="3"/>
  <c r="CJ59" i="3" s="1"/>
  <c r="AO111" i="2"/>
  <c r="AO87" i="2"/>
  <c r="AO88" i="2" s="1"/>
  <c r="AO90" i="2" s="1"/>
  <c r="AQ104" i="2"/>
  <c r="AP137" i="2"/>
  <c r="AP145" i="2" s="1"/>
  <c r="AP110" i="2"/>
  <c r="AW139" i="2"/>
  <c r="AX129" i="2"/>
  <c r="AW138" i="2"/>
  <c r="AX128" i="2"/>
  <c r="AW103" i="2"/>
  <c r="AV136" i="2"/>
  <c r="BE132" i="2"/>
  <c r="BD142" i="2"/>
  <c r="V168" i="1"/>
  <c r="V169" i="1"/>
  <c r="CJ164" i="3" l="1"/>
  <c r="CK158" i="3"/>
  <c r="CK161" i="3" s="1"/>
  <c r="BW158" i="3"/>
  <c r="BW161" i="3" s="1"/>
  <c r="BV164" i="3"/>
  <c r="BU62" i="3"/>
  <c r="BV56" i="3"/>
  <c r="BV59" i="3" s="1"/>
  <c r="CJ62" i="3"/>
  <c r="CK56" i="3"/>
  <c r="CK59" i="3" s="1"/>
  <c r="I56" i="3"/>
  <c r="I59" i="3" s="1"/>
  <c r="H62" i="3"/>
  <c r="P158" i="3"/>
  <c r="O164" i="3"/>
  <c r="BZ104" i="2"/>
  <c r="AQ137" i="2"/>
  <c r="AQ145" i="2" s="1"/>
  <c r="BZ145" i="2" s="1"/>
  <c r="AQ110" i="2"/>
  <c r="AR116" i="2"/>
  <c r="AR119" i="2" s="1"/>
  <c r="AP87" i="2"/>
  <c r="AP88" i="2" s="1"/>
  <c r="AP90" i="2" s="1"/>
  <c r="AP111" i="2"/>
  <c r="AX138" i="2"/>
  <c r="AY128" i="2"/>
  <c r="AX103" i="2"/>
  <c r="AW136" i="2"/>
  <c r="AX139" i="2"/>
  <c r="AY129" i="2"/>
  <c r="BF132" i="2"/>
  <c r="BE142" i="2"/>
  <c r="W169" i="1"/>
  <c r="W168" i="1"/>
  <c r="R158" i="3" l="1"/>
  <c r="R161" i="3" s="1"/>
  <c r="R164" i="3" s="1"/>
  <c r="S158" i="3"/>
  <c r="S161" i="3" s="1"/>
  <c r="Q158" i="3"/>
  <c r="Q161" i="3" s="1"/>
  <c r="Q164" i="3" s="1"/>
  <c r="P161" i="3"/>
  <c r="P164" i="3" s="1"/>
  <c r="J56" i="3"/>
  <c r="J59" i="3" s="1"/>
  <c r="I62" i="3"/>
  <c r="BW164" i="3"/>
  <c r="BX158" i="3"/>
  <c r="BX161" i="3" s="1"/>
  <c r="CK62" i="3"/>
  <c r="CL56" i="3"/>
  <c r="CL59" i="3" s="1"/>
  <c r="BW56" i="3"/>
  <c r="BW59" i="3" s="1"/>
  <c r="BV62" i="3"/>
  <c r="CL158" i="3"/>
  <c r="CL161" i="3" s="1"/>
  <c r="CK164" i="3"/>
  <c r="AQ111" i="2"/>
  <c r="BZ111" i="2" s="1"/>
  <c r="BZ110" i="2"/>
  <c r="AQ87" i="2"/>
  <c r="BZ137" i="2"/>
  <c r="AR104" i="2"/>
  <c r="BF142" i="2"/>
  <c r="BG132" i="2"/>
  <c r="AY103" i="2"/>
  <c r="AX136" i="2"/>
  <c r="AY139" i="2"/>
  <c r="CB139" i="2" s="1"/>
  <c r="CB129" i="2"/>
  <c r="AZ129" i="2"/>
  <c r="AY138" i="2"/>
  <c r="CB138" i="2" s="1"/>
  <c r="AZ128" i="2"/>
  <c r="CB128" i="2"/>
  <c r="X168" i="1"/>
  <c r="X169" i="1"/>
  <c r="CL62" i="3" l="1"/>
  <c r="CM56" i="3"/>
  <c r="CM59" i="3" s="1"/>
  <c r="BY158" i="3"/>
  <c r="BY161" i="3" s="1"/>
  <c r="BX164" i="3"/>
  <c r="T158" i="3"/>
  <c r="S164" i="3"/>
  <c r="CM158" i="3"/>
  <c r="CM161" i="3" s="1"/>
  <c r="CL164" i="3"/>
  <c r="BX56" i="3"/>
  <c r="BX59" i="3" s="1"/>
  <c r="BW62" i="3"/>
  <c r="J62" i="3"/>
  <c r="K56" i="3"/>
  <c r="K59" i="3" s="1"/>
  <c r="AQ88" i="2"/>
  <c r="AQ90" i="2" s="1"/>
  <c r="BZ90" i="2" s="1"/>
  <c r="BZ87" i="2"/>
  <c r="BZ88" i="2" s="1"/>
  <c r="AR110" i="2"/>
  <c r="AR137" i="2"/>
  <c r="AR145" i="2" s="1"/>
  <c r="AS104" i="2"/>
  <c r="CB103" i="2"/>
  <c r="AZ103" i="2"/>
  <c r="AY136" i="2"/>
  <c r="CB136" i="2" s="1"/>
  <c r="AZ139" i="2"/>
  <c r="BA129" i="2"/>
  <c r="BG142" i="2"/>
  <c r="BH132" i="2"/>
  <c r="AZ138" i="2"/>
  <c r="BA128" i="2"/>
  <c r="Y168" i="1"/>
  <c r="Y169" i="1"/>
  <c r="K62" i="3" l="1"/>
  <c r="L56" i="3"/>
  <c r="L59" i="3" s="1"/>
  <c r="CM62" i="3"/>
  <c r="CN56" i="3"/>
  <c r="CN59" i="3" s="1"/>
  <c r="BX62" i="3"/>
  <c r="BY56" i="3"/>
  <c r="BY59" i="3" s="1"/>
  <c r="CN158" i="3"/>
  <c r="CN161" i="3" s="1"/>
  <c r="CM164" i="3"/>
  <c r="V158" i="3"/>
  <c r="V161" i="3" s="1"/>
  <c r="V164" i="3" s="1"/>
  <c r="T161" i="3"/>
  <c r="T164" i="3" s="1"/>
  <c r="U158" i="3"/>
  <c r="U161" i="3" s="1"/>
  <c r="U164" i="3" s="1"/>
  <c r="W158" i="3"/>
  <c r="W161" i="3" s="1"/>
  <c r="BY164" i="3"/>
  <c r="BZ158" i="3"/>
  <c r="BZ161" i="3" s="1"/>
  <c r="AR111" i="2"/>
  <c r="AR87" i="2"/>
  <c r="AR88" i="2" s="1"/>
  <c r="AR90" i="2" s="1"/>
  <c r="AS110" i="2"/>
  <c r="AS137" i="2"/>
  <c r="AS145" i="2" s="1"/>
  <c r="AT104" i="2"/>
  <c r="BA103" i="2"/>
  <c r="AZ136" i="2"/>
  <c r="BA138" i="2"/>
  <c r="BB128" i="2"/>
  <c r="BA139" i="2"/>
  <c r="BB129" i="2"/>
  <c r="BI132" i="2"/>
  <c r="BH142" i="2"/>
  <c r="Z168" i="1"/>
  <c r="Z169" i="1"/>
  <c r="CN164" i="3" l="1"/>
  <c r="CO158" i="3"/>
  <c r="CO161" i="3" s="1"/>
  <c r="BZ164" i="3"/>
  <c r="CA158" i="3"/>
  <c r="CA161" i="3" s="1"/>
  <c r="X158" i="3"/>
  <c r="W164" i="3"/>
  <c r="BY62" i="3"/>
  <c r="BZ56" i="3"/>
  <c r="BZ59" i="3" s="1"/>
  <c r="CN62" i="3"/>
  <c r="CO56" i="3"/>
  <c r="CO59" i="3" s="1"/>
  <c r="L62" i="3"/>
  <c r="M56" i="3"/>
  <c r="M59" i="3" s="1"/>
  <c r="AU104" i="2"/>
  <c r="AT137" i="2"/>
  <c r="AT145" i="2" s="1"/>
  <c r="AT110" i="2"/>
  <c r="AS87" i="2"/>
  <c r="AS88" i="2" s="1"/>
  <c r="AS90" i="2" s="1"/>
  <c r="AS111" i="2"/>
  <c r="BJ132" i="2"/>
  <c r="BI142" i="2"/>
  <c r="BB103" i="2"/>
  <c r="BA136" i="2"/>
  <c r="BB138" i="2"/>
  <c r="BC128" i="2"/>
  <c r="BC129" i="2"/>
  <c r="BB139" i="2"/>
  <c r="AA169" i="1"/>
  <c r="AA168" i="1"/>
  <c r="N56" i="3" l="1"/>
  <c r="N59" i="3" s="1"/>
  <c r="M62" i="3"/>
  <c r="CA56" i="3"/>
  <c r="CA59" i="3" s="1"/>
  <c r="BZ62" i="3"/>
  <c r="CB158" i="3"/>
  <c r="CB161" i="3" s="1"/>
  <c r="CA164" i="3"/>
  <c r="CP158" i="3"/>
  <c r="CP161" i="3" s="1"/>
  <c r="CO164" i="3"/>
  <c r="CO62" i="3"/>
  <c r="CP56" i="3"/>
  <c r="CP59" i="3" s="1"/>
  <c r="Z158" i="3"/>
  <c r="Z161" i="3" s="1"/>
  <c r="Z164" i="3" s="1"/>
  <c r="X161" i="3"/>
  <c r="X164" i="3" s="1"/>
  <c r="AA158" i="3"/>
  <c r="AA161" i="3" s="1"/>
  <c r="Y158" i="3"/>
  <c r="Y161" i="3" s="1"/>
  <c r="Y164" i="3" s="1"/>
  <c r="AT111" i="2"/>
  <c r="AT87" i="2"/>
  <c r="AT88" i="2" s="1"/>
  <c r="AT90" i="2" s="1"/>
  <c r="AU137" i="2"/>
  <c r="AU145" i="2" s="1"/>
  <c r="CA145" i="2" s="1"/>
  <c r="AU110" i="2"/>
  <c r="CA104" i="2"/>
  <c r="AV116" i="2"/>
  <c r="AV119" i="2" s="1"/>
  <c r="BC138" i="2"/>
  <c r="CC138" i="2" s="1"/>
  <c r="BD128" i="2"/>
  <c r="CC128" i="2"/>
  <c r="BJ142" i="2"/>
  <c r="BK132" i="2"/>
  <c r="BC139" i="2"/>
  <c r="CC139" i="2" s="1"/>
  <c r="BD129" i="2"/>
  <c r="CC129" i="2"/>
  <c r="BC103" i="2"/>
  <c r="BB136" i="2"/>
  <c r="AB168" i="1"/>
  <c r="AB169" i="1"/>
  <c r="BK142" i="2" l="1"/>
  <c r="BL132" i="2"/>
  <c r="AV104" i="2"/>
  <c r="AW104" i="2" s="1"/>
  <c r="AB158" i="3"/>
  <c r="AA164" i="3"/>
  <c r="CB164" i="3"/>
  <c r="CC158" i="3"/>
  <c r="CQ56" i="3"/>
  <c r="CQ59" i="3" s="1"/>
  <c r="CP62" i="3"/>
  <c r="CQ158" i="3"/>
  <c r="CQ161" i="3" s="1"/>
  <c r="CP164" i="3"/>
  <c r="CA62" i="3"/>
  <c r="CB56" i="3"/>
  <c r="CB59" i="3" s="1"/>
  <c r="N62" i="3"/>
  <c r="O56" i="3"/>
  <c r="O59" i="3" s="1"/>
  <c r="CA110" i="2"/>
  <c r="AU112" i="2"/>
  <c r="CA112" i="2" s="1"/>
  <c r="AU87" i="2"/>
  <c r="AV137" i="2"/>
  <c r="AV145" i="2" s="1"/>
  <c r="CA137" i="2"/>
  <c r="BD103" i="2"/>
  <c r="CC103" i="2"/>
  <c r="BC136" i="2"/>
  <c r="CC136" i="2" s="1"/>
  <c r="BD138" i="2"/>
  <c r="BE128" i="2"/>
  <c r="BD139" i="2"/>
  <c r="BE129" i="2"/>
  <c r="AC168" i="1"/>
  <c r="AC169" i="1"/>
  <c r="BM132" i="2" l="1"/>
  <c r="BL142" i="2"/>
  <c r="AV110" i="2"/>
  <c r="AV111" i="2" s="1"/>
  <c r="AW111" i="2" s="1"/>
  <c r="CR158" i="3"/>
  <c r="CR161" i="3" s="1"/>
  <c r="CQ164" i="3"/>
  <c r="P56" i="3"/>
  <c r="P59" i="3" s="1"/>
  <c r="O62" i="3"/>
  <c r="CC56" i="3"/>
  <c r="CB62" i="3"/>
  <c r="CQ62" i="3"/>
  <c r="CR56" i="3"/>
  <c r="CR59" i="3" s="1"/>
  <c r="AC158" i="3"/>
  <c r="AE158" i="3"/>
  <c r="AE161" i="3" s="1"/>
  <c r="AB161" i="3"/>
  <c r="AB164" i="3" s="1"/>
  <c r="AW137" i="2"/>
  <c r="AW145" i="2" s="1"/>
  <c r="AX104" i="2"/>
  <c r="CA87" i="2"/>
  <c r="CA88" i="2" s="1"/>
  <c r="AU88" i="2"/>
  <c r="AU90" i="2" s="1"/>
  <c r="CA90" i="2" s="1"/>
  <c r="BE138" i="2"/>
  <c r="BF128" i="2"/>
  <c r="BE139" i="2"/>
  <c r="BF129" i="2"/>
  <c r="BE103" i="2"/>
  <c r="BD136" i="2"/>
  <c r="AD168" i="1"/>
  <c r="AD169" i="1"/>
  <c r="AW110" i="2" l="1"/>
  <c r="BN132" i="2"/>
  <c r="BM142" i="2"/>
  <c r="Q56" i="3"/>
  <c r="Q59" i="3" s="1"/>
  <c r="P62" i="3"/>
  <c r="AE164" i="3"/>
  <c r="AF158" i="3"/>
  <c r="CS56" i="3"/>
  <c r="CS59" i="3" s="1"/>
  <c r="CR62" i="3"/>
  <c r="AC161" i="3"/>
  <c r="AC164" i="3" s="1"/>
  <c r="AD158" i="3"/>
  <c r="AD161" i="3" s="1"/>
  <c r="AD164" i="3" s="1"/>
  <c r="CS158" i="3"/>
  <c r="CS161" i="3" s="1"/>
  <c r="CR164" i="3"/>
  <c r="AY104" i="2"/>
  <c r="AX137" i="2"/>
  <c r="AX110" i="2"/>
  <c r="AW112" i="2"/>
  <c r="BF103" i="2"/>
  <c r="BE136" i="2"/>
  <c r="BF138" i="2"/>
  <c r="BG128" i="2"/>
  <c r="BG129" i="2"/>
  <c r="BF139" i="2"/>
  <c r="AE169" i="1"/>
  <c r="AE168" i="1"/>
  <c r="BO132" i="2" l="1"/>
  <c r="BO142" i="2" s="1"/>
  <c r="BN142" i="2"/>
  <c r="AI158" i="3"/>
  <c r="AI161" i="3" s="1"/>
  <c r="AH158" i="3"/>
  <c r="AH161" i="3" s="1"/>
  <c r="AH164" i="3" s="1"/>
  <c r="AF161" i="3"/>
  <c r="AF164" i="3" s="1"/>
  <c r="AG158" i="3"/>
  <c r="AG161" i="3" s="1"/>
  <c r="AG164" i="3" s="1"/>
  <c r="CS164" i="3"/>
  <c r="CT158" i="3"/>
  <c r="CS62" i="3"/>
  <c r="CT56" i="3"/>
  <c r="R56" i="3"/>
  <c r="R59" i="3" s="1"/>
  <c r="Q62" i="3"/>
  <c r="AX145" i="2"/>
  <c r="CB104" i="2"/>
  <c r="AY137" i="2"/>
  <c r="AY145" i="2" s="1"/>
  <c r="AY110" i="2"/>
  <c r="AZ116" i="2"/>
  <c r="AZ119" i="2" s="1"/>
  <c r="AX112" i="2"/>
  <c r="AX87" i="2"/>
  <c r="AX88" i="2" s="1"/>
  <c r="AX90" i="2" s="1"/>
  <c r="BG103" i="2"/>
  <c r="BF136" i="2"/>
  <c r="BG138" i="2"/>
  <c r="CD138" i="2" s="1"/>
  <c r="BH128" i="2"/>
  <c r="CD128" i="2"/>
  <c r="BG139" i="2"/>
  <c r="CD139" i="2" s="1"/>
  <c r="CD129" i="2"/>
  <c r="BH129" i="2"/>
  <c r="AF168" i="1"/>
  <c r="AF169" i="1"/>
  <c r="AZ104" i="2" l="1"/>
  <c r="AZ110" i="2" s="1"/>
  <c r="CB145" i="2"/>
  <c r="R62" i="3"/>
  <c r="S56" i="3"/>
  <c r="S59" i="3" s="1"/>
  <c r="AJ158" i="3"/>
  <c r="AI164" i="3"/>
  <c r="AY87" i="2"/>
  <c r="AY112" i="2"/>
  <c r="CB112" i="2" s="1"/>
  <c r="CB110" i="2"/>
  <c r="CB137" i="2"/>
  <c r="BH139" i="2"/>
  <c r="BI129" i="2"/>
  <c r="BH138" i="2"/>
  <c r="BI128" i="2"/>
  <c r="CD103" i="2"/>
  <c r="BH103" i="2"/>
  <c r="BG136" i="2"/>
  <c r="CD136" i="2" s="1"/>
  <c r="AG168" i="1"/>
  <c r="AG169" i="1"/>
  <c r="BA104" i="2" l="1"/>
  <c r="AZ137" i="2"/>
  <c r="T56" i="3"/>
  <c r="T59" i="3" s="1"/>
  <c r="S62" i="3"/>
  <c r="AM158" i="3"/>
  <c r="AM161" i="3" s="1"/>
  <c r="AK158" i="3"/>
  <c r="AK161" i="3" s="1"/>
  <c r="AK164" i="3" s="1"/>
  <c r="AL158" i="3"/>
  <c r="AL161" i="3" s="1"/>
  <c r="AL164" i="3" s="1"/>
  <c r="AJ161" i="3"/>
  <c r="AJ164" i="3" s="1"/>
  <c r="BB104" i="2"/>
  <c r="BA137" i="2"/>
  <c r="BA145" i="2" s="1"/>
  <c r="BA110" i="2"/>
  <c r="AZ111" i="2"/>
  <c r="BA111" i="2" s="1"/>
  <c r="BB111" i="2" s="1"/>
  <c r="BC111" i="2" s="1"/>
  <c r="CB87" i="2"/>
  <c r="CB88" i="2" s="1"/>
  <c r="AY88" i="2"/>
  <c r="AY90" i="2" s="1"/>
  <c r="CB90" i="2" s="1"/>
  <c r="BI139" i="2"/>
  <c r="BJ129" i="2"/>
  <c r="BI138" i="2"/>
  <c r="BJ128" i="2"/>
  <c r="BI103" i="2"/>
  <c r="BH136" i="2"/>
  <c r="AH168" i="1"/>
  <c r="AH169" i="1"/>
  <c r="AZ145" i="2" l="1"/>
  <c r="AM164" i="3"/>
  <c r="AN158" i="3"/>
  <c r="U56" i="3"/>
  <c r="U59" i="3" s="1"/>
  <c r="T62" i="3"/>
  <c r="BD111" i="2"/>
  <c r="BE111" i="2" s="1"/>
  <c r="BF111" i="2" s="1"/>
  <c r="BG111" i="2" s="1"/>
  <c r="CC111" i="2"/>
  <c r="BA112" i="2"/>
  <c r="BB110" i="2"/>
  <c r="BB88" i="2" s="1"/>
  <c r="BB90" i="2" s="1"/>
  <c r="BC104" i="2"/>
  <c r="BB137" i="2"/>
  <c r="BB145" i="2" s="1"/>
  <c r="BJ138" i="2"/>
  <c r="BK128" i="2"/>
  <c r="BL128" i="2" s="1"/>
  <c r="BJ103" i="2"/>
  <c r="BI136" i="2"/>
  <c r="BK129" i="2"/>
  <c r="BL129" i="2" s="1"/>
  <c r="BJ139" i="2"/>
  <c r="AI169" i="1"/>
  <c r="AI168" i="1"/>
  <c r="BM129" i="2" l="1"/>
  <c r="BL139" i="2"/>
  <c r="BM128" i="2"/>
  <c r="BL138" i="2"/>
  <c r="AP158" i="3"/>
  <c r="AP161" i="3" s="1"/>
  <c r="AP164" i="3" s="1"/>
  <c r="AN161" i="3"/>
  <c r="AN164" i="3" s="1"/>
  <c r="AQ158" i="3"/>
  <c r="AQ161" i="3" s="1"/>
  <c r="AO158" i="3"/>
  <c r="AO161" i="3" s="1"/>
  <c r="AO164" i="3" s="1"/>
  <c r="V56" i="3"/>
  <c r="V59" i="3" s="1"/>
  <c r="U62" i="3"/>
  <c r="BC137" i="2"/>
  <c r="CC137" i="2" s="1"/>
  <c r="BD116" i="2"/>
  <c r="BD119" i="2" s="1"/>
  <c r="CC104" i="2"/>
  <c r="BH111" i="2"/>
  <c r="BI111" i="2" s="1"/>
  <c r="BJ111" i="2" s="1"/>
  <c r="BK111" i="2" s="1"/>
  <c r="CD111" i="2"/>
  <c r="BC110" i="2"/>
  <c r="BB112" i="2"/>
  <c r="BK139" i="2"/>
  <c r="CE139" i="2" s="1"/>
  <c r="CE129" i="2"/>
  <c r="BK138" i="2"/>
  <c r="CE138" i="2" s="1"/>
  <c r="CE128" i="2"/>
  <c r="BK103" i="2"/>
  <c r="BL103" i="2" s="1"/>
  <c r="BJ136" i="2"/>
  <c r="AJ168" i="1"/>
  <c r="AJ169" i="1"/>
  <c r="BN128" i="2" l="1"/>
  <c r="BM138" i="2"/>
  <c r="BM103" i="2"/>
  <c r="BL136" i="2"/>
  <c r="BN129" i="2"/>
  <c r="BM139" i="2"/>
  <c r="CE111" i="2"/>
  <c r="BL111" i="2"/>
  <c r="W56" i="3"/>
  <c r="W59" i="3" s="1"/>
  <c r="V62" i="3"/>
  <c r="AR158" i="3"/>
  <c r="AQ164" i="3"/>
  <c r="BD104" i="2"/>
  <c r="BD110" i="2"/>
  <c r="CC110" i="2"/>
  <c r="BC112" i="2"/>
  <c r="CC112" i="2" s="1"/>
  <c r="BC145" i="2"/>
  <c r="CC145" i="2" s="1"/>
  <c r="CE103" i="2"/>
  <c r="BK136" i="2"/>
  <c r="CE136" i="2" s="1"/>
  <c r="AK168" i="1"/>
  <c r="AK169" i="1"/>
  <c r="BM111" i="2" l="1"/>
  <c r="BN111" i="2" s="1"/>
  <c r="BO111" i="2" s="1"/>
  <c r="CF111" i="2" s="1"/>
  <c r="BN103" i="2"/>
  <c r="BM136" i="2"/>
  <c r="BO129" i="2"/>
  <c r="BN139" i="2"/>
  <c r="BO128" i="2"/>
  <c r="BN138" i="2"/>
  <c r="CC44" i="3"/>
  <c r="CC146" i="3" s="1"/>
  <c r="CC154" i="3" s="1"/>
  <c r="AT158" i="3"/>
  <c r="AT161" i="3" s="1"/>
  <c r="AT164" i="3" s="1"/>
  <c r="AR161" i="3"/>
  <c r="AR164" i="3" s="1"/>
  <c r="AU158" i="3"/>
  <c r="AU161" i="3" s="1"/>
  <c r="AS158" i="3"/>
  <c r="AS161" i="3" s="1"/>
  <c r="AS164" i="3" s="1"/>
  <c r="W62" i="3"/>
  <c r="X56" i="3"/>
  <c r="X59" i="3" s="1"/>
  <c r="BE104" i="2"/>
  <c r="BD137" i="2"/>
  <c r="BD112" i="2"/>
  <c r="BE110" i="2"/>
  <c r="AL168" i="1"/>
  <c r="AL169" i="1"/>
  <c r="BO138" i="2" l="1"/>
  <c r="CF138" i="2" s="1"/>
  <c r="CF128" i="2"/>
  <c r="BO139" i="2"/>
  <c r="CF139" i="2" s="1"/>
  <c r="CF129" i="2"/>
  <c r="BD145" i="2"/>
  <c r="BO103" i="2"/>
  <c r="BN136" i="2"/>
  <c r="CC52" i="3"/>
  <c r="Y56" i="3"/>
  <c r="Y59" i="3" s="1"/>
  <c r="X62" i="3"/>
  <c r="AV158" i="3"/>
  <c r="AU164" i="3"/>
  <c r="BE44" i="3"/>
  <c r="BE112" i="2"/>
  <c r="BF110" i="2"/>
  <c r="BF104" i="2"/>
  <c r="BE137" i="2"/>
  <c r="BE145" i="2" s="1"/>
  <c r="AM169" i="1"/>
  <c r="AM168" i="1"/>
  <c r="BO136" i="2" l="1"/>
  <c r="CF136" i="2" s="1"/>
  <c r="CF103" i="2"/>
  <c r="AY158" i="3"/>
  <c r="AY161" i="3" s="1"/>
  <c r="AW158" i="3"/>
  <c r="AW161" i="3" s="1"/>
  <c r="AW164" i="3" s="1"/>
  <c r="AX158" i="3"/>
  <c r="AX161" i="3" s="1"/>
  <c r="AX164" i="3" s="1"/>
  <c r="AV161" i="3"/>
  <c r="AV164" i="3" s="1"/>
  <c r="Z56" i="3"/>
  <c r="Z59" i="3" s="1"/>
  <c r="Y62" i="3"/>
  <c r="BE52" i="3"/>
  <c r="BF137" i="2"/>
  <c r="BG104" i="2"/>
  <c r="BF44" i="3"/>
  <c r="BF112" i="2"/>
  <c r="BG110" i="2"/>
  <c r="AN168" i="1"/>
  <c r="AN169" i="1"/>
  <c r="Z62" i="3" l="1"/>
  <c r="AA56" i="3"/>
  <c r="AA59" i="3" s="1"/>
  <c r="AZ158" i="3"/>
  <c r="AY164" i="3"/>
  <c r="BF52" i="3"/>
  <c r="BF145" i="2"/>
  <c r="BG44" i="3"/>
  <c r="CD110" i="2"/>
  <c r="BH110" i="2"/>
  <c r="BG112" i="2"/>
  <c r="CD112" i="2" s="1"/>
  <c r="BH116" i="2"/>
  <c r="BH119" i="2" s="1"/>
  <c r="CD104" i="2"/>
  <c r="BG137" i="2"/>
  <c r="BG145" i="2" s="1"/>
  <c r="AO168" i="1"/>
  <c r="AO169" i="1"/>
  <c r="BB158" i="3" l="1"/>
  <c r="BC158" i="3"/>
  <c r="CD145" i="2"/>
  <c r="CD137" i="2"/>
  <c r="AA62" i="3"/>
  <c r="AB56" i="3"/>
  <c r="AB59" i="3" s="1"/>
  <c r="BA158" i="3"/>
  <c r="BA161" i="3" s="1"/>
  <c r="BA164" i="3" s="1"/>
  <c r="AZ161" i="3"/>
  <c r="AZ164" i="3" s="1"/>
  <c r="BG52" i="3"/>
  <c r="BH104" i="2"/>
  <c r="BH44" i="3"/>
  <c r="CU44" i="3" s="1"/>
  <c r="BH112" i="2"/>
  <c r="BI110" i="2"/>
  <c r="AP168" i="1"/>
  <c r="AP169" i="1"/>
  <c r="AB62" i="3" l="1"/>
  <c r="AC56" i="3"/>
  <c r="AC59" i="3" s="1"/>
  <c r="CU146" i="3"/>
  <c r="CU154" i="3" s="1"/>
  <c r="CU52" i="3"/>
  <c r="BI44" i="3"/>
  <c r="BI112" i="2"/>
  <c r="BJ110" i="2"/>
  <c r="BH146" i="3"/>
  <c r="BH52" i="3"/>
  <c r="BH137" i="2"/>
  <c r="BI104" i="2"/>
  <c r="AQ169" i="1"/>
  <c r="AQ168" i="1"/>
  <c r="BI52" i="3" l="1"/>
  <c r="BH145" i="2"/>
  <c r="AD56" i="3"/>
  <c r="AD59" i="3" s="1"/>
  <c r="AC62" i="3"/>
  <c r="BI137" i="2"/>
  <c r="BI145" i="2" s="1"/>
  <c r="BJ104" i="2"/>
  <c r="BH154" i="3"/>
  <c r="BI146" i="3"/>
  <c r="BJ44" i="3"/>
  <c r="BK110" i="2"/>
  <c r="BL110" i="2" s="1"/>
  <c r="BJ112" i="2"/>
  <c r="AR168" i="1"/>
  <c r="AR169" i="1"/>
  <c r="BL112" i="2" l="1"/>
  <c r="BL44" i="3"/>
  <c r="BM110" i="2"/>
  <c r="AE56" i="3"/>
  <c r="AE59" i="3" s="1"/>
  <c r="AD62" i="3"/>
  <c r="BK44" i="3"/>
  <c r="BK52" i="3" s="1"/>
  <c r="BK112" i="2"/>
  <c r="CE112" i="2" s="1"/>
  <c r="CE110" i="2"/>
  <c r="BI154" i="3"/>
  <c r="BJ146" i="3"/>
  <c r="BJ52" i="3"/>
  <c r="BK104" i="2"/>
  <c r="BJ137" i="2"/>
  <c r="AS168" i="1"/>
  <c r="AS169" i="1"/>
  <c r="CV44" i="3" l="1"/>
  <c r="BL116" i="2"/>
  <c r="BL119" i="2" s="1"/>
  <c r="BL146" i="3"/>
  <c r="BL52" i="3"/>
  <c r="BN110" i="2"/>
  <c r="BM44" i="3"/>
  <c r="BM52" i="3" s="1"/>
  <c r="BM112" i="2"/>
  <c r="CE44" i="3"/>
  <c r="CE146" i="3" s="1"/>
  <c r="CE154" i="3" s="1"/>
  <c r="AF56" i="3"/>
  <c r="AF59" i="3" s="1"/>
  <c r="AE62" i="3"/>
  <c r="BJ145" i="2"/>
  <c r="CE104" i="2"/>
  <c r="BK137" i="2"/>
  <c r="BK145" i="2" s="1"/>
  <c r="BJ154" i="3"/>
  <c r="BK146" i="3"/>
  <c r="BK154" i="3" s="1"/>
  <c r="AT168" i="1"/>
  <c r="AT169" i="1"/>
  <c r="CV146" i="3" l="1"/>
  <c r="CV154" i="3" s="1"/>
  <c r="CV52" i="3"/>
  <c r="CE145" i="2"/>
  <c r="CE137" i="2"/>
  <c r="BL104" i="2"/>
  <c r="BL137" i="2" s="1"/>
  <c r="BN112" i="2"/>
  <c r="BN44" i="3"/>
  <c r="BN52" i="3" s="1"/>
  <c r="BO110" i="2"/>
  <c r="CF110" i="2" s="1"/>
  <c r="BM146" i="3"/>
  <c r="BL154" i="3"/>
  <c r="CE52" i="3"/>
  <c r="AF62" i="3"/>
  <c r="AG56" i="3"/>
  <c r="AG59" i="3" s="1"/>
  <c r="AU169" i="1"/>
  <c r="AU168" i="1"/>
  <c r="BM104" i="2" l="1"/>
  <c r="BN104" i="2" s="1"/>
  <c r="BL145" i="2"/>
  <c r="BN146" i="3"/>
  <c r="BM154" i="3"/>
  <c r="BO112" i="2"/>
  <c r="CF112" i="2" s="1"/>
  <c r="BO44" i="3"/>
  <c r="BO52" i="3" s="1"/>
  <c r="AH56" i="3"/>
  <c r="AH59" i="3" s="1"/>
  <c r="AG62" i="3"/>
  <c r="AV168" i="1"/>
  <c r="AV169" i="1"/>
  <c r="BM137" i="2" l="1"/>
  <c r="BM145" i="2" s="1"/>
  <c r="CF44" i="3"/>
  <c r="BO104" i="2"/>
  <c r="BN137" i="2"/>
  <c r="BN145" i="2" s="1"/>
  <c r="BO146" i="3"/>
  <c r="BO154" i="3" s="1"/>
  <c r="BN154" i="3"/>
  <c r="AH62" i="3"/>
  <c r="AI56" i="3"/>
  <c r="AI59" i="3" s="1"/>
  <c r="AW168" i="1"/>
  <c r="AW169" i="1"/>
  <c r="CF146" i="3" l="1"/>
  <c r="CF154" i="3" s="1"/>
  <c r="CF52" i="3"/>
  <c r="BO137" i="2"/>
  <c r="BO145" i="2" s="1"/>
  <c r="CF145" i="2" s="1"/>
  <c r="CF104" i="2"/>
  <c r="AJ56" i="3"/>
  <c r="AJ59" i="3" s="1"/>
  <c r="AI62" i="3"/>
  <c r="AX168" i="1"/>
  <c r="AX169" i="1"/>
  <c r="CF137" i="2" l="1"/>
  <c r="AK56" i="3"/>
  <c r="AK59" i="3" s="1"/>
  <c r="AJ62" i="3"/>
  <c r="AY169" i="1"/>
  <c r="AY168" i="1"/>
  <c r="AL56" i="3" l="1"/>
  <c r="AL59" i="3" s="1"/>
  <c r="AK62" i="3"/>
  <c r="AZ168" i="1"/>
  <c r="AZ169" i="1"/>
  <c r="AM56" i="3" l="1"/>
  <c r="AM59" i="3" s="1"/>
  <c r="AL62" i="3"/>
  <c r="BA168" i="1"/>
  <c r="BA169" i="1"/>
  <c r="AN56" i="3" l="1"/>
  <c r="AN59" i="3" s="1"/>
  <c r="AM62" i="3"/>
  <c r="BB168" i="1"/>
  <c r="BB169" i="1"/>
  <c r="AN62" i="3" l="1"/>
  <c r="AO56" i="3"/>
  <c r="AO59" i="3" s="1"/>
  <c r="BC169" i="1"/>
  <c r="BC168" i="1"/>
  <c r="AO62" i="3" l="1"/>
  <c r="AP56" i="3"/>
  <c r="AP59" i="3" s="1"/>
  <c r="BD168" i="1"/>
  <c r="BD169" i="1"/>
  <c r="AQ56" i="3" l="1"/>
  <c r="AQ59" i="3" s="1"/>
  <c r="AP62" i="3"/>
  <c r="BE168" i="1"/>
  <c r="BE169" i="1"/>
  <c r="AQ62" i="3" l="1"/>
  <c r="AR56" i="3"/>
  <c r="AR59" i="3" s="1"/>
  <c r="BF168" i="1"/>
  <c r="BF169" i="1"/>
  <c r="AS56" i="3" l="1"/>
  <c r="AS59" i="3" s="1"/>
  <c r="AR62" i="3"/>
  <c r="BG169" i="1"/>
  <c r="BG168" i="1"/>
  <c r="AS62" i="3" l="1"/>
  <c r="AT56" i="3"/>
  <c r="AT59" i="3" s="1"/>
  <c r="BH168" i="1"/>
  <c r="BH169" i="1"/>
  <c r="AT62" i="3" l="1"/>
  <c r="AU56" i="3"/>
  <c r="AU59" i="3" s="1"/>
  <c r="BI168" i="1"/>
  <c r="BI169" i="1"/>
  <c r="AU62" i="3" l="1"/>
  <c r="AV56" i="3"/>
  <c r="AV59" i="3" s="1"/>
  <c r="BJ168" i="1"/>
  <c r="BJ169" i="1"/>
  <c r="AV62" i="3" l="1"/>
  <c r="AW56" i="3"/>
  <c r="AW59" i="3" s="1"/>
  <c r="BK169" i="1"/>
  <c r="BK168" i="1"/>
  <c r="BL169" i="1" l="1"/>
  <c r="BL168" i="1"/>
  <c r="AW62" i="3"/>
  <c r="AX56" i="3"/>
  <c r="AX59" i="3" s="1"/>
  <c r="BM169" i="1" l="1"/>
  <c r="BN169" i="1" s="1"/>
  <c r="BM168" i="1"/>
  <c r="AY56" i="3"/>
  <c r="AY59" i="3" s="1"/>
  <c r="AX62" i="3"/>
  <c r="BN168" i="1" l="1"/>
  <c r="BO168" i="1" s="1"/>
  <c r="BO169" i="1"/>
  <c r="AZ56" i="3"/>
  <c r="AZ59" i="3" s="1"/>
  <c r="AY62" i="3"/>
  <c r="AZ62" i="3" l="1"/>
  <c r="BA56" i="3"/>
  <c r="BA59" i="3" s="1"/>
  <c r="BB56" i="3" s="1"/>
  <c r="BB59" i="3" s="1"/>
  <c r="BC56" i="3" l="1"/>
  <c r="BB62" i="3"/>
  <c r="BA62" i="3"/>
  <c r="CC30" i="3" l="1"/>
  <c r="CC132" i="3" s="1"/>
  <c r="CT30" i="3"/>
  <c r="CT132" i="3" s="1"/>
  <c r="BB101" i="3" l="1"/>
  <c r="BB74" i="2" l="1"/>
  <c r="BB185" i="2"/>
  <c r="BB76" i="2" l="1"/>
  <c r="BB77" i="2" s="1"/>
  <c r="BB92" i="3" l="1"/>
  <c r="BB96" i="3" s="1"/>
  <c r="BB113" i="3"/>
  <c r="BB133" i="3" s="1"/>
  <c r="BB160" i="3" s="1"/>
  <c r="BB161" i="3" s="1"/>
  <c r="BB164" i="3" s="1"/>
  <c r="BB90" i="3" l="1"/>
  <c r="BB105" i="3" s="1"/>
  <c r="BB98" i="3"/>
  <c r="BB103" i="3" s="1"/>
  <c r="BB102" i="3"/>
  <c r="BB150" i="2" l="1"/>
  <c r="BB152" i="2" s="1"/>
  <c r="BC155" i="2" s="1"/>
  <c r="BB49" i="2" l="1"/>
  <c r="BB72" i="3"/>
  <c r="BB64" i="21" l="1"/>
  <c r="BB69" i="21"/>
  <c r="CC61" i="21"/>
  <c r="BB127" i="21"/>
  <c r="BC128" i="21" l="1"/>
  <c r="BB184" i="21"/>
  <c r="BB185" i="21" s="1"/>
  <c r="BB91" i="21"/>
  <c r="BB15" i="1"/>
  <c r="BB65" i="21"/>
  <c r="BB128" i="21"/>
  <c r="BB130" i="21"/>
  <c r="CC127" i="21"/>
  <c r="CC65" i="21" s="1"/>
  <c r="BB23" i="21"/>
  <c r="BB44" i="21"/>
  <c r="BB57" i="21"/>
  <c r="BB55" i="21"/>
  <c r="BB122" i="21"/>
  <c r="CC64" i="21"/>
  <c r="BB187" i="21" l="1"/>
  <c r="BC186" i="21"/>
  <c r="BB186" i="21"/>
  <c r="BB58" i="21"/>
  <c r="BC123" i="21"/>
  <c r="BB123" i="21"/>
  <c r="BB125" i="21"/>
  <c r="BB195" i="21"/>
  <c r="BB84" i="21"/>
  <c r="BB16" i="21"/>
  <c r="BB37" i="21"/>
  <c r="CC122" i="21"/>
  <c r="CC54" i="21"/>
  <c r="CC130" i="21"/>
  <c r="CC91" i="21"/>
  <c r="CC23" i="21"/>
  <c r="CC44" i="21"/>
  <c r="CC15" i="1"/>
  <c r="BB16" i="1"/>
  <c r="CT15" i="1"/>
  <c r="BE54" i="21" l="1"/>
  <c r="BD164" i="21"/>
  <c r="BD171" i="21"/>
  <c r="CU16" i="1"/>
  <c r="CT16" i="1"/>
  <c r="CC16" i="1"/>
  <c r="CC132" i="21"/>
  <c r="CC147" i="21" s="1"/>
  <c r="CC125" i="21"/>
  <c r="CC37" i="21"/>
  <c r="CC16" i="21"/>
  <c r="CC105" i="21"/>
  <c r="CC84" i="21"/>
  <c r="CC115" i="21"/>
  <c r="CC70" i="21"/>
  <c r="CC77" i="21"/>
  <c r="CC58" i="21"/>
  <c r="CC57" i="21"/>
  <c r="BB196" i="21"/>
  <c r="BF54" i="21" l="1"/>
  <c r="BE171" i="21"/>
  <c r="BE164" i="21"/>
  <c r="CC21" i="1"/>
  <c r="BE57" i="21"/>
  <c r="BE122" i="21"/>
  <c r="BE10" i="1" s="1"/>
  <c r="CT21" i="1" l="1"/>
  <c r="BE21" i="1"/>
  <c r="BG54" i="21"/>
  <c r="BF171" i="21"/>
  <c r="BF164" i="21"/>
  <c r="BE123" i="21"/>
  <c r="BE125" i="21"/>
  <c r="BE84" i="21"/>
  <c r="BE16" i="21"/>
  <c r="BE37" i="21"/>
  <c r="BC195" i="21"/>
  <c r="CC10" i="1"/>
  <c r="BF57" i="21"/>
  <c r="BF122" i="21"/>
  <c r="BF10" i="1" s="1"/>
  <c r="BE58" i="21"/>
  <c r="CT10" i="1"/>
  <c r="CD54" i="21" l="1"/>
  <c r="CD57" i="21" s="1"/>
  <c r="BF21" i="1"/>
  <c r="BH54" i="21"/>
  <c r="BG164" i="21"/>
  <c r="BG171" i="21"/>
  <c r="BF58" i="21"/>
  <c r="CT61" i="1"/>
  <c r="CT13" i="1"/>
  <c r="CT59" i="2"/>
  <c r="BG57" i="21"/>
  <c r="BG122" i="21"/>
  <c r="BG10" i="1" s="1"/>
  <c r="BC83" i="3"/>
  <c r="BD195" i="21"/>
  <c r="BD67" i="3"/>
  <c r="BF123" i="21"/>
  <c r="BF37" i="21"/>
  <c r="BF16" i="21"/>
  <c r="BF84" i="21"/>
  <c r="BF125" i="21"/>
  <c r="CC59" i="2"/>
  <c r="CC61" i="1"/>
  <c r="CC13" i="1"/>
  <c r="CC140" i="21"/>
  <c r="BG21" i="1" l="1"/>
  <c r="BI54" i="21"/>
  <c r="BH171" i="21"/>
  <c r="BH164" i="21"/>
  <c r="BG58" i="21"/>
  <c r="CC71" i="3"/>
  <c r="CC13" i="2"/>
  <c r="CC53" i="2" s="1"/>
  <c r="BC95" i="3"/>
  <c r="CC34" i="3"/>
  <c r="CT34" i="3"/>
  <c r="BG125" i="21"/>
  <c r="BG123" i="21"/>
  <c r="BG37" i="21"/>
  <c r="BG84" i="21"/>
  <c r="BG16" i="21"/>
  <c r="CD21" i="1"/>
  <c r="CD122" i="21"/>
  <c r="CC37" i="1"/>
  <c r="BD95" i="3"/>
  <c r="CC46" i="1"/>
  <c r="CC16" i="2"/>
  <c r="CC57" i="2" s="1"/>
  <c r="BH57" i="21"/>
  <c r="BH122" i="21"/>
  <c r="BH10" i="1" s="1"/>
  <c r="CC195" i="21"/>
  <c r="BE12" i="1"/>
  <c r="BE13" i="1"/>
  <c r="BE61" i="1"/>
  <c r="BE140" i="21"/>
  <c r="BE195" i="21" s="1"/>
  <c r="BE59" i="2"/>
  <c r="BE67" i="3"/>
  <c r="BE34" i="3" s="1"/>
  <c r="CT37" i="1" l="1"/>
  <c r="CU10" i="1"/>
  <c r="BJ54" i="21"/>
  <c r="BI171" i="21"/>
  <c r="BI164" i="21"/>
  <c r="CT16" i="2"/>
  <c r="CT57" i="2" s="1"/>
  <c r="BE136" i="3"/>
  <c r="CC39" i="1"/>
  <c r="CC63" i="1"/>
  <c r="CC38" i="1"/>
  <c r="CC43" i="1"/>
  <c r="CT67" i="3"/>
  <c r="CT69" i="3" s="1"/>
  <c r="CT136" i="3"/>
  <c r="BI57" i="21"/>
  <c r="BI122" i="21"/>
  <c r="BE46" i="1"/>
  <c r="CD10" i="1"/>
  <c r="CC95" i="3"/>
  <c r="CC41" i="3"/>
  <c r="CC67" i="3"/>
  <c r="CC69" i="3" s="1"/>
  <c r="CC136" i="3"/>
  <c r="CC143" i="3" s="1"/>
  <c r="BE95" i="3"/>
  <c r="BE41" i="3"/>
  <c r="BH84" i="21"/>
  <c r="BH37" i="21"/>
  <c r="BH123" i="21"/>
  <c r="BH125" i="21"/>
  <c r="BH16" i="21"/>
  <c r="BH21" i="1"/>
  <c r="CU21" i="1" s="1"/>
  <c r="BE13" i="2"/>
  <c r="BE23" i="3" s="1"/>
  <c r="BE16" i="2"/>
  <c r="BE25" i="3" s="1"/>
  <c r="BH58" i="21"/>
  <c r="CC25" i="3"/>
  <c r="CC127" i="3" s="1"/>
  <c r="CT25" i="3"/>
  <c r="CT127" i="3" s="1"/>
  <c r="CT46" i="1"/>
  <c r="CD37" i="21"/>
  <c r="CD125" i="21"/>
  <c r="CD115" i="21"/>
  <c r="CD84" i="21"/>
  <c r="CD16" i="21"/>
  <c r="CD105" i="21"/>
  <c r="CD58" i="21"/>
  <c r="BF12" i="1"/>
  <c r="BF61" i="1"/>
  <c r="BF13" i="1"/>
  <c r="BF140" i="21"/>
  <c r="BF195" i="21" s="1"/>
  <c r="BF59" i="2"/>
  <c r="BF67" i="3"/>
  <c r="BF34" i="3" s="1"/>
  <c r="BE37" i="1"/>
  <c r="CT23" i="3"/>
  <c r="CT125" i="3" s="1"/>
  <c r="CC23" i="3"/>
  <c r="CT13" i="2"/>
  <c r="CT53" i="2" s="1"/>
  <c r="CC48" i="1"/>
  <c r="CC52" i="1"/>
  <c r="CC47" i="1"/>
  <c r="CT43" i="1" l="1"/>
  <c r="CT38" i="1"/>
  <c r="BI10" i="1"/>
  <c r="BK54" i="21"/>
  <c r="BL54" i="21" s="1"/>
  <c r="BJ164" i="21"/>
  <c r="BJ171" i="21"/>
  <c r="BE127" i="3"/>
  <c r="BI125" i="21"/>
  <c r="BI37" i="21"/>
  <c r="BI84" i="21"/>
  <c r="BI16" i="21"/>
  <c r="BI123" i="21"/>
  <c r="BI21" i="1"/>
  <c r="CT47" i="1"/>
  <c r="CT52" i="1"/>
  <c r="CT53" i="1" s="1"/>
  <c r="BF95" i="3"/>
  <c r="BF41" i="3"/>
  <c r="BG13" i="1"/>
  <c r="BG12" i="1"/>
  <c r="BG61" i="1"/>
  <c r="BG140" i="21"/>
  <c r="BG195" i="21" s="1"/>
  <c r="BG59" i="2"/>
  <c r="BG67" i="3"/>
  <c r="BG34" i="3" s="1"/>
  <c r="CD34" i="3" s="1"/>
  <c r="BE125" i="3"/>
  <c r="BE38" i="1"/>
  <c r="BE43" i="1"/>
  <c r="BE63" i="1"/>
  <c r="BF37" i="1"/>
  <c r="CT13" i="3"/>
  <c r="CC73" i="3"/>
  <c r="CC74" i="3" s="1"/>
  <c r="BC93" i="3"/>
  <c r="CC13" i="3"/>
  <c r="BC140" i="1"/>
  <c r="CC125" i="3"/>
  <c r="CD59" i="2"/>
  <c r="CD61" i="1"/>
  <c r="CD13" i="1"/>
  <c r="CD140" i="21"/>
  <c r="BF13" i="2"/>
  <c r="BF23" i="3" s="1"/>
  <c r="BF16" i="2"/>
  <c r="BI58" i="21"/>
  <c r="BF136" i="3"/>
  <c r="CT63" i="1"/>
  <c r="BE47" i="1"/>
  <c r="BE52" i="1"/>
  <c r="BF46" i="1"/>
  <c r="CC53" i="1"/>
  <c r="BJ57" i="21"/>
  <c r="BJ122" i="21"/>
  <c r="BJ10" i="1" s="1"/>
  <c r="CC64" i="1"/>
  <c r="CC44" i="1"/>
  <c r="CT44" i="1"/>
  <c r="CT64" i="1" l="1"/>
  <c r="CT65" i="1" s="1"/>
  <c r="BM54" i="21"/>
  <c r="BL57" i="21"/>
  <c r="BL122" i="21"/>
  <c r="BL171" i="21"/>
  <c r="BL164" i="21"/>
  <c r="BK171" i="21"/>
  <c r="BK164" i="21"/>
  <c r="BJ58" i="21"/>
  <c r="CC115" i="3"/>
  <c r="CC93" i="3"/>
  <c r="CC85" i="3"/>
  <c r="CC140" i="1"/>
  <c r="CU61" i="1"/>
  <c r="CU59" i="2"/>
  <c r="CU13" i="1"/>
  <c r="BF47" i="1"/>
  <c r="BF52" i="1"/>
  <c r="BG46" i="1"/>
  <c r="CD46" i="1" s="1"/>
  <c r="BG136" i="3"/>
  <c r="CC19" i="2"/>
  <c r="BD140" i="1"/>
  <c r="CT140" i="1" s="1"/>
  <c r="BD93" i="3"/>
  <c r="BE44" i="1"/>
  <c r="BE64" i="1"/>
  <c r="BE66" i="1" s="1"/>
  <c r="BG95" i="3"/>
  <c r="BG41" i="3"/>
  <c r="BH61" i="1"/>
  <c r="BH12" i="1"/>
  <c r="BH13" i="1"/>
  <c r="BH59" i="2"/>
  <c r="BH140" i="21"/>
  <c r="BH195" i="21" s="1"/>
  <c r="BH67" i="3"/>
  <c r="BH34" i="3" s="1"/>
  <c r="BI13" i="1"/>
  <c r="BI12" i="1"/>
  <c r="BI61" i="1"/>
  <c r="BI140" i="21"/>
  <c r="BI195" i="21" s="1"/>
  <c r="BI59" i="2"/>
  <c r="BI67" i="3"/>
  <c r="BI34" i="3" s="1"/>
  <c r="CD195" i="21"/>
  <c r="BF125" i="3"/>
  <c r="CD95" i="3"/>
  <c r="CD67" i="3"/>
  <c r="CD69" i="3" s="1"/>
  <c r="CD136" i="3"/>
  <c r="BK57" i="21"/>
  <c r="BK122" i="21"/>
  <c r="BK10" i="1" s="1"/>
  <c r="CE54" i="21"/>
  <c r="BJ125" i="21"/>
  <c r="BJ123" i="21"/>
  <c r="BJ84" i="21"/>
  <c r="BJ37" i="21"/>
  <c r="BJ16" i="21"/>
  <c r="BJ21" i="1"/>
  <c r="CT115" i="3"/>
  <c r="CT85" i="3"/>
  <c r="BF38" i="1"/>
  <c r="BF63" i="1"/>
  <c r="BF43" i="1"/>
  <c r="BG37" i="1"/>
  <c r="BG16" i="2"/>
  <c r="BG13" i="2"/>
  <c r="CC65" i="1"/>
  <c r="BE53" i="1"/>
  <c r="BF25" i="3"/>
  <c r="BL58" i="21" l="1"/>
  <c r="BN54" i="21"/>
  <c r="BM57" i="21"/>
  <c r="BM171" i="21"/>
  <c r="BM122" i="21"/>
  <c r="BM164" i="21"/>
  <c r="BL16" i="21"/>
  <c r="BL21" i="1"/>
  <c r="BL10" i="1"/>
  <c r="BL12" i="1" s="1"/>
  <c r="BL125" i="21"/>
  <c r="BL123" i="21"/>
  <c r="BL37" i="21"/>
  <c r="BL84" i="21"/>
  <c r="BK84" i="21"/>
  <c r="BK37" i="21"/>
  <c r="BK125" i="21"/>
  <c r="BK123" i="21"/>
  <c r="BK16" i="21"/>
  <c r="BK21" i="1"/>
  <c r="CV21" i="1" s="1"/>
  <c r="CC23" i="1"/>
  <c r="BG52" i="1"/>
  <c r="BG47" i="1"/>
  <c r="BH46" i="1"/>
  <c r="CU46" i="1" s="1"/>
  <c r="BI95" i="3"/>
  <c r="BI41" i="3"/>
  <c r="CC184" i="21"/>
  <c r="CD13" i="2"/>
  <c r="CD53" i="2" s="1"/>
  <c r="CE122" i="21"/>
  <c r="CE58" i="21" s="1"/>
  <c r="BJ61" i="1"/>
  <c r="BJ12" i="1"/>
  <c r="BJ13" i="1"/>
  <c r="BJ140" i="21"/>
  <c r="BJ195" i="21" s="1"/>
  <c r="BJ67" i="3"/>
  <c r="BJ34" i="3" s="1"/>
  <c r="BJ59" i="2"/>
  <c r="BK58" i="21"/>
  <c r="BI13" i="2"/>
  <c r="BI16" i="2"/>
  <c r="BG23" i="3"/>
  <c r="BG125" i="3" s="1"/>
  <c r="BF53" i="1"/>
  <c r="BF127" i="3"/>
  <c r="BF44" i="1"/>
  <c r="BF64" i="1"/>
  <c r="BF66" i="1" s="1"/>
  <c r="BD76" i="3"/>
  <c r="CT19" i="2"/>
  <c r="BH95" i="3"/>
  <c r="BH41" i="3"/>
  <c r="BH136" i="3"/>
  <c r="CU34" i="3"/>
  <c r="CD52" i="1"/>
  <c r="CD47" i="1"/>
  <c r="CD48" i="1"/>
  <c r="CD16" i="2"/>
  <c r="CD57" i="2" s="1"/>
  <c r="BE65" i="1"/>
  <c r="CC76" i="3"/>
  <c r="CC77" i="3" s="1"/>
  <c r="BG25" i="3"/>
  <c r="CD25" i="3" s="1"/>
  <c r="CD127" i="3" s="1"/>
  <c r="BG38" i="1"/>
  <c r="BG43" i="1"/>
  <c r="BG63" i="1"/>
  <c r="BH37" i="1"/>
  <c r="CD37" i="1"/>
  <c r="CE57" i="21"/>
  <c r="BH13" i="2"/>
  <c r="BH16" i="2"/>
  <c r="CC83" i="3"/>
  <c r="CC82" i="3" s="1"/>
  <c r="CC86" i="3" s="1"/>
  <c r="CV10" i="1" l="1"/>
  <c r="BM21" i="1"/>
  <c r="BM10" i="1"/>
  <c r="BM123" i="21"/>
  <c r="BM125" i="21"/>
  <c r="BM16" i="21"/>
  <c r="BM37" i="21"/>
  <c r="BM84" i="21"/>
  <c r="BM58" i="21"/>
  <c r="BO54" i="21"/>
  <c r="CF54" i="21" s="1"/>
  <c r="BN57" i="21"/>
  <c r="BN171" i="21"/>
  <c r="BN122" i="21"/>
  <c r="BN164" i="21"/>
  <c r="BL61" i="1"/>
  <c r="BL140" i="21"/>
  <c r="BL195" i="21" s="1"/>
  <c r="BL59" i="2"/>
  <c r="BL67" i="3"/>
  <c r="BL34" i="3" s="1"/>
  <c r="BL13" i="1"/>
  <c r="BI25" i="3"/>
  <c r="CU16" i="2"/>
  <c r="CU57" i="2" s="1"/>
  <c r="BH38" i="1"/>
  <c r="BH43" i="1"/>
  <c r="BH63" i="1"/>
  <c r="BI37" i="1"/>
  <c r="BH25" i="3"/>
  <c r="CU25" i="3" s="1"/>
  <c r="CU127" i="3" s="1"/>
  <c r="CD53" i="1"/>
  <c r="CU41" i="3"/>
  <c r="CU67" i="3"/>
  <c r="CU69" i="3" s="1"/>
  <c r="CU136" i="3"/>
  <c r="CU143" i="3" s="1"/>
  <c r="CU47" i="1"/>
  <c r="CU52" i="1"/>
  <c r="CU53" i="1" s="1"/>
  <c r="BG53" i="1"/>
  <c r="CC60" i="2"/>
  <c r="CC24" i="1"/>
  <c r="CC28" i="1"/>
  <c r="CC31" i="1"/>
  <c r="CE21" i="1"/>
  <c r="BC139" i="1"/>
  <c r="BI23" i="3"/>
  <c r="CU13" i="2"/>
  <c r="CU53" i="2" s="1"/>
  <c r="BH143" i="3"/>
  <c r="BI136" i="3"/>
  <c r="BF65" i="1"/>
  <c r="BJ13" i="2"/>
  <c r="BJ23" i="3" s="1"/>
  <c r="BJ16" i="2"/>
  <c r="BJ25" i="3" s="1"/>
  <c r="CC185" i="21"/>
  <c r="CC187" i="21"/>
  <c r="BH47" i="1"/>
  <c r="BH52" i="1"/>
  <c r="BI46" i="1"/>
  <c r="CD63" i="1"/>
  <c r="CD43" i="1"/>
  <c r="CD38" i="1"/>
  <c r="CD39" i="1"/>
  <c r="CU37" i="1"/>
  <c r="BG44" i="1"/>
  <c r="BG64" i="1"/>
  <c r="BG127" i="3"/>
  <c r="CD23" i="3"/>
  <c r="BJ95" i="3"/>
  <c r="BJ41" i="3"/>
  <c r="CE125" i="21"/>
  <c r="CE16" i="21"/>
  <c r="CE37" i="21"/>
  <c r="CE105" i="21"/>
  <c r="CE84" i="21"/>
  <c r="CE115" i="21"/>
  <c r="CT23" i="1"/>
  <c r="CT76" i="3"/>
  <c r="BH23" i="3"/>
  <c r="CU23" i="3" s="1"/>
  <c r="CU125" i="3" s="1"/>
  <c r="BC196" i="21"/>
  <c r="BG66" i="1" l="1"/>
  <c r="CV61" i="1"/>
  <c r="CV13" i="1"/>
  <c r="CV59" i="2"/>
  <c r="CF57" i="21"/>
  <c r="BL136" i="3"/>
  <c r="BL95" i="3"/>
  <c r="BL41" i="3"/>
  <c r="BM61" i="1"/>
  <c r="BM59" i="2"/>
  <c r="BM140" i="21"/>
  <c r="BM195" i="21" s="1"/>
  <c r="BM12" i="1"/>
  <c r="BM67" i="3"/>
  <c r="BM34" i="3" s="1"/>
  <c r="BM13" i="1"/>
  <c r="BL13" i="2"/>
  <c r="BL16" i="2"/>
  <c r="BN16" i="21"/>
  <c r="BN21" i="1"/>
  <c r="BN10" i="1"/>
  <c r="BN125" i="21"/>
  <c r="BN123" i="21"/>
  <c r="BN37" i="21"/>
  <c r="BN84" i="21"/>
  <c r="BN58" i="21"/>
  <c r="BO57" i="21"/>
  <c r="BO164" i="21"/>
  <c r="BO122" i="21"/>
  <c r="CF122" i="21" s="1"/>
  <c r="BO171" i="21"/>
  <c r="BI47" i="1"/>
  <c r="BI52" i="1"/>
  <c r="BJ46" i="1"/>
  <c r="BD191" i="21"/>
  <c r="CU38" i="1"/>
  <c r="CU43" i="1"/>
  <c r="CU63" i="1"/>
  <c r="BC141" i="1"/>
  <c r="CC32" i="1"/>
  <c r="CC67" i="1"/>
  <c r="CC191" i="21"/>
  <c r="BH127" i="3"/>
  <c r="BI127" i="3" s="1"/>
  <c r="BJ127" i="3" s="1"/>
  <c r="BI38" i="1"/>
  <c r="BI43" i="1"/>
  <c r="BI63" i="1"/>
  <c r="BJ37" i="1"/>
  <c r="BH125" i="3"/>
  <c r="BI125" i="3" s="1"/>
  <c r="BJ125" i="3" s="1"/>
  <c r="CD125" i="3"/>
  <c r="CD64" i="1"/>
  <c r="CD44" i="1"/>
  <c r="CC14" i="2"/>
  <c r="CC55" i="2" s="1"/>
  <c r="CC54" i="2" s="1"/>
  <c r="BH53" i="1"/>
  <c r="BJ136" i="3"/>
  <c r="BI143" i="3"/>
  <c r="BG65" i="1"/>
  <c r="BD139" i="1"/>
  <c r="BD141" i="1" s="1"/>
  <c r="CC29" i="1"/>
  <c r="CC34" i="1"/>
  <c r="CT60" i="2"/>
  <c r="CT24" i="1"/>
  <c r="CT28" i="1"/>
  <c r="CT31" i="1"/>
  <c r="CC30" i="2"/>
  <c r="BC143" i="1"/>
  <c r="BC145" i="1" s="1"/>
  <c r="BK12" i="1"/>
  <c r="BK140" i="21"/>
  <c r="BK195" i="21" s="1"/>
  <c r="BK61" i="1"/>
  <c r="BK13" i="1"/>
  <c r="BK59" i="2"/>
  <c r="BK67" i="3"/>
  <c r="BK34" i="3" s="1"/>
  <c r="CV34" i="3" s="1"/>
  <c r="CE10" i="1"/>
  <c r="BH44" i="1"/>
  <c r="BH64" i="1"/>
  <c r="BH66" i="1" s="1"/>
  <c r="CF125" i="21" l="1"/>
  <c r="CF37" i="21"/>
  <c r="CF105" i="21"/>
  <c r="CF16" i="21"/>
  <c r="CF84" i="21"/>
  <c r="CF115" i="21"/>
  <c r="CF58" i="21"/>
  <c r="BO84" i="21"/>
  <c r="BO21" i="1"/>
  <c r="CF21" i="1" s="1"/>
  <c r="BO10" i="1"/>
  <c r="BO123" i="21"/>
  <c r="BO125" i="21"/>
  <c r="BO16" i="21"/>
  <c r="BO37" i="21"/>
  <c r="BO58" i="21"/>
  <c r="CV13" i="2"/>
  <c r="CV53" i="2" s="1"/>
  <c r="BM95" i="3"/>
  <c r="BM41" i="3"/>
  <c r="BM136" i="3"/>
  <c r="BL143" i="3"/>
  <c r="CV67" i="3"/>
  <c r="CV69" i="3" s="1"/>
  <c r="CV136" i="3"/>
  <c r="CV143" i="3" s="1"/>
  <c r="CV41" i="3"/>
  <c r="BN61" i="1"/>
  <c r="BN59" i="2"/>
  <c r="BN12" i="1"/>
  <c r="BN140" i="21"/>
  <c r="BN195" i="21" s="1"/>
  <c r="BN67" i="3"/>
  <c r="BN34" i="3" s="1"/>
  <c r="BN13" i="1"/>
  <c r="CV16" i="2"/>
  <c r="CV57" i="2" s="1"/>
  <c r="BM13" i="2"/>
  <c r="BM23" i="3" s="1"/>
  <c r="BM16" i="2"/>
  <c r="CC37" i="2"/>
  <c r="CC56" i="2"/>
  <c r="CC35" i="1"/>
  <c r="CC70" i="1"/>
  <c r="BJ143" i="3"/>
  <c r="BK136" i="3"/>
  <c r="BK143" i="3" s="1"/>
  <c r="CT14" i="2"/>
  <c r="CT55" i="2" s="1"/>
  <c r="CT54" i="2" s="1"/>
  <c r="BI44" i="1"/>
  <c r="BI64" i="1"/>
  <c r="BI66" i="1" s="1"/>
  <c r="BK16" i="2"/>
  <c r="BL25" i="3" s="1"/>
  <c r="BK13" i="2"/>
  <c r="BL23" i="3" s="1"/>
  <c r="BH65" i="1"/>
  <c r="CT32" i="1"/>
  <c r="CT67" i="1"/>
  <c r="CD65" i="1"/>
  <c r="CT30" i="2"/>
  <c r="CT27" i="3"/>
  <c r="CT129" i="3" s="1"/>
  <c r="CC196" i="21"/>
  <c r="BD192" i="21"/>
  <c r="BJ47" i="1"/>
  <c r="BK46" i="1"/>
  <c r="BL46" i="1" s="1"/>
  <c r="BJ52" i="1"/>
  <c r="CE59" i="2"/>
  <c r="CE13" i="1"/>
  <c r="CE140" i="21"/>
  <c r="CE61" i="1"/>
  <c r="BK95" i="3"/>
  <c r="BK41" i="3"/>
  <c r="CE34" i="3"/>
  <c r="BC146" i="1"/>
  <c r="BC147" i="1" s="1"/>
  <c r="BC149" i="1" s="1"/>
  <c r="CC27" i="3"/>
  <c r="CC129" i="3" s="1"/>
  <c r="CT29" i="1"/>
  <c r="CT34" i="1"/>
  <c r="BD143" i="1"/>
  <c r="BD145" i="1" s="1"/>
  <c r="CC24" i="3"/>
  <c r="CT24" i="3"/>
  <c r="CT126" i="3" s="1"/>
  <c r="BJ38" i="1"/>
  <c r="BK37" i="1"/>
  <c r="BJ63" i="1"/>
  <c r="BJ43" i="1"/>
  <c r="CC68" i="1"/>
  <c r="CC192" i="21"/>
  <c r="CC79" i="1"/>
  <c r="CT141" i="1"/>
  <c r="CU44" i="1"/>
  <c r="CU64" i="1"/>
  <c r="BI53" i="1"/>
  <c r="CT139" i="1"/>
  <c r="CV46" i="1" l="1"/>
  <c r="BM25" i="3"/>
  <c r="BN13" i="2"/>
  <c r="BN23" i="3" s="1"/>
  <c r="BN16" i="2"/>
  <c r="BN136" i="3"/>
  <c r="BM143" i="3"/>
  <c r="BN95" i="3"/>
  <c r="BN41" i="3"/>
  <c r="BO61" i="1"/>
  <c r="BO140" i="21"/>
  <c r="BO195" i="21" s="1"/>
  <c r="BO12" i="1"/>
  <c r="BO59" i="2"/>
  <c r="BO67" i="3"/>
  <c r="BO34" i="3" s="1"/>
  <c r="BO13" i="1"/>
  <c r="CF10" i="1"/>
  <c r="BL125" i="3"/>
  <c r="BM125" i="3" s="1"/>
  <c r="BL127" i="3"/>
  <c r="BL37" i="1"/>
  <c r="CV37" i="1" s="1"/>
  <c r="BL52" i="1"/>
  <c r="BL53" i="1" s="1"/>
  <c r="BM46" i="1"/>
  <c r="BL47" i="1"/>
  <c r="BC101" i="3"/>
  <c r="BC151" i="1"/>
  <c r="BC152" i="1" s="1"/>
  <c r="CU65" i="1"/>
  <c r="BJ44" i="1"/>
  <c r="BJ64" i="1"/>
  <c r="BJ66" i="1" s="1"/>
  <c r="CC126" i="3"/>
  <c r="BD146" i="1"/>
  <c r="BD147" i="1" s="1"/>
  <c r="BD149" i="1" s="1"/>
  <c r="BD101" i="3" s="1"/>
  <c r="CT88" i="1"/>
  <c r="CT68" i="1"/>
  <c r="CT79" i="1"/>
  <c r="CE13" i="2"/>
  <c r="CE53" i="2" s="1"/>
  <c r="BK23" i="3"/>
  <c r="CV23" i="3" s="1"/>
  <c r="CV125" i="3" s="1"/>
  <c r="BJ53" i="1"/>
  <c r="CE16" i="2"/>
  <c r="CE57" i="2" s="1"/>
  <c r="BK25" i="3"/>
  <c r="CV25" i="3" s="1"/>
  <c r="CV127" i="3" s="1"/>
  <c r="BI65" i="1"/>
  <c r="CC71" i="1"/>
  <c r="CC139" i="1"/>
  <c r="CC82" i="1"/>
  <c r="CC89" i="1" s="1"/>
  <c r="BK38" i="1"/>
  <c r="BK63" i="1"/>
  <c r="BK43" i="1"/>
  <c r="CE37" i="1"/>
  <c r="CE195" i="21"/>
  <c r="BK52" i="1"/>
  <c r="BK53" i="1" s="1"/>
  <c r="BK47" i="1"/>
  <c r="CE46" i="1"/>
  <c r="CC85" i="1"/>
  <c r="CC95" i="1" s="1"/>
  <c r="CC80" i="1"/>
  <c r="CT35" i="1"/>
  <c r="CT70" i="1"/>
  <c r="CC146" i="1"/>
  <c r="CE95" i="3"/>
  <c r="CE41" i="3"/>
  <c r="CE67" i="3"/>
  <c r="CE69" i="3" s="1"/>
  <c r="CE136" i="3"/>
  <c r="CE143" i="3" s="1"/>
  <c r="CT56" i="2"/>
  <c r="CT37" i="2"/>
  <c r="CC91" i="1" l="1"/>
  <c r="CC102" i="1" s="1"/>
  <c r="BN125" i="3"/>
  <c r="CV63" i="1"/>
  <c r="CV38" i="1"/>
  <c r="CV43" i="1"/>
  <c r="CF61" i="1"/>
  <c r="CF59" i="2"/>
  <c r="CF140" i="21"/>
  <c r="CF195" i="21" s="1"/>
  <c r="CF13" i="1"/>
  <c r="BO95" i="3"/>
  <c r="BO41" i="3"/>
  <c r="BN25" i="3"/>
  <c r="BM127" i="3"/>
  <c r="BO13" i="2"/>
  <c r="CF13" i="2" s="1"/>
  <c r="BO16" i="2"/>
  <c r="CF16" i="2" s="1"/>
  <c r="CF57" i="2" s="1"/>
  <c r="CF34" i="3"/>
  <c r="BO136" i="3"/>
  <c r="BO143" i="3" s="1"/>
  <c r="BN143" i="3"/>
  <c r="CV52" i="1"/>
  <c r="CV53" i="1" s="1"/>
  <c r="CV47" i="1"/>
  <c r="BN46" i="1"/>
  <c r="BM47" i="1"/>
  <c r="BM52" i="1"/>
  <c r="BM53" i="1" s="1"/>
  <c r="BL43" i="1"/>
  <c r="BM37" i="1"/>
  <c r="BL63" i="1"/>
  <c r="BL38" i="1"/>
  <c r="BC185" i="2"/>
  <c r="CT85" i="1"/>
  <c r="BD151" i="1"/>
  <c r="BD152" i="1" s="1"/>
  <c r="CC96" i="1"/>
  <c r="CE63" i="1"/>
  <c r="CE38" i="1"/>
  <c r="CE39" i="1"/>
  <c r="CE43" i="1"/>
  <c r="CC143" i="1"/>
  <c r="CC83" i="1"/>
  <c r="CC98" i="1"/>
  <c r="BK44" i="1"/>
  <c r="BK64" i="1"/>
  <c r="CC141" i="1"/>
  <c r="CE25" i="3"/>
  <c r="CE127" i="3" s="1"/>
  <c r="BK127" i="3"/>
  <c r="CE23" i="3"/>
  <c r="BK125" i="3"/>
  <c r="CT71" i="1"/>
  <c r="CT82" i="1"/>
  <c r="CT89" i="1" s="1"/>
  <c r="CC92" i="1"/>
  <c r="CC86" i="1"/>
  <c r="CE48" i="1"/>
  <c r="CE52" i="1"/>
  <c r="CE47" i="1"/>
  <c r="CT146" i="1"/>
  <c r="BJ65" i="1"/>
  <c r="CT80" i="1"/>
  <c r="CT86" i="1" l="1"/>
  <c r="BO23" i="3"/>
  <c r="CF23" i="3" s="1"/>
  <c r="CF125" i="3" s="1"/>
  <c r="CV44" i="1"/>
  <c r="CV64" i="1"/>
  <c r="CV65" i="1" s="1"/>
  <c r="CF136" i="3"/>
  <c r="CF143" i="3" s="1"/>
  <c r="CF95" i="3"/>
  <c r="CF67" i="3"/>
  <c r="CF69" i="3" s="1"/>
  <c r="CF41" i="3"/>
  <c r="CF53" i="2"/>
  <c r="BN127" i="3"/>
  <c r="BO25" i="3"/>
  <c r="CF25" i="3" s="1"/>
  <c r="CF127" i="3" s="1"/>
  <c r="BL64" i="1"/>
  <c r="BL44" i="1"/>
  <c r="BN37" i="1"/>
  <c r="BM43" i="1"/>
  <c r="BM63" i="1"/>
  <c r="BM38" i="1"/>
  <c r="BN47" i="1"/>
  <c r="BN52" i="1"/>
  <c r="BN53" i="1" s="1"/>
  <c r="BO46" i="1"/>
  <c r="CF46" i="1" s="1"/>
  <c r="CC72" i="2"/>
  <c r="CC185" i="2" s="1"/>
  <c r="BC74" i="2"/>
  <c r="BC93" i="2" s="1"/>
  <c r="BK65" i="1"/>
  <c r="BK66" i="1"/>
  <c r="BC11" i="3"/>
  <c r="BC113" i="3" s="1"/>
  <c r="BD72" i="2"/>
  <c r="CT72" i="2" s="1"/>
  <c r="BD11" i="3"/>
  <c r="CT91" i="1"/>
  <c r="CT92" i="1" s="1"/>
  <c r="CT95" i="1"/>
  <c r="CT96" i="1" s="1"/>
  <c r="CE53" i="1"/>
  <c r="CC145" i="1"/>
  <c r="CE125" i="3"/>
  <c r="CC99" i="1"/>
  <c r="CC109" i="1"/>
  <c r="CE64" i="1"/>
  <c r="CE44" i="1"/>
  <c r="CC105" i="1"/>
  <c r="CC107" i="1" s="1"/>
  <c r="CT83" i="1"/>
  <c r="CT143" i="1"/>
  <c r="CT145" i="1" s="1"/>
  <c r="CT147" i="1" s="1"/>
  <c r="CT149" i="1" s="1"/>
  <c r="CT98" i="1"/>
  <c r="CC74" i="2" l="1"/>
  <c r="BO125" i="3"/>
  <c r="BC92" i="3"/>
  <c r="BC96" i="3" s="1"/>
  <c r="BC98" i="3" s="1"/>
  <c r="BC103" i="3" s="1"/>
  <c r="BC31" i="3"/>
  <c r="BC58" i="3" s="1"/>
  <c r="BC59" i="3" s="1"/>
  <c r="BD56" i="3" s="1"/>
  <c r="BC133" i="3"/>
  <c r="BC160" i="3" s="1"/>
  <c r="BC161" i="3" s="1"/>
  <c r="BC164" i="3" s="1"/>
  <c r="BO127" i="3"/>
  <c r="CF52" i="1"/>
  <c r="CF53" i="1" s="1"/>
  <c r="CF47" i="1"/>
  <c r="CF48" i="1"/>
  <c r="BM44" i="1"/>
  <c r="BM64" i="1"/>
  <c r="BO52" i="1"/>
  <c r="BO53" i="1" s="1"/>
  <c r="BO47" i="1"/>
  <c r="BN43" i="1"/>
  <c r="BO37" i="1"/>
  <c r="CF37" i="1" s="1"/>
  <c r="BN63" i="1"/>
  <c r="BN38" i="1"/>
  <c r="BL66" i="1"/>
  <c r="BL65" i="1"/>
  <c r="BC76" i="2"/>
  <c r="CC76" i="2" s="1"/>
  <c r="CC77" i="2" s="1"/>
  <c r="CC45" i="2"/>
  <c r="CC47" i="2" s="1"/>
  <c r="BC94" i="2"/>
  <c r="BC95" i="2" s="1"/>
  <c r="BD185" i="2"/>
  <c r="CC11" i="3"/>
  <c r="CC92" i="3" s="1"/>
  <c r="CC96" i="3" s="1"/>
  <c r="CT102" i="1"/>
  <c r="CT105" i="1" s="1"/>
  <c r="CT107" i="1" s="1"/>
  <c r="CT99" i="1"/>
  <c r="CT109" i="1"/>
  <c r="CT151" i="1"/>
  <c r="CT152" i="1" s="1"/>
  <c r="BD113" i="3"/>
  <c r="BD92" i="3"/>
  <c r="BD96" i="3" s="1"/>
  <c r="CE65" i="1"/>
  <c r="CT11" i="3"/>
  <c r="CT185" i="2"/>
  <c r="CC147" i="1"/>
  <c r="BC102" i="3" l="1"/>
  <c r="BC77" i="2"/>
  <c r="CC31" i="3"/>
  <c r="CC90" i="3" s="1"/>
  <c r="CC105" i="3" s="1"/>
  <c r="BD158" i="3"/>
  <c r="CF38" i="1"/>
  <c r="CF43" i="1"/>
  <c r="CF63" i="1"/>
  <c r="CF39" i="1"/>
  <c r="CT45" i="2"/>
  <c r="CT94" i="2" s="1"/>
  <c r="CT95" i="2" s="1"/>
  <c r="BO43" i="1"/>
  <c r="BO63" i="1"/>
  <c r="BO38" i="1"/>
  <c r="BM65" i="1"/>
  <c r="BM66" i="1"/>
  <c r="BN64" i="1"/>
  <c r="BN44" i="1"/>
  <c r="CC93" i="2"/>
  <c r="CC94" i="2"/>
  <c r="CC95" i="2" s="1"/>
  <c r="CC58" i="3"/>
  <c r="CC59" i="3" s="1"/>
  <c r="CD56" i="3" s="1"/>
  <c r="BC90" i="3"/>
  <c r="BC105" i="3" s="1"/>
  <c r="CC113" i="3"/>
  <c r="CC133" i="3" s="1"/>
  <c r="CC160" i="3" s="1"/>
  <c r="CC161" i="3" s="1"/>
  <c r="CD158" i="3" s="1"/>
  <c r="BD94" i="2"/>
  <c r="BD95" i="2" s="1"/>
  <c r="BD93" i="2"/>
  <c r="BD76" i="2"/>
  <c r="CT76" i="2" s="1"/>
  <c r="CT113" i="3"/>
  <c r="CC149" i="1"/>
  <c r="BD102" i="3"/>
  <c r="BD98" i="3"/>
  <c r="BD103" i="3" s="1"/>
  <c r="CC98" i="3"/>
  <c r="BE158" i="3" l="1"/>
  <c r="BF158" i="3"/>
  <c r="BG158" i="3"/>
  <c r="CT47" i="2"/>
  <c r="CT93" i="2"/>
  <c r="CF64" i="1"/>
  <c r="CF65" i="1" s="1"/>
  <c r="CF44" i="1"/>
  <c r="BN65" i="1"/>
  <c r="BN66" i="1"/>
  <c r="BO64" i="1"/>
  <c r="BO44" i="1"/>
  <c r="BC84" i="2"/>
  <c r="CC101" i="3"/>
  <c r="CC102" i="3" s="1"/>
  <c r="CC151" i="1"/>
  <c r="BO66" i="1" l="1"/>
  <c r="BO65" i="1"/>
  <c r="BC98" i="2"/>
  <c r="CC11" i="2"/>
  <c r="CC163" i="3" s="1"/>
  <c r="CC164" i="3" s="1"/>
  <c r="BC61" i="3"/>
  <c r="BC62" i="3" s="1"/>
  <c r="BD84" i="2"/>
  <c r="CC103" i="3"/>
  <c r="BC150" i="2"/>
  <c r="CC84" i="2"/>
  <c r="CC86" i="2" s="1"/>
  <c r="CC88" i="2" s="1"/>
  <c r="BC86" i="2"/>
  <c r="BC88" i="2" s="1"/>
  <c r="BC90" i="2" s="1"/>
  <c r="CC90" i="2" s="1"/>
  <c r="CC152" i="1"/>
  <c r="BD163" i="3" l="1"/>
  <c r="CT11" i="2"/>
  <c r="CT17" i="2" s="1"/>
  <c r="CC17" i="2"/>
  <c r="CC98" i="2" s="1"/>
  <c r="CC61" i="3"/>
  <c r="CC62" i="3" s="1"/>
  <c r="BD98" i="2"/>
  <c r="BC152" i="2"/>
  <c r="CC150" i="2"/>
  <c r="BD86" i="2"/>
  <c r="BD88" i="2" s="1"/>
  <c r="BD90" i="2" s="1"/>
  <c r="BD150" i="2"/>
  <c r="BD152" i="2" s="1"/>
  <c r="BE155" i="2" s="1"/>
  <c r="CT61" i="3" l="1"/>
  <c r="CT163" i="3"/>
  <c r="CC27" i="2"/>
  <c r="CC49" i="2" s="1"/>
  <c r="BD49" i="2"/>
  <c r="CC152" i="2"/>
  <c r="BD155" i="2"/>
  <c r="CT98" i="2"/>
  <c r="CT27" i="2"/>
  <c r="CC72" i="3" l="1"/>
  <c r="CT49" i="2"/>
  <c r="BD178" i="21" l="1"/>
  <c r="BD73" i="3"/>
  <c r="CT73" i="3" s="1"/>
  <c r="BI83" i="3" l="1"/>
  <c r="BJ83" i="3" s="1"/>
  <c r="BK83" i="3" s="1"/>
  <c r="BD180" i="21"/>
  <c r="BD189" i="21" s="1"/>
  <c r="BD184" i="21"/>
  <c r="BD185" i="21" s="1"/>
  <c r="BD186" i="21" s="1"/>
  <c r="BD187" i="21" l="1"/>
  <c r="BD196" i="21"/>
  <c r="BE118" i="3" l="1"/>
  <c r="BF118" i="3" s="1"/>
  <c r="BG118" i="3" s="1"/>
  <c r="BD16" i="3"/>
  <c r="CD16" i="3" l="1"/>
  <c r="CT16" i="3"/>
  <c r="CT118" i="3" l="1"/>
  <c r="CD118" i="3"/>
  <c r="BE141" i="3"/>
  <c r="BF141" i="3" s="1"/>
  <c r="BG141" i="3" s="1"/>
  <c r="BD39" i="3"/>
  <c r="CT39" i="3" l="1"/>
  <c r="CD39" i="3"/>
  <c r="BD70" i="3"/>
  <c r="BD71" i="3" s="1"/>
  <c r="BD72" i="3" l="1"/>
  <c r="CT71" i="3"/>
  <c r="BD83" i="3"/>
  <c r="BE83" i="3" s="1"/>
  <c r="BF83" i="3" s="1"/>
  <c r="BG83" i="3" s="1"/>
  <c r="BD74" i="3"/>
  <c r="BD77" i="3" s="1"/>
  <c r="BE71" i="3"/>
  <c r="CD70" i="3"/>
  <c r="CD141" i="3"/>
  <c r="CT70" i="3"/>
  <c r="CT141" i="3"/>
  <c r="CT83" i="3" l="1"/>
  <c r="CT82" i="3" s="1"/>
  <c r="CT86" i="3" s="1"/>
  <c r="CT72" i="3"/>
  <c r="CT74" i="3"/>
  <c r="CT77" i="3" s="1"/>
  <c r="BE82" i="3"/>
  <c r="BF71" i="3"/>
  <c r="BE73" i="3" l="1"/>
  <c r="BE178" i="21"/>
  <c r="BE13" i="3"/>
  <c r="BG71" i="3"/>
  <c r="BF82" i="3"/>
  <c r="BE93" i="3" l="1"/>
  <c r="BE85" i="3"/>
  <c r="BE86" i="3" s="1"/>
  <c r="BE115" i="3"/>
  <c r="BE140" i="1"/>
  <c r="BE158" i="21"/>
  <c r="BE189" i="21"/>
  <c r="BE28" i="1" s="1"/>
  <c r="BF178" i="21"/>
  <c r="BF13" i="3"/>
  <c r="BF73" i="3"/>
  <c r="BE74" i="3"/>
  <c r="BE19" i="2" s="1"/>
  <c r="CD71" i="3"/>
  <c r="BH71" i="3"/>
  <c r="BG82" i="3"/>
  <c r="BE76" i="3" l="1"/>
  <c r="BE77" i="3" s="1"/>
  <c r="BE29" i="1"/>
  <c r="BE34" i="1"/>
  <c r="BE23" i="1"/>
  <c r="BE160" i="21"/>
  <c r="BE159" i="21"/>
  <c r="BE184" i="21"/>
  <c r="BF93" i="3"/>
  <c r="BF140" i="1"/>
  <c r="BF85" i="3"/>
  <c r="BF86" i="3" s="1"/>
  <c r="CU71" i="3"/>
  <c r="BH82" i="3"/>
  <c r="BI71" i="3"/>
  <c r="BG73" i="3"/>
  <c r="BF74" i="3"/>
  <c r="BF19" i="2" s="1"/>
  <c r="BG178" i="21"/>
  <c r="BG13" i="3"/>
  <c r="BF158" i="21"/>
  <c r="BF189" i="21"/>
  <c r="BF28" i="1" s="1"/>
  <c r="BF115" i="3"/>
  <c r="BF23" i="1" l="1"/>
  <c r="BF29" i="1"/>
  <c r="BF34" i="1"/>
  <c r="BH73" i="3"/>
  <c r="CD73" i="3"/>
  <c r="CD74" i="3" s="1"/>
  <c r="BG74" i="3"/>
  <c r="BG19" i="2" s="1"/>
  <c r="BG115" i="3"/>
  <c r="BF76" i="3"/>
  <c r="BF77" i="3" s="1"/>
  <c r="BE185" i="21"/>
  <c r="BE35" i="1"/>
  <c r="BE70" i="1"/>
  <c r="BF159" i="21"/>
  <c r="BF184" i="21"/>
  <c r="BF185" i="21" s="1"/>
  <c r="BF160" i="21"/>
  <c r="BG140" i="1"/>
  <c r="BG93" i="3"/>
  <c r="BG85" i="3"/>
  <c r="BG86" i="3" s="1"/>
  <c r="BJ71" i="3"/>
  <c r="BI82" i="3"/>
  <c r="BG189" i="21"/>
  <c r="BG28" i="1" s="1"/>
  <c r="BG158" i="21"/>
  <c r="BH13" i="3"/>
  <c r="CU13" i="3" s="1"/>
  <c r="BH178" i="21"/>
  <c r="CD13" i="3"/>
  <c r="BE24" i="1"/>
  <c r="BE60" i="2"/>
  <c r="BE31" i="1"/>
  <c r="BE191" i="21" l="1"/>
  <c r="BE196" i="21" s="1"/>
  <c r="BE32" i="1"/>
  <c r="BE67" i="1"/>
  <c r="BJ82" i="3"/>
  <c r="BK71" i="3"/>
  <c r="BG29" i="1"/>
  <c r="BG34" i="1"/>
  <c r="BG23" i="1"/>
  <c r="BF60" i="2"/>
  <c r="BF24" i="1"/>
  <c r="BF31" i="1"/>
  <c r="BE14" i="2"/>
  <c r="BE30" i="2"/>
  <c r="CU85" i="3"/>
  <c r="CU115" i="3"/>
  <c r="CD23" i="1"/>
  <c r="BH140" i="1"/>
  <c r="CU140" i="1" s="1"/>
  <c r="BH115" i="3"/>
  <c r="BH93" i="3"/>
  <c r="BH85" i="3"/>
  <c r="BH86" i="3" s="1"/>
  <c r="BF186" i="21"/>
  <c r="BF187" i="21"/>
  <c r="BF35" i="1"/>
  <c r="BF70" i="1"/>
  <c r="BG160" i="21"/>
  <c r="BG159" i="21"/>
  <c r="BG184" i="21"/>
  <c r="BE186" i="21"/>
  <c r="BE187" i="21"/>
  <c r="BG76" i="3"/>
  <c r="BG77" i="3" s="1"/>
  <c r="CD19" i="2"/>
  <c r="CD93" i="3"/>
  <c r="CD140" i="1"/>
  <c r="CD115" i="3"/>
  <c r="CD85" i="3"/>
  <c r="BE71" i="1"/>
  <c r="BE82" i="1"/>
  <c r="BE139" i="1"/>
  <c r="BH189" i="21"/>
  <c r="BH28" i="1" s="1"/>
  <c r="BH158" i="21"/>
  <c r="BI178" i="21"/>
  <c r="BI13" i="3"/>
  <c r="CU73" i="3"/>
  <c r="CU74" i="3" s="1"/>
  <c r="BI73" i="3"/>
  <c r="BH74" i="3"/>
  <c r="BH19" i="2" s="1"/>
  <c r="BI158" i="21" l="1"/>
  <c r="BI189" i="21"/>
  <c r="BI28" i="1" s="1"/>
  <c r="CD83" i="3"/>
  <c r="CD82" i="3" s="1"/>
  <c r="CD86" i="3" s="1"/>
  <c r="CD76" i="3"/>
  <c r="CD77" i="3" s="1"/>
  <c r="CU83" i="3"/>
  <c r="CU82" i="3" s="1"/>
  <c r="CU86" i="3" s="1"/>
  <c r="BH29" i="1"/>
  <c r="BH34" i="1"/>
  <c r="BH23" i="1"/>
  <c r="CU23" i="1" s="1"/>
  <c r="CD60" i="2"/>
  <c r="CD24" i="1"/>
  <c r="CD31" i="1"/>
  <c r="CD28" i="1"/>
  <c r="BE24" i="3"/>
  <c r="BG24" i="1"/>
  <c r="BG31" i="1"/>
  <c r="BG60" i="2"/>
  <c r="CE71" i="3"/>
  <c r="BL71" i="3"/>
  <c r="BK82" i="3"/>
  <c r="BI93" i="3"/>
  <c r="BI85" i="3"/>
  <c r="BI86" i="3" s="1"/>
  <c r="BI140" i="1"/>
  <c r="BE141" i="1"/>
  <c r="BF32" i="1"/>
  <c r="BF191" i="21"/>
  <c r="BF196" i="21" s="1"/>
  <c r="BF67" i="1"/>
  <c r="BG35" i="1"/>
  <c r="BG70" i="1"/>
  <c r="BJ13" i="3"/>
  <c r="BJ178" i="21"/>
  <c r="CU19" i="2"/>
  <c r="BH76" i="3"/>
  <c r="BH77" i="3" s="1"/>
  <c r="BE83" i="1"/>
  <c r="BE143" i="1"/>
  <c r="BE145" i="1" s="1"/>
  <c r="BE88" i="1"/>
  <c r="BE98" i="1" s="1"/>
  <c r="BF71" i="1"/>
  <c r="BF82" i="1"/>
  <c r="BF139" i="1"/>
  <c r="BF141" i="1" s="1"/>
  <c r="BI115" i="3"/>
  <c r="BJ73" i="3"/>
  <c r="BI74" i="3"/>
  <c r="BI19" i="2" s="1"/>
  <c r="BH160" i="21"/>
  <c r="BH159" i="21"/>
  <c r="BH184" i="21"/>
  <c r="BG185" i="21"/>
  <c r="CD184" i="21"/>
  <c r="BE27" i="3"/>
  <c r="BE37" i="2"/>
  <c r="BF30" i="2"/>
  <c r="BF14" i="2"/>
  <c r="BE192" i="21"/>
  <c r="BE68" i="1"/>
  <c r="BE79" i="1"/>
  <c r="BJ115" i="3" l="1"/>
  <c r="BE129" i="3"/>
  <c r="BK13" i="3"/>
  <c r="BK115" i="3" s="1"/>
  <c r="BK178" i="21"/>
  <c r="CD32" i="1"/>
  <c r="CD191" i="21"/>
  <c r="CD67" i="1"/>
  <c r="BH70" i="1"/>
  <c r="BH35" i="1"/>
  <c r="CU24" i="1"/>
  <c r="CU60" i="2"/>
  <c r="CU31" i="1"/>
  <c r="CU28" i="1"/>
  <c r="BI160" i="21"/>
  <c r="BI159" i="21"/>
  <c r="BI184" i="21"/>
  <c r="BI185" i="21" s="1"/>
  <c r="BI76" i="3"/>
  <c r="BI77" i="3" s="1"/>
  <c r="BF88" i="1"/>
  <c r="BF83" i="1"/>
  <c r="BF143" i="1"/>
  <c r="BF145" i="1" s="1"/>
  <c r="BG71" i="1"/>
  <c r="BG82" i="1"/>
  <c r="BG139" i="1"/>
  <c r="BG141" i="1" s="1"/>
  <c r="BG32" i="1"/>
  <c r="BG191" i="21"/>
  <c r="BG196" i="21" s="1"/>
  <c r="BG67" i="1"/>
  <c r="CD34" i="1"/>
  <c r="CD29" i="1"/>
  <c r="BH31" i="1"/>
  <c r="BH60" i="2"/>
  <c r="BH24" i="1"/>
  <c r="CD185" i="21"/>
  <c r="CD187" i="21"/>
  <c r="BH185" i="21"/>
  <c r="BK73" i="3"/>
  <c r="BJ74" i="3"/>
  <c r="BJ19" i="2" s="1"/>
  <c r="BE99" i="1"/>
  <c r="BE109" i="1"/>
  <c r="CU76" i="3"/>
  <c r="CU77" i="3" s="1"/>
  <c r="BI29" i="1"/>
  <c r="BI34" i="1"/>
  <c r="BI23" i="1"/>
  <c r="BE85" i="1"/>
  <c r="BE91" i="1" s="1"/>
  <c r="BE80" i="1"/>
  <c r="BG187" i="21"/>
  <c r="BG186" i="21"/>
  <c r="BJ189" i="21"/>
  <c r="BJ28" i="1" s="1"/>
  <c r="BJ158" i="21"/>
  <c r="BE126" i="3"/>
  <c r="BF37" i="2"/>
  <c r="BF27" i="3"/>
  <c r="BE146" i="1"/>
  <c r="BE147" i="1" s="1"/>
  <c r="BE149" i="1" s="1"/>
  <c r="BJ93" i="3"/>
  <c r="BJ85" i="3"/>
  <c r="BJ86" i="3" s="1"/>
  <c r="BJ140" i="1"/>
  <c r="BF192" i="21"/>
  <c r="BF79" i="1"/>
  <c r="BF68" i="1"/>
  <c r="CV71" i="3"/>
  <c r="BL82" i="3"/>
  <c r="BM71" i="3"/>
  <c r="BG30" i="2"/>
  <c r="BG14" i="2"/>
  <c r="BG24" i="3" s="1"/>
  <c r="BF24" i="3"/>
  <c r="BF129" i="3" l="1"/>
  <c r="CD24" i="3"/>
  <c r="CD126" i="3" s="1"/>
  <c r="BE101" i="3"/>
  <c r="BE151" i="1"/>
  <c r="BE152" i="1" s="1"/>
  <c r="BE92" i="1"/>
  <c r="BE72" i="2"/>
  <c r="BE102" i="1"/>
  <c r="BE105" i="1" s="1"/>
  <c r="BJ76" i="3"/>
  <c r="BJ77" i="3" s="1"/>
  <c r="BH30" i="2"/>
  <c r="BH14" i="2"/>
  <c r="BH24" i="3" s="1"/>
  <c r="CD35" i="1"/>
  <c r="CD70" i="1"/>
  <c r="BL73" i="3"/>
  <c r="CE73" i="3"/>
  <c r="CE74" i="3" s="1"/>
  <c r="BK74" i="3"/>
  <c r="BK19" i="2" s="1"/>
  <c r="BH32" i="1"/>
  <c r="BH191" i="21"/>
  <c r="BH196" i="21" s="1"/>
  <c r="BH67" i="1"/>
  <c r="BG88" i="1"/>
  <c r="CD88" i="1" s="1"/>
  <c r="BG83" i="1"/>
  <c r="BG143" i="1"/>
  <c r="BG145" i="1" s="1"/>
  <c r="BF98" i="1"/>
  <c r="BJ159" i="21"/>
  <c r="BJ160" i="21"/>
  <c r="BJ184" i="21"/>
  <c r="CU29" i="1"/>
  <c r="CU34" i="1"/>
  <c r="CD30" i="2"/>
  <c r="BG37" i="2"/>
  <c r="BG27" i="3"/>
  <c r="BF80" i="1"/>
  <c r="BF85" i="1"/>
  <c r="BF91" i="1" s="1"/>
  <c r="BE95" i="1"/>
  <c r="BE96" i="1" s="1"/>
  <c r="BF126" i="3"/>
  <c r="BG126" i="3" s="1"/>
  <c r="BJ29" i="1"/>
  <c r="BJ23" i="1"/>
  <c r="BJ34" i="1"/>
  <c r="BI24" i="1"/>
  <c r="BI60" i="2"/>
  <c r="BI31" i="1"/>
  <c r="BH187" i="21"/>
  <c r="BH186" i="21"/>
  <c r="BG192" i="21"/>
  <c r="BG79" i="1"/>
  <c r="BG68" i="1"/>
  <c r="BI186" i="21"/>
  <c r="BI187" i="21"/>
  <c r="CU32" i="1"/>
  <c r="CU67" i="1"/>
  <c r="BH139" i="1"/>
  <c r="BH141" i="1" s="1"/>
  <c r="CU141" i="1" s="1"/>
  <c r="BH82" i="1"/>
  <c r="BH71" i="1"/>
  <c r="BK140" i="1"/>
  <c r="BK93" i="3"/>
  <c r="BK85" i="3"/>
  <c r="BK86" i="3" s="1"/>
  <c r="CE13" i="3"/>
  <c r="BI35" i="1"/>
  <c r="BI70" i="1"/>
  <c r="BF146" i="1"/>
  <c r="BF147" i="1" s="1"/>
  <c r="BF149" i="1" s="1"/>
  <c r="BF101" i="3" s="1"/>
  <c r="BN71" i="3"/>
  <c r="BM82" i="3"/>
  <c r="CD68" i="1"/>
  <c r="CD192" i="21"/>
  <c r="CD79" i="1"/>
  <c r="CD27" i="3"/>
  <c r="CD129" i="3" s="1"/>
  <c r="CD14" i="2"/>
  <c r="CD55" i="2" s="1"/>
  <c r="CD54" i="2" s="1"/>
  <c r="BL13" i="3"/>
  <c r="BL178" i="21"/>
  <c r="CD196" i="21"/>
  <c r="BK158" i="21"/>
  <c r="BK189" i="21"/>
  <c r="BK28" i="1" s="1"/>
  <c r="BG129" i="3" l="1"/>
  <c r="BF95" i="1"/>
  <c r="BF96" i="1" s="1"/>
  <c r="CD80" i="1"/>
  <c r="BO71" i="3"/>
  <c r="BN82" i="3"/>
  <c r="CU139" i="1"/>
  <c r="BJ24" i="1"/>
  <c r="BJ31" i="1"/>
  <c r="BJ60" i="2"/>
  <c r="BE185" i="2"/>
  <c r="BF72" i="2"/>
  <c r="BM13" i="3"/>
  <c r="BM178" i="21"/>
  <c r="BG80" i="1"/>
  <c r="BG85" i="1"/>
  <c r="BG95" i="1" s="1"/>
  <c r="BG96" i="1" s="1"/>
  <c r="CU70" i="1"/>
  <c r="CU35" i="1"/>
  <c r="BG146" i="1"/>
  <c r="BG147" i="1" s="1"/>
  <c r="BG149" i="1" s="1"/>
  <c r="BG101" i="3" s="1"/>
  <c r="BL158" i="21"/>
  <c r="BL189" i="21"/>
  <c r="BL28" i="1" s="1"/>
  <c r="CE93" i="3"/>
  <c r="CE115" i="3"/>
  <c r="CE140" i="1"/>
  <c r="CE85" i="3"/>
  <c r="BH83" i="1"/>
  <c r="BH143" i="1"/>
  <c r="BH145" i="1" s="1"/>
  <c r="BH88" i="1"/>
  <c r="BH98" i="1" s="1"/>
  <c r="BI32" i="1"/>
  <c r="BI191" i="21"/>
  <c r="BI196" i="21" s="1"/>
  <c r="BI67" i="1"/>
  <c r="BJ35" i="1"/>
  <c r="BJ70" i="1"/>
  <c r="BJ185" i="21"/>
  <c r="BG98" i="1"/>
  <c r="BH68" i="1"/>
  <c r="BH192" i="21"/>
  <c r="BH79" i="1"/>
  <c r="BK76" i="3"/>
  <c r="BK77" i="3" s="1"/>
  <c r="CE19" i="2"/>
  <c r="CD71" i="1"/>
  <c r="CD139" i="1"/>
  <c r="CD82" i="1"/>
  <c r="CD89" i="1" s="1"/>
  <c r="CU14" i="2"/>
  <c r="CU55" i="2" s="1"/>
  <c r="CU54" i="2" s="1"/>
  <c r="BE107" i="1"/>
  <c r="BE11" i="3"/>
  <c r="CU88" i="1"/>
  <c r="BK29" i="1"/>
  <c r="BK23" i="1"/>
  <c r="BK34" i="1"/>
  <c r="BL93" i="3"/>
  <c r="BL140" i="1"/>
  <c r="CV140" i="1" s="1"/>
  <c r="BL85" i="3"/>
  <c r="BL86" i="3" s="1"/>
  <c r="BL115" i="3"/>
  <c r="BM115" i="3" s="1"/>
  <c r="CV13" i="3"/>
  <c r="BF92" i="1"/>
  <c r="BF102" i="1"/>
  <c r="BF105" i="1" s="1"/>
  <c r="CU30" i="2"/>
  <c r="BH37" i="2"/>
  <c r="BH27" i="3"/>
  <c r="BK159" i="21"/>
  <c r="BK160" i="21"/>
  <c r="BK184" i="21"/>
  <c r="BK185" i="21" s="1"/>
  <c r="BH126" i="3"/>
  <c r="CD146" i="1"/>
  <c r="BI71" i="1"/>
  <c r="BI82" i="1"/>
  <c r="BI139" i="1"/>
  <c r="BI30" i="2"/>
  <c r="BI14" i="2"/>
  <c r="CD56" i="2"/>
  <c r="CD37" i="2"/>
  <c r="CD85" i="1"/>
  <c r="CV73" i="3"/>
  <c r="CV74" i="3" s="1"/>
  <c r="BM73" i="3"/>
  <c r="BL74" i="3"/>
  <c r="BL19" i="2" s="1"/>
  <c r="CU68" i="1"/>
  <c r="CU79" i="1"/>
  <c r="BF99" i="1"/>
  <c r="BF109" i="1"/>
  <c r="BF151" i="1"/>
  <c r="BF152" i="1" s="1"/>
  <c r="CU24" i="3"/>
  <c r="CU126" i="3" s="1"/>
  <c r="BH99" i="1" l="1"/>
  <c r="BH109" i="1"/>
  <c r="BI83" i="1"/>
  <c r="BI88" i="1"/>
  <c r="BI98" i="1" s="1"/>
  <c r="BI143" i="1"/>
  <c r="BI145" i="1" s="1"/>
  <c r="BH129" i="3"/>
  <c r="BK35" i="1"/>
  <c r="BK70" i="1"/>
  <c r="BE113" i="3"/>
  <c r="BE92" i="3"/>
  <c r="BE96" i="3" s="1"/>
  <c r="BE31" i="3"/>
  <c r="CD143" i="1"/>
  <c r="CD98" i="1"/>
  <c r="CD83" i="1"/>
  <c r="BG151" i="1"/>
  <c r="BG152" i="1" s="1"/>
  <c r="BG99" i="1"/>
  <c r="BG109" i="1"/>
  <c r="BL29" i="1"/>
  <c r="BL23" i="1"/>
  <c r="CV23" i="1" s="1"/>
  <c r="BL34" i="1"/>
  <c r="BG91" i="1"/>
  <c r="BG72" i="2" s="1"/>
  <c r="BM140" i="1"/>
  <c r="BM93" i="3"/>
  <c r="BM85" i="3"/>
  <c r="BM86" i="3" s="1"/>
  <c r="CF71" i="3"/>
  <c r="BO82" i="3"/>
  <c r="CD86" i="1"/>
  <c r="BI37" i="2"/>
  <c r="BI27" i="3"/>
  <c r="CE76" i="3"/>
  <c r="CE77" i="3" s="1"/>
  <c r="CE184" i="21"/>
  <c r="BL76" i="3"/>
  <c r="BL77" i="3" s="1"/>
  <c r="CV19" i="2"/>
  <c r="CD95" i="1"/>
  <c r="CU56" i="2"/>
  <c r="CU37" i="2"/>
  <c r="CV85" i="3"/>
  <c r="CV115" i="3"/>
  <c r="BI24" i="3"/>
  <c r="BI126" i="3" s="1"/>
  <c r="CD141" i="1"/>
  <c r="BJ186" i="21"/>
  <c r="BJ187" i="21"/>
  <c r="BI192" i="21"/>
  <c r="BI68" i="1"/>
  <c r="BI79" i="1"/>
  <c r="BJ30" i="2"/>
  <c r="BJ14" i="2"/>
  <c r="BN13" i="3"/>
  <c r="BN115" i="3" s="1"/>
  <c r="BN178" i="21"/>
  <c r="CD91" i="1"/>
  <c r="BK186" i="21"/>
  <c r="BK187" i="21"/>
  <c r="BK24" i="1"/>
  <c r="BK60" i="2"/>
  <c r="BK31" i="1"/>
  <c r="BH80" i="1"/>
  <c r="BH85" i="1"/>
  <c r="BH91" i="1" s="1"/>
  <c r="BL159" i="21"/>
  <c r="BL160" i="21"/>
  <c r="BL184" i="21"/>
  <c r="BF185" i="2"/>
  <c r="CE23" i="1"/>
  <c r="CU80" i="1"/>
  <c r="BN73" i="3"/>
  <c r="BM74" i="3"/>
  <c r="BM19" i="2" s="1"/>
  <c r="BI141" i="1"/>
  <c r="BF107" i="1"/>
  <c r="BF11" i="3"/>
  <c r="CU146" i="1"/>
  <c r="BJ71" i="1"/>
  <c r="BJ139" i="1"/>
  <c r="BJ141" i="1" s="1"/>
  <c r="BJ82" i="1"/>
  <c r="BH146" i="1"/>
  <c r="BH147" i="1" s="1"/>
  <c r="BH149" i="1" s="1"/>
  <c r="BH101" i="3" s="1"/>
  <c r="CE83" i="3"/>
  <c r="CE82" i="3" s="1"/>
  <c r="CE86" i="3" s="1"/>
  <c r="CU82" i="1"/>
  <c r="CU89" i="1" s="1"/>
  <c r="CU71" i="1"/>
  <c r="BM158" i="21"/>
  <c r="BM189" i="21"/>
  <c r="BM28" i="1" s="1"/>
  <c r="BJ32" i="1"/>
  <c r="BJ191" i="21"/>
  <c r="BJ196" i="21" s="1"/>
  <c r="BJ67" i="1"/>
  <c r="CU27" i="3"/>
  <c r="CU129" i="3" s="1"/>
  <c r="BH95" i="1" l="1"/>
  <c r="BH96" i="1" s="1"/>
  <c r="BI129" i="3"/>
  <c r="BF31" i="3"/>
  <c r="BF92" i="3"/>
  <c r="BF96" i="3" s="1"/>
  <c r="CD92" i="1"/>
  <c r="CD102" i="1"/>
  <c r="BI80" i="1"/>
  <c r="BI85" i="1"/>
  <c r="BI91" i="1" s="1"/>
  <c r="CV76" i="3"/>
  <c r="CV77" i="3" s="1"/>
  <c r="BO13" i="3"/>
  <c r="CF13" i="3" s="1"/>
  <c r="BO178" i="21"/>
  <c r="CD145" i="1"/>
  <c r="BK139" i="1"/>
  <c r="BK71" i="1"/>
  <c r="BK82" i="1"/>
  <c r="BO73" i="3"/>
  <c r="BN74" i="3"/>
  <c r="BN19" i="2" s="1"/>
  <c r="CD96" i="1"/>
  <c r="BJ192" i="21"/>
  <c r="BJ68" i="1"/>
  <c r="BJ79" i="1"/>
  <c r="BM23" i="1"/>
  <c r="BM34" i="1"/>
  <c r="BM29" i="1"/>
  <c r="CE60" i="2"/>
  <c r="CE24" i="1"/>
  <c r="CE28" i="1"/>
  <c r="CE31" i="1"/>
  <c r="BL185" i="21"/>
  <c r="BK14" i="2"/>
  <c r="BK24" i="3" s="1"/>
  <c r="BK30" i="2"/>
  <c r="CU85" i="1"/>
  <c r="CV83" i="3"/>
  <c r="CV82" i="3" s="1"/>
  <c r="CV86" i="3" s="1"/>
  <c r="BG92" i="1"/>
  <c r="BG102" i="1"/>
  <c r="BG105" i="1" s="1"/>
  <c r="BF113" i="3"/>
  <c r="BI146" i="1"/>
  <c r="BI147" i="1" s="1"/>
  <c r="BI149" i="1" s="1"/>
  <c r="BM160" i="21"/>
  <c r="BM159" i="21"/>
  <c r="BM184" i="21"/>
  <c r="BM185" i="21" s="1"/>
  <c r="BJ37" i="2"/>
  <c r="BJ27" i="3"/>
  <c r="BL70" i="1"/>
  <c r="BL35" i="1"/>
  <c r="BJ129" i="3"/>
  <c r="BM76" i="3"/>
  <c r="BM77" i="3" s="1"/>
  <c r="BG185" i="2"/>
  <c r="CD72" i="2"/>
  <c r="BH72" i="2"/>
  <c r="CV24" i="1"/>
  <c r="CV60" i="2"/>
  <c r="CV28" i="1"/>
  <c r="CV31" i="1"/>
  <c r="BN158" i="21"/>
  <c r="BN189" i="21"/>
  <c r="BN28" i="1" s="1"/>
  <c r="BL24" i="1"/>
  <c r="BL60" i="2"/>
  <c r="BL31" i="1"/>
  <c r="BE90" i="3"/>
  <c r="BE105" i="3" s="1"/>
  <c r="BE58" i="3"/>
  <c r="BH151" i="1"/>
  <c r="BH152" i="1" s="1"/>
  <c r="BJ83" i="1"/>
  <c r="BJ88" i="1"/>
  <c r="BJ98" i="1" s="1"/>
  <c r="BJ143" i="1"/>
  <c r="BJ145" i="1" s="1"/>
  <c r="BI99" i="1"/>
  <c r="BI109" i="1"/>
  <c r="CU143" i="1"/>
  <c r="CU145" i="1" s="1"/>
  <c r="CU147" i="1" s="1"/>
  <c r="CU149" i="1" s="1"/>
  <c r="CU98" i="1"/>
  <c r="CU83" i="1"/>
  <c r="BH92" i="1"/>
  <c r="BH102" i="1"/>
  <c r="BH105" i="1" s="1"/>
  <c r="BK191" i="21"/>
  <c r="BK196" i="21" s="1"/>
  <c r="BK32" i="1"/>
  <c r="BK67" i="1"/>
  <c r="BN140" i="1"/>
  <c r="BN93" i="3"/>
  <c r="BN85" i="3"/>
  <c r="BN86" i="3" s="1"/>
  <c r="CE185" i="21"/>
  <c r="CE187" i="21"/>
  <c r="CD99" i="1"/>
  <c r="CD109" i="1"/>
  <c r="BE98" i="3"/>
  <c r="BE103" i="3" s="1"/>
  <c r="BE102" i="3"/>
  <c r="BJ24" i="3"/>
  <c r="BJ126" i="3" s="1"/>
  <c r="BI95" i="1" l="1"/>
  <c r="BI96" i="1" s="1"/>
  <c r="BI101" i="3"/>
  <c r="BI151" i="1"/>
  <c r="BI152" i="1" s="1"/>
  <c r="CE24" i="3"/>
  <c r="CV29" i="1"/>
  <c r="CV34" i="1"/>
  <c r="CF115" i="3"/>
  <c r="CF7" i="3"/>
  <c r="CF85" i="3"/>
  <c r="CF93" i="3"/>
  <c r="BK192" i="21"/>
  <c r="BK68" i="1"/>
  <c r="BK79" i="1"/>
  <c r="BH107" i="1"/>
  <c r="BH11" i="3"/>
  <c r="BJ146" i="1"/>
  <c r="BJ147" i="1" s="1"/>
  <c r="BJ149" i="1" s="1"/>
  <c r="BN29" i="1"/>
  <c r="BN34" i="1"/>
  <c r="BN23" i="1"/>
  <c r="CD185" i="2"/>
  <c r="BL139" i="1"/>
  <c r="BL141" i="1" s="1"/>
  <c r="BL71" i="1"/>
  <c r="BL82" i="1"/>
  <c r="BM187" i="21"/>
  <c r="BM186" i="21"/>
  <c r="CE29" i="1"/>
  <c r="CE34" i="1"/>
  <c r="BM24" i="1"/>
  <c r="BM60" i="2"/>
  <c r="BM31" i="1"/>
  <c r="CF73" i="3"/>
  <c r="CF74" i="3" s="1"/>
  <c r="BO74" i="3"/>
  <c r="BO19" i="2" s="1"/>
  <c r="BL32" i="1"/>
  <c r="BL191" i="21"/>
  <c r="BL196" i="21" s="1"/>
  <c r="BL67" i="1"/>
  <c r="BN159" i="21"/>
  <c r="BN160" i="21"/>
  <c r="BN184" i="21"/>
  <c r="BG11" i="3"/>
  <c r="BG113" i="3" s="1"/>
  <c r="BG107" i="1"/>
  <c r="CU86" i="1"/>
  <c r="CU95" i="1"/>
  <c r="CU96" i="1" s="1"/>
  <c r="CU91" i="1"/>
  <c r="BJ85" i="1"/>
  <c r="BJ95" i="1" s="1"/>
  <c r="BJ96" i="1" s="1"/>
  <c r="BJ80" i="1"/>
  <c r="BK83" i="1"/>
  <c r="BK88" i="1"/>
  <c r="CE88" i="1" s="1"/>
  <c r="BK143" i="1"/>
  <c r="BK145" i="1" s="1"/>
  <c r="CD147" i="1"/>
  <c r="CD105" i="1"/>
  <c r="BF102" i="3"/>
  <c r="BF98" i="3"/>
  <c r="BF103" i="3" s="1"/>
  <c r="CU99" i="1"/>
  <c r="CU109" i="1"/>
  <c r="CU151" i="1"/>
  <c r="CU152" i="1" s="1"/>
  <c r="BJ109" i="1"/>
  <c r="BJ99" i="1"/>
  <c r="BL30" i="2"/>
  <c r="BL14" i="2"/>
  <c r="BL24" i="3" s="1"/>
  <c r="CV67" i="1"/>
  <c r="CV32" i="1"/>
  <c r="CE30" i="2"/>
  <c r="BK37" i="2"/>
  <c r="BK27" i="3"/>
  <c r="BL187" i="21"/>
  <c r="BL186" i="21"/>
  <c r="BO158" i="21"/>
  <c r="BO189" i="21"/>
  <c r="BO28" i="1" s="1"/>
  <c r="BF90" i="3"/>
  <c r="BF105" i="3" s="1"/>
  <c r="BF58" i="3"/>
  <c r="BK126" i="3"/>
  <c r="BE11" i="2"/>
  <c r="CU72" i="2"/>
  <c r="BH185" i="2"/>
  <c r="BI72" i="2"/>
  <c r="CE14" i="2"/>
  <c r="CE55" i="2" s="1"/>
  <c r="CE54" i="2" s="1"/>
  <c r="CE32" i="1"/>
  <c r="CE191" i="21"/>
  <c r="CE67" i="1"/>
  <c r="BM70" i="1"/>
  <c r="BM35" i="1"/>
  <c r="BN76" i="3"/>
  <c r="BN77" i="3" s="1"/>
  <c r="BK141" i="1"/>
  <c r="CV139" i="1"/>
  <c r="BO140" i="1"/>
  <c r="BO93" i="3"/>
  <c r="BO85" i="3"/>
  <c r="BO86" i="3" s="1"/>
  <c r="BI92" i="1"/>
  <c r="BI102" i="1"/>
  <c r="BI105" i="1" s="1"/>
  <c r="BO115" i="3"/>
  <c r="CV141" i="1" l="1"/>
  <c r="BK98" i="1"/>
  <c r="BJ91" i="1"/>
  <c r="BJ101" i="3"/>
  <c r="BJ151" i="1"/>
  <c r="BJ152" i="1" s="1"/>
  <c r="BL126" i="3"/>
  <c r="CU185" i="2"/>
  <c r="BO29" i="1"/>
  <c r="BO23" i="1"/>
  <c r="CF23" i="1" s="1"/>
  <c r="BO34" i="1"/>
  <c r="CV14" i="2"/>
  <c r="CV55" i="2" s="1"/>
  <c r="CV54" i="2" s="1"/>
  <c r="CU102" i="1"/>
  <c r="CU105" i="1" s="1"/>
  <c r="CU107" i="1" s="1"/>
  <c r="CU92" i="1"/>
  <c r="CF19" i="2"/>
  <c r="BO76" i="3"/>
  <c r="BO77" i="3" s="1"/>
  <c r="CE146" i="1"/>
  <c r="CV35" i="1"/>
  <c r="CV70" i="1"/>
  <c r="BM71" i="1"/>
  <c r="BM139" i="1"/>
  <c r="BM141" i="1" s="1"/>
  <c r="BM82" i="1"/>
  <c r="BK129" i="3"/>
  <c r="BL37" i="2"/>
  <c r="CV30" i="2"/>
  <c r="BL27" i="3"/>
  <c r="CV27" i="3" s="1"/>
  <c r="CV129" i="3" s="1"/>
  <c r="BN60" i="2"/>
  <c r="BN24" i="1"/>
  <c r="BN31" i="1"/>
  <c r="BK80" i="1"/>
  <c r="BK85" i="1"/>
  <c r="BK91" i="1" s="1"/>
  <c r="CE68" i="1"/>
  <c r="CE192" i="21"/>
  <c r="CE79" i="1"/>
  <c r="BI185" i="2"/>
  <c r="BE17" i="2"/>
  <c r="BE61" i="3"/>
  <c r="BF11" i="2"/>
  <c r="BE84" i="2"/>
  <c r="BE163" i="3"/>
  <c r="CE56" i="2"/>
  <c r="CE37" i="2"/>
  <c r="CD107" i="1"/>
  <c r="BG31" i="3"/>
  <c r="BG92" i="3"/>
  <c r="BG96" i="3" s="1"/>
  <c r="CD11" i="3"/>
  <c r="CU11" i="3"/>
  <c r="BL192" i="21"/>
  <c r="BL68" i="1"/>
  <c r="BL79" i="1"/>
  <c r="BM32" i="1"/>
  <c r="BM191" i="21"/>
  <c r="BM196" i="21" s="1"/>
  <c r="BM67" i="1"/>
  <c r="BN35" i="1"/>
  <c r="BN70" i="1"/>
  <c r="CF83" i="3"/>
  <c r="CF82" i="3" s="1"/>
  <c r="CF86" i="3" s="1"/>
  <c r="CE27" i="3"/>
  <c r="CE129" i="3" s="1"/>
  <c r="BO159" i="21"/>
  <c r="BO160" i="21"/>
  <c r="BO184" i="21"/>
  <c r="BO185" i="21" s="1"/>
  <c r="BK99" i="1"/>
  <c r="BK109" i="1"/>
  <c r="BJ102" i="1"/>
  <c r="BJ105" i="1" s="1"/>
  <c r="CE35" i="1"/>
  <c r="CE70" i="1"/>
  <c r="BI107" i="1"/>
  <c r="BI11" i="3"/>
  <c r="CE196" i="21"/>
  <c r="CV79" i="1"/>
  <c r="CV68" i="1"/>
  <c r="CD149" i="1"/>
  <c r="BK146" i="1"/>
  <c r="BK147" i="1" s="1"/>
  <c r="BK149" i="1" s="1"/>
  <c r="BK95" i="1"/>
  <c r="BK96" i="1" s="1"/>
  <c r="BN185" i="21"/>
  <c r="BM30" i="2"/>
  <c r="BM14" i="2"/>
  <c r="BL83" i="1"/>
  <c r="BL88" i="1"/>
  <c r="CV88" i="1" s="1"/>
  <c r="BL143" i="1"/>
  <c r="BL145" i="1" s="1"/>
  <c r="BH92" i="3"/>
  <c r="BH96" i="3" s="1"/>
  <c r="BH31" i="3"/>
  <c r="BH113" i="3"/>
  <c r="CE126" i="3"/>
  <c r="CV24" i="3"/>
  <c r="CV126" i="3" s="1"/>
  <c r="CE85" i="1" l="1"/>
  <c r="BJ92" i="1"/>
  <c r="BJ72" i="2"/>
  <c r="BK72" i="2" s="1"/>
  <c r="BK101" i="3"/>
  <c r="BK151" i="1"/>
  <c r="BK152" i="1" s="1"/>
  <c r="BK92" i="1"/>
  <c r="BK102" i="1"/>
  <c r="BK105" i="1" s="1"/>
  <c r="BO186" i="21"/>
  <c r="BO187" i="21"/>
  <c r="BM192" i="21"/>
  <c r="BM68" i="1"/>
  <c r="BM79" i="1"/>
  <c r="CD113" i="3"/>
  <c r="CD92" i="3"/>
  <c r="CD96" i="3" s="1"/>
  <c r="BM37" i="2"/>
  <c r="BM27" i="3"/>
  <c r="CV146" i="1"/>
  <c r="BH90" i="3"/>
  <c r="BH105" i="3" s="1"/>
  <c r="BH58" i="3"/>
  <c r="BL146" i="1"/>
  <c r="BL147" i="1" s="1"/>
  <c r="BL149" i="1" s="1"/>
  <c r="BL101" i="3" s="1"/>
  <c r="CF184" i="21"/>
  <c r="BL80" i="1"/>
  <c r="BL85" i="1"/>
  <c r="CV85" i="1" s="1"/>
  <c r="CU113" i="3"/>
  <c r="CU133" i="3" s="1"/>
  <c r="CU160" i="3" s="1"/>
  <c r="CU31" i="3"/>
  <c r="CU90" i="3" s="1"/>
  <c r="BN30" i="2"/>
  <c r="BN14" i="2"/>
  <c r="BH102" i="3"/>
  <c r="BH98" i="3"/>
  <c r="BH103" i="3" s="1"/>
  <c r="BI31" i="3"/>
  <c r="BI92" i="3"/>
  <c r="BI96" i="3" s="1"/>
  <c r="BE98" i="2"/>
  <c r="BE27" i="2"/>
  <c r="CF24" i="1"/>
  <c r="CF60" i="2"/>
  <c r="CF31" i="1"/>
  <c r="CF28" i="1"/>
  <c r="BL129" i="3"/>
  <c r="CV71" i="1"/>
  <c r="CV82" i="1"/>
  <c r="CV89" i="1" s="1"/>
  <c r="BO70" i="1"/>
  <c r="BO35" i="1"/>
  <c r="BH133" i="3"/>
  <c r="BH160" i="3" s="1"/>
  <c r="BI113" i="3"/>
  <c r="BL98" i="1"/>
  <c r="BN24" i="3"/>
  <c r="CE86" i="1"/>
  <c r="CD101" i="3"/>
  <c r="CD151" i="1"/>
  <c r="CE71" i="1"/>
  <c r="CE139" i="1"/>
  <c r="CE82" i="1"/>
  <c r="BJ107" i="1"/>
  <c r="BJ11" i="3"/>
  <c r="BG102" i="3"/>
  <c r="BG98" i="3"/>
  <c r="BG103" i="3" s="1"/>
  <c r="BE150" i="2"/>
  <c r="BE152" i="2" s="1"/>
  <c r="BF155" i="2" s="1"/>
  <c r="BE86" i="2"/>
  <c r="BE88" i="2" s="1"/>
  <c r="BE90" i="2" s="1"/>
  <c r="CE80" i="1"/>
  <c r="CE91" i="1"/>
  <c r="BN191" i="21"/>
  <c r="BN196" i="21" s="1"/>
  <c r="BN32" i="1"/>
  <c r="BN67" i="1"/>
  <c r="CV37" i="2"/>
  <c r="CV56" i="2"/>
  <c r="BM83" i="1"/>
  <c r="BM88" i="1"/>
  <c r="BM143" i="1"/>
  <c r="BM145" i="1" s="1"/>
  <c r="CE95" i="1"/>
  <c r="BM24" i="3"/>
  <c r="BO24" i="1"/>
  <c r="BO31" i="1"/>
  <c r="BO60" i="2"/>
  <c r="BM126" i="3"/>
  <c r="BN186" i="21"/>
  <c r="BN187" i="21"/>
  <c r="CV80" i="1"/>
  <c r="BN139" i="1"/>
  <c r="BN141" i="1" s="1"/>
  <c r="BN71" i="1"/>
  <c r="BN82" i="1"/>
  <c r="BG58" i="3"/>
  <c r="BG11" i="2" s="1"/>
  <c r="BG90" i="3"/>
  <c r="BG105" i="3" s="1"/>
  <c r="BF163" i="3"/>
  <c r="BF84" i="2"/>
  <c r="BF17" i="2"/>
  <c r="BF61" i="3"/>
  <c r="CF76" i="3"/>
  <c r="CF77" i="3" s="1"/>
  <c r="BN126" i="3" l="1"/>
  <c r="BM129" i="3"/>
  <c r="BJ185" i="2"/>
  <c r="CV86" i="1"/>
  <c r="BM146" i="1"/>
  <c r="BM147" i="1" s="1"/>
  <c r="BM149" i="1" s="1"/>
  <c r="BM101" i="3" s="1"/>
  <c r="BN68" i="1"/>
  <c r="BN192" i="21"/>
  <c r="BN79" i="1"/>
  <c r="CE92" i="1"/>
  <c r="CE102" i="1"/>
  <c r="BK185" i="2"/>
  <c r="CE72" i="2"/>
  <c r="BF98" i="2"/>
  <c r="BF27" i="2"/>
  <c r="CU58" i="3"/>
  <c r="BO191" i="21"/>
  <c r="BO196" i="21" s="1"/>
  <c r="BO32" i="1"/>
  <c r="BO67" i="1"/>
  <c r="CD152" i="1"/>
  <c r="BF86" i="2"/>
  <c r="BF88" i="2" s="1"/>
  <c r="BF90" i="2" s="1"/>
  <c r="BF150" i="2"/>
  <c r="BF152" i="2" s="1"/>
  <c r="BG155" i="2" s="1"/>
  <c r="BN83" i="1"/>
  <c r="BN143" i="1"/>
  <c r="BN145" i="1" s="1"/>
  <c r="BN88" i="1"/>
  <c r="BN98" i="1" s="1"/>
  <c r="BM98" i="1"/>
  <c r="BJ92" i="3"/>
  <c r="BJ96" i="3" s="1"/>
  <c r="BJ31" i="3"/>
  <c r="CE141" i="1"/>
  <c r="CF187" i="21"/>
  <c r="CF185" i="21"/>
  <c r="CV95" i="1"/>
  <c r="CV96" i="1" s="1"/>
  <c r="BG61" i="3"/>
  <c r="BG163" i="3"/>
  <c r="BG17" i="2"/>
  <c r="CD11" i="2"/>
  <c r="BG84" i="2"/>
  <c r="BH11" i="2"/>
  <c r="CV91" i="1"/>
  <c r="BN27" i="3"/>
  <c r="BN37" i="2"/>
  <c r="BM85" i="1"/>
  <c r="BM80" i="1"/>
  <c r="BO14" i="2"/>
  <c r="CF14" i="2" s="1"/>
  <c r="CF55" i="2" s="1"/>
  <c r="CF54" i="2" s="1"/>
  <c r="BO30" i="2"/>
  <c r="CE96" i="1"/>
  <c r="CE83" i="1"/>
  <c r="CE143" i="1"/>
  <c r="CE98" i="1"/>
  <c r="CE89" i="1"/>
  <c r="BL99" i="1"/>
  <c r="BL151" i="1"/>
  <c r="BL152" i="1" s="1"/>
  <c r="BL109" i="1"/>
  <c r="BO139" i="1"/>
  <c r="BO141" i="1" s="1"/>
  <c r="BO71" i="1"/>
  <c r="BO82" i="1"/>
  <c r="CV83" i="1"/>
  <c r="CV98" i="1"/>
  <c r="CV143" i="1"/>
  <c r="CV145" i="1" s="1"/>
  <c r="CV147" i="1" s="1"/>
  <c r="CV149" i="1" s="1"/>
  <c r="CF29" i="1"/>
  <c r="CF34" i="1"/>
  <c r="BE72" i="3"/>
  <c r="BI102" i="3"/>
  <c r="BI98" i="3"/>
  <c r="BI103" i="3" s="1"/>
  <c r="BI133" i="3"/>
  <c r="BI160" i="3" s="1"/>
  <c r="BJ113" i="3"/>
  <c r="CF32" i="1"/>
  <c r="CF191" i="21"/>
  <c r="CF196" i="21" s="1"/>
  <c r="CF67" i="1"/>
  <c r="BI90" i="3"/>
  <c r="BI105" i="3" s="1"/>
  <c r="BI58" i="3"/>
  <c r="CU105" i="3"/>
  <c r="BL91" i="1"/>
  <c r="BL95" i="1"/>
  <c r="BL96" i="1" s="1"/>
  <c r="CD102" i="3"/>
  <c r="CD98" i="3"/>
  <c r="CD103" i="3" s="1"/>
  <c r="BK107" i="1"/>
  <c r="BK11" i="3"/>
  <c r="CE11" i="3" s="1"/>
  <c r="CF192" i="21" l="1"/>
  <c r="CF68" i="1"/>
  <c r="CF79" i="1"/>
  <c r="BH61" i="3"/>
  <c r="BH163" i="3"/>
  <c r="BH17" i="2"/>
  <c r="CU11" i="2"/>
  <c r="BI11" i="2"/>
  <c r="BH84" i="2"/>
  <c r="BM109" i="1"/>
  <c r="BM151" i="1"/>
  <c r="BM152" i="1" s="1"/>
  <c r="BM99" i="1"/>
  <c r="CE99" i="1"/>
  <c r="CE109" i="1"/>
  <c r="CD84" i="2"/>
  <c r="CD86" i="2" s="1"/>
  <c r="CD88" i="2" s="1"/>
  <c r="BG150" i="2"/>
  <c r="BG86" i="2"/>
  <c r="BG88" i="2" s="1"/>
  <c r="BG90" i="2" s="1"/>
  <c r="CD90" i="2" s="1"/>
  <c r="BO24" i="3"/>
  <c r="BN109" i="1"/>
  <c r="BN99" i="1"/>
  <c r="CE105" i="1"/>
  <c r="BN80" i="1"/>
  <c r="BN85" i="1"/>
  <c r="BN91" i="1" s="1"/>
  <c r="BM95" i="1"/>
  <c r="BM96" i="1" s="1"/>
  <c r="BK92" i="3"/>
  <c r="BK96" i="3" s="1"/>
  <c r="BK31" i="3"/>
  <c r="CF35" i="1"/>
  <c r="CF70" i="1"/>
  <c r="BL92" i="1"/>
  <c r="BL102" i="1"/>
  <c r="BL105" i="1" s="1"/>
  <c r="BJ133" i="3"/>
  <c r="BJ160" i="3" s="1"/>
  <c r="BK113" i="3"/>
  <c r="BK133" i="3" s="1"/>
  <c r="BK160" i="3" s="1"/>
  <c r="BO83" i="1"/>
  <c r="BO88" i="1"/>
  <c r="BO98" i="1" s="1"/>
  <c r="BO143" i="1"/>
  <c r="BO145" i="1" s="1"/>
  <c r="BO27" i="3"/>
  <c r="CF27" i="3" s="1"/>
  <c r="CF129" i="3" s="1"/>
  <c r="BO37" i="2"/>
  <c r="CF30" i="2"/>
  <c r="CV102" i="1"/>
  <c r="CV105" i="1" s="1"/>
  <c r="CV107" i="1" s="1"/>
  <c r="CV92" i="1"/>
  <c r="BG98" i="2"/>
  <c r="BG27" i="2"/>
  <c r="BJ98" i="3"/>
  <c r="BJ103" i="3" s="1"/>
  <c r="BJ102" i="3"/>
  <c r="BN146" i="1"/>
  <c r="BN147" i="1" s="1"/>
  <c r="BN149" i="1" s="1"/>
  <c r="BF72" i="3"/>
  <c r="BL72" i="2"/>
  <c r="CE31" i="3"/>
  <c r="CE90" i="3" s="1"/>
  <c r="CE105" i="3" s="1"/>
  <c r="CE92" i="3"/>
  <c r="CE96" i="3" s="1"/>
  <c r="CE113" i="3"/>
  <c r="CE133" i="3" s="1"/>
  <c r="CE160" i="3" s="1"/>
  <c r="CV109" i="1"/>
  <c r="CV99" i="1"/>
  <c r="CV151" i="1"/>
  <c r="CV152" i="1" s="1"/>
  <c r="CE145" i="1"/>
  <c r="BM91" i="1"/>
  <c r="CD17" i="2"/>
  <c r="CD61" i="3"/>
  <c r="CD163" i="3"/>
  <c r="BN129" i="3"/>
  <c r="BJ58" i="3"/>
  <c r="BJ90" i="3"/>
  <c r="BJ105" i="3" s="1"/>
  <c r="BO192" i="21"/>
  <c r="BO68" i="1"/>
  <c r="BO79" i="1"/>
  <c r="CE185" i="2"/>
  <c r="BN101" i="3" l="1"/>
  <c r="BN151" i="1"/>
  <c r="BN152" i="1" s="1"/>
  <c r="BN92" i="1"/>
  <c r="BN102" i="1"/>
  <c r="BN105" i="1" s="1"/>
  <c r="CE98" i="3"/>
  <c r="CV72" i="2"/>
  <c r="BM72" i="2"/>
  <c r="BL185" i="2"/>
  <c r="BO109" i="1"/>
  <c r="BO99" i="1"/>
  <c r="BL11" i="3"/>
  <c r="BL107" i="1"/>
  <c r="BK58" i="3"/>
  <c r="CE58" i="3" s="1"/>
  <c r="BK90" i="3"/>
  <c r="BK105" i="3" s="1"/>
  <c r="BH150" i="2"/>
  <c r="BH152" i="2" s="1"/>
  <c r="BI155" i="2" s="1"/>
  <c r="BH86" i="2"/>
  <c r="BH88" i="2" s="1"/>
  <c r="BH90" i="2" s="1"/>
  <c r="BO85" i="1"/>
  <c r="BO95" i="1" s="1"/>
  <c r="BO96" i="1" s="1"/>
  <c r="BO80" i="1"/>
  <c r="CD98" i="2"/>
  <c r="CD27" i="2"/>
  <c r="BM92" i="1"/>
  <c r="BM102" i="1"/>
  <c r="BM105" i="1" s="1"/>
  <c r="BK102" i="3"/>
  <c r="BK98" i="3"/>
  <c r="BK103" i="3" s="1"/>
  <c r="BI61" i="3"/>
  <c r="BI17" i="2"/>
  <c r="BJ11" i="2"/>
  <c r="BI163" i="3"/>
  <c r="BI84" i="2"/>
  <c r="BO129" i="3"/>
  <c r="CE147" i="1"/>
  <c r="CD150" i="2"/>
  <c r="BG152" i="2"/>
  <c r="CU61" i="3"/>
  <c r="CU163" i="3"/>
  <c r="CU17" i="2"/>
  <c r="BN95" i="1"/>
  <c r="BN96" i="1" s="1"/>
  <c r="BG72" i="3"/>
  <c r="CF56" i="2"/>
  <c r="CF37" i="2"/>
  <c r="BO146" i="1"/>
  <c r="BO147" i="1" s="1"/>
  <c r="BO149" i="1" s="1"/>
  <c r="CF88" i="1"/>
  <c r="CF71" i="1"/>
  <c r="CF82" i="1"/>
  <c r="CF139" i="1"/>
  <c r="CF141" i="1" s="1"/>
  <c r="CE107" i="1"/>
  <c r="CF24" i="3"/>
  <c r="CF126" i="3" s="1"/>
  <c r="BO126" i="3"/>
  <c r="BH98" i="2"/>
  <c r="BH27" i="2"/>
  <c r="CF80" i="1"/>
  <c r="BO91" i="1" l="1"/>
  <c r="BO102" i="1" s="1"/>
  <c r="BO105" i="1" s="1"/>
  <c r="CF85" i="1"/>
  <c r="CF86" i="1" s="1"/>
  <c r="BO101" i="3"/>
  <c r="BO151" i="1"/>
  <c r="BO152" i="1" s="1"/>
  <c r="BH72" i="3"/>
  <c r="CD152" i="2"/>
  <c r="BH155" i="2"/>
  <c r="CD72" i="3"/>
  <c r="BL113" i="3"/>
  <c r="BL31" i="3"/>
  <c r="BL92" i="3"/>
  <c r="BL96" i="3" s="1"/>
  <c r="CV11" i="3"/>
  <c r="CU98" i="2"/>
  <c r="CU27" i="2"/>
  <c r="CU72" i="3" s="1"/>
  <c r="BJ163" i="3"/>
  <c r="BJ84" i="2"/>
  <c r="BJ17" i="2"/>
  <c r="BJ61" i="3"/>
  <c r="BK11" i="2"/>
  <c r="CF89" i="1"/>
  <c r="CF146" i="1"/>
  <c r="CF95" i="1"/>
  <c r="CF96" i="1" s="1"/>
  <c r="BI98" i="2"/>
  <c r="BI27" i="2"/>
  <c r="BM107" i="1"/>
  <c r="BM11" i="3"/>
  <c r="BM185" i="2"/>
  <c r="BN72" i="2"/>
  <c r="CF91" i="1"/>
  <c r="CF83" i="1"/>
  <c r="CF98" i="1"/>
  <c r="CF143" i="1"/>
  <c r="CF145" i="1" s="1"/>
  <c r="CE149" i="1"/>
  <c r="BI150" i="2"/>
  <c r="BI152" i="2" s="1"/>
  <c r="BJ155" i="2" s="1"/>
  <c r="BI86" i="2"/>
  <c r="BI88" i="2" s="1"/>
  <c r="BI90" i="2" s="1"/>
  <c r="CV185" i="2"/>
  <c r="BN107" i="1"/>
  <c r="BN11" i="3"/>
  <c r="BO92" i="1" l="1"/>
  <c r="CF147" i="1"/>
  <c r="CF149" i="1" s="1"/>
  <c r="CF101" i="3" s="1"/>
  <c r="BN31" i="3"/>
  <c r="BN92" i="3"/>
  <c r="BN96" i="3" s="1"/>
  <c r="BJ150" i="2"/>
  <c r="BJ152" i="2" s="1"/>
  <c r="BK155" i="2" s="1"/>
  <c r="BJ86" i="2"/>
  <c r="BJ88" i="2" s="1"/>
  <c r="BJ90" i="2" s="1"/>
  <c r="BL102" i="3"/>
  <c r="BL98" i="3"/>
  <c r="BL103" i="3" s="1"/>
  <c r="BO107" i="1"/>
  <c r="BO11" i="3"/>
  <c r="CF92" i="1"/>
  <c r="CF102" i="1"/>
  <c r="CF105" i="1" s="1"/>
  <c r="CF107" i="1" s="1"/>
  <c r="BI72" i="3"/>
  <c r="BK163" i="3"/>
  <c r="BK17" i="2"/>
  <c r="CE11" i="2"/>
  <c r="BK61" i="3"/>
  <c r="BK84" i="2"/>
  <c r="BL90" i="3"/>
  <c r="BL105" i="3" s="1"/>
  <c r="BL58" i="3"/>
  <c r="BN185" i="2"/>
  <c r="BO72" i="2"/>
  <c r="BL133" i="3"/>
  <c r="BL160" i="3" s="1"/>
  <c r="BM113" i="3"/>
  <c r="CE101" i="3"/>
  <c r="CE151" i="1"/>
  <c r="CF109" i="1"/>
  <c r="CF99" i="1"/>
  <c r="BM31" i="3"/>
  <c r="BM92" i="3"/>
  <c r="BM96" i="3" s="1"/>
  <c r="BJ98" i="2"/>
  <c r="BJ27" i="2"/>
  <c r="CV31" i="3"/>
  <c r="CV90" i="3" s="1"/>
  <c r="CV105" i="3" s="1"/>
  <c r="CV113" i="3"/>
  <c r="CV133" i="3" s="1"/>
  <c r="CV160" i="3" s="1"/>
  <c r="CF11" i="3"/>
  <c r="CF151" i="1" l="1"/>
  <c r="CF152" i="1" s="1"/>
  <c r="BM102" i="3"/>
  <c r="BM98" i="3"/>
  <c r="BM103" i="3" s="1"/>
  <c r="BM133" i="3"/>
  <c r="BM160" i="3" s="1"/>
  <c r="BN113" i="3"/>
  <c r="CE17" i="2"/>
  <c r="CE163" i="3"/>
  <c r="CE61" i="3"/>
  <c r="BM90" i="3"/>
  <c r="BM105" i="3" s="1"/>
  <c r="BM58" i="3"/>
  <c r="CE152" i="1"/>
  <c r="BK150" i="2"/>
  <c r="CE84" i="2"/>
  <c r="CE86" i="2" s="1"/>
  <c r="CE88" i="2" s="1"/>
  <c r="BK86" i="2"/>
  <c r="BK88" i="2" s="1"/>
  <c r="BK90" i="2" s="1"/>
  <c r="CE90" i="2" s="1"/>
  <c r="BK98" i="2"/>
  <c r="BK27" i="2"/>
  <c r="BN102" i="3"/>
  <c r="BN98" i="3"/>
  <c r="BN103" i="3" s="1"/>
  <c r="BJ72" i="3"/>
  <c r="CV58" i="3"/>
  <c r="BL11" i="2"/>
  <c r="BN58" i="3"/>
  <c r="BN90" i="3"/>
  <c r="BN105" i="3" s="1"/>
  <c r="CF92" i="3"/>
  <c r="CF96" i="3" s="1"/>
  <c r="CF113" i="3"/>
  <c r="CF133" i="3" s="1"/>
  <c r="CF160" i="3" s="1"/>
  <c r="CF31" i="3"/>
  <c r="CF90" i="3" s="1"/>
  <c r="CF105" i="3" s="1"/>
  <c r="CE102" i="3"/>
  <c r="CE103" i="3"/>
  <c r="CF72" i="2"/>
  <c r="BO185" i="2"/>
  <c r="BO31" i="3"/>
  <c r="BO92" i="3"/>
  <c r="BO96" i="3" s="1"/>
  <c r="BO90" i="3" l="1"/>
  <c r="BO105" i="3" s="1"/>
  <c r="BO58" i="3"/>
  <c r="CF185" i="2"/>
  <c r="CF102" i="3"/>
  <c r="CF98" i="3"/>
  <c r="CF103" i="3" s="1"/>
  <c r="BL163" i="3"/>
  <c r="BL61" i="3"/>
  <c r="BL17" i="2"/>
  <c r="BL84" i="2"/>
  <c r="BM11" i="2"/>
  <c r="CV11" i="2"/>
  <c r="BK72" i="3"/>
  <c r="CE150" i="2"/>
  <c r="BK152" i="2"/>
  <c r="CE98" i="2"/>
  <c r="CE27" i="2"/>
  <c r="BN133" i="3"/>
  <c r="BN160" i="3" s="1"/>
  <c r="BO113" i="3"/>
  <c r="BO133" i="3" s="1"/>
  <c r="BO160" i="3" s="1"/>
  <c r="BO98" i="3"/>
  <c r="BO103" i="3" s="1"/>
  <c r="BO102" i="3"/>
  <c r="BL98" i="2" l="1"/>
  <c r="BL27" i="2"/>
  <c r="BL155" i="2"/>
  <c r="CE152" i="2"/>
  <c r="CV163" i="3"/>
  <c r="CV17" i="2"/>
  <c r="CV61" i="3"/>
  <c r="CE72" i="3"/>
  <c r="BM61" i="3"/>
  <c r="BM163" i="3"/>
  <c r="BN11" i="2"/>
  <c r="BM84" i="2"/>
  <c r="BM17" i="2"/>
  <c r="CF58" i="3"/>
  <c r="BL150" i="2"/>
  <c r="BL152" i="2" s="1"/>
  <c r="BM155" i="2" s="1"/>
  <c r="BL86" i="2"/>
  <c r="BL88" i="2" s="1"/>
  <c r="BL90" i="2" s="1"/>
  <c r="BN163" i="3" l="1"/>
  <c r="BN84" i="2"/>
  <c r="BN17" i="2"/>
  <c r="BO11" i="2"/>
  <c r="BN61" i="3"/>
  <c r="CV98" i="2"/>
  <c r="CV27" i="2"/>
  <c r="CV72" i="3" s="1"/>
  <c r="BL72" i="3"/>
  <c r="BM98" i="2"/>
  <c r="BM27" i="2"/>
  <c r="BM86" i="2"/>
  <c r="BM88" i="2" s="1"/>
  <c r="BM90" i="2" s="1"/>
  <c r="BM150" i="2"/>
  <c r="BM152" i="2" s="1"/>
  <c r="BN155" i="2" s="1"/>
  <c r="BN150" i="2" l="1"/>
  <c r="BN152" i="2" s="1"/>
  <c r="BO155" i="2" s="1"/>
  <c r="BN86" i="2"/>
  <c r="BN88" i="2" s="1"/>
  <c r="BN90" i="2" s="1"/>
  <c r="BM72" i="3"/>
  <c r="CF11" i="2"/>
  <c r="BO61" i="3"/>
  <c r="BO17" i="2"/>
  <c r="BO163" i="3"/>
  <c r="BO84" i="2"/>
  <c r="BN98" i="2"/>
  <c r="BN27" i="2"/>
  <c r="BO86" i="2" l="1"/>
  <c r="BO88" i="2" s="1"/>
  <c r="BO90" i="2" s="1"/>
  <c r="CF90" i="2" s="1"/>
  <c r="CF84" i="2"/>
  <c r="CF86" i="2" s="1"/>
  <c r="CF88" i="2" s="1"/>
  <c r="BO150" i="2"/>
  <c r="CF17" i="2"/>
  <c r="CF163" i="3"/>
  <c r="CF61" i="3"/>
  <c r="BN72" i="3"/>
  <c r="BO98" i="2"/>
  <c r="BO27" i="2"/>
  <c r="BO72" i="3" l="1"/>
  <c r="CF150" i="2"/>
  <c r="BO152" i="2"/>
  <c r="CF152" i="2" s="1"/>
  <c r="CF98" i="2"/>
  <c r="CF27" i="2"/>
  <c r="CF72" i="3" l="1"/>
  <c r="BE146" i="3"/>
  <c r="BD44" i="3"/>
  <c r="CD44" i="3" s="1"/>
  <c r="CD146" i="3" l="1"/>
  <c r="BF146" i="3"/>
  <c r="CT44" i="3"/>
  <c r="CT146" i="3" l="1"/>
  <c r="BG146" i="3"/>
  <c r="CT17" i="3"/>
  <c r="CT119" i="3" s="1"/>
  <c r="BF119" i="3"/>
  <c r="BE119" i="3"/>
  <c r="BD17" i="3"/>
  <c r="CD17" i="3"/>
  <c r="CD119" i="3" s="1"/>
  <c r="BG119" i="3" l="1"/>
  <c r="BE152" i="3"/>
  <c r="BF152" i="3" s="1"/>
  <c r="BG152" i="3" s="1"/>
  <c r="BD50" i="3"/>
  <c r="CD50" i="3" s="1"/>
  <c r="CD152" i="3" s="1"/>
  <c r="CD18" i="3"/>
  <c r="CT18" i="3"/>
  <c r="CT120" i="3" s="1"/>
  <c r="BD120" i="3"/>
  <c r="BE120" i="3" s="1"/>
  <c r="CT50" i="3" l="1"/>
  <c r="CT152" i="3" s="1"/>
  <c r="BF120" i="3"/>
  <c r="CD120" i="3"/>
  <c r="BG120" i="3" l="1"/>
  <c r="BD31" i="3"/>
  <c r="BD90" i="3" s="1"/>
  <c r="BD105" i="3" s="1"/>
  <c r="CD20" i="3"/>
  <c r="CD122" i="3" s="1"/>
  <c r="CD133" i="3" s="1"/>
  <c r="CT20" i="3"/>
  <c r="CT31" i="3" s="1"/>
  <c r="CT90" i="3" s="1"/>
  <c r="CT105" i="3" s="1"/>
  <c r="CT122" i="3"/>
  <c r="CT133" i="3" s="1"/>
  <c r="BD122" i="3"/>
  <c r="BD133" i="3" s="1"/>
  <c r="BE122" i="3" l="1"/>
  <c r="CD31" i="3"/>
  <c r="CD90" i="3" s="1"/>
  <c r="CD105" i="3" s="1"/>
  <c r="BD154" i="3"/>
  <c r="BE147" i="3"/>
  <c r="BF147" i="3" s="1"/>
  <c r="BD45" i="3"/>
  <c r="CD45" i="3" s="1"/>
  <c r="BE133" i="3" l="1"/>
  <c r="BF122" i="3"/>
  <c r="CD52" i="3"/>
  <c r="CD147" i="3"/>
  <c r="CD154" i="3" s="1"/>
  <c r="BF154" i="3"/>
  <c r="BG147" i="3"/>
  <c r="BG154" i="3" s="1"/>
  <c r="CT45" i="3"/>
  <c r="BD52" i="3"/>
  <c r="BE154" i="3"/>
  <c r="BG122" i="3" l="1"/>
  <c r="BG133" i="3" s="1"/>
  <c r="BF133" i="3"/>
  <c r="CT52" i="3"/>
  <c r="CT147" i="3"/>
  <c r="CT154" i="3" s="1"/>
  <c r="BE137" i="3"/>
  <c r="BD35" i="3"/>
  <c r="CT35" i="3" s="1"/>
  <c r="CT137" i="3" l="1"/>
  <c r="BF137" i="3"/>
  <c r="CD35" i="3"/>
  <c r="BG137" i="3" l="1"/>
  <c r="CD137" i="3"/>
  <c r="BE138" i="3"/>
  <c r="BF138" i="3" s="1"/>
  <c r="BG138" i="3" s="1"/>
  <c r="BD36" i="3"/>
  <c r="CT36" i="3" s="1"/>
  <c r="CT138" i="3" l="1"/>
  <c r="CD36" i="3"/>
  <c r="CD138" i="3" l="1"/>
  <c r="BE139" i="3"/>
  <c r="BF139" i="3"/>
  <c r="BD37" i="3"/>
  <c r="CD37" i="3" s="1"/>
  <c r="CD139" i="3" l="1"/>
  <c r="BG139" i="3"/>
  <c r="CT37" i="3"/>
  <c r="CT139" i="3" l="1"/>
  <c r="BD143" i="3"/>
  <c r="BD160" i="3" s="1"/>
  <c r="BD161" i="3" s="1"/>
  <c r="BD164" i="3" s="1"/>
  <c r="BD38" i="3"/>
  <c r="BD41" i="3" s="1"/>
  <c r="BD58" i="3" s="1"/>
  <c r="BE140" i="3"/>
  <c r="BF140" i="3" s="1"/>
  <c r="BF143" i="3" l="1"/>
  <c r="BF160" i="3" s="1"/>
  <c r="BF161" i="3" s="1"/>
  <c r="BF164" i="3" s="1"/>
  <c r="BG140" i="3"/>
  <c r="BG143" i="3" s="1"/>
  <c r="BG160" i="3" s="1"/>
  <c r="BG161" i="3" s="1"/>
  <c r="CT58" i="3"/>
  <c r="CT59" i="3" s="1"/>
  <c r="BD59" i="3"/>
  <c r="CD58" i="3"/>
  <c r="CD59" i="3" s="1"/>
  <c r="CD38" i="3"/>
  <c r="BD73" i="2"/>
  <c r="BE143" i="3"/>
  <c r="BE160" i="3" s="1"/>
  <c r="BE161" i="3" s="1"/>
  <c r="BE164" i="3" s="1"/>
  <c r="CT38" i="3"/>
  <c r="BD62" i="3" l="1"/>
  <c r="BE56" i="3"/>
  <c r="BE59" i="3" s="1"/>
  <c r="CT41" i="3"/>
  <c r="CT140" i="3"/>
  <c r="CT143" i="3" s="1"/>
  <c r="CT160" i="3" s="1"/>
  <c r="CT161" i="3" s="1"/>
  <c r="CT62" i="3"/>
  <c r="CU56" i="3"/>
  <c r="CU59" i="3" s="1"/>
  <c r="CT73" i="2"/>
  <c r="CT74" i="2" s="1"/>
  <c r="CT77" i="2" s="1"/>
  <c r="BD74" i="2"/>
  <c r="BD77" i="2" s="1"/>
  <c r="BE73" i="2"/>
  <c r="CD41" i="3"/>
  <c r="CD140" i="3"/>
  <c r="CD143" i="3" s="1"/>
  <c r="CD160" i="3" s="1"/>
  <c r="CD161" i="3" s="1"/>
  <c r="BG164" i="3"/>
  <c r="BH158" i="3"/>
  <c r="CD62" i="3"/>
  <c r="CE56" i="3"/>
  <c r="CE59" i="3" s="1"/>
  <c r="CT164" i="3" l="1"/>
  <c r="CU158" i="3"/>
  <c r="CU161" i="3" s="1"/>
  <c r="CE62" i="3"/>
  <c r="CF56" i="3"/>
  <c r="CF59" i="3" s="1"/>
  <c r="CF62" i="3" s="1"/>
  <c r="CD164" i="3"/>
  <c r="CE158" i="3"/>
  <c r="CE161" i="3" s="1"/>
  <c r="CV56" i="3"/>
  <c r="CV59" i="3" s="1"/>
  <c r="CV62" i="3" s="1"/>
  <c r="CU62" i="3"/>
  <c r="BF56" i="3"/>
  <c r="BF59" i="3" s="1"/>
  <c r="BE62" i="3"/>
  <c r="BJ158" i="3"/>
  <c r="BJ161" i="3" s="1"/>
  <c r="BJ164" i="3" s="1"/>
  <c r="BI158" i="3"/>
  <c r="BI161" i="3" s="1"/>
  <c r="BI164" i="3" s="1"/>
  <c r="BK158" i="3"/>
  <c r="BK161" i="3" s="1"/>
  <c r="BH161" i="3"/>
  <c r="BH164" i="3" s="1"/>
  <c r="BF73" i="2"/>
  <c r="BE74" i="2"/>
  <c r="BE45" i="2" s="1"/>
  <c r="BE93" i="2" l="1"/>
  <c r="BE47" i="2"/>
  <c r="BE49" i="2" s="1"/>
  <c r="BE94" i="2"/>
  <c r="BE95" i="2" s="1"/>
  <c r="BE76" i="2"/>
  <c r="BE77" i="2" s="1"/>
  <c r="BG73" i="2"/>
  <c r="BF74" i="2"/>
  <c r="BF45" i="2" s="1"/>
  <c r="CE164" i="3"/>
  <c r="CF158" i="3"/>
  <c r="CF161" i="3" s="1"/>
  <c r="CF164" i="3" s="1"/>
  <c r="CU164" i="3"/>
  <c r="CV158" i="3"/>
  <c r="CV161" i="3" s="1"/>
  <c r="CV164" i="3" s="1"/>
  <c r="BL158" i="3"/>
  <c r="BK164" i="3"/>
  <c r="BF62" i="3"/>
  <c r="BG56" i="3"/>
  <c r="BG59" i="3" s="1"/>
  <c r="BO158" i="3" l="1"/>
  <c r="BO161" i="3" s="1"/>
  <c r="BO164" i="3" s="1"/>
  <c r="BL161" i="3"/>
  <c r="BL164" i="3" s="1"/>
  <c r="BM158" i="3"/>
  <c r="BM161" i="3" s="1"/>
  <c r="BM164" i="3" s="1"/>
  <c r="BN158" i="3"/>
  <c r="BN161" i="3" s="1"/>
  <c r="BN164" i="3" s="1"/>
  <c r="BH56" i="3"/>
  <c r="BH59" i="3" s="1"/>
  <c r="BG62" i="3"/>
  <c r="BF94" i="2"/>
  <c r="BF95" i="2" s="1"/>
  <c r="BF47" i="2"/>
  <c r="BF49" i="2" s="1"/>
  <c r="BF93" i="2"/>
  <c r="BF76" i="2"/>
  <c r="BF77" i="2" s="1"/>
  <c r="BG74" i="2"/>
  <c r="BG45" i="2" s="1"/>
  <c r="BH73" i="2"/>
  <c r="CD73" i="2"/>
  <c r="CD74" i="2" s="1"/>
  <c r="CU73" i="2" l="1"/>
  <c r="CU74" i="2" s="1"/>
  <c r="BH74" i="2"/>
  <c r="BH45" i="2" s="1"/>
  <c r="BI73" i="2"/>
  <c r="BG93" i="2"/>
  <c r="BG94" i="2"/>
  <c r="BG95" i="2" s="1"/>
  <c r="BG76" i="2"/>
  <c r="CD45" i="2"/>
  <c r="BG47" i="2"/>
  <c r="BG49" i="2" s="1"/>
  <c r="BH62" i="3"/>
  <c r="BI56" i="3"/>
  <c r="BI59" i="3" s="1"/>
  <c r="BG77" i="2" l="1"/>
  <c r="CD76" i="2"/>
  <c r="CD77" i="2" s="1"/>
  <c r="BH93" i="2"/>
  <c r="BH47" i="2"/>
  <c r="BH49" i="2" s="1"/>
  <c r="BH76" i="2"/>
  <c r="CU45" i="2"/>
  <c r="BH94" i="2"/>
  <c r="BH95" i="2" s="1"/>
  <c r="BJ56" i="3"/>
  <c r="BJ59" i="3" s="1"/>
  <c r="BI62" i="3"/>
  <c r="CD93" i="2"/>
  <c r="CD47" i="2"/>
  <c r="CD49" i="2" s="1"/>
  <c r="CD94" i="2"/>
  <c r="CD95" i="2" s="1"/>
  <c r="BJ73" i="2"/>
  <c r="BI74" i="2"/>
  <c r="BI45" i="2" s="1"/>
  <c r="BJ62" i="3" l="1"/>
  <c r="BK56" i="3"/>
  <c r="BK59" i="3" s="1"/>
  <c r="CU93" i="2"/>
  <c r="CU94" i="2"/>
  <c r="CU95" i="2" s="1"/>
  <c r="CU47" i="2"/>
  <c r="CU49" i="2" s="1"/>
  <c r="BI93" i="2"/>
  <c r="BI94" i="2"/>
  <c r="BI95" i="2" s="1"/>
  <c r="BI47" i="2"/>
  <c r="BI49" i="2" s="1"/>
  <c r="BI76" i="2"/>
  <c r="BI77" i="2" s="1"/>
  <c r="BJ74" i="2"/>
  <c r="BJ45" i="2" s="1"/>
  <c r="BK73" i="2"/>
  <c r="BH77" i="2"/>
  <c r="CU76" i="2"/>
  <c r="CU77" i="2" s="1"/>
  <c r="BK74" i="2" l="1"/>
  <c r="BK45" i="2" s="1"/>
  <c r="BL73" i="2"/>
  <c r="CE73" i="2"/>
  <c r="CE74" i="2" s="1"/>
  <c r="BJ47" i="2"/>
  <c r="BJ49" i="2" s="1"/>
  <c r="BJ93" i="2"/>
  <c r="BJ76" i="2"/>
  <c r="BJ77" i="2" s="1"/>
  <c r="BJ94" i="2"/>
  <c r="BJ95" i="2" s="1"/>
  <c r="BK62" i="3"/>
  <c r="BL56" i="3"/>
  <c r="BL59" i="3" s="1"/>
  <c r="CV73" i="2" l="1"/>
  <c r="CV74" i="2" s="1"/>
  <c r="BL74" i="2"/>
  <c r="BL45" i="2" s="1"/>
  <c r="BM73" i="2"/>
  <c r="BL62" i="3"/>
  <c r="BM56" i="3"/>
  <c r="BM59" i="3" s="1"/>
  <c r="BK93" i="2"/>
  <c r="CE45" i="2"/>
  <c r="BK76" i="2"/>
  <c r="BK94" i="2"/>
  <c r="BK95" i="2" s="1"/>
  <c r="BK47" i="2"/>
  <c r="BK49" i="2" s="1"/>
  <c r="BL47" i="2" l="1"/>
  <c r="BL49" i="2" s="1"/>
  <c r="BL94" i="2"/>
  <c r="BL95" i="2" s="1"/>
  <c r="BL93" i="2"/>
  <c r="CV45" i="2"/>
  <c r="BL76" i="2"/>
  <c r="BK77" i="2"/>
  <c r="CE76" i="2"/>
  <c r="CE77" i="2" s="1"/>
  <c r="CE47" i="2"/>
  <c r="CE49" i="2" s="1"/>
  <c r="CE93" i="2"/>
  <c r="CE94" i="2"/>
  <c r="CE95" i="2" s="1"/>
  <c r="BN56" i="3"/>
  <c r="BN59" i="3" s="1"/>
  <c r="BM62" i="3"/>
  <c r="BM74" i="2"/>
  <c r="BM45" i="2" s="1"/>
  <c r="BN73" i="2"/>
  <c r="BN62" i="3" l="1"/>
  <c r="BO56" i="3"/>
  <c r="BO59" i="3" s="1"/>
  <c r="BO62" i="3" s="1"/>
  <c r="BL77" i="2"/>
  <c r="CV76" i="2"/>
  <c r="CV77" i="2" s="1"/>
  <c r="BM93" i="2"/>
  <c r="BM76" i="2"/>
  <c r="BM77" i="2" s="1"/>
  <c r="BM47" i="2"/>
  <c r="BM49" i="2" s="1"/>
  <c r="BM94" i="2"/>
  <c r="BM95" i="2" s="1"/>
  <c r="BO73" i="2"/>
  <c r="BN74" i="2"/>
  <c r="BN45" i="2" s="1"/>
  <c r="CV94" i="2"/>
  <c r="CV95" i="2" s="1"/>
  <c r="CV93" i="2"/>
  <c r="CV47" i="2"/>
  <c r="CV49" i="2" s="1"/>
  <c r="BN47" i="2" l="1"/>
  <c r="BN49" i="2" s="1"/>
  <c r="BN94" i="2"/>
  <c r="BN95" i="2" s="1"/>
  <c r="BN93" i="2"/>
  <c r="BN76" i="2"/>
  <c r="BN77" i="2" s="1"/>
  <c r="CF73" i="2"/>
  <c r="CF74" i="2" s="1"/>
  <c r="BO74" i="2"/>
  <c r="BO45" i="2" s="1"/>
  <c r="BO93" i="2" l="1"/>
  <c r="BO94" i="2"/>
  <c r="BO95" i="2" s="1"/>
  <c r="CF45" i="2"/>
  <c r="BO76" i="2"/>
  <c r="BO47" i="2"/>
  <c r="BO49" i="2" s="1"/>
  <c r="CF94" i="2" l="1"/>
  <c r="CF95" i="2" s="1"/>
  <c r="CF93" i="2"/>
  <c r="CF47" i="2"/>
  <c r="CF49" i="2" s="1"/>
  <c r="CF76" i="2"/>
  <c r="CF77" i="2" s="1"/>
  <c r="BO77" i="2"/>
  <c r="BB1" i="2" l="1"/>
  <c r="Z1" i="21"/>
  <c r="CE1" i="2"/>
  <c r="V1" i="3"/>
  <c r="D1" i="21"/>
  <c r="AD1" i="2"/>
  <c r="R1" i="2"/>
  <c r="AV1" i="21"/>
  <c r="X1" i="3"/>
  <c r="AF1" i="2"/>
  <c r="BY1" i="21"/>
  <c r="AH1" i="2"/>
  <c r="BQ1" i="2"/>
  <c r="BU1" i="21"/>
  <c r="D1" i="2"/>
  <c r="AL1" i="2"/>
  <c r="R1" i="21"/>
  <c r="T1" i="21"/>
  <c r="J1" i="21"/>
  <c r="CS1" i="2"/>
  <c r="AR1" i="2"/>
  <c r="CF1" i="2"/>
  <c r="BF1" i="2"/>
  <c r="BY1" i="2"/>
  <c r="T1" i="3"/>
  <c r="AH1" i="3"/>
  <c r="BW1" i="21"/>
  <c r="CQ1" i="2"/>
  <c r="CG1" i="21"/>
  <c r="X1" i="2"/>
  <c r="CF1" i="21"/>
  <c r="AJ1" i="3"/>
  <c r="AN1" i="2"/>
  <c r="X1" i="21"/>
  <c r="BP1" i="3"/>
  <c r="BW1" i="2"/>
  <c r="L1" i="3"/>
  <c r="L1" i="21"/>
  <c r="N1" i="3"/>
  <c r="T1" i="2"/>
  <c r="BB1" i="3"/>
  <c r="CP1" i="2"/>
  <c r="CN1" i="2"/>
  <c r="CE1" i="3"/>
  <c r="AL1" i="3"/>
  <c r="AV1" i="2"/>
  <c r="CH1" i="2"/>
  <c r="CP1" i="3"/>
  <c r="AZ1" i="2"/>
  <c r="CF1" i="3"/>
  <c r="AN1" i="21"/>
  <c r="CR1" i="2"/>
  <c r="CE1" i="21"/>
  <c r="AT1" i="2"/>
  <c r="L1" i="2"/>
  <c r="F1" i="3"/>
  <c r="H1" i="21"/>
  <c r="BP1" i="2"/>
  <c r="AN1" i="3"/>
  <c r="BS1" i="2"/>
  <c r="AF1" i="3"/>
  <c r="CK1" i="21"/>
  <c r="D1" i="3"/>
  <c r="AR1" i="3"/>
  <c r="AJ1" i="21"/>
  <c r="V1" i="21"/>
  <c r="BW1" i="3"/>
  <c r="AV1" i="3"/>
  <c r="Z1" i="3"/>
  <c r="V1" i="2"/>
  <c r="P1" i="2"/>
  <c r="CH1" i="3"/>
  <c r="F1" i="21"/>
  <c r="Z1" i="2"/>
  <c r="AD1" i="3"/>
  <c r="P1" i="21"/>
  <c r="AT1" i="3"/>
  <c r="AB1" i="2"/>
  <c r="CL1" i="2"/>
  <c r="AX1" i="3"/>
  <c r="AB1" i="21"/>
  <c r="J1" i="2"/>
  <c r="R1" i="3"/>
  <c r="BY1" i="3"/>
  <c r="N1" i="2"/>
  <c r="CJ1" i="2"/>
  <c r="CI1" i="21"/>
  <c r="AF1" i="21"/>
  <c r="H1" i="2"/>
  <c r="AZ1" i="3"/>
  <c r="AJ1" i="2"/>
  <c r="J1" i="3"/>
  <c r="AB1" i="3"/>
  <c r="CR1" i="3"/>
  <c r="CJ1" i="3"/>
  <c r="AP1" i="2"/>
  <c r="CS1" i="3"/>
  <c r="CL1" i="3"/>
  <c r="BS1" i="3"/>
  <c r="CQ1" i="3"/>
  <c r="CN1" i="3"/>
  <c r="BU1" i="3"/>
  <c r="AH1" i="21"/>
  <c r="BP1" i="21"/>
  <c r="AX1" i="2"/>
  <c r="N1" i="21"/>
  <c r="F1" i="2"/>
  <c r="P1" i="3"/>
  <c r="BQ1" i="21"/>
  <c r="H1" i="3"/>
  <c r="AP1" i="3"/>
  <c r="BD1" i="2"/>
  <c r="AX1" i="21"/>
  <c r="AL1" i="21"/>
  <c r="BU1" i="2"/>
  <c r="AD1" i="21"/>
  <c r="BQ1" i="3"/>
</calcChain>
</file>

<file path=xl/comments1.xml><?xml version="1.0" encoding="utf-8"?>
<comments xmlns="http://schemas.openxmlformats.org/spreadsheetml/2006/main">
  <authors>
    <author>josuev</author>
  </authors>
  <commentList>
    <comment ref="A1" authorId="0">
      <text>
        <r>
          <rPr>
            <b/>
            <sz val="8"/>
            <color indexed="81"/>
            <rFont val="Tahoma"/>
            <family val="2"/>
          </rPr>
          <t>卟䙄_x0003_＀＀ㅾ伌A噎䅄䙞彅卅䥔䅍䕔✨䍆❆✬䕍乁Ⱗ䌧䱁❁✬〲㤰ⰧⰰⰬⰧ啃剒久奃唽䑓✬착!＀＀ ＀＀	＀＀_x0008_＀＀_x0001_＀＀_x0001_＀＀_x0001_＀＀ધ╆彵䁱찀ㅾ伌C噎䅄䙞彅卅䥔䅍䕔✨偅䉓❇✬䕍乁Ⱗ䌧䱁❁✬〲㐱ⰧⰰⰬⰧ啃剒久奃唽䑓✬착!＀＀ ＀＀	＀＀_x0008_＀＀_x0001_＀＀_x0001_＀＀_x0001_＀＀豀碵꼝쐕찀ㆀ伌_x001C_䑁幉䙆䍟十彈呓儨剔〬ⰬⰬ单⥄ċ＀＀ ＀＀ó＀＀_x0008_＀＀_x0001_＀＀_x0001_＀＀_x0001_＀＀閁譃წ䂬摦畳㩰⼯楄敲瑣潩獮䘯捡却瑥䄠摵瑩湩⁧楖睥牥愿瑣潩㵮啁䥄彔䅖啌♅䉄ㄽ㤲䤦ㅄ〽㈳㔶ㄴ☰䅖啌䥅㵄㈰〰☱䑓呁㵅〲ㄱ㐰倦剅佉呄偙㵅呑归呓♄䍓呆㌽眦湩潤㵷潰異彰潮扟牡眦摩桴㌽㔸栦楥桧㵴㈱☰呓剁彔䅍䥘䥍䕚㵄䅆卌♅牣慥潴㵲慦瑣敳♴楤灳慬役瑳楲杮䄽摵瑩찀ㅴ伌C剁䡍䙞彅卅䥔䅍䕔✨偅䉓❇✬䕍乁Ⱗ䌧䱁❁✬〲㜰ⰧⰰⰬⰧ啃剒久奃唽䑓✬착!＀＀ ＀＀	＀＀_x0008_＀＀_x0001_＀＀_x0001_＀＀_x0001_＀＀猅뉏ἰ㿑찀ㅹ伌L㐲㐵吭䥁䙞彅卅䥔䅍䕔✨啃呓䵏䕟卐Ⱗ䴧䅅❎✬䅃䅌Ⱗ㈧㄰✰〬Ⱜ✬䌬剕䕒䍎㵙单ⱄ⤧!＀＀ ＀＀	＀＀_x0008_＀＀_x0001_＀＀_x0001_＀＀_x0001_＀＀豀碵꼝쐕찀ㅴ伌C剁䡍䙞彅卅䥔䅍䕔✨䅓䕌❓✬䕍乁Ⱗ䌧䱁❁✬〲㜰ⰧⰰⰬⰧ啃剒久奃唽䑓✬착!＀＀ ＀＀	＀＀_x0008_＀＀_x0001_＀＀_x0001_＀＀_x0001_＀＀癠ṏẖ䂀찀ㅺ伌G噎䅄䙞彅卅䥔䅍䕔✨义彃則协❓✬䕍乁Ⱗ䌧䱁❁✬〲ㄱⰧⰰⰬⰧ啃剒久奃唽䑓✬착!＀＀ ＀＀	＀＀_x0008_＀＀_x0001_＀＀_x0001_＀＀_x0001_＀＀_xD917_ᨓ䂠찀ㅯ伌_x0017_偉䥈偞灟楲散江睯㕟眲〨착!＀＀ ＀＀	＀＀_x0008_＀＀_x0001_＀＀_x0001_＀＀_x0001_＀＀＀＀＀＀耀䀜찀ㆃ伌C呓ⵍ剆䙞彅卅䥔䅍䕔✨䍆❆✬䕍乁Ⱗ䌧䱁❁✬〲〱ⰧⰰⰬⰧ啃剒久奃唽䑓✬착!＀＀ ＀＀	＀＀_x0008_＀＀_x0001_＀＀_x0001_＀＀_x0001_＀＀⋐呛䂐찀ㆀ伌$呓ⵍ剆䙞彆佃彍䡓当問彔偅当䥄⡌呑ⱒ⤰!＀＀ ＀＀	＀＀_x0008_＀＀_x0001_＀＀_x0001_＀＀_x0001_＀＀∔რ䴪䂌찀ㅴ伌C剁䡍䙞彅卅䥔䅍䕔✨䅃䕐❘✬䕍乁Ⱗ䌧䱁❁✬〲㜰ⰧⰰⰬⰧ啃剒久奃唽䑓✬착!＀＀ ＀＀	＀＀_x0008_＀＀_x0001_＀＀_x0001_＀＀_x0001_＀＀믽猾䟖䀩찀ㅾ伌A噎䅄䙞彅卅䥔䅍䕔✨䍆❆✬䕍乁Ⱗ䌧䱁❁✬〲㘰ⰧⰰⰬⰧ啃剒久奃唽䑓✬착!＀＀ ＀＀	＀＀_x0008_＀＀_x0001_＀＀_x0001_＀＀_x0001_＀＀㓗㣯빅䂀찀ㆀ伌_x001A_义䍔䙞彇剐䍉⡅〴㐵ⰴⰬ单⥄!＀＀ ＀＀	＀＀_x0008_＀＀_x0001_＀＀_x0001_＀＀_x0001_＀＀ᑺޮ䀵찀ㅾ伌C噎䅄䙞彅卅䥔䅍䕔✨偅䉓❇✬䕍乁Ⱗ䌧䱁❁✬〲ㄱⰧⰰⰬⰧ啃剒久奃唽䑓✬착!＀＀ ＀＀	＀＀_x0008_＀＀_x0001_＀＀_x0001_＀＀_x0001_＀＀纀뿟ㅹ㿳찀ㅸ伌E㐲㐵吭䥁䙞彅卅䥔䅍䕔✨䍆❆✬䕍乁Ⱗ䌧䱁❁✬〲㜰ⰧⰰⰬⰧ啃剒久奃唽䑓✬착!＀＀ ＀＀	＀＀_x0008_＀＀_x0001_＀＀_x0001_＀＀_x0001_＀＀棜漀咁䂆찀ㅸ伌G㐲㐵吭䥁䙞彅卅䥔䅍䕔✨偅䉓❇✬䕍乁Ⱗ䌧䱁❁✬〲㈱ⰧⰰⰬⰧ啃剒久奃唽䑓✬착!＀＀ ＀＀	＀＀_x0008_＀＀_x0001_＀＀_x0001_＀＀_x0001_＀＀祑侅Ẅ㿡찀ㆀ伌_x001A_义䍔䙞彇剐䍉⡅〴ㄹⰸⰬ单⥄!＀＀ ＀＀	＀＀_x0008_＀＀_x0001_＀＀_x0001_＀＀_x0001_＀＀ꏗ㵰眊䀹찀ㅵ伌G㐲㐵吭䥁䙞彅卅䥔䅍䕔✨䅓䕌❓✬䕍乁Ⱗ䌧䱁❁✬〲㠰ⰧⰰⰬⰧ啃剒久奃唽䑓✬착!＀＀ ＀＀	＀＀_x0008_＀＀_x0001_＀＀_x0001_＀＀_x0001_＀＀赐溗蓒䂥찀ㅹ伌C噎䅄䙞彅卅䥔䅍䕔✨䅓䕌❓✬䕍乁Ⱗ䌧䱁❁✬〲ㄱⰧⰰⰬⰧ啃剒久奃唽䑓✬착!＀＀ ＀＀	＀＀_x0008_＀＀_x0001_＀＀_x0001_＀＀_x0001_＀＀ꇋ뙅ꥳ䂯찀ㅷ伌G㐲㐵吭䥁䙞彅卅䥔䅍䕔✨䅃䕐❘✬䕍乁Ⱗ䌧䱁❁✬〲㠰ⰧⰰⰬⰧ啃剒久奃唽䑓✬착!＀＀ ＀＀	＀＀_x0008_＀＀_x0001_＀＀_x0001_＀＀_x0001_＀＀䤽暺秲䁎찀ㅽ伌C噎䅄䙞彅卅䥔䅍䕔✨䅃䕐❘✬䕍乁Ⱗ䌧䱁❁✬〲ㄱⰧⰰⰬⰧ啃剒久奃唽䑓✬착!＀＀ ＀＀	＀＀_x0008_＀＀_x0001_＀＀_x0001_＀＀_x0001_＀＀틲才㰐䁟찀ㅴ伌C剁䡍䙞彅卅䥔䅍䕔✨偅䉓❇✬䕍乁Ⱗ䌧䱁❁✬〲㐱ⰧⰰⰬⰧ啃剒久奃唽䑓✬착!＀＀ ＀＀	＀＀_x0008_＀＀_x0001_＀＀_x0001_＀＀_x0001_＀＀අ꽏斔㿱찀ㅹ伌"噎䅄䙞彆佃彍䡓当問彔偅当䥄⡌呑ⱒ⤰ċ＀＀ ＀＀ó＀＀_x0008_＀＀_x0001_＀＀_x0001_＀＀_x0001_＀＀긔ⱺ䂃摦畳㩰⼯楄敲瑣潩獮䘯捡却瑥䄠摵瑩湩⁧楖睥牥愿瑣潩㵮啁䥄彔䅖啌♅䉄ㄽ㤲䤦ㅄ㘽〷㘶ㅇ☰䅖啌䥅㵄㔰㤱☴䑓呁㵅〲ㄱ㌰倦剅佉呄偙㵅呑归呓♄䍓呆㌽眦湩潤㵷潰異彰潮扟牡眦摩桴㌽㔸栦楥桧㵴㈱☰呓剁彔䅍䥘䥍䕚㵄䅆卌♅牣慥潴㵲慦瑣敳♴楤灳慬役瑳楲杮䄽摵瑩찀ㆄ伌E呓ⵍ剆䙞彅卅䥔䅍䕔✨偅䉓❇✬䕍乁Ⱗ䌧䱁❁✬〲㘰ⰧⰰⰬⰧ啃剒久奃唽䑓✬착!＀＀ ＀＀	＀＀_x0008_＀＀_x0001_＀＀_x0001_＀＀_x0001_＀＀搲힆᤿㿭찀ㆃ伌C呓ⵍ剆䙞彅卅䥔䅍䕔✨䍆❆✬䕍乁Ⱗ䌧䱁❁✬〲㌱ⰧⰰⰬⰧ啃剒久奃唽䑓✬착!＀＀ ＀＀	＀＀_x0008_＀＀_x0001_＀＀_x0001_＀＀_x0001_＀＀뱫鍴挘䁿찀ㅶ伌G义䍔䙞彅卅䥔䅍䕔✨义彃則协❓✬䕍乁Ⱗ䌧䱁❁✬〲㈱ⰧⰰⰬⰧ啃剒久奃唽䑓✬착!＀＀ ＀＀	＀＀_x0008_＀＀_x0001_＀＀_x0001_＀＀_x0001_＀＀晧晦ᰶ䃡찀ㆁ伌F䑁幉䕆䕟呓䵉呁⡅䤧䍎䝟佒卓Ⱗ䴧䅅❎✬䅃䅌Ⱗ㈧〰✶〬Ⱜ✬䌬剕䕒䍎㵙单ⱄ⤧!＀＀ ＀＀	＀＀_x0008_＀＀_x0001_＀＀_x0001_＀＀_x0001_＀＀豀碵꼝쐕찀ㅯ伌_x0018_䅃䵖偞灟楲散桟杩彨㈵⡷⤰!＀＀ ＀＀	＀＀_x0008_＀＀_x0001_＀＀_x0001_＀＀_x0001_＀＀晧晦♦䁈찀ㅴ伌&amp;㐲㐵吭䥁䙞彆佃彍䡓当問彔偅当䥄⡌呑ⱒ⤰ĉ＀＀ ＀＀ñ＀＀_x0008_＀＀_x0001_＀＀_x0001_＀＀_x0001_＀＀棨䭕㱪䂑摦畳㩰⼯楄敲瑣潩獮䘯捡却瑥䄠摵瑩湩⁧楖睥牥愿瑣潩㵮啁䥄彔䅖啌♅䉄ㄽ㤲䤦ㅄ㘽㜳㐲☸䅖啌䥅㵄㔰㤱☴䑓呁㵅〲ㄱ㌰倦剅佉呄偙㵅呑归呓♄䍓呆㌽眦湩潤㵷潰異彰潮扟牡眦摩桴㌽㔸栦楥桧㵴㈱☰呓剁彔䅍䥘䥍䕚㵄䅆卌♅牣慥潴㵲慦瑣敳♴楤灳慬役瑳楲杮䄽摵瑩찀ㅸ伌E㐲㐵吭䥁䙞彅卅䥔䅍䕔✨䍆❆✬䕍乁Ⱗ䌧䱁❁✬〲㐱ⰧⰰⰬⰧ啃剒久奃唽䑓✬착!＀＀ ＀＀	＀＀_x0008_＀＀_x0001_＀＀_x0001_＀＀_x0001_＀＀豀碵꼝쐕찀ㅿ伌C䍑䵏䙞彅卅䥔䅍䕔✨偅䉓❇✬䕍乁Ⱗ䌧䱁❁✬〲㜰ⰧⰰⰬⰧ啃剒久奃唽䑓✬착!＀＀ ＀＀	＀＀_x0008_＀＀_x0001_＀＀_x0001_＀＀_x0001_＀＀ଜ茊贲䀀찀ㆁ伌A䑁幉䕆䕟呓䵉呁⡅攧楢❴✬䕍乁Ⱗ䌧䱁❁✬〲㘰ⰧⰰⰬⰧ啃剒久奃唽䑓✬착!＀＀ ＀＀	＀＀_x0008_＀＀_x0001_＀＀_x0001_＀＀_x0001_＀＀䯇褷ꥁ䂂찀ㅸ伌A义䍔䙞彅卅䥔䅍䕔✨䍆❆✬䕍乁Ⱗ䌧䱁❁✬〲㜰ⰧⰰⰬⰧ啃剒久奃唽䑓✬착!＀＀ ＀＀	＀＀_x0008_＀＀_x0001_＀＀_x0001_＀＀_x0001_＀＀㽼덕䂽찀ㅴ伌C剁䡍䙞彅卅䥔䅍䕔✨偅䉓❇✬䕍乁Ⱗ䌧䱁❁✬〲ㄱⰧⰰⰬⰧ啃剒久奃唽䑓✬착!＀＀ ＀＀	＀＀_x0008_＀＀_x0001_＀＀_x0001_＀＀_x0001_＀＀ভ᪳쑜㿠찀ㅺ伌C䍑䵏䙞彅卅䥔䅍䕔✨䅓䕌❓✬䕍乁Ⱗ䌧䱁❁✬〲㜰ⰧⰰⰬⰧ啃剒久奃唽䑓✬착!＀＀ ＀＀	＀＀_x0008_＀＀_x0001_＀＀_x0001_＀＀_x0001_＀＀빷᪟淟䃂찀ㅽ伌C噎䅄䙞彅卅䥔䅍䕔✨䅃䕐❘✬䕍乁Ⱗ䌧䱁❁✬〲㐱ⰧⰰⰬⰧ啃剒久奃唽䑓✬착!＀＀ ＀＀	＀＀_x0008_＀＀_x0001_＀＀_x0001_＀＀_x0001_＀＀豀碵꼝쐕찀ㅶ伌B义䍔䙞彅卅䥔䅍䕔✨扥瑩Ⱗ䴧䅅❎✬䅃䅌Ⱗ㈧〰✷〬Ⱜ✬䌬剕䕒䍎㵙单ⱄ⤧!＀＀ ＀＀	＀＀_x0008_＀＀_x0001_＀＀_x0001_＀＀_x0001_＀＀䷓ၢ똸䃀찀ㅴ伌C剁䡍䙞彅卅䥔䅍䕔✨䅓䕌❓✬䕍乁Ⱗ䌧䱁❁✬〲ㄱⰧⰰⰬⰧ啃剒久奃唽䑓✬착!＀＀ ＀＀	＀＀_x0008_＀＀_x0001_＀＀_x0001_＀＀_x0001_＀＀럩ί鏧䂇찀ㅾ伌C䍑䵏䙞彅卅䥔䅍䕔✨䅃䕐❘✬䕍乁Ⱗ䌧䱁❁✬〲㜰ⰧⰰⰬⰧ啃剒久奃唽䑓✬착!＀＀ ＀＀	＀＀_x0008_＀＀_x0001_＀＀_x0001_＀＀_x0001_＀＀Ƥּ餒䂌찀ㅴ伌C剁䡍䙞彅卅䥔䅍䕔✨䅃䕐❘✬䕍乁Ⱗ䌧䱁❁✬〲ㄱⰧⰰⰬⰧ啃剒久奃唽䑓✬착!＀＀ ＀＀	＀＀_x0008_＀＀_x0001_＀＀_x0001_＀＀_x0001_＀＀厣ṗ䀱찀ㆄ伌E呓ⵍ剆䙞彅卅䥔䅍䕔✨偅䉓❇✬䕍乁Ⱗ䌧䱁❁✬〲㤰ⰧⰰⰬⰧ啃剒久奃唽䑓✬착!＀＀ ＀＀	＀＀_x0008_＀＀_x0001_＀＀_x0001_＀＀_x0001_＀＀㫮뿪찀ㅾ伌A噎䅄䙞彅卅䥔䅍䕔✨䍆❆✬䕍乁Ⱗ䌧䱁❁✬〲〱ⰧⰰⰬⰧ啃剒久奃唽䑓✬착!＀＀ ＀＀	＀＀_x0008_＀＀_x0001_＀＀_x0001_＀＀_x0001_＀＀_xDABA_ﶊ쿥䂀찀ㆀ伌_x001E_䍑䵏偞灟楲散桟杩彨㈵⡷ⰰⰬ单⥄!＀＀ ＀＀	＀＀_x0008_＀＀_x0001_＀＀_x0001_＀＀_x0001_＀＀凬Ẹ䁍찀ㅸ伌E㐲㐵吭䥁䙞彅卅䥔䅍䕔✨䍆❆✬䕍乁Ⱗ䌧䱁❁✬〲ㄱⰧⰰⰬⰧ啃剒久奃唽䑓✬착!＀＀ ＀＀	＀＀_x0008_＀＀_x0001_＀＀_x0001_＀＀_x0001_＀＀_xDD97_ᾓ䂀찀ㆄ伌@䑁幉䕆䕟呓䵉呁⡅䐧卐Ⱗ䴧䅅❎✬䅃䅌Ⱗ㈧㄰✱〬Ⱜ✬䌬剕䕒䍎㵙单ⱄ⤧!＀＀ ＀＀	＀＀_x0008_＀＀_x0001_＀＀_x0001_＀＀_x0001_＀＀此ệ㿭찀ㆂ伌D呓ⵍ剆䙞彅卅䥔䅍䕔✨扥瑩Ⱗ䴧䅅❎✬䅃䅌Ⱗ㈧〰✷〬Ⱜ✬䌬剕䕒䍎㵙单ⱄ⤧!＀＀ ＀＀	＀＀_x0008_＀＀_x0001_＀＀_x0001_＀＀_x0001_＀＀さꤪ搓삀찀ㆁ伌F䑁幉䕆䕟呓䵉呁⡅䤧䍎䝟佒卓Ⱗ䴧䅅❎✬䅃䅌Ⱗ㈧〰✹〬Ⱜ✬䌬剕䕒䍎㵙单ⱄ⤧!＀＀ ＀＀	＀＀_x0008_＀＀_x0001_＀＀_x0001_＀＀_x0001_＀＀좴빶䆟䂓찀ㅿ伌H噎䅄䙞彅卅䥔䅍䕔✨啃呓䵏䕟卐Ⱗ䴧䅅❎✬䅃䅌Ⱗ㈧㄰✲〬Ⱜ✬䌬剕䕒䍎㵙单ⱄ⤧!＀＀ ＀＀	＀＀_x0008_＀＀_x0001_＀＀_x0001_＀＀_x0001_＀＀翐帏뒻㿱찀ㆁ伌E呓ⵍ剆䙞彅卅䥔䅍䕔✨䅓䕌❓✬䕍乁Ⱗ䌧䱁❁✬〲㤰ⰧⰰⰬⰧ啃剒久奃唽䑓✬착!＀＀ ＀＀	＀＀_x0008_＀＀_x0001_＀＀_x0001_＀＀_x0001_＀＀酩糭衿䃀찀ㅵ伌G㐲㐵吭䥁䙞彅卅䥔䅍䕔✨䅓䕌❓✬䕍乁Ⱗ䌧䱁❁✬〲㈱ⰧⰰⰬⰧ啃剒久奃唽䑓✬착!＀＀ ＀＀	＀＀_x0008_＀＀_x0001_＀＀_x0001_＀＀_x0001_＀＀ᚇ컙襷䂪찀ㆀ伌_x001A_噎䅄䙞彇剐䍉⡅〴㐵ⰴⰬ单⥄!＀＀ ＀＀	＀＀_x0008_＀＀_x0001_＀＀_x0001_＀＀_x0001_＀＀쳍쳌쳌䀮찀ㆁ伌A䑁幉䕆䕟呓䵉呁⡅攧楢❴✬䕍乁Ⱗ䌧䱁❁✬〲㤰ⰧⰰⰬⰧ啃剒久奃唽䑓✬착!＀＀ ＀＀	＀＀_x0008_＀＀_x0001_＀＀_x0001_＀＀_x0001_＀＀혹淅昴䁺찀ㆄ伌J呓ⵍ剆䙞彅卅䥔䅍䕔✨啃呓䵏䕟卐Ⱗ䴧䅅❎✬䅃䅌Ⱗ㈧〰✷〬Ⱜ✬䌬剕䕒䍎㵙单ⱄ⤧!＀＀ ＀＀	＀＀_x0008_＀＀_x0001_＀＀_x0001_＀＀_x0001_＀＀豀碵꼝쐕찀ㆃ伌B䑁幉䕆䕟呓䵉呁⡅䔧卐䝂Ⱗ䴧䅅❎✬䅃䅌Ⱗ㈧〰✸〬Ⱜ✬䌬剕䕒䍎㵙单ⱄ⤧!＀＀ ＀＀	＀＀_x0008_＀＀_x0001_＀＀_x0001_＀＀_x0001_＀＀壪潌㿼찀ㅿ伌C䍑䵏䙞彅卅䥔䅍䕔✨偅䉓❇✬䕍乁Ⱗ䌧䱁❁✬〲㐱ⰧⰰⰬⰧ啃剒久奃唽䑓✬착!＀＀ ＀＀	＀＀_x0008_＀＀_x0001_＀＀_x0001_＀＀_x0001_＀＀כּ菊蓴䀒찀ㆃ伌E呓ⵍ剆䙞彅卅䥔䅍䕔✨䅃䕐❘✬䕍乁Ⱗ䌧䱁❁✬〲㤰ⰧⰰⰬⰧ啃剒久奃唽䑓✬착!＀＀ ＀＀	＀＀_x0008_＀＀_x0001_＀＀_x0001_＀＀_x0001_＀＀趹䁼찀ㆀ伌!㐲㐵吭䥁偞灟楲散江睯㕟眲〨Ⱜ唬䑓착!＀＀ ＀＀	＀＀_x0008_＀＀_x0001_＀＀_x0001_＀＀_x0001_＀＀駵㺳磥䀞찀ㅸ伌A义䍔䙞彅卅䥔䅍䕔✨䍆❆✬䕍乁Ⱗ䌧䱁❁✬〲㐱ⰧⰰⰬⰧ啃剒久奃唽䑓✬착!＀＀ ＀＀	＀＀_x0008_＀＀_x0001_＀＀_x0001_＀＀_x0001_＀＀晧晦̦䃌찀ㅷ伌G㐲㐵吭䥁䙞彅卅䥔䅍䕔✨䅃䕐❘✬䕍乁Ⱗ䌧䱁❁✬〲㈱ⰧⰰⰬⰧ啃剒久奃唽䑓✬착!＀＀ ＀＀	＀＀_x0008_＀＀_x0001_＀＀_x0001_＀＀_x0001_＀＀⢍෭钾䁑찀ㅴ伌C剁䡍䙞彅卅䥔䅍䕔✨䅓䕌❓✬䕍乁Ⱗ䌧䱁❁✬〲㐱ⰧⰰⰬⰧ啃剒久奃唽䑓✬착!＀＀ ＀＀	＀＀_x0008_＀＀_x0001_＀＀_x0001_＀＀_x0001_＀＀ꏗ㵰慠䂑찀ㆁ伌I呓ⵍ剆䙞彅卅䥔䅍䕔✨义彃則协❓✬䕍乁Ⱗ䌧䱁❁✬〲㠰ⰧⰰⰬⰧ啃剒久奃唽䑓✬착!＀＀ ＀＀	＀＀_x0008_＀＀_x0001_＀＀_x0001_＀＀_x0001_＀＀摚_xDF3B_問䂯찀ㆄ伌E呓ⵍ剆䙞彅卅䥔䅍䕔✨偅䉓❇✬䕍乁Ⱗ䌧䱁❁✬〲〱ⰧⰰⰬⰧ啃剒久奃唽䑓✬착!＀＀ ＀＀	＀＀_x0008_＀＀_x0001_＀＀_x0001_＀＀_x0001_＀＀咽䣦챸㿨찀ㅽ伌B䍑䵏䙞彅卅䥔䅍䕔✨扥瑩Ⱗ䴧䅅❎✬䅃䅌Ⱗ㈧〰✶〬Ⱜ✬䌬剕䕒䍎㵙单ⱄ⤧!＀＀ ＀＀	＀＀_x0008_＀＀_x0001_＀＀_x0001_＀＀_x0001_＀＀率橾燼䂩찀ㅹ伌H义䍔䙞彅卅䥔䅍䕔✨啃呓䵏䕟卐Ⱗ䴧䅅❎✬䅃䅌Ⱗ㈧〰✸〬Ⱜ✬䌬剕䕒䍎㵙单ⱄ⤧!＀＀ ＀＀	＀＀_x0008_＀＀_x0001_＀＀_x0001_＀＀_x0001_＀＀㵱휊炣㿭찀ㅴ伌C剁䡍䙞彅卅䥔䅍䕔✨䅃䕐❘✬䕍乁Ⱗ䌧䱁❁✬〲㐱ⰧⰰⰬⰧ啃剒久奃唽䑓✬착!＀＀ ＀＀	＀＀_x0008_＀＀_x0001_＀＀_x0001_＀＀_x0001_＀＀ꮠ_xD8AD_칟䁁찀ㆁ伌F䑁幉䕆䕟呓䵉呁⡅䤧䍎䝟佒卓Ⱗ䴧䅅❎✬䅃䅌Ⱗ㈧㄰✰〬Ⱜ✬䌬剕䕒䍎㵙单ⱄ⤧!＀＀ ＀＀	＀＀_x0008_＀＀_x0001_＀＀_x0001_＀＀_x0001_＀＀䆉飐䂜찀ㆁ伌E呓ⵍ剆䙞彅卅䥔䅍䕔✨䅓䕌❓✬䕍乁Ⱗ䌧䱁❁✬〲㘰ⰧⰰⰬⰧ啃剒久奃唽䑓✬착!＀＀ ＀＀	＀＀_x0008_＀＀_x0001_＀＀_x0001_＀＀_x0001_＀＀尨㻿䃃찀ㅾ伌A噎䅄䙞彅卅䥔䅍䕔✨䍆❆✬䕍乁Ⱗ䌧䱁❁✬〲㌱ⰧⰰⰬⰧ啃剒久奃唽䑓✬착!＀＀ ＀＀	＀＀_x0008_＀＀_x0001_＀＀_x0001_＀＀_x0001_＀＀뇅渮쨣䂊찀ㆀ伌_x0014_䱁剔䙞彇剐䍉⡅〴ㄹ⤸!＀＀ ＀＀	＀＀_x0008_＀＀_x0001_＀＀_x0001_＀＀_x0001_＀＀炤਽䁂찀ㅿ伌C䍑䵏䙞彅卅䥔䅍䕔✨偅䉓❇✬䕍乁Ⱗ䌧䱁❁✬〲ㄱⰧⰰⰬⰧ啃剒久奃唽䑓✬착!＀＀ ＀＀	＀＀_x0008_＀＀_x0001_＀＀_x0001_＀＀_x0001_＀＀䗤怦䀊찀ㆃ伌E呓ⵍ剆䙞彅卅䥔䅍䕔✨䅃䕐❘✬䕍乁Ⱗ䌧䱁❁✬〲㘰ⰧⰰⰬⰧ啃剒久奃唽䑓✬착!＀＀ ＀＀	＀＀_x0008_＀＀_x0001_＀＀_x0001_＀＀_x0001_＀＀璽ᢓ焄䂘찀ㆁ伌A䑁幉䕆䕟呓䵉呁⡅攧楢❴✬䕍乁Ⱗ䌧䱁❁✬〲〱ⰧⰰⰬⰧ啃剒久奃唽䑓✬착!＀＀ ＀＀	＀＀_x0008_＀＀_x0001_＀＀_x0001_＀＀_x0001_＀＀箳냲懐䂍찀ㅸ伌A义䍔䙞彅卅䥔䅍䕔✨䍆❆✬䕍乁Ⱗ䌧䱁❁✬〲ㄱⰧⰰⰬⰧ啃剒久奃唽䑓✬착!＀＀ ＀＀	＀＀_x0008_＀＀_x0001_＀＀_x0001_＀＀_x0001_＀＀퓽었䃀찀ㆀ伌_x001E_剁䡍偞灟楲散桟杩彨㈵⡷ⰰⰬ单⥄!＀＀ ＀＀	＀＀_x0008_＀＀_x0001_＀＀_x0001_＀＀_x0001_＀＀ꏗ㵰ᜊ䁀찀ㅺ伌C䍑䵏䙞彅卅䥔䅍䕔✨䅓䕌❓✬䕍乁Ⱗ䌧䱁❁✬〲ㄱⰧⰰⰬⰧ啃剒久奃唽䑓✬착!＀＀ ＀＀	＀＀_x0008_＀＀_x0001_＀＀_x0001_＀＀_x0001_＀＀멞౉䃎찀ㅰ伌"剁䡍䙞彆佃彍䡓当問彔偅当䥄⡌呑ⱒ⤰!＀＀ ＀＀	＀＀_x0008_＀＀_x0001_＀＀_x0001_＀＀_x0001_＀＀鼊坡ꪀ䁼찀ㅶ伌B义䍔䙞彅卅䥔䅍䕔✨扥瑩Ⱗ䴧䅅❎✬䅃䅌Ⱗ㈧㄰✱〬Ⱜ✬䌬剕䕒䍎㵙单ⱄ⤧!＀＀ ＀＀	＀＀_x0008_＀＀_x0001_＀＀_x0001_＀＀_x0001_＀＀轜㑘䃑찀ㅴ伌B剁䡍䙞彅卅䥔䅍䕔✨扥瑩Ⱗ䴧䅅❎✬䅃䅌Ⱗ㈧〰✸〬Ⱜ✬䌬剕䕒䍎㵙单ⱄ⤧!＀＀ ＀＀	＀＀_x0008_＀＀_x0001_＀＀_x0001_＀＀_x0001_＀＀钰补㵣䁞찀ㅾ伌C䍑䵏䙞彅卅䥔䅍䕔✨䅃䕐❘✬䕍乁Ⱗ䌧䱁❁✬〲ㄱⰧⰰⰬⰧ啃剒久奃唽䑓✬착!＀＀ ＀＀	＀＀_x0008_＀＀_x0001_＀＀_x0001_＀＀_x0001_＀＀ꇋ뙅䂄찀ㆀ伌_x001F_呓ⵍ剆偞灟楲散江睯㕟眲〨Ⱜ唬䑓착!＀＀ ＀＀	＀＀_x0008_＀＀_x0001_＀＀_x0001_＀＀_x0001_＀＀ਜ਼רּ뀟䀕찀ㆄ伌E呓ⵍ剆䙞彅卅䥔䅍䕔✨偅䉓❇✬䕍乁Ⱗ䌧䱁❁✬〲㌱ⰧⰰⰬⰧ啃剒久奃唽䑓✬착!＀＀ ＀＀	＀＀_x0008_＀＀_x0001_＀＀_x0001_＀＀_x0001_＀＀㾨ұ锈㿢찀ㅽ伌B䍑䵏䙞彅卅䥔䅍䕔✨扥瑩Ⱗ䴧䅅❎✬䅃䅌Ⱗ㈧〰✹〬Ⱜ✬䌬剕䕒䍎㵙单ⱄ⤧!＀＀ ＀＀	＀＀_x0008_＀＀_x0001_＀＀_x0001_＀＀_x0001_＀＀ᚇ컙ﻷ䂪찀ㅴ伌A剁䡍䙞彅卅䥔䅍䕔✨䍆❆✬䕍乁Ⱗ䌧䱁❁✬〲㜰ⰧⰰⰬⰧ啃剒久奃唽䑓✬착!＀＀ ＀＀	＀＀_x0008_＀＀_x0001_＀＀_x0001_＀＀_x0001_＀＀ꃹ덧㏪䁤찀ㆃ伌@䑁幉䕆䕟呓䵉呁⡅䘧䙃Ⱗ䴧䅅❎✬䅃䅌Ⱗ㈧〰✸〬Ⱜ✬䌬剕䕒䍎㵙单ⱄ⤧!＀＀ ＀＀	＀＀_x0008_＀＀_x0001_＀＀_x0001_＀＀_x0001_＀＀땳閕䂃찀ㆂ伌D呓ⵍ剆䙞彅卅䥔䅍䕔✨扥瑩Ⱗ䴧䅅❎✬䅃䅌Ⱗ㈧㄰✱〬Ⱜ✬䌬剕䕒䍎㵙单ⱄ⤧!＀＀ ＀＀	＀＀_x0008_＀＀_x0001_＀＀_x0001_＀＀_x0001_＀＀뗝粄ᯐ䁣찀ㆁ伌F䑁幉䕆䕟呓䵉呁⡅䤧䍎䝟佒卓Ⱗ䴧䅅❎✬䅃䅌Ⱗ㈧㄰✳〬Ⱜ✬䌬剕䕒䍎㵙单ⱄ⤧!＀＀ ＀＀	＀＀_x0008_＀＀_x0001_＀＀_x0001_＀＀_x0001_＀＀璽ᢓ鰄䂟찀ㅸ伌C义䍔䙞彅卅䥔䅍䕔✨偅䉓❇✬䕍乁Ⱗ䌧䱁❁✬〲㠰ⰧⰰⰬⰧ啃剒久奃唽䑓✬착!＀＀ ＀＀	＀＀_x0008_＀＀_x0001_＀＀_x0001_＀＀_x0001_＀＀尩슏⣵㿰찀ㅯ伌_x0017_䅃䵖偞灟楲散江睯㕟眲〨착!＀＀ ＀＀	＀＀_x0008_＀＀_x0001_＀＀_x0001_＀＀_x0001_＀＀㌴㌳㌳䀸찀ㆀ伌_x001A_噎䅄䙞彇剐䍉⡅〴ㄹⰸⰬ单⥄!＀＀ ＀＀	＀＀_x0008_＀＀_x0001_＀＀_x0001_＀＀_x0001_＀＀긔ᑺ䀭찀ㆁ伌A䑁幉䕆䕟呓䵉呁⡅攧楢❴✬䕍乁Ⱗ䌧䱁❁✬〲㌱ⰧⰰⰬⰧ啃剒久奃唽䑓✬착!＀＀ ＀＀	＀＀_x0008_＀＀_x0001_＀＀_x0001_＀＀_x0001_＀＀_xDB23_绹䂐찀ㅼ伌B噎䅄䙞彅卅䥔䅍䕔✨扥瑩Ⱗ䴧䅅❎✬䅃䅌Ⱗ㈧〰✹〬Ⱜ✬䌬剕䕒䍎㵙单ⱄ⤧!＀＀ ＀＀	＀＀_x0008_＀＀_x0001_＀＀_x0001_＀＀_x0001_＀＀泋䦐ቆ䁝찀ㆄ伌J呓ⵍ剆䙞彅卅䥔䅍䕔✨啃呓䵏䕟卐Ⱗ䴧䅅❎✬䅃䅌Ⱗ㈧㄰✱〬Ⱜ✬䌬剕䕒䍎㵙单ⱄ⤧!＀＀ ＀＀	＀＀_x0008_＀＀_x0001_＀＀_x0001_＀＀_x0001_＀＀豀碵꼝쐕찀ㆃ伌B䑁幉䕆䕟呓䵉呁⡅䔧卐䝂Ⱗ䴧䅅❎✬䅃䅌Ⱗ㈧㄰✲〬Ⱜ✬䌬剕䕒䍎㵙单ⱄ⤧!＀＀ ＀＀	＀＀_x0008_＀＀_x0001_＀＀_x0001_＀＀_x0001_＀＀휣⥍疯䀃찀ㆃ伌E呓ⵍ剆䙞彅卅䥔䅍䕔✨䅃䕐❘✬䕍乁Ⱗ䌧䱁❁✬〲㌱ⰧⰰⰬⰧ啃剒久奃唽䑓✬착!＀＀ ＀＀	＀＀_x0008_＀＀_x0001_＀＀_x0001_＀＀_x0001_＀＀낊戕䂎찀ㆀ伌_x0018_䱘塎偞灟楲散桟杩彨㈵⡷⤰!＀＀ ＀＀	＀＀_x0008_＀＀_x0001_＀＀_x0001_＀＀_x0001_＀＀슏⣵꽜䁂찀ㆀ伌B䑁幉䕆䕟呓䵉呁⡅匧䱁卅Ⱗ䴧䅅❎✬䅃䅌Ⱗ㈧〰✸〬Ⱜ✬䌬剕䕒䍎㵙单ⱄ⤧!＀＀ ＀＀	＀＀_x0008_＀＀_x0001_＀＀_x0001_＀＀_x0001_＀＀⋐牛䂣찀ㅺ伌C䍑䵏䙞彅卅䥔䅍䕔✨䅓䕌❓✬䕍乁Ⱗ䌧䱁❁✬〲㐱ⰧⰰⰬⰧ啃剒久奃唽䑓✬착!＀＀ ＀＀	＀＀_x0008_＀＀_x0001_＀＀_x0001_＀＀_x0001_＀＀ᑺᒮ䃗찀ㅶ伌K㐲㐵吭䥁䙞彅卅䥔䅍䕔✨义彃則协❓✬䕍乁Ⱗ䌧䱁❁✬〲㠰ⰧⰰⰬⰧ啃剒久奃唽䑓✬착!＀＀ ＀＀	＀＀_x0008_＀＀_x0001_＀＀_x0001_＀＀_x0001_＀＀⃅犰䫨䂗찀ㅴ伌H剁䡍䙞彅卅䥔䅍䕔✨啃呓䵏䕟卐Ⱗ䴧䅅❎✬䅃䅌Ⱗ㈧〰✸〬Ⱜ✬䌬剕䕒䍎㵙单ⱄ⤧!＀＀ ＀＀	＀＀_x0008_＀＀_x0001_＀＀_x0001_＀＀_x0001_＀＀豀碵꼝쐕찀ㅶ伌B义䍔䙞彅卅䥔䅍䕔✨扥瑩Ⱗ䴧䅅❎✬䅃䅌Ⱗ㈧㄰✴〬Ⱜ✬䌬剕䕒䍎㵙单ⱄ⤧!＀＀ ＀＀	＀＀_x0008_＀＀_x0001_＀＀_x0001_＀＀_x0001_＀＀㌴㌳犳䃔찀ㆂ伌B䑁幉䕆䕟呓䵉呁⡅䌧偁塅Ⱗ䴧䅅❎✬䅃䅌Ⱗ㈧〰✸〬Ⱜ✬䌬剕䕒䍎㵙单ⱄ⤧!＀＀ ＀＀	＀＀_x0008_＀＀_x0001_＀＀_x0001_＀＀_x0001_＀＀ꏗ㵰䌊䁡찀ㆁ伌I呓ⵍ剆䙞彅卅䥔䅍䕔✨义彃則协❓✬䕍乁Ⱗ䌧䱁❁✬〲㈱ⰧⰰⰬⰧ啃剒久奃唽䑓✬착!＀＀ ＀＀	＀＀_x0008_＀＀_x0001_＀＀_x0001_＀＀_x0001_＀＀竡긔資䂫찀ㅾ伌A䍑䵏䙞彅卅䥔䅍䕔✨䍆❆✬䕍乁Ⱗ䌧䱁❁✬〲㘰ⰧⰰⰬⰧ啃剒久奃唽䑓✬착!＀＀ ＀＀	＀＀_x0008_＀＀_x0001_＀＀_x0001_＀＀_x0001_＀＀Წ摚牻䂤찀ㅾ伌C䍑䵏䙞彅卅䥔䅍䕔✨䅃䕐❘✬䕍乁Ⱗ䌧䱁❁✬〲㐱ⰧⰰⰬⰧ啃剒久奃唽䑓✬착!＀＀ ＀＀	＀＀_x0008_＀＀_x0001_＀＀_x0001_＀＀_x0001_＀＀薈퍚䂋찀ㅽ伌B䍑䵏䙞彅卅䥔䅍䕔✨扥瑩Ⱗ䴧䅅❎✬䅃䅌Ⱗ㈧㄰✰〬Ⱜ✬䌬剕䕒䍎㵙单ⱄ⤧!＀＀ ＀＀	＀＀_x0008_＀＀_x0001_＀＀_x0001_＀＀_x0001_＀＀褷恁⹥䂱찀ㅹ伌"䍑䵏䙞彆佃彍䡓当問彔偅当䥄⡌呑ⱒ⤰ċ＀＀ ＀＀ó＀＀_x0008_＀＀_x0001_＀＀_x0001_＀＀_x0001_＀＀＀＀＀＀氀䂚摦畳㩰⼯楄敲瑣潩獮䘯捡却瑥䄠摵瑩湩⁧楖睥牥愿瑣潩㵮啁䥄彔䅖啌♅䉄ㄽ㤲䤦ㅄ㜽㜴㈵ㄵ☰䅖啌䥅㵄㔰㤱☴䑓呁㵅〲ㄱ㐰倦剅佉呄偙㵅呑归呓♄䍓呆㌽眦湩潤㵷潰異彰潮扟牡眦摩桴㌽㔸栦楥桧㵴㈱☰呓剁彔䅍䥘䥍䕚㵄䅆卌♅牣慥潴㵲慦瑣敳♴楤灳慬役瑳楲杮䄽摵瑩찀ㅹ伌H义䍔䙞彅卅䥔䅍䕔✨啃呓䵏䕟卐Ⱗ䴧䅅❎✬䅃䅌Ⱗ㈧㄰✲〬Ⱜ✬䌬剕䕒䍎㵙单ⱄ⤧!＀＀ ＀＀	＀＀_x0008_＀＀_x0001_＀＀_x0001_＀＀_x0001_＀＀䦡䥢鮹䀃찀ㅶ伌F㐲㐵吭䥁䙞彅卅䥔䅍䕔✨扥瑩Ⱗ䴧䅅❎✬䅃䅌Ⱗ㈧〰✸〬Ⱜ✬䌬剕䕒䍎㵙单ⱄ⤧!＀＀ ＀＀	＀＀_x0008_＀＀_x0001_＀＀_x0001_＀＀_x0001_＀＀⛪࠱▬䂅찀ㆁ伌E呓ⵍ剆䙞彅卅䥔䅍䕔✨䅓䕌❓✬䕍乁Ⱗ䌧䱁❁✬〲〱ⰧⰰⰬⰧ啃剒久奃唽䑓✬착!＀＀ ＀＀	＀＀_x0008_＀＀_x0001_＀＀_x0001_＀＀_x0001_＀＀빷᪟㓿䃄찀ㆂ伌D呓ⵍ剆䙞彅卅䥔䅍䕔✨扥瑩Ⱗ䴧䅅❎✬䅃䅌Ⱗ㈧㄰✴〬Ⱜ✬䌬剕䕒䍎㵙单ⱄ⤧!＀＀ ＀＀	＀＀_x0008_＀＀_x0001_＀＀_x0001_＀＀_x0001_＀＀ꇋ뙅࿳䂚찀ㅼ伌B噎䅄䙞彅卅䥔䅍䕔✨扥瑩Ⱗ䴧䅅❎✬䅃䅌Ⱗ㈧〰✶〬Ⱜ✬䌬剕䕒䍎㵙单ⱄ⤧!＀＀ ＀＀	＀＀_x0008_＀＀_x0001_＀＀_x0001_＀＀_x0001_＀＀덨珪辵䁾찀ㆃ伌E呓ⵍ剆䙞彅卅䥔䅍䕔✨䅃䕐❘✬䕍乁Ⱗ䌧䱁❁✬〲〱ⰧⰰⰬⰧ啃剒久奃唽䑓✬착!＀＀ ＀＀	＀＀_x0008_＀＀_x0001_＀＀_x0001_＀＀_x0001_＀＀痷鳠ﲑ䂎찀ㆄ伌J呓ⵍ剆䙞彅卅䥔䅍䕔✨啃呓䵏䕟卐Ⱗ䴧䅅❎✬䅃䅌Ⱗ㈧㄰✴〬Ⱜ✬䌬剕䕒䍎㵙单ⱄ⤧!＀＀ ＀＀	＀＀_x0008_＀＀_x0001_＀＀_x0001_＀＀_x0001_＀＀豀碵꼝쐕찀ㅿ伌H䍑䵏䙞彅卅䥔䅍䕔✨啃呓䵏䕟卐Ⱗ䴧䅅❎✬䅃䅌Ⱗ㈧〰✷〬Ⱜ✬䌬剕䕒䍎㵙单ⱄ⤧!＀＀ ＀＀	＀＀_x0008_＀＀_x0001_＀＀_x0001_＀＀_x0001_＀＀ꈍꊵ㿽찀ㅴ伌B剁䡍䙞彅卅䥔䅍䕔✨扥瑩Ⱗ䴧䅅❎✬䅃䅌Ⱗ㈧㄰✲〬Ⱜ✬䌬剕䕒䍎㵙单ⱄ⤧!＀＀ ＀＀	＀＀_x0008_＀＀_x0001_＀＀_x0001_＀＀_x0001_＀＀伎钯䁶찀ㅻ伌G䍑䵏䙞彅卅䥔䅍䕔✨义彃則协❓✬䕍乁Ⱗ䌧䱁❁✬〲㠰ⰧⰰⰬⰧ啃剒久奃唽䑓✬착!＀＀ ＀＀	＀＀_x0008_＀＀_x0001_＀＀_x0001_＀＀_x0001_＀＀삃ꇊ㏅䂾찀ㅴ伌G剁䡍䙞彅卅䥔䅍䕔✨义彃則协❓✬䕍乁Ⱗ䌧䱁❁✬〲㠰ⰧⰰⰬⰧ啃剒久奃唽䑓✬착!＀＀ ＀＀	＀＀_x0008_＀＀_x0001_＀＀_x0001_＀＀_x0001_＀＀縨릌扫䁸찀ㅾ伌A䍑䵏䙞彅卅䥔䅍䕔✨䍆❆✬䕍乁Ⱗ䌧䱁❁✬〲㤰ⰧⰰⰬⰧ啃剒久奃唽䑓✬착!＀＀ ＀＀	＀＀_x0008_＀＀_x0001_＀＀_x0001_＀＀_x0001_＀＀褷恁싥䂳찀ㆄ伌G䑁幉䕆䕟呓䵉呁⡅䌧单佔彍偅❓✬䕍乁Ⱗ䌧䱁❁✬〲㠰ⰧⰰⰬⰧ啃剒久奃唽䑓✬착!＀＀ ＀＀	＀＀_x0008_＀＀_x0001_＀＀_x0001_＀＀_x0001_＀＀䗡䅟㆚㿺찀ㅽ伌B䍑䵏䙞彅卅䥔䅍䕔✨扥瑩Ⱗ䴧䅅❎✬䅃䅌Ⱗ㈧㄰✳〬Ⱜ✬䌬剕䕒䍎㵙单ⱄ⤧!＀＀ ＀＀	＀＀_x0008_＀＀_x0001_＀＀_x0001_＀＀_x0001_＀＀凬Ẹ醥䂿찀ㆃ伌@䑁幉䕆䕟呓䵉呁⡅䘧䙃Ⱗ䴧䅅❎✬䅃䅌Ⱗ㈧㄰✲〬Ⱜ✬䌬剕䕒䍎㵙单ⱄ⤧!＀＀ ＀＀	＀＀_x0008_＀＀_x0001_＀＀_x0001_＀＀_x0001_＀＀䪌ӪẴ䂈찀ㆁ伌E呓ⵍ剆䙞彅卅䥔䅍䕔✨䅓䕌❓✬䕍乁Ⱗ䌧䱁❁✬〲㌱ⰧⰰⰬⰧ啃剒久奃唽䑓✬착!＀＀ ＀＀	＀＀_x0008_＀＀_x0001_＀＀_x0001_＀＀_x0001_＀＀ꗣ쒛钰䃄찀ㅺ伌G噎䅄䙞彅卅䥔䅍䕔✨义彃則协❓✬䕍乁Ⱗ䌧䱁❁✬〲㘰ⰧⰰⰬⰧ啃剒久奃唽䑓✬착!＀＀ ＀＀	＀＀_x0008_＀＀_x0001_＀＀_x0001_＀＀_x0001_＀＀豀碵꼝쐕찀ㅸ伌C义䍔䙞彅卅䥔䅍䕔✨偅䉓❇✬䕍乁Ⱗ䌧䱁❁✬〲㈱ⰧⰰⰬⰧ啃剒久奃唽䑓✬착!＀＀ ＀＀	＀＀_x0008_＀＀_x0001_＀＀_x0001_＀＀_x0001_＀＀䒡﹋䀃찀ㆀ伌_x0014_剂䵃䙞彇剐䍉⡅〴㐵⤴!＀＀ ＀＀	＀＀_x0008_＀＀_x0001_＀＀_x0001_＀＀_x0001_＀＀晦晦왦䁅찀ㅽ伌B噎䅄䙞彅卅䥔䅍䕔✨扥瑩Ⱗ䴧䅅❎✬䅃䅌Ⱗ㈧㄰✳〬Ⱜ✬䌬剕䕒䍎㵙单ⱄ⤧!＀＀ ＀＀	＀＀_x0008_＀＀_x0001_＀＀_x0001_＀＀_x0001_＀＀ែ匦炅䂌찀ㅵ伌C义䍔䙞彅卅䥔䅍䕔✨䅓䕌❓✬䕍乁Ⱗ䌧䱁❁✬〲㠰ⰧⰰⰬⰧ啃剒久奃唽䑓✬착!＀＀ ＀＀	＀＀_x0008_＀＀_x0001_＀＀_x0001_＀＀_x0001_＀＀＀＀＀＀婀䃢찀ㅾ伌C噎䅄䙞彅卅䥔䅍䕔✨偅䉓❇✬䕍乁Ⱗ䌧䱁❁✬〲㘰ⰧⰰⰬⰧ啃剒久奃唽䑓✬착!＀＀ ＀＀	＀＀_x0008_＀＀_x0001_＀＀_x0001_＀＀_x0001_＀＀豀碵꼝쐕찀ㆀ伌B䑁幉䕆䕟呓䵉呁⡅匧䱁卅Ⱗ䴧䅅❎✬䅃䅌Ⱗ㈧㄰✲〬Ⱜ✬䌬剕䕒䍎㵙单ⱄ⤧!＀＀ ＀＀	＀＀_x0008_＀＀_x0001_＀＀_x0001_＀＀_x0001_＀＀_xD917_㜓䂦찀ㅶ伌K㐲㐵吭䥁䙞彅卅䥔䅍䕔✨义彃則协❓✬䕍乁Ⱗ䌧䱁❁✬〲㈱ⰧⰰⰬⰧ啃剒久奃唽䑓✬착!＀＀ ＀＀	＀＀_x0008_＀＀_x0001_＀＀_x0001_＀＀_x0001_＀＀쳍쳌仌䂘찀ㅷ伌C义䍔䙞彅卅䥔䅍䕔✨䅃䕐❘✬䕍乁Ⱗ䌧䱁❁✬〲㠰ⰧⰰⰬⰧ啃剒久奃唽䑓✬착!＀＀ ＀＀	＀＀_x0008_＀＀_x0001_＀＀_x0001_＀＀_x0001_＀＀＀＀＀＀䷀䂴찀ㆀ伌_x001E_噎䅄偞灟楲散桟杩彨㈵⡷ⰰⰬ单⥄!＀＀ ＀＀	＀＀_x0008_＀＀_x0001_＀＀_x0001_＀＀_x0001_＀＀凬Ẹ⮅䀺찀ㅿ伌H䍑䵏䙞彅卅䥔䅍䕔✨啃呓䵏䕟卐Ⱗ䴧䅅❎✬䅃䅌Ⱗ㈧㄰✴〬Ⱜ✬䌬剕䕒䍎㵙单ⱄ⤧!＀＀ ＀＀	＀＀_x0008_＀＀_x0001_＀＀_x0001_＀＀_x0001_＀＀豀碵꼝쐕찀ㆂ伌B䑁幉䕆䕟呓䵉呁⡅䌧偁塅Ⱗ䴧䅅❎✬䅃䅌Ⱗ㈧㄰✲〬Ⱜ✬䌬剕䕒䍎㵙单ⱄ⤧!＀＀ ＀＀	＀＀_x0008_＀＀_x0001_＀＀_x0001_＀＀_x0001_＀＀ꧼ틱ٍ䁠찀ㅾ伌A䍑䵏䙞彅卅䥔䅍䕔✨䍆❆✬䕍乁Ⱗ䌧䱁❁✬〲〱ⰧⰰⰬⰧ啃剒久奃唽䑓✬착!＀＀ ＀＀	＀＀_x0008_＀＀_x0001_＀＀_x0001_＀＀_x0001_＀＀竡긔椇䂯찀ㅶ伌F㐲㐵吭䥁䙞彅卅䥔䅍䕔✨扥瑩Ⱗ䴧䅅❎✬䅃䅌Ⱗ㈧㄰✲〬Ⱜ✬䌬剕䕒䍎㵙单ⱄ⤧!＀＀ ＀＀	＀＀_x0008_＀＀_x0001_＀＀_x0001_＀＀_x0001_＀＀扎堐떹䂁찀ㅹ伌L㐲㐵吭䥁䙞彅卅䥔䅍䕔✨啃呓䵏䕟卐Ⱗ䴧䅅❎✬䅃䅌Ⱗ㈧〰✸〬Ⱜ✬䌬剕䕒䍎㵙单ⱄ⤧!＀＀ ＀＀	＀＀_x0008_＀＀_x0001_＀＀_x0001_＀＀_x0001_＀＀豀碵꼝쐕찀ㅴ伌A剁䡍䙞彅卅䥔䅍䕔✨䍆❆✬䕍乁Ⱗ䌧䱁❁✬〲㐱ⰧⰰⰬⰧ啃剒久奃唽䑓✬착!＀＀ ＀＀	＀＀_x0008_＀＀_x0001_＀＀_x0001_＀＀_x0001_＀＀㝌䆉፠䁺찀ㅼ伌B噎䅄䙞彅卅䥔䅍䕔✨扥瑩Ⱗ䴧䅅❎✬䅃䅌Ⱗ㈧㄰✰〬Ⱜ✬䌬剕䕒䍎㵙单ⱄ⤧!＀＀ ＀＀	＀＀_x0008_＀＀_x0001_＀＀_x0001_＀＀_x0001_＀＀땴ﬕ䁴찀ㅺ伌G噎䅄䙞彅卅䥔䅍䕔✨义彃則协❓✬䕍乁Ⱗ䌧䱁❁✬〲㤰ⰧⰰⰬⰧ啃剒久奃唽䑓✬착!＀＀ ＀＀	＀＀_x0008_＀＀_x0001_＀＀_x0001_＀＀_x0001_＀＀鮦⃄憰䂒찀ㆄ伌C呓ⵍ剆䙞彅卅䥔䅍䕔✨偄❓✬䕍乁Ⱗ䌧䱁❁✬〲ㄱⰧⰰⰬⰧ啃剒久奃唽䑓✬착!＀＀ ＀＀	＀＀_x0008_＀＀_x0001_＀＀_x0001_＀＀_x0001_＀＀뛪⃺㿙찀ㆀ伌_x001A_䑁幉杦摟扥彴潴慴⡬ⰰⰬ单⥄!＀＀ ＀＀	＀＀_x0008_＀＀_x0001_＀＀_x0001_＀＀_x0001_＀＀멞౉댂䂋찀ㆃ伌C呓ⵍ剆䙞彅卅䥔䅍䕔✨䍆❆✬䕍乁Ⱗ䌧䱁❁✬〲㠰ⰧⰰⰬⰧ啃剒久奃唽䑓✬착!＀＀ ＀＀	＀＀_x0008_＀＀_x0001_＀＀_x0001_＀＀_x0001_＀＀Ƥּ鄒䂂찀ㅾ伌C噎䅄䙞彅卅䥔䅍䕔✨偅䉓❇✬䕍乁Ⱗ䌧䱁❁✬〲㤰ⰧⰰⰬⰧ啃剒久奃唽䑓✬착!＀＀ ＀＀	＀＀_x0008_＀＀_x0001_＀＀_x0001_＀＀_x0001_＀＀ኋ៴㿛찀ㅿ伌H䍑䵏䙞彅卅䥔䅍䕔✨啃呓䵏䕟卐Ⱗ䴧䅅❎✬䅃䅌Ⱗ㈧㄰✱〬Ⱜ✬䌬剕䕒䍎㵙单ⱄ⤧!＀＀ ＀＀	＀＀_x0008_＀＀_x0001_＀＀_x0001_＀＀_x0001_＀＀슨嫍䀇찀ㅹ伌C噎䅄䙞彅卅䥔䅍䕔✨䅓䕌❓✬䕍乁Ⱗ䌧䱁❁✬〲㤰ⰧⰰⰬⰧ啃剒久奃唽䑓✬착!＀＀ ＀＀	＀＀_x0008_＀＀_x0001_＀＀_x0001_＀＀_x0001_＀＀䯇褷ఁ䂪찀ㅻ伌G䍑䵏䙞彅卅䥔䅍䕔✨义彃則协❓✬䕍乁Ⱗ䌧䱁❁✬〲㈱ⰧⰰⰬⰧ啃剒久奃唽䑓✬착!＀＀ ＀＀	＀＀_x0008_＀＀_x0001_＀＀_x0001_＀＀_x0001_＀＀_xD917_䋃䃈찀ㅴ伌G剁䡍䙞彅卅䥔䅍䕔✨义彃則协❓✬䕍乁Ⱗ䌧䱁❁✬〲㈱ⰧⰰⰬⰧ啃剒久奃唽䑓✬착!＀＀ ＀＀	＀＀_x0008_＀＀_x0001_＀＀_x0001_＀＀_x0001_＀＀쬪윐䒺䂉찀ㅴ伌A剁䡍䙞彅卅䥔䅍䕔✨䍆❆✬䕍乁Ⱗ䌧䱁❁✬〲ㄱⰧⰰⰬⰧ啃剒久奃唽䑓✬착!＀＀ ＀＀	＀＀_x0008_＀＀_x0001_＀＀_x0001_＀＀_x0001_＀＀_xD9E8_窱챜䁰찀ㅾ伌A䍑䵏䙞彅卅䥔䅍䕔✨䍆❆✬䕍乁Ⱗ䌧䱁❁✬〲㌱ⰧⰰⰬⰧ啃剒久奃唽䑓✬착!＀＀ ＀＀	＀＀_x0008_＀＀_x0001_＀＀_x0001_＀＀_x0001_＀＀㽼煕䂻찀ㆄ伌G䑁幉䕆䕟呓䵉呁⡅䌧单佔彍偅❓✬䕍乁Ⱗ䌧䱁❁✬〲㈱ⰧⰰⰬⰧ啃剒久奃唽䑓✬착!＀＀ ＀＀	＀＀_x0008_＀＀_x0001_＀＀_x0001_＀＀_x0001_＀＀巪ᾼ_xDFB7_䀂찀ㅽ伌C噎䅄䙞彅卅䥔䅍䕔✨䅃䕐❘✬䕍乁Ⱗ䌧䱁❁✬〲㤰ⰧⰰⰬⰧ啃剒久奃唽䑓✬착!＀＀ ＀＀	＀＀_x0008_＀＀_x0001_＀＀_x0001_＀＀_x0001_＀＀蒡뚙_xD97F_䁘찀ㅹ伌_x001B_䍑䵏晞彧敤瑢瑟瑯污〨Ⱜ唬䑓착!＀＀ ＀＀	＀＀_x0008_＀＀_x0001_＀＀_x0001_＀＀_x0001_＀＀＀＀＀＀က䂏찀ㅸ伌G㐲㐵吭䥁䙞彅卅䥔䅍䕔✨偅䉓❇✬䕍乁Ⱗ䌧䱁❁✬〲㜰ⰧⰰⰬⰧ啃剒久奃唽䑓✬착!＀＀ ＀＀	＀＀_x0008_＀＀_x0001_＀＀_x0001_＀＀_x0001_＀＀貀韊ⵡ㿫찀ㅵ伌C义䍔䙞彅卅䥔䅍䕔✨䅓䕌❓✬䕍乁Ⱗ䌧䱁❁✬〲㈱ⰧⰰⰬⰧ啃剒久奃唽䑓✬착!＀＀ ＀＀	＀＀_x0008_＀＀_x0001_＀＀_x0001_＀＀_x0001_＀＀롑ᐎ䃫찀ㅾ伌C噎䅄䙞彅卅䥔䅍䕔✨偅䉓❇✬䕍乁Ⱗ䌧䱁❁✬〲〱ⰧⰰⰬⰧ啃剒久奃唽䑓✬착!＀＀ ＀＀	＀＀_x0008_＀＀_x0001_＀＀_x0001_＀＀_x0001_＀＀厙풸탷㿤찀ㅸ伌E㐲㐵吭䥁䙞彅卅䥔䅍䕔✨䍆❆✬䕍乁Ⱗ䌧䱁❁✬〲㘰ⰧⰰⰬⰧ啃剒久奃唽䑓✬착!＀＀ ＀＀	＀＀_x0008_＀＀_x0001_＀＀_x0001_＀＀_x0001_＀＀儚ᯚ뛼䂃찀ㅴ伌H剁䡍䙞彅卅䥔䅍䕔✨啃呓䵏䕟卐Ⱗ䴧䅅❎✬䅃䅌Ⱗ㈧㄰✲〬Ⱜ✬䌬剕䕒䍎㵙单ⱄ⤧!＀＀ ＀＀	＀＀_x0008_＀＀_x0001_＀＀_x0001_＀＀_x0001_＀＀豀碵꼝쐕찀ㆀ伌"㐲㐵吭䥁偞灟楲散桟杩彨㈵⡷ⰰⰬ单⥄!＀＀ ＀＀	＀＀_x0008_＀＀_x0001_＀＀_x0001_＀＀_x0001_＀＀㋵욖䀬찀ㅿ伌H噎䅄䙞彅卅䥔䅍䕔✨啃呓䵏䕟卐Ⱗ䴧䅅❎✬䅃䅌Ⱗ㈧〰✷〬Ⱜ✬䌬剕䕒䍎㵙单ⱄ⤧!＀＀ ＀＀	＀＀_x0008_＀＀_x0001_＀＀_x0001_＀＀_x0001_＀＀꟣潱;㿵찀ㅹ伌C噎䅄䙞彅卅䥔䅍䕔✨䅓䕌❓✬䕍乁Ⱗ䌧䱁❁✬〲㘰ⰧⰰⰬⰧ啃剒久奃唽䑓✬착!＀＀ ＀＀	＀＀_x0008_＀＀_x0001_＀＀_x0001_＀＀_x0001_＀＀尨菏䂧찀ㅵ伌G㐲㐵吭䥁䙞彅卅䥔䅍䕔✨䅓䕌❓✬䕍乁Ⱗ䌧䱁❁✬〲㜰ⰧⰰⰬⰧ啃剒久奃唽䑓✬착!＀＀ ＀＀	＀＀_x0008_＀＀_x0001_＀＀_x0001_＀＀_x0001_＀＀⃅犰⵨䂣찀ㅷ伌C义䍔䙞彅卅䥔䅍䕔✨䅃䕐❘✬䕍乁Ⱗ䌧䱁❁✬〲㈱ⰧⰰⰬⰧ啃剒久奃唽䑓✬착!＀＀ ＀＀	＀＀_x0008_＀＀_x0001_＀＀_x0001_＀＀_x0001_＀＀䖢똝䃀찀ㆀ伌_x0019_䑁幉䝆偟䥒䕃㐨㔰㐴Ⱜ唬䑓착!＀＀ ＀＀	＀＀_x0008_＀＀_x0001_＀＀_x0001_＀＀_x0001_＀＀⣶轜헂䁂찀ㅽ伌C噎䅄䙞彅卅䥔䅍䕔✨䅃䕐❘✬䕍乁Ⱗ䌧䱁❁✬〲㘰ⰧⰰⰬⰧ啃剒久奃唽䑓✬착!＀＀ ＀＀	＀＀_x0008_＀＀_x0001_＀＀_x0001_＀＀_x0001_＀＀凗ӕꝑ䁞찀ㅴ伌C剁䡍䙞彅卅䥔䅍䕔✨偅䉓❇✬䕍乁Ⱗ䌧䱁❁✬〲㤰ⰧⰰⰬⰧ啃剒久奃唽䑓✬착!＀＀ ＀＀	＀＀_x0008_＀＀_x0001_＀＀_x0001_＀＀_x0001_＀＀ᘣꖌ瞣㿐찀ㅷ伌G㐲㐵吭䥁䙞彅卅䥔䅍䕔✨䅃䕐❘✬䕍乁Ⱗ䌧䱁❁✬〲㜰ⰧⰰⰬⰧ啃剒久奃唽䑓✬착!＀＀ ＀＀	＀＀_x0008_＀＀_x0001_＀＀_x0001_＀＀_x0001_＀＀꒔♫죟䁉찀ㅹ伌L㐲㐵吭䥁䙞彅卅䥔䅍䕔✨啃呓䵏䕟卐Ⱗ䴧䅅❎✬䅃䅌Ⱗ㈧㄰✲〬Ⱜ✬䌬剕䕒䍎㵙单ⱄ⤧!＀＀ ＀＀	＀＀_x0008_＀＀_x0001_＀＀_x0001_＀＀_x0001_＀＀豀碵꼝쐕찀ㅺ伌G噎䅄䙞彅卅䥔䅍䕔✨义彃則协❓✬䕍乁Ⱗ䌧䱁❁✬〲㌱ⰧⰰⰬⰧ啃剒久奃唽䑓✬착!＀＀ ＀＀	＀＀_x0008_＀＀_x0001_＀＀_x0001_＀＀_x0001_＀＀إ閁⩃䂣찀ㅶ伌G义䍔䙞彅卅䥔䅍䕔✨义彃則协❓✬䕍乁Ⱗ䌧䱁❁✬〲㜰ⰧⰰⰬⰧ啃剒久奃唽䑓✬착!＀＀ ＀＀	＀＀_x0008_＀＀_x0001_＀＀_x0001_＀＀_x0001_＀＀䞮竡愴䃓찀ㅿ伌A噎䅄䙞彅卅䥔䅍䕔✨偄❓✬䕍乁Ⱗ䌧䱁❁✬〲ㄱⰧⰰⰬⰧ啃剒久奃唽䑓✬착!＀＀ ＀＀	＀＀_x0008_＀＀_x0001_＀＀_x0001_＀＀_x0001_＀＀＀＀＀＀＀＀＀＀찀ㅾ伌A噎䅄䙞彅卅䥔䅍䕔✨䍆❆✬䕍乁Ⱗ䌧䱁❁✬〲㠰ⰧⰰⰬⰧ啃剒久奃唽䑓✬착!＀＀ ＀＀	＀＀_x0008_＀＀_x0001_＀＀_x0001_＀＀_x0001_＀＀營躊⣤䁔찀ㅾ伌C噎䅄䙞彅卅䥔䅍䕔✨偅䉓❇✬䕍乁Ⱗ䌧䱁❁✬〲㌱ⰧⰰⰬⰧ啃剒久奃唽䑓✬착!＀＀ ＀＀	＀＀_x0008_＀＀_x0001_＀＀_x0001_＀＀_x0001_＀＀뜎̓㿵찀ㅸ伌E㐲㐵吭䥁䙞彅卅䥔䅍䕔✨䍆❆✬䕍乁Ⱗ䌧䱁❁✬〲㤰ⰧⰰⰬⰧ啃剒久奃唽䑓✬착!＀＀ ＀＀	＀＀_x0008_＀＀_x0001_＀＀_x0001_＀＀_x0001_＀＀鮦⃄㞰䂘찀ㅴ伌C剁䡍䙞彅卅䥔䅍䕔✨偅䉓❇✬䕍乁Ⱗ䌧䱁❁✬〲㘰ⰧⰰⰬⰧ啃剒久奃唽䑓✬착!＀＀ ＀＀	＀＀_x0008_＀＀_x0001_＀＀_x0001_＀＀_x0001_＀＀䦶捅㿐찀ㆀ伌_x0018_䱁剔偞灟楲散桟杩彨㈵⡷⤰!＀＀ ＀＀	＀＀_x0008_＀＀_x0001_＀＀_x0001_＀＀_x0001_＀＀凬Ẹ쮅䁈찀ㅹ伌C噎䅄䙞彅卅䥔䅍䕔✨䅓䕌❓✬䕍乁Ⱗ䌧䱁❁✬〲㌱ⰧⰰⰬⰧ啃剒久奃唽䑓✬착!＀＀ ＀＀	＀＀_x0008_＀＀_x0001_＀＀_x0001_＀＀_x0001_＀＀᪠_xDD2F_㎤䂲찀ㅸ伌A义䍔䙞彅卅䥔䅍䕔✨䍆❆✬䕍乁Ⱗ䌧䱁❁✬〲㘰ⰧⰰⰬⰧ啃剒久奃唽䑓✬착!＀＀ ＀＀	＀＀_x0008_＀＀_x0001_＀＀_x0001_＀＀_x0001_＀＀＀＀＀＀䂲찀ㅴ伌C剁䡍䙞彅卅䥔䅍䕔✨䅓䕌❓✬䕍乁Ⱗ䌧䱁❁✬〲㘰ⰧⰰⰬⰧ啃剒久奃唽䑓✬착!＀＀ ＀＀	＀＀_x0008_＀＀_x0001_＀＀_x0001_＀＀_x0001_＀＀ẹ᧑䂀찀ㅽ伌C噎䅄䙞彅卅䥔䅍䕔✨䅃䕐❘✬䕍乁Ⱗ䌧䱁❁✬〲㌱ⰧⰰⰬⰧ啃剒久奃唽䑓✬착!＀＀ ＀＀	＀＀_x0008_＀＀_x0001_＀＀_x0001_＀＀_x0001_＀＀㯍텎ґ䁣찀ㅺ伌G噎䅄䙞彅卅䥔䅍䕔✨义彃則协❓✬䕍乁Ⱗ䌧䱁❁✬〲〱ⰧⰰⰬⰧ啃剒久奃唽䑓✬착!＀＀ ＀＀	＀＀_x0008_＀＀_x0001_＀＀_x0001_＀＀_x0001_＀＀譄땻䂕찀ㅴ伌C剁䡍䙞彅卅䥔䅍䕔✨䅃䕐❘✬䕍乁Ⱗ䌧䱁❁✬〲㘰ⰧⰰⰬⰧ啃剒久奃唽䑓✬착!＀＀ ＀＀	＀＀_x0008_＀＀_x0001_＀＀_x0001_＀＀_x0001_＀＀ꐕ鬙䀶찀ㅯ伌_x0014_䅃䵖䙞彇剐䍉⡅〴㐵⤴!＀＀ ＀＀	＀＀_x0008_＀＀_x0001_＀＀_x0001_＀＀_x0001_＀＀ꏗ㵰휊䁂찀ㅸ伌G㐲㐵吭䥁䙞彅卅䥔䅍䕔✨偅䉓❇✬䕍乁Ⱗ䌧䱁❁✬〲ㄱⰧⰰⰬⰧ啃剒久奃唽䑓✬착!＀＀ ＀＀	＀＀_x0008_＀＀_x0001_＀＀_x0001_＀＀_x0001_＀＀_xD92B_ᆱ히㿚찀ㅿ伌H噎䅄䙞彅卅䥔䅍䕔✨啃呓䵏䕟卐Ⱗ䴧䅅❎✬䅃䅌Ⱗ㈧㄰✱〬Ⱜ✬䌬剕䕒䍎㵙单ⱄ⤧!＀＀ ＀＀	＀＀_x0008_＀＀_x0001_＀＀_x0001_＀＀_x0001_＀＀줥絳ฟ㿰찀ㅹ伌C噎䅄䙞彅卅䥔䅍䕔✨䅓䕌❓✬䕍乁Ⱗ䌧䱁❁✬〲〱ⰧⰰⰬⰧ啃剒久奃唽䑓✬착!＀＀ ＀＀	＀＀_x0008_＀＀_x0001_＀＀_x0001_＀＀_x0001_＀＀إ閁觃䂫찀ㅰ伌_x001D_剁䡍䙞彆䅃䡓卟⡔呑ⱒⰰⰬ唬䑓착!＀＀ ＀＀	＀＀_x0008_＀＀_x0001_＀＀_x0001_＀＀_x0001_＀＀ᶵ鏉䁿찀ㆀ伌_x0014_䱘塎䙞彇剐䍉⡅〴㐵⤴!＀＀ ＀＀	＀＀_x0008_＀＀_x0001_＀＀_x0001_＀＀_x0001_＀＀ᑻ䞮﫡䀼찀ㆀ伌!䑁幉䙆䍟䵏卟午佟呕䕟卐䑟䱉儨剔〬착ċ＀＀ ＀＀ó＀＀_x0008_＀＀_x0001_＀＀_x0001_＀＀_x0001_＀＀됹盈ᮾ䁳摦畳㩰⼯楄敲瑣潩獮䘯捡却瑥䄠摵瑩湩⁧楖睥牥愿瑣潩㵮啁䥄彔䅖啌♅䉄ㄽ㤲䤦ㅄ〽㈳㔶ㄴ☰䅖啌䥅㵄㔰㤱☴䑓呁㵅〲ㄱ㐰倦剅佉呄偙㵅呑归呓♄䍓呆㌽眦湩潤㵷潰異彰潮扟牡眦摩桴㌽㔸栦楥桧㵴㈱☰呓剁彔䅍䥘䥍䕚㵄䅆卌♅牣慥潴㵲慦瑣敳♴楤灳慬役瑳楲杮䄽摵瑩찀ㅿ伌C䍑䵏䙞彅卅䥔䅍䕔✨偅䉓❇✬䕍乁Ⱗ䌧䱁❁✬〲㤰ⰧⰰⰬⰧ啃剒久奃唽䑓✬착!＀＀ ＀＀	＀＀_x0008_＀＀_x0001_＀＀_x0001_＀＀_x0001_＀＀듔榋ﮦ㿾찀ㆁ伌A䑁幉䕆䕟呓䵉呁⡅攧楢❴✬䕍乁Ⱗ䌧䱁❁✬〲㠰ⰧⰰⰬⰧ啃剒久奃唽䑓✬착!＀＀ ＀＀	＀＀_x0008_＀＀_x0001_＀＀_x0001_＀＀_x0001_＀＀앮닾⵻䂂찀ㆀ伌_x0019_䑁幉䝆偟䥒䕃㐨㤰㠱Ⱜ唬䑓착!＀＀ ＀＀	＀＀_x0008_＀＀_x0001_＀＀_x0001_＀＀_x0001_＀＀쳍쳌䳌䁂찀ㅸ伌A义䍔䙞彅卅䥔䅍䕔✨䍆❆✬䕍乁Ⱗ䌧䱁❁✬〲㤰ⰧⰰⰬⰧ啃剒久奃唽䑓✬착!＀＀ ＀＀	＀＀_x0008_＀＀_x0001_＀＀_x0001_＀＀_x0001_＀＀鮥졄䂴찀ㅽ伌C噎䅄䙞彅卅䥔䅍䕔✨䅃䕐❘✬䕍乁Ⱗ䌧䱁❁✬〲〱ⰧⰰⰬⰧ啃剒久奃唽䑓✬착!＀＀ ＀＀	＀＀_x0008_＀＀_x0001_＀＀_x0001_＀＀_x0001_＀＀꽥罷䁗찀ㅴ伌C剁䡍䙞彅卅䥔䅍䕔✨偅䉓❇✬䕍乁Ⱗ䌧䱁❁✬〲㌱ⰧⰰⰬⰧ啃剒久奃唽䑓✬착!＀＀ ＀＀	＀＀_x0008_＀＀_x0001_＀＀_x0001_＀＀_x0001_＀＀赺ꉝ歺㿨찀ㅴ伌C剁䡍䙞彅卅䥔䅍䕔✨䅓䕌❓✬䕍乁Ⱗ䌧䱁❁✬〲㤰ⰧⰰⰬⰧ啃剒久奃唽䑓✬착!＀＀ ＀＀	＀＀_x0008_＀＀_x0001_＀＀_x0001_＀＀_x0001_＀＀豿殹줉䁾찀ㅹ伌_x001D_䍑䵏䙞彆䅃䡓卟⡔呑ⱒⰰⰬ唬䑓착ċ＀＀ ＀＀ó＀＀_x0008_＀＀_x0001_＀＀_x0001_＀＀_x0001_＀＀＀＀＀＀숀䃆摦畳㩰⼯楄敲瑣潩獮䘯捡却瑥䄠摵瑩湩⁧楖睥牥愿瑣潩㵮啁䥄彔䅖啌♅䉄ㄽ㤲䤦ㅄ㜽㜴㈵ㄵ☰䅖啌䥅㵄㈰〰☱䑓呁㵅〲ㄱ㐰倦剅佉呄偙㵅呑归呓♄䍓呆㌽眦湩潤㵷潰異彰潮扟牡眦摩桴㌽㔸栦楥桧㵴㈱☰呓剁彔䅍䥘䥍䕚㵄䅆卌♅牣慥潴㵲慦瑣敳♴楤灳慬役瑳楲杮䄽摵瑩찀ㅶ伌B义䍔䙞彅卅䥔䅍䕔✨扥瑩Ⱗ䴧䅅❎✬䅃䅌Ⱗ㈧〰✹〬Ⱜ✬䌬剕䕒䍎㵙单ⱄ⤧!＀＀ ＀＀	＀＀_x0008_＀＀_x0001_＀＀_x0001_＀＀_x0001_＀＀褷恁㛅䂼찀ㆃ伌C呓ⵍ剆䙞彅卅䥔䅍䕔✨䍆❆✬䕍乁Ⱗ䌧䱁❁✬〲㈱ⰧⰰⰬⰧ啃剒久奃唽䑓✬착!＀＀ ＀＀	＀＀_x0008_＀＀_x0001_＀＀_x0001_＀＀_x0001_＀＀⣶轜ᧂ䁻찀ㅶ伌G义䍔䙞彅卅䥔䅍䕔✨义彃則协❓✬䕍乁Ⱗ䌧䱁❁✬〲ㄱⰧⰰⰬⰧ啃剒久奃唽䑓✬착!＀＀ ＀＀	＀＀_x0008_＀＀_x0001_＀＀_x0001_＀＀_x0001_＀＀ᑻ䞮腡䃠찀ㅴ伌C剁䡍䙞彅卅䥔䅍䕔✨䅃䕐❘✬䕍乁Ⱗ䌧䱁❁✬〲㤰ⰧⰰⰬⰧ啃剒久奃唽䑓✬착!＀＀ ＀＀	＀＀_x0008_＀＀_x0001_＀＀_x0001_＀＀_x0001_＀＀돻⤟쌢䀩찀ㅰ伌_x001B_剁䡍晞彧敤瑢瑟瑯污〨Ⱜ唬䑓착!＀＀ ＀＀	＀＀_x0008_＀＀_x0001_＀＀_x0001_＀＀_x0001_＀＀＀＀＀＀＀＀＀＀찀ㅾ伌A噎䅄䙞彅卅䥔䅍䕔✨䍆❆✬䕍乁Ⱗ䌧䱁❁✬〲㈱ⰧⰰⰬⰧ啃剒久奃唽䑓✬착!＀＀ ＀＀	＀＀_x0008_＀＀_x0001_＀＀_x0001_＀＀_x0001_＀＀븎餰騪䂉찀ㅸ伌G㐲㐵吭䥁䙞彅卅䥔䅍䕔✨偅䉓❇✬䕍乁Ⱗ䌧䱁❁✬〲㐱ⰧⰰⰬⰧ啃剒久奃唽䑓✬착!＀＀ ＀＀	＀＀_x0008_＀＀_x0001_＀＀_x0001_＀＀_x0001_＀＀撃妦㿢찀ㆀ伌_x0014_剂䵃䙞彇剐䍉⡅〴ㄹ⤸!＀＀ ＀＀	＀＀_x0008_＀＀_x0001_＀＀_x0001_＀＀_x0001_＀＀竡긔䀾찀ㅸ伌E㐲㐵吭䥁䙞彅卅䥔䅍䕔✨䍆❆✬䕍乁Ⱗ䌧䱁❁✬〲㌱ⰧⰰⰬⰧ啃剒久奃唽䑓✬착!＀＀ ＀＀	＀＀_x0008_＀＀_x0001_＀＀_x0001_＀＀_x0001_＀＀㷚塹䂅찀ㆂ伌D呓ⵍ剆䙞彅卅䥔䅍䕔✨扥瑩Ⱗ䴧䅅❎✬䅃䅌Ⱗ㈧〰✹〬Ⱜ✬䌬剕䕒䍎㵙单ⱄ⤧!＀＀ ＀＀	＀＀_x0008_＀＀_x0001_＀＀_x0001_＀＀_x0001_＀＀⚁蛂괧삋찀ㅿ伌C䍑䵏䙞彅卅䥔䅍䕔✨偅䉓❇✬䕍乁Ⱗ䌧䱁❁✬〲㘰ⰧⰰⰬⰧ啃剒久奃唽䑓✬착!＀＀ ＀＀	＀＀_x0008_＀＀_x0001_＀＀_x0001_＀＀_x0001_＀＀灻홷뭮㿻찀ㅿ伌H噎䅄䙞彅卅䥔䅍䕔✨啃呓䵏䕟卐Ⱗ䴧䅅❎✬䅃䅌Ⱗ㈧㄰✴〬Ⱜ✬䌬剕䕒䍎㵙单ⱄ⤧!＀＀ ＀＀	＀＀_x0008_＀＀_x0001_＀＀_x0001_＀＀_x0001_＀＀豀碵꼝쐕찀ㅵ伌G㐲㐵吭䥁䙞彅卅䥔䅍䕔✨䅓䕌❓✬䕍乁Ⱗ䌧䱁❁✬〲㐱ⰧⰰⰬⰧ啃剒久奃唽䑓✬착!＀＀ ＀＀	＀＀_x0008_＀＀_x0001_＀＀_x0001_＀＀_x0001_＀＀摚_xDF3B_넏䂬찀ㅴ伌C剁䡍䙞彅卅䥔䅍䕔✨偅䉓❇✬䕍乁Ⱗ䌧䱁❁✬〲〱ⰧⰰⰬⰧ啃剒久奃唽䑓✬착!＀＀ ＀＀	＀＀_x0008_＀＀_x0001_＀＀_x0001_＀＀_x0001_＀＀蝠登̊㿛찀ㅺ伌C䍑䵏䙞彅卅䥔䅍䕔✨䅓䕌❓✬䕍乁Ⱗ䌧䱁❁✬〲㘰ⰧⰰⰬⰧ啃剒久奃唽䑓✬착!＀＀ ＀＀	＀＀_x0008_＀＀_x0001_＀＀_x0001_＀＀_x0001_＀＀إ閁뤃䂾찀ㅯ伌_x0016_塍幌彐牰捩彥潬彷㈵⡷⤰!＀＀ ＀＀	＀＀_x0008_＀＀_x0001_＀＀_x0001_＀＀_x0001_＀＀롑蔞䀐찀ㆀ伌_x0018_剂䵃偞灟楲散桟杩彨㈵⡷⤰!＀＀ ＀＀	＀＀_x0008_＀＀_x0001_＀＀_x0001_＀＀_x0001_＀＀롒蔞뇫䁇찀ㆄ伌J呓ⵍ剆䙞彅卅䥔䅍䕔✨啃呓䵏䕟卐Ⱗ䴧䅅❎✬䅃䅌Ⱗ㈧〰✹〬Ⱜ✬䌬剕䕒䍎㵙单ⱄ⤧!＀＀ ＀＀	＀＀_x0008_＀＀_x0001_＀＀_x0001_＀＀_x0001_＀＀豀碵꼝쐕찀ㅶ伌B义䍔䙞彅卅䥔䅍䕔✨扥瑩Ⱗ䴧䅅❎✬䅃䅌Ⱗ㈧〰✶〬Ⱜ✬䌬剕䕒䍎㵙单ⱄ⤧!＀＀ ＀＀	＀＀_x0008_＀＀_x0001_＀＀_x0001_＀＀_x0001_＀＀磕⛩ꘑ䂸찀ㅴ伌C剁䡍䙞彅卅䥔䅍䕔✨䅓䕌❓✬䕍乁Ⱗ䌧䱁❁✬〲〱ⰧⰰⰬⰧ啃剒久奃唽䑓✬착!＀＀ ＀＀	＀＀_x0008_＀＀_x0001_＀＀_x0001_＀＀_x0001_＀＀䂃찀ㅷ伌G㐲㐵吭䥁䙞彅卅䥔䅍䕔✨䅃䕐❘✬䕍乁Ⱗ䌧䱁❁✬〲㐱ⰧⰰⰬⰧ啃剒久奃唽䑓✬착!＀＀ ＀＀	＀＀_x0008_＀＀_x0001_＀＀_x0001_＀＀_x0001_＀＀闪ಲ䁒찀ㅾ伌C䍑䵏䙞彅卅䥔䅍䕔✨䅃䕐❘✬䕍乁Ⱗ䌧䱁❁✬〲㘰ⰧⰰⰬⰧ啃剒久奃唽䑓✬착!＀＀ ＀＀	＀＀_x0008_＀＀_x0001_＀＀_x0001_＀＀_x0001_＀＀嵤䛜ꮃ䂃찀ㅴ伌C剁䡍䙞彅卅䥔䅍䕔✨䅃䕐❘✬䕍乁Ⱗ䌧䱁❁✬〲〱ⰧⰰⰬⰧ啃剒久奃唽䑓✬착!＀＀ ＀＀	＀＀_x0008_＀＀_x0001_＀＀_x0001_＀＀_x0001_＀＀ټ쏔䀫찀ㆄ伌E呓ⵍ剆䙞彅卅䥔䅍䕔✨偅䉓❇✬䕍乁Ⱗ䌧䱁❁✬〲㠰ⰧⰰⰬⰧ啃剒久奃唽䑓✬착!＀＀ ＀＀	＀＀_x0008_＀＀_x0001_＀＀_x0001_＀＀_x0001_＀＀ဌꖻ΋㿕찀ㅶ伌G义䍔䙞彅卅䥔䅍䕔✨义彃則协❓✬䕍乁Ⱗ䌧䱁❁✬〲㐱ⰧⰰⰬⰧ啃剒久奃唽䑓✬착!＀＀ ＀＀	＀＀_x0008_＀＀_x0001_＀＀_x0001_＀＀_x0001_＀＀㌴㌳㳓䃣찀ㆀ伌_x001C_呓ⵍ剆䙞彇剐䍉⡅〴㐵ⰴⰬ单⥄!＀＀ ＀＀	＀＀_x0008_＀＀_x0001_＀＀_x0001_＀＀_x0001_＀＀晉໵쎷䀤찀ㅸ伌E㐲㐵吭䥁䙞彅卅䥔䅍䕔✨䍆❆✬䕍乁Ⱗ䌧䱁❁✬〲〱ⰧⰰⰬⰧ啃剒久奃唽䑓✬착!＀＀ ＀＀	＀＀_x0008_＀＀_x0001_＀＀_x0001_＀＀_x0001_＀＀ᢔ嘄쮎䂎찀ㆂ伌D呓ⵍ剆䙞彅卅䥔䅍䕔✨扥瑩Ⱗ䴧䅅❎✬䅃䅌Ⱗ㈧〰✶〬Ⱜ✬䌬剕䕒䍎㵙单ⱄ⤧!＀＀ ＀＀	＀＀_x0008_＀＀_x0001_＀＀_x0001_＀＀_x0001_＀＀歑瞚릜䂆찀ㆁ伌F䑁幉䕆䕟呓䵉呁⡅䤧䍎䝟佒卓Ⱗ䴧䅅❎✬䅃䅌Ⱗ㈧〰✸〬Ⱜ✬䌬剕䕒䍎㵙单ⱄ⤧!＀＀ ＀＀	＀＀_x0008_＀＀_x0001_＀＀_x0001_＀＀_x0001_＀＀龿⼚畝䂗찀ㅽ伌B䍑䵏䙞彅卅䥔䅍䕔✨扥瑩Ⱗ䴧䅅❎✬䅃䅌Ⱗ㈧〰✸〬Ⱜ✬䌬剕䕒䍎㵙单ⱄ⤧!＀＀ ＀＀	＀＀_x0008_＀＀_x0001_＀＀_x0001_＀＀_x0001_＀＀꟰䯆ط䂰찀ㆁ伌E呓ⵍ剆䙞彅卅䥔䅍䕔✨䅓䕌❓✬䕍乁Ⱗ䌧䱁❁✬〲㠰ⰧⰰⰬⰧ啃剒久奃唽䑓✬착!＀＀ ＀＀	＀＀_x0008_＀＀_x0001_＀＀_x0001_＀＀_x0001_＀＀＀＀＀＀㤀䃃찀ㅵ伌G㐲㐵吭䥁䙞彅卅䥔䅍䕔✨䅓䕌❓✬䕍乁Ⱗ䌧䱁❁✬〲ㄱⰧⰰⰬⰧ啃剒久奃唽䑓✬착!＀＀ ＀＀	＀＀_x0008_＀＀_x0001_＀＀_x0001_＀＀_x0001_＀＀赐溗롒䂦찀ㆄ伌J呓ⵍ剆䙞彅卅䥔䅍䕔✨啃呓䵏䕟卐Ⱗ䴧䅅❎✬䅃䅌Ⱗ㈧〰✶〬Ⱜ✬䌬剕䕒䍎㵙单ⱄ⤧!＀＀ ＀＀	＀＀_x0008_＀＀_x0001_＀＀_x0001_＀＀_x0001_＀＀豀碵꼝쐕찀ㆃ伌B䑁幉䕆䕟呓䵉呁⡅䔧卐䝂Ⱗ䴧䅅❎✬䅃䅌Ⱗ㈧〰✷〬Ⱜ✬䌬剕䕒䍎㵙单ⱄ⤧!＀＀ ＀＀	＀＀_x0008_＀＀_x0001_＀＀_x0001_＀＀_x0001_＀＀ᖱⴴ㿺찀ㅿ伌C䍑䵏䙞彅卅䥔䅍䕔✨偅䉓❇✬䕍乁Ⱗ䌧䱁❁✬〲㌱ⰧⰰⰬⰧ啃剒久奃唽䑓✬착!＀＀ ＀＀	＀＀_x0008_＀＀_x0001_＀＀_x0001_＀＀_x0001_＀＀ⶲ츃艒䀐찀ㆃ伌E呓ⵍ剆䙞彅卅䥔䅍䕔✨䅃䕐❘✬䕍乁Ⱗ䌧䱁❁✬〲㠰ⰧⰰⰬⰧ啃剒久奃唽䑓✬착!＀＀ ＀＀	＀＀_x0008_＀＀_x0001_＀＀_x0001_＀＀_x0001_＀＀멞౉ং䂐찀ㆀ伌_x001D_前䱖偞灟楲散江睯㕟眲〨Ⱜ唬䑓착!＀＀ ＀＀	＀＀_x0008_＀＀_x0001_＀＀_x0001_＀＀_x0001_＀＀⣶轜痂䀦찀ㅸ伌A义䍔䙞彅卅䥔䅍䕔✨䍆❆✬䕍乁Ⱗ䌧䱁❁✬〲㌱ⰧⰰⰬⰧ啃剒久奃唽䑓✬착!＀＀ ＀＀	＀＀_x0008_＀＀_x0001_＀＀_x0001_＀＀_x0001_＀＀빷᪟祏䃈찀ㅷ伌G㐲㐵吭䥁䙞彅卅䥔䅍䕔✨䅃䕐❘✬䕍乁Ⱗ䌧䱁❁✬〲ㄱⰧⰰⰬⰧ啃剒久奃唽䑓✬착!＀＀ ＀＀	＀＀_x0008_＀＀_x0001_＀＀_x0001_＀＀_x0001_＀＀錌芩ᕑ䁓찀ㅺ伌C䍑䵏䙞彅卅䥔䅍䕔✨䅓䕌❓✬䕍乁Ⱗ䌧䱁❁✬〲㤰ⰧⰰⰬⰧ啃剒久奃唽䑓✬착!＀＀ ＀＀	＀＀_x0008_＀＀_x0001_＀＀_x0001_＀＀_x0001_＀＀꟰䯆ꁷ䃄찀ㅶ伌K㐲㐵吭䥁䙞彅卅䥔䅍䕔✨义彃則协❓✬䕍乁Ⱗ䌧䱁❁✬〲㜰ⰧⰰⰬⰧ啃剒久奃唽䑓✬착!＀＀ ＀＀	＀＀_x0008_＀＀_x0001_＀＀_x0001_＀＀_x0001_＀＀좴빶휟䂕찀ㅴ伌C剁䡍䙞彅卅䥔䅍䕔✨䅓䕌❓✬䕍乁Ⱗ䌧䱁❁✬〲㌱ⰧⰰⰬⰧ啃剒久奃唽䑓✬착!＀＀ ＀＀	＀＀_x0008_＀＀_x0001_＀＀_x0001_＀＀_x0001_＀＀顟ᕌ圌䂎찀ㆁ伌I呓ⵍ剆䙞彅卅䥔䅍䕔✨义彃則协❓✬䕍乁Ⱗ䌧䱁❁✬〲㜰ⰧⰰⰬⰧ啃剒久奃唽䑓✬착!＀＀ ＀＀	＀＀_x0008_＀＀_x0001_＀＀_x0001_＀＀_x0001_＀＀⋑率鉾䂰찀ㆀ伌_x001E_义䍔偞灟楲散桟杩彨㈵⡷ⰰⰬ单⥄!＀＀ ＀＀	＀＀_x0008_＀＀_x0001_＀＀_x0001_＀＀_x0001_＀＀ᑺ잮䀹찀ㅾ伌C䍑䵏䙞彅卅䥔䅍䕔✨䅃䕐❘✬䕍乁Ⱗ䌧䱁❁✬〲㤰ⰧⰰⰬⰧ啃剒久奃唽䑓✬착!＀＀ ＀＀	＀＀_x0008_＀＀_x0001_＀＀_x0001_＀＀_x0001_＀＀奋㢆ᅖ䂅찀ㅹ伌H义䍔䙞彅卅䥔䅍䕔✨啃呓䵏䕟卐Ⱗ䴧䅅❎✬䅃䅌Ⱗ㈧〰✷〬Ⱜ✬䌬剕䕒䍎㵙单ⱄ⤧!＀＀ ＀＀	＀＀_x0008_＀＀_x0001_＀＀_x0001_＀＀_x0001_＀＀ᑺ䞮㿳찀ㅴ伌C剁䡍䙞彅卅䥔䅍䕔✨䅃䕐❘✬䕍乁Ⱗ䌧䱁❁✬〲㌱ⰧⰰⰬⰧ啃剒久奃唽䑓✬착!＀＀ ＀＀	＀＀_x0008_＀＀_x0001_＀＀_x0001_＀＀_x0001_＀＀뷸콍䀲찀ㆂ伌D呓ⵍ剆䙞彅卅䥔䅍䕔✨扥瑩Ⱗ䴧䅅❎✬䅃䅌Ⱗ㈧㄰✳〬Ⱜ✬䌬剕䕒䍎㵙单ⱄ⤧!＀＀ ＀＀	＀＀_x0008_＀＀_x0001_＀＀_x0001_＀＀_x0001_＀＀삃ꇊ띅䁾찀ㅿ伌C䍑䵏䙞彅卅䥔䅍䕔✨偅䉓❇✬䕍乁Ⱗ䌧䱁❁✬〲〱ⰧⰰⰬⰧ啃剒久奃唽䑓✬착!＀＀ ＀＀	＀＀_x0008_＀＀_x0001_＀＀_x0001_＀＀_x0001_＀＀櫰㎹Ⱃ䀅찀ㅸ伌A义䍔䙞彅卅䥔䅍䕔✨䍆❆✬䕍乁Ⱗ䌧䱁❁✬〲〱ⰧⰰⰬⰧ啃剒久奃唽䑓✬착!＀＀ ＀＀	＀＀_x0008_＀＀_x0001_＀＀_x0001_＀＀_x0001_＀＀晧晦㏦䃂찀ㆀ伌 呓ⵍ剆偞灟楲散桟杩彨㈵⡷ⰰⰬ单⥄!＀＀ ＀＀	＀＀_x0008_＀＀_x0001_＀＀_x0001_＀＀_x0001_＀＀갭᜛䀫찀ㅺ伌C䍑䵏䙞彅卅䥔䅍䕔✨䅓䕌❓✬䕍乁Ⱗ䌧䱁❁✬〲〱ⰧⰰⰬⰧ啃剒久奃唽䑓✬착!＀＀ ＀＀	＀＀_x0008_＀＀_x0001_＀＀_x0001_＀＀_x0001_＀＀鞍ቮ歓䃇찀ㆄ伌J呓ⵍ剆䙞彅卅䥔䅍䕔✨啃呓䵏䕟卐Ⱗ䴧䅅❎✬䅃䅌Ⱗ㈧㄰✳〬Ⱜ✬䌬剕䕒䍎㵙单ⱄ⤧!＀＀ ＀＀	＀＀_x0008_＀＀_x0001_＀＀_x0001_＀＀_x0001_＀＀豀碵꼝쐕찀ㅶ伌B义䍔䙞彅卅䥔䅍䕔✨扥瑩Ⱗ䴧䅅❎✬䅃䅌Ⱗ㈧㄰✰〬Ⱜ✬䌬剕䕒䍎㵙单ⱄ⤧!＀＀ ＀＀	＀＀_x0008_＀＀_x0001_＀＀_x0001_＀＀_x0001_＀＀鞍ቮ_xD9E3_䃎찀ㅴ伌B剁䡍䙞彅卅䥔䅍䕔✨扥瑩Ⱗ䴧䅅❎✬䅃䅌Ⱗ㈧〰✷〬Ⱜ✬䌬剕䕒䍎㵙单ⱄ⤧!＀＀ ＀＀	＀＀_x0008_＀＀_x0001_＀＀_x0001_＀＀_x0001_＀＀壢뜗壑䁡찀ㅿ伌H䍑䵏䙞彅卅䥔䅍䕔✨啃呓䵏䕟卐Ⱗ䴧䅅❎✬䅃䅌Ⱗ㈧〰✶〬Ⱜ✬䌬剕䕒䍎㵙单ⱄ⤧!＀＀ ＀＀	＀＀_x0008_＀＀_x0001_＀＀_x0001_＀＀_x0001_＀＀饰旓넱㿸찀ㅾ伌C䍑䵏䙞彅卅䥔䅍䕔✨䅃䕐❘✬䕍乁Ⱗ䌧䱁❁✬〲〱ⰧⰰⰬⰧ啃剒久奃唽䑓✬착!＀＀ ＀＀	＀＀_x0008_＀＀_x0001_＀＀_x0001_＀＀_x0001_＀＀폄攫_xFFFF_９䁼찀ㆄ伌E呓ⵍ剆䙞彅卅䥔䅍䕔✨偅䉓❇✬䕍乁Ⱗ䌧䱁❁✬〲㈱ⰧⰰⰬⰧ啃剒久奃唽䑓✬착!＀＀ ＀＀	＀＀_x0008_＀＀_x0001_＀＀_x0001_＀＀_x0001_＀＀ᵯᠭ¦㿖찀ㆀ伌A䍑䵏䙞彅卅䥔䅍䕔✨偄❓✬䕍乁Ⱗ䌧䱁❁✬〲ㄱⰧⰰⰬⰧ啃剒久奃唽䑓✬착!＀＀ ＀＀	＀＀_x0008_＀＀_x0001_＀＀_x0001_＀＀_x0001_＀＀堆ϵ敨㿪찀ㅴ伌A剁䡍䙞彅卅䥔䅍䕔✨䍆❆✬䕍乁Ⱗ䌧䱁❁✬〲㘰ⰧⰰⰬⰧ啃剒久奃唽䑓✬착!＀＀ ＀＀	＀＀_x0008_＀＀_x0001_＀＀_x0001_＀＀_x0001_＀＀슐⣵赜䁠찀ㆃ伌@䑁幉䕆䕟呓䵉呁⡅䘧䙃Ⱗ䴧䅅❎✬䅃䅌Ⱗ㈧〰✷〬Ⱜ✬䌬剕䕒䍎㵙单ⱄ⤧!＀＀ ＀＀	＀＀_x0008_＀＀_x0001_＀＀_x0001_＀＀_x0001_＀＀ᚇ컙⿷䂅찀ㅾ伌A䍑䵏䙞彅卅䥔䅍䕔✨䍆❆✬䕍乁Ⱗ䌧䱁❁✬〲㠰ⰧⰰⰬⰧ啃剒久奃唽䑓✬착!＀＀ ＀＀	＀＀_x0008_＀＀_x0001_＀＀_x0001_＀＀_x0001_＀＀㌴㌳砳䂧찀ㆂ伌D呓ⵍ剆䙞彅卅䥔䅍䕔✨扥瑩Ⱗ䴧䅅❎✬䅃䅌Ⱗ㈧㄰✰〬Ⱜ✬䌬剕䕒䍎㵙单ⱄ⤧!＀＀ ＀＀	＀＀_x0008_＀＀_x0001_＀＀_x0001_＀＀_x0001_＀＀摚_xDF3B_䧏䂁찀ㆁ伌F䑁幉䕆䕟呓䵉呁⡅䤧䍎䝟佒卓Ⱗ䴧䅅❎✬䅃䅌Ⱗ㈧㄰✲〬Ⱜ✬䌬剕䕒䍎㵙单ⱄ⤧!＀＀ ＀＀	＀＀_x0008_＀＀_x0001_＀＀_x0001_＀＀_x0001_＀＀竡긔_xDDC7_䂜찀ㆀ伌_x001C_呓ⵍ剆䙞彇剐䍉⡅〴ㄹⰸⰬ单⥄!＀＀ ＀＀	＀＀_x0008_＀＀_x0001_＀＀_x0001_＀＀_x0001_＀＀孰뼀䃫䀙찀ㅯ伌_x0013_塍幌䝆偟䥒䕃㐨㔰㐴착!＀＀ ＀＀	＀＀_x0008_＀＀_x0001_＀＀_x0001_＀＀_x0001_＀＀롑蔞䀥찀ㆁ伌E呓ⵍ剆䙞彅卅䥔䅍䕔✨䅓䕌❓✬䕍乁Ⱗ䌧䱁❁✬〲㈱ⰧⰰⰬⰧ啃剒久奃唽䑓✬착!＀＀ ＀＀	＀＀_x0008_＀＀_x0001_＀＀_x0001_＀＀_x0001_＀＀_xDB23_绹㺪䃃찀ㅸ伌C义䍔䙞彅卅䥔䅍䕔✨偅䉓❇✬䕍乁Ⱗ䌧䱁❁✬〲㜰ⰧⰰⰬⰧ啃剒久奃唽䑓✬착!＀＀ ＀＀	＀＀_x0008_＀＀_x0001_＀＀_x0001_＀＀_x0001_＀＀豀碵꼝쐕찀ㆁ伌A䑁幉䕆䕟呓䵉呁⡅攧楢❴✬䕍乁Ⱗ䌧䱁❁✬〲㈱ⰧⰰⰬⰧ啃剒久奃唽䑓✬착!＀＀ ＀＀	＀＀_x0008_＀＀_x0001_＀＀_x0001_＀＀_x0001_＀＀鍵Иⷖ䂍찀ㅼ伌B噎䅄䙞彅卅䥔䅍䕔✨扥瑩Ⱗ䴧䅅❎✬䅃䅌Ⱗ㈧〰✸〬Ⱜ✬䌬剕䕒䍎㵙单ⱄ⤧!＀＀ ＀＀	＀＀_x0008_＀＀_x0001_＀＀_x0001_＀＀_x0001_＀＀錋悩䁫찀ㆄ伌J呓ⵍ剆䙞彅卅䥔䅍䕔✨啃呓䵏䕟卐Ⱗ䴧䅅❎✬䅃䅌Ⱗ㈧㄰✰〬Ⱜ✬䌬剕䕒䍎㵙单ⱄ⤧!＀＀ ＀＀	＀＀_x0008_＀＀_x0001_＀＀_x0001_＀＀_x0001_＀＀豀碵꼝쐕찀ㆃ伌B䑁幉䕆䕟呓䵉呁⡅䔧卐䝂Ⱗ䴧䅅❎✬䅃䅌Ⱗ㈧㄰✱〬Ⱜ✬䌬剕䕒䍎㵙单ⱄ⤧!＀＀ ＀＀	＀＀_x0008_＀＀_x0001_＀＀_x0001_＀＀_x0001_＀＀㆐⵷ἡ䀆찀ㆃ伌E呓ⵍ剆䙞彅卅䥔䅍䕔✨䅃䕐❘✬䕍乁Ⱗ䌧䱁❁✬〲㈱ⰧⰰⰬⰧ啃剒久奃唽䑓✬착!＀＀ ＀＀	＀＀_x0008_＀＀_x0001_＀＀_x0001_＀＀_x0001_＀＀칱튈葞䂊찀ㅵ伌C义䍔䙞彅卅䥔䅍䕔✨䅓䕌❓✬䕍乁Ⱗ䌧䱁❁✬〲㜰ⰧⰰⰬⰧ啃剒久奃唽䑓✬착!＀＀ ＀＀	＀＀_x0008_＀＀_x0001_＀＀_x0001_＀＀_x0001_＀＀＀＀＀＀럀䃢찀ㆀ伌B䑁幉䕆䕟呓䵉呁⡅匧䱁卅Ⱗ䴧䅅❎✬䅃䅌Ⱗ㈧〰✷〬Ⱜ✬䌬剕䕒䍎㵙单ⱄ⤧!＀＀ ＀＀	＀＀_x0008_＀＀_x0001_＀＀_x0001_＀＀_x0001_＀＀䦺Ȍ䂣찀ㅺ伌C䍑䵏䙞彅卅䥔䅍䕔✨䅓䕌❓✬䕍乁Ⱗ䌧䱁❁✬〲㌱ⰧⰰⰬⰧ啃剒久奃唽䑓✬착!＀＀ ＀＀	＀＀_x0008_＀＀_x0001_＀＀_x0001_＀＀_x0001_＀＀ᑺ푞䃔찀ㆀ伌_x001D_噎䅄偞灟楲散江睯㕟眲〨Ⱜ唬䑓착!＀＀ ＀＀	＀＀_x0008_＀＀_x0001_＀＀_x0001_＀＀_x0001_＀＀㵱휊䀦찀ㅴ伌H剁䡍䙞彅卅䥔䅍䕔✨啃呓䵏䕟卐Ⱗ䴧䅅❎✬䅃䅌Ⱗ㈧〰✷〬Ⱜ✬䌬剕䕒䍎㵙单ⱄ⤧!＀＀ ＀＀	＀＀_x0008_＀＀_x0001_＀＀_x0001_＀＀_x0001_＀＀豀碵꼝쐕찀ㅶ伌B义䍔䙞彅卅䥔䅍䕔✨扥瑩Ⱗ䴧䅅❎✬䅃䅌Ⱗ㈧㄰✳〬Ⱜ✬䌬剕䕒䍎㵙单ⱄ⤧!＀＀ ＀＀	＀＀_x0008_＀＀_x0001_＀＀_x0001_＀＀_x0001_＀＀凬Ẹ蕅䃒찀ㅶ伌K㐲㐵吭䥁䙞彅卅䥔䅍䕔✨义彃則协❓✬䕍乁Ⱗ䌧䱁❁✬〲ㄱⰧⰰⰬⰧ啃剒久奃唽䑓✬착!＀＀ ＀＀	＀＀_x0008_＀＀_x0001_＀＀_x0001_＀＀_x0001_＀＀晧晦鹦䂔찀ㅿ伌H䍑䵏䙞彅卅䥔䅍䕔✨啃呓䵏䕟卐Ⱗ䴧䅅❎✬䅃䅌Ⱗ㈧〰✹〬Ⱜ✬䌬剕䕒䍎㵙单ⱄ⤧!＀＀ ＀＀	＀＀_x0008_＀＀_x0001_＀＀_x0001_＀＀_x0001_＀＀鄲泒䜞㿵찀ㅷ伌C义䍔䙞彅卅䥔䅍䕔✨䅃䕐❘✬䕍乁Ⱗ䌧䱁❁✬〲㜰ⰧⰰⰬⰧ啃剒久奃唽䑓✬착!＀＀ ＀＀	＀＀_x0008_＀＀_x0001_＀＀_x0001_＀＀_x0001_＀＀＀＀＀＀蠀䂳찀ㅴ伌B剁䡍䙞彅卅䥔䅍䕔✨扥瑩Ⱗ䴧䅅❎✬䅃䅌Ⱗ㈧㄰✴〬Ⱜ✬䌬剕䕒䍎㵙单ⱄ⤧!＀＀ ＀＀	＀＀_x0008_＀＀_x0001_＀＀_x0001_＀＀_x0001_＀＀뗝粄惐䂂찀ㆂ伌B䑁幉䕆䕟呓䵉呁⡅䌧偁塅Ⱗ䴧䅅❎✬䅃䅌Ⱗ㈧〰✷〬Ⱜ✬䌬剕䕒䍎㵙单ⱄ⤧!＀＀ ＀＀	＀＀_x0008_＀＀_x0001_＀＀_x0001_＀＀_x0001_＀＀攬_xFFFF_ｘ䁡찀ㆁ伌I呓ⵍ剆䙞彅卅䥔䅍䕔✨义彃則协❓✬䕍乁Ⱗ䌧䱁❁✬〲ㄱⰧⰰⰬⰧ啃剒久奃唽䑓✬착!＀＀ ＀＀	＀＀_x0008_＀＀_x0001_＀＀_x0001_＀＀_x0001_＀＀尨祏䂬찀ㅾ伌C䍑䵏䙞彅卅䥔䅍䕔✨䅃䕐❘✬䕍乁Ⱗ䌧䱁❁✬〲㌱ⰧⰰⰬⰧ啃剒久奃唽䑓✬착!＀＀ ＀＀	＀＀_x0008_＀＀_x0001_＀＀_x0001_＀＀_x0001_＀＀ꣂ交䂊찀ㅹ伌H义䍔䙞彅卅䥔䅍䕔✨啃呓䵏䕟卐Ⱗ䴧䅅❎✬䅃䅌Ⱗ㈧㄰✱〬Ⱜ✬䌬剕䕒䍎㵙单ⱄ⤧!＀＀ ＀＀	＀＀_x0008_＀＀_x0001_＀＀_x0001_＀＀_x0001_＀＀輐쯄駓䀃찀ㅶ伌F㐲㐵吭䥁䙞彅卅䥔䅍䕔✨扥瑩Ⱗ䴧䅅❎✬䅃䅌Ⱗ㈧〰✷〬Ⱜ✬䌬剕䕒䍎㵙单ⱄ⤧!＀＀ ＀＀	＀＀_x0008_＀＀_x0001_＀＀_x0001_＀＀_x0001_＀＀凬Ẹ붅䂎찀ㅴ伌A剁䡍䙞彅卅䥔䅍䕔✨䍆❆✬䕍乁Ⱗ䌧䱁❁✬〲㤰ⰧⰰⰬⰧ啃剒久奃唽䑓✬착!＀＀ ＀＀	＀＀_x0008_＀＀_x0001_＀＀_x0001_＀＀_x0001_＀＀㲟퐬沚䁠찀ㅴ伌!㐲㐵吭䥁䙞彆䅃䡓卟⡔呑ⱒⰰⰬ唬䑓착ĉ＀＀ ＀＀ñ＀＀_x0008_＀＀_x0001_＀＀_x0001_＀＀_x0001_＀＀뀐_xDC04_詧䂣摦畳㩰⼯楄敲瑣潩獮䘯捡却瑥䄠摵瑩湩⁧楖睥牥愿瑣潩㵮啁䥄彔䅖啌♅䉄ㄽ㤲䤦ㅄ㘽㜳㐲☸䅖啌䥅㵄㈰〰☱䑓呁㵅〲ㄱ㌰倦剅佉呄偙㵅呑归呓♄䍓呆㌽眦湩潤㵷潰異彰潮扟牡眦摩桴㌽㔸栦楥桧㵴㈱☰呓剁彔䅍䥘䥍䕚㵄䅆卌♅牣慥潴㵲慦瑣敳♴楤灳慬役瑳楲杮䄽摵瑩찀ㅯ伌_x0014_䅃䵖䙞彇剐䍉⡅〴ㄹ⤸!＀＀ ＀＀	＀＀_x0008_＀＀_x0001_＀＀_x0001_＀＀_x0001_＀＀ᑺޮ䀿찀ㅯ伌_x0014_偉䥈䙞彇剐䍉⡅〴㐵⤴!＀＀ ＀＀	＀＀_x0008_＀＀_x0001_＀＀_x0001_＀＀_x0001_＀＀ꏗ㵰ᜊ䀴찀ㆀ伌_x001D_义䍔偞灟楲散江睯㕟眲〨Ⱜ唬䑓착!＀＀ ＀＀	＀＀_x0008_＀＀_x0001_＀＀_x0001_＀＀_x0001_＀＀尩슏⣵䀳찀ㆀ伌_x001A_前䱖䙞彇剐䍉⡅〴㐵ⰴⰬ单⥄!＀＀ ＀＀	＀＀_x0008_＀＀_x0001_＀＀_x0001_＀＀_x0001_＀＀쳍쳌賌䀲찀ㆃ伌B䑁幉䕆䕟呓䵉呁⡅䔧卐䝂Ⱗ䴧䅅❎✬䅃䅌Ⱗ㈧㄰✴〬Ⱜ✬䌬剕䕒䍎㵙单ⱄ⤧!＀＀ ＀＀	＀＀_x0008_＀＀_x0001_＀＀_x0001_＀＀_x0001_＀＀豀碵꼝쐕찀ㆀ伌_x0014_䱘塎䙞彇剐䍉⡅〴ㄹ⤸!＀＀ ＀＀	＀＀_x0008_＀＀_x0001_＀＀_x0001_＀＀_x0001_＀＀슏⣵潜䁀찀ㆀ伌_x001A_前䱖䙞彇剐䍉⡅〴ㄹⰸⰬ单⥄!＀＀ ＀＀	＀＀_x0008_＀＀_x0001_＀＀_x0001_＀＀_x0001_＀＀㌳㌳댳䀯찀ㅴ伌B剁䡍䙞彅卅䥔䅍䕔✨扥瑩Ⱗ䴧䅅❎✬䅃䅌Ⱗ㈧㄰✱〬Ⱜ✬䌬剕䕒䍎㵙单ⱄ⤧!＀＀ ＀＀	＀＀_x0008_＀＀_x0001_＀＀_x0001_＀＀_x0001_＀＀ゾ⪙ꈘ䁲찀ㅶ伌K㐲㐵吭䥁䙞彅卅䥔䅍䕔✨义彃則协❓✬䕍乁Ⱗ䌧䱁❁✬〲㐱ⰧⰰⰬⰧ啃剒久奃唽䑓✬착!＀＀ ＀＀	＀＀_x0008_＀＀_x0001_＀＀_x0001_＀＀_x0001_＀＀롑㎞䂚찀ㅻ伌G䍑䵏䙞彅卅䥔䅍䕔✨义彃則协❓✬䕍乁Ⱗ䌧䱁❁✬〲㜰ⰧⰰⰬⰧ啃剒久奃唽䑓✬착!＀＀ ＀＀	＀＀_x0008_＀＀_x0001_＀＀_x0001_＀＀_x0001_＀＀탦_xDB22_ཙ䂺찀ㅴ伌G剁䡍䙞彅卅䥔䅍䕔✨义彃則协❓✬䕍乁Ⱗ䌧䱁❁✬〲㜰ⰧⰰⰬⰧ啃剒久奃唽䑓✬착!＀＀ ＀＀	＀＀_x0008_＀＀_x0001_＀＀_x0001_＀＀_x0001_＀＀䷒퉢䁼찀ㆁ伌I呓ⵍ剆䙞彅卅䥔䅍䕔✨义彃則协❓✬䕍乁Ⱗ䌧䱁❁✬〲㐱ⰧⰰⰬⰧ啃剒久奃唽䑓✬착!＀＀ ＀＀	＀＀_x0008_＀＀_x0001_＀＀_x0001_＀＀_x0001_＀＀豀碵꼝쐕찀ㆄ伌G䑁幉䕆䕟呓䵉呁⡅䌧单佔彍偅❓✬䕍乁Ⱗ䌧䱁❁✬〲㜰ⰧⰰⰬⰧ啃剒久奃唽䑓✬착!＀＀ ＀＀	＀＀_x0008_＀＀_x0001_＀＀_x0001_＀＀_x0001_＀＀遵菗煉㿸찀ㅽ伌B䍑䵏䙞彅卅䥔䅍䕔✨扥瑩Ⱗ䴧䅅❎✬䅃䅌Ⱗ㈧㄰✲〬Ⱜ✬䌬剕䕒䍎㵙单ⱄ⤧!＀＀ ＀＀	＀＀_x0008_＀＀_x0001_＀＀_x0001_＀＀_x0001_＀＀晧晦ꑦ䂻찀ㅴ伌A剁䡍䙞彅卅䥔䅍䕔✨䍆❆✬䕍乁Ⱗ䌧䱁❁✬〲〱ⰧⰰⰬⰧ啃剒久奃唽䑓✬착!＀＀ ＀＀	＀＀_x0008_＀＀_x0001_＀＀_x0001_＀＀_x0001_＀＀ધ╆≵䁫찀ㆃ伌@䑁幉䕆䕟呓䵉呁⡅䘧䙃Ⱗ䴧䅅❎✬䅃䅌Ⱗ㈧㄰✱〬Ⱜ✬䌬剕䕒䍎㵙单ⱄ⤧!＀＀ ＀＀	＀＀_x0008_＀＀_x0001_＀＀_x0001_＀＀_x0001_＀＀凬Ẹ皅䂈찀ㆂ伌B䑁幉䕆䕟呓䵉呁⡅䌧偁塅Ⱗ䴧䅅❎✬䅃䅌Ⱗ㈧㄰✴〬Ⱜ✬䌬剕䕒䍎㵙单ⱄ⤧!＀＀ ＀＀	＀＀_x0008_＀＀_x0001_＀＀_x0001_＀＀_x0001_＀＀豀碵꼝쐕찀ㆀ伌_x0017_䱘塎偞灟楲散江睯㕟眲〨착!＀＀ ＀＀	＀＀_x0008_＀＀_x0001_＀＀_x0001_＀＀_x0001_＀＀쳍쳌賌䀺찀ㅹ伌H义䍔䙞彅卅䥔䅍䕔✨啃呓䵏䕟卐Ⱗ䴧䅅❎✬䅃䅌Ⱗ㈧㄰✴〬Ⱜ✬䌬剕䕒䍎㵙单ⱄ⤧!＀＀ ＀＀	＀＀_x0008_＀＀_x0001_＀＀_x0001_＀＀_x0001_＀＀豀碵꼝쐕찀ㅸ伌C义䍔䙞彅卅䥔䅍䕔✨偅䉓❇✬䕍乁Ⱗ䌧䱁❁✬〲ㄱⰧⰰⰬⰧ啃剒久奃唽䑓✬착!＀＀ ＀＀	＀＀_x0008_＀＀_x0001_＀＀_x0001_＀＀_x0001_＀＀﮾뷣ꕪ䀄찀ㅽ伌B噎䅄䙞彅卅䥔䅍䕔✨扥瑩Ⱗ䴧䅅❎✬䅃䅌Ⱗ㈧㄰✲〬Ⱜ✬䌬剕䕒䍎㵙单ⱄ⤧!＀＀ ＀＀	＀＀_x0008_＀＀_x0001_＀＀_x0001_＀＀_x0001_＀＀땳䲕䂉찀ㆀ伌_x001F_呓ⵍ剆䙞彆䅃䡓卟⡔呑ⱒⰰⰬ唬䑓착ĉ＀＀ ＀＀ñ＀＀_x0008_＀＀_x0001_＀＀_x0001_＀＀_x0001_＀＀퓞@였䂣摦畳㩰⼯楄敲瑣潩獮䘯捡却瑥䄠摵瑩湩⁧楖睥牥愿瑣潩㵮啁䥄彔䅖啌♅䉄ㄽ㤲䤦ㅄ㔽㘹㌲☳䅖啌䥅㵄㈰〰☱䑓呁㵅〲ㄱ㌰倦剅佉呄偙㵅呑归呓♄䍓呆㌽眦湩潤㵷潰異彰潮扟牡眦摩桴㌽㔸栦楥桧㵴㈱☰呓剁彔䅍䥘䥍䕚㵄䅆卌♅牣慥潴㵲慦瑣敳♴楤灳慬役瑳楲杮䄽摵瑩찀ㆀ伌B䑁幉䕆䕟呓䵉呁⡅匧䱁卅Ⱗ䴧䅅❎✬䅃䅌Ⱗ㈧㄰✱〬Ⱜ✬䌬剕䕒䍎㵙单ⱄ⤧!＀＀ ＀＀	＀＀_x0008_＀＀_x0001_＀＀_x0001_＀＀_x0001_＀＀桳ᾼ䂧찀ㅴ伌H剁䡍䙞彅卅䥔䅍䕔✨啃呓䵏䕟卐Ⱗ䴧䅅❎✬䅃䅌Ⱗ㈧㄰✱〬Ⱜ✬䌬剕䕒䍎㵙单ⱄ⤧!＀＀ ＀＀	＀＀_x0008_＀＀_x0001_＀＀_x0001_＀＀_x0001_＀＀豀碵꼝쐕찀ㅯ伌_x0018_偉䥈偞灟楲散桟杩彨㈵⡷⤰!＀＀ ＀＀	＀＀_x0008_＀＀_x0001_＀＀_x0001_＀＀_x0001_＀＀㌴㌳㌳䀻찀ㅿ伌H䍑䵏䙞彅卅䥔䅍䕔✨啃呓䵏䕟卐Ⱗ䴧䅅❎✬䅃䅌Ⱗ㈧㄰✳〬Ⱜ✬䌬剕䕒䍎㵙单ⱄ⤧!＀＀ ＀＀	＀＀_x0008_＀＀_x0001_＀＀_x0001_＀＀_x0001_＀＀ᤕ逝분䀎찀ㆂ伌B䑁幉䕆䕟呓䵉呁⡅䌧偁塅Ⱗ䴧䅅❎✬䅃䅌Ⱗ㈧㄰✱〬Ⱜ✬䌬剕䕒䍎㵙单ⱄ⤧!＀＀ ＀＀	＀＀_x0008_＀＀_x0001_＀＀_x0001_＀＀_x0001_＀＀➧₀䁟찀ㅶ伌F㐲㐵吭䥁䙞彅卅䥔䅍䕔✨扥瑩Ⱗ䴧䅅❎✬䅃䅌Ⱗ㈧㄰✱〬Ⱜ✬䌬剕䕒䍎㵙单ⱄ⤧!＀＀ ＀＀	＀＀_x0008_＀＀_x0001_＀＀_x0001_＀＀_x0001_＀＀ᄴ㰶ᒽ䁻찀ㅴ伌G剁䡍䙞彅卅䥔䅍䕔✨义彃則协❓✬䕍乁Ⱗ䌧䱁❁✬〲㐱ⰧⰰⰬⰧ啃剒久奃唽䑓✬착!＀＀ ＀＀	＀＀_x0008_＀＀_x0001_＀＀_x0001_＀＀_x0001_＀＀閁譃罬䂓찀ㅹ伌L㐲㐵吭䥁䙞彅卅䥔䅍䕔✨啃呓䵏䕟卐Ⱗ䴧䅅❎✬䅃䅌Ⱗ㈧〰✷〬Ⱜ✬䌬剕䕒䍎㵙单ⱄ⤧!＀＀ ＀＀	＀＀_x0008_＀＀_x0001_＀＀_x0001_＀＀_x0001_＀＀豀碵꼝쐕찀ㅴ伌A剁䡍䙞彅卅䥔䅍䕔✨䍆❆✬䕍乁Ⱗ䌧䱁❁✬〲㌱ⰧⰰⰬⰧ啃剒久奃唽䑓✬착!＀＀ ＀＀	＀＀_x0008_＀＀_x0001_＀＀_x0001_＀＀_x0001_＀＀寀䄠㻱䁶찀ㆃ伌@䑁幉䕆䕟呓䵉呁⡅䘧䙃Ⱗ䴧䅅❎✬䅃䅌Ⱗ㈧㄰✴〬Ⱜ✬䌬剕䕒䍎㵙单ⱄ⤧!＀＀ ＀＀	＀＀_x0008_＀＀_x0001_＀＀_x0001_＀＀_x0001_＀＀豀碵꼝쐕찀ㆄ伌G䑁幉䕆䕟呓䵉呁⡅䌧单佔彍偅❓✬䕍乁Ⱗ䌧䱁❁✬〲㐱ⰧⰰⰬⰧ啃剒久奃唽䑓✬착!＀＀ ＀＀	＀＀_x0008_＀＀_x0001_＀＀_x0001_＀＀_x0001_＀＀豀碵꼝쐕찀ㅺ伌G噎䅄䙞彅卅䥔䅍䕔✨义彃則协❓✬䕍乁Ⱗ䌧䱁❁✬〲㠰ⰧⰰⰬⰧ啃剒久奃唽䑓✬착!＀＀ ＀＀	＀＀_x0008_＀＀_x0001_＀＀_x0001_＀＀_x0001_＀＀䖢䥽䂓찀ㆃ伌C呓ⵍ剆䙞彅卅䥔䅍䕔✨䍆❆✬䕍乁Ⱗ䌧䱁❁✬〲㜰ⰧⰰⰬⰧ啃剒久奃唽䑓✬착!＀＀ ＀＀	＀＀_x0008_＀＀_x0001_＀＀_x0001_＀＀_x0001_＀＀轜芨䂄찀ㅸ伌C义䍔䙞彅卅䥔䅍䕔✨偅䉓❇✬䕍乁Ⱗ䌧䱁❁✬〲㐱ⰧⰰⰬⰧ啃剒久奃唽䑓✬착!＀＀ ＀＀	＀＀_x0008_＀＀_x0001_＀＀_x0001_＀＀_x0001_＀＀豀碵꼝쐕찀ㅾ伌C噎䅄䙞彅卅䥔䅍䕔✨偅䉓❇✬䕍乁Ⱗ䌧䱁❁✬〲㠰ⰧⰰⰬⰧ啃剒久奃唽䑓✬착!＀＀ ＀＀	＀＀_x0008_＀＀_x0001_＀＀_x0001_＀＀_x0001_＀＀쮨ᮽ썦㿣찀ㅿ伌H䍑䵏䙞彅卅䥔䅍䕔✨啃呓䵏䕟卐Ⱗ䴧䅅❎✬䅃䅌Ⱗ㈧㄰✰〬Ⱜ✬䌬剕䕒䍎㵙单ⱄ⤧!＀＀ ＀＀	＀＀_x0008_＀＀_x0001_＀＀_x0001_＀＀_x0001_＀＀섁㴜콾䀂찀ㅹ伌E㐲㐵吭䥁䙞彅卅䥔䅍䕔✨偄❓✬䕍乁Ⱗ䌧䱁❁✬〲ㄱⰧⰰⰬⰧ啃剒久奃唽䑓✬착!＀＀ ＀＀	＀＀_x0008_＀＀_x0001_＀＀_x0001_＀＀_x0001_＀＀唭툎⫸㿞찀ㅸ伌G㐲㐵吭䥁䙞彅卅䥔䅍䕔✨偅䉓❇✬䕍乁Ⱗ䌧䱁❁✬〲㤰ⰧⰰⰬⰧ啃剒久奃唽䑓✬착!＀＀ ＀＀	＀＀_x0008_＀＀_x0001_＀＀_x0001_＀＀_x0001_＀＀尵黤㿰찀ㅵ伌C义䍔䙞彅卅䥔䅍䕔✨䅓䕌❓✬䕍乁Ⱗ䌧䱁❁✬〲㐱ⰧⰰⰬⰧ啃剒久奃唽䑓✬착!＀＀ ＀＀	＀＀_x0008_＀＀_x0001_＀＀_x0001_＀＀_x0001_＀＀㌴㌳⸣䃯찀ㅴ伌H剁䡍䙞彅卅䥔䅍䕔✨啃呓䵏䕟卐Ⱗ䴧䅅❎✬䅃䅌Ⱗ㈧㄰✴〬Ⱜ✬䌬剕䕒䍎㵙单ⱄ⤧!＀＀ ＀＀	＀＀_x0008_＀＀_x0001_＀＀_x0001_＀＀_x0001_＀＀豀碵꼝쐕찀ㅹ伌C噎䅄䙞彅卅䥔䅍䕔✨䅓䕌❓✬䕍乁Ⱗ䌧䱁❁✬〲㠰ⰧⰰⰬⰧ啃剒久奃唽䑓✬착!＀＀ ＀＀	＀＀_x0008_＀＀_x0001_＀＀_x0001_＀＀_x0001_＀＀司ꗣ㖛䂫찀ㅻ伌G䍑䵏䙞彅卅䥔䅍䕔✨义彃則协❓✬䕍乁Ⱗ䌧䱁❁✬〲ㄱⰧⰰⰬⰧ啃剒久奃唽䑓✬착!＀＀ ＀＀	＀＀_x0008_＀＀_x0001_＀＀_x0001_＀＀_x0001_＀＀뙆ﷳ뾄䃄찀ㅴ伌G剁䡍䙞彅卅䥔䅍䕔✨义彃則协❓✬䕍乁Ⱗ䌧䱁❁✬〲ㄱⰧⰰⰬⰧ啃剒久奃唽䑓✬착!＀＀ ＀＀	＀＀_x0008_＀＀_x0001_＀＀_x0001_＀＀_x0001_＀＀돑䪹䂆찀ㅷ伌C义䍔䙞彅卅䥔䅍䕔✨䅃䕐❘✬䕍乁Ⱗ䌧䱁❁✬〲㐱ⰧⰰⰬⰧ啃剒久奃唽䑓✬착!＀＀ ＀＀	＀＀_x0008_＀＀_x0001_＀＀_x0001_＀＀_x0001_＀＀쳍쳌먌䃀찀ㅾ伌A䍑䵏䙞彅卅䥔䅍䕔✨䍆❆✬䕍乁Ⱗ䌧䱁❁✬〲㈱ⰧⰰⰬⰧ啃剒久奃唽䑓✬착!＀＀ ＀＀	＀＀_x0008_＀＀_x0001_＀＀_x0001_＀＀_x0001_＀＀ㄧ갈䂸찀ㆄ伌G䑁幉䕆䕟呓䵉呁⡅䌧单佔彍偅❓✬䕍乁Ⱗ䌧䱁❁✬〲ㄱⰧⰰⰬⰧ啃剒久奃唽䑓✬착!＀＀ ＀＀	＀＀_x0008_＀＀_x0001_＀＀_x0001_＀＀_x0001_＀＀英품⮴䀅찀ㆀ伌_x001C_䑁幉彐牰捩彥潬彷㈵⡷ⰰⰬ单⥄!＀＀ ＀＀	＀＀_x0008_＀＀_x0001_＀＀_x0001_＀＀_x0001_＀＀ᑻ䞮㫡䀽찀ㅽ伌C噎䅄䙞彅卅䥔䅍䕔✨䅃䕐❘✬䕍乁Ⱗ䌧䱁❁✬〲㠰ⰧⰰⰬⰧ啃剒久奃唽䑓✬착!＀＀ ＀＀	＀＀_x0008_＀＀_x0001_＀＀_x0001_＀＀_x0001_＀＀楅墅䁷찀ㅶ伌F㐲㐵吭䥁䙞彅卅䥔䅍䕔✨扥瑩Ⱗ䴧䅅❎✬䅃䅌Ⱗ㈧㄰✴〬Ⱜ✬䌬剕䕒䍎㵙单ⱄ⤧!＀＀ ＀＀	＀＀_x0008_＀＀_x0001_＀＀_x0001_＀＀_x0001_＀＀鰏ꈳ혴䂁찀ㆀ伌_x001E_㐲㐵吭䥁䙞彇剐䍉⡅〴㐵ⰴⰬ单⥄!＀＀ ＀＀	＀＀_x0008_＀＀_x0001_＀＀_x0001_＀＀_x0001_＀＀ꨢ柰ꍸ䀬찀ㅸ伌G㐲㐵吭䥁䙞彅卅䥔䅍䕔✨偅䉓❇✬䕍乁Ⱗ䌧䱁❁✬〲㘰ⰧⰰⰬⰧ啃剒久奃唽䑓✬착!＀＀ ＀＀	＀＀_x0008_＀＀_x0001_＀＀_x0001_＀＀_x0001_＀＀ᆈꏂ⎍㿤찀ㅶ伌G义䍔䙞彅卅䥔䅍䕔✨义彃則协❓✬䕍乁Ⱗ䌧䱁❁✬〲㤰ⰧⰰⰬⰧ啃剒久奃唽䑓✬착!＀＀ ＀＀	＀＀_x0008_＀＀_x0001_＀＀_x0001_＀＀_x0001_＀＀＀＀＀＀ᩀ䃓찀ㅵ伌C义䍔䙞彅卅䥔䅍䕔✨䅓䕌❓✬䕍乁Ⱗ䌧䱁❁✬〲ㄱⰧⰰⰬⰧ啃剒久奃唽䑓✬착!＀＀ ＀＀	＀＀_x0008_＀＀_x0001_＀＀_x0001_＀＀_x0001_＀＀凬Ẹ喝䃪찀ㅿ伌H噎䅄䙞彅卅䥔䅍䕔✨啃呓䵏䕟卐Ⱗ䴧䅅❎✬䅃䅌Ⱗ㈧〰✶〬Ⱜ✬䌬剕䕒䍎㵙单ⱄ⤧!＀＀ ＀＀	＀＀_x0008_＀＀_x0001_＀＀_x0001_＀＀_x0001_＀＀豀碵꼝쐕찀ㅵ伌G㐲㐵吭䥁䙞彅卅䥔䅍䕔✨䅓䕌❓✬䕍乁Ⱗ䌧䱁❁✬〲㘰ⰧⰰⰬⰧ啃剒久奃唽䑓✬착!＀＀ ＀＀	＀＀_x0008_＀＀_x0001_＀＀_x0001_＀＀_x0001_＀＀ꧻ_xDFF1_䂙찀ㅷ伌C义䍔䙞彅卅䥔䅍䕔✨䅃䕐❘✬䕍乁Ⱗ䌧䱁❁✬〲ㄱⰧⰰⰬⰧ啃剒久奃唽䑓✬착!＀＀ ＀＀	＀＀_x0008_＀＀_x0001_＀＀_x0001_＀＀_x0001_＀＀娝㭤夏䃃찀ㅻ伌G䍑䵏䙞彅卅䥔䅍䕔✨义彃則协❓✬䕍乁Ⱗ䌧䱁❁✬〲㐱ⰧⰰⰬⰧ啃剒久奃唽䑓✬착!＀＀ ＀＀	＀＀_x0008_＀＀_x0001_＀＀_x0001_＀＀_x0001_＀＀閁譃䃍찀ㅹ伌A义䍔䙞彅卅䥔䅍䕔✨偄❓✬䕍乁Ⱗ䌧䱁❁✬〲ㄱⰧⰰⰬⰧ啃剒久奃唽䑓✬착!＀＀ ＀＀	＀＀_x0008_＀＀_x0001_＀＀_x0001_＀＀_x0001_＀＀篂㊳㿩찀ㅴ伌C剁䡍䙞彅卅䥔䅍䕔✨偅䉓❇✬䕍乁Ⱗ䌧䱁❁✬〲㠰ⰧⰰⰬⰧ啃剒久奃唽䑓✬착!＀＀ ＀＀	＀＀_x0008_＀＀_x0001_＀＀_x0001_＀＀_x0001_＀＀္֒㿎찀ㅷ伌G㐲㐵吭䥁䙞彅卅䥔䅍䕔✨䅃䕐❘✬䕍乁Ⱗ䌧䱁❁✬〲㘰ⰧⰰⰬⰧ啃剒久奃唽䑓✬착!＀＀ ＀＀	＀＀_x0008_＀＀_x0001_＀＀_x0001_＀＀_x0001_＀＀Ꝉ粮䁈찀ㅹ伌L㐲㐵吭䥁䙞彅卅䥔䅍䕔✨啃呓䵏䕟卐Ⱗ䴧䅅❎✬䅃䅌Ⱗ㈧㄰✱〬Ⱜ✬䌬剕䕒䍎㵙单ⱄ⤧!＀＀ ＀＀	＀＀_x0008_＀＀_x0001_＀＀_x0001_＀＀_x0001_＀＀豀碵꼝쐕찀ㅴ伌C剁䡍䙞彅卅䥔䅍䕔✨䅓䕌❓✬䕍乁Ⱗ䌧䱁❁✬〲㠰ⰧⰰⰬⰧ啃剒久奃唽䑓✬착!＀＀ ＀＀	＀＀_x0008_＀＀_x0001_＀＀_x0001_＀＀_x0001_＀＀낊_xDC95_䁺찀ㅺ伌G噎䅄䙞彅卅䥔䅍䕔✨义彃則协❓✬䕍乁Ⱗ䌧䱁❁✬〲㈱ⰧⰰⰬⰧ啃剒久奃唽䑓✬착!＀＀ ＀＀	＀＀_x0008_＀＀_x0001_＀＀_x0001_＀＀_x0001_＀＀䂡찀ㅶ伌G义䍔䙞彅卅䥔䅍䕔✨义彃則协❓✬䕍乁Ⱗ䌧䱁❁✬〲㘰ⰧⰰⰬⰧ啃剒久奃唽䑓✬착!＀＀ ＀＀	＀＀_x0008_＀＀_x0001_＀＀_x0001_＀＀_x0001_＀＀豀碵꼝쐕찀ㆀ伌_x001A_剁䡍䙞彇剐䍉⡅〴㐵ⰴⰬ单⥄!＀＀ ＀＀	＀＀_x0008_＀＀_x0001_＀＀_x0001_＀＀_x0001_＀＀＀＀＀＀쀀䀴찀ㆃ伌C呓ⵍ剆䙞彅卅䥔䅍䕔✨䍆❆✬䕍乁Ⱗ䌧䱁❁✬〲ㄱⰧⰰⰬⰧ啃剒久奃唽䑓✬착!＀＀ ＀＀	＀＀_x0008_＀＀_x0001_＀＀_x0001_＀＀_x0001_＀＀鷈쇒쏺䁂찀ㅯ伌_x0013_塍幌䝆偟䥒䕃㐨㤰㠱착!＀＀ ＀＀	＀＀_x0008_＀＀_x0001_＀＀_x0001_＀＀_x0001_＀＀Ẹ롑䀓찀ㅴ伌C剁䡍䙞彅卅䥔䅍䕔✨䅃䕐❘✬䕍乁Ⱗ䌧䱁❁✬〲㠰ⰧⰰⰬⰧ啃剒久奃唽䑓✬착!＀＀ ＀＀	＀＀_x0008_＀＀_x0001_＀＀_x0001_＀＀_x0001_＀＀덫኱㳳䀭찀ㆀ伌_x0017_剂䵃偞灟楲散江睯㕟眲〨착!＀＀ ＀＀	＀＀_x0008_＀＀_x0001_＀＀_x0001_＀＀_x0001_＀＀ꏗ㵰霊䀻찀ㅾ伌A噎䅄䙞彅卅䥔䅍䕔✨䍆❆✬䕍乁Ⱗ䌧䱁❁✬〲㜰ⰧⰰⰬⰧ啃剒久奃唽䑓✬착!＀＀ ＀＀	＀＀_x0008_＀＀_x0001_＀＀_x0001_＀＀_x0001_＀＀낊ﺕ䂉찀ㅾ伌C噎䅄䙞彅卅䥔䅍䕔✨偅䉓❇✬䕍乁Ⱗ䌧䱁❁✬〲㈱ⰧⰰⰬⰧ啃剒久奃唽䑓✬착!＀＀ ＀＀	＀＀_x0008_＀＀_x0001_＀＀_x0001_＀＀_x0001_＀＀䶽뙿㿴찀ㅸ伌E㐲㐵吭䥁䙞彅卅䥔䅍䕔✨䍆❆✬䕍乁Ⱗ䌧䱁❁✬〲㠰ⰧⰰⰬⰧ啃剒久奃唽䑓✬착!＀＀ ＀＀	＀＀_x0008_＀＀_x0001_＀＀_x0001_＀＀_x0001_＀＀鵊⚀_xD942_䂋찀ㅸ伌G㐲㐵吭䥁䙞彅卅䥔䅍䕔✨偅䉓❇✬䕍乁Ⱗ䌧䱁❁✬〲㌱ⰧⰰⰬⰧ啃剒久奃唽䑓✬착!＀＀ ＀＀	＀＀_x0008_＀＀_x0001_＀＀_x0001_＀＀_x0001_＀＀쮘姼럢㿤찀ㅿ伌H噎䅄䙞彅卅䥔䅍䕔✨啃呓䵏䕟卐Ⱗ䴧䅅❎✬䅃䅌Ⱗ㈧〰✹〬Ⱜ✬䌬剕䕒䍎㵙单ⱄ⤧!＀＀ ＀＀	＀＀_x0008_＀＀_x0001_＀＀_x0001_＀＀_x0001_＀＀贻咴軞㿐찀ㅵ伌G㐲㐵吭䥁䙞彅卅䥔䅍䕔✨䅓䕌❓✬䕍乁Ⱗ䌧䱁❁✬〲㤰ⰧⰰⰬⰧ啃剒久奃唽䑓✬착!＀＀ ＀＀	＀＀_x0008_＀＀_x0001_＀＀_x0001_＀＀_x0001_＀＀퓾㧦䂬찀ㅹ伌C噎䅄䙞彅卅䥔䅍䕔✨䅓䕌❓✬䕍乁Ⱗ䌧䱁❁✬〲㈱ⰧⰰⰬⰧ啃剒久奃唽䑓✬착!＀＀ ＀＀	＀＀_x0008_＀＀_x0001_＀＀_x0001_＀＀_x0001_＀＀ꏗ㵰⏪䂱찀ㅷ伌G㐲㐵吭䥁䙞彅卅䥔䅍䕔✨䅃䕐❘✬䕍乁Ⱗ䌧䱁❁✬〲㤰ⰧⰰⰬⰧ啃剒久奃唽䑓✬착!＀＀ ＀＀	＀＀_x0008_＀＀_x0001_＀＀_x0001_＀＀_x0001_＀＀괮쒆긽䁄찀ㅽ伌C噎䅄䙞彅卅䥔䅍䕔✨䅃䕐❘✬䕍乁Ⱗ䌧䱁❁✬〲㈱ⰧⰰⰬⰧ啃剒久奃唽䑓✬착!＀＀ ＀＀	＀＀_x0008_＀＀_x0001_＀＀_x0001_＀＀_x0001_＀＀᭲렭䁡찀ㅯ伌_x0017_塍幌彐牰捩彥楨桧㕟眲〨착!＀＀ ＀＀	＀＀_x0008_＀＀_x0001_＀＀_x0001_＀＀_x0001_＀＀尩슏ꣵ䀩찀ㅹ伌L㐲㐵吭䥁䙞彅卅䥔䅍䕔✨啃呓䵏䕟卐Ⱗ䴧䅅❎✬䅃䅌Ⱗ㈧㄰✴〬Ⱜ✬䌬剕䕒䍎㵙单ⱄ⤧!＀＀ ＀＀	＀＀_x0008_＀＀_x0001_＀＀_x0001_＀＀_x0001_＀＀豀碵꼝쐕찀ㆀ伌_x001E_㐲㐵吭䥁䙞彇剐䍉⡅〴ㄹⰸⰬ单⥄!＀＀ ＀＀	＀＀_x0008_＀＀_x0001_＀＀_x0001_＀＀_x0001_＀＀㏨_xDEA0_戴䀡찀ㆄ伌E呓ⵍ剆䙞彅卅䥔䅍䕔✨偅䉓❇✬䕍乁Ⱗ䌧䱁❁✬〲㜰ⰧⰰⰬⰧ啃剒久奃唽䑓✬착!＀＀ ＀＀	＀＀_x0008_＀＀_x0001_＀＀_x0001_＀＀_x0001_＀＀⌇৶ᢠ㿨찀ㆃ伌C呓ⵍ剆䙞彅卅䥔䅍䕔✨䍆❆✬䕍乁Ⱗ䌧䱁❁✬〲㐱ⰧⰰⰬⰧ啃剒久奃唽䑓✬착!＀＀ ＀＀	＀＀_x0008_＀＀_x0001_＀＀_x0001_＀＀_x0001_＀＀＀＀＀＀Ѐ䂗찀ㅸ伌G㐲㐵吭䥁䙞彅卅䥔䅍䕔✨偅䉓❇✬䕍乁Ⱗ䌧䱁❁✬〲〱ⰧⰰⰬⰧ啃剒久奃唽䑓✬착!＀＀ ＀＀	＀＀_x0008_＀＀_x0001_＀＀_x0001_＀＀_x0001_＀＀毠䝣䨾㿯찀ㅶ伌G义䍔䙞彅卅䥔䅍䕔✨义彃則协❓✬䕍乁Ⱗ䌧䱁❁✬〲㌱ⰧⰰⰬⰧ啃剒久奃唽䑓✬착!＀＀ ＀＀	＀＀_x0008_＀＀_x0001_＀＀_x0001_＀＀_x0001_＀＀롒蔞ⶓ䃢찀ㆁ伌F䑁幉䕆䕟呓䵉呁⡅䤧䍎䝟佒卓Ⱗ䴧䅅❎✬䅃䅌Ⱗ㈧〰✷〬Ⱜ✬䌬剕䕒䍎㵙单ⱄ⤧!＀＀ ＀＀	＀＀_x0008_＀＀_x0001_＀＀_x0001_＀＀_x0001_＀＀绺뱪䂗찀ㅯ伌_x0014_偉䥈䙞彇剐䍉⡅〴ㄹ⤸!＀＀ ＀＀	＀＀_x0008_＀＀_x0001_＀＀_x0001_＀＀_x0001_＀＀Ẹ㡑䀩찀ㅿ伌H噎䅄䙞彅卅䥔䅍䕔✨啃呓䵏䕟卐Ⱗ䴧䅅❎✬䅃䅌Ⱗ㈧㄰✰〬Ⱜ✬䌬剕䕒䍎㵙单ⱄ⤧!＀＀ ＀＀	＀＀_x0008_＀＀_x0001_＀＀_x0001_＀＀_x0001_＀＀䋊㒅뵴㿣찀ㅵ伌G㐲㐵吭䥁䙞彅卅䥔䅍䕔✨䅓䕌❓✬䕍乁Ⱗ䌧䱁❁✬〲〱ⰧⰰⰬⰧ啃剒久奃唽䑓✬착!＀＀ ＀＀	＀＀_x0008_＀＀_x0001_＀＀_x0001_＀＀_x0001_＀＀삃ꇊ汅䂮찀ㅿ伌C䍑䵏䙞彅卅䥔䅍䕔✨偅䉓❇✬䕍乁Ⱗ䌧䱁❁✬〲㠰ⰧⰰⰬⰧ啃剒久奃唽䑓✬착!＀＀ ＀＀	＀＀_x0008_＀＀_x0001_＀＀_x0001_＀＀_x0001_＀＀_xDA94_梋ػ䀁찀ㅹ伌_x001B_噎䅄晞彧敤瑢瑟瑯污〨Ⱜ唬䑓착!＀＀ ＀＀	＀＀_x0008_＀＀_x0001_＀＀_x0001_＀＀_x0001_＀＀ꧻ䀵찀ㆁ伌A䑁幉䕆䕟呓䵉呁⡅攧楢❴✬䕍乁Ⱗ䌧䱁❁✬〲㜰ⰧⰰⰬⰧ啃剒久奃唽䑓✬착!＀＀ ＀＀	＀＀_x0008_＀＀_x0001_＀＀_x0001_＀＀_x0001_＀＀唳⨰枩䂂찀ㅸ伌A义䍔䙞彅卅䥔䅍䕔✨䍆❆✬䕍乁Ⱗ䌧䱁❁✬〲㠰ⰧⰰⰬⰧ啃剒久奃唽䑓✬착!＀＀ ＀＀	＀＀_x0008_＀＀_x0001_＀＀_x0001_＀＀_x0001_＀＀㽼_xD955_䂺찀ㅴ伌C剁䡍䙞彅卅䥔䅍䕔✨偅䉓❇✬䕍乁Ⱗ䌧䱁❁✬〲㈱ⰧⰰⰬⰧ啃剒久奃唽䑓✬착!＀＀ ＀＀	＀＀_x0008_＀＀_x0001_＀＀_x0001_＀＀_x0001_＀＀烛펳⍪㿤찀ㅷ伌G㐲㐵吭䥁䙞彅卅䥔䅍䕔✨䅃䕐❘✬䕍乁Ⱗ䌧䱁❁✬〲〱ⰧⰰⰬⰧ啃剒久奃唽䑓✬착!＀＀ ＀＀	＀＀_x0008_＀＀_x0001_＀＀_x0001_＀＀_x0001_＀＀呡❒솠䁌찀ㆀ伌_x0017_䱁剔偞灟楲散江睯㕟眲〨착!＀＀ ＀＀	＀＀_x0008_＀＀_x0001_＀＀_x0001_＀＀_x0001_＀＀炤਽揗䀾찀ㅺ伌C䍑䵏䙞彅卅䥔䅍䕔✨䅓䕌❓✬䕍乁Ⱗ䌧䱁❁✬〲㠰ⰧⰰⰬⰧ啃剒久奃唽䑓✬착!＀＀ ＀＀	＀＀_x0008_＀＀_x0001_＀＀_x0001_＀＀_x0001_＀＀ొ⬂歗䃅찀ㅶ伌B义䍔䙞彅卅䥔䅍䕔✨扥瑩Ⱗ䴧䅅❎✬䅃䅌Ⱗ㈧〰✸〬Ⱜ✬䌬剕䕒䍎㵙单ⱄ⤧!＀＀ ＀＀	＀＀_x0008_＀＀_x0001_＀＀_x0001_＀＀_x0001_＀＀盉龾퍊䃁찀ㅴ伌_x001F_㐲㐵吭䥁晞彧敤瑢瑟瑯污〨Ⱜ唬䑓착!＀＀ ＀＀	＀＀_x0008_＀＀_x0001_＀＀_x0001_＀＀_x0001_＀＀晧Ɂ䁓찀ㅶ伌G义䍔䙞彅卅䥔䅍䕔✨义彃則协❓✬䕍乁Ⱗ䌧䱁❁✬〲〱ⰧⰰⰬⰧ啃剒久奃唽䑓✬착!＀＀ ＀＀	＀＀_x0008_＀＀_x0001_＀＀_x0001_＀＀_x0001_＀＀＀＀＀＀⏀䃜찀ㅾ伌C䍑䵏䙞彅卅䥔䅍䕔✨䅃䕐❘✬䕍乁Ⱗ䌧䱁❁✬〲㠰ⰧⰰⰬⰧ啃剒久奃唽䑓✬착!＀＀ ＀＀	＀＀_x0008_＀＀_x0001_＀＀_x0001_＀＀_x0001_＀＀䎖沋埧䂓찀ㆀ伌_x001A_剁䡍䙞彇剐䍉⡅〴ㄹⰸⰬ单⥄!＀＀ ＀＀	＀＀_x0008_＀＀_x0001_＀＀_x0001_＀＀_x0001_＀＀竡긔慇䀼찀ㅾ伌A噎䅄䙞彅卅䥔䅍䕔✨䍆❆✬䕍乁Ⱗ䌧䱁❁✬〲ㄱⰧⰰⰬⰧ啃剒久奃唽䑓✬착!＀＀ ＀＀	＀＀_x0008_＀＀_x0001_＀＀_x0001_＀＀_x0001_＀＀緀㠝띧䂃찀ㅸ伌E㐲㐵吭䥁䙞彅卅䥔䅍䕔✨䍆❆✬䕍乁Ⱗ䌧䱁❁✬〲㈱ⰧⰰⰬⰧ啃剒久奃唽䑓✬착!＀＀ ＀＀	＀＀_x0008_＀＀_x0001_＀＀_x0001_＀＀_x0001_＀＀㹃_xD9E8_햬䂃찀ㆂ伌D呓ⵍ剆䙞彅卅䥔䅍䕔✨扥瑩Ⱗ䴧䅅❎✬䅃䅌Ⱗ㈧〰✸〬Ⱜ✬䌬剕䕒䍎㵙单ⱄ⤧!＀＀ ＀＀	＀＀_x0008_＀＀_x0001_＀＀_x0001_＀＀_x0001_＀＀陓踡扵䁰찀ㅿ伌H噎䅄䙞彅卅䥔䅍䕔✨啃呓䵏䕟卐Ⱗ䴧䅅❎✬䅃䅌Ⱗ㈧㄰✳〬Ⱜ✬䌬剕䕒䍎㵙单ⱄ⤧!＀＀ ＀＀	＀＀_x0008_＀＀_x0001_＀＀_x0001_＀＀_x0001_＀＀魅_xDCE3__xDC26_㿲찀ㅵ伌G㐲㐵吭䥁䙞彅卅䥔䅍䕔✨䅓䕌❓✬䕍乁Ⱗ䌧䱁❁✬〲㌱ⰧⰰⰬⰧ啃剒久奃唽䑓✬착!＀＀ ＀＀	＀＀_x0008_＀＀_x0001_＀＀_x0001_＀＀_x0001_＀＀뀡桲轑䂭찀ㆀ伌_x001A_䍑䵏䙞彇剐䍉⡅〴㐵ⰴⰬ单⥄!＀＀ ＀＀	＀＀_x0008_＀＀_x0001_＀＀_x0001_＀＀_x0001_＀＀蔟凫뺸䁈찀ㆄ伌J呓ⵍ剆䙞彅卅䥔䅍䕔✨啃呓䵏䕟卐Ⱗ䴧䅅❎✬䅃䅌Ⱗ㈧〰✸〬Ⱜ✬䌬剕䕒䍎㵙单ⱄ⤧!＀＀ ＀＀	＀＀_x0008_＀＀_x0001_＀＀_x0001_＀＀_x0001_＀＀豀碵꼝쐕찀ㆃ伌B䑁幉䕆䕟呓䵉呁⡅䔧卐䝂Ⱗ䴧䅅❎✬䅃䅌Ⱗ㈧〰✹〬Ⱜ✬䌬剕䕒䍎㵙单ⱄ⤧!＀＀ ＀＀	＀＀_x0008_＀＀_x0001_＀＀_x0001_＀＀_x0001_＀＀좧铦㿵찀ㆀ伌_x001A_䍑䵏䙞彇剐䍉⡅〴ㄹⰸⰬ单⥄!＀＀ ＀＀	＀＀_x0008_＀＀_x0001_＀＀_x0001_＀＀_x0001_＀＀긔䁋찀ㅷ伌G㐲㐵吭䥁䙞彅卅䥔䅍䕔✨䅃䕐❘✬䕍乁Ⱗ䌧䱁❁✬〲㌱ⰧⰰⰬⰧ啃剒久奃唽䑓✬착!＀＀ ＀＀	＀＀_x0008_＀＀_x0001_＀＀_x0001_＀＀_x0001_＀＀蝾ࢢ䁐찀ㅴ伌B剁䡍䙞彅卅䥔䅍䕔✨扥瑩Ⱗ䴧䅅❎✬䅃䅌Ⱗ㈧〰✶〬Ⱜ✬䌬剕䕒䍎㵙单ⱄ⤧!＀＀ ＀＀	＀＀_x0008_＀＀_x0001_＀＀_x0001_＀＀_x0001_＀＀뗲陧㠄䁝찀ㅴ伌"义䍔䙞彆佃彍䡓当問彔偅当䥄⡌呑ⱒ⤰ċ＀＀ ＀＀ó＀＀_x0008_＀＀_x0001_＀＀_x0001_＀＀_x0001_＀＀＀＀＀＀_xDC00_䂴摦畳㩰⼯楄敲瑣潩獮䘯捡却瑥䄠摵瑩湩⁧楖睥牥愿瑣潩㵮啁䥄彔䅖啌♅䉄ㄽ㤲䤦ㅄ㐽㠵㐱㄰☰䅖啌䥅㵄㔰㤱☴䑓呁㵅〲ㄱ㌰倦剅佉呄偙㵅呑归呓♄䍓呆㌽眦湩潤㵷潰異彰潮扟牡眦摩桴㌽㔸栦楥桧㵴㈱☰呓剁彔䅍䥘䥍䕚㵄䅆卌♅牣慥潴㵲慦瑣敳♴楤灳慬役瑳楲杮䄽摵瑩찀ㆁ伌I呓ⵍ剆䙞彅卅䥔䅍䕔✨义彃則协❓✬䕍乁Ⱗ䌧䱁❁✬〲㤰ⰧⰰⰬⰧ啃剒久奃唽䑓✬착!＀＀ ＀＀	＀＀_x0008_＀＀_x0001_＀＀_x0001_＀＀_x0001_＀＀桳菼䂤찀ㅽ伌B䍑䵏䙞彅卅䥔䅍䕔✨扥瑩Ⱗ䴧䅅❎✬䅃䅌Ⱗ㈧〰✷〬Ⱜ✬䌬剕䕒䍎㵙单ⱄ⤧!＀＀ ＀＀	＀＀_x0008_＀＀_x0001_＀＀_x0001_＀＀_x0001_＀＀褷恁薥䂬찀ㅹ伌H义䍔䙞彅卅䥔䅍䕔✨啃呓䵏䕟卐Ⱗ䴧䅅❎✬䅃䅌Ⱗ㈧〰✹〬Ⱜ✬䌬剕䕒䍎㵙单ⱄ⤧!＀＀ ＀＀	＀＀_x0008_＀＀_x0001_＀＀_x0001_＀＀_x0001_＀＀Ẹ롑㿲찀ㆁ伌E呓ⵍ剆䙞彅卅䥔䅍䕔✨䅓䕌❓✬䕍乁Ⱗ䌧䱁❁✬〲㜰ⰧⰰⰬⰧ啃剒久奃唽䑓✬착!＀＀ ＀＀	＀＀_x0008_＀＀_x0001_＀＀_x0001_＀＀_x0001_＀＀＀＀＀＀䃃찀ㅾ伌A噎䅄䙞彅卅䥔䅍䕔✨䍆❆✬䕍乁Ⱗ䌧䱁❁✬〲㐱ⰧⰰⰬⰧ啃剒久奃唽䑓✬착!＀＀ ＀＀	＀＀_x0008_＀＀_x0001_＀＀_x0001_＀＀_x0001_＀＀豀碵꼝쐕찀ㆃ伌B䑁幉䕆䕟呓䵉呁⡅䔧卐䝂Ⱗ䴧䅅❎✬䅃䅌Ⱗ㈧〰✶〬Ⱜ✬䌬剕䕒䍎㵙单ⱄ⤧!＀＀ ＀＀	＀＀_x0008_＀＀_x0001_＀＀_x0001_＀＀_x0001_＀＀_xD894_붵鋝㿹찀ㅿ伌C䍑䵏䙞彅卅䥔䅍䕔✨偅䉓❇✬䕍乁Ⱗ䌧䱁❁✬〲㈱ⰧⰰⰬⰧ啃剒久奃唽䑓✬착!＀＀ ＀＀	＀＀_x0008_＀＀_x0001_＀＀_x0001_＀＀_x0001_＀＀ⱞ鄌韓䀍찀ㆃ伌E呓ⵍ剆䙞彅卅䥔䅍䕔✨䅃䕐❘✬䕍乁Ⱗ䌧䱁❁✬〲㜰ⰧⰰⰬⰧ啃剒久奃唽䑓✬착!＀＀ ＀＀	＀＀_x0008_＀＀_x0001_＀＀_x0001_＀＀_x0001_＀＀鶲꟯緆䂓찀ㆁ伌A䑁幉䕆䕟呓䵉呁⡅攧楢❴✬䕍乁Ⱗ䌧䱁❁✬〲ㄱⰧⰰⰬⰧ啃剒久奃唽䑓✬착!＀＀ ＀＀	＀＀_x0008_＀＀_x0001_＀＀_x0001_＀＀_x0001_＀＀尩슏兵䂐찀ㅸ伌A义䍔䙞彅卅䥔䅍䕔✨䍆❆✬䕍乁Ⱗ䌧䱁❁✬〲㈱ⰧⰰⰬⰧ啃剒久奃唽䑓✬착!＀＀ ＀＀	＀＀_x0008_＀＀_x0001_＀＀_x0001_＀＀_x0001_＀＀_xDD2F_ؤ큁䃅찀ㆀ伌B䑁幉䕆䕟呓䵉呁⡅匧䱁卅Ⱗ䴧䅅❎✬䅃䅌Ⱗ㈧〰✶〬Ⱜ✬䌬剕䕒䍎㵙单ⱄ⤧!＀＀ ＀＀	＀＀_x0008_＀＀_x0001_＀＀_x0001_＀＀_x0001_＀＀脆䎕ᅋ䂤찀ㅶ伌K㐲㐵吭䥁䙞彅卅䥔䅍䕔✨义彃則协❓✬䕍乁Ⱗ䌧䱁❁✬〲㘰ⰧⰰⰬⰧ啃剒久奃唽䑓✬착!＀＀ ＀＀	＀＀_x0008_＀＀_x0001_＀＀_x0001_＀＀_x0001_＀＀豀碵꼝쐕찀ㅴ伌C剁䡍䙞彅卅䥔䅍䕔✨䅓䕌❓✬䕍乁Ⱗ䌧䱁❁✬〲㈱ⰧⰰⰬⰧ啃剒久奃唽䑓✬착!＀＀ ＀＀	＀＀_x0008_＀＀_x0001_＀＀_x0001_＀＀_x0001_＀＀絗뚮멢䂊찀ㅶ伌B义䍔䙞彅卅䥔䅍䕔✨扥瑩Ⱗ䴧䅅❎✬䅃䅌Ⱗ㈧㄰✲〬Ⱜ✬䌬剕䕒䍎㵙单ⱄ⤧!＀＀ ＀＀	＀＀_x0008_＀＀_x0001_＀＀_x0001_＀＀_x0001_＀＀휊炣卽䃑찀ㅴ伌B剁䡍䙞彅卅䥔䅍䕔✨扥瑩Ⱗ䴧䅅❎✬䅃䅌Ⱗ㈧〰✹〬Ⱜ✬䌬剕䕒䍎㵙单ⱄ⤧!＀＀ ＀＀	＀＀_x0008_＀＀_x0001_＀＀_x0001_＀＀_x0001_＀＀蒶큼厳䁠찀ㆁ伌I呓ⵍ剆䙞彅卅䥔䅍䕔✨义彃則协❓✬䕍乁Ⱗ䌧䱁❁✬〲㘰ⰧⰰⰬⰧ啃剒久奃唽䑓✬착!＀＀ ＀＀	＀＀_x0008_＀＀_x0001_＀＀_x0001_＀＀_x0001_＀＀豀碵꼝쐕찀ㆂ伌B䑁幉䕆䕟呓䵉呁⡅䌧偁塅Ⱗ䴧䅅❎✬䅃䅌Ⱗ㈧〰✶〬Ⱜ✬䌬剕䕒䍎㵙单ⱄ⤧!＀＀ ＀＀	＀＀_x0008_＀＀_x0001_＀＀_x0001_＀＀_x0001_＀＀珫ᖵ忻䁠찀ㅹ伌H义䍔䙞彅卅䥔䅍䕔✨啃呓䵏䕟卐Ⱗ䴧䅅❎✬䅃䅌Ⱗ㈧〰✶〬Ⱜ✬䌬剕䕒䍎㵙单ⱄ⤧!＀＀ ＀＀	＀＀_x0008_＀＀_x0001_＀＀_x0001_＀＀_x0001_＀＀롑蔞㿫찀ㅴ伌C剁䡍䙞彅卅䥔䅍䕔✨䅃䕐❘✬䕍乁Ⱗ䌧䱁❁✬〲㈱ⰧⰰⰬⰧ啃剒久奃唽䑓✬착!＀＀ ＀＀	＀＀_x0008_＀＀_x0001_＀＀_x0001_＀＀_x0001_＀＀堐됹雈䀱찀ㅴ伌A剁䡍䙞彅卅䥔䅍䕔✨偄❓✬䕍乁Ⱗ䌧䱁❁✬〲ㄱⰧⰰⰬⰧ啃剒久奃唽䑓✬착!＀＀ ＀＀	＀＀_x0008_＀＀_x0001_＀＀_x0001_＀＀_x0001_＀＀䨞⭙捿㿄찀ㆄ伌E呓ⵍ剆䙞彅卅䥔䅍䕔✨偅䉓❇✬䕍乁Ⱗ䌧䱁❁✬〲㐱ⰧⰰⰬⰧ啃剒久奃唽䑓✬착!＀＀ ＀＀	＀＀_x0008_＀＀_x0001_＀＀_x0001_＀＀_x0001_＀＀ᑻ䞮竡㿴찀ㆃ伌@䑁幉䕆䕟呓䵉呁⡅䘧䙃Ⱗ䴧䅅❎✬䅃䅌Ⱗ㈧〰✹〬Ⱜ✬䌬剕䕒䍎㵙单ⱄ⤧!＀＀ ＀＀	＀＀_x0008_＀＀_x0001_＀＀_x0001_＀＀_x0001_＀＀賧嗀䁻찀ㆂ伌D呓ⵍ剆䙞彅卅䥔䅍䕔✨扥瑩Ⱗ䴧䅅❎✬䅃䅌Ⱗ㈧㄰✲〬Ⱜ✬䌬剕䕒䍎㵙单ⱄ⤧!＀＀ ＀＀	＀＀_x0008_＀＀_x0001_＀＀_x0001_＀＀_x0001_＀＀臭恖䁙찀ㆁ伌F䑁幉䕆䕟呓䵉呁⡅䤧䍎䝟佒卓Ⱗ䴧䅅❎✬䅃䅌Ⱗ㈧㄰✴〬Ⱜ✬䌬剕䕒䍎㵙单ⱄ⤧!＀＀ ＀＀	＀＀_x0008_＀＀_x0001_＀＀_x0001_＀＀_x0001_＀＀豀碵꼝쐕찀ㅸ伌C义䍔䙞彅卅䥔䅍䕔✨偅䉓❇✬䕍乁Ⱗ䌧䱁❁✬〲㤰ⰧⰰⰬⰧ啃剒久奃唽䑓✬착!＀＀ ＀＀	＀＀_x0008_＀＀_x0001_＀＀_x0001_＀＀_x0001_＀＀蔟凫Ẹ㿵찀ㆄ伌J呓ⵍ剆䙞彅卅䥔䅍䕔✨啃呓䵏䕟卐Ⱗ䴧䅅❎✬䅃䅌Ⱗ㈧㄰✲〬Ⱜ✬䌬剕䕒䍎㵙单ⱄ⤧!＀＀ ＀＀	＀＀_x0008_＀＀_x0001_＀＀_x0001_＀＀_x0001_＀＀豀碵꼝쐕찀ㅴ伌_x001B_义䍔晞彧敤瑢瑟瑯污〨Ⱜ唬䑓착!＀＀ ＀＀	＀＀_x0008_＀＀_x0001_＀＀_x0001_＀＀_x0001_＀＀＀＀＀＀䂻찀ㆀ伌B䑁幉䕆䕟呓䵉呁⡅匧䱁卅Ⱗ䴧䅅❎✬䅃䅌Ⱗ㈧〰✹〬Ⱜ✬䌬剕䕒䍎㵙单ⱄ⤧!＀＀ ＀＀	＀＀_x0008_＀＀_x0001_＀＀_x0001_＀＀_x0001_＀＀⬂ᚇ띙䂠찀ㅶ伌K㐲㐵吭䥁䙞彅卅䥔䅍䕔✨义彃則协❓✬䕍乁Ⱗ䌧䱁❁✬〲㤰ⰧⰰⰬⰧ啃剒久奃唽䑓✬착!＀＀ ＀＀	＀＀_x0008_＀＀_x0001_＀＀_x0001_＀＀_x0001_＀＀㌳㌳ꜳ䂠찀ㅴ伌G剁䡍䙞彅卅䥔䅍䕔✨义彃則协❓✬䕍乁Ⱗ䌧䱁❁✬〲㘰ⰧⰰⰬⰧ啃剒久奃唽䑓✬착!＀＀ ＀＀	＀＀_x0008_＀＀_x0001_＀＀_x0001_＀＀_x0001_＀＀豀碵꼝쐕찀ㆄ伌E呓ⵍ剆䙞彅卅䥔䅍䕔✨偅䉓❇✬䕍乁Ⱗ䌧䱁❁✬〲ㄱⰧⰰⰬⰧ啃剒久奃唽䑓✬착!＀＀ ＀＀	＀＀_x0008_＀＀_x0001_＀＀_x0001_＀＀_x0001_＀＀詘犉䌎㿠찀ㆃ伌@䑁幉䕆䕟呓䵉呁⡅䘧䙃Ⱗ䴧䅅❎✬䅃䅌Ⱗ㈧〰✶〬Ⱜ✬䌬剕䕒䍎㵙单ⱄ⤧!＀＀ ＀＀	＀＀_x0008_＀＀_x0001_＀＀_x0001_＀＀_x0001_＀＀࢚鸛䩞䁽찀ㆂ伌B䑁幉䕆䕟呓䵉呁⡅䌧偁塅Ⱗ䴧䅅❎✬䅃䅌Ⱗ㈧〰✹〬Ⱜ✬䌬剕䕒䍎㵙单ⱄ⤧!＀＀ ＀＀	＀＀_x0008_＀＀_x0001_＀＀_x0001_＀＀_x0001_＀＀ㄑ堥䁐찀ㅾ伌A䍑䵏䙞彅卅䥔䅍䕔✨䍆❆✬䕍乁Ⱗ䌧䱁❁✬〲㜰ⰧⰰⰬⰧ啃剒久奃唽䑓✬착!＀＀ ＀＀	＀＀_x0008_＀＀_x0001_＀＀_x0001_＀＀_x0001_＀＀桳쥼䂤찀ㆄ伌G䑁幉䕆䕟呓䵉呁⡅䌧单佔彍偅❓✬䕍乁Ⱗ䌧䱁❁✬〲㘰ⰧⰰⰬⰧ啃剒久奃唽䑓✬착!＀＀ ＀＀	＀＀_x0008_＀＀_x0001_＀＀_x0001_＀＀_x0001_＀＀俧픛䃩㿷찀ㆁ伌F䑁幉䕆䕟呓䵉呁⡅䤧䍎䝟佒卓Ⱗ䴧䅅❎✬䅃䅌Ⱗ㈧㄰✱〬Ⱜ✬䌬剕䕒䍎㵙单ⱄ⤧!＀＀ ＀＀	＀＀_x0008_＀＀_x0001_＀＀_x0001_＀＀_x0001_＀＀鞍ቮ覃䂞찀ㅽ伌B䍑䵏䙞彅卅䥔䅍䕔✨扥瑩Ⱗ䴧䅅❎✬䅃䅌Ⱗ㈧㄰✱〬Ⱜ✬䌬剕䕒䍎㵙单ⱄ⤧!＀＀ ＀＀	＀＀_x0008_＀＀_x0001_＀＀_x0001_＀＀_x0001_＀＀䞮竡㑔䂷찀ㅶ伌F㐲㐵吭䥁䙞彅卅䥔䅍䕔✨扥瑩Ⱗ䴧䅅❎✬䅃䅌Ⱗ㈧〰✹〬Ⱜ✬䌬剕䕒䍎㵙单ⱄ⤧!＀＀ ＀＀	＀＀_x0008_＀＀_x0001_＀＀_x0001_＀＀_x0001_＀＀_xDF3B_赏씗䂑찀ㆁ伌E呓ⵍ剆䙞彅卅䥔䅍䕔✨䅓䕌❓✬䕍乁Ⱗ䌧䱁❁✬〲ㄱⰧⰰⰬⰧ啃剒久奃唽䑓✬착!＀＀ ＀＀	＀＀_x0008_＀＀_x0001_＀＀_x0001_＀＀_x0001_＀＀馚香哙䃃찀ㅸ伌C义䍔䙞彅卅䥔䅍䕔✨偅䉓❇✬䕍乁Ⱗ䌧䱁❁✬〲㘰ⰧⰰⰬⰧ啃剒久奃唽䑓✬착!＀＀ ＀＀	＀＀_x0008_＀＀_x0001_＀＀_x0001_＀＀_x0001_＀＀豀碵꼝쐕찀ㅼ伌B噎䅄䙞彅卅䥔䅍䕔✨扥瑩Ⱗ䴧䅅❎✬䅃䅌Ⱗ㈧〰✷〬Ⱜ✬䌬剕䕒䍎㵙单ⱄ⤧!＀＀ ＀＀	＀＀_x0008_＀＀_x0001_＀＀_x0001_＀＀_x0001_＀＀릍५廹䂋찀ㆃ伌B䑁幉䕆䕟呓䵉呁⡅䔧卐䝂Ⱗ䴧䅅❎✬䅃䅌Ⱗ㈧㄰✰〬Ⱜ✬䌬剕䕒䍎㵙单ⱄ⤧!＀＀ ＀＀	＀＀_x0008_＀＀_x0001_＀＀_x0001_＀＀_x0001_＀＀嫮㹂맨䀄찀ㆃ伌E呓ⵍ剆䙞彅卅䥔䅍䕔✨䅃䕐❘✬䕍乁Ⱗ䌧䱁❁✬〲ㄱⰧⰰⰬⰧ啃剒久奃唽䑓✬착!＀＀ ＀＀	＀＀_x0008_＀＀_x0001_＀＀_x0001_＀＀_x0001_＀＀긕쿺䂓찀ㆀ伌_x001E_前䱖偞灟楲散桟杩彨㈵⡷ⰰⰬ单⥄!＀＀ ＀＀	＀＀_x0008_＀＀_x0001_＀＀_x0001_＀＀_x0001_＀＀尨ʏ䀶찀ㅵ伌C义䍔䙞彅卅䥔䅍䕔✨䅓䕌❓✬䕍乁Ⱗ䌧䱁❁✬〲㘰ⰧⰰⰬⰧ啃剒久奃唽䑓✬착!＀＀ ＀＀	＀＀_x0008_＀＀_x0001_＀＀_x0001_＀＀_x0001_＀＀＀＀＀＀䛀䃡찀ㅺ伌C䍑䵏䙞彅卅䥔䅍䕔✨䅓䕌❓✬䕍乁Ⱗ䌧䱁❁✬〲㈱ⰧⰰⰬⰧ啃剒久奃唽䑓✬착!＀＀ ＀＀	＀＀_x0008_＀＀_x0001_＀＀_x0001_＀＀_x0001_＀＀＀＀＀＀鰀䃒찀ㅴ伌H剁䡍䙞彅卅䥔䅍䕔✨啃呓䵏䕟卐Ⱗ䴧䅅❎✬䅃䅌Ⱗ㈧〰✶〬Ⱜ✬䌬剕䕒䍎㵙单ⱄ⤧!＀＀ ＀＀	＀＀_x0008_＀＀_x0001_＀＀_x0001_＀＀_x0001_＀＀豀碵꼝쐕찀ㅶ伌K㐲㐵吭䥁䙞彅卅䥔䅍䕔✨义彃則协❓✬䕍乁Ⱗ䌧䱁❁✬〲〱ⰧⰰⰬⰧ啃剒久奃唽䑓✬착!＀＀ ＀＀	＀＀_x0008_＀＀_x0001_＀＀_x0001_＀＀_x0001_＀＀ᑺ낮䂠찀ㅿ伌H䍑䵏䙞彅卅䥔䅍䕔✨啃呓䵏䕟卐Ⱗ䴧䅅❎✬䅃䅌Ⱗ㈧〰✸〬Ⱜ✬䌬剕䕒䍎㵙单ⱄ⤧!＀＀ ＀＀	＀＀_x0008_＀＀_x0001_＀＀_x0001_＀＀_x0001_＀＀띅퍞芃㿼찀ㅷ伌C义䍔䙞彅卅䥔䅍䕔✨䅃䕐❘✬䕍乁Ⱗ䌧䱁❁✬〲㘰ⰧⰰⰬⰧ啃剒久奃唽䑓✬착!＀＀ ＀＀	＀＀_x0008_＀＀_x0001_＀＀_x0001_＀＀_x0001_＀＀＀＀＀＀꬀䂶찀ㅴ伌B剁䡍䙞彅卅䥔䅍䕔✨扥瑩Ⱗ䴧䅅❎✬䅃䅌Ⱗ㈧㄰✳〬Ⱜ✬䌬剕䕒䍎㵙单ⱄ⤧!＀＀ ＀＀	＀＀_x0008_＀＀_x0001_＀＀_x0001_＀＀_x0001_＀＀曐챪䁻찀ㆁ伌I呓ⵍ剆䙞彅卅䥔䅍䕔✨义彃則协❓✬䕍乁Ⱗ䌧䱁❁✬〲〱ⰧⰰⰬⰧ啃剒久奃唽䑓✬착!＀＀ ＀＀	＀＀_x0008_＀＀_x0001_＀＀_x0001_＀＀_x0001_＀＀_xDF3C_赏岗䂯찀ㅾ伌C䍑䵏䙞彅卅䥔䅍䕔✨䅃䕐❘✬䕍乁Ⱗ䌧䱁❁✬〲㈱ⰧⰰⰬⰧ啃剒久奃唽䑓✬착!＀＀ ＀＀	＀＀_x0008_＀＀_x0001_＀＀_x0001_＀＀_x0001_＀＀ﭿ瀺꟎䂊찀ㆂ伌B䑁幉䕆䕟呓䵉呁⡅䌧偁塅Ⱗ䴧䅅❎✬䅃䅌Ⱗ㈧㄰✰〬Ⱜ✬䌬剕䕒䍎㵙单ⱄ⤧!＀＀ ＀＀	＀＀_x0008_＀＀_x0001_＀＀_x0001_＀＀_x0001_＀＀ᝯ爴䁜찀ㅻ伌G䍑䵏䙞彅卅䥔䅍䕔✨义彃則协❓✬䕍乁Ⱗ䌧䱁❁✬〲㤰ⰧⰰⰬⰧ啃剒久奃唽䑓✬착!＀＀ ＀＀	＀＀_x0008_＀＀_x0001_＀＀_x0001_＀＀_x0001_＀＀슐⣵䂼찀ㅹ伌H义䍔䙞彅卅䥔䅍䕔✨啃呓䵏䕟卐Ⱗ䴧䅅❎✬䅃䅌Ⱗ㈧㄰✰〬Ⱜ✬䌬剕䕒䍎㵙单ⱄ⤧!＀＀ ＀＀	＀＀_x0008_＀＀_x0001_＀＀_x0001_＀＀_x0001_＀＀晦晦晦䀀찀ㅶ伌F㐲㐵吭䥁䙞彅卅䥔䅍䕔✨扥瑩Ⱗ䴧䅅❎✬䅃䅌Ⱗ㈧〰✶〬Ⱜ✬䌬剕䕒䍎㵙单ⱄ⤧!＀＀ ＀＀	＀＀_x0008_＀＀_x0001_＀＀_x0001_＀＀_x0001_＀＀⁜ౣ䂆찀ㅴ伌G剁䡍䙞彅卅䥔䅍䕔✨义彃則协❓✬䕍乁Ⱗ䌧䱁❁✬〲㤰ⰧⰰⰬⰧ啃剒久奃唽䑓✬착!＀＀ ＀＀	＀＀_x0008_＀＀_x0001_＀＀_x0001_＀＀_x0001_＀＀_xD980_礽䡘䁼찀ㅴ伌A剁䡍䙞彅卅䥔䅍䕔✨䍆❆✬䕍乁Ⱗ䌧䱁❁✬〲㠰ⰧⰰⰬⰧ啃剒久奃唽䑓✬착!＀＀ ＀＀	＀＀_x0008_＀＀_x0001_＀＀_x0001_＀＀_x0001_＀＀_xD9E9_窱ꍜ䁕찀ㆄ伌G䑁幉䕆䕟呓䵉呁⡅䌧单佔彍偅❓✬䕍乁Ⱗ䌧䱁❁✬〲㤰ⰧⰰⰬⰧ啃剒久奃唽䑓✬착!＀＀ ＀＀	＀＀_x0008_＀＀_x0001_＀＀_x0001_＀＀_x0001_＀＀䖪ㅄ䍹㿳찀ㅽ伌B䍑䵏䙞彅卅䥔䅍䕔✨扥瑩Ⱗ䴧䅅❎✬䅃䅌Ⱗ㈧㄰✴〬Ⱜ✬䌬剕䕒䍎㵙单ⱄ⤧!＀＀ ＀＀	＀＀_x0008_＀＀_x0001_＀＀_x0001_＀＀_x0001_＀＀磕⛩䃁찀ㆃ伌@䑁幉䕆䕟呓䵉呁⡅䘧䙃Ⱗ䴧䅅❎✬䅃䅌Ⱗ㈧㄰✳〬Ⱜ✬䌬剕䕒䍎㵙单ⱄ⤧!＀＀ ＀＀	＀＀_x0008_＀＀_x0001_＀＀_x0001_＀＀_x0001_＀＀騃ᬈꂞ䂈찀ㆁ伌E呓ⵍ剆䙞彅卅䥔䅍䕔✨䅓䕌❓✬䕍乁Ⱗ䌧䱁❁✬〲㐱ⰧⰰⰬⰧ啃剒久奃唽䑓✬착!＀＀ ＀＀	＀＀_x0008_＀＀_x0001_＀＀_x0001_＀＀_x0001_＀＀됹盈郾䃅찀ㅸ伌C义䍔䙞彅卅䥔䅍䕔✨偅䉓❇✬䕍乁Ⱗ䌧䱁❁✬〲㌱ⰧⰰⰬⰧ啃剒久奃唽䑓✬착!＀＀ ＀＀	＀＀_x0008_＀＀_x0001_＀＀_x0001_＀＀_x0001_＀＀_xDC4C_蠪亁䀅찀ㆃ伌B䑁幉䕆䕟呓䵉呁⡅䔧卐䝂Ⱗ䴧䅅❎✬䅃䅌Ⱗ㈧㄰✳〬Ⱜ✬䌬剕䕒䍎㵙单ⱄ⤧!＀＀ ＀＀	＀＀_x0008_＀＀_x0001_＀＀_x0001_＀＀_x0001_＀＀팽豋穥䀆찀ㆃ伌E呓ⵍ剆䙞彅卅䥔䅍䕔✨䅃䕐❘✬䕍乁Ⱗ䌧䱁❁✬〲㐱ⰧⰰⰬⰧ啃剒久奃唽䑓✬착!＀＀ ＀＀	＀＀_x0008_＀＀_x0001_＀＀_x0001_＀＀_x0001_＀＀＀＀＀＀䂄찀ㅵ伌C义䍔䙞彅卅䥔䅍䕔✨䅓䕌❓✬䕍乁Ⱗ䌧䱁❁✬〲㤰ⰧⰰⰬⰧ啃剒久奃唽䑓✬착!＀＀ ＀＀	＀＀_x0008_＀＀_x0001_＀＀_x0001_＀＀_x0001_＀＀＀＀＀＀⛠䃡찀ㅾ伌C噎䅄䙞彅卅䥔䅍䕔✨偅䉓❇✬䕍乁Ⱗ䌧䱁❁✬〲㜰ⰧⰰⰬⰧ啃剒久奃唽䑓✬착!＀＀ ＀＀	＀＀_x0008_＀＀_x0001_＀＀_x0001_＀＀_x0001_＀＀ꑲ〳㋲㿸찀ㅴ伌B剁䡍䙞彅卅䥔䅍䕔✨扥瑩Ⱗ䴧䅅❎✬䅃䅌Ⱗ㈧㄰✰〬Ⱜ✬䌬剕䕒䍎㵙单ⱄ⤧!＀＀ ＀＀	＀＀_x0008_＀＀_x0001_＀＀_x0001_＀＀_x0001_＀＀菥춞侪䁭찀ㅴ伌H剁䡍䙞彅卅䥔䅍䕔✨啃呓䵏䕟卐Ⱗ䴧䅅❎✬䅃䅌Ⱗ㈧〰✹〬Ⱜ✬䌬剕䕒䍎㵙单ⱄ⤧!＀＀ ＀＀	＀＀_x0008_＀＀_x0001_＀＀_x0001_＀＀_x0001_＀＀豀碵꼝쐕찀ㆀ伌B䑁幉䕆䕟呓䵉呁⡅匧䱁卅Ⱗ䴧䅅❎✬䅃䅌Ⱗ㈧㄰✳〬Ⱜ✬䌬剕䕒䍎㵙单ⱄ⤧!＀＀ ＀＀	＀＀_x0008_＀＀_x0001_＀＀_x0001_＀＀_x0001_＀＀酩糭錄䂧찀ㅶ伌K㐲㐵吭䥁䙞彅卅䥔䅍䕔✨义彃則协❓✬䕍乁Ⱗ䌧䱁❁✬〲㌱ⰧⰰⰬⰧ啃剒久奃唽䑓✬착!＀＀ ＀＀	＀＀_x0008_＀＀_x0001_＀＀_x0001_＀＀_x0001_＀＀뀡桲䠑䂛찀ㅻ伌G䍑䵏䙞彅卅䥔䅍䕔✨义彃則协❓✬䕍乁Ⱗ䌧䱁❁✬〲㘰ⰧⰰⰬⰧ啃剒久奃唽䑓✬착!＀＀ ＀＀	＀＀_x0008_＀＀_x0001_＀＀_x0001_＀＀_x0001_＀＀豀碵꼝쐕찀ㅷ伌C义䍔䙞彅卅䥔䅍䕔✨䅃䕐❘✬䕍乁Ⱗ䌧䱁❁✬〲㤰ⰧⰰⰬⰧ啃剒久奃唽䑓✬착!＀＀ ＀＀	＀＀_x0008_＀＀_x0001_＀＀_x0001_＀＀_x0001_＀＀＀＀＀＀ꌀ䂱찀ㆁ伌I呓ⵍ剆䙞彅卅䥔䅍䕔✨义彃則协❓✬䕍乁Ⱗ䌧䱁❁✬〲㌱ⰧⰰⰬⰧ啃剒久奃唽䑓✬착!＀＀ ＀＀	＀＀_x0008_＀＀_x0001_＀＀_x0001_＀＀_x0001_＀＀࠱Წ⃺䂰찀ㆃ伌@䑁幉䕆䕟呓䵉呁⡅䘧䙃Ⱗ䴧䅅❎✬䅃䅌Ⱗ㈧㄰✰〬Ⱜ✬䌬剕䕒䍎㵙单ⱄ⤧!＀＀ ＀＀	＀＀_x0008_＀＀_x0001_＀＀_x0001_＀＀_x0001_＀＀鵊⚀ɂ䂋찀ㆂ伌B䑁幉䕆䕟呓䵉呁⡅䌧偁塅Ⱗ䴧䅅❎✬䅃䅌Ⱗ㈧㄰✳〬Ⱜ✬䌬剕䕒䍎㵙单ⱄ⤧!＀＀ ＀＀	＀＀_x0008_＀＀_x0001_＀＀_x0001_＀＀_x0001_＀＀녜袞䁡찀ㅾ伌A䍑䵏䙞彅卅䥔䅍䕔✨䍆❆✬䕍乁Ⱗ䌧䱁❁✬〲ㄱⰧⰰⰬⰧ啃剒久奃唽䑓✬착!＀＀ ＀＀	＀＀_x0008_＀＀_x0001_＀＀_x0001_＀＀_x0001_＀＀⼛ⓝ䔆䂴찀ㅹ伌H义䍔䙞彅卅䥔䅍䕔✨啃呓䵏䕟卐Ⱗ䴧䅅❎✬䅃䅌Ⱗ㈧㄰✳〬Ⱜ✬䌬剕䕒䍎㵙单ⱄ⤧!＀＀ ＀＀	＀＀_x0008_＀＀_x0001_＀＀_x0001_＀＀_x0001_＀＀쯪仒䗍䀅찀ㅶ伌F㐲㐵吭䥁䙞彅卅䥔䅍䕔✨扥瑩Ⱗ䴧䅅❎✬䅃䅌Ⱗ㈧㄰✳〬Ⱜ✬䌬剕䕒䍎㵙单ⱄ⤧!＀＀ ＀＀	＀＀_x0008_＀＀_x0001_＀＀_x0001_＀＀_x0001_＀＀묰༧ﲋ䂄찀ㅹ伌L㐲㐵吭䥁䙞彅卅䥔䅍䕔✨啃呓䵏䕟卐Ⱗ䴧䅅❎✬䅃䅌Ⱗ㈧〰✹〬Ⱜ✬䌬剕䕒䍎㵙单ⱄ⤧!＀＀ ＀＀	＀＀_x0008_＀＀_x0001_＀＀_x0001_＀＀_x0001_＀＀豀碵꼝쐕찀ㅸ伌C义䍔䙞彅卅䥔䅍䕔✨偅䉓❇✬䕍乁Ⱗ䌧䱁❁✬〲〱ⰧⰰⰬⰧ啃剒久奃唽䑓✬착!＀＀ ＀＀	＀＀_x0008_＀＀_x0001_＀＀_x0001_＀＀_x0001_＀＀焍讬棛䀁찀ㅼ伌B噎䅄䙞彅卅䥔䅍䕔✨扥瑩Ⱗ䴧䅅❎✬䅃䅌Ⱗ㈧㄰✱〬Ⱜ✬䌬剕䕒䍎㵙单ⱄ⤧!＀＀ ＀＀	＀＀_x0008_＀＀_x0001_＀＀_x0001_＀＀_x0001_＀＀呡❒嶠䂆찀ㅵ伌C义䍔䙞彅卅䥔䅍䕔✨䅓䕌❓✬䕍乁Ⱗ䌧䱁❁✬〲〱ⰧⰰⰬⰧ啃剒久奃唽䑓✬착!＀＀ ＀＀	＀＀_x0008_＀＀_x0001_＀＀_x0001_＀＀_x0001_＀＀＀＀＀＀䳠䃥찀ㆀ伌B䑁幉䕆䕟呓䵉呁⡅匧䱁卅Ⱗ䴧䅅❎✬䅃䅌Ⱗ㈧㄰✰〬Ⱜ✬䌬剕䕒䍎㵙单ⱄ⤧!＀＀ ＀＀	＀＀_x0008_＀＀_x0001_＀＀_x0001_＀＀_x0001_＀＀譄䂥찀ㆀ伌_x001D_䑁幉彐牰捩彥楨桧㕟眲〨Ⱜ唬䑓착!＀＀ ＀＀	＀＀_x0008_＀＀_x0001_＀＀_x0001_＀＀_x0001_＀＀炤਽ꏗ䁅찀ㅴ伌H剁䡍䙞彅卅䥔䅍䕔✨啃呓䵏䕟卐Ⱗ䴧䅅❎✬䅃䅌Ⱗ㈧㄰✰〬Ⱜ✬䌬剕䕒䍎㵙单ⱄ⤧!＀＀ ＀＀	＀＀_x0008_＀＀_x0001_＀＀_x0001_＀＀_x0001_＀＀豀碵꼝쐕찀ㅿ伌H䍑䵏䙞彅卅䥔䅍䕔✨啃呓䵏䕟卐Ⱗ䴧䅅❎✬䅃䅌Ⱗ㈧㄰✲〬Ⱜ✬䌬剕䕒䍎㵙单ⱄ⤧!＀＀ ＀＀	＀＀_x0008_＀＀_x0001_＀＀_x0001_＀＀_x0001_＀＀쐢뎕虷䀊찀ㅷ伌C义䍔䙞彅卅䥔䅍䕔✨䅃䕐❘✬䕍乁Ⱗ䌧䱁❁✬〲〱ⰧⰰⰬⰧ啃剒久奃唽䑓✬착!＀＀ ＀＀	＀＀_x0008_＀＀_x0001_＀＀_x0001_＀＀_x0001_＀＀＀＀＀＀啀䂴찀ㅻ伌G䍑䵏䙞彅卅䥔䅍䕔✨义彃則协❓✬䕍乁Ⱗ䌧䱁❁✬〲㌱ⰧⰰⰬⰧ啃剒久奃唽䑓✬착!＀＀ ＀＀	＀＀_x0008_＀＀_x0001_＀＀_x0001_＀＀_x0001_＀＀鶲꟯╆䃋찀ㅶ伌F㐲㐵吭䥁䙞彅卅䥔䅍䕔✨扥瑩Ⱗ䴧䅅❎✬䅃䅌Ⱗ㈧㄰✰〬Ⱜ✬䌬剕䕒䍎㵙单ⱄ⤧!＀＀ ＀＀	＀＀_x0008_＀＀_x0001_＀＀_x0001_＀＀_x0001_＀＀ᚇ컙ꝷ䂐찀ㅴ伌G剁䡍䙞彅卅䥔䅍䕔✨义彃則协❓✬䕍乁Ⱗ䌧䱁❁✬〲㌱ⰧⰰⰬⰧ啃剒久奃唽䑓✬착!＀＀ ＀＀	＀＀_x0008_＀＀_x0001_＀＀_x0001_＀＀_x0001_＀＀䘋甥넂䂌찀ㅹ伌L㐲㐵吭䥁䙞彅卅䥔䅍䕔✨啃呓䵏䕟卐Ⱗ䴧䅅❎✬䅃䅌Ⱗ㈧〰✶〬Ⱜ✬䌬剕䕒䍎㵙单ⱄ⤧!＀＀ ＀＀	＀＀_x0008_＀＀_x0001_＀＀_x0001_＀＀_x0001_＀＀豀碵꼝쐕찀ㅴ伌A剁䡍䙞彅卅䥔䅍䕔✨䍆❆✬䕍乁Ⱗ䌧䱁❁✬〲㈱ⰧⰰⰬⰧ啃剒久奃唽䑓✬착!＀＀ ＀＀	＀＀_x0008_＀＀_x0001_＀＀_x0001_＀＀_x0001_＀＀㰶劽䁱찀ㆀ伌_x001D_剁䡍偞灟楲散江睯㕟眲〨Ⱜ唬䑓착!＀＀ ＀＀	＀＀_x0008_＀＀_x0001_＀＀_x0001_＀＀_x0001_＀＀馚香香䀵찀ㅾ伌A䍑䵏䙞彅卅䥔䅍䕔✨䍆❆✬䕍乁Ⱗ䌧䱁❁✬〲㐱ⰧⰰⰬⰧ啃剒久奃唽䑓✬착!＀＀ ＀＀	＀＀_x0008_＀＀_x0001_＀＀_x0001_＀＀_x0001_＀＀扎堐涹䂼찀ㆄ伌G䑁幉䕆䕟呓䵉呁⡅䌧单佔彍偅❓✬䕍乁Ⱗ䌧䱁❁✬〲㌱ⰧⰰⰬⰧ啃剒久奃唽䑓✬착!＀＀ ＀＀	＀＀_x0008_＀＀_x0001_＀＀_x0001_＀＀_x0001_＀＀歝可ࡕ䀆찀ㅺ伌G噎䅄䙞彅卅䥔䅍䕔✨义彃則协❓✬䕍乁Ⱗ䌧䱁❁✬〲㜰ⰧⰰⰬⰧ啃剒久奃唽䑓✬착!＀＀ ＀＀	＀＀_x0008_＀＀_x0001_＀＀_x0001_＀＀_x0001_＀＀豀碵꼝쐕찀ㅹ伌_x001D_噎䅄䙞彆䅃䡓卟⡔呑ⱒⰰⰬ唬䑓착ċ＀＀ ＀＀ó＀＀_x0008_＀＀_x0001_＀＀_x0001_＀＀_x0001_＀＀㽼碵䂥摦畳㩰⼯楄敲瑣潩獮䘯捡却瑥䄠摵瑩湩⁧楖睥牥愿瑣潩㵮啁䥄彔䅖啌♅䉄ㄽ㤲䤦ㅄ㘽〷㘶ㅇ☰䅖啌䥅㵄㈰〰☱䑓呁㵅〲ㄱ㌰倦剅佉呄偙㵅呑归呓♄䍓呆㌽眦湩潤㵷潰異彰潮扟牡眦摩桴㌽㔸栦楥桧㵴㈱☰呓剁彔䅍䥘䥍䕚㵄䅆卌♅牣慥潴㵲慦瑣敳♴楤灳慬役瑳楲杮䄽摵瑩찀ㆃ伌C呓ⵍ剆䙞彅卅䥔䅍䕔✨䍆❆✬䕍乁Ⱗ䌧䱁❁✬〲㘰ⰧⰰⰬⰧ啃剒久奃唽䑓✬착!＀＀ ＀＀	＀＀_x0008_＀＀_x0001_＀＀_x0001_＀＀_x0001_＀＀욧擋䂆찀ㆀ伌_x001D_呓ⵍ剆晞彧敤瑢瑟瑯污〨Ⱜ唬䑓착!＀＀ ＀＀	＀＀_x0008_＀＀_x0001_＀＀_x0001_＀＀_x0001_＀＀赐W됀䂚찀ㆀ伌_x0014_䱁剔䙞彇剐䍉⡅〴㐵⤴!＀＀ ＀＀	＀＀_x0008_＀＀_x0001_＀＀_x0001_＀＀_x0001_＀＀휊炣쨽䁁찀ㆀ伌_x001D_䍑䵏偞灟楲散江睯㕟眲〨Ⱜ唬䑓착!＀＀ ＀＀	＀＀_x0008_＀＀_x0001_＀＀_x0001_＀＀_x0001_＀＀ਾꏗﵰ䁆찀ㅸ伌G㐲㐵吭䥁䙞彅卅䥔䅍䕔✨偅䉓❇✬䕍乁Ⱗ䌧䱁❁✬〲㠰ⰧⰰⰬⰧ啃剒久奃唽䑓✬착!＀＀ ＀＀	＀＀_x0008_＀＀_x0001_＀＀_x0001_＀＀_x0001_＀＀꘺堸㿡찀ㅵ伌C义䍔䙞彅卅䥔䅍䕔✨䅓䕌❓✬䕍乁Ⱗ䌧䱁❁✬〲㌱ⰧⰰⰬⰧ啃剒久奃唽䑓✬착!＀＀ ＀＀	＀＀_x0008_＀＀_x0001_＀＀_x0001_＀＀_x0001_＀＀슐⣵_xFFFF_ﾼ䃬찀ㅴ伌H剁䡍䙞彅卅䥔䅍䕔✨啃呓䵏䕟卐Ⱗ䴧䅅❎✬䅃䅌Ⱗ㈧㄰✳〬Ⱜ✬䌬剕䕒䍎㵙单ⱄ⤧!＀＀ ＀＀	＀＀_x0008_＀＀_x0001_＀＀_x0001_＀＀_x0001_＀＀豀碵꼝쐕찀ㅿ伌H噎䅄䙞彅卅䥔䅍䕔✨啃呓䵏䕟卐Ⱗ䴧䅅❎✬䅃䅌Ⱗ㈧〰✸〬Ⱜ✬䌬剕䕒䍎㵙单ⱄ⤧!＀＀ ＀＀	＀＀_x0008_＀＀_x0001_＀＀_x0001_＀＀_x0001_＀＀腠痹죱㿕찀ㅹ伌C噎䅄䙞彅卅䥔䅍䕔✨䅓䕌❓✬䕍乁Ⱗ䌧䱁❁✬〲㜰ⰧⰰⰬⰧ啃剒久奃唽䑓✬착!＀＀ ＀＀	＀＀_x0008_＀＀_x0001_＀＀_x0001_＀＀_x0001_＀＀_xDB23_绹哪䂯찀ㅻ伌G䍑䵏䙞彅卅䥔䅍䕔✨义彃則协❓✬䕍乁Ⱗ䌧䱁❁✬〲〱ⰧⰰⰬⰧ啃剒久奃唽䑓✬착!＀＀ ＀＀	＀＀_x0008_＀＀_x0001_＀＀_x0001_＀＀_x0001_＀＀炤਽ⶇ䃀찀ㅴ伌G剁䡍䙞彅卅䥔䅍䕔✨义彃則协❓✬䕍乁Ⱗ䌧䱁❁✬〲〱ⰧⰰⰬⰧ啃剒久奃唽䑓✬착!＀＀ ＀＀	＀＀_x0008_＀＀_x0001_＀＀_x0001_＀＀_x0001_＀＀묰༧눋䂂찀ㅷ伌C义䍔䙞彅卅䥔䅍䕔✨䅃䕐❘✬䕍乁Ⱗ䌧䱁❁✬〲㌱ⰧⰰⰬⰧ啃剒久奃唽䑓✬착!＀＀ ＀＀	＀＀_x0008_＀＀_x0001_＀＀_x0001_＀＀_x0001_＀＀馚香_xFFFF_ﾹ䂿찀ㆄ伌G䑁幉䕆䕟呓䵉呁⡅䌧单佔彍偅❓✬䕍乁Ⱗ䌧䱁❁✬〲〱ⰧⰰⰬⰧ啃剒久奃唽䑓✬착!＀＀ ＀＀	＀＀_x0008_＀＀_x0001_＀＀_x0001_＀＀_x0001_＀＀蓹볬涍䀃찀ㅽ伌C噎䅄䙞彅卅䥔䅍䕔✨䅃䕐❘✬䕍乁Ⱗ䌧䱁❁✬〲㜰ⰧⰰⰬⰧ啃剒久奃唽䑓✬착!＀＀ ＀＀	＀＀_x0008_＀＀_x0001_＀＀_x0001_＀＀_x0001_＀＀╆ɵ劚䁥찀ㅴ伌_x001D_义䍔䙞彆䅃䡓卟⡔呑ⱒⰰⰬ唬䑓착ċ＀＀ ＀＀ó＀＀_x0008_＀＀_x0001_＀＀_x0001_＀＀_x0001_＀＀＀＀＀＀媀䃅摦畳㩰⼯楄敲瑣潩獮䘯捡却瑥䄠摵瑩湩⁧楖睥牥愿瑣潩㵮啁䥄彔䅖啌♅䉄ㄽ㤲䤦ㅄ㐽㠵㐱㄰☰䅖啌䥅㵄㈰〰☱䑓呁㵅〲ㄱ㌰倦剅佉呄偙㵅呑归呓♄䍓呆㌽眦湩潤㵷潰異彰潮扟牡眦摩桴㌽㔸栦楥桧㵴㈱☰呓剁彔䅍䥘䥍䕚㵄䅆卌♅牣慥潴㵲慦瑣敳♴楤灳慬役瑳楲杮䄽摵瑩찀ㅹ伌L㐲㐵吭䥁䙞彅卅䥔䅍䕔✨啃呓䵏䕟卐Ⱗ䴧䅅❎✬䅃䅌Ⱗ㈧㄰✳〬Ⱜ✬䌬剕䕒䍎㵙单ⱄ⤧!＀＀ ＀＀	＀＀_x0008_＀＀_x0001_＀＀_x0001_＀＀_x0001_＀＀豀碵꼝쐕찀ㆃ伌C呓ⵍ剆䙞彅卅䥔䅍䕔✨䍆❆✬䕍乁Ⱗ䌧䱁❁✬〲㤰ⰧⰰⰬⰧ啃剒久奃唽䑓✬착!＀＀ ＀＀	＀＀_x0008_＀＀_x0001_＀＀_x0001_＀＀_x0001_＀＀⹉⇿忽䁱찀ㅺ伌G噎䅄䙞彅卅䥔䅍䕔✨义彃則协❓✬䕍</t>
        </r>
      </text>
    </comment>
    <comment ref="B1" authorId="0">
      <text>
        <r>
          <rPr>
            <b/>
            <sz val="8"/>
            <color indexed="81"/>
            <rFont val="Tahoma"/>
            <family val="2"/>
          </rPr>
          <t>32879</t>
        </r>
      </text>
    </comment>
    <comment ref="A2" authorId="0">
      <text>
        <r>
          <rPr>
            <b/>
            <sz val="8"/>
            <color indexed="81"/>
            <rFont val="Tahoma"/>
            <family val="2"/>
          </rPr>
          <t>乁Ⱗ䌧䱁❁✬〲㐱ⰧⰰⰬⰧ啃剒久奃唽䑓✬착!＀＀ ＀＀	＀＀_x0008_＀＀_x0001_＀＀_x0001_＀＀_x0001_＀＀豀碵꼝쐕찀ㅶ伌G义䍔䙞彅卅䥔䅍䕔✨义彃則协❓✬䕍乁Ⱗ䌧䱁❁✬〲㠰ⰧⰰⰬⰧ啃剒久奃唽䑓✬착!＀＀ ＀＀	＀＀_x0008_＀＀_x0001_＀＀_x0001_＀＀_x0001_＀＀＀＀＀＀嬀䃔찀</t>
        </r>
      </text>
    </comment>
  </commentList>
</comments>
</file>

<file path=xl/comments2.xml><?xml version="1.0" encoding="utf-8"?>
<comments xmlns="http://schemas.openxmlformats.org/spreadsheetml/2006/main">
  <authors>
    <author>DJF</author>
    <author>Chang, Diana (Research)</author>
    <author>DJF 11/27/12</author>
    <author>Lim, Alvin (Research)</author>
    <author>josuev</author>
    <author>Gonzalez, Andres (Research)</author>
    <author>Jimenez, Jimena (Research)</author>
    <author>sergiol</author>
  </authors>
  <commentList>
    <comment ref="AH10" authorId="0">
      <text>
        <r>
          <rPr>
            <b/>
            <sz val="8"/>
            <color indexed="81"/>
            <rFont val="Tahoma"/>
            <family val="2"/>
          </rPr>
          <t>DJF:</t>
        </r>
        <r>
          <rPr>
            <sz val="8"/>
            <color indexed="81"/>
            <rFont val="Tahoma"/>
            <family val="2"/>
          </rPr>
          <t xml:space="preserve">
Up between 1% and 4% Q/Q</t>
        </r>
      </text>
    </comment>
    <comment ref="AI10" authorId="0">
      <text>
        <r>
          <rPr>
            <b/>
            <sz val="8"/>
            <color indexed="81"/>
            <rFont val="Tahoma"/>
            <family val="2"/>
          </rPr>
          <t>DJF:</t>
        </r>
        <r>
          <rPr>
            <sz val="8"/>
            <color indexed="81"/>
            <rFont val="Tahoma"/>
            <family val="2"/>
          </rPr>
          <t xml:space="preserve">
$685M - 715M guidance</t>
        </r>
      </text>
    </comment>
    <comment ref="AJ10" authorId="0">
      <text>
        <r>
          <rPr>
            <b/>
            <sz val="8"/>
            <color indexed="81"/>
            <rFont val="Tahoma"/>
            <family val="2"/>
          </rPr>
          <t>DJF:</t>
        </r>
        <r>
          <rPr>
            <sz val="8"/>
            <color indexed="81"/>
            <rFont val="Tahoma"/>
            <family val="2"/>
          </rPr>
          <t xml:space="preserve">
Down 6-12%</t>
        </r>
      </text>
    </comment>
    <comment ref="AK10" authorId="0">
      <text>
        <r>
          <rPr>
            <b/>
            <sz val="8"/>
            <color indexed="81"/>
            <rFont val="Tahoma"/>
            <family val="2"/>
          </rPr>
          <t>DJF:</t>
        </r>
        <r>
          <rPr>
            <sz val="8"/>
            <color indexed="81"/>
            <rFont val="Tahoma"/>
            <family val="2"/>
          </rPr>
          <t xml:space="preserve">
Guidance: up 4-8% Q/Q</t>
        </r>
      </text>
    </comment>
    <comment ref="AL10" authorId="0">
      <text>
        <r>
          <rPr>
            <b/>
            <sz val="8"/>
            <color indexed="81"/>
            <rFont val="Tahoma"/>
            <family val="2"/>
          </rPr>
          <t>DJF:</t>
        </r>
        <r>
          <rPr>
            <sz val="8"/>
            <color indexed="81"/>
            <rFont val="Tahoma"/>
            <family val="2"/>
          </rPr>
          <t xml:space="preserve">
Guide: $655 - $685mn</t>
        </r>
      </text>
    </comment>
    <comment ref="BA19" authorId="1">
      <text>
        <r>
          <rPr>
            <b/>
            <sz val="9"/>
            <color indexed="81"/>
            <rFont val="Tahoma"/>
            <family val="2"/>
          </rPr>
          <t>Chang, Diana (Research):</t>
        </r>
        <r>
          <rPr>
            <sz val="9"/>
            <color indexed="81"/>
            <rFont val="Tahoma"/>
            <family val="2"/>
          </rPr>
          <t xml:space="preserve">
purchase accounting adjustment for Linear's North America distributor deferred revenue where revenue is recognized on a sell-through basis, and represents ADI's current best view of Linear's business performance through the end of ADI's second fiscal quarter of 2017.
G: $30mn in 2Q, $20-25mn in 3Q, then no impact going forward</t>
        </r>
      </text>
    </comment>
    <comment ref="AG32" authorId="0">
      <text>
        <r>
          <rPr>
            <b/>
            <sz val="8"/>
            <color indexed="81"/>
            <rFont val="Tahoma"/>
            <family val="2"/>
          </rPr>
          <t>DJF:</t>
        </r>
        <r>
          <rPr>
            <sz val="8"/>
            <color indexed="81"/>
            <rFont val="Tahoma"/>
            <family val="2"/>
          </rPr>
          <t xml:space="preserve">
Up Q/Q driven by a favorable mix of high margin Industrial and Communications Infrastructure and increased factory utilization</t>
        </r>
      </text>
    </comment>
    <comment ref="AH32" authorId="0">
      <text>
        <r>
          <rPr>
            <b/>
            <sz val="8"/>
            <color indexed="81"/>
            <rFont val="Tahoma"/>
            <family val="2"/>
          </rPr>
          <t>DJF:</t>
        </r>
        <r>
          <rPr>
            <sz val="8"/>
            <color indexed="81"/>
            <rFont val="Tahoma"/>
            <family val="2"/>
          </rPr>
          <t xml:space="preserve">
Guidance up 50bps sequentially</t>
        </r>
      </text>
    </comment>
    <comment ref="AI32" authorId="0">
      <text>
        <r>
          <rPr>
            <b/>
            <sz val="8"/>
            <color indexed="81"/>
            <rFont val="Tahoma"/>
            <family val="2"/>
          </rPr>
          <t>DJF:</t>
        </r>
        <r>
          <rPr>
            <sz val="8"/>
            <color indexed="81"/>
            <rFont val="Tahoma"/>
            <family val="2"/>
          </rPr>
          <t xml:space="preserve">
65% guidance</t>
        </r>
      </text>
    </comment>
    <comment ref="AJ32" authorId="0">
      <text>
        <r>
          <rPr>
            <b/>
            <sz val="8"/>
            <color indexed="81"/>
            <rFont val="Tahoma"/>
            <family val="2"/>
          </rPr>
          <t>DJF:</t>
        </r>
        <r>
          <rPr>
            <sz val="8"/>
            <color indexed="81"/>
            <rFont val="Tahoma"/>
            <family val="2"/>
          </rPr>
          <t xml:space="preserve">
Guidance: 62%</t>
        </r>
      </text>
    </comment>
    <comment ref="AK32" authorId="0">
      <text>
        <r>
          <rPr>
            <b/>
            <sz val="8"/>
            <color indexed="81"/>
            <rFont val="Tahoma"/>
            <family val="2"/>
          </rPr>
          <t>DJF:</t>
        </r>
        <r>
          <rPr>
            <sz val="8"/>
            <color indexed="81"/>
            <rFont val="Tahoma"/>
            <family val="2"/>
          </rPr>
          <t xml:space="preserve">
Guidance: 64% </t>
        </r>
      </text>
    </comment>
    <comment ref="AL32" authorId="0">
      <text>
        <r>
          <rPr>
            <b/>
            <sz val="8"/>
            <color indexed="81"/>
            <rFont val="Tahoma"/>
            <family val="2"/>
          </rPr>
          <t>DJF:</t>
        </r>
        <r>
          <rPr>
            <sz val="8"/>
            <color indexed="81"/>
            <rFont val="Tahoma"/>
            <family val="2"/>
          </rPr>
          <t xml:space="preserve">
Guidance: 64.5%</t>
        </r>
      </text>
    </comment>
    <comment ref="AI37" authorId="0">
      <text>
        <r>
          <rPr>
            <b/>
            <sz val="8"/>
            <color indexed="81"/>
            <rFont val="Tahoma"/>
            <family val="2"/>
          </rPr>
          <t>DJF:</t>
        </r>
        <r>
          <rPr>
            <sz val="8"/>
            <color indexed="81"/>
            <rFont val="Tahoma"/>
            <family val="2"/>
          </rPr>
          <t xml:space="preserve">
Opex flat Q/Q</t>
        </r>
      </text>
    </comment>
    <comment ref="AJ37" authorId="0">
      <text>
        <r>
          <rPr>
            <b/>
            <sz val="8"/>
            <color indexed="81"/>
            <rFont val="Tahoma"/>
            <family val="2"/>
          </rPr>
          <t>DJF:</t>
        </r>
        <r>
          <rPr>
            <sz val="8"/>
            <color indexed="81"/>
            <rFont val="Tahoma"/>
            <family val="2"/>
          </rPr>
          <t xml:space="preserve">
$223mn operating expenses</t>
        </r>
      </text>
    </comment>
    <comment ref="AK37" authorId="0">
      <text>
        <r>
          <rPr>
            <b/>
            <sz val="8"/>
            <color indexed="81"/>
            <rFont val="Tahoma"/>
            <family val="2"/>
          </rPr>
          <t>DJF:</t>
        </r>
        <r>
          <rPr>
            <sz val="8"/>
            <color indexed="81"/>
            <rFont val="Tahoma"/>
            <family val="2"/>
          </rPr>
          <t xml:space="preserve">
Opex guidance: $224mn</t>
        </r>
      </text>
    </comment>
    <comment ref="BY37" authorId="2">
      <text>
        <r>
          <rPr>
            <b/>
            <sz val="8"/>
            <color indexed="81"/>
            <rFont val="Tahoma"/>
            <family val="2"/>
          </rPr>
          <t>DJF 11/27/12:</t>
        </r>
        <r>
          <rPr>
            <sz val="8"/>
            <color indexed="81"/>
            <rFont val="Tahoma"/>
            <family val="2"/>
          </rPr>
          <t xml:space="preserve">
Opex should grow (slowly) as business recovers.  ADI managing to environment.
LT, want opex to be 31-32% of revs.</t>
        </r>
      </text>
    </comment>
    <comment ref="AI46" authorId="0">
      <text>
        <r>
          <rPr>
            <b/>
            <sz val="8"/>
            <color indexed="81"/>
            <rFont val="Tahoma"/>
            <family val="2"/>
          </rPr>
          <t>DJF:</t>
        </r>
        <r>
          <rPr>
            <sz val="8"/>
            <color indexed="81"/>
            <rFont val="Tahoma"/>
            <family val="2"/>
          </rPr>
          <t xml:space="preserve">
Opex flat Q/Q</t>
        </r>
      </text>
    </comment>
    <comment ref="AK46" authorId="0">
      <text>
        <r>
          <rPr>
            <b/>
            <sz val="8"/>
            <color indexed="81"/>
            <rFont val="Tahoma"/>
            <family val="2"/>
          </rPr>
          <t>DJF:</t>
        </r>
        <r>
          <rPr>
            <sz val="8"/>
            <color indexed="81"/>
            <rFont val="Tahoma"/>
            <family val="2"/>
          </rPr>
          <t xml:space="preserve">
Opex guidance: $224mn</t>
        </r>
      </text>
    </comment>
    <comment ref="AK51" authorId="0">
      <text>
        <r>
          <rPr>
            <b/>
            <sz val="8"/>
            <color indexed="81"/>
            <rFont val="Tahoma"/>
            <family val="2"/>
          </rPr>
          <t>DJF:</t>
        </r>
        <r>
          <rPr>
            <sz val="8"/>
            <color indexed="81"/>
            <rFont val="Tahoma"/>
            <family val="2"/>
          </rPr>
          <t xml:space="preserve">
Fishman 1-time SBC</t>
        </r>
      </text>
    </comment>
    <comment ref="AG63" authorId="0">
      <text>
        <r>
          <rPr>
            <b/>
            <sz val="8"/>
            <color indexed="81"/>
            <rFont val="Tahoma"/>
            <family val="2"/>
          </rPr>
          <t>DJF:</t>
        </r>
        <r>
          <rPr>
            <sz val="8"/>
            <color indexed="81"/>
            <rFont val="Tahoma"/>
            <family val="2"/>
          </rPr>
          <t xml:space="preserve">
Opex up slightly due to annaul salary increases that went into effect in April and slightly higher variable compensation.
Q/Q Headcount was flat</t>
        </r>
      </text>
    </comment>
    <comment ref="AH63" authorId="0">
      <text>
        <r>
          <rPr>
            <b/>
            <sz val="8"/>
            <color indexed="81"/>
            <rFont val="Tahoma"/>
            <family val="2"/>
          </rPr>
          <t>DJF:</t>
        </r>
        <r>
          <rPr>
            <sz val="8"/>
            <color indexed="81"/>
            <rFont val="Tahoma"/>
            <family val="2"/>
          </rPr>
          <t xml:space="preserve">
$231M guidance</t>
        </r>
      </text>
    </comment>
    <comment ref="AL63" authorId="0">
      <text>
        <r>
          <rPr>
            <b/>
            <sz val="8"/>
            <color indexed="81"/>
            <rFont val="Tahoma"/>
            <family val="2"/>
          </rPr>
          <t>DJF:</t>
        </r>
        <r>
          <rPr>
            <sz val="8"/>
            <color indexed="81"/>
            <rFont val="Tahoma"/>
            <family val="2"/>
          </rPr>
          <t xml:space="preserve">
Guidance: $226mn</t>
        </r>
      </text>
    </comment>
    <comment ref="AV63" authorId="3">
      <text>
        <r>
          <rPr>
            <b/>
            <sz val="9"/>
            <color indexed="81"/>
            <rFont val="Tahoma"/>
            <family val="2"/>
          </rPr>
          <t>Lim, Alvin (Research):</t>
        </r>
        <r>
          <rPr>
            <sz val="9"/>
            <color indexed="81"/>
            <rFont val="Tahoma"/>
            <family val="2"/>
          </rPr>
          <t xml:space="preserve">
G: 294.5mn</t>
        </r>
      </text>
    </comment>
    <comment ref="BB64" authorId="1">
      <text>
        <r>
          <rPr>
            <b/>
            <sz val="9"/>
            <color indexed="81"/>
            <rFont val="Tahoma"/>
            <family val="2"/>
          </rPr>
          <t>Chang, Diana (Research):</t>
        </r>
        <r>
          <rPr>
            <sz val="9"/>
            <color indexed="81"/>
            <rFont val="Tahoma"/>
            <family val="2"/>
          </rPr>
          <t xml:space="preserve">
430-440mn range</t>
        </r>
      </text>
    </comment>
    <comment ref="BA65" authorId="1">
      <text>
        <r>
          <rPr>
            <b/>
            <sz val="9"/>
            <color indexed="81"/>
            <rFont val="Tahoma"/>
            <family val="2"/>
          </rPr>
          <t>Chang, Diana (Research):</t>
        </r>
        <r>
          <rPr>
            <sz val="9"/>
            <color indexed="81"/>
            <rFont val="Tahoma"/>
            <family val="2"/>
          </rPr>
          <t xml:space="preserve">
non GAAP opex -3% to +1% q/q</t>
        </r>
      </text>
    </comment>
    <comment ref="AV73" authorId="3">
      <text>
        <r>
          <rPr>
            <b/>
            <sz val="9"/>
            <color indexed="81"/>
            <rFont val="Tahoma"/>
            <family val="2"/>
          </rPr>
          <t>Lim, Alvin (Research):</t>
        </r>
        <r>
          <rPr>
            <sz val="9"/>
            <color indexed="81"/>
            <rFont val="Tahoma"/>
            <family val="2"/>
          </rPr>
          <t xml:space="preserve">
G: $5mn</t>
        </r>
      </text>
    </comment>
    <comment ref="AY73" authorId="1">
      <text>
        <r>
          <rPr>
            <b/>
            <sz val="9"/>
            <color indexed="81"/>
            <rFont val="Tahoma"/>
            <family val="2"/>
          </rPr>
          <t>Chang, Diana (Research):</t>
        </r>
        <r>
          <rPr>
            <sz val="9"/>
            <color indexed="81"/>
            <rFont val="Tahoma"/>
            <family val="2"/>
          </rPr>
          <t xml:space="preserve">
“In total, the Company now expects non-GAAP interest and other expense to be approximately $30 to $35 million per fiscal quarter until the closing of the proposed acquisition of Linear Technology Corporation”</t>
        </r>
      </text>
    </comment>
    <comment ref="BA75" authorId="1">
      <text>
        <r>
          <rPr>
            <b/>
            <sz val="9"/>
            <color indexed="81"/>
            <rFont val="Tahoma"/>
            <family val="2"/>
          </rPr>
          <t>Chang, Diana (Research):</t>
        </r>
        <r>
          <rPr>
            <sz val="9"/>
            <color indexed="81"/>
            <rFont val="Tahoma"/>
            <family val="2"/>
          </rPr>
          <t xml:space="preserve">
ADI also expects its non-GAAP interest and other interest expense to be approximately $60 million in the second quarter of fiscal 2017, approximately $70 million in the third quarter of fiscal 2017, and approximately $60 million per quarter thereafter.</t>
        </r>
      </text>
    </comment>
    <comment ref="AK86" authorId="0">
      <text>
        <r>
          <rPr>
            <b/>
            <sz val="8"/>
            <color indexed="81"/>
            <rFont val="Tahoma"/>
            <family val="2"/>
          </rPr>
          <t>DJF:</t>
        </r>
        <r>
          <rPr>
            <sz val="8"/>
            <color indexed="81"/>
            <rFont val="Tahoma"/>
            <family val="2"/>
          </rPr>
          <t xml:space="preserve">
F4Q call: 18% guidance for each Q</t>
        </r>
      </text>
    </comment>
    <comment ref="AL86" authorId="0">
      <text>
        <r>
          <rPr>
            <b/>
            <sz val="8"/>
            <color indexed="81"/>
            <rFont val="Tahoma"/>
            <family val="2"/>
          </rPr>
          <t xml:space="preserve">DJF:
</t>
        </r>
        <r>
          <rPr>
            <sz val="8"/>
            <color indexed="81"/>
            <rFont val="Tahoma"/>
            <family val="2"/>
          </rPr>
          <t>16.5% guidance</t>
        </r>
        <r>
          <rPr>
            <b/>
            <sz val="8"/>
            <color indexed="81"/>
            <rFont val="Tahoma"/>
            <family val="2"/>
          </rPr>
          <t xml:space="preserve">
DJF:</t>
        </r>
        <r>
          <rPr>
            <sz val="8"/>
            <color indexed="81"/>
            <rFont val="Tahoma"/>
            <family val="2"/>
          </rPr>
          <t xml:space="preserve">
F4Q call: 18% guidance for each Q</t>
        </r>
      </text>
    </comment>
    <comment ref="AM86" authorId="0">
      <text>
        <r>
          <rPr>
            <b/>
            <sz val="8"/>
            <color indexed="81"/>
            <rFont val="Tahoma"/>
            <family val="2"/>
          </rPr>
          <t>DJF:</t>
        </r>
        <r>
          <rPr>
            <sz val="8"/>
            <color indexed="81"/>
            <rFont val="Tahoma"/>
            <family val="2"/>
          </rPr>
          <t xml:space="preserve">
F4Q call: 18% guidance for each Q</t>
        </r>
      </text>
    </comment>
    <comment ref="BY86" authorId="0">
      <text>
        <r>
          <rPr>
            <b/>
            <sz val="8"/>
            <color indexed="81"/>
            <rFont val="Tahoma"/>
            <family val="2"/>
          </rPr>
          <t>DJF:</t>
        </r>
        <r>
          <rPr>
            <sz val="8"/>
            <color indexed="81"/>
            <rFont val="Tahoma"/>
            <family val="2"/>
          </rPr>
          <t xml:space="preserve">
22% range per F2Q earnings call</t>
        </r>
      </text>
    </comment>
    <comment ref="AJ88" authorId="4">
      <text>
        <r>
          <rPr>
            <sz val="8"/>
            <color indexed="81"/>
            <rFont val="Tahoma"/>
            <family val="2"/>
          </rPr>
          <t>Estimated to consider the impact of the Reinstatement of the R&amp;D Tax Credit of $0.02 in EPS</t>
        </r>
      </text>
    </comment>
    <comment ref="AP88" authorId="5">
      <text>
        <r>
          <rPr>
            <sz val="9"/>
            <color indexed="81"/>
            <rFont val="Tahoma"/>
            <family val="2"/>
          </rPr>
          <t>Estimating non Gaap tax impact in order to match non Gaap EPS</t>
        </r>
      </text>
    </comment>
    <comment ref="AQ88" authorId="5">
      <text>
        <r>
          <rPr>
            <sz val="9"/>
            <color indexed="81"/>
            <rFont val="Tahoma"/>
            <family val="2"/>
          </rPr>
          <t>Estimating non Gaap tax impact in order to match non Gaap EPS</t>
        </r>
      </text>
    </comment>
    <comment ref="AS88" authorId="5">
      <text>
        <r>
          <rPr>
            <sz val="9"/>
            <color indexed="81"/>
            <rFont val="Tahoma"/>
            <family val="2"/>
          </rPr>
          <t>Estimating non Gaap tax impact in order to match non Gaap EPS</t>
        </r>
      </text>
    </comment>
    <comment ref="AT88" authorId="5">
      <text>
        <r>
          <rPr>
            <sz val="9"/>
            <color indexed="81"/>
            <rFont val="Tahoma"/>
            <family val="2"/>
          </rPr>
          <t>Estimating non Gaap tax impact in order to match non Gaap EPS</t>
        </r>
      </text>
    </comment>
    <comment ref="AU88" authorId="5">
      <text>
        <r>
          <rPr>
            <sz val="9"/>
            <color indexed="81"/>
            <rFont val="Tahoma"/>
            <family val="2"/>
          </rPr>
          <t>Estimating non Gaap tax impact in order to match non Gaap EPS</t>
        </r>
      </text>
    </comment>
    <comment ref="AV88" authorId="5">
      <text>
        <r>
          <rPr>
            <sz val="9"/>
            <color indexed="81"/>
            <rFont val="Tahoma"/>
            <family val="2"/>
          </rPr>
          <t>Estimating non Gaap tax impact in order to match non Gaap EPS</t>
        </r>
      </text>
    </comment>
    <comment ref="BC88" authorId="6">
      <text>
        <r>
          <rPr>
            <sz val="9"/>
            <color indexed="81"/>
            <rFont val="Tahoma"/>
            <family val="2"/>
          </rPr>
          <t xml:space="preserve">Estimating non Gaap tax impact in order to match non Gaap EPS
</t>
        </r>
      </text>
    </comment>
    <comment ref="AN89" authorId="7">
      <text>
        <r>
          <rPr>
            <sz val="8"/>
            <color indexed="81"/>
            <rFont val="Tahoma"/>
            <family val="2"/>
          </rPr>
          <t>Used 14% to match reconciliation for Non GAAP EPS</t>
        </r>
      </text>
    </comment>
    <comment ref="AO89" authorId="7">
      <text>
        <r>
          <rPr>
            <sz val="8"/>
            <color indexed="81"/>
            <rFont val="Tahoma"/>
            <family val="2"/>
          </rPr>
          <t>Used 14% to match reconciliation for Non GAAP EPS</t>
        </r>
      </text>
    </comment>
    <comment ref="AH107" authorId="0">
      <text>
        <r>
          <rPr>
            <b/>
            <sz val="8"/>
            <color indexed="81"/>
            <rFont val="Tahoma"/>
            <family val="2"/>
          </rPr>
          <t>DJF:</t>
        </r>
        <r>
          <rPr>
            <sz val="8"/>
            <color indexed="81"/>
            <rFont val="Tahoma"/>
            <family val="2"/>
          </rPr>
          <t xml:space="preserve">
Guidance of $0.54 - 0.58</t>
        </r>
      </text>
    </comment>
    <comment ref="AI107" authorId="0">
      <text>
        <r>
          <rPr>
            <b/>
            <sz val="8"/>
            <color indexed="81"/>
            <rFont val="Tahoma"/>
            <family val="2"/>
          </rPr>
          <t>DJF:</t>
        </r>
        <r>
          <rPr>
            <sz val="8"/>
            <color indexed="81"/>
            <rFont val="Tahoma"/>
            <family val="2"/>
          </rPr>
          <t xml:space="preserve">
$0.54 - $0.60 guidance</t>
        </r>
      </text>
    </comment>
    <comment ref="AJ107" authorId="0">
      <text>
        <r>
          <rPr>
            <b/>
            <sz val="8"/>
            <color indexed="81"/>
            <rFont val="Tahoma"/>
            <family val="2"/>
          </rPr>
          <t>DJF:</t>
        </r>
        <r>
          <rPr>
            <sz val="8"/>
            <color indexed="81"/>
            <rFont val="Tahoma"/>
            <family val="2"/>
          </rPr>
          <t xml:space="preserve">
$0.40-0.48 guidance</t>
        </r>
      </text>
    </comment>
    <comment ref="AK109" authorId="0">
      <text>
        <r>
          <rPr>
            <b/>
            <sz val="8"/>
            <color indexed="81"/>
            <rFont val="Tahoma"/>
            <family val="2"/>
          </rPr>
          <t>DJF:</t>
        </r>
        <r>
          <rPr>
            <sz val="8"/>
            <color indexed="81"/>
            <rFont val="Tahoma"/>
            <family val="2"/>
          </rPr>
          <t xml:space="preserve">
Guidance: $0.49 - $0.55</t>
        </r>
      </text>
    </comment>
    <comment ref="AL109" authorId="0">
      <text>
        <r>
          <rPr>
            <b/>
            <sz val="8"/>
            <color indexed="81"/>
            <rFont val="Tahoma"/>
            <family val="2"/>
          </rPr>
          <t>DJF:</t>
        </r>
        <r>
          <rPr>
            <sz val="8"/>
            <color indexed="81"/>
            <rFont val="Tahoma"/>
            <family val="2"/>
          </rPr>
          <t xml:space="preserve">
$0.51 - $0.56 guidance</t>
        </r>
      </text>
    </comment>
    <comment ref="AK158" authorId="0">
      <text>
        <r>
          <rPr>
            <b/>
            <sz val="8"/>
            <color indexed="81"/>
            <rFont val="Tahoma"/>
            <family val="2"/>
          </rPr>
          <t>DJF:</t>
        </r>
        <r>
          <rPr>
            <sz val="8"/>
            <color indexed="81"/>
            <rFont val="Tahoma"/>
            <family val="2"/>
          </rPr>
          <t xml:space="preserve">
6.3mn related to Fishman death benefits</t>
        </r>
      </text>
    </comment>
  </commentList>
</comments>
</file>

<file path=xl/comments3.xml><?xml version="1.0" encoding="utf-8"?>
<comments xmlns="http://schemas.openxmlformats.org/spreadsheetml/2006/main">
  <authors>
    <author>alpizar</author>
    <author>josuev</author>
    <author>DJF</author>
    <author>DJF 6/18/12</author>
  </authors>
  <commentList>
    <comment ref="S16" authorId="0">
      <text>
        <r>
          <rPr>
            <sz val="8"/>
            <color indexed="81"/>
            <rFont val="Tahoma"/>
            <family val="2"/>
          </rPr>
          <t>Deferred compensation plan investments, Prepaid expenses and other current assets, Current assets of discontinued operations</t>
        </r>
      </text>
    </comment>
    <comment ref="W16" authorId="0">
      <text>
        <r>
          <rPr>
            <sz val="8"/>
            <color indexed="81"/>
            <rFont val="Tahoma"/>
            <family val="2"/>
          </rPr>
          <t>Other assets, Non-current assets of discontinued operations</t>
        </r>
      </text>
    </comment>
    <comment ref="Y16" authorId="1">
      <text>
        <r>
          <rPr>
            <sz val="8"/>
            <color indexed="81"/>
            <rFont val="Tahoma"/>
            <family val="2"/>
          </rPr>
          <t>Includes Deferred compensation plan investments</t>
        </r>
      </text>
    </comment>
    <comment ref="W26" authorId="0">
      <text>
        <r>
          <rPr>
            <sz val="8"/>
            <color indexed="81"/>
            <rFont val="Tahoma"/>
            <family val="2"/>
          </rPr>
          <t>Other assets, Non-current assets of discontinued operations</t>
        </r>
      </text>
    </comment>
    <comment ref="Y34" authorId="1">
      <text>
        <r>
          <rPr>
            <sz val="8"/>
            <color indexed="81"/>
            <rFont val="Tahoma"/>
            <family val="2"/>
          </rPr>
          <t>Deferred compensation plan liability</t>
        </r>
      </text>
    </comment>
    <comment ref="V36" authorId="0">
      <text>
        <r>
          <rPr>
            <sz val="8"/>
            <color indexed="81"/>
            <rFont val="Tahoma"/>
            <family val="2"/>
          </rPr>
          <t>Current liabilities of discontinued operations</t>
        </r>
      </text>
    </comment>
    <comment ref="AG86" authorId="2">
      <text>
        <r>
          <rPr>
            <b/>
            <sz val="8"/>
            <color indexed="81"/>
            <rFont val="Tahoma"/>
            <family val="2"/>
          </rPr>
          <t>DJF:</t>
        </r>
        <r>
          <rPr>
            <sz val="8"/>
            <color indexed="81"/>
            <rFont val="Tahoma"/>
            <family val="2"/>
          </rPr>
          <t xml:space="preserve">
Per CC, $1.1bn available domestically</t>
        </r>
      </text>
    </comment>
    <comment ref="B103" authorId="3">
      <text>
        <r>
          <rPr>
            <b/>
            <sz val="8"/>
            <color indexed="81"/>
            <rFont val="Tahoma"/>
            <family val="2"/>
          </rPr>
          <t>DJF 6/18/12:</t>
        </r>
        <r>
          <rPr>
            <sz val="8"/>
            <color indexed="81"/>
            <rFont val="Tahoma"/>
            <family val="2"/>
          </rPr>
          <t xml:space="preserve">
Unsecured.  Matures May 2013.  ADI has not yet borrowed under this facility.  Check interest rate.</t>
        </r>
      </text>
    </comment>
    <comment ref="B104" authorId="3">
      <text>
        <r>
          <rPr>
            <b/>
            <sz val="8"/>
            <color indexed="81"/>
            <rFont val="Tahoma"/>
            <family val="2"/>
          </rPr>
          <t>DJF 6/18/12:</t>
        </r>
        <r>
          <rPr>
            <sz val="8"/>
            <color indexed="81"/>
            <rFont val="Tahoma"/>
            <family val="2"/>
          </rPr>
          <t xml:space="preserve">
Entered into agreement in December 2010.  Facility matures in December 2013.  $3.6mm of quarterly amortization until maturity.
Interest Rate: LIBOR +1.25%</t>
        </r>
      </text>
    </comment>
    <comment ref="AN104" authorId="3">
      <text>
        <r>
          <rPr>
            <b/>
            <sz val="8"/>
            <color indexed="81"/>
            <rFont val="Tahoma"/>
            <family val="2"/>
          </rPr>
          <t>DJF 6/18/12:</t>
        </r>
        <r>
          <rPr>
            <sz val="8"/>
            <color indexed="81"/>
            <rFont val="Tahoma"/>
            <family val="2"/>
          </rPr>
          <t xml:space="preserve">
Matures December 2013.</t>
        </r>
      </text>
    </comment>
    <comment ref="B115" authorId="3">
      <text>
        <r>
          <rPr>
            <b/>
            <sz val="8"/>
            <color indexed="81"/>
            <rFont val="Tahoma"/>
            <family val="2"/>
          </rPr>
          <t>DJF 6/18/12:</t>
        </r>
        <r>
          <rPr>
            <sz val="8"/>
            <color indexed="81"/>
            <rFont val="Tahoma"/>
            <family val="2"/>
          </rPr>
          <t xml:space="preserve">
Unsecured.  Matures May 2013.  ADI has not yet borrowed under this facility.  Check interest rate.</t>
        </r>
      </text>
    </comment>
    <comment ref="B116" authorId="3">
      <text>
        <r>
          <rPr>
            <b/>
            <sz val="8"/>
            <color indexed="81"/>
            <rFont val="Tahoma"/>
            <family val="2"/>
          </rPr>
          <t>DJF 6/18/12:</t>
        </r>
        <r>
          <rPr>
            <sz val="8"/>
            <color indexed="81"/>
            <rFont val="Tahoma"/>
            <family val="2"/>
          </rPr>
          <t xml:space="preserve">
Entered into agreement in December 2012.  Facility matures in December 2013.  $3.6mm of quarterly amortization until maturity.
Interest Rate: LIBOR +1.25%</t>
        </r>
      </text>
    </comment>
    <comment ref="AC116" authorId="3">
      <text>
        <r>
          <rPr>
            <b/>
            <sz val="8"/>
            <color indexed="81"/>
            <rFont val="Tahoma"/>
            <family val="2"/>
          </rPr>
          <t>DJF 6/18/12:</t>
        </r>
        <r>
          <rPr>
            <sz val="8"/>
            <color indexed="81"/>
            <rFont val="Tahoma"/>
            <family val="2"/>
          </rPr>
          <t xml:space="preserve">
3.6M of quarterly amortization.</t>
        </r>
      </text>
    </comment>
    <comment ref="AD116" authorId="2">
      <text>
        <r>
          <rPr>
            <b/>
            <sz val="8"/>
            <color indexed="81"/>
            <rFont val="Tahoma"/>
            <family val="2"/>
          </rPr>
          <t>DJF:</t>
        </r>
        <r>
          <rPr>
            <sz val="8"/>
            <color indexed="81"/>
            <rFont val="Tahoma"/>
            <family val="2"/>
          </rPr>
          <t xml:space="preserve">
additional 17.6mn payment</t>
        </r>
      </text>
    </comment>
    <comment ref="AE116" authorId="2">
      <text>
        <r>
          <rPr>
            <b/>
            <sz val="8"/>
            <color indexed="81"/>
            <rFont val="Tahoma"/>
            <family val="2"/>
          </rPr>
          <t>DJF:</t>
        </r>
        <r>
          <rPr>
            <sz val="8"/>
            <color indexed="81"/>
            <rFont val="Tahoma"/>
            <family val="2"/>
          </rPr>
          <t xml:space="preserve">
additional 12mn payment</t>
        </r>
      </text>
    </comment>
    <comment ref="B122" authorId="3">
      <text>
        <r>
          <rPr>
            <b/>
            <sz val="8"/>
            <color indexed="81"/>
            <rFont val="Tahoma"/>
            <family val="2"/>
          </rPr>
          <t>DJF 6/18/12:</t>
        </r>
        <r>
          <rPr>
            <sz val="8"/>
            <color indexed="81"/>
            <rFont val="Tahoma"/>
            <family val="2"/>
          </rPr>
          <t xml:space="preserve">
Swapped with 5% notes.</t>
        </r>
      </text>
    </comment>
    <comment ref="AE128" authorId="3">
      <text>
        <r>
          <rPr>
            <b/>
            <sz val="8"/>
            <color indexed="81"/>
            <rFont val="Tahoma"/>
            <family val="2"/>
          </rPr>
          <t>DJF 6/18/12:</t>
        </r>
        <r>
          <rPr>
            <sz val="8"/>
            <color indexed="81"/>
            <rFont val="Tahoma"/>
            <family val="2"/>
          </rPr>
          <t xml:space="preserve">
Guess.  Issued at a discount.</t>
        </r>
      </text>
    </comment>
    <comment ref="AE129" authorId="3">
      <text>
        <r>
          <rPr>
            <b/>
            <sz val="8"/>
            <color indexed="81"/>
            <rFont val="Tahoma"/>
            <family val="2"/>
          </rPr>
          <t>DJF 6/18/12:</t>
        </r>
        <r>
          <rPr>
            <sz val="8"/>
            <color indexed="81"/>
            <rFont val="Tahoma"/>
            <family val="2"/>
          </rPr>
          <t xml:space="preserve">
Guess.  Issued at a discount.</t>
        </r>
      </text>
    </comment>
    <comment ref="B133" authorId="3">
      <text>
        <r>
          <rPr>
            <b/>
            <sz val="8"/>
            <color indexed="81"/>
            <rFont val="Tahoma"/>
            <family val="2"/>
          </rPr>
          <t>DJF 6/18/12:</t>
        </r>
        <r>
          <rPr>
            <sz val="8"/>
            <color indexed="81"/>
            <rFont val="Tahoma"/>
            <family val="2"/>
          </rPr>
          <t xml:space="preserve">
Swapped with 5% notes.</t>
        </r>
      </text>
    </comment>
    <comment ref="B143" authorId="3">
      <text>
        <r>
          <rPr>
            <b/>
            <sz val="8"/>
            <color indexed="81"/>
            <rFont val="Tahoma"/>
            <family val="2"/>
          </rPr>
          <t>DJF 6/18/12:</t>
        </r>
        <r>
          <rPr>
            <sz val="8"/>
            <color indexed="81"/>
            <rFont val="Tahoma"/>
            <family val="2"/>
          </rPr>
          <t xml:space="preserve">
Swapped with 5% notes.</t>
        </r>
      </text>
    </comment>
    <comment ref="B144" authorId="2">
      <text>
        <r>
          <rPr>
            <b/>
            <sz val="8"/>
            <color indexed="81"/>
            <rFont val="Tahoma"/>
            <family val="2"/>
          </rPr>
          <t xml:space="preserve">DJF:
</t>
        </r>
        <r>
          <rPr>
            <sz val="8"/>
            <color indexed="81"/>
            <rFont val="Tahoma"/>
            <family val="2"/>
          </rPr>
          <t>Includes amortization related to fair value of 5% notes after entry into a swap</t>
        </r>
      </text>
    </comment>
    <comment ref="AE145" authorId="3">
      <text>
        <r>
          <rPr>
            <b/>
            <sz val="8"/>
            <color indexed="81"/>
            <rFont val="Tahoma"/>
            <family val="2"/>
          </rPr>
          <t>DJF 6/18/12:</t>
        </r>
        <r>
          <rPr>
            <sz val="8"/>
            <color indexed="81"/>
            <rFont val="Tahoma"/>
            <family val="2"/>
          </rPr>
          <t xml:space="preserve">
Note: Substitute swap for interest on 5% notes.</t>
        </r>
      </text>
    </comment>
  </commentList>
</comments>
</file>

<file path=xl/comments4.xml><?xml version="1.0" encoding="utf-8"?>
<comments xmlns="http://schemas.openxmlformats.org/spreadsheetml/2006/main">
  <authors>
    <author>DJF 11/27/12</author>
    <author>DJF 5/26/12</author>
    <author>Gonzalez, Andres (Research)</author>
    <author>josuev</author>
  </authors>
  <commentList>
    <comment ref="AJ67" authorId="0">
      <text>
        <r>
          <rPr>
            <b/>
            <sz val="8"/>
            <color indexed="81"/>
            <rFont val="Tahoma"/>
            <family val="2"/>
          </rPr>
          <t>DJF 11/27/12:</t>
        </r>
        <r>
          <rPr>
            <sz val="8"/>
            <color indexed="81"/>
            <rFont val="Tahoma"/>
            <family val="2"/>
          </rPr>
          <t xml:space="preserve">
$25mn guidance</t>
        </r>
      </text>
    </comment>
    <comment ref="BY67" authorId="0">
      <text>
        <r>
          <rPr>
            <sz val="8"/>
            <color indexed="81"/>
            <rFont val="Tahoma"/>
            <family val="2"/>
          </rPr>
          <t>F1Q13: Now $100mn</t>
        </r>
        <r>
          <rPr>
            <b/>
            <sz val="8"/>
            <color indexed="81"/>
            <rFont val="Tahoma"/>
            <family val="2"/>
          </rPr>
          <t xml:space="preserve">
DJF 11/27/12:</t>
        </r>
        <r>
          <rPr>
            <sz val="8"/>
            <color indexed="81"/>
            <rFont val="Tahoma"/>
            <family val="2"/>
          </rPr>
          <t xml:space="preserve">
Guidance: $100-125mn</t>
        </r>
      </text>
    </comment>
    <comment ref="AG142" authorId="1">
      <text>
        <r>
          <rPr>
            <b/>
            <sz val="8"/>
            <color indexed="81"/>
            <rFont val="Tahoma"/>
            <family val="2"/>
          </rPr>
          <t>DJF 5/26/12:</t>
        </r>
        <r>
          <rPr>
            <sz val="8"/>
            <color indexed="81"/>
            <rFont val="Tahoma"/>
            <family val="2"/>
          </rPr>
          <t xml:space="preserve">
Includes $24.2mm payment for acquisition</t>
        </r>
      </text>
    </comment>
    <comment ref="AQ142" authorId="2">
      <text>
        <r>
          <rPr>
            <sz val="9"/>
            <color indexed="81"/>
            <rFont val="Tahoma"/>
            <family val="2"/>
          </rPr>
          <t>Includes Payments for acquisitions, net of cash acquired</t>
        </r>
      </text>
    </comment>
    <comment ref="AR142" authorId="2">
      <text>
        <r>
          <rPr>
            <sz val="9"/>
            <color indexed="81"/>
            <rFont val="Tahoma"/>
            <family val="2"/>
          </rPr>
          <t>Includes Payments for acquisitions, net of cash acquired</t>
        </r>
      </text>
    </comment>
    <comment ref="AE153" authorId="3">
      <text>
        <r>
          <rPr>
            <sz val="8"/>
            <color indexed="81"/>
            <rFont val="Tahoma"/>
            <family val="2"/>
          </rPr>
          <t>Includes Excess tax benefit from stock options</t>
        </r>
      </text>
    </comment>
    <comment ref="AG153" authorId="1">
      <text>
        <r>
          <rPr>
            <b/>
            <sz val="8"/>
            <color indexed="81"/>
            <rFont val="Tahoma"/>
            <family val="2"/>
          </rPr>
          <t>DJF 5/26/12:</t>
        </r>
        <r>
          <rPr>
            <sz val="8"/>
            <color indexed="81"/>
            <rFont val="Tahoma"/>
            <family val="2"/>
          </rPr>
          <t xml:space="preserve">
Includes 18.5mm related to early termination of swap agreements</t>
        </r>
      </text>
    </comment>
    <comment ref="AQ153" authorId="2">
      <text>
        <r>
          <rPr>
            <sz val="9"/>
            <color indexed="81"/>
            <rFont val="Tahoma"/>
            <family val="2"/>
          </rPr>
          <t>Includes Contingent consideration payment nad Excess tax benefit- stock options</t>
        </r>
      </text>
    </comment>
  </commentList>
</comments>
</file>

<file path=xl/comments5.xml><?xml version="1.0" encoding="utf-8"?>
<comments xmlns="http://schemas.openxmlformats.org/spreadsheetml/2006/main">
  <authors>
    <author>moorejos</author>
    <author>Chang, Diana (Research)</author>
    <author>DJF</author>
    <author>DJF 11/27/12</author>
    <author>Linden, Sarah (Research)</author>
    <author>josuev</author>
    <author>hazlett</author>
  </authors>
  <commentList>
    <comment ref="S12" authorId="0">
      <text>
        <r>
          <rPr>
            <b/>
            <sz val="8"/>
            <color indexed="81"/>
            <rFont val="Tahoma"/>
            <family val="2"/>
          </rPr>
          <t>moorejos:</t>
        </r>
        <r>
          <rPr>
            <sz val="8"/>
            <color indexed="81"/>
            <rFont val="Tahoma"/>
            <family val="2"/>
          </rPr>
          <t xml:space="preserve">
mistake here</t>
        </r>
      </text>
    </comment>
    <comment ref="BA12" authorId="1">
      <text>
        <r>
          <rPr>
            <b/>
            <sz val="9"/>
            <color indexed="81"/>
            <rFont val="Tahoma"/>
            <family val="2"/>
          </rPr>
          <t>Chang, Diana (Research):</t>
        </r>
        <r>
          <rPr>
            <sz val="9"/>
            <color indexed="81"/>
            <rFont val="Tahoma"/>
            <family val="2"/>
          </rPr>
          <t xml:space="preserve">
deal closed on March 10</t>
        </r>
      </text>
    </comment>
    <comment ref="AG13" authorId="2">
      <text>
        <r>
          <rPr>
            <b/>
            <sz val="8"/>
            <color indexed="81"/>
            <rFont val="Tahoma"/>
            <family val="2"/>
          </rPr>
          <t>DJF:</t>
        </r>
        <r>
          <rPr>
            <sz val="8"/>
            <color indexed="81"/>
            <rFont val="Tahoma"/>
            <family val="2"/>
          </rPr>
          <t xml:space="preserve">
Seasonally strong Q</t>
        </r>
      </text>
    </comment>
    <comment ref="AH13" authorId="2">
      <text>
        <r>
          <rPr>
            <b/>
            <sz val="8"/>
            <color indexed="81"/>
            <rFont val="Tahoma"/>
            <family val="2"/>
          </rPr>
          <t>DJF:</t>
        </r>
        <r>
          <rPr>
            <sz val="8"/>
            <color indexed="81"/>
            <rFont val="Tahoma"/>
            <family val="2"/>
          </rPr>
          <t xml:space="preserve">
Grow sequentially, but "certainly" slower than 2Q growth</t>
        </r>
      </text>
    </comment>
    <comment ref="AI13" authorId="2">
      <text>
        <r>
          <rPr>
            <b/>
            <sz val="8"/>
            <color indexed="81"/>
            <rFont val="Tahoma"/>
            <family val="2"/>
          </rPr>
          <t>DJF:</t>
        </r>
        <r>
          <rPr>
            <sz val="8"/>
            <color indexed="81"/>
            <rFont val="Tahoma"/>
            <family val="2"/>
          </rPr>
          <t xml:space="preserve">
Flat Q/Q guide</t>
        </r>
      </text>
    </comment>
    <comment ref="AJ13" authorId="3">
      <text>
        <r>
          <rPr>
            <b/>
            <sz val="8"/>
            <color indexed="81"/>
            <rFont val="Tahoma"/>
            <family val="2"/>
          </rPr>
          <t>DJF 11/27/12:</t>
        </r>
        <r>
          <rPr>
            <sz val="8"/>
            <color indexed="81"/>
            <rFont val="Tahoma"/>
            <family val="2"/>
          </rPr>
          <t xml:space="preserve">
Down roughly in-line with the corporate average</t>
        </r>
      </text>
    </comment>
    <comment ref="AK13" authorId="2">
      <text>
        <r>
          <rPr>
            <b/>
            <sz val="8"/>
            <color indexed="81"/>
            <rFont val="Tahoma"/>
            <family val="2"/>
          </rPr>
          <t>DJF:</t>
        </r>
        <r>
          <rPr>
            <sz val="8"/>
            <color indexed="81"/>
            <rFont val="Tahoma"/>
            <family val="2"/>
          </rPr>
          <t xml:space="preserve">
Largest outperfomer</t>
        </r>
      </text>
    </comment>
    <comment ref="B25" authorId="1">
      <text>
        <r>
          <rPr>
            <b/>
            <sz val="9"/>
            <color indexed="81"/>
            <rFont val="Tahoma"/>
            <family val="2"/>
          </rPr>
          <t>Chang, Diana (Research):</t>
        </r>
        <r>
          <rPr>
            <sz val="9"/>
            <color indexed="81"/>
            <rFont val="Tahoma"/>
            <family val="2"/>
          </rPr>
          <t xml:space="preserve">
includes industrial and military/defense</t>
        </r>
      </text>
    </comment>
    <comment ref="BA33" authorId="1">
      <text>
        <r>
          <rPr>
            <b/>
            <sz val="9"/>
            <color indexed="81"/>
            <rFont val="Tahoma"/>
            <family val="2"/>
          </rPr>
          <t>Chang, Diana (Research):</t>
        </r>
        <r>
          <rPr>
            <sz val="9"/>
            <color indexed="81"/>
            <rFont val="Tahoma"/>
            <family val="2"/>
          </rPr>
          <t xml:space="preserve">
deal closed on March 10</t>
        </r>
      </text>
    </comment>
    <comment ref="AH34" authorId="2">
      <text>
        <r>
          <rPr>
            <b/>
            <sz val="8"/>
            <color indexed="81"/>
            <rFont val="Tahoma"/>
            <family val="2"/>
          </rPr>
          <t>DJF:</t>
        </r>
        <r>
          <rPr>
            <sz val="8"/>
            <color indexed="81"/>
            <rFont val="Tahoma"/>
            <family val="2"/>
          </rPr>
          <t xml:space="preserve">
About flat sequentially</t>
        </r>
      </text>
    </comment>
    <comment ref="AI34" authorId="2">
      <text>
        <r>
          <rPr>
            <b/>
            <sz val="8"/>
            <color indexed="81"/>
            <rFont val="Tahoma"/>
            <family val="2"/>
          </rPr>
          <t>DJF:</t>
        </r>
        <r>
          <rPr>
            <sz val="8"/>
            <color indexed="81"/>
            <rFont val="Tahoma"/>
            <family val="2"/>
          </rPr>
          <t xml:space="preserve">
Flat Q/Q guide</t>
        </r>
      </text>
    </comment>
    <comment ref="AJ34" authorId="3">
      <text>
        <r>
          <rPr>
            <b/>
            <sz val="8"/>
            <color indexed="81"/>
            <rFont val="Tahoma"/>
            <family val="2"/>
          </rPr>
          <t>DJF 11/27/12:</t>
        </r>
        <r>
          <rPr>
            <sz val="8"/>
            <color indexed="81"/>
            <rFont val="Tahoma"/>
            <family val="2"/>
          </rPr>
          <t xml:space="preserve">
Flat Q/Q</t>
        </r>
      </text>
    </comment>
    <comment ref="AK34" authorId="2">
      <text>
        <r>
          <rPr>
            <b/>
            <sz val="8"/>
            <color indexed="81"/>
            <rFont val="Tahoma"/>
            <family val="2"/>
          </rPr>
          <t>DJF:</t>
        </r>
        <r>
          <rPr>
            <sz val="8"/>
            <color indexed="81"/>
            <rFont val="Tahoma"/>
            <family val="2"/>
          </rPr>
          <t xml:space="preserve">
modest growth</t>
        </r>
      </text>
    </comment>
    <comment ref="AH41" authorId="2">
      <text>
        <r>
          <rPr>
            <b/>
            <sz val="8"/>
            <color indexed="81"/>
            <rFont val="Tahoma"/>
            <family val="2"/>
          </rPr>
          <t>DJF:</t>
        </r>
        <r>
          <rPr>
            <sz val="8"/>
            <color indexed="81"/>
            <rFont val="Tahoma"/>
            <family val="2"/>
          </rPr>
          <t xml:space="preserve">
About flat sequentially</t>
        </r>
      </text>
    </comment>
    <comment ref="AI41" authorId="2">
      <text>
        <r>
          <rPr>
            <b/>
            <sz val="8"/>
            <color indexed="81"/>
            <rFont val="Tahoma"/>
            <family val="2"/>
          </rPr>
          <t>DJF:</t>
        </r>
        <r>
          <rPr>
            <sz val="8"/>
            <color indexed="81"/>
            <rFont val="Tahoma"/>
            <family val="2"/>
          </rPr>
          <t xml:space="preserve">
Flat Q/Q guide</t>
        </r>
      </text>
    </comment>
    <comment ref="AJ41" authorId="3">
      <text>
        <r>
          <rPr>
            <b/>
            <sz val="8"/>
            <color indexed="81"/>
            <rFont val="Tahoma"/>
            <family val="2"/>
          </rPr>
          <t>DJF 11/27/12:</t>
        </r>
        <r>
          <rPr>
            <sz val="8"/>
            <color indexed="81"/>
            <rFont val="Tahoma"/>
            <family val="2"/>
          </rPr>
          <t xml:space="preserve">
Flat Q/Q</t>
        </r>
      </text>
    </comment>
    <comment ref="AK41" authorId="2">
      <text>
        <r>
          <rPr>
            <b/>
            <sz val="8"/>
            <color indexed="81"/>
            <rFont val="Tahoma"/>
            <family val="2"/>
          </rPr>
          <t>DJF:</t>
        </r>
        <r>
          <rPr>
            <sz val="8"/>
            <color indexed="81"/>
            <rFont val="Tahoma"/>
            <family val="2"/>
          </rPr>
          <t xml:space="preserve">
modest growth</t>
        </r>
      </text>
    </comment>
    <comment ref="AH54" authorId="0">
      <text>
        <r>
          <rPr>
            <b/>
            <sz val="8"/>
            <color indexed="81"/>
            <rFont val="Tahoma"/>
            <family val="2"/>
          </rPr>
          <t>moorejos:</t>
        </r>
        <r>
          <rPr>
            <sz val="8"/>
            <color indexed="81"/>
            <rFont val="Tahoma"/>
            <family val="2"/>
          </rPr>
          <t xml:space="preserve">
guded it would grow next 2 qtrs seasonally, orders picked up late 2q</t>
        </r>
      </text>
    </comment>
    <comment ref="BA54" authorId="1">
      <text>
        <r>
          <rPr>
            <b/>
            <sz val="9"/>
            <color indexed="81"/>
            <rFont val="Tahoma"/>
            <family val="2"/>
          </rPr>
          <t>Chang, Diana (Research):</t>
        </r>
        <r>
          <rPr>
            <sz val="9"/>
            <color indexed="81"/>
            <rFont val="Tahoma"/>
            <family val="2"/>
          </rPr>
          <t xml:space="preserve">
deal closed on March 10</t>
        </r>
      </text>
    </comment>
    <comment ref="AG55" authorId="2">
      <text>
        <r>
          <rPr>
            <b/>
            <sz val="8"/>
            <color indexed="81"/>
            <rFont val="Tahoma"/>
            <family val="2"/>
          </rPr>
          <t>DJF:</t>
        </r>
        <r>
          <rPr>
            <sz val="8"/>
            <color indexed="81"/>
            <rFont val="Tahoma"/>
            <family val="2"/>
          </rPr>
          <t xml:space="preserve">
Seasonally weak Q, though had expected consumer to be up.  Missed expectations due to inventory was higher than they had thought and some end demand weakness.</t>
        </r>
      </text>
    </comment>
    <comment ref="AJ55" authorId="3">
      <text>
        <r>
          <rPr>
            <b/>
            <sz val="8"/>
            <color indexed="81"/>
            <rFont val="Tahoma"/>
            <family val="2"/>
          </rPr>
          <t>DJF 11/27/12:</t>
        </r>
        <r>
          <rPr>
            <sz val="8"/>
            <color indexed="81"/>
            <rFont val="Tahoma"/>
            <family val="2"/>
          </rPr>
          <t xml:space="preserve">
Down significantly with all consumer segments down Q/Q</t>
        </r>
      </text>
    </comment>
    <comment ref="AK55" authorId="2">
      <text>
        <r>
          <rPr>
            <b/>
            <sz val="8"/>
            <color indexed="81"/>
            <rFont val="Tahoma"/>
            <family val="2"/>
          </rPr>
          <t>DJF:</t>
        </r>
        <r>
          <rPr>
            <sz val="8"/>
            <color indexed="81"/>
            <rFont val="Tahoma"/>
            <family val="2"/>
          </rPr>
          <t xml:space="preserve">
Flat</t>
        </r>
      </text>
    </comment>
    <comment ref="AH61" authorId="0">
      <text>
        <r>
          <rPr>
            <b/>
            <sz val="8"/>
            <color indexed="81"/>
            <rFont val="Tahoma"/>
            <family val="2"/>
          </rPr>
          <t>moorejos:</t>
        </r>
        <r>
          <rPr>
            <sz val="8"/>
            <color indexed="81"/>
            <rFont val="Tahoma"/>
            <family val="2"/>
          </rPr>
          <t xml:space="preserve">
guded it would grow next 2 qtrs seasonally, orders picked up late 2q</t>
        </r>
      </text>
    </comment>
    <comment ref="AG62" authorId="2">
      <text>
        <r>
          <rPr>
            <b/>
            <sz val="8"/>
            <color indexed="81"/>
            <rFont val="Tahoma"/>
            <family val="2"/>
          </rPr>
          <t>DJF:</t>
        </r>
        <r>
          <rPr>
            <sz val="8"/>
            <color indexed="81"/>
            <rFont val="Tahoma"/>
            <family val="2"/>
          </rPr>
          <t xml:space="preserve">
Seasonally weak Q, though had expected consumer to be up.  Missed expectations due to inventory was higher than they had thought and some end demand weakness.</t>
        </r>
      </text>
    </comment>
    <comment ref="AJ62" authorId="3">
      <text>
        <r>
          <rPr>
            <b/>
            <sz val="8"/>
            <color indexed="81"/>
            <rFont val="Tahoma"/>
            <family val="2"/>
          </rPr>
          <t>DJF 11/27/12:</t>
        </r>
        <r>
          <rPr>
            <sz val="8"/>
            <color indexed="81"/>
            <rFont val="Tahoma"/>
            <family val="2"/>
          </rPr>
          <t xml:space="preserve">
Down significantly with all consumer segments down Q/Q</t>
        </r>
      </text>
    </comment>
    <comment ref="AK62" authorId="2">
      <text>
        <r>
          <rPr>
            <b/>
            <sz val="8"/>
            <color indexed="81"/>
            <rFont val="Tahoma"/>
            <family val="2"/>
          </rPr>
          <t>DJF:</t>
        </r>
        <r>
          <rPr>
            <sz val="8"/>
            <color indexed="81"/>
            <rFont val="Tahoma"/>
            <family val="2"/>
          </rPr>
          <t xml:space="preserve">
Flat</t>
        </r>
      </text>
    </comment>
    <comment ref="BA62" authorId="1">
      <text>
        <r>
          <rPr>
            <b/>
            <sz val="9"/>
            <color indexed="81"/>
            <rFont val="Tahoma"/>
            <family val="2"/>
          </rPr>
          <t>Chang, Diana (Research):</t>
        </r>
        <r>
          <rPr>
            <sz val="9"/>
            <color indexed="81"/>
            <rFont val="Tahoma"/>
            <family val="2"/>
          </rPr>
          <t xml:space="preserve">
G: consumer down 40-50% but still up significantl y/y</t>
        </r>
      </text>
    </comment>
    <comment ref="B72" authorId="1">
      <text>
        <r>
          <rPr>
            <b/>
            <sz val="9"/>
            <color indexed="81"/>
            <rFont val="Tahoma"/>
            <family val="2"/>
          </rPr>
          <t>Chang, Diana (Research):</t>
        </r>
        <r>
          <rPr>
            <sz val="9"/>
            <color indexed="81"/>
            <rFont val="Tahoma"/>
            <family val="2"/>
          </rPr>
          <t xml:space="preserve">
includes consumer/computing</t>
        </r>
      </text>
    </comment>
    <comment ref="BA80" authorId="1">
      <text>
        <r>
          <rPr>
            <b/>
            <sz val="9"/>
            <color indexed="81"/>
            <rFont val="Tahoma"/>
            <family val="2"/>
          </rPr>
          <t>Chang, Diana (Research):</t>
        </r>
        <r>
          <rPr>
            <sz val="9"/>
            <color indexed="81"/>
            <rFont val="Tahoma"/>
            <family val="2"/>
          </rPr>
          <t xml:space="preserve">
deal closed on March 10</t>
        </r>
      </text>
    </comment>
    <comment ref="BD80" authorId="4">
      <text>
        <r>
          <rPr>
            <b/>
            <sz val="9"/>
            <color indexed="81"/>
            <rFont val="Tahoma"/>
            <family val="2"/>
          </rPr>
          <t>Linden, Sarah (Research):</t>
        </r>
        <r>
          <rPr>
            <sz val="9"/>
            <color indexed="81"/>
            <rFont val="Tahoma"/>
            <family val="2"/>
          </rPr>
          <t xml:space="preserve">
flat q/q without extra week
</t>
        </r>
      </text>
    </comment>
    <comment ref="AG81" authorId="2">
      <text>
        <r>
          <rPr>
            <b/>
            <sz val="8"/>
            <color indexed="81"/>
            <rFont val="Tahoma"/>
            <family val="2"/>
          </rPr>
          <t>DJF:</t>
        </r>
        <r>
          <rPr>
            <sz val="8"/>
            <color indexed="81"/>
            <rFont val="Tahoma"/>
            <family val="2"/>
          </rPr>
          <t xml:space="preserve">
Momentum picked up at end of April Q, expect to carry over into F3Q and for Comms to be strong into 2013</t>
        </r>
      </text>
    </comment>
    <comment ref="AH81" authorId="2">
      <text>
        <r>
          <rPr>
            <b/>
            <sz val="8"/>
            <color indexed="81"/>
            <rFont val="Tahoma"/>
            <family val="2"/>
          </rPr>
          <t>DJF:</t>
        </r>
        <r>
          <rPr>
            <sz val="8"/>
            <color indexed="81"/>
            <rFont val="Tahoma"/>
            <family val="2"/>
          </rPr>
          <t xml:space="preserve">
Grow sequentially on back of April strength</t>
        </r>
      </text>
    </comment>
    <comment ref="AI81" authorId="2">
      <text>
        <r>
          <rPr>
            <b/>
            <sz val="8"/>
            <color indexed="81"/>
            <rFont val="Tahoma"/>
            <family val="2"/>
          </rPr>
          <t>DJF:</t>
        </r>
        <r>
          <rPr>
            <sz val="8"/>
            <color indexed="81"/>
            <rFont val="Tahoma"/>
            <family val="2"/>
          </rPr>
          <t xml:space="preserve">
Flat Q/Q guide</t>
        </r>
      </text>
    </comment>
    <comment ref="AJ81" authorId="2">
      <text>
        <r>
          <rPr>
            <b/>
            <sz val="8"/>
            <color indexed="81"/>
            <rFont val="Tahoma"/>
            <family val="2"/>
          </rPr>
          <t>DJF:</t>
        </r>
        <r>
          <rPr>
            <sz val="8"/>
            <color indexed="81"/>
            <rFont val="Tahoma"/>
            <family val="2"/>
          </rPr>
          <t xml:space="preserve">
Guided to flat Q/Q.  Largest sequential decline came from wireless infrastructure.  Mgmt cited a mtued capex environment plus inventory re-balancing at customers.</t>
        </r>
      </text>
    </comment>
    <comment ref="AK81" authorId="2">
      <text>
        <r>
          <rPr>
            <b/>
            <sz val="8"/>
            <color indexed="81"/>
            <rFont val="Tahoma"/>
            <family val="2"/>
          </rPr>
          <t>DJF:</t>
        </r>
        <r>
          <rPr>
            <sz val="8"/>
            <color indexed="81"/>
            <rFont val="Tahoma"/>
            <family val="2"/>
          </rPr>
          <t xml:space="preserve">
Modest / slight growth</t>
        </r>
      </text>
    </comment>
    <comment ref="AL81" authorId="2">
      <text>
        <r>
          <rPr>
            <b/>
            <sz val="8"/>
            <color indexed="81"/>
            <rFont val="Tahoma"/>
            <family val="2"/>
          </rPr>
          <t>DJF:</t>
        </r>
        <r>
          <rPr>
            <sz val="8"/>
            <color indexed="81"/>
            <rFont val="Tahoma"/>
            <family val="2"/>
          </rPr>
          <t xml:space="preserve">
Per F1QEPS, mgmt expects meaningful tailwinds in C2H13.</t>
        </r>
      </text>
    </comment>
    <comment ref="AG88" authorId="2">
      <text>
        <r>
          <rPr>
            <b/>
            <sz val="8"/>
            <color indexed="81"/>
            <rFont val="Tahoma"/>
            <family val="2"/>
          </rPr>
          <t>DJF:</t>
        </r>
        <r>
          <rPr>
            <sz val="8"/>
            <color indexed="81"/>
            <rFont val="Tahoma"/>
            <family val="2"/>
          </rPr>
          <t xml:space="preserve">
Momentum picked up at end of April Q, expect to carry over into F3Q and for Comms to be strong into 2013</t>
        </r>
      </text>
    </comment>
    <comment ref="AH88" authorId="2">
      <text>
        <r>
          <rPr>
            <b/>
            <sz val="8"/>
            <color indexed="81"/>
            <rFont val="Tahoma"/>
            <family val="2"/>
          </rPr>
          <t>DJF:</t>
        </r>
        <r>
          <rPr>
            <sz val="8"/>
            <color indexed="81"/>
            <rFont val="Tahoma"/>
            <family val="2"/>
          </rPr>
          <t xml:space="preserve">
Grow sequentially on back of April strength</t>
        </r>
      </text>
    </comment>
    <comment ref="AI88" authorId="2">
      <text>
        <r>
          <rPr>
            <b/>
            <sz val="8"/>
            <color indexed="81"/>
            <rFont val="Tahoma"/>
            <family val="2"/>
          </rPr>
          <t>DJF:</t>
        </r>
        <r>
          <rPr>
            <sz val="8"/>
            <color indexed="81"/>
            <rFont val="Tahoma"/>
            <family val="2"/>
          </rPr>
          <t xml:space="preserve">
Flat Q/Q guide</t>
        </r>
      </text>
    </comment>
    <comment ref="AJ88" authorId="2">
      <text>
        <r>
          <rPr>
            <b/>
            <sz val="8"/>
            <color indexed="81"/>
            <rFont val="Tahoma"/>
            <family val="2"/>
          </rPr>
          <t>DJF:</t>
        </r>
        <r>
          <rPr>
            <sz val="8"/>
            <color indexed="81"/>
            <rFont val="Tahoma"/>
            <family val="2"/>
          </rPr>
          <t xml:space="preserve">
Guided to flat Q/Q.  Largest sequential decline came from wireless infrastructure.  Mgmt cited a mtued capex environment plus inventory re-balancing at customers.</t>
        </r>
      </text>
    </comment>
    <comment ref="AK88" authorId="2">
      <text>
        <r>
          <rPr>
            <b/>
            <sz val="8"/>
            <color indexed="81"/>
            <rFont val="Tahoma"/>
            <family val="2"/>
          </rPr>
          <t>DJF:</t>
        </r>
        <r>
          <rPr>
            <sz val="8"/>
            <color indexed="81"/>
            <rFont val="Tahoma"/>
            <family val="2"/>
          </rPr>
          <t xml:space="preserve">
Modest / slight growth</t>
        </r>
      </text>
    </comment>
    <comment ref="AL88" authorId="2">
      <text>
        <r>
          <rPr>
            <b/>
            <sz val="8"/>
            <color indexed="81"/>
            <rFont val="Tahoma"/>
            <family val="2"/>
          </rPr>
          <t>DJF:</t>
        </r>
        <r>
          <rPr>
            <sz val="8"/>
            <color indexed="81"/>
            <rFont val="Tahoma"/>
            <family val="2"/>
          </rPr>
          <t xml:space="preserve">
Per F1QEPS, mgmt expects meaningful tailwinds in C2H13.</t>
        </r>
      </text>
    </comment>
    <comment ref="BA132" authorId="1">
      <text>
        <r>
          <rPr>
            <b/>
            <sz val="9"/>
            <color indexed="81"/>
            <rFont val="Tahoma"/>
            <family val="2"/>
          </rPr>
          <t>Chang, Diana (Research):</t>
        </r>
        <r>
          <rPr>
            <sz val="9"/>
            <color indexed="81"/>
            <rFont val="Tahoma"/>
            <family val="2"/>
          </rPr>
          <t xml:space="preserve">
actual $208.3mn (non GAAP)
GAAP $147.5mn</t>
        </r>
      </text>
    </comment>
    <comment ref="BA178" authorId="1">
      <text>
        <r>
          <rPr>
            <b/>
            <sz val="9"/>
            <color indexed="81"/>
            <rFont val="Tahoma"/>
            <family val="2"/>
          </rPr>
          <t>Chang, Diana (Research):</t>
        </r>
        <r>
          <rPr>
            <sz val="9"/>
            <color indexed="81"/>
            <rFont val="Tahoma"/>
            <family val="2"/>
          </rPr>
          <t xml:space="preserve">
ADI+LLTC</t>
        </r>
      </text>
    </comment>
    <comment ref="AM180" authorId="2">
      <text>
        <r>
          <rPr>
            <b/>
            <sz val="8"/>
            <color indexed="81"/>
            <rFont val="Tahoma"/>
            <family val="2"/>
          </rPr>
          <t>DJF:</t>
        </r>
        <r>
          <rPr>
            <sz val="8"/>
            <color indexed="81"/>
            <rFont val="Tahoma"/>
            <family val="2"/>
          </rPr>
          <t xml:space="preserve">
Last 2 year average</t>
        </r>
      </text>
    </comment>
    <comment ref="AQ180" authorId="2">
      <text>
        <r>
          <rPr>
            <b/>
            <sz val="8"/>
            <color indexed="81"/>
            <rFont val="Tahoma"/>
            <family val="2"/>
          </rPr>
          <t>DJF:</t>
        </r>
        <r>
          <rPr>
            <sz val="8"/>
            <color indexed="81"/>
            <rFont val="Tahoma"/>
            <family val="2"/>
          </rPr>
          <t xml:space="preserve">
Last 2 year average</t>
        </r>
      </text>
    </comment>
    <comment ref="H284" authorId="5">
      <text>
        <r>
          <rPr>
            <sz val="8"/>
            <color indexed="81"/>
            <rFont val="Tahoma"/>
            <family val="2"/>
          </rPr>
          <t>Factory utilization was 60%</t>
        </r>
      </text>
    </comment>
    <comment ref="I284" authorId="5">
      <text>
        <r>
          <rPr>
            <sz val="8"/>
            <color indexed="81"/>
            <rFont val="Tahoma"/>
            <family val="2"/>
          </rPr>
          <t xml:space="preserve">"Somewhere between 70 and 75%"  2006Q2 Transcript </t>
        </r>
      </text>
    </comment>
    <comment ref="K284" authorId="5">
      <text>
        <r>
          <rPr>
            <sz val="8"/>
            <color indexed="81"/>
            <rFont val="Tahoma"/>
            <family val="2"/>
          </rPr>
          <t xml:space="preserve">In the range of 75%-80%, similar to previous quarter.  2006Q4 Transcript </t>
        </r>
      </text>
    </comment>
    <comment ref="N284" authorId="5">
      <text>
        <r>
          <rPr>
            <sz val="8"/>
            <color indexed="81"/>
            <rFont val="Tahoma"/>
            <family val="2"/>
          </rPr>
          <t xml:space="preserve">"Overall, it's approximately the same as it was last quarter, which is in the 70% range. In the fourth quarter, the utilization will probably go up a little bit, but not meaningful". 2007Q3 Transcript </t>
        </r>
      </text>
    </comment>
    <comment ref="P284" authorId="6">
      <text>
        <r>
          <rPr>
            <b/>
            <sz val="8"/>
            <color indexed="81"/>
            <rFont val="Tahoma"/>
            <family val="2"/>
          </rPr>
          <t>hazlett:</t>
        </r>
        <r>
          <rPr>
            <sz val="8"/>
            <color indexed="81"/>
            <rFont val="Tahoma"/>
            <family val="2"/>
          </rPr>
          <t xml:space="preserve">
Transcript for 2Q08 says that utilization rates for that quarter were in-line with those in 1Q08</t>
        </r>
      </text>
    </comment>
    <comment ref="Q284" authorId="6">
      <text>
        <r>
          <rPr>
            <b/>
            <sz val="8"/>
            <color indexed="81"/>
            <rFont val="Tahoma"/>
            <family val="2"/>
          </rPr>
          <t>hazlett:</t>
        </r>
        <r>
          <rPr>
            <sz val="8"/>
            <color indexed="81"/>
            <rFont val="Tahoma"/>
            <family val="2"/>
          </rPr>
          <t xml:space="preserve">
Utilization rate between 65-70%, but closer to 70%</t>
        </r>
      </text>
    </comment>
    <comment ref="S284" authorId="6">
      <text>
        <r>
          <rPr>
            <b/>
            <sz val="8"/>
            <color indexed="81"/>
            <rFont val="Tahoma"/>
            <family val="2"/>
          </rPr>
          <t>hazlett:</t>
        </r>
        <r>
          <rPr>
            <sz val="8"/>
            <color indexed="81"/>
            <rFont val="Tahoma"/>
            <family val="2"/>
          </rPr>
          <t xml:space="preserve">
Utilization rate between 65-70%</t>
        </r>
      </text>
    </comment>
    <comment ref="T284" authorId="6">
      <text>
        <r>
          <rPr>
            <b/>
            <sz val="8"/>
            <color indexed="81"/>
            <rFont val="Tahoma"/>
            <family val="2"/>
          </rPr>
          <t>hazlett:</t>
        </r>
        <r>
          <rPr>
            <sz val="8"/>
            <color indexed="81"/>
            <rFont val="Tahoma"/>
            <family val="2"/>
          </rPr>
          <t xml:space="preserve">
Mid-50s according to the 1Q09 transcript</t>
        </r>
      </text>
    </comment>
    <comment ref="X284" authorId="6">
      <text>
        <r>
          <rPr>
            <b/>
            <sz val="8"/>
            <color indexed="81"/>
            <rFont val="Tahoma"/>
            <family val="2"/>
          </rPr>
          <t>hazlett:</t>
        </r>
        <r>
          <rPr>
            <sz val="8"/>
            <color indexed="81"/>
            <rFont val="Tahoma"/>
            <family val="2"/>
          </rPr>
          <t xml:space="preserve">
Low 60s</t>
        </r>
      </text>
    </comment>
    <comment ref="Y284" authorId="6">
      <text>
        <r>
          <rPr>
            <b/>
            <sz val="8"/>
            <color indexed="81"/>
            <rFont val="Tahoma"/>
            <family val="2"/>
          </rPr>
          <t>hazlett:</t>
        </r>
        <r>
          <rPr>
            <sz val="8"/>
            <color indexed="81"/>
            <rFont val="Tahoma"/>
            <family val="2"/>
          </rPr>
          <t xml:space="preserve">
Low 70s</t>
        </r>
      </text>
    </comment>
  </commentList>
</comments>
</file>

<file path=xl/sharedStrings.xml><?xml version="1.0" encoding="utf-8"?>
<sst xmlns="http://schemas.openxmlformats.org/spreadsheetml/2006/main" count="1433" uniqueCount="996">
  <si>
    <t>COGS - MW</t>
  </si>
  <si>
    <t>Gross Profit - MW</t>
  </si>
  <si>
    <t>Gross Margin - MW</t>
  </si>
  <si>
    <t>R&amp;D - MW</t>
  </si>
  <si>
    <t>Other OpEx - MW</t>
  </si>
  <si>
    <t>Operating Expenses - MW</t>
  </si>
  <si>
    <t>Operating Income - MW</t>
  </si>
  <si>
    <t>Operating Margin MW%</t>
  </si>
  <si>
    <t>Other income (expense), net</t>
  </si>
  <si>
    <t>Total Interest Income (net) and Other Income - MW</t>
  </si>
  <si>
    <t>PBT - MW</t>
  </si>
  <si>
    <t>Income Tax Expense (Benefit) - MW</t>
  </si>
  <si>
    <t>Effective tax rate MW</t>
  </si>
  <si>
    <t>EPS - GAAP</t>
  </si>
  <si>
    <t>Dividends Declared Per Share</t>
  </si>
  <si>
    <t>Average Price Per Share</t>
  </si>
  <si>
    <t>Statutory Tax (%)</t>
  </si>
  <si>
    <t>Operating Expenses</t>
  </si>
  <si>
    <t>2008-Q1</t>
  </si>
  <si>
    <t>2008-Q2</t>
  </si>
  <si>
    <t>2008-Q3</t>
  </si>
  <si>
    <t>2008-Q4</t>
  </si>
  <si>
    <t>2009-Q1</t>
  </si>
  <si>
    <t>2009-Q2</t>
  </si>
  <si>
    <t>2009-Q3</t>
  </si>
  <si>
    <t>2009-Q4</t>
  </si>
  <si>
    <t>2010-Q1</t>
  </si>
  <si>
    <t>2010-Q2</t>
  </si>
  <si>
    <t>2010-Q3</t>
  </si>
  <si>
    <t>2010-Q4</t>
  </si>
  <si>
    <t>2011-Q1</t>
  </si>
  <si>
    <t>2011-Q2</t>
  </si>
  <si>
    <t>2011-Q3</t>
  </si>
  <si>
    <t>2011-Q4</t>
  </si>
  <si>
    <t>2012-Q1</t>
  </si>
  <si>
    <t>2012-Q2</t>
  </si>
  <si>
    <t>2012-Q3</t>
  </si>
  <si>
    <t>2012-Q4</t>
  </si>
  <si>
    <t>2013-Q1</t>
  </si>
  <si>
    <t>2013-Q2</t>
  </si>
  <si>
    <t>2013-Q3</t>
  </si>
  <si>
    <t>2013-Q4</t>
  </si>
  <si>
    <t>2014-Q1</t>
  </si>
  <si>
    <t>2014-Q2</t>
  </si>
  <si>
    <t>2014-Q3</t>
  </si>
  <si>
    <t>2014-Q4</t>
  </si>
  <si>
    <t>2007-FY</t>
  </si>
  <si>
    <t>2008-FY</t>
  </si>
  <si>
    <t>2009-FY</t>
  </si>
  <si>
    <t>2010-FY</t>
  </si>
  <si>
    <t>2011-FY</t>
  </si>
  <si>
    <t>2012-FY</t>
  </si>
  <si>
    <t>2013-FY</t>
  </si>
  <si>
    <t>2014-FY</t>
  </si>
  <si>
    <t>2018-FY</t>
  </si>
  <si>
    <t>2019-FY</t>
  </si>
  <si>
    <t>Actual/Estimate Toggle</t>
  </si>
  <si>
    <t>Fiscal Year</t>
  </si>
  <si>
    <t>Fiscal Quarter</t>
  </si>
  <si>
    <t>Calendar Year</t>
  </si>
  <si>
    <t>Calendar Quarter</t>
  </si>
  <si>
    <t>USD</t>
  </si>
  <si>
    <t>A</t>
  </si>
  <si>
    <t>2015-Q1</t>
  </si>
  <si>
    <t>2015-Q2</t>
  </si>
  <si>
    <t>2015-Q3</t>
  </si>
  <si>
    <t>2015-Q4</t>
  </si>
  <si>
    <t>2016-Q1</t>
  </si>
  <si>
    <t>2016-Q2</t>
  </si>
  <si>
    <t>2016-Q3</t>
  </si>
  <si>
    <t>2016-Q4</t>
  </si>
  <si>
    <t>2017-Q1</t>
  </si>
  <si>
    <t>2017-Q2</t>
  </si>
  <si>
    <t>2017-Q3</t>
  </si>
  <si>
    <t>2017-Q4</t>
  </si>
  <si>
    <t>2018-Q1</t>
  </si>
  <si>
    <t>2018-Q2</t>
  </si>
  <si>
    <t>2018-Q3</t>
  </si>
  <si>
    <t>2018-Q4</t>
  </si>
  <si>
    <t>2019-Q1</t>
  </si>
  <si>
    <t>2019-Q2</t>
  </si>
  <si>
    <t>2019-Q3</t>
  </si>
  <si>
    <t>2019-Q4</t>
  </si>
  <si>
    <t>Assets</t>
  </si>
  <si>
    <t>Cash and cash equivalents</t>
  </si>
  <si>
    <t>Accounts receivables, net</t>
  </si>
  <si>
    <t>Total Current Assets</t>
  </si>
  <si>
    <t>Goodwill</t>
  </si>
  <si>
    <t>Total Assets</t>
  </si>
  <si>
    <t>Liabilities &amp; Shareholders' Equity</t>
  </si>
  <si>
    <t>Accounts payable</t>
  </si>
  <si>
    <t>Accrued liabilities</t>
  </si>
  <si>
    <t>Total Current Liabilities</t>
  </si>
  <si>
    <t>Shareholders' Equity</t>
  </si>
  <si>
    <t>Total Liabilities &amp; Equity</t>
  </si>
  <si>
    <t>Check</t>
  </si>
  <si>
    <t>Working Capital Metrics</t>
  </si>
  <si>
    <t>A/R Days Sales Out</t>
  </si>
  <si>
    <t>Inventory Turns</t>
  </si>
  <si>
    <t>Days of Inventory</t>
  </si>
  <si>
    <t>Accounts Payable DSO</t>
  </si>
  <si>
    <t>Prepaid expenses and other current assets % of Revenues</t>
  </si>
  <si>
    <t>Revenues</t>
  </si>
  <si>
    <t>Cost of Goods Sold</t>
  </si>
  <si>
    <t>Stockholders Equity</t>
  </si>
  <si>
    <t>Preferred stock</t>
  </si>
  <si>
    <t>Common stock</t>
  </si>
  <si>
    <t>Temporary BS plug for earnings (all quarters going forward)</t>
  </si>
  <si>
    <t>Additional paid-in capital</t>
  </si>
  <si>
    <t>Total share capital</t>
  </si>
  <si>
    <t>Dividends</t>
  </si>
  <si>
    <t>Retained earnings (accumulated deficit)</t>
  </si>
  <si>
    <t>Accumulated other comprehensive income (loss)</t>
  </si>
  <si>
    <t>vs. Balance Sheet</t>
  </si>
  <si>
    <t>Balance Sheet Metrics</t>
  </si>
  <si>
    <t>Net working capital</t>
  </si>
  <si>
    <t>ND</t>
  </si>
  <si>
    <t>Cash flows provided by (used for) operating activities:</t>
  </si>
  <si>
    <t>Net income</t>
  </si>
  <si>
    <t>Changes in current assets and liabilities:</t>
  </si>
  <si>
    <t>Accounts receivable</t>
  </si>
  <si>
    <t>Inventory</t>
  </si>
  <si>
    <t>Prepaid expenses and other assets</t>
  </si>
  <si>
    <t>Net cash provided by operating activities</t>
  </si>
  <si>
    <t>Cash flows from investing activities:</t>
  </si>
  <si>
    <t>Other investing activities</t>
  </si>
  <si>
    <t>Net cash used for investing activities</t>
  </si>
  <si>
    <t>Cash flows from financing activities:</t>
  </si>
  <si>
    <t>Net cash used for financing activities</t>
  </si>
  <si>
    <t>Effect of exchange rate changes on cash and cash equivalents</t>
  </si>
  <si>
    <t>Cash and cash equivalents, beginning of period</t>
  </si>
  <si>
    <t>Change in cash flow due to restatement</t>
  </si>
  <si>
    <t>Net increase (decrease) in cash and cash equivalents</t>
  </si>
  <si>
    <t>Cash and cash equivalents, end of period</t>
  </si>
  <si>
    <t>PP&amp;E Schedule</t>
  </si>
  <si>
    <t>Capital Expenditures</t>
  </si>
  <si>
    <t>One time PPE Plug</t>
  </si>
  <si>
    <t>Percentage of Total Revenues</t>
  </si>
  <si>
    <t>Gain on sale of assets</t>
  </si>
  <si>
    <t>Gross PP&amp;E</t>
  </si>
  <si>
    <t>Percentage of Total Assets</t>
  </si>
  <si>
    <t>Less Accumulated Depreciation and Amortization</t>
  </si>
  <si>
    <t>Net PP&amp;E</t>
  </si>
  <si>
    <t>Depreciation Schedule</t>
  </si>
  <si>
    <t>Total Depreciation and Amortization</t>
  </si>
  <si>
    <t>Percentage of Gross PP&amp;E</t>
  </si>
  <si>
    <t>vs. Cash Flow Statement</t>
  </si>
  <si>
    <t>Cash Flow Statement Metrics</t>
  </si>
  <si>
    <t>Free Cash Flow</t>
  </si>
  <si>
    <t>Adjusted FCF</t>
  </si>
  <si>
    <t>Other financing activities</t>
  </si>
  <si>
    <t>Gross Margin</t>
  </si>
  <si>
    <t>Q-o-Q growth</t>
  </si>
  <si>
    <t>Y-o-Y growth</t>
  </si>
  <si>
    <t>Percent of Revenue</t>
  </si>
  <si>
    <t>Total Bottoms Up Revenue</t>
  </si>
  <si>
    <t>Actual Revenue from Income Statement</t>
  </si>
  <si>
    <t>BU / Income Statement Check</t>
  </si>
  <si>
    <t>This sheet contains Factset binary data for use with this workbook's =FDS codes.  Modifying the worksheet's contents may damage the workbook's =FDS functionality.</t>
  </si>
  <si>
    <t>COGS</t>
  </si>
  <si>
    <t>Difference</t>
  </si>
  <si>
    <t>Gross Profit</t>
  </si>
  <si>
    <t>R&amp;D</t>
  </si>
  <si>
    <t>SG&amp;A</t>
  </si>
  <si>
    <t>Operating Income</t>
  </si>
  <si>
    <t>Net Income</t>
  </si>
  <si>
    <t>Bull Case</t>
  </si>
  <si>
    <t>Base Case</t>
  </si>
  <si>
    <t>Bear Case</t>
  </si>
  <si>
    <t>Currency</t>
  </si>
  <si>
    <t>Current Stock Price</t>
  </si>
  <si>
    <t>Count</t>
  </si>
  <si>
    <t>Restricted cash</t>
  </si>
  <si>
    <t>2020-FY</t>
  </si>
  <si>
    <t>2020-Q1</t>
  </si>
  <si>
    <t>2020-Q2</t>
  </si>
  <si>
    <t>2020-Q3</t>
  </si>
  <si>
    <t>2020-Q4</t>
  </si>
  <si>
    <t>Percent Gross Margin</t>
  </si>
  <si>
    <t xml:space="preserve">   % Gross Margin</t>
  </si>
  <si>
    <t>Actual Gross Margin from Income Statement</t>
  </si>
  <si>
    <t>Adjustments to reconcile net income to net cash</t>
  </si>
  <si>
    <t>2005-Q1</t>
  </si>
  <si>
    <t>2005-Q2</t>
  </si>
  <si>
    <t>2005-Q3</t>
  </si>
  <si>
    <t>2005-Q4</t>
  </si>
  <si>
    <t>2005-FY</t>
  </si>
  <si>
    <t>2006-Q1</t>
  </si>
  <si>
    <t>2006-Q2</t>
  </si>
  <si>
    <t>2006-Q3</t>
  </si>
  <si>
    <t>2006-Q4</t>
  </si>
  <si>
    <t>2006-FY</t>
  </si>
  <si>
    <t>2007-Q1</t>
  </si>
  <si>
    <t>2007-Q2</t>
  </si>
  <si>
    <t>2007-Q3</t>
  </si>
  <si>
    <t>2007-Q4</t>
  </si>
  <si>
    <t>Other</t>
  </si>
  <si>
    <t>Deferred income</t>
  </si>
  <si>
    <t>Income taxes payable</t>
  </si>
  <si>
    <t>Repurchase of common stock</t>
  </si>
  <si>
    <t>Increase (decrease) in short-term debt, net</t>
  </si>
  <si>
    <t>Income taxes payable and receivable</t>
  </si>
  <si>
    <t>Other assets and liabilities</t>
  </si>
  <si>
    <t>Amortization of intangibles</t>
  </si>
  <si>
    <t>Other changes in assets and liabilities</t>
  </si>
  <si>
    <t>Actual Operating Income from Income Statement</t>
  </si>
  <si>
    <t>100% Check</t>
  </si>
  <si>
    <t xml:space="preserve">Total </t>
  </si>
  <si>
    <t>Revenues by Geography ($)</t>
  </si>
  <si>
    <t>Revenues by Geography (%)</t>
  </si>
  <si>
    <t>Europe</t>
  </si>
  <si>
    <t>Prepaid expenses and other current assets</t>
  </si>
  <si>
    <t>Other assets</t>
  </si>
  <si>
    <t>Treasury stock</t>
  </si>
  <si>
    <t>Other current liabilities</t>
  </si>
  <si>
    <t>Current portion of long-term debt</t>
  </si>
  <si>
    <t>Other short-term obligations</t>
  </si>
  <si>
    <t>Proceeds from sale of property, plant and equipment</t>
  </si>
  <si>
    <t>Noncontrolling interest</t>
  </si>
  <si>
    <t>Deferred income taxes</t>
  </si>
  <si>
    <t>Repurchase of noncontrolling interest</t>
  </si>
  <si>
    <t>Net loss on sale of property, plant and equipment</t>
  </si>
  <si>
    <t>Net income attributable to noncontrolling interest</t>
  </si>
  <si>
    <t>United States</t>
  </si>
  <si>
    <t>China</t>
  </si>
  <si>
    <t>Intangible assets, net</t>
  </si>
  <si>
    <t>Analog Devices Inc.</t>
  </si>
  <si>
    <t>Analog Devices, Inc.</t>
  </si>
  <si>
    <t>Analog Devices, Inc. Balance Sheet</t>
  </si>
  <si>
    <t>Analog Devices, Inc. Bottoms Up Model</t>
  </si>
  <si>
    <t>ADI, Inc. Statement of Cash Flows (Non Cumulative)</t>
  </si>
  <si>
    <t>ADI, Inc. Statement of Cash Flows (Cumulative)</t>
  </si>
  <si>
    <t>($ in millions; fiscal year ends in October)</t>
  </si>
  <si>
    <t>Restructuring</t>
  </si>
  <si>
    <t>Short-term investments</t>
  </si>
  <si>
    <t>Deferred tax assets</t>
  </si>
  <si>
    <t>Property, plant and equipment, net</t>
  </si>
  <si>
    <t>Other investments</t>
  </si>
  <si>
    <t>Deferred compensation plan investments</t>
  </si>
  <si>
    <t>Long-term debt</t>
  </si>
  <si>
    <t>Deferred compensation plan liability</t>
  </si>
  <si>
    <t>Other non-current liabilities</t>
  </si>
  <si>
    <t>Proceeds from long-term debt</t>
  </si>
  <si>
    <t>Term loan repayments</t>
  </si>
  <si>
    <t>Dividend payments to shareholders</t>
  </si>
  <si>
    <t>Net proceeds from employee stock plans</t>
  </si>
  <si>
    <t>Additions to property, plant and equipment, net</t>
  </si>
  <si>
    <t>Purchase of short-term investments</t>
  </si>
  <si>
    <t>Proceeds from maturities and sales of short-term investments</t>
  </si>
  <si>
    <t>Net proceeds (expenditures) related to sale of businesses</t>
  </si>
  <si>
    <t>Accounts payable, deferred income and accrued liabilities</t>
  </si>
  <si>
    <t>Deferred compensation plan liabilities</t>
  </si>
  <si>
    <t>Depreciation</t>
  </si>
  <si>
    <t>Stock-based compensation expense</t>
  </si>
  <si>
    <t>Excess tax benefit - stock options</t>
  </si>
  <si>
    <t>Other non-cash activities</t>
  </si>
  <si>
    <t>Gain on sale of business</t>
  </si>
  <si>
    <t>Non-cash portion of special charges</t>
  </si>
  <si>
    <t>Industrial Revenue</t>
  </si>
  <si>
    <t>Automotive Revenue</t>
  </si>
  <si>
    <t>Consumer Revenue</t>
  </si>
  <si>
    <t>Communications Revenue</t>
  </si>
  <si>
    <t>Revenues by Product ($)</t>
  </si>
  <si>
    <t>Revenues by Product (%)</t>
  </si>
  <si>
    <t>Converters</t>
  </si>
  <si>
    <t>Amplifiers/Radio frequency</t>
  </si>
  <si>
    <t>Other analog</t>
  </si>
  <si>
    <t>Subtotal analog signal processing</t>
  </si>
  <si>
    <t>Power management &amp; reference</t>
  </si>
  <si>
    <t>Total analog products</t>
  </si>
  <si>
    <t>Digital signal processing</t>
  </si>
  <si>
    <t>Rest of North and South America</t>
  </si>
  <si>
    <t>Japan</t>
  </si>
  <si>
    <t>Rest of Asia</t>
  </si>
  <si>
    <t xml:space="preserve">Converters </t>
  </si>
  <si>
    <t>Amplifiers / RF</t>
  </si>
  <si>
    <t>Other Analog</t>
  </si>
  <si>
    <t xml:space="preserve">Power management &amp; reference </t>
  </si>
  <si>
    <t>Digital Signal Processing</t>
  </si>
  <si>
    <t>Revenues - Consensus</t>
  </si>
  <si>
    <t>EPS - Consensus</t>
  </si>
  <si>
    <t>DO NOT DELETE</t>
  </si>
  <si>
    <t>Analyst's Bull Case Scenario</t>
  </si>
  <si>
    <t>Analyst's Bear Case Scenario</t>
  </si>
  <si>
    <t>Analyst's Base Case Scenario; Generally = Official Case</t>
  </si>
  <si>
    <t>Bottoms Up Segment Model Build</t>
  </si>
  <si>
    <t>Computer Revenue</t>
  </si>
  <si>
    <t>Computer Gross Margin</t>
  </si>
  <si>
    <t>Top Down Market Model Build Revenue Check</t>
  </si>
  <si>
    <t>Bottoms Up Segment Model Build Check</t>
  </si>
  <si>
    <t>Bottoms Up Segment Model Gross Margin Check</t>
  </si>
  <si>
    <t>Revenues by Industry ($)</t>
  </si>
  <si>
    <t>Revenues by Industry (%)</t>
  </si>
  <si>
    <t>Industrial</t>
  </si>
  <si>
    <t>Automotive</t>
  </si>
  <si>
    <t>Consumer</t>
  </si>
  <si>
    <t>Communications</t>
  </si>
  <si>
    <t>Computer</t>
  </si>
  <si>
    <t>Key Metrics</t>
  </si>
  <si>
    <t>Utilization</t>
  </si>
  <si>
    <t>One-Time IP License</t>
  </si>
  <si>
    <t>One-Time IP License Gross Margin</t>
  </si>
  <si>
    <t>Key Markets by Revenue ($)</t>
  </si>
  <si>
    <t>Key Markets by Units (in millions)</t>
  </si>
  <si>
    <t>Key Markets by ASP ($ per Unit)</t>
  </si>
  <si>
    <t>Average</t>
  </si>
  <si>
    <t>Revenues by Major Customer ($)</t>
  </si>
  <si>
    <t>Distributors</t>
  </si>
  <si>
    <t>Revenue by Major Customer (%)</t>
  </si>
  <si>
    <t>Backlog ($ in millions)</t>
  </si>
  <si>
    <t>Bookings ($ in millions)</t>
  </si>
  <si>
    <t>Government Contracts</t>
  </si>
  <si>
    <t>Special charges</t>
  </si>
  <si>
    <t>7 year average Q-Q growth</t>
  </si>
  <si>
    <t>Packaging/test/raw materials cost</t>
  </si>
  <si>
    <t>Foundry wafer purchases</t>
  </si>
  <si>
    <t xml:space="preserve"> </t>
  </si>
  <si>
    <t>Bottoms Up Gross Margins</t>
  </si>
  <si>
    <t>COGS Build Up:</t>
  </si>
  <si>
    <t>Cost, as % of Segment Revenue:</t>
  </si>
  <si>
    <t>Fixed Fab Costs</t>
  </si>
  <si>
    <t>ADI.O</t>
  </si>
  <si>
    <t>ADI.O,mscalc:targetPrice</t>
  </si>
  <si>
    <t>ADI.O,mscalc:closePriceCurrencyCalc</t>
  </si>
  <si>
    <t>ADI.O,mscalc:sedolCodeCalc</t>
  </si>
  <si>
    <t>ADI.O,mscalc:targetPrice,,,,USD</t>
  </si>
  <si>
    <t>$BB$2</t>
  </si>
  <si>
    <t>FY2018E</t>
  </si>
  <si>
    <t>FY2019E</t>
  </si>
  <si>
    <t>CY2012</t>
  </si>
  <si>
    <t>CY2013</t>
  </si>
  <si>
    <t>CY2014</t>
  </si>
  <si>
    <t>% of Revs.</t>
  </si>
  <si>
    <t>% Below Peak</t>
  </si>
  <si>
    <t>Cash</t>
  </si>
  <si>
    <t>Short-term Marketable Securities</t>
  </si>
  <si>
    <t>Cash &amp; Cash Equivalents</t>
  </si>
  <si>
    <t>Principal Amounts:</t>
  </si>
  <si>
    <t>Interest Expense:</t>
  </si>
  <si>
    <t>Term Loan</t>
  </si>
  <si>
    <t>3.0% Senior Unsecured Notes due April 2016</t>
  </si>
  <si>
    <t>Revolving Credit Facility</t>
  </si>
  <si>
    <t>5.0% Senior Unsecured Notes due July 2014</t>
  </si>
  <si>
    <t>Subtotal</t>
  </si>
  <si>
    <t>LIBOR</t>
  </si>
  <si>
    <t>Interest Rate Swaps (by notional amounts)</t>
  </si>
  <si>
    <t>LIBOR + 2.05%, Matures July 2014</t>
  </si>
  <si>
    <t>$375M Swap at LIBOR +2.05%, Maturing July 2014</t>
  </si>
  <si>
    <t>Effective Interest Rates</t>
  </si>
  <si>
    <t>Amortization / Paydowns</t>
  </si>
  <si>
    <t>Note: Book Value</t>
  </si>
  <si>
    <t>Net Cash per Share</t>
  </si>
  <si>
    <t>Net Cash</t>
  </si>
  <si>
    <t>Book Value Metrics</t>
  </si>
  <si>
    <t>Book Value per Share</t>
  </si>
  <si>
    <t>Tangible Book Value</t>
  </si>
  <si>
    <t>Tangible Book Value per Share</t>
  </si>
  <si>
    <t>2032067</t>
  </si>
  <si>
    <t>C4Q04A</t>
  </si>
  <si>
    <t>C1Q05A</t>
  </si>
  <si>
    <t>C2Q05A</t>
  </si>
  <si>
    <t>C3Q05A</t>
  </si>
  <si>
    <t>C4Q05A</t>
  </si>
  <si>
    <t>C1Q06A</t>
  </si>
  <si>
    <t>C2Q06A</t>
  </si>
  <si>
    <t>C3Q06A</t>
  </si>
  <si>
    <t>C4Q06A</t>
  </si>
  <si>
    <t>C1Q07A</t>
  </si>
  <si>
    <t>C2Q07A</t>
  </si>
  <si>
    <t>C3Q07A</t>
  </si>
  <si>
    <t>C4Q07A</t>
  </si>
  <si>
    <t>C1Q08A</t>
  </si>
  <si>
    <t>C2Q08A</t>
  </si>
  <si>
    <t>C3Q08A</t>
  </si>
  <si>
    <t>C4Q08A</t>
  </si>
  <si>
    <t>C1Q09A</t>
  </si>
  <si>
    <t>C2Q09A</t>
  </si>
  <si>
    <t>C3Q09A</t>
  </si>
  <si>
    <t>C4Q09A</t>
  </si>
  <si>
    <t>C1Q10A</t>
  </si>
  <si>
    <t>C2Q10A</t>
  </si>
  <si>
    <t>C3Q10A</t>
  </si>
  <si>
    <t>C4Q10A</t>
  </si>
  <si>
    <t>C1Q11A</t>
  </si>
  <si>
    <t>C2Q11A</t>
  </si>
  <si>
    <t>C3Q11A</t>
  </si>
  <si>
    <t>C4Q11A</t>
  </si>
  <si>
    <t>C1Q12A</t>
  </si>
  <si>
    <t>F1Q05A</t>
  </si>
  <si>
    <t>F2Q05A</t>
  </si>
  <si>
    <t>F3Q05A</t>
  </si>
  <si>
    <t>F4Q05A</t>
  </si>
  <si>
    <t>F1Q06A</t>
  </si>
  <si>
    <t>F2Q06A</t>
  </si>
  <si>
    <t>F3Q06A</t>
  </si>
  <si>
    <t>F4Q06A</t>
  </si>
  <si>
    <t>F1Q07A</t>
  </si>
  <si>
    <t>F2Q07A</t>
  </si>
  <si>
    <t>F3Q07A</t>
  </si>
  <si>
    <t>F4Q07A</t>
  </si>
  <si>
    <t>F1Q08A</t>
  </si>
  <si>
    <t>F2Q08A</t>
  </si>
  <si>
    <t>F3Q08A</t>
  </si>
  <si>
    <t>F4Q08A</t>
  </si>
  <si>
    <t>F1Q09A</t>
  </si>
  <si>
    <t>F2Q09A</t>
  </si>
  <si>
    <t>F3Q09A</t>
  </si>
  <si>
    <t>F4Q09A</t>
  </si>
  <si>
    <t>F1Q10A</t>
  </si>
  <si>
    <t>F2Q10A</t>
  </si>
  <si>
    <t>F3Q10A</t>
  </si>
  <si>
    <t>F4Q10A</t>
  </si>
  <si>
    <t>F1Q11A</t>
  </si>
  <si>
    <t>F2Q11A</t>
  </si>
  <si>
    <t>F3Q11A</t>
  </si>
  <si>
    <t>F4Q11A</t>
  </si>
  <si>
    <t>F1Q12A</t>
  </si>
  <si>
    <t>F2Q12A</t>
  </si>
  <si>
    <t>FY2005A</t>
  </si>
  <si>
    <t>FY2006A</t>
  </si>
  <si>
    <t>FY2007A</t>
  </si>
  <si>
    <t>FY2008A</t>
  </si>
  <si>
    <t>FY2009A</t>
  </si>
  <si>
    <t>FY2010A</t>
  </si>
  <si>
    <t>FY2011A</t>
  </si>
  <si>
    <t>CY2005</t>
  </si>
  <si>
    <t>CY2006</t>
  </si>
  <si>
    <t>CY2007</t>
  </si>
  <si>
    <t>CY2008</t>
  </si>
  <si>
    <t>CY2009</t>
  </si>
  <si>
    <t>CY2010</t>
  </si>
  <si>
    <t>CY2011</t>
  </si>
  <si>
    <t>F3Q12A</t>
  </si>
  <si>
    <t>C2Q12A</t>
  </si>
  <si>
    <t>Company</t>
  </si>
  <si>
    <t>Q/Q Change</t>
  </si>
  <si>
    <t>Analog Devices, Inc. GAAP Income Statement</t>
  </si>
  <si>
    <t>Other OpEx</t>
  </si>
  <si>
    <t>Operating Margin %</t>
  </si>
  <si>
    <t>Total Interest Income (net) and Other Income</t>
  </si>
  <si>
    <t>PBT</t>
  </si>
  <si>
    <t>Income Tax Expense (Benefit)</t>
  </si>
  <si>
    <t>Effective tax rate %</t>
  </si>
  <si>
    <t>Income (Loss) from Discontinued Operations</t>
  </si>
  <si>
    <t>Y/Y Change</t>
  </si>
  <si>
    <t>One-time Items</t>
  </si>
  <si>
    <t>SIA Data</t>
  </si>
  <si>
    <t>F4Q12A</t>
  </si>
  <si>
    <t>C3Q12A</t>
  </si>
  <si>
    <t>% of Rev. Growth</t>
  </si>
  <si>
    <t>SG&amp;A - MW</t>
  </si>
  <si>
    <t>Average Basic Shares</t>
  </si>
  <si>
    <t>Average Diluted Shares</t>
  </si>
  <si>
    <t>Share Summary and Other</t>
  </si>
  <si>
    <r>
      <t xml:space="preserve">Period-end Shares </t>
    </r>
    <r>
      <rPr>
        <sz val="11"/>
        <color indexed="10"/>
        <rFont val="Arial"/>
        <family val="2"/>
      </rPr>
      <t>(DO NOT DELETE)</t>
    </r>
  </si>
  <si>
    <t>Repurchases ($'s)</t>
  </si>
  <si>
    <t>Repurchases (shares)</t>
  </si>
  <si>
    <t>Vesting Shares / Options</t>
  </si>
  <si>
    <t>PBT Margin</t>
  </si>
  <si>
    <t>PBT Margin - MW</t>
  </si>
  <si>
    <t>COGs</t>
  </si>
  <si>
    <t>Interest Income</t>
  </si>
  <si>
    <t>Interest Expense</t>
  </si>
  <si>
    <t>Net Income Margin</t>
  </si>
  <si>
    <t>Net Income - MW</t>
  </si>
  <si>
    <t>Net Income Margin - MW</t>
  </si>
  <si>
    <t>Extraordinary Items</t>
  </si>
  <si>
    <t>Tax Impact</t>
  </si>
  <si>
    <t>Extraordinary Items, net of tax</t>
  </si>
  <si>
    <t>Net Income - Continuing Ops</t>
  </si>
  <si>
    <t>Net Income to Common</t>
  </si>
  <si>
    <t>EPS - MW</t>
  </si>
  <si>
    <t>Stock Based Compensation</t>
  </si>
  <si>
    <t>Share Additions / Subtractions</t>
  </si>
  <si>
    <t>BOP Shares</t>
  </si>
  <si>
    <t>EOP Shares</t>
  </si>
  <si>
    <t>Shares</t>
  </si>
  <si>
    <t>LT Debt and Interest Expense</t>
  </si>
  <si>
    <t>Implied Interest Rate</t>
  </si>
  <si>
    <t>Change:</t>
  </si>
  <si>
    <t>Basic Shares</t>
  </si>
  <si>
    <t>Diluted Shares</t>
  </si>
  <si>
    <t>Plug</t>
  </si>
  <si>
    <t>FY2012A</t>
  </si>
  <si>
    <t>F1Q13A</t>
  </si>
  <si>
    <t>C4Q12A</t>
  </si>
  <si>
    <t>Low 70s</t>
  </si>
  <si>
    <t>Note: Utilization</t>
  </si>
  <si>
    <t>Mid 50s</t>
  </si>
  <si>
    <t>C1Q13A</t>
  </si>
  <si>
    <t>F2Q13A</t>
  </si>
  <si>
    <t>Plus: Depreciation</t>
  </si>
  <si>
    <t>Plus: Amortization</t>
  </si>
  <si>
    <t>Less: Capex</t>
  </si>
  <si>
    <t>Plus: Net Interest Expense</t>
  </si>
  <si>
    <t>Unlevered FCF</t>
  </si>
  <si>
    <t>EBITDA</t>
  </si>
  <si>
    <t>US Tax Rate</t>
  </si>
  <si>
    <t>Taxes</t>
  </si>
  <si>
    <t>MW Taxes</t>
  </si>
  <si>
    <t>% Reinvested vs. % Reserved</t>
  </si>
  <si>
    <t>Tax Adjustment</t>
  </si>
  <si>
    <t>Adj. Net Income</t>
  </si>
  <si>
    <t>Tax Adj. EPS</t>
  </si>
  <si>
    <t>Note: Tax-Adjusted Figures</t>
  </si>
  <si>
    <t>mid 60s</t>
  </si>
  <si>
    <t>C2Q13A</t>
  </si>
  <si>
    <t>F3Q13A</t>
  </si>
  <si>
    <t>C4Q14E</t>
  </si>
  <si>
    <t>CY2015</t>
  </si>
  <si>
    <t>LLTC</t>
  </si>
  <si>
    <t>F4Q13A</t>
  </si>
  <si>
    <t>C3Q13A</t>
  </si>
  <si>
    <t>FY2013A</t>
  </si>
  <si>
    <t>F1Q14A</t>
  </si>
  <si>
    <t>2.875.% Senior Unsecured Notes due June 2023</t>
  </si>
  <si>
    <t>2.875% Senior Unsecured Notes due June 2023</t>
  </si>
  <si>
    <t>C4Q13A</t>
  </si>
  <si>
    <t>Mid 60s</t>
  </si>
  <si>
    <t>F2Q14A</t>
  </si>
  <si>
    <t>Mid 70s</t>
  </si>
  <si>
    <t>CY2016</t>
  </si>
  <si>
    <t>F3Q14A</t>
  </si>
  <si>
    <t>C2Q14A</t>
  </si>
  <si>
    <t>C3Q14A</t>
  </si>
  <si>
    <t>F4Q14A</t>
  </si>
  <si>
    <t>FY2014A</t>
  </si>
  <si>
    <t>C1Q15A</t>
  </si>
  <si>
    <t>F2Q15A</t>
  </si>
  <si>
    <t>CY16</t>
  </si>
  <si>
    <t>C2Q15A</t>
  </si>
  <si>
    <t>F3Q15A</t>
  </si>
  <si>
    <t>C3Q15A</t>
  </si>
  <si>
    <t>F4Q15A</t>
  </si>
  <si>
    <t>C4Q14A</t>
  </si>
  <si>
    <t>C1Q14A</t>
  </si>
  <si>
    <t>F1Q15A</t>
  </si>
  <si>
    <t>FY2015A</t>
  </si>
  <si>
    <t>C1Q18E</t>
  </si>
  <si>
    <t>C2Q18E</t>
  </si>
  <si>
    <t>C3Q18E</t>
  </si>
  <si>
    <t>F2Q18E</t>
  </si>
  <si>
    <t>F3Q18E</t>
  </si>
  <si>
    <t>F4Q18E</t>
  </si>
  <si>
    <t>CY2017</t>
  </si>
  <si>
    <t>F1Q16A</t>
  </si>
  <si>
    <t>C4Q15A</t>
  </si>
  <si>
    <t>Less: Debt</t>
  </si>
  <si>
    <t>56</t>
  </si>
  <si>
    <t>C1Q16A</t>
  </si>
  <si>
    <t>F2Q16A</t>
  </si>
  <si>
    <t>B2B</t>
  </si>
  <si>
    <t>CY2018</t>
  </si>
  <si>
    <t>3.9% Senior Unsecured Notes due Dec 2015</t>
  </si>
  <si>
    <t>5.3% Senior Unsecured Notes due Dec 2045</t>
  </si>
  <si>
    <t>F3Q16A</t>
  </si>
  <si>
    <t>C2Q16A</t>
  </si>
  <si>
    <t>F4Q16A</t>
  </si>
  <si>
    <t>C3Q16A</t>
  </si>
  <si>
    <t>FY2016A</t>
  </si>
  <si>
    <t>C4Q18E</t>
  </si>
  <si>
    <t>C1Q19E</t>
  </si>
  <si>
    <t>C2Q19E</t>
  </si>
  <si>
    <t>C3Q19E</t>
  </si>
  <si>
    <t>F1Q19E</t>
  </si>
  <si>
    <t>F2Q19E</t>
  </si>
  <si>
    <t>F3Q19E</t>
  </si>
  <si>
    <t>F4Q19E</t>
  </si>
  <si>
    <t>sequential change</t>
  </si>
  <si>
    <t>C4Q16P</t>
  </si>
  <si>
    <t>F1Q17A</t>
  </si>
  <si>
    <t>Core ADI Industrial</t>
  </si>
  <si>
    <t>LLTC industrial</t>
  </si>
  <si>
    <t>Core ADI Automotive</t>
  </si>
  <si>
    <t>LLTC Automotive</t>
  </si>
  <si>
    <t>Core ADI Consumer</t>
  </si>
  <si>
    <t>LLTC Consumer</t>
  </si>
  <si>
    <t>Core ADI Communication</t>
  </si>
  <si>
    <t>LLTC Communication</t>
  </si>
  <si>
    <t xml:space="preserve">Core ADI </t>
  </si>
  <si>
    <t>ADI Bottoms Up Gross Margins:</t>
  </si>
  <si>
    <t>LLTC COGS</t>
  </si>
  <si>
    <t>LLTC Gross Margin %</t>
  </si>
  <si>
    <t>Core ADI</t>
  </si>
  <si>
    <t>Synergies</t>
  </si>
  <si>
    <t>COGS Worksheet:</t>
  </si>
  <si>
    <t>Variable cost portion</t>
  </si>
  <si>
    <t>% of Revenues</t>
  </si>
  <si>
    <t>Profit sharing portion</t>
  </si>
  <si>
    <t>Other fixed costs</t>
  </si>
  <si>
    <t>distributor deferred revenue adjustments</t>
  </si>
  <si>
    <t>LLTC total revenue</t>
  </si>
  <si>
    <t>LLTC Contribution</t>
  </si>
  <si>
    <t>LLTC contribution</t>
  </si>
  <si>
    <t>Total</t>
  </si>
  <si>
    <t>Apple Impact</t>
  </si>
  <si>
    <t>Original ADI Consumer</t>
  </si>
  <si>
    <t>C1Q17A</t>
  </si>
  <si>
    <t>F2Q17A</t>
  </si>
  <si>
    <t>Linear Tech bookings by end market</t>
  </si>
  <si>
    <t>Military</t>
  </si>
  <si>
    <t>Percent of ADI Revenue</t>
  </si>
  <si>
    <t>Percent of LLTC Revenue</t>
  </si>
  <si>
    <t>Lowered ADI Consumer</t>
  </si>
  <si>
    <t>Total COGS</t>
  </si>
  <si>
    <t>Current estimate vs prior lowered numbers</t>
  </si>
  <si>
    <t>Apple % of sales</t>
  </si>
  <si>
    <t>Revenues - non GAAP</t>
  </si>
  <si>
    <t>C2Q17A</t>
  </si>
  <si>
    <t>F3Q17A</t>
  </si>
  <si>
    <t>ADI Gross Margin</t>
  </si>
  <si>
    <t>C4Q19E</t>
  </si>
  <si>
    <t>C1Q20E</t>
  </si>
  <si>
    <t>C2Q20E</t>
  </si>
  <si>
    <t>C3Q20E</t>
  </si>
  <si>
    <t>F1Q20E</t>
  </si>
  <si>
    <t>F2Q20E</t>
  </si>
  <si>
    <t>F3Q20E</t>
  </si>
  <si>
    <t>F4Q20E</t>
  </si>
  <si>
    <t>FY2020E</t>
  </si>
  <si>
    <t>CY2019</t>
  </si>
  <si>
    <t>C3Q17A</t>
  </si>
  <si>
    <t>F4Q17A</t>
  </si>
  <si>
    <t>FY2017A</t>
  </si>
  <si>
    <t>C4Q17A</t>
  </si>
  <si>
    <t>F1Q18A</t>
  </si>
  <si>
    <t>108</t>
  </si>
  <si>
    <t>Research</t>
  </si>
  <si>
    <t xml:space="preserve">   Manual Calculation   </t>
  </si>
  <si>
    <t xml:space="preserve">   #NAME?   </t>
  </si>
  <si>
    <t>e = Morgan Stanley Research estimates unless otherwise noted</t>
  </si>
  <si>
    <t>Source: Morgan Stanley Research unless otherwise noted</t>
  </si>
  <si>
    <t>Stocks ratings are relative to the analyst's industry coverage universe.</t>
  </si>
  <si>
    <t>1585 Broadway</t>
  </si>
  <si>
    <t>New York, NY  10036-8293</t>
  </si>
  <si>
    <t>Tel: +1 (1)212 761 4000</t>
  </si>
  <si>
    <t>Authors: Craig Hettenbach, Joseph Moore</t>
  </si>
  <si>
    <t>Date: 28 Feb 2018</t>
  </si>
  <si>
    <t>Ticker: ADI.O</t>
  </si>
  <si>
    <t>Stock Rating: Overweight</t>
  </si>
  <si>
    <t>Industry: Semiconductors</t>
  </si>
  <si>
    <t>Industry View: In-Line</t>
  </si>
  <si>
    <t>Price as of 28 Feb 2018: 90.15</t>
  </si>
  <si>
    <t>Target Price: 108</t>
  </si>
  <si>
    <t>Analyst Certification</t>
  </si>
  <si>
    <t>Unless otherwise stated, the individuals listed on the cover page of this report are research analysts.</t>
  </si>
  <si>
    <t>Global Research Conflict Management Policy</t>
  </si>
  <si>
    <t>Important US Regulatory Disclosures on Subject Companies</t>
  </si>
  <si>
    <t>Morgan Stanley &amp; Co. LLC makes a market in the securities of Analog Devices Inc..</t>
  </si>
  <si>
    <t>STOCK RATINGS</t>
  </si>
  <si>
    <t>Global Stock Ratings Distribution</t>
  </si>
  <si>
    <t>(as of February 28, 2018)</t>
  </si>
  <si>
    <t>Coverage Universe</t>
  </si>
  <si>
    <t>Investment Banking Clients (IBC)</t>
  </si>
  <si>
    <t>Other Material Investment Services Clients (MISC)</t>
  </si>
  <si>
    <t>Stock Rating Category</t>
  </si>
  <si>
    <t>% of Total</t>
  </si>
  <si>
    <t>% of Total IBC</t>
  </si>
  <si>
    <t>% of Rating Category</t>
  </si>
  <si>
    <t>% of Total Other MISC</t>
  </si>
  <si>
    <t>Overweight/Buy</t>
  </si>
  <si>
    <t>Equal-weight/Hold</t>
  </si>
  <si>
    <t>Not-Rated/Hold</t>
  </si>
  <si>
    <t>Underweight/Sell</t>
  </si>
  <si>
    <t>Analyst Stock Ratings</t>
  </si>
  <si>
    <t>Analyst Industry Views</t>
  </si>
  <si>
    <t>.</t>
  </si>
  <si>
    <t>Stock Price, Price Target and Rating History (See Rating Definitions)</t>
  </si>
  <si>
    <t>Important Disclosures for Morgan Stanley Smith Barney LLC Customers</t>
  </si>
  <si>
    <t>Other Important Disclosures</t>
  </si>
  <si>
    <t>Morgan Stanley Research, or any portion thereof may not be reprinted, sold or redistributed without the</t>
  </si>
  <si>
    <t>written consent of Morgan Stanley.</t>
  </si>
  <si>
    <t>The trademarks and service marks contained in Morgan Stanley Research are the property of their</t>
  </si>
  <si>
    <t>respective owners. Third-party data providers make no warranties or representations relating to the</t>
  </si>
  <si>
    <t>accuracy, completeness, or timeliness of the data they provide and shall not have liability for any</t>
  </si>
  <si>
    <t>damages relating to such data. The Global Industry Classification Standard (GICS) was developed by and</t>
  </si>
  <si>
    <t>is the exclusive property of MSCI and S&amp;P.</t>
  </si>
  <si>
    <t>As required by the Capital Markets Board of Turkey, investment information, comments and recommendations</t>
  </si>
  <si>
    <t>stated here, are not within the scope of investment advisory activity. Investment advisory service is</t>
  </si>
  <si>
    <t>provided exclusively to persons based on their risk and income preferences by the authorized firms.</t>
  </si>
  <si>
    <t>Comments and recommendations stated here are general in nature. These opinions may not fit to your</t>
  </si>
  <si>
    <t>financial status, risk and return preferences. For this reason, to make an investment decision by</t>
  </si>
  <si>
    <t>relying solely to this information stated here may not bring about outcomes that fit your expectations.</t>
  </si>
  <si>
    <t>The information in Morgan Stanley Research is being communicated by Morgan Stanley &amp; Co. International</t>
  </si>
  <si>
    <t>plc (QFC Branch), regulated by the Qatar Financial Centre Regulatory Authority (the QFCRA), and is</t>
  </si>
  <si>
    <t>directed at business customers and market counterparties only and is not intended for Retail Customers</t>
  </si>
  <si>
    <t>as defined by the QFCRA.</t>
  </si>
  <si>
    <t>plc (DIFC Branch), regulated by the Dubai Financial Services Authority (the DFSA), and is directed at</t>
  </si>
  <si>
    <t>Professional Clients only, as defined by the DFSA. The financial products or financial services to which</t>
  </si>
  <si>
    <t>this research relates will only be made available to a customer who we are satisfied meets the</t>
  </si>
  <si>
    <t>regulatory criteria to be a Professional Client.</t>
  </si>
  <si>
    <t>Morgan Stanley Research is disseminated in Brazil by Morgan Stanley C.T.V.M. S.A.; in Mexico by Morgan</t>
  </si>
  <si>
    <t>Stanley México, Casa de Bolsa, S.A. de C.V which is regulated by Comision Nacional Bancaria y de</t>
  </si>
  <si>
    <t>Valores. Paseo de los Tamarindos 90, Torre 1, Col. Bosques de las Lomas Floor 29, 05120 Mexico City; in</t>
  </si>
  <si>
    <t>Japan by Morgan Stanley MUFG Securities Co., Ltd. and, for Commodities related research reports only,</t>
  </si>
  <si>
    <t>Morgan Stanley Capital Group Japan Co., Ltd; in Hong Kong by Morgan Stanley Asia Limited (which accepts</t>
  </si>
  <si>
    <t>responsibility for its contents) and by Morgan Stanley Asia International Limited, Hong Kong Branch; in</t>
  </si>
  <si>
    <t>Singapore by Morgan Stanley Asia (Singapore) Pte. (Registration number 199206298Z) and/or Morgan Stanley</t>
  </si>
  <si>
    <t>Asia (Singapore) Securities Pte Ltd (Registration number 200008434H), regulated by the Monetary</t>
  </si>
  <si>
    <t>Authority of Singapore (which accepts legal responsibility for its contents and should be contacted with</t>
  </si>
  <si>
    <t>respect to any matters arising from, or in connection with, Morgan Stanley Research) and by Morgan</t>
  </si>
  <si>
    <t>Stanley Asia International Limited, Singapore Branch (Registration number T11FC0207F); in Australia to</t>
  </si>
  <si>
    <t>"wholesale clients" within the meaning of the Australian Corporations Act by Morgan Stanley Australia</t>
  </si>
  <si>
    <t>Limited A.B.N. 67 003 734 576, holder of Australian financial services license No. 233742, which accepts</t>
  </si>
  <si>
    <t>responsibility for its contents; in Australia to "wholesale clients" and "retail clients" within the</t>
  </si>
  <si>
    <t>meaning of the Australian Corporations Act by Morgan Stanley Wealth Management Australia Pty Ltd (A.B.N.</t>
  </si>
  <si>
    <t>19 009 145 555, holder of Australian financial services license No. 240813, which accepts responsibility</t>
  </si>
  <si>
    <t>for its contents; in Korea by Morgan Stanley &amp; Co International plc, Seoul Branch; in India by Morgan</t>
  </si>
  <si>
    <t>Stanley India Company Private Limited; in Indonesia by PT. Morgan Stanley Sekuritas Indonesia; in Canada</t>
  </si>
  <si>
    <t>by Morgan Stanley Canada Limited, which has approved of and takes responsibility for its contents in</t>
  </si>
  <si>
    <t>Canada; in Germany by Morgan Stanley Bank AG, Frankfurt am Main and Morgan Stanley Private Wealth</t>
  </si>
  <si>
    <t>Management Limited, Niederlassung Deutschland, regulated by Bundesanstalt fuer</t>
  </si>
  <si>
    <t>Finanzdienstleistungsaufsicht (BaFin); in Spain by Morgan Stanley, S.V., S.A., a Morgan Stanley group</t>
  </si>
  <si>
    <t>company, which is supervised by the Spanish Securities Markets Commission (CNMV) and states that Morgan</t>
  </si>
  <si>
    <t>Stanley Research has been written and distributed in accordance with the rules of conduct applicable to</t>
  </si>
  <si>
    <t>financial research as established under Spanish regulations; in the US by Morgan Stanley &amp; Co. LLC,</t>
  </si>
  <si>
    <t>which accepts responsibility for its contents. Morgan Stanley &amp; Co. International plc, authorized by the</t>
  </si>
  <si>
    <t>Prudential Regulatory Authority and regulated by the Financial Conduct Authority and the Prudential</t>
  </si>
  <si>
    <t>Regulatory Authority, disseminates in the UK research that it has prepared, and approves solely for the</t>
  </si>
  <si>
    <t>purposes of section 21 of the Financial Services and Markets Act 2000, research which has been prepared</t>
  </si>
  <si>
    <t>by any of its affiliates. RMB Morgan Stanley Proprietary Limited is a member of the JSE Limited and</t>
  </si>
  <si>
    <t>regulated by the Financial Services Board in South Africa. RMB Morgan Stanley Proprietary Limited is a</t>
  </si>
  <si>
    <t>joint venture owned equally by Morgan Stanley International Holdings Inc. and RMB Investment Advisory</t>
  </si>
  <si>
    <t>(Proprietary) Limited, which is wholly owned by FirstRand Limited. The information in Morgan Stanley</t>
  </si>
  <si>
    <t>Research is being disseminated by Morgan Stanley Saudi Arabia, regulated by the Capital Market Authority</t>
  </si>
  <si>
    <t>in the Kingdom of Saudi Arabia , and is directed at Sophisticated investors only.</t>
  </si>
  <si>
    <t>Morgan Stanley is not incorporated under PRC law and the research in relation to this report is</t>
  </si>
  <si>
    <t>conducted outside the PRC. Morgan Stanley Research does not constitute an offer to sell or the</t>
  </si>
  <si>
    <t>solicitation of an offer to buy any securities in the PRC. PRC investors shall have the relevant</t>
  </si>
  <si>
    <t>qualifications to invest in such securities and shall be responsible for obtaining all relevant</t>
  </si>
  <si>
    <t>approvals, licenses, verifications and/or registrations from the relevant governmental authorities</t>
  </si>
  <si>
    <t>themselves. Neither this report nor any part of it is intended as, or shall constitute, provision of any</t>
  </si>
  <si>
    <t>consultancy or advisory service of securities investment as defined under PRC law. Such information is</t>
  </si>
  <si>
    <t>provided for your reference only.</t>
  </si>
  <si>
    <t>To our readers based in Taiwan or trading in Taiwan securities/instruments: Information on</t>
  </si>
  <si>
    <t>securities/instruments that trade in Taiwan is distributed by Morgan Stanley Taiwan Limited ("MSTL").</t>
  </si>
  <si>
    <t>Such information is for your reference only. The reader should independently evaluate the investment</t>
  </si>
  <si>
    <t>risks and is solely responsible for their investment decisions. Morgan Stanley Research may not be</t>
  </si>
  <si>
    <t>distributed to the public media or quoted or used by the public media without the express written</t>
  </si>
  <si>
    <t>consent of Morgan Stanley. Any non-customer reader within the scope of Article 7-1 of the Taiwan Stock</t>
  </si>
  <si>
    <t>Exchange Recommendation Regulations accessing and/or receiving Morgan Stanley Research is not permitted</t>
  </si>
  <si>
    <t>to provide Morgan Stanley Research to any third party (including but not limited to related parties,</t>
  </si>
  <si>
    <t>affiliated companies and any other third parties) or engage in any activities regarding Morgan Stanley</t>
  </si>
  <si>
    <t>Research which may create or give the appearance of creating a conflict of interest. Information on</t>
  </si>
  <si>
    <t>securities/instruments that do not trade in Taiwan is for informational purposes only and is not to be</t>
  </si>
  <si>
    <t>construed as a recommendation or a solicitation to trade in such securities/instruments. MSTL may not</t>
  </si>
  <si>
    <t>execute transactions for clients in these securities/instruments.</t>
  </si>
  <si>
    <t>Morgan Stanley may make investment decisions that are inconsistent with the recommendations or views in</t>
  </si>
  <si>
    <t>this report.</t>
  </si>
  <si>
    <t>Morgan Stanley Research personnel may participate in company events such as site visits and are</t>
  </si>
  <si>
    <t>generally prohibited from accepting payment by the company of associated expenses unless pre-approved by</t>
  </si>
  <si>
    <t>authorized members of Research management.</t>
  </si>
  <si>
    <t>With the exception of information regarding Morgan Stanley, Morgan Stanley Research is based on public</t>
  </si>
  <si>
    <t>information. Morgan Stanley makes every effort to use reliable, comprehensive information, but we make</t>
  </si>
  <si>
    <t>no representation that it is accurate or complete. We have no obligation to tell you when opinions or</t>
  </si>
  <si>
    <t>information in Morgan Stanley Research change apart from when we intend to discontinue equity research</t>
  </si>
  <si>
    <t>coverage of a subject company. Facts and views presented in Morgan Stanley Research have not been</t>
  </si>
  <si>
    <t>reviewed by, and may not reflect information known to, professionals in other Morgan Stanley business</t>
  </si>
  <si>
    <t>areas, including investment banking personnel.</t>
  </si>
  <si>
    <t>The "Important US Regulatory Disclosures on Subject Companies" section in Morgan Stanley Research lists</t>
  </si>
  <si>
    <t>all companies mentioned where Morgan Stanley owns 1% or more of a class of common equity securities of</t>
  </si>
  <si>
    <t>the companies. For all other companies mentioned in Morgan Stanley Research, Morgan Stanley may have an</t>
  </si>
  <si>
    <t>investment of less than 1% in securities/instruments or derivatives of securities/instruments of</t>
  </si>
  <si>
    <t>companies and may trade them in ways different from those discussed in Morgan Stanley Research.</t>
  </si>
  <si>
    <t>Employees of Morgan Stanley not involved in the preparation of Morgan Stanley Research may have</t>
  </si>
  <si>
    <t>investments in securities/instruments or derivatives of securities/instruments of companies mentioned</t>
  </si>
  <si>
    <t>and may trade them in ways different from those discussed in Morgan Stanley Research. Derivatives may be</t>
  </si>
  <si>
    <t>issued by Morgan Stanley or associated persons.</t>
  </si>
  <si>
    <t>The fixed income research analysts, strategists or economists principally responsible for the</t>
  </si>
  <si>
    <t>preparation of Morgan Stanley Research have received compensation based upon various factors, including</t>
  </si>
  <si>
    <t>quality, accuracy and value of research, firm profitability or revenues (which include fixed income</t>
  </si>
  <si>
    <t>trading and capital markets profitability or revenues), client feedback and competitive factors. Fixed</t>
  </si>
  <si>
    <t>Income Research analysts', strategists' or economists' compensation is not linked to investment banking</t>
  </si>
  <si>
    <t>or capital markets transactions performed by Morgan Stanley or the profitability or revenues of</t>
  </si>
  <si>
    <t>particular trading desks.</t>
  </si>
  <si>
    <t>Morgan Stanley Research does not provide individually tailored investment advice. Morgan Stanley</t>
  </si>
  <si>
    <t>Research has been prepared without regard to the circumstances and objectives of those who receive it.</t>
  </si>
  <si>
    <t>Morgan Stanley recommends that investors independently evaluate particular investments and strategies,</t>
  </si>
  <si>
    <t>and encourages investors to seek the advice of a financial adviser. The appropriateness of an investment</t>
  </si>
  <si>
    <t>or strategy will depend on an investor's circumstances and objectives. The securities, instruments, or</t>
  </si>
  <si>
    <t>strategies discussed in Morgan Stanley Research may not be suitable for all investors, and certain</t>
  </si>
  <si>
    <t>investors may not be eligible to purchase or participate in some or all of them. Morgan Stanley Research</t>
  </si>
  <si>
    <t>is not an offer to buy or sell or the solicitation of an offer to buy or sell any security/instrument or</t>
  </si>
  <si>
    <t>to participate in any particular trading strategy. The value of and income from your investments may</t>
  </si>
  <si>
    <t>vary because of changes in interest rates, foreign exchange rates, default rates, prepayment rates,</t>
  </si>
  <si>
    <t>securities/instruments prices, market indexes, operational or financial conditions of companies or other</t>
  </si>
  <si>
    <t>factors. There may be time limitations on the exercise of options or other rights in</t>
  </si>
  <si>
    <t>securities/instruments transactions. Past performance is not necessarily a guide to future performance.</t>
  </si>
  <si>
    <t>Estimates of future performance are based on assumptions that may not be realized. If provided, and</t>
  </si>
  <si>
    <t>unless otherwise stated, the closing price on the cover page is that of the primary exchange for the</t>
  </si>
  <si>
    <t>subject company's securities/instruments.</t>
  </si>
  <si>
    <t>If you do not agree to our Terms of Use and/or if you do not wish to provide your consent to Morgan</t>
  </si>
  <si>
    <t>Stanley processing your personal data or using cookies please do not access our research.</t>
  </si>
  <si>
    <t>Any access and/or use of Morgan Stanley Research is subject to Morgan Stanley's Terms of Use</t>
  </si>
  <si>
    <t>(http://www.morganstanley.com/terms.html). By accessing and/or using Morgan Stanley Research, you are</t>
  </si>
  <si>
    <t>indicating that you have read and agree to be bound by our Terms of Use</t>
  </si>
  <si>
    <t>(http://www.morganstanley.com/terms.html). In addition you consent to Morgan Stanley processing your</t>
  </si>
  <si>
    <t>personal data and using cookies in accordance with our Privacy Policy and our Global Cookies Policy</t>
  </si>
  <si>
    <t>(http://www.morganstanley.com/privacy_pledge.html), including for the purposes of setting your</t>
  </si>
  <si>
    <t>preferences and to collect readership data so that we can deliver better and more personalized service</t>
  </si>
  <si>
    <t>and products to you. To find out more information about how Morgan Stanley processes personal data, how</t>
  </si>
  <si>
    <t>we use cookies and how to reject cookies see our Privacy Policy and our Global Cookies Policy</t>
  </si>
  <si>
    <t>(http://www.morganstanley.com/privacy_pledge.html).</t>
  </si>
  <si>
    <t>Morgan Stanley Research is provided to our clients through our proprietary research portal on Matrix and</t>
  </si>
  <si>
    <t>also distributed electronically by Morgan Stanley to clients. Certain, but not all, Morgan Stanley</t>
  </si>
  <si>
    <t>Research products are also made available to clients through third-party vendors or redistributed to</t>
  </si>
  <si>
    <t>clients through alternate electronic means as a convenience. For access to all available Morgan Stanley</t>
  </si>
  <si>
    <t>Research, please contact your sales representative or go to Matrix at</t>
  </si>
  <si>
    <t>http://www.morganstanley.com/matrix.</t>
  </si>
  <si>
    <t>Morgan Stanley produces an equity research product called a "Tactical Idea." Views contained in a</t>
  </si>
  <si>
    <t>"Tactical Idea" on a particular stock may be contrary to the recommendations or views expressed in</t>
  </si>
  <si>
    <t>research on the same stock. This may be the result of differing time horizons, methodologies, market</t>
  </si>
  <si>
    <t>events, or other factors. For all research available on a particular stock, please contact your sales</t>
  </si>
  <si>
    <t>representative or go to Matrix at http://www.morganstanley.com/matrix.</t>
  </si>
  <si>
    <t>Morgan Stanley is not acting as a municipal advisor and the opinions or views contained herein are not</t>
  </si>
  <si>
    <t>intended to be, and do not constitute, advice within the meaning of Section 975 of the Dodd-Frank Wall</t>
  </si>
  <si>
    <t>Street Reform and Consumer Protection Act.</t>
  </si>
  <si>
    <t>Morgan Stanley Research policy is to update research reports as and when the Research Analyst and</t>
  </si>
  <si>
    <t>Research Management deem appropriate, based on developments with the issuer, the sector, or the market</t>
  </si>
  <si>
    <t>that may have a material impact on the research views or opinions stated therein. In addition, certain</t>
  </si>
  <si>
    <t>Research publications are intended to be updated on a regular periodic basis</t>
  </si>
  <si>
    <t>(weekly/monthly/quarterly/annual) and will ordinarily be updated with that frequency, unless the</t>
  </si>
  <si>
    <t>Research Analyst and Research Management determine that a different publication schedule is appropriate</t>
  </si>
  <si>
    <t>based on current conditions.</t>
  </si>
  <si>
    <t>Morgan Stanley &amp; Co. International PLC and its affiliates have a significant financial interest in the</t>
  </si>
  <si>
    <t>debt securities of Analog Devices Inc..</t>
  </si>
  <si>
    <t>Each Morgan Stanley Equity Research report is reviewed and approved on behalf of Morgan Stanley Smith</t>
  </si>
  <si>
    <t>Barney LLC. This review and approval is conducted by the same person who reviews the Equity Research</t>
  </si>
  <si>
    <t>report on behalf of Morgan Stanley. This could create a conflict of interest.</t>
  </si>
  <si>
    <t>Important disclosures regarding the relationship between the companies that are the subject of Morgan</t>
  </si>
  <si>
    <t>Stanley Research and Morgan Stanley Smith Barney LLC or Morgan Stanley or any of their affiliates, are</t>
  </si>
  <si>
    <t>available on the Morgan Stanley Wealth Management disclosure website at</t>
  </si>
  <si>
    <t>www.morganstanley.com/online/researchdisclosures. For Morgan Stanley specific disclosures, you may refer</t>
  </si>
  <si>
    <t>to www.morganstanley.com/researchdisclosures.</t>
  </si>
  <si>
    <t>Benchmarks for each region are as follows: North America - S&amp;P 500; Latin America - relevant MSCI</t>
  </si>
  <si>
    <t>country index or MSCI Latin America Index; Europe - MSCI Europe; Japan - TOPIX; Asia - relevant MSCI</t>
  </si>
  <si>
    <t>country index or MSCI sub-regional index or MSCI AC Asia Pacific ex Japan Index.</t>
  </si>
  <si>
    <t>Cautious (C): The analyst views the performance of his or her industry coverage universe over the next</t>
  </si>
  <si>
    <t>12-18 months with caution vs. the relevant broad market benchmark, as indicated below.</t>
  </si>
  <si>
    <t>In-Line (I): The analyst expects the performance of his or her industry coverage universe over the next</t>
  </si>
  <si>
    <t>12-18 months to be in line with the relevant broad market benchmark, as indicated below.</t>
  </si>
  <si>
    <t>Attractive (A): The analyst expects the performance of his or her industry coverage universe over the</t>
  </si>
  <si>
    <t>next 12-18 months to be attractive vs. the relevant broad market benchmark, as indicated below.</t>
  </si>
  <si>
    <t>Unless otherwise specified, the time frame for price targets included in Morgan Stanley Research is 12</t>
  </si>
  <si>
    <t>to 18 months.</t>
  </si>
  <si>
    <t>Underweight (U). The stock's total return is expected to be below the average total return of the</t>
  </si>
  <si>
    <t>analyst's industry (or industry team's) coverage universe, on a risk-adjusted basis, over the next 12-18</t>
  </si>
  <si>
    <t>months.</t>
  </si>
  <si>
    <t>Not-Rated (NR). Currently the analyst does not have adequate conviction about the stock's total return</t>
  </si>
  <si>
    <t>relative to the average total return of the analyst's industry (or industry team's) coverage universe,</t>
  </si>
  <si>
    <t>on a risk-adjusted basis, over the next 12-18 months.</t>
  </si>
  <si>
    <t>Equal-weight (E). The stock's total return is expected to be in line with the average total return of</t>
  </si>
  <si>
    <t>the analyst's industry (or industry team's) coverage universe, on a risk-adjusted basis, over the next</t>
  </si>
  <si>
    <t>12-18 months.</t>
  </si>
  <si>
    <t>Overweight (O). The stock's total return is expected to exceed the average total return of the analyst's</t>
  </si>
  <si>
    <t>industry (or industry team's) coverage universe, on a risk-adjusted basis, over the next 12-18 months.</t>
  </si>
  <si>
    <t>Data include common stock and ADRs currently assigned ratings. Investment Banking Clients are companies</t>
  </si>
  <si>
    <t>from whom Morgan Stanley received investment banking compensation in the last 12 months. Due to rounding</t>
  </si>
  <si>
    <t>off of decimals, the percentages provided in the "% of total" column may not add up to exactly 100</t>
  </si>
  <si>
    <t>percent.</t>
  </si>
  <si>
    <t>For disclosure purposes only (in accordance with NASD and NYSE requirements), we include the category</t>
  </si>
  <si>
    <t>headings of Buy, Hold, and Sell alongside our ratings of Overweight, Equal-weight, Not-Rated and</t>
  </si>
  <si>
    <t>Underweight. Morgan Stanley does not assign ratings of Buy, Hold or Sell to the stocks we cover.</t>
  </si>
  <si>
    <t>Overweight, Equal-weight, Not-Rated and Underweight are not the equivalent of buy, hold, and sell but</t>
  </si>
  <si>
    <t>represent recommended relative weightings (see definitions below). To satisfy regulatory requirements,</t>
  </si>
  <si>
    <t>we correspond Overweight, our most positive stock rating, with a buy recommendation; we correspond</t>
  </si>
  <si>
    <t>Equal-weight and Not-Rated to hold and Underweight to sell recommendations, respectively.</t>
  </si>
  <si>
    <t>The Stock Ratings described below apply to Morgan Stanley's Fundamental Equity Research and do not apply</t>
  </si>
  <si>
    <t>to Debt Research produced by the Firm.</t>
  </si>
  <si>
    <t>Morgan Stanley uses a relative rating system using terms such as Overweight, Equal-weight, Not-Rated or</t>
  </si>
  <si>
    <t>Underweight (see definitions below). Morgan Stanley does not assign ratings of Buy, Hold or Sell to the</t>
  </si>
  <si>
    <t>stocks we cover. Overweight, Equal-weight, Not-Rated and Underweight are not the equivalent of buy, hold</t>
  </si>
  <si>
    <t>and sell. Investors should carefully read the definitions of all ratings used in Morgan Stanley</t>
  </si>
  <si>
    <t>Research. In addition, since Morgan Stanley Research contains more complete information concerning the</t>
  </si>
  <si>
    <t>analyst's views, investors should carefully read Morgan Stanley Research, in its entirety, and not infer</t>
  </si>
  <si>
    <t>the contents from the rating alone. In any case, ratings (or research) should not be used or relied upon</t>
  </si>
  <si>
    <t>as investment advice. An investor's decision to buy or sell a stock should depend on individual</t>
  </si>
  <si>
    <t>circumstances (such as the investor's existing holdings) and other considerations.</t>
  </si>
  <si>
    <t>Certain disclosures listed above are also for compliance with applicable regulations in non-US</t>
  </si>
  <si>
    <t>jurisdictions.</t>
  </si>
  <si>
    <t>Morgan Stanley and its affiliates do business that relates to companies/instruments covered in Morgan</t>
  </si>
  <si>
    <t>Stanley Research, including market making, providing liquidity, fund management, commercial banking,</t>
  </si>
  <si>
    <t>extension of credit, investment services and investment banking. Morgan Stanley sells to and buys from</t>
  </si>
  <si>
    <t>customers the securities/instruments of companies covered in Morgan Stanley Research on a principal</t>
  </si>
  <si>
    <t>basis. Morgan Stanley may have a position in the debt of the Company or instruments discussed in this</t>
  </si>
  <si>
    <t>report. Morgan Stanley trades or may trade as principal in the debt securities (or in related</t>
  </si>
  <si>
    <t>derivatives) that are the subject of the debt research report.</t>
  </si>
  <si>
    <t>The equity research analysts or strategists principally responsible for the preparation of Morgan</t>
  </si>
  <si>
    <t>Stanley Research have received compensation based upon various factors, including quality of research,</t>
  </si>
  <si>
    <t>investor client feedback, stock picking, competitive factors, firm revenues and overall investment</t>
  </si>
  <si>
    <t>banking revenues. Equity Research analysts' or strategists' compensation is not linked to investment</t>
  </si>
  <si>
    <t>banking or capital markets transactions performed by Morgan Stanley or the profitability or revenues of</t>
  </si>
  <si>
    <t>Within the last 12 months, Morgan Stanley has either provided or is providing non-investment banking,</t>
  </si>
  <si>
    <t>securities-related services to and/or in the past has entered into an agreement to provide services or</t>
  </si>
  <si>
    <t>has a client relationship with the following company: Analog Devices Inc..</t>
  </si>
  <si>
    <t>Within the last 12 months, Morgan Stanley has provided or is providing investment banking services to,</t>
  </si>
  <si>
    <t>or has an investment banking client relationship with, the following company: Analog Devices Inc..</t>
  </si>
  <si>
    <t>Within the last 12 months, Morgan Stanley has received compensation for products and services other than</t>
  </si>
  <si>
    <t>investment banking services from Analog Devices Inc..</t>
  </si>
  <si>
    <t>In the next 3 months, Morgan Stanley expects to receive or intends to seek compensation for investment</t>
  </si>
  <si>
    <t>banking services from Analog Devices Inc..</t>
  </si>
  <si>
    <t>As of January 31, 2018, Morgan Stanley beneficially owned 1% or more of a class of common equity</t>
  </si>
  <si>
    <t>securities of the following companies covered in Morgan Stanley Research: Analog Devices Inc..</t>
  </si>
  <si>
    <t>Morgan Stanley Research has been published in accordance with our conflict management policy, which is</t>
  </si>
  <si>
    <t>available at www.morganstanley.com/institutional/research/conflictpolicies.</t>
  </si>
  <si>
    <t>The following analysts hereby certify that their views about the companies and their securities</t>
  </si>
  <si>
    <t>discussed in this report are accurately expressed and that they have not received and will not receive</t>
  </si>
  <si>
    <t>direct or indirect compensation in exchange for expressing specific recommendations or views in this</t>
  </si>
  <si>
    <t>report: Craig Hettenbach.</t>
  </si>
  <si>
    <t>For valuation methodology and risks associated with any recommendation, rating or price target</t>
  </si>
  <si>
    <t>referenced in this research report, please contact the Client Support Team as follows: US/Canada +1 800</t>
  </si>
  <si>
    <t>303-2495; Hong Kong +852 2848-5999; Latin America +1 718 754-5444 (U.S.); London +44 (0)20-7425-8169;</t>
  </si>
  <si>
    <t>Singapore +65 6834-6860; Sydney +61 (0)2-9770-1505; Tokyo +81 (0)3-6836-9000. Alternatively you may</t>
  </si>
  <si>
    <t>contact your investment representative or Morgan Stanley Research at 1585 Broadway, (Attention: Research</t>
  </si>
  <si>
    <t>Management), New York, NY 10036 USA.</t>
  </si>
  <si>
    <t>For important disclosures, stock price charts and equity rating histories regarding companies that are</t>
  </si>
  <si>
    <t>the subject of this report, please see the Morgan Stanley Research Disclosure Website at</t>
  </si>
  <si>
    <t>www.morganstanley.com/researchdisclosures, or contact your investment representative or Morgan Stanley</t>
  </si>
  <si>
    <t>Research at 1585 Broadway, (Attention: Research Management), New York, NY, 10036 USA.</t>
  </si>
  <si>
    <t>The information and opinions in Morgan Stanley Research were prepared by Morgan Stanley &amp; Co. LLC,</t>
  </si>
  <si>
    <t>and/or Morgan Stanley C.T.V.M. S.A., and/or Morgan Stanley Mexico, Casa de Bolsa, S.A. de C.V., and/or</t>
  </si>
  <si>
    <t>Morgan Stanley Canada Limited. As used in this disclosure section, "Morgan Stanley" includes Morgan</t>
  </si>
  <si>
    <t>Stanley &amp; Co. LLC, Morgan Stanley C.T.V.M. S.A., Morgan Stanley Mexico, Casa de Bolsa, S.A. de C.V.,</t>
  </si>
  <si>
    <t>Morgan Stanley Canada Limited and their affiliates as necessary.</t>
  </si>
  <si>
    <t>Morgan Stanley does and seeks to do business with companies covered in Morgan Stanley Research. As a</t>
  </si>
  <si>
    <t>result, investors should be aware that the firm may have a conflict of interest that could affect the</t>
  </si>
  <si>
    <t>objectivity of Morgan Stanley Research. Investors should consider Morgan Stanley Research as only a</t>
  </si>
  <si>
    <t>single factor in making their investment decision.</t>
  </si>
  <si>
    <t>© Copyright 2018 Morgan Stanley</t>
  </si>
  <si>
    <t>MacroVersion</t>
  </si>
  <si>
    <t>PublishDate</t>
  </si>
  <si>
    <t>Discipline</t>
  </si>
  <si>
    <t>ResearchTopic</t>
  </si>
  <si>
    <t>DocType</t>
  </si>
  <si>
    <t>Model</t>
  </si>
  <si>
    <t>SubjectCode</t>
  </si>
  <si>
    <t>Description</t>
  </si>
  <si>
    <t>KeepVersions</t>
  </si>
  <si>
    <t>All</t>
  </si>
  <si>
    <t>Rating</t>
  </si>
  <si>
    <t>CurrYearTotalRevenue*</t>
  </si>
  <si>
    <t>CurrYearEPS*</t>
  </si>
  <si>
    <t>NextYearTotalRevenue*</t>
  </si>
  <si>
    <t>NextYearEPS*</t>
  </si>
  <si>
    <t>FollowingYearTotalRevenue*</t>
  </si>
  <si>
    <t>FollowingYearEPS*</t>
  </si>
  <si>
    <t>5YearGrowthRate</t>
  </si>
  <si>
    <t>UpdateReason</t>
  </si>
  <si>
    <t>Authors</t>
  </si>
  <si>
    <t>Tickers</t>
  </si>
  <si>
    <t>CUSIP</t>
  </si>
  <si>
    <t>RIC</t>
  </si>
  <si>
    <t>SEDOL</t>
  </si>
  <si>
    <t>PathName</t>
  </si>
  <si>
    <t>Distribution</t>
  </si>
  <si>
    <t>Deleted</t>
  </si>
  <si>
    <t>NO</t>
  </si>
  <si>
    <t>EmailAlert</t>
  </si>
  <si>
    <t>YES</t>
  </si>
  <si>
    <t>CurrQtrEPS</t>
  </si>
  <si>
    <t>CYEnd</t>
  </si>
  <si>
    <t>CQEnd</t>
  </si>
  <si>
    <t>CurrYearTotalRevenueActual*</t>
  </si>
  <si>
    <t>NextYearTotalRevenueActual*</t>
  </si>
  <si>
    <t>FollowingYearTotalRevenueActual*</t>
  </si>
  <si>
    <t>Multiplier</t>
  </si>
  <si>
    <t>TemplateRegion</t>
  </si>
  <si>
    <t>ObjectType</t>
  </si>
  <si>
    <t>excel</t>
  </si>
  <si>
    <t>LanguageCode</t>
  </si>
  <si>
    <t>en-US</t>
  </si>
  <si>
    <t>SubmitterUserId</t>
  </si>
  <si>
    <t>IndustryId</t>
  </si>
  <si>
    <t>TickerRegion</t>
  </si>
  <si>
    <t>AdditionalInstructions</t>
  </si>
  <si>
    <t>*Estimated</t>
  </si>
  <si>
    <t>Overweight / In-Line</t>
  </si>
  <si>
    <t>Quarterly Update</t>
  </si>
  <si>
    <t>NorthAmerica</t>
  </si>
  <si>
    <t>sarlinde</t>
  </si>
  <si>
    <t>MSA89GWN, MSA32FNJ</t>
  </si>
  <si>
    <t>L:\SEMI CAP\Joe Files\Companies\ADI\ADI_WIP.xlsm</t>
  </si>
  <si>
    <t>please publish with ADI note at midnight</t>
  </si>
  <si>
    <t>[BRO MSA]</t>
  </si>
  <si>
    <t>[PRODUCT MODEL]</t>
  </si>
  <si>
    <t>[EMAIL_ALERT YES]</t>
  </si>
  <si>
    <t>[DISCIPLINE Company]</t>
  </si>
  <si>
    <t>[SUPPRESSED NO]</t>
  </si>
  <si>
    <t>[DOCDAT 2018-02-28]</t>
  </si>
  <si>
    <t>[DOCTIME 18:00]</t>
  </si>
  <si>
    <t>[PSYM ADI.O(S&amp;P) (None)]</t>
  </si>
  <si>
    <t>[COU 1]</t>
  </si>
  <si>
    <t>[ANA MSA32FNJ]</t>
  </si>
  <si>
    <t>[HL ADI.O Model]</t>
  </si>
  <si>
    <t>[IND SEMICO]</t>
  </si>
  <si>
    <t>[PANA MSA89GWN]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</si>
</sst>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8">
    <numFmt numFmtId="5" formatCode="&quot;$&quot;#,##0_);\(&quot;$&quot;#,##0\)"/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.0_);_(* \(#,##0.0\);_(* &quot;-&quot;?_);_(@_)"/>
    <numFmt numFmtId="165" formatCode="[$-409]mmm\-yy;@"/>
    <numFmt numFmtId="166" formatCode="&quot;$&quot;#,##0.0_);\(&quot;$&quot;#,##0.0\)"/>
    <numFmt numFmtId="167" formatCode="_(&quot;$&quot;* #,##0.0_);_(&quot;$&quot;* \(#,##0.0\);_(&quot;$&quot;* &quot;-&quot;?_);_(@_)"/>
    <numFmt numFmtId="168" formatCode="0.0%"/>
    <numFmt numFmtId="169" formatCode="_(&quot;$&quot;* #,##0.0_);_(&quot;$&quot;* \(#,##0.0\);_(&quot;$&quot;* &quot;-&quot;_);_(@_)"/>
    <numFmt numFmtId="170" formatCode="_(&quot;$&quot;* #,##0.000_);_(&quot;$&quot;* \(#,##0.000\);_(&quot;$&quot;* &quot;-&quot;_);_(@_)"/>
    <numFmt numFmtId="171" formatCode="_(&quot;$&quot;* #,##0.0000_);_(&quot;$&quot;* \(#,##0.0000\);_(&quot;$&quot;* &quot;-&quot;_);_(@_)"/>
    <numFmt numFmtId="172" formatCode="_(* #,##0.000_);_(* \(#,##0.000\);_(* &quot;-&quot;?_);_(@_)"/>
    <numFmt numFmtId="173" formatCode="_(* #,##0.0000_);_(* \(#,##0.0000\);_(* &quot;-&quot;?_);_(@_)"/>
    <numFmt numFmtId="174" formatCode="_(* #,##0.0000_);_(* \(#,##0.0000\);_(* &quot;-&quot;??_);_(@_)"/>
    <numFmt numFmtId="175" formatCode="_(&quot;$&quot;* #,##0.00_);_(&quot;$&quot;* \(#,##0.00\);_(&quot;$&quot;* &quot;-&quot;_);_(@_)"/>
    <numFmt numFmtId="176" formatCode="#,##0.0_);\(#,##0.0\);#,##0.0_);@_)"/>
    <numFmt numFmtId="177" formatCode="_(* #,##0.00_);_(* \(#,##0.00\);_(* &quot;-&quot;?_);_(@_)"/>
    <numFmt numFmtId="179" formatCode="_(* #,##0.0_);_(* \(#,##0.0\);_(* &quot;-&quot;??_);_(@_)"/>
    <numFmt numFmtId="180" formatCode="#,##0.0000_);\(#,##0.0000\)"/>
    <numFmt numFmtId="181" formatCode="#,##0.0_);\(#,##0.0\)"/>
    <numFmt numFmtId="182" formatCode="_(* #,##0.0_);_(* \(#,##0.0\);_(* &quot;-&quot;_);_(@_)"/>
    <numFmt numFmtId="183" formatCode="#,##0.000_);\(#,##0.000\)"/>
    <numFmt numFmtId="184" formatCode="0.0"/>
    <numFmt numFmtId="185" formatCode="_(* #,##0_);_(* \(#,##0\);_(* &quot;-&quot;??_);_(@_)"/>
    <numFmt numFmtId="186" formatCode="_(* #,##0.00_);_(* \(#,##0.00\);_(* &quot;-&quot;_);_(@_)"/>
    <numFmt numFmtId="187" formatCode="_(&quot;$&quot;* #,##0.0_);_(&quot;$&quot;* \(#,##0.0\);_(&quot;$&quot;* &quot;-&quot;??_);_(@_)"/>
    <numFmt numFmtId="189" formatCode="&quot;$&quot;#,##0.0_);[Red]\(&quot;$&quot;#,##0.0\)"/>
    <numFmt numFmtId="190" formatCode="_(&quot;$&quot;* #,##0_);_(&quot;$&quot;* \(#,##0\);_(&quot;$&quot;* &quot;-&quot;??_);_(@_)"/>
    <numFmt numFmtId="195" formatCode="#,##0.0"/>
    <numFmt numFmtId="199" formatCode="0.00_);\(0.00\)"/>
    <numFmt numFmtId="202" formatCode="0.0000"/>
    <numFmt numFmtId="203" formatCode="0.000"/>
    <numFmt numFmtId="204" formatCode="_(* #,##0.000_);_(* \(#,##0.000\);_(* &quot;-&quot;??_);_(@_)"/>
    <numFmt numFmtId="206" formatCode="_(* #,##0_);_(* \(#,##0\);_(* &quot;-&quot;?_);_(@_)"/>
    <numFmt numFmtId="207" formatCode="0_)"/>
    <numFmt numFmtId="211" formatCode="0.00000"/>
    <numFmt numFmtId="213" formatCode="&quot;$&quot;#,##0.0;\(&quot;$&quot;#,##0.0\)"/>
    <numFmt numFmtId="214" formatCode="\£\ #,##0_);[Red]\(\£\ #,##0\)"/>
    <numFmt numFmtId="215" formatCode="\¥\ #,##0_);[Red]\(\¥\ #,##0\)"/>
    <numFmt numFmtId="216" formatCode="_(* #,##0.0_);_(* \(#,##0.0\);_(* &quot;--- &quot;_)"/>
    <numFmt numFmtId="217" formatCode="General_)"/>
    <numFmt numFmtId="218" formatCode="\•\ \ @"/>
    <numFmt numFmtId="219" formatCode="0.000_)"/>
    <numFmt numFmtId="220" formatCode="\ \ _•\–\ \ \ \ @"/>
    <numFmt numFmtId="221" formatCode="#,##0.0;\(###0.0\)"/>
    <numFmt numFmtId="222" formatCode="mmm\-yyyy"/>
    <numFmt numFmtId="223" formatCode="0.00_)"/>
    <numFmt numFmtId="224" formatCode="0.00000000000000000%"/>
    <numFmt numFmtId="225" formatCode="#,##0.0;\(#,##0.0\)"/>
    <numFmt numFmtId="226" formatCode="0.00\ "/>
    <numFmt numFmtId="227" formatCode="0.0%_);\(0.0%\);&quot;–&quot;_)"/>
    <numFmt numFmtId="228" formatCode="&quot;$&quot;#,##0.0"/>
    <numFmt numFmtId="229" formatCode="_(&quot;$&quot;* #,##0.00_);_(&quot;$&quot;* \(#,##0.00\);_(&quot;$&quot;* &quot;-&quot;?_);_(@_)"/>
    <numFmt numFmtId="230" formatCode="0.00%_);\(0.00%\);&quot;–&quot;_)"/>
    <numFmt numFmtId="231" formatCode="#,##0_);\(#,##0\);\-_)"/>
    <numFmt numFmtId="232" formatCode="_(&quot;$&quot;* #,##0.000_);_(&quot;$&quot;* \(#,##0.000\);_(&quot;$&quot;* &quot;-&quot;??_);_(@_)"/>
    <numFmt numFmtId="233" formatCode="&quot;Ç&quot;\ &quot;´&quot;&quot;´&quot;&quot;´&quot;&quot;´&quot;\ &quot;»&quot;&quot;»&quot;&quot;»&quot;&quot;»&quot;"/>
    <numFmt numFmtId="234" formatCode="#,###,##0"/>
    <numFmt numFmtId="235" formatCode="&quot;DM&quot;#,##0.00;[Red]\-&quot;DM&quot;#,##0.00"/>
    <numFmt numFmtId="237" formatCode="&quot;$&quot;#,##0.000_);[Red]\(&quot;$&quot;#,##0.000\)"/>
    <numFmt numFmtId="238" formatCode="#,##0.0_);[Red]\(#,##0.0\)"/>
    <numFmt numFmtId="239" formatCode="0.0_)\%;\(0.0\)\%;0.0_)\%;@_)_%"/>
    <numFmt numFmtId="240" formatCode="&quot;$&quot;_(#,##0.00_);&quot;$&quot;\(#,##0.00\);&quot;$&quot;_(0.00_);@_)"/>
    <numFmt numFmtId="241" formatCode="#,##0.0_)_x;\(#,##0.0\)_x;0.0_)_x;@_)_x"/>
    <numFmt numFmtId="242" formatCode="0.0%;\(0.0%\)"/>
    <numFmt numFmtId="243" formatCode="0.0%_);\(0.0%\)"/>
    <numFmt numFmtId="244" formatCode="0.00\ \ \ \ "/>
    <numFmt numFmtId="245" formatCode="yyyy"/>
    <numFmt numFmtId="246" formatCode="0.00%_);[Red]\(0.00%\)"/>
    <numFmt numFmtId="247" formatCode="0.0%_);[Red]\(0.0%\)"/>
    <numFmt numFmtId="248" formatCode="#,##0.000_);[Red]\(#,##0.000\)"/>
    <numFmt numFmtId="249" formatCode="0.00%;[Red]\(0.00%\)"/>
    <numFmt numFmtId="250" formatCode="&quot;Fr.&quot;#,##0_);[Red]\(&quot;Fr.&quot;#,##0\)"/>
    <numFmt numFmtId="251" formatCode="&quot;£&quot;\ #,##0_);[Red]\(&quot;£&quot;\ #,##0\)"/>
    <numFmt numFmtId="252" formatCode="&quot;\&quot;\ #,##0_);[Red]\(&quot;\&quot;\ #,##0\)"/>
    <numFmt numFmtId="253" formatCode="&quot;•&quot;\ \ @"/>
    <numFmt numFmtId="254" formatCode="#,##0.00000;[Red]\(#,##0.00000\)"/>
    <numFmt numFmtId="255" formatCode="&quot;$&quot;#,##0.00;\(&quot;$&quot;#,##0.00\)"/>
    <numFmt numFmtId="256" formatCode="_ * #,##0_)_£_ ;_ * \(#,##0\)_£_ ;_ * &quot;-&quot;_)_£_ ;_ @_ "/>
    <numFmt numFmtId="257" formatCode="&quot;$&quot;#,##0.0;[Red]\(&quot;$&quot;#,##0.0\)"/>
    <numFmt numFmtId="258" formatCode="\ \ _•&quot;–&quot;\ \ \ \ @"/>
    <numFmt numFmtId="259" formatCode="#,##0.0;[Red]\(#,##0.0\)"/>
    <numFmt numFmtId="260" formatCode="#,##0;[Red]\(#,##0\)"/>
    <numFmt numFmtId="261" formatCode="#,##0.00\x_);[Red]\(#,##0.00\x\)"/>
    <numFmt numFmtId="262" formatCode="0%;[Red]\(0%\)"/>
    <numFmt numFmtId="263" formatCode="_-* #,##0.00_-;\-* #,##0.00_-;_-* &quot;-&quot;??_-;_-@_-"/>
    <numFmt numFmtId="264" formatCode="_(#,##0_)\ &quot;e&quot;;\(#,##0\)\ &quot;e&quot;"/>
    <numFmt numFmtId="265" formatCode="_([$€-2]* #,##0.00_);_([$€-2]* \(#,##0.00\);_([$€-2]* &quot;-&quot;??_)"/>
    <numFmt numFmtId="266" formatCode="_-&quot;$&quot;* #,##0_-;\-&quot;$&quot;* #,##0_-;_-&quot;$&quot;* &quot;-&quot;_-;_-@_-"/>
    <numFmt numFmtId="267" formatCode="_-* #,##0_-;\-* #,##0_-;_-* &quot;-&quot;_-;_-@_-"/>
    <numFmt numFmtId="268" formatCode="&quot;¥&quot;\ #,##0_);[Red]\(&quot;¥&quot;\ #,##0\)"/>
    <numFmt numFmtId="269" formatCode="_-&quot;$&quot;* #,##0.00_-;\-&quot;$&quot;* #,##0.00_-;_-&quot;$&quot;* &quot;-&quot;??_-;_-@_-"/>
    <numFmt numFmtId="270" formatCode="[Blue]General;[Blue]\-General;[Blue]&quot;--&quot;"/>
    <numFmt numFmtId="271" formatCode="&quot;$&quot;#,##0.00;[Red]\(&quot;$&quot;#,##0.00\)"/>
    <numFmt numFmtId="272" formatCode="0.00_);\(0.00\);0.00"/>
    <numFmt numFmtId="273" formatCode="&quot;$&quot;#,##0\ ;\(&quot;$&quot;#,##0\)"/>
    <numFmt numFmtId="274" formatCode="&quot;SFr.&quot;#,##0.00;&quot;SFr.&quot;\-#,##0.00"/>
    <numFmt numFmtId="275" formatCode="0.0%;[Red]\(0.0%\)"/>
    <numFmt numFmtId="276" formatCode="0.00\%;\-0.00\%;0.00\%"/>
    <numFmt numFmtId="277" formatCode="0.00\x;\-0.00\x;0.00\x"/>
    <numFmt numFmtId="278" formatCode="##0.00000"/>
    <numFmt numFmtId="279" formatCode="&quot;?G&quot;#,##0.00;\-&quot;?G&quot;#,###"/>
    <numFmt numFmtId="286" formatCode="mm/dd/yy\ hh:mm"/>
  </numFmts>
  <fonts count="328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8"/>
      <name val="MS Sans Serif"/>
      <family val="2"/>
    </font>
    <font>
      <b/>
      <sz val="16"/>
      <color indexed="53"/>
      <name val="Arial"/>
      <family val="2"/>
    </font>
    <font>
      <b/>
      <sz val="14"/>
      <name val="Arial"/>
      <family val="2"/>
    </font>
    <font>
      <sz val="12"/>
      <color indexed="8"/>
      <name val="Arial MT"/>
    </font>
    <font>
      <sz val="11"/>
      <name val="Arial"/>
      <family val="2"/>
    </font>
    <font>
      <b/>
      <sz val="11"/>
      <name val="Arial"/>
      <family val="2"/>
    </font>
    <font>
      <i/>
      <sz val="11"/>
      <name val="Arial"/>
      <family val="2"/>
    </font>
    <font>
      <b/>
      <sz val="11"/>
      <color indexed="8"/>
      <name val="Arial"/>
      <family val="2"/>
    </font>
    <font>
      <sz val="9"/>
      <color indexed="8"/>
      <name val="Arial MT"/>
    </font>
    <font>
      <sz val="11"/>
      <color indexed="12"/>
      <name val="Arial"/>
      <family val="2"/>
    </font>
    <font>
      <i/>
      <sz val="11"/>
      <color indexed="12"/>
      <name val="Arial"/>
      <family val="2"/>
    </font>
    <font>
      <sz val="11"/>
      <color indexed="53"/>
      <name val="Arial"/>
      <family val="2"/>
    </font>
    <font>
      <i/>
      <sz val="11"/>
      <name val="Arial"/>
      <family val="2"/>
    </font>
    <font>
      <i/>
      <sz val="11"/>
      <color indexed="12"/>
      <name val="Arial"/>
      <family val="2"/>
    </font>
    <font>
      <b/>
      <sz val="11"/>
      <color indexed="12"/>
      <name val="Arial"/>
      <family val="2"/>
    </font>
    <font>
      <sz val="11"/>
      <color indexed="17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b/>
      <i/>
      <sz val="11"/>
      <color indexed="10"/>
      <name val="Arial"/>
      <family val="2"/>
    </font>
    <font>
      <sz val="11"/>
      <color indexed="8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1"/>
      <name val="Arial"/>
      <family val="2"/>
    </font>
    <font>
      <sz val="11"/>
      <color indexed="12"/>
      <name val="Arial"/>
      <family val="2"/>
    </font>
    <font>
      <sz val="10"/>
      <name val="MS Sans Serif"/>
      <family val="2"/>
    </font>
    <font>
      <b/>
      <sz val="10"/>
      <color indexed="8"/>
      <name val="Times New Roman"/>
      <family val="1"/>
    </font>
    <font>
      <u/>
      <sz val="10"/>
      <color indexed="12"/>
      <name val="Arial"/>
      <family val="2"/>
    </font>
    <font>
      <sz val="9"/>
      <name val="Times New Roman"/>
      <family val="1"/>
    </font>
    <font>
      <sz val="10"/>
      <color indexed="8"/>
      <name val="Times New Roman"/>
      <family val="1"/>
    </font>
    <font>
      <i/>
      <sz val="8"/>
      <name val="Times New Roman"/>
      <family val="1"/>
    </font>
    <font>
      <b/>
      <sz val="11"/>
      <color indexed="9"/>
      <name val="Arial"/>
      <family val="2"/>
    </font>
    <font>
      <b/>
      <sz val="10"/>
      <name val="Arial"/>
      <family val="2"/>
    </font>
    <font>
      <b/>
      <sz val="8"/>
      <color indexed="81"/>
      <name val="Tahoma"/>
      <family val="2"/>
    </font>
    <font>
      <u/>
      <sz val="11"/>
      <color indexed="12"/>
      <name val="Arial"/>
      <family val="2"/>
    </font>
    <font>
      <u/>
      <sz val="11"/>
      <name val="Arial"/>
      <family val="2"/>
    </font>
    <font>
      <sz val="8"/>
      <color indexed="81"/>
      <name val="Tahoma"/>
      <family val="2"/>
    </font>
    <font>
      <b/>
      <sz val="11"/>
      <color indexed="10"/>
      <name val="Arial"/>
      <family val="2"/>
    </font>
    <font>
      <b/>
      <sz val="8"/>
      <color indexed="9"/>
      <name val="Arial"/>
      <family val="2"/>
    </font>
    <font>
      <b/>
      <sz val="9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b/>
      <sz val="10"/>
      <color indexed="9"/>
      <name val="Arial"/>
      <family val="2"/>
    </font>
    <font>
      <sz val="10"/>
      <color indexed="12"/>
      <name val="Arial"/>
      <family val="2"/>
    </font>
    <font>
      <b/>
      <sz val="8"/>
      <name val="Arial"/>
      <family val="2"/>
    </font>
    <font>
      <sz val="8"/>
      <color indexed="12"/>
      <name val="Arial"/>
      <family val="2"/>
    </font>
    <font>
      <sz val="10"/>
      <color indexed="30"/>
      <name val="Arial"/>
      <family val="2"/>
    </font>
    <font>
      <b/>
      <sz val="11"/>
      <color indexed="9"/>
      <name val="Arial"/>
      <family val="2"/>
    </font>
    <font>
      <b/>
      <sz val="11"/>
      <color indexed="30"/>
      <name val="Arial"/>
      <family val="2"/>
    </font>
    <font>
      <b/>
      <i/>
      <sz val="11"/>
      <name val="Arial"/>
      <family val="2"/>
    </font>
    <font>
      <b/>
      <u/>
      <sz val="10"/>
      <color indexed="10"/>
      <name val="Arial"/>
      <family val="2"/>
    </font>
    <font>
      <sz val="10"/>
      <color indexed="8"/>
      <name val="Arial"/>
      <family val="2"/>
    </font>
    <font>
      <sz val="11"/>
      <color indexed="17"/>
      <name val="Arial"/>
      <family val="2"/>
    </font>
    <font>
      <sz val="11"/>
      <color indexed="10"/>
      <name val="Arial"/>
      <family val="2"/>
    </font>
    <font>
      <sz val="10"/>
      <color indexed="10"/>
      <name val="Arial"/>
      <family val="2"/>
    </font>
    <font>
      <sz val="10"/>
      <name val="Arial"/>
      <family val="2"/>
    </font>
    <font>
      <sz val="11"/>
      <color indexed="24"/>
      <name val="Arial"/>
      <family val="2"/>
    </font>
    <font>
      <b/>
      <i/>
      <sz val="11"/>
      <name val="Arial"/>
      <family val="2"/>
    </font>
    <font>
      <b/>
      <i/>
      <sz val="11"/>
      <color indexed="10"/>
      <name val="Arial"/>
      <family val="2"/>
    </font>
    <font>
      <u/>
      <sz val="10"/>
      <name val="Arial"/>
      <family val="2"/>
    </font>
    <font>
      <i/>
      <sz val="10"/>
      <name val="Arial"/>
      <family val="2"/>
    </font>
    <font>
      <u/>
      <sz val="11"/>
      <name val="Arial"/>
      <family val="2"/>
    </font>
    <font>
      <sz val="11"/>
      <color indexed="8"/>
      <name val="Inherit"/>
    </font>
    <font>
      <u/>
      <sz val="11"/>
      <color indexed="8"/>
      <name val="Inherit"/>
    </font>
    <font>
      <b/>
      <u/>
      <sz val="11"/>
      <name val="Arial"/>
      <family val="2"/>
    </font>
    <font>
      <u/>
      <sz val="10"/>
      <name val="Arial"/>
      <family val="2"/>
    </font>
    <font>
      <i/>
      <u/>
      <sz val="11"/>
      <name val="Arial"/>
      <family val="2"/>
    </font>
    <font>
      <b/>
      <sz val="11"/>
      <color indexed="17"/>
      <name val="Arial"/>
      <family val="2"/>
    </font>
    <font>
      <b/>
      <sz val="11"/>
      <color indexed="12"/>
      <name val="Arial"/>
      <family val="2"/>
    </font>
    <font>
      <b/>
      <sz val="10"/>
      <color indexed="8"/>
      <name val="Arial"/>
      <family val="2"/>
    </font>
    <font>
      <u val="singleAccounting"/>
      <sz val="11"/>
      <color indexed="12"/>
      <name val="Arial"/>
      <family val="2"/>
    </font>
    <font>
      <sz val="10"/>
      <name val="Arial"/>
      <family val="2"/>
    </font>
    <font>
      <sz val="10"/>
      <name val="MS Sans Serif"/>
      <family val="2"/>
    </font>
    <font>
      <b/>
      <sz val="10"/>
      <color indexed="8"/>
      <name val="Times New Roman"/>
      <family val="1"/>
    </font>
    <font>
      <sz val="10"/>
      <color indexed="8"/>
      <name val="Times New Roman"/>
      <family val="1"/>
    </font>
    <font>
      <sz val="9"/>
      <color indexed="81"/>
      <name val="Tahoma"/>
      <family val="2"/>
    </font>
    <font>
      <sz val="11"/>
      <color indexed="24"/>
      <name val="Arial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b/>
      <sz val="11"/>
      <color indexed="63"/>
      <name val="Calibri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1"/>
      <color indexed="8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sz val="11"/>
      <color indexed="17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sz val="8"/>
      <name val="Tms Rmn"/>
    </font>
    <font>
      <sz val="10"/>
      <name val="Times New Roman"/>
      <family val="1"/>
    </font>
    <font>
      <sz val="12"/>
      <name val="Times New Roman"/>
      <family val="1"/>
    </font>
    <font>
      <sz val="11"/>
      <name val="‚l‚r ƒSƒVƒbƒN"/>
      <charset val="128"/>
    </font>
    <font>
      <sz val="12"/>
      <name val="Arial MT"/>
    </font>
    <font>
      <sz val="9"/>
      <color indexed="12"/>
      <name val="Times New Roman"/>
      <family val="1"/>
    </font>
    <font>
      <sz val="8"/>
      <name val="Arial MT"/>
    </font>
    <font>
      <sz val="8"/>
      <color indexed="13"/>
      <name val="Arial"/>
      <family val="2"/>
    </font>
    <font>
      <sz val="8"/>
      <color indexed="12"/>
      <name val="Tms Rmn"/>
    </font>
    <font>
      <b/>
      <sz val="12"/>
      <name val="Times New Roman"/>
      <family val="1"/>
    </font>
    <font>
      <sz val="10"/>
      <color indexed="18"/>
      <name val="Times New Roman"/>
      <family val="1"/>
    </font>
    <font>
      <b/>
      <sz val="8"/>
      <name val="GillSans"/>
    </font>
    <font>
      <sz val="11"/>
      <name val="Tms Rmn"/>
      <family val="1"/>
    </font>
    <font>
      <i/>
      <sz val="9"/>
      <name val="MS Sans Serif"/>
      <family val="2"/>
    </font>
    <font>
      <b/>
      <sz val="11"/>
      <name val="Times New Roman"/>
      <family val="1"/>
    </font>
    <font>
      <sz val="8"/>
      <name val="Times New Roman"/>
      <family val="1"/>
    </font>
    <font>
      <sz val="14"/>
      <color indexed="32"/>
      <name val="Times New Roman"/>
      <family val="1"/>
    </font>
    <font>
      <sz val="9"/>
      <name val="GillSans Light"/>
    </font>
    <font>
      <b/>
      <sz val="10"/>
      <color indexed="17"/>
      <name val="Helvetica"/>
      <family val="2"/>
    </font>
    <font>
      <sz val="9"/>
      <name val="Futura UBS Bk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0"/>
      <color indexed="12"/>
      <name val="Times New Roman"/>
      <family val="1"/>
    </font>
    <font>
      <sz val="10"/>
      <name val="GillSans Light"/>
    </font>
    <font>
      <sz val="7"/>
      <name val="Small Fonts"/>
      <family val="2"/>
    </font>
    <font>
      <b/>
      <i/>
      <sz val="16"/>
      <name val="Helv"/>
    </font>
    <font>
      <b/>
      <sz val="12"/>
      <name val="Tms Rmn"/>
    </font>
    <font>
      <b/>
      <sz val="13.5"/>
      <name val="MS Sans Serif"/>
      <family val="2"/>
    </font>
    <font>
      <sz val="8"/>
      <color indexed="32"/>
      <name val="Arial"/>
      <family val="2"/>
    </font>
    <font>
      <sz val="8"/>
      <color indexed="12"/>
      <name val="Helvetica"/>
      <family val="2"/>
    </font>
    <font>
      <b/>
      <sz val="10"/>
      <name val="GillSans"/>
    </font>
    <font>
      <b/>
      <sz val="18"/>
      <color indexed="62"/>
      <name val="Cambria"/>
      <family val="2"/>
    </font>
    <font>
      <b/>
      <sz val="11"/>
      <color indexed="9"/>
      <name val="GillSans"/>
    </font>
    <font>
      <b/>
      <sz val="11"/>
      <name val="GillSans"/>
    </font>
    <font>
      <b/>
      <sz val="9"/>
      <name val="Times New Roman"/>
      <family val="1"/>
    </font>
    <font>
      <u/>
      <sz val="8"/>
      <name val="Tms Rmn"/>
    </font>
    <font>
      <sz val="8"/>
      <color indexed="16"/>
      <name val="Helv"/>
    </font>
    <font>
      <sz val="10"/>
      <name val="Arial"/>
      <family val="2"/>
    </font>
    <font>
      <sz val="10"/>
      <name val="Arial"/>
      <family val="2"/>
    </font>
    <font>
      <sz val="10"/>
      <color indexed="2"/>
      <name val="Tahoma"/>
      <family val="2"/>
    </font>
    <font>
      <b/>
      <sz val="10"/>
      <color indexed="0"/>
      <name val="Tahoma"/>
      <family val="2"/>
    </font>
    <font>
      <sz val="10"/>
      <name val="Tahoma"/>
      <family val="2"/>
    </font>
    <font>
      <b/>
      <i/>
      <sz val="10"/>
      <color indexed="4"/>
      <name val="Tahoma"/>
      <family val="2"/>
    </font>
    <font>
      <sz val="10"/>
      <color indexed="4"/>
      <name val="Tahoma"/>
      <family val="2"/>
    </font>
    <font>
      <sz val="10"/>
      <name val="Arial"/>
      <family val="2"/>
    </font>
    <font>
      <sz val="10"/>
      <name val="Segoe UI"/>
      <family val="2"/>
    </font>
    <font>
      <sz val="10"/>
      <name val="Arial"/>
      <family val="2"/>
    </font>
    <font>
      <sz val="11"/>
      <color indexed="23"/>
      <name val="Arial"/>
      <family val="2"/>
    </font>
    <font>
      <i/>
      <sz val="11"/>
      <color indexed="24"/>
      <name val="Arial"/>
      <family val="2"/>
    </font>
    <font>
      <sz val="11"/>
      <color indexed="58"/>
      <name val="Arial"/>
      <family val="2"/>
    </font>
    <font>
      <i/>
      <sz val="11"/>
      <color indexed="58"/>
      <name val="Arial"/>
      <family val="2"/>
    </font>
    <font>
      <sz val="10"/>
      <name val="Arial"/>
      <family val="2"/>
    </font>
    <font>
      <b/>
      <sz val="9"/>
      <color indexed="81"/>
      <name val="Tahoma"/>
      <family val="2"/>
    </font>
    <font>
      <sz val="10"/>
      <name val="Arial"/>
      <family val="2"/>
    </font>
    <font>
      <sz val="10"/>
      <name val="Arial"/>
      <family val="2"/>
    </font>
    <font>
      <u/>
      <sz val="8"/>
      <color indexed="12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Helvetica"/>
      <family val="2"/>
    </font>
    <font>
      <sz val="12"/>
      <name val="¹UAAA¼"/>
      <family val="1"/>
      <charset val="129"/>
    </font>
    <font>
      <sz val="12"/>
      <name val="ⓒoUAAA¨u"/>
      <family val="1"/>
      <charset val="129"/>
    </font>
    <font>
      <sz val="12"/>
      <name val="¹UAAA¼"/>
      <family val="3"/>
      <charset val="129"/>
    </font>
    <font>
      <sz val="12"/>
      <name val="System"/>
      <family val="2"/>
    </font>
    <font>
      <sz val="8"/>
      <name val="¹UAAA¼"/>
      <family val="1"/>
      <charset val="129"/>
    </font>
    <font>
      <sz val="12"/>
      <name val="¹ÙÅÁÃ¼"/>
      <family val="1"/>
      <charset val="129"/>
    </font>
    <font>
      <sz val="12"/>
      <name val="뼻뮝"/>
      <family val="1"/>
      <charset val="129"/>
    </font>
    <font>
      <sz val="12"/>
      <name val="바탕체"/>
      <family val="3"/>
      <charset val="129"/>
    </font>
    <font>
      <sz val="11"/>
      <color theme="1"/>
      <name val="Calibri"/>
      <family val="2"/>
      <scheme val="minor"/>
    </font>
    <font>
      <u val="singleAccounting"/>
      <sz val="11"/>
      <name val="Arial"/>
      <family val="2"/>
    </font>
    <font>
      <b/>
      <sz val="11"/>
      <color indexed="10"/>
      <name val="Calibri"/>
      <family val="2"/>
    </font>
    <font>
      <sz val="11"/>
      <color indexed="19"/>
      <name val="Calibri"/>
      <family val="2"/>
    </font>
    <font>
      <sz val="9"/>
      <name val="Arial"/>
      <family val="2"/>
    </font>
    <font>
      <u/>
      <sz val="9"/>
      <color indexed="12"/>
      <name val="Arial"/>
      <family val="2"/>
    </font>
    <font>
      <u/>
      <sz val="11"/>
      <color indexed="24"/>
      <name val="Calibri"/>
      <family val="2"/>
    </font>
    <font>
      <b/>
      <sz val="16"/>
      <color indexed="62"/>
      <name val="Arial"/>
      <family val="2"/>
    </font>
    <font>
      <sz val="12"/>
      <name val="Osaka"/>
      <family val="3"/>
      <charset val="128"/>
    </font>
    <font>
      <sz val="11"/>
      <name val="ＭＳ Ｐゴシック"/>
      <family val="3"/>
      <charset val="128"/>
    </font>
    <font>
      <sz val="10"/>
      <color indexed="62"/>
      <name val="Arial"/>
      <family val="2"/>
    </font>
    <font>
      <sz val="10"/>
      <name val="MS Sans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i/>
      <sz val="9"/>
      <color indexed="8"/>
      <name val="Arial"/>
      <family val="2"/>
    </font>
    <font>
      <b/>
      <sz val="18"/>
      <color indexed="56"/>
      <name val="Cambria"/>
      <family val="2"/>
    </font>
    <font>
      <sz val="9"/>
      <color indexed="8"/>
      <name val="Arial"/>
      <family val="2"/>
    </font>
    <font>
      <b/>
      <sz val="12"/>
      <color indexed="8"/>
      <name val="Arial"/>
      <family val="2"/>
    </font>
    <font>
      <b/>
      <i/>
      <sz val="12"/>
      <color indexed="10"/>
      <name val="Arial"/>
      <family val="2"/>
    </font>
    <font>
      <b/>
      <sz val="9"/>
      <color indexed="8"/>
      <name val="Arial"/>
      <family val="2"/>
    </font>
    <font>
      <b/>
      <i/>
      <sz val="10"/>
      <color indexed="8"/>
      <name val="Arial"/>
      <family val="2"/>
    </font>
    <font>
      <sz val="10"/>
      <name val="Helv"/>
      <family val="2"/>
    </font>
    <font>
      <sz val="12"/>
      <name val="바탕체"/>
      <family val="3"/>
    </font>
    <font>
      <sz val="12"/>
      <name val="新細明體"/>
      <family val="1"/>
      <charset val="136"/>
    </font>
    <font>
      <sz val="10"/>
      <color theme="1"/>
      <name val="Arial"/>
      <family val="2"/>
    </font>
    <font>
      <b/>
      <sz val="11"/>
      <color rgb="FF009900"/>
      <name val="Arial"/>
      <family val="2"/>
    </font>
    <font>
      <b/>
      <u/>
      <sz val="11"/>
      <color rgb="FFFF0000"/>
      <name val="Arial"/>
      <family val="2"/>
    </font>
    <font>
      <sz val="11"/>
      <color rgb="FF0066CC"/>
      <name val="Arial"/>
      <family val="2"/>
    </font>
    <font>
      <sz val="11"/>
      <color rgb="FFFF0000"/>
      <name val="Arial"/>
      <family val="2"/>
    </font>
    <font>
      <i/>
      <sz val="11"/>
      <color theme="3"/>
      <name val="Arial"/>
      <family val="2"/>
    </font>
    <font>
      <sz val="11"/>
      <color theme="2" tint="-0.499984740745262"/>
      <name val="Arial"/>
      <family val="2"/>
    </font>
    <font>
      <sz val="10"/>
      <color theme="2" tint="-0.499984740745262"/>
      <name val="Arial"/>
      <family val="2"/>
    </font>
    <font>
      <sz val="11"/>
      <color rgb="FF2270AB"/>
      <name val="Arial"/>
      <family val="2"/>
    </font>
    <font>
      <b/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indexed="8"/>
      <name val="Arial"/>
      <family val="2"/>
    </font>
    <font>
      <b/>
      <sz val="8"/>
      <color indexed="8"/>
      <name val="Arial"/>
      <family val="2"/>
    </font>
    <font>
      <sz val="10"/>
      <name val="Courier"/>
      <family val="3"/>
    </font>
    <font>
      <u/>
      <sz val="8.5"/>
      <color indexed="9"/>
      <name val="Arial"/>
      <family val="2"/>
    </font>
    <font>
      <sz val="12"/>
      <name val="바탕체"/>
      <family val="1"/>
      <charset val="129"/>
    </font>
    <font>
      <sz val="10"/>
      <name val="GillSans"/>
      <family val="2"/>
    </font>
    <font>
      <sz val="7"/>
      <color indexed="8"/>
      <name val="Avenir LT Std 35 Light"/>
      <family val="2"/>
    </font>
    <font>
      <b/>
      <sz val="8"/>
      <name val="Times New Roman"/>
      <family val="1"/>
    </font>
    <font>
      <sz val="8"/>
      <color indexed="8"/>
      <name val="Times New Roman"/>
      <family val="1"/>
    </font>
    <font>
      <sz val="8"/>
      <color indexed="18"/>
      <name val="Times New Roman"/>
      <family val="1"/>
    </font>
    <font>
      <sz val="10"/>
      <name val="Geneva"/>
    </font>
    <font>
      <sz val="8"/>
      <color indexed="17"/>
      <name val="Times New Roman"/>
      <family val="1"/>
    </font>
    <font>
      <sz val="11"/>
      <name val="明朝"/>
      <family val="1"/>
      <charset val="128"/>
    </font>
    <font>
      <sz val="12"/>
      <name val="???"/>
      <family val="1"/>
      <charset val="129"/>
    </font>
    <font>
      <sz val="11"/>
      <name val="??"/>
      <family val="1"/>
    </font>
    <font>
      <u/>
      <sz val="8.4"/>
      <color indexed="12"/>
      <name val="Arial"/>
      <family val="2"/>
    </font>
    <font>
      <sz val="9"/>
      <name val="‚l‚r –¾’©"/>
      <family val="1"/>
      <charset val="128"/>
    </font>
    <font>
      <sz val="12"/>
      <name val="Arial MT"/>
      <family val="2"/>
    </font>
    <font>
      <sz val="8"/>
      <color indexed="12"/>
      <name val="Tms Rmn"/>
      <family val="1"/>
    </font>
    <font>
      <sz val="12"/>
      <name val="Tms Rmn"/>
      <family val="1"/>
    </font>
    <font>
      <i/>
      <sz val="10"/>
      <name val="Tms Rmn"/>
    </font>
    <font>
      <sz val="8"/>
      <name val="Tms Rmn"/>
      <family val="1"/>
    </font>
    <font>
      <u/>
      <sz val="8"/>
      <name val="Times New Roman"/>
      <family val="1"/>
    </font>
    <font>
      <sz val="10"/>
      <name val="MS Serif"/>
      <family val="1"/>
    </font>
    <font>
      <b/>
      <sz val="14"/>
      <name val="Tms Rmn"/>
    </font>
    <font>
      <sz val="10"/>
      <color indexed="16"/>
      <name val="MS Serif"/>
      <family val="1"/>
    </font>
    <font>
      <sz val="10"/>
      <color indexed="2"/>
      <name val="MS UI Gothic"/>
      <family val="3"/>
    </font>
    <font>
      <b/>
      <sz val="10"/>
      <color indexed="0"/>
      <name val="MS UI Gothic"/>
      <family val="3"/>
    </font>
    <font>
      <b/>
      <u/>
      <sz val="11"/>
      <color indexed="37"/>
      <name val="Arial"/>
      <family val="2"/>
    </font>
    <font>
      <sz val="11"/>
      <name val="??"/>
      <family val="3"/>
      <charset val="129"/>
    </font>
    <font>
      <sz val="10"/>
      <name val="MS UI Gothic"/>
      <family val="3"/>
    </font>
    <font>
      <sz val="18"/>
      <name val="Times New Roman"/>
      <family val="1"/>
    </font>
    <font>
      <b/>
      <sz val="13"/>
      <name val="Times New Roman"/>
      <family val="1"/>
    </font>
    <font>
      <b/>
      <i/>
      <sz val="12"/>
      <name val="Times New Roman"/>
      <family val="1"/>
    </font>
    <font>
      <i/>
      <sz val="12"/>
      <name val="Times New Roman"/>
      <family val="1"/>
    </font>
    <font>
      <sz val="11"/>
      <name val="Times New Roman"/>
      <family val="1"/>
    </font>
    <font>
      <b/>
      <i/>
      <sz val="10"/>
      <color indexed="4"/>
      <name val="MS UI Gothic"/>
      <family val="3"/>
    </font>
    <font>
      <sz val="10"/>
      <color indexed="4"/>
      <name val="MS UI Gothic"/>
      <family val="3"/>
    </font>
    <font>
      <b/>
      <sz val="12"/>
      <name val="Tms Rmn"/>
      <family val="1"/>
    </font>
    <font>
      <sz val="6"/>
      <color indexed="12"/>
      <name val="Tms Rmn"/>
    </font>
    <font>
      <sz val="14"/>
      <name val="Terminal"/>
      <family val="3"/>
      <charset val="255"/>
    </font>
    <font>
      <sz val="6"/>
      <name val="Tms Rmn"/>
    </font>
    <font>
      <sz val="7"/>
      <name val="Times New Roman"/>
      <family val="1"/>
    </font>
    <font>
      <sz val="7"/>
      <color indexed="17"/>
      <name val="Times New Roman"/>
      <family val="1"/>
    </font>
    <font>
      <b/>
      <sz val="8"/>
      <color indexed="8"/>
      <name val="Helv"/>
      <family val="2"/>
    </font>
    <font>
      <b/>
      <sz val="8"/>
      <color indexed="18"/>
      <name val="Times New Roman"/>
      <family val="1"/>
    </font>
    <font>
      <sz val="7"/>
      <color indexed="12"/>
      <name val="Tms Rmn"/>
    </font>
    <font>
      <sz val="8"/>
      <color indexed="16"/>
      <name val="Helv"/>
      <family val="2"/>
    </font>
    <font>
      <sz val="14"/>
      <name val="ＭＳ 明朝"/>
      <family val="1"/>
      <charset val="128"/>
    </font>
    <font>
      <sz val="11"/>
      <color indexed="16"/>
      <name val="Calibri"/>
      <family val="2"/>
    </font>
    <font>
      <sz val="11"/>
      <color indexed="58"/>
      <name val="Calibri"/>
      <family val="2"/>
    </font>
    <font>
      <b/>
      <sz val="15"/>
      <color indexed="18"/>
      <name val="Calibri"/>
      <family val="2"/>
    </font>
    <font>
      <b/>
      <sz val="13"/>
      <color indexed="18"/>
      <name val="Calibri"/>
      <family val="2"/>
    </font>
    <font>
      <b/>
      <sz val="11"/>
      <color indexed="18"/>
      <name val="Calibri"/>
      <family val="2"/>
    </font>
    <font>
      <sz val="11"/>
      <color indexed="53"/>
      <name val="Calibri"/>
      <family val="2"/>
    </font>
    <font>
      <b/>
      <sz val="18"/>
      <color indexed="18"/>
      <name val="Cambria"/>
      <family val="2"/>
    </font>
    <font>
      <sz val="10"/>
      <color indexed="2"/>
      <name val="Segoe UI"/>
      <family val="2"/>
    </font>
    <font>
      <b/>
      <sz val="10"/>
      <color indexed="0"/>
      <name val="Segoe UI"/>
      <family val="2"/>
    </font>
    <font>
      <b/>
      <i/>
      <sz val="10"/>
      <color indexed="4"/>
      <name val="Segoe UI"/>
      <family val="2"/>
    </font>
    <font>
      <sz val="10"/>
      <color indexed="4"/>
      <name val="Segoe UI"/>
      <family val="2"/>
    </font>
    <font>
      <b/>
      <sz val="8"/>
      <color indexed="8"/>
      <name val="Verdana"/>
      <family val="2"/>
    </font>
    <font>
      <b/>
      <u val="singleAccounting"/>
      <sz val="8"/>
      <color indexed="8"/>
      <name val="Arial"/>
      <family val="2"/>
    </font>
    <font>
      <sz val="1"/>
      <color indexed="9"/>
      <name val="Symbol"/>
      <family val="1"/>
      <charset val="2"/>
    </font>
    <font>
      <b/>
      <u val="singleAccounting"/>
      <sz val="8"/>
      <color indexed="8"/>
      <name val="Verdana"/>
      <family val="2"/>
    </font>
    <font>
      <b/>
      <sz val="12"/>
      <color indexed="8"/>
      <name val="Verdana"/>
      <family val="2"/>
    </font>
    <font>
      <b/>
      <sz val="8"/>
      <color indexed="9"/>
      <name val="Verdana"/>
      <family val="2"/>
    </font>
    <font>
      <b/>
      <sz val="10"/>
      <color indexed="9"/>
      <name val="Verdana"/>
      <family val="2"/>
    </font>
    <font>
      <sz val="10"/>
      <color indexed="8"/>
      <name val="Verdana"/>
      <family val="2"/>
    </font>
    <font>
      <vertAlign val="subscript"/>
      <sz val="8"/>
      <color indexed="8"/>
      <name val="Arial"/>
      <family val="2"/>
    </font>
    <font>
      <vertAlign val="superscript"/>
      <sz val="8"/>
      <color indexed="8"/>
      <name val="Arial"/>
      <family val="2"/>
    </font>
    <font>
      <i/>
      <sz val="8"/>
      <color indexed="8"/>
      <name val="Arial"/>
      <family val="2"/>
    </font>
    <font>
      <b/>
      <sz val="13"/>
      <color indexed="8"/>
      <name val="Verdana"/>
      <family val="2"/>
    </font>
    <font>
      <u/>
      <sz val="10"/>
      <color indexed="8"/>
      <name val="Arial"/>
      <family val="2"/>
    </font>
    <font>
      <u/>
      <sz val="8.5"/>
      <color indexed="12"/>
      <name val="Arial"/>
      <family val="2"/>
    </font>
    <font>
      <sz val="12"/>
      <name val="바탕체"/>
      <family val="1"/>
    </font>
    <font>
      <sz val="10"/>
      <color indexed="63"/>
      <name val="Verdana"/>
      <family val="2"/>
    </font>
    <font>
      <sz val="10"/>
      <color indexed="9"/>
      <name val="Verdana"/>
      <family val="2"/>
    </font>
    <font>
      <b/>
      <sz val="10"/>
      <color indexed="63"/>
      <name val="Verdana"/>
      <family val="2"/>
    </font>
    <font>
      <b/>
      <sz val="11"/>
      <color indexed="53"/>
      <name val="Calibri"/>
      <family val="2"/>
      <scheme val="minor"/>
    </font>
    <font>
      <u/>
      <sz val="11"/>
      <color indexed="24"/>
      <name val="Calibri"/>
      <family val="2"/>
      <scheme val="minor"/>
    </font>
    <font>
      <sz val="11"/>
      <color indexed="23"/>
      <name val="Calibri"/>
      <family val="2"/>
      <scheme val="minor"/>
    </font>
    <font>
      <sz val="11"/>
      <color indexed="13"/>
      <name val="Calibri"/>
      <family val="2"/>
      <scheme val="minor"/>
    </font>
    <font>
      <sz val="8"/>
      <color theme="1"/>
      <name val="Arial"/>
      <family val="2"/>
    </font>
    <font>
      <i/>
      <sz val="9"/>
      <name val="Arial"/>
      <family val="2"/>
    </font>
    <font>
      <sz val="7"/>
      <color theme="1"/>
      <name val="Avenir LT Std 35 Light"/>
      <family val="2"/>
    </font>
    <font>
      <b/>
      <sz val="10"/>
      <name val="Helvetica"/>
      <family val="2"/>
    </font>
    <font>
      <sz val="12"/>
      <name val="±¼¸²A¼"/>
      <family val="3"/>
      <charset val="129"/>
    </font>
    <font>
      <sz val="24"/>
      <name val="Arial"/>
      <family val="2"/>
    </font>
    <font>
      <b/>
      <sz val="8"/>
      <name val="Helv"/>
      <family val="2"/>
    </font>
    <font>
      <b/>
      <sz val="14"/>
      <name val="Tms Rmn"/>
      <family val="1"/>
    </font>
    <font>
      <sz val="7"/>
      <name val="Arial"/>
      <family val="2"/>
    </font>
    <font>
      <sz val="8"/>
      <color indexed="39"/>
      <name val="Arial"/>
      <family val="2"/>
    </font>
    <font>
      <sz val="10"/>
      <color indexed="12"/>
      <name val="MS Sans Serif"/>
      <family val="2"/>
    </font>
    <font>
      <i/>
      <sz val="10"/>
      <name val="Helv"/>
      <family val="2"/>
    </font>
    <font>
      <sz val="10"/>
      <name val="Garamond"/>
      <family val="1"/>
    </font>
    <font>
      <sz val="9"/>
      <color indexed="18"/>
      <name val="Arial"/>
      <family val="2"/>
    </font>
    <font>
      <sz val="10"/>
      <color indexed="23"/>
      <name val="MS Sans Serif"/>
      <family val="2"/>
    </font>
    <font>
      <b/>
      <sz val="8"/>
      <color indexed="12"/>
      <name val="FrankfurtGothicHeavy"/>
      <family val="2"/>
    </font>
    <font>
      <u/>
      <sz val="11"/>
      <color theme="10"/>
      <name val="Calibri"/>
      <family val="2"/>
      <scheme val="minor"/>
    </font>
    <font>
      <sz val="11"/>
      <color theme="9" tint="-0.249977111117893"/>
      <name val="Arial"/>
      <family val="2"/>
    </font>
    <font>
      <i/>
      <sz val="11"/>
      <color rgb="FF0070C0"/>
      <name val="Arial"/>
      <family val="2"/>
    </font>
    <font>
      <sz val="11"/>
      <color rgb="FF0070C0"/>
      <name val="Arial"/>
      <family val="2"/>
    </font>
    <font>
      <sz val="11"/>
      <color theme="0" tint="-0.499984740745262"/>
      <name val="Arial"/>
      <family val="2"/>
    </font>
    <font>
      <sz val="10"/>
      <color rgb="FF000000"/>
      <name val="Arial"/>
      <family val="2"/>
    </font>
    <font>
      <b/>
      <sz val="12"/>
      <color rgb="FF000080"/>
      <name val="Arial"/>
      <family val="2"/>
    </font>
  </fonts>
  <fills count="105">
    <fill>
      <patternFill patternType="none"/>
    </fill>
    <fill>
      <patternFill patternType="gray125"/>
    </fill>
    <fill>
      <patternFill patternType="solid">
        <fgColor indexed="47"/>
      </patternFill>
    </fill>
    <fill>
      <patternFill patternType="solid">
        <fgColor indexed="29"/>
      </patternFill>
    </fill>
    <fill>
      <patternFill patternType="solid">
        <fgColor indexed="42"/>
      </patternFill>
    </fill>
    <fill>
      <patternFill patternType="solid">
        <fgColor indexed="43"/>
      </patternFill>
    </fill>
    <fill>
      <patternFill patternType="solid">
        <fgColor indexed="27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49"/>
      </patternFill>
    </fill>
    <fill>
      <patternFill patternType="solid">
        <fgColor indexed="26"/>
      </patternFill>
    </fill>
    <fill>
      <patternFill patternType="solid">
        <fgColor indexed="48"/>
      </patternFill>
    </fill>
    <fill>
      <patternFill patternType="solid">
        <fgColor indexed="54"/>
      </patternFill>
    </fill>
    <fill>
      <patternFill patternType="solid">
        <fgColor indexed="45"/>
      </patternFill>
    </fill>
    <fill>
      <patternFill patternType="solid">
        <fgColor indexed="32"/>
        <bgColor indexed="64"/>
      </patternFill>
    </fill>
    <fill>
      <patternFill patternType="solid">
        <fgColor indexed="9"/>
      </patternFill>
    </fill>
    <fill>
      <patternFill patternType="solid">
        <fgColor indexed="55"/>
      </patternFill>
    </fill>
    <fill>
      <patternFill patternType="solid">
        <fgColor indexed="3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3"/>
        <bgColor indexed="64"/>
      </patternFill>
    </fill>
    <fill>
      <patternFill patternType="mediumGray"/>
    </fill>
    <fill>
      <patternFill patternType="solid">
        <fgColor indexed="9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31"/>
      </patternFill>
    </fill>
    <fill>
      <patternFill patternType="solid">
        <fgColor indexed="46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53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56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lightGray">
        <fgColor indexed="9"/>
      </patternFill>
    </fill>
    <fill>
      <patternFill patternType="gray0625">
        <fgColor indexed="9"/>
        <bgColor indexed="9"/>
      </patternFill>
    </fill>
    <fill>
      <patternFill patternType="lightGray">
        <fgColor indexed="9"/>
        <bgColor indexed="9"/>
      </patternFill>
    </fill>
    <fill>
      <patternFill patternType="solid">
        <fgColor indexed="9"/>
        <bgColor indexed="9"/>
      </patternFill>
    </fill>
    <fill>
      <patternFill patternType="gray125">
        <fgColor indexed="9"/>
        <bgColor indexed="9"/>
      </patternFill>
    </fill>
    <fill>
      <patternFill patternType="gray0625">
        <fgColor indexed="22"/>
      </patternFill>
    </fill>
    <fill>
      <patternFill patternType="gray0625">
        <fgColor indexed="9"/>
      </patternFill>
    </fill>
    <fill>
      <patternFill patternType="lightGray">
        <fgColor indexed="22"/>
      </patternFill>
    </fill>
    <fill>
      <patternFill patternType="solid">
        <fgColor theme="2"/>
        <bgColor indexed="64"/>
      </patternFill>
    </fill>
    <fill>
      <patternFill patternType="solid">
        <fgColor rgb="FFF3EEA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41"/>
      </patternFill>
    </fill>
    <fill>
      <patternFill patternType="solid">
        <fgColor indexed="60"/>
      </patternFill>
    </fill>
    <fill>
      <patternFill patternType="solid">
        <fgColor indexed="15"/>
      </patternFill>
    </fill>
    <fill>
      <patternFill patternType="solid">
        <fgColor indexed="28"/>
      </patternFill>
    </fill>
    <fill>
      <patternFill patternType="solid">
        <fgColor indexed="35"/>
      </patternFill>
    </fill>
    <fill>
      <patternFill patternType="solid">
        <fgColor indexed="38"/>
      </patternFill>
    </fill>
    <fill>
      <patternFill patternType="solid">
        <fgColor indexed="39"/>
      </patternFill>
    </fill>
    <fill>
      <patternFill patternType="solid">
        <fgColor indexed="23"/>
      </patternFill>
    </fill>
    <fill>
      <patternFill patternType="solid">
        <fgColor indexed="62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56"/>
        <bgColor indexed="64"/>
      </patternFill>
    </fill>
    <fill>
      <patternFill patternType="gray0625"/>
    </fill>
    <fill>
      <patternFill patternType="solid">
        <fgColor indexed="61"/>
        <bgColor indexed="64"/>
      </patternFill>
    </fill>
    <fill>
      <patternFill patternType="lightGray">
        <fgColor indexed="12"/>
      </patternFill>
    </fill>
    <fill>
      <patternFill patternType="solid">
        <fgColor indexed="21"/>
      </patternFill>
    </fill>
    <fill>
      <patternFill patternType="solid">
        <fgColor rgb="FF92D050"/>
        <bgColor indexed="64"/>
      </patternFill>
    </fill>
    <fill>
      <patternFill patternType="solid">
        <fgColor indexed="65"/>
        <bgColor indexed="64"/>
      </patternFill>
    </fill>
  </fills>
  <borders count="66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n">
        <color indexed="8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10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/>
      <bottom style="thick">
        <color indexed="48"/>
      </bottom>
      <diagonal/>
    </border>
    <border>
      <left/>
      <right/>
      <top/>
      <bottom style="thick">
        <color indexed="44"/>
      </bottom>
      <diagonal/>
    </border>
    <border>
      <left/>
      <right/>
      <top/>
      <bottom style="medium">
        <color indexed="4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/>
      <top/>
      <bottom style="double">
        <color indexed="53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/>
      <top style="thin">
        <color indexed="48"/>
      </top>
      <bottom style="double">
        <color indexed="4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21"/>
      </left>
      <right style="thin">
        <color indexed="21"/>
      </right>
      <top style="thin">
        <color indexed="21"/>
      </top>
      <bottom style="thin">
        <color indexed="2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</borders>
  <cellStyleXfs count="8606">
    <xf numFmtId="0" fontId="0" fillId="0" borderId="0" applyNumberFormat="0" applyFont="0" applyFill="0" applyBorder="0" applyAlignment="0" applyProtection="0"/>
    <xf numFmtId="9" fontId="58" fillId="0" borderId="0">
      <alignment horizontal="right"/>
    </xf>
    <xf numFmtId="0" fontId="34" fillId="0" borderId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34" fillId="0" borderId="0" applyNumberFormat="0" applyFont="0" applyFill="0" applyBorder="0" applyAlignment="0" applyProtection="0"/>
    <xf numFmtId="0" fontId="34" fillId="0" borderId="0" applyNumberFormat="0" applyFill="0" applyBorder="0" applyAlignment="0" applyProtection="0"/>
    <xf numFmtId="213" fontId="105" fillId="0" borderId="0">
      <alignment horizontal="right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10" fontId="34" fillId="0" borderId="0" applyFont="0" applyFill="0" applyBorder="0" applyAlignment="0" applyProtection="0"/>
    <xf numFmtId="0" fontId="14" fillId="0" borderId="0" applyNumberFormat="0" applyFont="0" applyFill="0" applyBorder="0" applyAlignment="0" applyProtection="0"/>
    <xf numFmtId="0" fontId="30" fillId="0" borderId="1" applyNumberFormat="0" applyBorder="0" applyAlignment="0">
      <alignment horizontal="left"/>
    </xf>
    <xf numFmtId="0" fontId="34" fillId="0" borderId="0"/>
    <xf numFmtId="0" fontId="34" fillId="0" borderId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233" fontId="164" fillId="0" borderId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13" fillId="0" borderId="0"/>
    <xf numFmtId="0" fontId="162" fillId="0" borderId="0"/>
    <xf numFmtId="0" fontId="34" fillId="0" borderId="0"/>
    <xf numFmtId="0" fontId="90" fillId="0" borderId="0"/>
    <xf numFmtId="0" fontId="34" fillId="0" borderId="0"/>
    <xf numFmtId="0" fontId="143" fillId="0" borderId="0"/>
    <xf numFmtId="0" fontId="34" fillId="0" borderId="0"/>
    <xf numFmtId="0" fontId="150" fillId="0" borderId="0"/>
    <xf numFmtId="0" fontId="34" fillId="0" borderId="0"/>
    <xf numFmtId="0" fontId="152" fillId="0" borderId="0"/>
    <xf numFmtId="0" fontId="157" fillId="0" borderId="0"/>
    <xf numFmtId="0" fontId="34" fillId="0" borderId="0"/>
    <xf numFmtId="0" fontId="34" fillId="0" borderId="0"/>
    <xf numFmtId="0" fontId="157" fillId="0" borderId="0"/>
    <xf numFmtId="0" fontId="34" fillId="0" borderId="0"/>
    <xf numFmtId="0" fontId="34" fillId="0" borderId="0"/>
    <xf numFmtId="0" fontId="159" fillId="0" borderId="0"/>
    <xf numFmtId="0" fontId="160" fillId="0" borderId="0"/>
    <xf numFmtId="0" fontId="34" fillId="0" borderId="0"/>
    <xf numFmtId="0" fontId="34" fillId="0" borderId="0"/>
    <xf numFmtId="0" fontId="160" fillId="0" borderId="0"/>
    <xf numFmtId="0" fontId="34" fillId="0" borderId="0"/>
    <xf numFmtId="0" fontId="34" fillId="0" borderId="0" applyNumberFormat="0" applyFill="0" applyBorder="0" applyAlignment="0" applyProtection="0"/>
    <xf numFmtId="0" fontId="34" fillId="0" borderId="0" applyFill="0" applyAlignment="0">
      <protection locked="0"/>
    </xf>
    <xf numFmtId="44" fontId="106" fillId="0" borderId="0" applyFont="0" applyFill="0" applyBorder="0" applyAlignment="0" applyProtection="0"/>
    <xf numFmtId="42" fontId="106" fillId="0" borderId="0" applyFont="0" applyFill="0" applyBorder="0" applyAlignment="0" applyProtection="0"/>
    <xf numFmtId="214" fontId="107" fillId="0" borderId="0" applyFont="0" applyFill="0" applyBorder="0" applyAlignment="0" applyProtection="0"/>
    <xf numFmtId="215" fontId="107" fillId="0" borderId="0" applyFont="0" applyFill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 applyNumberFormat="0" applyFill="0" applyBorder="0" applyAlignment="0" applyProtection="0"/>
    <xf numFmtId="0" fontId="108" fillId="0" borderId="0"/>
    <xf numFmtId="0" fontId="38" fillId="0" borderId="0"/>
    <xf numFmtId="9" fontId="34" fillId="0" borderId="0"/>
    <xf numFmtId="9" fontId="34" fillId="0" borderId="0"/>
    <xf numFmtId="9" fontId="34" fillId="0" borderId="0"/>
    <xf numFmtId="9" fontId="34" fillId="0" borderId="0"/>
    <xf numFmtId="9" fontId="34" fillId="0" borderId="0"/>
    <xf numFmtId="9" fontId="34" fillId="0" borderId="0"/>
    <xf numFmtId="9" fontId="34" fillId="0" borderId="0"/>
    <xf numFmtId="9" fontId="34" fillId="0" borderId="0"/>
    <xf numFmtId="9" fontId="34" fillId="0" borderId="0"/>
    <xf numFmtId="0" fontId="38" fillId="0" borderId="0"/>
    <xf numFmtId="0" fontId="38" fillId="0" borderId="0"/>
    <xf numFmtId="2" fontId="38" fillId="0" borderId="0"/>
    <xf numFmtId="10" fontId="38" fillId="0" borderId="0"/>
    <xf numFmtId="0" fontId="38" fillId="0" borderId="0"/>
    <xf numFmtId="0" fontId="85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207" fontId="38" fillId="0" borderId="0"/>
    <xf numFmtId="0" fontId="38" fillId="0" borderId="0"/>
    <xf numFmtId="0" fontId="85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207" fontId="38" fillId="0" borderId="0"/>
    <xf numFmtId="181" fontId="34" fillId="0" borderId="0"/>
    <xf numFmtId="181" fontId="34" fillId="0" borderId="0"/>
    <xf numFmtId="181" fontId="34" fillId="0" borderId="0"/>
    <xf numFmtId="181" fontId="34" fillId="0" borderId="0"/>
    <xf numFmtId="181" fontId="34" fillId="0" borderId="0"/>
    <xf numFmtId="181" fontId="34" fillId="0" borderId="0"/>
    <xf numFmtId="181" fontId="34" fillId="0" borderId="0"/>
    <xf numFmtId="181" fontId="34" fillId="0" borderId="0"/>
    <xf numFmtId="181" fontId="34" fillId="0" borderId="0"/>
    <xf numFmtId="10" fontId="165" fillId="0" borderId="0" applyFont="0" applyFill="0" applyBorder="0" applyAlignment="0" applyProtection="0"/>
    <xf numFmtId="0" fontId="91" fillId="2" borderId="0" applyNumberFormat="0" applyBorder="0" applyAlignment="0" applyProtection="0"/>
    <xf numFmtId="0" fontId="91" fillId="3" borderId="0" applyNumberFormat="0" applyBorder="0" applyAlignment="0" applyProtection="0"/>
    <xf numFmtId="0" fontId="91" fillId="5" borderId="0" applyNumberFormat="0" applyBorder="0" applyAlignment="0" applyProtection="0"/>
    <xf numFmtId="0" fontId="91" fillId="2" borderId="0" applyNumberFormat="0" applyBorder="0" applyAlignment="0" applyProtection="0"/>
    <xf numFmtId="0" fontId="91" fillId="6" borderId="0" applyNumberFormat="0" applyBorder="0" applyAlignment="0" applyProtection="0"/>
    <xf numFmtId="0" fontId="91" fillId="5" borderId="0" applyNumberFormat="0" applyBorder="0" applyAlignment="0" applyProtection="0"/>
    <xf numFmtId="0" fontId="91" fillId="7" borderId="0" applyNumberFormat="0" applyBorder="0" applyAlignment="0" applyProtection="0"/>
    <xf numFmtId="0" fontId="91" fillId="3" borderId="0" applyNumberFormat="0" applyBorder="0" applyAlignment="0" applyProtection="0"/>
    <xf numFmtId="0" fontId="91" fillId="5" borderId="0" applyNumberFormat="0" applyBorder="0" applyAlignment="0" applyProtection="0"/>
    <xf numFmtId="0" fontId="91" fillId="7" borderId="0" applyNumberFormat="0" applyBorder="0" applyAlignment="0" applyProtection="0"/>
    <xf numFmtId="0" fontId="91" fillId="8" borderId="0" applyNumberFormat="0" applyBorder="0" applyAlignment="0" applyProtection="0"/>
    <xf numFmtId="0" fontId="91" fillId="5" borderId="0" applyNumberFormat="0" applyBorder="0" applyAlignment="0" applyProtection="0"/>
    <xf numFmtId="0" fontId="92" fillId="9" borderId="0" applyNumberFormat="0" applyBorder="0" applyAlignment="0" applyProtection="0"/>
    <xf numFmtId="0" fontId="92" fillId="3" borderId="0" applyNumberFormat="0" applyBorder="0" applyAlignment="0" applyProtection="0"/>
    <xf numFmtId="0" fontId="92" fillId="10" borderId="0" applyNumberFormat="0" applyBorder="0" applyAlignment="0" applyProtection="0"/>
    <xf numFmtId="0" fontId="92" fillId="7" borderId="0" applyNumberFormat="0" applyBorder="0" applyAlignment="0" applyProtection="0"/>
    <xf numFmtId="0" fontId="92" fillId="9" borderId="0" applyNumberFormat="0" applyBorder="0" applyAlignment="0" applyProtection="0"/>
    <xf numFmtId="0" fontId="92" fillId="5" borderId="0" applyNumberFormat="0" applyBorder="0" applyAlignment="0" applyProtection="0"/>
    <xf numFmtId="37" fontId="109" fillId="0" borderId="0">
      <alignment horizontal="center"/>
    </xf>
    <xf numFmtId="0" fontId="166" fillId="0" borderId="0" applyFont="0" applyFill="0" applyBorder="0" applyAlignment="0" applyProtection="0"/>
    <xf numFmtId="0" fontId="166" fillId="0" borderId="0" applyFont="0" applyFill="0" applyBorder="0" applyAlignment="0" applyProtection="0"/>
    <xf numFmtId="0" fontId="92" fillId="9" borderId="0" applyNumberFormat="0" applyBorder="0" applyAlignment="0" applyProtection="0"/>
    <xf numFmtId="0" fontId="92" fillId="3" borderId="0" applyNumberFormat="0" applyBorder="0" applyAlignment="0" applyProtection="0"/>
    <xf numFmtId="0" fontId="92" fillId="10" borderId="0" applyNumberFormat="0" applyBorder="0" applyAlignment="0" applyProtection="0"/>
    <xf numFmtId="0" fontId="92" fillId="12" borderId="0" applyNumberFormat="0" applyBorder="0" applyAlignment="0" applyProtection="0"/>
    <xf numFmtId="0" fontId="92" fillId="9" borderId="0" applyNumberFormat="0" applyBorder="0" applyAlignment="0" applyProtection="0"/>
    <xf numFmtId="0" fontId="92" fillId="3" borderId="0" applyNumberFormat="0" applyBorder="0" applyAlignment="0" applyProtection="0"/>
    <xf numFmtId="216" fontId="110" fillId="0" borderId="0" applyFont="0" applyFill="0" applyBorder="0" applyAlignment="0" applyProtection="0"/>
    <xf numFmtId="231" fontId="35" fillId="0" borderId="0" applyFont="0" applyFill="0" applyBorder="0" applyProtection="0"/>
    <xf numFmtId="0" fontId="167" fillId="0" borderId="0" applyFont="0" applyFill="0" applyBorder="0" applyAlignment="0" applyProtection="0"/>
    <xf numFmtId="0" fontId="34" fillId="0" borderId="0" applyFont="0" applyFill="0" applyBorder="0" applyAlignment="0" applyProtection="0"/>
    <xf numFmtId="0" fontId="167" fillId="0" borderId="0" applyFont="0" applyFill="0" applyBorder="0" applyAlignment="0" applyProtection="0"/>
    <xf numFmtId="0" fontId="167" fillId="0" borderId="0" applyFont="0" applyFill="0" applyBorder="0" applyAlignment="0" applyProtection="0"/>
    <xf numFmtId="0" fontId="34" fillId="0" borderId="0" applyFont="0" applyFill="0" applyBorder="0" applyAlignment="0" applyProtection="0"/>
    <xf numFmtId="0" fontId="167" fillId="0" borderId="0" applyFont="0" applyFill="0" applyBorder="0" applyAlignment="0" applyProtection="0"/>
    <xf numFmtId="0" fontId="166" fillId="0" borderId="0" applyFont="0" applyFill="0" applyBorder="0" applyAlignment="0" applyProtection="0"/>
    <xf numFmtId="0" fontId="166" fillId="0" borderId="0" applyFont="0" applyFill="0" applyBorder="0" applyAlignment="0" applyProtection="0"/>
    <xf numFmtId="217" fontId="111" fillId="0" borderId="0">
      <alignment horizontal="left"/>
    </xf>
    <xf numFmtId="0" fontId="167" fillId="0" borderId="0" applyFont="0" applyFill="0" applyBorder="0" applyAlignment="0" applyProtection="0"/>
    <xf numFmtId="0" fontId="34" fillId="0" borderId="0" applyFont="0" applyFill="0" applyBorder="0" applyAlignment="0" applyProtection="0"/>
    <xf numFmtId="0" fontId="34" fillId="0" borderId="0" applyFont="0" applyFill="0" applyBorder="0" applyAlignment="0" applyProtection="0"/>
    <xf numFmtId="0" fontId="167" fillId="0" borderId="0" applyFont="0" applyFill="0" applyBorder="0" applyAlignment="0" applyProtection="0"/>
    <xf numFmtId="0" fontId="34" fillId="0" borderId="0" applyFont="0" applyFill="0" applyBorder="0" applyAlignment="0" applyProtection="0"/>
    <xf numFmtId="0" fontId="34" fillId="0" borderId="0" applyFont="0" applyFill="0" applyBorder="0" applyAlignment="0" applyProtection="0"/>
    <xf numFmtId="0" fontId="99" fillId="13" borderId="0" applyNumberFormat="0" applyBorder="0" applyAlignment="0" applyProtection="0"/>
    <xf numFmtId="1" fontId="112" fillId="14" borderId="2" applyNumberFormat="0" applyBorder="0" applyAlignment="0">
      <alignment horizontal="center" vertical="top" wrapText="1"/>
      <protection hidden="1"/>
    </xf>
    <xf numFmtId="0" fontId="113" fillId="0" borderId="0" applyNumberFormat="0" applyFill="0" applyBorder="0" applyAlignment="0" applyProtection="0"/>
    <xf numFmtId="0" fontId="114" fillId="0" borderId="3" applyNumberFormat="0" applyFill="0" applyAlignment="0" applyProtection="0"/>
    <xf numFmtId="218" fontId="107" fillId="0" borderId="0" applyFont="0" applyFill="0" applyBorder="0" applyAlignment="0" applyProtection="0"/>
    <xf numFmtId="0" fontId="39" fillId="0" borderId="0"/>
    <xf numFmtId="0" fontId="86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168" fillId="0" borderId="0"/>
    <xf numFmtId="0" fontId="169" fillId="0" borderId="0"/>
    <xf numFmtId="0" fontId="168" fillId="0" borderId="0"/>
    <xf numFmtId="0" fontId="168" fillId="0" borderId="0"/>
    <xf numFmtId="0" fontId="170" fillId="0" borderId="0"/>
    <xf numFmtId="0" fontId="167" fillId="0" borderId="0"/>
    <xf numFmtId="0" fontId="170" fillId="0" borderId="0"/>
    <xf numFmtId="0" fontId="167" fillId="0" borderId="0"/>
    <xf numFmtId="0" fontId="170" fillId="0" borderId="0"/>
    <xf numFmtId="0" fontId="167" fillId="0" borderId="0"/>
    <xf numFmtId="0" fontId="34" fillId="0" borderId="0"/>
    <xf numFmtId="0" fontId="35" fillId="0" borderId="0"/>
    <xf numFmtId="0" fontId="100" fillId="15" borderId="4" applyNumberFormat="0" applyAlignment="0" applyProtection="0"/>
    <xf numFmtId="0" fontId="105" fillId="0" borderId="0">
      <alignment horizontal="right"/>
    </xf>
    <xf numFmtId="1" fontId="115" fillId="0" borderId="0"/>
    <xf numFmtId="0" fontId="93" fillId="16" borderId="5" applyNumberFormat="0" applyAlignment="0" applyProtection="0"/>
    <xf numFmtId="0" fontId="116" fillId="0" borderId="3" applyNumberFormat="0" applyFill="0" applyProtection="0">
      <alignment horizontal="left" vertical="center"/>
    </xf>
    <xf numFmtId="184" fontId="57" fillId="0" borderId="0" applyBorder="0">
      <alignment horizontal="right"/>
    </xf>
    <xf numFmtId="184" fontId="57" fillId="0" borderId="6" applyAlignment="0">
      <alignment horizontal="right"/>
    </xf>
    <xf numFmtId="43" fontId="13" fillId="0" borderId="0" applyFont="0" applyFill="0" applyBorder="0" applyAlignment="0" applyProtection="0"/>
    <xf numFmtId="219" fontId="117" fillId="0" borderId="0"/>
    <xf numFmtId="219" fontId="117" fillId="0" borderId="0"/>
    <xf numFmtId="219" fontId="117" fillId="0" borderId="0"/>
    <xf numFmtId="219" fontId="117" fillId="0" borderId="0"/>
    <xf numFmtId="219" fontId="117" fillId="0" borderId="0"/>
    <xf numFmtId="219" fontId="117" fillId="0" borderId="0"/>
    <xf numFmtId="219" fontId="117" fillId="0" borderId="0"/>
    <xf numFmtId="219" fontId="117" fillId="0" borderId="0"/>
    <xf numFmtId="43" fontId="98" fillId="0" borderId="0" applyFont="0" applyFill="0" applyBorder="0" applyAlignment="0" applyProtection="0"/>
    <xf numFmtId="43" fontId="91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143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143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143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144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150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150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152" fillId="0" borderId="0" applyFont="0" applyFill="0" applyBorder="0" applyAlignment="0" applyProtection="0"/>
    <xf numFmtId="43" fontId="157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152" fillId="0" borderId="0" applyFont="0" applyFill="0" applyBorder="0" applyAlignment="0" applyProtection="0"/>
    <xf numFmtId="43" fontId="157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152" fillId="0" borderId="0" applyFont="0" applyFill="0" applyBorder="0" applyAlignment="0" applyProtection="0"/>
    <xf numFmtId="43" fontId="157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152" fillId="0" borderId="0" applyFont="0" applyFill="0" applyBorder="0" applyAlignment="0" applyProtection="0"/>
    <xf numFmtId="43" fontId="157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152" fillId="0" borderId="0" applyFont="0" applyFill="0" applyBorder="0" applyAlignment="0" applyProtection="0"/>
    <xf numFmtId="43" fontId="157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157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157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157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157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157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157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157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157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90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157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157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157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157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157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157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157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157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157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157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157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157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157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157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159" fillId="0" borderId="0" applyFont="0" applyFill="0" applyBorder="0" applyAlignment="0" applyProtection="0"/>
    <xf numFmtId="43" fontId="160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159" fillId="0" borderId="0" applyFont="0" applyFill="0" applyBorder="0" applyAlignment="0" applyProtection="0"/>
    <xf numFmtId="43" fontId="160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159" fillId="0" borderId="0" applyFont="0" applyFill="0" applyBorder="0" applyAlignment="0" applyProtection="0"/>
    <xf numFmtId="43" fontId="160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159" fillId="0" borderId="0" applyFont="0" applyFill="0" applyBorder="0" applyAlignment="0" applyProtection="0"/>
    <xf numFmtId="43" fontId="160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159" fillId="0" borderId="0" applyFont="0" applyFill="0" applyBorder="0" applyAlignment="0" applyProtection="0"/>
    <xf numFmtId="43" fontId="160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159" fillId="0" borderId="0" applyFont="0" applyFill="0" applyBorder="0" applyAlignment="0" applyProtection="0"/>
    <xf numFmtId="43" fontId="160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159" fillId="0" borderId="0" applyFont="0" applyFill="0" applyBorder="0" applyAlignment="0" applyProtection="0"/>
    <xf numFmtId="43" fontId="160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160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160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160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160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160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162" fillId="0" borderId="0" applyFont="0" applyFill="0" applyBorder="0" applyAlignment="0" applyProtection="0"/>
    <xf numFmtId="43" fontId="162" fillId="0" borderId="0" applyFont="0" applyFill="0" applyBorder="0" applyAlignment="0" applyProtection="0"/>
    <xf numFmtId="43" fontId="162" fillId="0" borderId="0" applyFont="0" applyFill="0" applyBorder="0" applyAlignment="0" applyProtection="0"/>
    <xf numFmtId="43" fontId="162" fillId="0" borderId="0" applyFont="0" applyFill="0" applyBorder="0" applyAlignment="0" applyProtection="0"/>
    <xf numFmtId="43" fontId="162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163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1" fillId="0" borderId="0" applyFont="0" applyFill="0" applyBorder="0" applyAlignment="0" applyProtection="0"/>
    <xf numFmtId="43" fontId="34" fillId="0" borderId="0" applyFont="0" applyFill="0" applyBorder="0" applyAlignment="0" applyProtection="0"/>
    <xf numFmtId="0" fontId="118" fillId="0" borderId="0"/>
    <xf numFmtId="0" fontId="119" fillId="0" borderId="0" applyFill="0" applyBorder="0">
      <alignment horizontal="left"/>
    </xf>
    <xf numFmtId="44" fontId="13" fillId="0" borderId="0" applyFont="0" applyFill="0" applyBorder="0" applyAlignment="0" applyProtection="0"/>
    <xf numFmtId="44" fontId="34" fillId="0" borderId="0" applyFont="0" applyFill="0" applyBorder="0" applyAlignment="0" applyProtection="0"/>
    <xf numFmtId="44" fontId="34" fillId="0" borderId="0" applyFont="0" applyFill="0" applyBorder="0" applyAlignment="0" applyProtection="0"/>
    <xf numFmtId="44" fontId="159" fillId="0" borderId="0" applyFont="0" applyFill="0" applyBorder="0" applyAlignment="0" applyProtection="0"/>
    <xf numFmtId="44" fontId="160" fillId="0" borderId="0" applyFont="0" applyFill="0" applyBorder="0" applyAlignment="0" applyProtection="0"/>
    <xf numFmtId="44" fontId="34" fillId="0" borderId="0" applyFont="0" applyFill="0" applyBorder="0" applyAlignment="0" applyProtection="0"/>
    <xf numFmtId="44" fontId="34" fillId="0" borderId="0" applyFont="0" applyFill="0" applyBorder="0" applyAlignment="0" applyProtection="0"/>
    <xf numFmtId="44" fontId="160" fillId="0" borderId="0" applyFont="0" applyFill="0" applyBorder="0" applyAlignment="0" applyProtection="0"/>
    <xf numFmtId="44" fontId="34" fillId="0" borderId="0" applyFont="0" applyFill="0" applyBorder="0" applyAlignment="0" applyProtection="0"/>
    <xf numFmtId="44" fontId="162" fillId="0" borderId="0" applyFont="0" applyFill="0" applyBorder="0" applyAlignment="0" applyProtection="0"/>
    <xf numFmtId="44" fontId="84" fillId="0" borderId="0" applyFont="0" applyFill="0" applyBorder="0" applyAlignment="0" applyProtection="0"/>
    <xf numFmtId="44" fontId="34" fillId="0" borderId="0" applyFont="0" applyFill="0" applyBorder="0" applyAlignment="0" applyProtection="0"/>
    <xf numFmtId="44" fontId="34" fillId="0" borderId="0" applyFont="0" applyFill="0" applyBorder="0" applyAlignment="0" applyProtection="0"/>
    <xf numFmtId="44" fontId="34" fillId="0" borderId="0" applyFont="0" applyFill="0" applyBorder="0" applyAlignment="0" applyProtection="0"/>
    <xf numFmtId="44" fontId="90" fillId="0" borderId="0" applyFont="0" applyFill="0" applyBorder="0" applyAlignment="0" applyProtection="0"/>
    <xf numFmtId="44" fontId="34" fillId="0" borderId="0" applyFont="0" applyFill="0" applyBorder="0" applyAlignment="0" applyProtection="0"/>
    <xf numFmtId="44" fontId="143" fillId="0" borderId="0" applyFont="0" applyFill="0" applyBorder="0" applyAlignment="0" applyProtection="0"/>
    <xf numFmtId="44" fontId="34" fillId="0" borderId="0" applyFont="0" applyFill="0" applyBorder="0" applyAlignment="0" applyProtection="0"/>
    <xf numFmtId="44" fontId="150" fillId="0" borderId="0" applyFont="0" applyFill="0" applyBorder="0" applyAlignment="0" applyProtection="0"/>
    <xf numFmtId="44" fontId="34" fillId="0" borderId="0" applyFont="0" applyFill="0" applyBorder="0" applyAlignment="0" applyProtection="0"/>
    <xf numFmtId="44" fontId="152" fillId="0" borderId="0" applyFont="0" applyFill="0" applyBorder="0" applyAlignment="0" applyProtection="0"/>
    <xf numFmtId="44" fontId="157" fillId="0" borderId="0" applyFont="0" applyFill="0" applyBorder="0" applyAlignment="0" applyProtection="0"/>
    <xf numFmtId="44" fontId="34" fillId="0" borderId="0" applyFont="0" applyFill="0" applyBorder="0" applyAlignment="0" applyProtection="0"/>
    <xf numFmtId="44" fontId="34" fillId="0" borderId="0" applyFont="0" applyFill="0" applyBorder="0" applyAlignment="0" applyProtection="0"/>
    <xf numFmtId="44" fontId="157" fillId="0" borderId="0" applyFont="0" applyFill="0" applyBorder="0" applyAlignment="0" applyProtection="0"/>
    <xf numFmtId="44" fontId="34" fillId="0" borderId="0" applyFont="0" applyFill="0" applyBorder="0" applyAlignment="0" applyProtection="0"/>
    <xf numFmtId="44" fontId="34" fillId="0" borderId="0" applyFont="0" applyFill="0" applyBorder="0" applyAlignment="0" applyProtection="0"/>
    <xf numFmtId="44" fontId="34" fillId="0" borderId="0" applyFont="0" applyFill="0" applyBorder="0" applyAlignment="0" applyProtection="0"/>
    <xf numFmtId="44" fontId="34" fillId="0" borderId="0" applyFont="0" applyFill="0" applyBorder="0" applyAlignment="0" applyProtection="0"/>
    <xf numFmtId="220" fontId="107" fillId="0" borderId="0" applyFont="0" applyFill="0" applyBorder="0" applyAlignment="0" applyProtection="0"/>
    <xf numFmtId="14" fontId="30" fillId="0" borderId="1" applyFont="0">
      <alignment horizontal="right"/>
    </xf>
    <xf numFmtId="0" fontId="106" fillId="0" borderId="0"/>
    <xf numFmtId="0" fontId="120" fillId="0" borderId="0"/>
    <xf numFmtId="221" fontId="105" fillId="0" borderId="0">
      <alignment horizontal="right"/>
    </xf>
    <xf numFmtId="0" fontId="105" fillId="0" borderId="0"/>
    <xf numFmtId="5" fontId="64" fillId="0" borderId="0" applyFont="0" applyFill="0" applyBorder="0" applyAlignment="0" applyProtection="0">
      <protection locked="0"/>
    </xf>
    <xf numFmtId="0" fontId="94" fillId="0" borderId="0" applyNumberFormat="0" applyFill="0" applyBorder="0" applyAlignment="0" applyProtection="0"/>
    <xf numFmtId="0" fontId="145" fillId="0" borderId="0"/>
    <xf numFmtId="1" fontId="121" fillId="17" borderId="7" applyNumberFormat="0" applyBorder="0" applyAlignment="0">
      <alignment horizontal="centerContinuous" vertical="center"/>
      <protection locked="0"/>
    </xf>
    <xf numFmtId="0" fontId="146" fillId="11" borderId="0"/>
    <xf numFmtId="0" fontId="105" fillId="0" borderId="0"/>
    <xf numFmtId="0" fontId="122" fillId="0" borderId="0" applyNumberFormat="0" applyFill="0" applyBorder="0" applyProtection="0">
      <alignment horizontal="left" vertical="center"/>
    </xf>
    <xf numFmtId="49" fontId="35" fillId="0" borderId="0" applyFill="0" applyBorder="0"/>
    <xf numFmtId="49" fontId="34" fillId="0" borderId="0"/>
    <xf numFmtId="49" fontId="34" fillId="0" borderId="0" applyFill="0" applyBorder="0">
      <alignment horizontal="right" vertical="center"/>
    </xf>
    <xf numFmtId="49" fontId="34" fillId="0" borderId="0" applyFill="0" applyBorder="0">
      <alignment horizontal="right" vertical="center"/>
    </xf>
    <xf numFmtId="49" fontId="34" fillId="0" borderId="0" applyFill="0" applyBorder="0">
      <alignment horizontal="right" vertical="center"/>
    </xf>
    <xf numFmtId="49" fontId="34" fillId="0" borderId="0" applyFill="0" applyBorder="0">
      <alignment horizontal="right" vertical="center"/>
    </xf>
    <xf numFmtId="49" fontId="34" fillId="0" borderId="0" applyFill="0" applyBorder="0">
      <alignment horizontal="right" vertical="center"/>
    </xf>
    <xf numFmtId="49" fontId="34" fillId="0" borderId="0" applyFill="0" applyBorder="0">
      <alignment horizontal="right" vertical="center"/>
    </xf>
    <xf numFmtId="49" fontId="34" fillId="0" borderId="0" applyFill="0" applyBorder="0">
      <alignment horizontal="right" vertical="center"/>
    </xf>
    <xf numFmtId="49" fontId="34" fillId="0" borderId="0" applyFill="0" applyBorder="0">
      <alignment horizontal="right" vertical="center"/>
    </xf>
    <xf numFmtId="49" fontId="34" fillId="0" borderId="0" applyFill="0" applyBorder="0">
      <alignment horizontal="right" vertical="center"/>
    </xf>
    <xf numFmtId="49" fontId="34" fillId="0" borderId="0" applyFill="0" applyBorder="0">
      <alignment horizontal="right" vertical="center"/>
    </xf>
    <xf numFmtId="49" fontId="34" fillId="0" borderId="0" applyFill="0" applyBorder="0">
      <alignment horizontal="right" vertical="center"/>
    </xf>
    <xf numFmtId="49" fontId="34" fillId="0" borderId="0" applyFill="0" applyBorder="0">
      <alignment horizontal="right" vertical="center"/>
    </xf>
    <xf numFmtId="49" fontId="34" fillId="0" borderId="0" applyFill="0" applyBorder="0">
      <alignment horizontal="right" vertical="center"/>
    </xf>
    <xf numFmtId="49" fontId="34" fillId="0" borderId="0" applyFill="0" applyBorder="0">
      <alignment horizontal="right" vertical="center"/>
    </xf>
    <xf numFmtId="49" fontId="34" fillId="0" borderId="0" applyFill="0" applyBorder="0">
      <alignment horizontal="right" vertical="center"/>
    </xf>
    <xf numFmtId="49" fontId="34" fillId="0" borderId="0" applyFill="0" applyBorder="0">
      <alignment horizontal="right" vertical="center"/>
    </xf>
    <xf numFmtId="49" fontId="34" fillId="0" borderId="0" applyFill="0" applyBorder="0">
      <alignment horizontal="right" vertical="center"/>
    </xf>
    <xf numFmtId="49" fontId="34" fillId="0" borderId="0" applyFill="0" applyBorder="0">
      <alignment horizontal="right" vertical="center"/>
    </xf>
    <xf numFmtId="0" fontId="101" fillId="4" borderId="0" applyNumberFormat="0" applyBorder="0" applyAlignment="0" applyProtection="0"/>
    <xf numFmtId="0" fontId="123" fillId="0" borderId="0"/>
    <xf numFmtId="38" fontId="35" fillId="18" borderId="0" applyNumberFormat="0" applyBorder="0" applyAlignment="0" applyProtection="0"/>
    <xf numFmtId="38" fontId="35" fillId="18" borderId="0" applyNumberFormat="0" applyBorder="0" applyAlignment="0" applyProtection="0"/>
    <xf numFmtId="168" fontId="34" fillId="19" borderId="8" applyNumberFormat="0" applyFont="0" applyBorder="0" applyAlignment="0" applyProtection="0"/>
    <xf numFmtId="181" fontId="124" fillId="19" borderId="0" applyNumberFormat="0" applyFont="0" applyAlignment="0"/>
    <xf numFmtId="0" fontId="54" fillId="0" borderId="9" applyNumberFormat="0" applyAlignment="0" applyProtection="0">
      <alignment horizontal="left" vertical="center"/>
    </xf>
    <xf numFmtId="0" fontId="54" fillId="0" borderId="1">
      <alignment horizontal="left" vertical="center"/>
    </xf>
    <xf numFmtId="0" fontId="125" fillId="0" borderId="10" applyNumberFormat="0" applyFill="0" applyAlignment="0" applyProtection="0"/>
    <xf numFmtId="0" fontId="126" fillId="0" borderId="11" applyNumberFormat="0" applyFill="0" applyAlignment="0" applyProtection="0"/>
    <xf numFmtId="0" fontId="127" fillId="0" borderId="12" applyNumberFormat="0" applyFill="0" applyAlignment="0" applyProtection="0"/>
    <xf numFmtId="0" fontId="127" fillId="0" borderId="0" applyNumberFormat="0" applyFill="0" applyBorder="0" applyAlignment="0" applyProtection="0"/>
    <xf numFmtId="0" fontId="147" fillId="0" borderId="0">
      <alignment wrapText="1"/>
    </xf>
    <xf numFmtId="0" fontId="161" fillId="0" borderId="0" applyNumberFormat="0" applyFill="0" applyBorder="0" applyAlignment="0" applyProtection="0">
      <alignment vertical="top"/>
      <protection locked="0"/>
    </xf>
    <xf numFmtId="10" fontId="35" fillId="21" borderId="8" applyNumberFormat="0" applyBorder="0" applyAlignment="0" applyProtection="0"/>
    <xf numFmtId="10" fontId="35" fillId="21" borderId="8" applyNumberFormat="0" applyBorder="0" applyAlignment="0" applyProtection="0"/>
    <xf numFmtId="0" fontId="102" fillId="5" borderId="4" applyNumberFormat="0" applyAlignment="0" applyProtection="0"/>
    <xf numFmtId="0" fontId="102" fillId="5" borderId="4" applyNumberFormat="0" applyAlignment="0" applyProtection="0"/>
    <xf numFmtId="0" fontId="102" fillId="5" borderId="4" applyNumberFormat="0" applyAlignment="0" applyProtection="0"/>
    <xf numFmtId="0" fontId="102" fillId="5" borderId="4" applyNumberFormat="0" applyAlignment="0" applyProtection="0"/>
    <xf numFmtId="0" fontId="102" fillId="5" borderId="4" applyNumberFormat="0" applyAlignment="0" applyProtection="0"/>
    <xf numFmtId="0" fontId="102" fillId="5" borderId="4" applyNumberFormat="0" applyAlignment="0" applyProtection="0"/>
    <xf numFmtId="0" fontId="102" fillId="5" borderId="4" applyNumberFormat="0" applyAlignment="0" applyProtection="0"/>
    <xf numFmtId="0" fontId="102" fillId="5" borderId="4" applyNumberFormat="0" applyAlignment="0" applyProtection="0"/>
    <xf numFmtId="0" fontId="102" fillId="5" borderId="4" applyNumberFormat="0" applyAlignment="0" applyProtection="0"/>
    <xf numFmtId="0" fontId="102" fillId="5" borderId="4" applyNumberFormat="0" applyAlignment="0" applyProtection="0"/>
    <xf numFmtId="0" fontId="102" fillId="5" borderId="4" applyNumberFormat="0" applyAlignment="0" applyProtection="0"/>
    <xf numFmtId="0" fontId="102" fillId="5" borderId="4" applyNumberFormat="0" applyAlignment="0" applyProtection="0"/>
    <xf numFmtId="0" fontId="128" fillId="0" borderId="0" applyNumberFormat="0" applyFill="0" applyBorder="0" applyAlignment="0">
      <protection locked="0"/>
    </xf>
    <xf numFmtId="0" fontId="105" fillId="0" borderId="0"/>
    <xf numFmtId="0" fontId="129" fillId="0" borderId="0" applyNumberFormat="0" applyFill="0" applyBorder="0" applyProtection="0">
      <alignment horizontal="left" vertical="center"/>
    </xf>
    <xf numFmtId="0" fontId="103" fillId="0" borderId="13" applyNumberFormat="0" applyFill="0" applyAlignment="0" applyProtection="0"/>
    <xf numFmtId="0" fontId="146" fillId="0" borderId="0"/>
    <xf numFmtId="0" fontId="148" fillId="0" borderId="0"/>
    <xf numFmtId="0" fontId="149" fillId="0" borderId="0"/>
    <xf numFmtId="222" fontId="35" fillId="21" borderId="0">
      <alignment horizontal="center"/>
    </xf>
    <xf numFmtId="222" fontId="35" fillId="21" borderId="0">
      <alignment horizontal="center"/>
    </xf>
    <xf numFmtId="0" fontId="104" fillId="5" borderId="0" applyNumberFormat="0" applyBorder="0" applyAlignment="0" applyProtection="0"/>
    <xf numFmtId="37" fontId="130" fillId="0" borderId="0"/>
    <xf numFmtId="223" fontId="131" fillId="0" borderId="0"/>
    <xf numFmtId="0" fontId="173" fillId="0" borderId="0"/>
    <xf numFmtId="0" fontId="34" fillId="0" borderId="0" applyNumberFormat="0" applyFont="0" applyFill="0" applyBorder="0" applyAlignment="0" applyProtection="0"/>
    <xf numFmtId="0" fontId="173" fillId="0" borderId="0"/>
    <xf numFmtId="0" fontId="34" fillId="0" borderId="0" applyNumberFormat="0" applyFont="0" applyFill="0" applyBorder="0" applyAlignment="0" applyProtection="0"/>
    <xf numFmtId="0" fontId="143" fillId="0" borderId="0"/>
    <xf numFmtId="0" fontId="34" fillId="0" borderId="0"/>
    <xf numFmtId="0" fontId="151" fillId="0" borderId="0"/>
    <xf numFmtId="0" fontId="34" fillId="0" borderId="0" applyNumberFormat="0" applyFont="0" applyFill="0" applyBorder="0" applyAlignment="0" applyProtection="0"/>
    <xf numFmtId="0" fontId="34" fillId="0" borderId="0" applyNumberFormat="0" applyFont="0" applyFill="0" applyBorder="0" applyAlignment="0" applyProtection="0"/>
    <xf numFmtId="0" fontId="34" fillId="0" borderId="0" applyNumberFormat="0" applyFont="0" applyFill="0" applyBorder="0" applyAlignment="0" applyProtection="0"/>
    <xf numFmtId="0" fontId="34" fillId="0" borderId="0" applyNumberFormat="0" applyFont="0" applyFill="0" applyBorder="0" applyAlignment="0" applyProtection="0"/>
    <xf numFmtId="0" fontId="34" fillId="0" borderId="0" applyNumberFormat="0" applyFont="0" applyFill="0" applyBorder="0" applyAlignment="0" applyProtection="0"/>
    <xf numFmtId="0" fontId="34" fillId="0" borderId="0" applyNumberFormat="0" applyFont="0" applyFill="0" applyBorder="0" applyAlignment="0" applyProtection="0"/>
    <xf numFmtId="0" fontId="34" fillId="0" borderId="0" applyNumberFormat="0" applyFont="0" applyFill="0" applyBorder="0" applyAlignment="0" applyProtection="0"/>
    <xf numFmtId="0" fontId="84" fillId="0" borderId="0"/>
    <xf numFmtId="0" fontId="34" fillId="0" borderId="0"/>
    <xf numFmtId="0" fontId="34" fillId="0" borderId="0" applyNumberFormat="0" applyFont="0" applyFill="0" applyBorder="0" applyAlignment="0" applyProtection="0"/>
    <xf numFmtId="0" fontId="34" fillId="0" borderId="0" applyNumberFormat="0" applyFont="0" applyFill="0" applyBorder="0" applyAlignment="0" applyProtection="0"/>
    <xf numFmtId="0" fontId="34" fillId="0" borderId="0" applyNumberFormat="0" applyFont="0" applyFill="0" applyBorder="0" applyAlignment="0" applyProtection="0"/>
    <xf numFmtId="0" fontId="34" fillId="0" borderId="0" applyNumberFormat="0" applyFont="0" applyFill="0" applyBorder="0" applyAlignment="0" applyProtection="0"/>
    <xf numFmtId="0" fontId="34" fillId="0" borderId="0" applyNumberFormat="0" applyFont="0" applyFill="0" applyBorder="0" applyAlignment="0" applyProtection="0"/>
    <xf numFmtId="0" fontId="34" fillId="0" borderId="0" applyNumberFormat="0" applyFon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ont="0" applyFill="0" applyBorder="0" applyAlignment="0" applyProtection="0"/>
    <xf numFmtId="0" fontId="34" fillId="0" borderId="0" applyNumberFormat="0" applyFont="0" applyFill="0" applyBorder="0" applyAlignment="0" applyProtection="0"/>
    <xf numFmtId="0" fontId="34" fillId="0" borderId="0" applyNumberFormat="0" applyFont="0" applyFill="0" applyBorder="0" applyAlignment="0" applyProtection="0"/>
    <xf numFmtId="0" fontId="34" fillId="0" borderId="0" applyNumberFormat="0" applyFont="0" applyFill="0" applyBorder="0" applyAlignment="0" applyProtection="0"/>
    <xf numFmtId="0" fontId="34" fillId="0" borderId="0"/>
    <xf numFmtId="0" fontId="34" fillId="0" borderId="0" applyNumberFormat="0" applyFont="0" applyFill="0" applyBorder="0" applyAlignment="0" applyProtection="0"/>
    <xf numFmtId="0" fontId="34" fillId="0" borderId="0"/>
    <xf numFmtId="0" fontId="34" fillId="0" borderId="0" applyNumberFormat="0" applyFont="0" applyFill="0" applyBorder="0" applyAlignment="0" applyProtection="0"/>
    <xf numFmtId="0" fontId="34" fillId="0" borderId="0" applyNumberFormat="0" applyFont="0" applyFill="0" applyBorder="0" applyAlignment="0" applyProtection="0"/>
    <xf numFmtId="0" fontId="34" fillId="0" borderId="0" applyNumberFormat="0" applyFont="0" applyFill="0" applyBorder="0" applyAlignment="0" applyProtection="0"/>
    <xf numFmtId="0" fontId="34" fillId="0" borderId="0" applyNumberFormat="0" applyFont="0" applyFill="0" applyBorder="0" applyAlignment="0" applyProtection="0"/>
    <xf numFmtId="0" fontId="34" fillId="0" borderId="0" applyNumberFormat="0" applyFont="0" applyFill="0" applyBorder="0" applyAlignment="0" applyProtection="0"/>
    <xf numFmtId="0" fontId="34" fillId="0" borderId="0" applyNumberFormat="0" applyFont="0" applyFill="0" applyBorder="0" applyAlignment="0" applyProtection="0"/>
    <xf numFmtId="0" fontId="34" fillId="0" borderId="0"/>
    <xf numFmtId="0" fontId="160" fillId="0" borderId="0"/>
    <xf numFmtId="0" fontId="34" fillId="0" borderId="0"/>
    <xf numFmtId="0" fontId="35" fillId="0" borderId="0" applyNumberFormat="0" applyBorder="0" applyAlignment="0" applyProtection="0"/>
    <xf numFmtId="0" fontId="34" fillId="0" borderId="0" applyNumberFormat="0" applyFont="0" applyFill="0" applyBorder="0" applyAlignment="0" applyProtection="0"/>
    <xf numFmtId="0" fontId="34" fillId="0" borderId="0"/>
    <xf numFmtId="0" fontId="34" fillId="0" borderId="0" applyNumberFormat="0" applyFont="0" applyFill="0" applyBorder="0" applyAlignment="0" applyProtection="0"/>
    <xf numFmtId="0" fontId="34" fillId="0" borderId="0"/>
    <xf numFmtId="0" fontId="34" fillId="0" borderId="0"/>
    <xf numFmtId="0" fontId="34" fillId="0" borderId="0" applyNumberFormat="0" applyFont="0" applyFill="0" applyBorder="0" applyAlignment="0" applyProtection="0"/>
    <xf numFmtId="0" fontId="34" fillId="0" borderId="0" applyNumberFormat="0" applyFont="0" applyFill="0" applyBorder="0" applyAlignment="0" applyProtection="0"/>
    <xf numFmtId="0" fontId="34" fillId="0" borderId="0" applyNumberFormat="0" applyFont="0" applyFill="0" applyBorder="0" applyAlignment="0" applyProtection="0"/>
    <xf numFmtId="0" fontId="34" fillId="0" borderId="0" applyNumberFormat="0" applyFont="0" applyFill="0" applyBorder="0" applyAlignment="0" applyProtection="0"/>
    <xf numFmtId="0" fontId="132" fillId="0" borderId="0"/>
    <xf numFmtId="0" fontId="17" fillId="0" borderId="0"/>
    <xf numFmtId="166" fontId="22" fillId="0" borderId="0"/>
    <xf numFmtId="0" fontId="17" fillId="0" borderId="0"/>
    <xf numFmtId="0" fontId="34" fillId="5" borderId="14" applyNumberFormat="0" applyFont="0" applyAlignment="0" applyProtection="0"/>
    <xf numFmtId="0" fontId="34" fillId="5" borderId="14" applyNumberFormat="0" applyFont="0" applyAlignment="0" applyProtection="0"/>
    <xf numFmtId="0" fontId="34" fillId="5" borderId="14" applyNumberFormat="0" applyFont="0" applyAlignment="0" applyProtection="0"/>
    <xf numFmtId="0" fontId="34" fillId="5" borderId="14" applyNumberFormat="0" applyFont="0" applyAlignment="0" applyProtection="0"/>
    <xf numFmtId="0" fontId="34" fillId="5" borderId="14" applyNumberFormat="0" applyFont="0" applyAlignment="0" applyProtection="0"/>
    <xf numFmtId="0" fontId="34" fillId="5" borderId="14" applyNumberFormat="0" applyFont="0" applyAlignment="0" applyProtection="0"/>
    <xf numFmtId="0" fontId="34" fillId="5" borderId="14" applyNumberFormat="0" applyFont="0" applyAlignment="0" applyProtection="0"/>
    <xf numFmtId="0" fontId="34" fillId="5" borderId="14" applyNumberFormat="0" applyFont="0" applyAlignment="0" applyProtection="0"/>
    <xf numFmtId="0" fontId="34" fillId="5" borderId="14" applyNumberFormat="0" applyFont="0" applyAlignment="0" applyProtection="0"/>
    <xf numFmtId="0" fontId="34" fillId="5" borderId="14" applyNumberFormat="0" applyFont="0" applyAlignment="0" applyProtection="0"/>
    <xf numFmtId="0" fontId="34" fillId="5" borderId="14" applyNumberFormat="0" applyFont="0" applyAlignment="0" applyProtection="0"/>
    <xf numFmtId="164" fontId="58" fillId="0" borderId="0" applyFont="0" applyFill="0" applyBorder="0" applyProtection="0">
      <alignment horizontal="right"/>
    </xf>
    <xf numFmtId="43" fontId="106" fillId="0" borderId="0" applyFont="0" applyFill="0" applyBorder="0" applyAlignment="0" applyProtection="0"/>
    <xf numFmtId="41" fontId="106" fillId="0" borderId="0" applyFont="0" applyFill="0" applyBorder="0" applyAlignment="0" applyProtection="0"/>
    <xf numFmtId="184" fontId="13" fillId="0" borderId="0"/>
    <xf numFmtId="0" fontId="133" fillId="0" borderId="0">
      <alignment horizontal="left"/>
    </xf>
    <xf numFmtId="0" fontId="95" fillId="15" borderId="15" applyNumberFormat="0" applyAlignment="0" applyProtection="0"/>
    <xf numFmtId="0" fontId="41" fillId="0" borderId="0">
      <alignment vertical="center"/>
    </xf>
    <xf numFmtId="0" fontId="149" fillId="0" borderId="0"/>
    <xf numFmtId="9" fontId="13" fillId="0" borderId="0" applyFont="0" applyFill="0" applyBorder="0" applyAlignment="0" applyProtection="0"/>
    <xf numFmtId="10" fontId="34" fillId="0" borderId="0" applyFont="0" applyFill="0" applyBorder="0" applyAlignment="0" applyProtection="0"/>
    <xf numFmtId="10" fontId="34" fillId="0" borderId="0" applyFont="0" applyFill="0" applyBorder="0" applyAlignment="0" applyProtection="0"/>
    <xf numFmtId="10" fontId="34" fillId="0" borderId="0" applyFont="0" applyFill="0" applyBorder="0" applyAlignment="0" applyProtection="0"/>
    <xf numFmtId="10" fontId="34" fillId="0" borderId="0" applyFont="0" applyFill="0" applyBorder="0" applyAlignment="0" applyProtection="0"/>
    <xf numFmtId="10" fontId="34" fillId="0" borderId="0" applyFont="0" applyFill="0" applyBorder="0" applyAlignment="0" applyProtection="0"/>
    <xf numFmtId="10" fontId="34" fillId="0" borderId="0" applyFont="0" applyFill="0" applyBorder="0" applyAlignment="0" applyProtection="0"/>
    <xf numFmtId="10" fontId="34" fillId="0" borderId="0" applyFont="0" applyFill="0" applyBorder="0" applyAlignment="0" applyProtection="0"/>
    <xf numFmtId="10" fontId="34" fillId="0" borderId="0" applyFont="0" applyFill="0" applyBorder="0" applyAlignment="0" applyProtection="0"/>
    <xf numFmtId="10" fontId="34" fillId="0" borderId="0" applyFont="0" applyFill="0" applyBorder="0" applyAlignment="0" applyProtection="0"/>
    <xf numFmtId="9" fontId="98" fillId="0" borderId="0" applyFont="0" applyFill="0" applyBorder="0" applyAlignment="0" applyProtection="0"/>
    <xf numFmtId="9" fontId="91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143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143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143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144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150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150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152" fillId="0" borderId="0" applyFont="0" applyFill="0" applyBorder="0" applyAlignment="0" applyProtection="0"/>
    <xf numFmtId="9" fontId="157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91" fillId="0" borderId="0" applyFont="0" applyFill="0" applyBorder="0" applyAlignment="0" applyProtection="0"/>
    <xf numFmtId="9" fontId="152" fillId="0" borderId="0" applyFont="0" applyFill="0" applyBorder="0" applyAlignment="0" applyProtection="0"/>
    <xf numFmtId="9" fontId="157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152" fillId="0" borderId="0" applyFont="0" applyFill="0" applyBorder="0" applyAlignment="0" applyProtection="0"/>
    <xf numFmtId="9" fontId="157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152" fillId="0" borderId="0" applyFont="0" applyFill="0" applyBorder="0" applyAlignment="0" applyProtection="0"/>
    <xf numFmtId="9" fontId="157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152" fillId="0" borderId="0" applyFont="0" applyFill="0" applyBorder="0" applyAlignment="0" applyProtection="0"/>
    <xf numFmtId="9" fontId="157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157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157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157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157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157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157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157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157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157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157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157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157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157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157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157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157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90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157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157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157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157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157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157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159" fillId="0" borderId="0" applyFont="0" applyFill="0" applyBorder="0" applyAlignment="0" applyProtection="0"/>
    <xf numFmtId="9" fontId="160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159" fillId="0" borderId="0" applyFont="0" applyFill="0" applyBorder="0" applyAlignment="0" applyProtection="0"/>
    <xf numFmtId="9" fontId="160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159" fillId="0" borderId="0" applyFont="0" applyFill="0" applyBorder="0" applyAlignment="0" applyProtection="0"/>
    <xf numFmtId="9" fontId="160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159" fillId="0" borderId="0" applyFont="0" applyFill="0" applyBorder="0" applyAlignment="0" applyProtection="0"/>
    <xf numFmtId="9" fontId="160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159" fillId="0" borderId="0" applyFont="0" applyFill="0" applyBorder="0" applyAlignment="0" applyProtection="0"/>
    <xf numFmtId="9" fontId="160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159" fillId="0" borderId="0" applyFont="0" applyFill="0" applyBorder="0" applyAlignment="0" applyProtection="0"/>
    <xf numFmtId="9" fontId="160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159" fillId="0" borderId="0" applyFont="0" applyFill="0" applyBorder="0" applyAlignment="0" applyProtection="0"/>
    <xf numFmtId="9" fontId="160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160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160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160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160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160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162" fillId="0" borderId="0" applyFont="0" applyFill="0" applyBorder="0" applyAlignment="0" applyProtection="0"/>
    <xf numFmtId="9" fontId="162" fillId="0" borderId="0" applyFont="0" applyFill="0" applyBorder="0" applyAlignment="0" applyProtection="0"/>
    <xf numFmtId="9" fontId="162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162" fillId="0" borderId="0" applyFont="0" applyFill="0" applyBorder="0" applyAlignment="0" applyProtection="0"/>
    <xf numFmtId="9" fontId="162" fillId="0" borderId="0" applyFont="0" applyFill="0" applyBorder="0" applyAlignment="0" applyProtection="0"/>
    <xf numFmtId="9" fontId="163" fillId="0" borderId="0" applyFont="0" applyFill="0" applyBorder="0" applyAlignment="0" applyProtection="0"/>
    <xf numFmtId="9" fontId="98" fillId="0" borderId="0" applyFont="0" applyFill="0" applyBorder="0" applyAlignment="0" applyProtection="0"/>
    <xf numFmtId="9" fontId="91" fillId="0" borderId="0" applyFont="0" applyFill="0" applyBorder="0" applyAlignment="0" applyProtection="0"/>
    <xf numFmtId="9" fontId="34" fillId="0" borderId="0" applyFont="0" applyFill="0" applyBorder="0" applyAlignment="0" applyProtection="0"/>
    <xf numFmtId="1" fontId="134" fillId="18" borderId="0">
      <alignment horizontal="center"/>
    </xf>
    <xf numFmtId="224" fontId="35" fillId="0" borderId="0"/>
    <xf numFmtId="0" fontId="135" fillId="0" borderId="0"/>
    <xf numFmtId="0" fontId="129" fillId="0" borderId="0" applyNumberFormat="0" applyFill="0" applyBorder="0" applyProtection="0">
      <alignment horizontal="right" vertical="center"/>
    </xf>
    <xf numFmtId="0" fontId="34" fillId="22" borderId="0" applyNumberFormat="0" applyFont="0" applyBorder="0" applyAlignment="0" applyProtection="0"/>
    <xf numFmtId="0" fontId="34" fillId="22" borderId="0" applyNumberFormat="0" applyFont="0" applyBorder="0" applyAlignment="0" applyProtection="0"/>
    <xf numFmtId="181" fontId="42" fillId="0" borderId="0"/>
    <xf numFmtId="0" fontId="42" fillId="0" borderId="0"/>
    <xf numFmtId="0" fontId="87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16">
      <alignment horizontal="centerContinuous"/>
    </xf>
    <xf numFmtId="0" fontId="87" fillId="0" borderId="16">
      <alignment horizontal="centerContinuous"/>
    </xf>
    <xf numFmtId="0" fontId="42" fillId="0" borderId="16">
      <alignment horizontal="centerContinuous"/>
    </xf>
    <xf numFmtId="0" fontId="42" fillId="0" borderId="16">
      <alignment horizontal="centerContinuous"/>
    </xf>
    <xf numFmtId="0" fontId="42" fillId="0" borderId="16">
      <alignment horizontal="centerContinuous"/>
    </xf>
    <xf numFmtId="0" fontId="42" fillId="0" borderId="16">
      <alignment horizontal="centerContinuous"/>
    </xf>
    <xf numFmtId="0" fontId="42" fillId="0" borderId="16">
      <alignment horizontal="centerContinuous"/>
    </xf>
    <xf numFmtId="0" fontId="42" fillId="0" borderId="16">
      <alignment horizontal="centerContinuous"/>
    </xf>
    <xf numFmtId="0" fontId="42" fillId="0" borderId="16">
      <alignment horizontal="centerContinuous"/>
    </xf>
    <xf numFmtId="0" fontId="42" fillId="0" borderId="16">
      <alignment horizontal="centerContinuous"/>
    </xf>
    <xf numFmtId="0" fontId="42" fillId="0" borderId="16">
      <alignment horizontal="centerContinuous"/>
    </xf>
    <xf numFmtId="0" fontId="42" fillId="0" borderId="16">
      <alignment horizontal="centerContinuous"/>
    </xf>
    <xf numFmtId="0" fontId="42" fillId="0" borderId="16">
      <alignment horizontal="centerContinuous"/>
    </xf>
    <xf numFmtId="0" fontId="43" fillId="0" borderId="16"/>
    <xf numFmtId="0" fontId="13" fillId="0" borderId="0"/>
    <xf numFmtId="0" fontId="162" fillId="0" borderId="0"/>
    <xf numFmtId="0" fontId="34" fillId="0" borderId="0"/>
    <xf numFmtId="0" fontId="34" fillId="0" borderId="0">
      <alignment vertical="top"/>
    </xf>
    <xf numFmtId="0" fontId="90" fillId="0" borderId="0">
      <alignment vertical="top"/>
    </xf>
    <xf numFmtId="0" fontId="34" fillId="0" borderId="0">
      <alignment vertical="top"/>
    </xf>
    <xf numFmtId="0" fontId="143" fillId="0" borderId="0"/>
    <xf numFmtId="0" fontId="34" fillId="0" borderId="0"/>
    <xf numFmtId="0" fontId="34" fillId="0" borderId="0">
      <alignment vertical="top"/>
    </xf>
    <xf numFmtId="0" fontId="34" fillId="0" borderId="0">
      <alignment vertical="top"/>
    </xf>
    <xf numFmtId="0" fontId="150" fillId="0" borderId="0"/>
    <xf numFmtId="0" fontId="34" fillId="0" borderId="0"/>
    <xf numFmtId="0" fontId="34" fillId="0" borderId="0">
      <alignment vertical="top"/>
    </xf>
    <xf numFmtId="0" fontId="34" fillId="0" borderId="0">
      <alignment vertical="top"/>
    </xf>
    <xf numFmtId="0" fontId="152" fillId="0" borderId="0"/>
    <xf numFmtId="0" fontId="157" fillId="0" borderId="0"/>
    <xf numFmtId="0" fontId="34" fillId="0" borderId="0">
      <alignment vertical="top"/>
    </xf>
    <xf numFmtId="0" fontId="34" fillId="0" borderId="0"/>
    <xf numFmtId="0" fontId="34" fillId="0" borderId="0">
      <alignment vertical="top"/>
    </xf>
    <xf numFmtId="0" fontId="34" fillId="0" borderId="0"/>
    <xf numFmtId="0" fontId="157" fillId="0" borderId="0"/>
    <xf numFmtId="0" fontId="34" fillId="0" borderId="0">
      <alignment vertical="top"/>
    </xf>
    <xf numFmtId="0" fontId="34" fillId="0" borderId="0">
      <alignment vertical="top"/>
    </xf>
    <xf numFmtId="0" fontId="34" fillId="0" borderId="0"/>
    <xf numFmtId="0" fontId="159" fillId="0" borderId="0"/>
    <xf numFmtId="0" fontId="160" fillId="0" borderId="0"/>
    <xf numFmtId="0" fontId="34" fillId="0" borderId="0"/>
    <xf numFmtId="0" fontId="34" fillId="0" borderId="0"/>
    <xf numFmtId="0" fontId="160" fillId="0" borderId="0"/>
    <xf numFmtId="0" fontId="34" fillId="0" borderId="0"/>
    <xf numFmtId="0" fontId="34" fillId="0" borderId="0"/>
    <xf numFmtId="0" fontId="34" fillId="0" borderId="0">
      <alignment vertical="top"/>
    </xf>
    <xf numFmtId="0" fontId="34" fillId="0" borderId="0">
      <alignment vertical="top"/>
    </xf>
    <xf numFmtId="0" fontId="34" fillId="0" borderId="0">
      <alignment vertical="top"/>
    </xf>
    <xf numFmtId="0" fontId="34" fillId="0" borderId="0">
      <alignment vertical="top"/>
    </xf>
    <xf numFmtId="0" fontId="34" fillId="0" borderId="0">
      <alignment vertical="top"/>
    </xf>
    <xf numFmtId="0" fontId="34" fillId="0" borderId="0">
      <alignment vertical="top"/>
    </xf>
    <xf numFmtId="0" fontId="34" fillId="0" borderId="0">
      <alignment vertical="top"/>
    </xf>
    <xf numFmtId="0" fontId="34" fillId="0" borderId="0">
      <alignment vertical="top"/>
    </xf>
    <xf numFmtId="0" fontId="53" fillId="0" borderId="0"/>
    <xf numFmtId="0" fontId="53" fillId="0" borderId="0"/>
    <xf numFmtId="0" fontId="53" fillId="0" borderId="0"/>
    <xf numFmtId="0" fontId="53" fillId="0" borderId="0"/>
    <xf numFmtId="0" fontId="34" fillId="0" borderId="0">
      <alignment vertical="top"/>
    </xf>
    <xf numFmtId="0" fontId="34" fillId="0" borderId="0">
      <alignment vertical="top"/>
    </xf>
    <xf numFmtId="0" fontId="34" fillId="0" borderId="0">
      <alignment vertical="top"/>
    </xf>
    <xf numFmtId="0" fontId="34" fillId="0" borderId="0">
      <alignment vertical="top"/>
    </xf>
    <xf numFmtId="0" fontId="34" fillId="0" borderId="0">
      <alignment vertical="top"/>
    </xf>
    <xf numFmtId="0" fontId="34" fillId="0" borderId="0">
      <alignment vertical="top"/>
    </xf>
    <xf numFmtId="0" fontId="34" fillId="0" borderId="0">
      <alignment vertical="top"/>
    </xf>
    <xf numFmtId="0" fontId="34" fillId="0" borderId="0">
      <alignment vertical="top"/>
    </xf>
    <xf numFmtId="0" fontId="34" fillId="0" borderId="0">
      <alignment vertical="top"/>
    </xf>
    <xf numFmtId="0" fontId="39" fillId="0" borderId="0">
      <alignment vertical="center"/>
    </xf>
    <xf numFmtId="0" fontId="39" fillId="0" borderId="0">
      <alignment vertical="center"/>
    </xf>
    <xf numFmtId="0" fontId="137" fillId="0" borderId="0" applyNumberFormat="0" applyFill="0" applyBorder="0" applyAlignment="0" applyProtection="0"/>
    <xf numFmtId="0" fontId="138" fillId="23" borderId="0" applyNumberFormat="0" applyBorder="0" applyProtection="0">
      <alignment horizontal="left" vertical="center"/>
    </xf>
    <xf numFmtId="0" fontId="139" fillId="1" borderId="0" applyNumberFormat="0" applyBorder="0" applyProtection="0">
      <alignment horizontal="left" vertical="center"/>
    </xf>
    <xf numFmtId="184" fontId="52" fillId="0" borderId="0"/>
    <xf numFmtId="190" fontId="140" fillId="0" borderId="17" applyNumberFormat="0" applyFont="0" applyFill="0" applyAlignment="0" applyProtection="0"/>
    <xf numFmtId="0" fontId="96" fillId="0" borderId="18" applyNumberFormat="0" applyFill="0" applyAlignment="0" applyProtection="0"/>
    <xf numFmtId="184" fontId="57" fillId="0" borderId="19"/>
    <xf numFmtId="225" fontId="141" fillId="0" borderId="0">
      <alignment horizontal="right"/>
    </xf>
    <xf numFmtId="226" fontId="134" fillId="18" borderId="2" applyBorder="0">
      <alignment horizontal="right" vertical="center"/>
      <protection locked="0"/>
    </xf>
    <xf numFmtId="0" fontId="142" fillId="0" borderId="0" applyNumberFormat="0"/>
    <xf numFmtId="0" fontId="97" fillId="0" borderId="0" applyNumberFormat="0" applyFill="0" applyBorder="0" applyAlignment="0" applyProtection="0"/>
    <xf numFmtId="1" fontId="34" fillId="0" borderId="0">
      <alignment horizontal="center"/>
    </xf>
    <xf numFmtId="1" fontId="34" fillId="0" borderId="0">
      <alignment horizontal="center"/>
    </xf>
    <xf numFmtId="1" fontId="34" fillId="0" borderId="0">
      <alignment horizontal="center"/>
    </xf>
    <xf numFmtId="1" fontId="34" fillId="0" borderId="0">
      <alignment horizontal="center"/>
    </xf>
    <xf numFmtId="1" fontId="34" fillId="0" borderId="0">
      <alignment horizontal="center"/>
    </xf>
    <xf numFmtId="1" fontId="34" fillId="0" borderId="0">
      <alignment horizontal="center"/>
    </xf>
    <xf numFmtId="1" fontId="34" fillId="0" borderId="0">
      <alignment horizontal="center"/>
    </xf>
    <xf numFmtId="1" fontId="34" fillId="0" borderId="0">
      <alignment horizontal="center"/>
    </xf>
    <xf numFmtId="1" fontId="34" fillId="0" borderId="0">
      <alignment horizontal="center"/>
    </xf>
    <xf numFmtId="0" fontId="171" fillId="0" borderId="0"/>
    <xf numFmtId="0" fontId="172" fillId="0" borderId="0" applyFont="0" applyFill="0" applyBorder="0" applyAlignment="0" applyProtection="0"/>
    <xf numFmtId="0" fontId="172" fillId="0" borderId="0" applyFont="0" applyFill="0" applyBorder="0" applyAlignment="0" applyProtection="0"/>
    <xf numFmtId="0" fontId="34" fillId="0" borderId="0" applyNumberFormat="0" applyFill="0" applyBorder="0" applyAlignment="0" applyProtection="0">
      <alignment vertical="top"/>
      <protection locked="0"/>
    </xf>
    <xf numFmtId="0" fontId="13" fillId="0" borderId="0" applyNumberFormat="0" applyFont="0" applyFill="0" applyBorder="0" applyAlignment="0" applyProtection="0"/>
    <xf numFmtId="0" fontId="13" fillId="0" borderId="0" applyFont="0" applyFill="0" applyBorder="0" applyAlignment="0" applyProtection="0"/>
    <xf numFmtId="0" fontId="13" fillId="0" borderId="0" applyNumberFormat="0" applyFont="0" applyFill="0" applyBorder="0" applyAlignment="0" applyProtection="0"/>
    <xf numFmtId="0" fontId="13" fillId="0" borderId="0" applyNumberFormat="0" applyFon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10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 applyNumberFormat="0" applyFill="0" applyBorder="0" applyAlignment="0" applyProtection="0"/>
    <xf numFmtId="0" fontId="13" fillId="0" borderId="0" applyFill="0" applyAlignment="0">
      <protection locked="0"/>
    </xf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 applyNumberFormat="0" applyFill="0" applyBorder="0" applyAlignment="0" applyProtection="0"/>
    <xf numFmtId="9" fontId="13" fillId="0" borderId="0"/>
    <xf numFmtId="9" fontId="13" fillId="0" borderId="0"/>
    <xf numFmtId="9" fontId="13" fillId="0" borderId="0"/>
    <xf numFmtId="9" fontId="13" fillId="0" borderId="0"/>
    <xf numFmtId="9" fontId="13" fillId="0" borderId="0"/>
    <xf numFmtId="9" fontId="13" fillId="0" borderId="0"/>
    <xf numFmtId="9" fontId="13" fillId="0" borderId="0"/>
    <xf numFmtId="9" fontId="13" fillId="0" borderId="0"/>
    <xf numFmtId="9" fontId="13" fillId="0" borderId="0"/>
    <xf numFmtId="181" fontId="13" fillId="0" borderId="0"/>
    <xf numFmtId="181" fontId="13" fillId="0" borderId="0"/>
    <xf numFmtId="181" fontId="13" fillId="0" borderId="0"/>
    <xf numFmtId="181" fontId="13" fillId="0" borderId="0"/>
    <xf numFmtId="181" fontId="13" fillId="0" borderId="0"/>
    <xf numFmtId="181" fontId="13" fillId="0" borderId="0"/>
    <xf numFmtId="181" fontId="13" fillId="0" borderId="0"/>
    <xf numFmtId="181" fontId="13" fillId="0" borderId="0"/>
    <xf numFmtId="181" fontId="13" fillId="0" borderId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4" fontId="13" fillId="0" borderId="0" applyFont="0" applyFill="0" applyBorder="0" applyAlignment="0" applyProtection="0"/>
    <xf numFmtId="44" fontId="13" fillId="0" borderId="0" applyFont="0" applyFill="0" applyBorder="0" applyAlignment="0" applyProtection="0"/>
    <xf numFmtId="44" fontId="13" fillId="0" borderId="0" applyFont="0" applyFill="0" applyBorder="0" applyAlignment="0" applyProtection="0"/>
    <xf numFmtId="44" fontId="13" fillId="0" borderId="0" applyFont="0" applyFill="0" applyBorder="0" applyAlignment="0" applyProtection="0"/>
    <xf numFmtId="44" fontId="13" fillId="0" borderId="0" applyFont="0" applyFill="0" applyBorder="0" applyAlignment="0" applyProtection="0"/>
    <xf numFmtId="44" fontId="13" fillId="0" borderId="0" applyFont="0" applyFill="0" applyBorder="0" applyAlignment="0" applyProtection="0"/>
    <xf numFmtId="44" fontId="13" fillId="0" borderId="0" applyFont="0" applyFill="0" applyBorder="0" applyAlignment="0" applyProtection="0"/>
    <xf numFmtId="44" fontId="13" fillId="0" borderId="0" applyFont="0" applyFill="0" applyBorder="0" applyAlignment="0" applyProtection="0"/>
    <xf numFmtId="44" fontId="13" fillId="0" borderId="0" applyFont="0" applyFill="0" applyBorder="0" applyAlignment="0" applyProtection="0"/>
    <xf numFmtId="44" fontId="13" fillId="0" borderId="0" applyFont="0" applyFill="0" applyBorder="0" applyAlignment="0" applyProtection="0"/>
    <xf numFmtId="44" fontId="13" fillId="0" borderId="0" applyFont="0" applyFill="0" applyBorder="0" applyAlignment="0" applyProtection="0"/>
    <xf numFmtId="44" fontId="13" fillId="0" borderId="0" applyFont="0" applyFill="0" applyBorder="0" applyAlignment="0" applyProtection="0"/>
    <xf numFmtId="44" fontId="13" fillId="0" borderId="0" applyFont="0" applyFill="0" applyBorder="0" applyAlignment="0" applyProtection="0"/>
    <xf numFmtId="44" fontId="13" fillId="0" borderId="0" applyFont="0" applyFill="0" applyBorder="0" applyAlignment="0" applyProtection="0"/>
    <xf numFmtId="44" fontId="13" fillId="0" borderId="0" applyFont="0" applyFill="0" applyBorder="0" applyAlignment="0" applyProtection="0"/>
    <xf numFmtId="44" fontId="13" fillId="0" borderId="0" applyFont="0" applyFill="0" applyBorder="0" applyAlignment="0" applyProtection="0"/>
    <xf numFmtId="44" fontId="13" fillId="0" borderId="0" applyFont="0" applyFill="0" applyBorder="0" applyAlignment="0" applyProtection="0"/>
    <xf numFmtId="44" fontId="13" fillId="0" borderId="0" applyFont="0" applyFill="0" applyBorder="0" applyAlignment="0" applyProtection="0"/>
    <xf numFmtId="44" fontId="13" fillId="0" borderId="0" applyFont="0" applyFill="0" applyBorder="0" applyAlignment="0" applyProtection="0"/>
    <xf numFmtId="44" fontId="13" fillId="0" borderId="0" applyFont="0" applyFill="0" applyBorder="0" applyAlignment="0" applyProtection="0"/>
    <xf numFmtId="44" fontId="13" fillId="0" borderId="0" applyFont="0" applyFill="0" applyBorder="0" applyAlignment="0" applyProtection="0"/>
    <xf numFmtId="44" fontId="13" fillId="0" borderId="0" applyFont="0" applyFill="0" applyBorder="0" applyAlignment="0" applyProtection="0"/>
    <xf numFmtId="44" fontId="13" fillId="0" borderId="0" applyFont="0" applyFill="0" applyBorder="0" applyAlignment="0" applyProtection="0"/>
    <xf numFmtId="44" fontId="13" fillId="0" borderId="0" applyFont="0" applyFill="0" applyBorder="0" applyAlignment="0" applyProtection="0"/>
    <xf numFmtId="44" fontId="13" fillId="0" borderId="0" applyFont="0" applyFill="0" applyBorder="0" applyAlignment="0" applyProtection="0"/>
    <xf numFmtId="44" fontId="13" fillId="0" borderId="0" applyFont="0" applyFill="0" applyBorder="0" applyAlignment="0" applyProtection="0"/>
    <xf numFmtId="44" fontId="13" fillId="0" borderId="0" applyFont="0" applyFill="0" applyBorder="0" applyAlignment="0" applyProtection="0"/>
    <xf numFmtId="44" fontId="13" fillId="0" borderId="0" applyFont="0" applyFill="0" applyBorder="0" applyAlignment="0" applyProtection="0"/>
    <xf numFmtId="49" fontId="13" fillId="0" borderId="0" applyFill="0" applyBorder="0">
      <alignment horizontal="right" vertical="center"/>
    </xf>
    <xf numFmtId="49" fontId="13" fillId="0" borderId="0" applyFill="0" applyBorder="0">
      <alignment horizontal="right" vertical="center"/>
    </xf>
    <xf numFmtId="49" fontId="13" fillId="0" borderId="0" applyFill="0" applyBorder="0">
      <alignment horizontal="right" vertical="center"/>
    </xf>
    <xf numFmtId="49" fontId="13" fillId="0" borderId="0" applyFill="0" applyBorder="0">
      <alignment horizontal="right" vertical="center"/>
    </xf>
    <xf numFmtId="49" fontId="13" fillId="0" borderId="0" applyFill="0" applyBorder="0">
      <alignment horizontal="right" vertical="center"/>
    </xf>
    <xf numFmtId="49" fontId="13" fillId="0" borderId="0" applyFill="0" applyBorder="0">
      <alignment horizontal="right" vertical="center"/>
    </xf>
    <xf numFmtId="49" fontId="13" fillId="0" borderId="0" applyFill="0" applyBorder="0">
      <alignment horizontal="right" vertical="center"/>
    </xf>
    <xf numFmtId="49" fontId="13" fillId="0" borderId="0" applyFill="0" applyBorder="0">
      <alignment horizontal="right" vertical="center"/>
    </xf>
    <xf numFmtId="49" fontId="13" fillId="0" borderId="0" applyFill="0" applyBorder="0">
      <alignment horizontal="right" vertical="center"/>
    </xf>
    <xf numFmtId="49" fontId="13" fillId="0" borderId="0" applyFill="0" applyBorder="0">
      <alignment horizontal="right" vertical="center"/>
    </xf>
    <xf numFmtId="49" fontId="13" fillId="0" borderId="0" applyFill="0" applyBorder="0">
      <alignment horizontal="right" vertical="center"/>
    </xf>
    <xf numFmtId="49" fontId="13" fillId="0" borderId="0" applyFill="0" applyBorder="0">
      <alignment horizontal="right" vertical="center"/>
    </xf>
    <xf numFmtId="49" fontId="13" fillId="0" borderId="0" applyFill="0" applyBorder="0">
      <alignment horizontal="right" vertical="center"/>
    </xf>
    <xf numFmtId="49" fontId="13" fillId="0" borderId="0" applyFill="0" applyBorder="0">
      <alignment horizontal="right" vertical="center"/>
    </xf>
    <xf numFmtId="49" fontId="13" fillId="0" borderId="0" applyFill="0" applyBorder="0">
      <alignment horizontal="right" vertical="center"/>
    </xf>
    <xf numFmtId="49" fontId="13" fillId="0" borderId="0" applyFill="0" applyBorder="0">
      <alignment horizontal="right" vertical="center"/>
    </xf>
    <xf numFmtId="49" fontId="13" fillId="0" borderId="0" applyFill="0" applyBorder="0">
      <alignment horizontal="right" vertical="center"/>
    </xf>
    <xf numFmtId="49" fontId="13" fillId="0" borderId="0" applyFill="0" applyBorder="0">
      <alignment horizontal="right" vertical="center"/>
    </xf>
    <xf numFmtId="168" fontId="13" fillId="19" borderId="8" applyNumberFormat="0" applyFont="0" applyBorder="0" applyAlignment="0" applyProtection="0"/>
    <xf numFmtId="0" fontId="12" fillId="0" borderId="0"/>
    <xf numFmtId="0" fontId="13" fillId="0" borderId="0" applyNumberFormat="0" applyFont="0" applyFill="0" applyBorder="0" applyAlignment="0" applyProtection="0"/>
    <xf numFmtId="0" fontId="12" fillId="0" borderId="0"/>
    <xf numFmtId="0" fontId="13" fillId="0" borderId="0" applyNumberFormat="0" applyFont="0" applyFill="0" applyBorder="0" applyAlignment="0" applyProtection="0"/>
    <xf numFmtId="0" fontId="13" fillId="0" borderId="0"/>
    <xf numFmtId="0" fontId="13" fillId="0" borderId="0"/>
    <xf numFmtId="0" fontId="13" fillId="0" borderId="0" applyNumberFormat="0" applyFont="0" applyFill="0" applyBorder="0" applyAlignment="0" applyProtection="0"/>
    <xf numFmtId="0" fontId="13" fillId="0" borderId="0" applyNumberFormat="0" applyFont="0" applyFill="0" applyBorder="0" applyAlignment="0" applyProtection="0"/>
    <xf numFmtId="0" fontId="13" fillId="0" borderId="0" applyNumberFormat="0" applyFont="0" applyFill="0" applyBorder="0" applyAlignment="0" applyProtection="0"/>
    <xf numFmtId="0" fontId="13" fillId="0" borderId="0" applyNumberFormat="0" applyFont="0" applyFill="0" applyBorder="0" applyAlignment="0" applyProtection="0"/>
    <xf numFmtId="0" fontId="13" fillId="0" borderId="0" applyNumberFormat="0" applyFont="0" applyFill="0" applyBorder="0" applyAlignment="0" applyProtection="0"/>
    <xf numFmtId="0" fontId="13" fillId="0" borderId="0" applyNumberFormat="0" applyFont="0" applyFill="0" applyBorder="0" applyAlignment="0" applyProtection="0"/>
    <xf numFmtId="0" fontId="13" fillId="0" borderId="0" applyNumberFormat="0" applyFont="0" applyFill="0" applyBorder="0" applyAlignment="0" applyProtection="0"/>
    <xf numFmtId="0" fontId="13" fillId="0" borderId="0"/>
    <xf numFmtId="0" fontId="13" fillId="0" borderId="0"/>
    <xf numFmtId="0" fontId="13" fillId="0" borderId="0" applyNumberFormat="0" applyFont="0" applyFill="0" applyBorder="0" applyAlignment="0" applyProtection="0"/>
    <xf numFmtId="0" fontId="13" fillId="0" borderId="0" applyNumberFormat="0" applyFont="0" applyFill="0" applyBorder="0" applyAlignment="0" applyProtection="0"/>
    <xf numFmtId="0" fontId="13" fillId="0" borderId="0" applyNumberFormat="0" applyFont="0" applyFill="0" applyBorder="0" applyAlignment="0" applyProtection="0"/>
    <xf numFmtId="0" fontId="13" fillId="0" borderId="0" applyNumberFormat="0" applyFont="0" applyFill="0" applyBorder="0" applyAlignment="0" applyProtection="0"/>
    <xf numFmtId="0" fontId="13" fillId="0" borderId="0" applyNumberFormat="0" applyFont="0" applyFill="0" applyBorder="0" applyAlignment="0" applyProtection="0"/>
    <xf numFmtId="0" fontId="13" fillId="0" borderId="0" applyNumberFormat="0" applyFon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ont="0" applyFill="0" applyBorder="0" applyAlignment="0" applyProtection="0"/>
    <xf numFmtId="0" fontId="13" fillId="0" borderId="0" applyNumberFormat="0" applyFont="0" applyFill="0" applyBorder="0" applyAlignment="0" applyProtection="0"/>
    <xf numFmtId="0" fontId="13" fillId="0" borderId="0" applyNumberFormat="0" applyFont="0" applyFill="0" applyBorder="0" applyAlignment="0" applyProtection="0"/>
    <xf numFmtId="0" fontId="13" fillId="0" borderId="0" applyNumberFormat="0" applyFont="0" applyFill="0" applyBorder="0" applyAlignment="0" applyProtection="0"/>
    <xf numFmtId="0" fontId="13" fillId="0" borderId="0"/>
    <xf numFmtId="0" fontId="13" fillId="0" borderId="0" applyNumberFormat="0" applyFont="0" applyFill="0" applyBorder="0" applyAlignment="0" applyProtection="0"/>
    <xf numFmtId="0" fontId="13" fillId="0" borderId="0"/>
    <xf numFmtId="0" fontId="13" fillId="0" borderId="0" applyNumberFormat="0" applyFont="0" applyFill="0" applyBorder="0" applyAlignment="0" applyProtection="0"/>
    <xf numFmtId="0" fontId="13" fillId="0" borderId="0" applyNumberFormat="0" applyFont="0" applyFill="0" applyBorder="0" applyAlignment="0" applyProtection="0"/>
    <xf numFmtId="0" fontId="13" fillId="0" borderId="0" applyNumberFormat="0" applyFont="0" applyFill="0" applyBorder="0" applyAlignment="0" applyProtection="0"/>
    <xf numFmtId="0" fontId="13" fillId="0" borderId="0" applyNumberFormat="0" applyFont="0" applyFill="0" applyBorder="0" applyAlignment="0" applyProtection="0"/>
    <xf numFmtId="0" fontId="13" fillId="0" borderId="0" applyNumberFormat="0" applyFont="0" applyFill="0" applyBorder="0" applyAlignment="0" applyProtection="0"/>
    <xf numFmtId="0" fontId="13" fillId="0" borderId="0" applyNumberFormat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 applyNumberFormat="0" applyFont="0" applyFill="0" applyBorder="0" applyAlignment="0" applyProtection="0"/>
    <xf numFmtId="0" fontId="13" fillId="0" borderId="0"/>
    <xf numFmtId="0" fontId="13" fillId="0" borderId="0" applyNumberFormat="0" applyFont="0" applyFill="0" applyBorder="0" applyAlignment="0" applyProtection="0"/>
    <xf numFmtId="0" fontId="13" fillId="0" borderId="0"/>
    <xf numFmtId="0" fontId="13" fillId="0" borderId="0"/>
    <xf numFmtId="0" fontId="13" fillId="0" borderId="0" applyNumberFormat="0" applyFont="0" applyFill="0" applyBorder="0" applyAlignment="0" applyProtection="0"/>
    <xf numFmtId="0" fontId="13" fillId="0" borderId="0" applyNumberFormat="0" applyFont="0" applyFill="0" applyBorder="0" applyAlignment="0" applyProtection="0"/>
    <xf numFmtId="0" fontId="13" fillId="0" borderId="0" applyNumberFormat="0" applyFont="0" applyFill="0" applyBorder="0" applyAlignment="0" applyProtection="0"/>
    <xf numFmtId="0" fontId="13" fillId="0" borderId="0" applyNumberFormat="0" applyFont="0" applyFill="0" applyBorder="0" applyAlignment="0" applyProtection="0"/>
    <xf numFmtId="0" fontId="13" fillId="5" borderId="14" applyNumberFormat="0" applyFont="0" applyAlignment="0" applyProtection="0"/>
    <xf numFmtId="0" fontId="13" fillId="5" borderId="14" applyNumberFormat="0" applyFont="0" applyAlignment="0" applyProtection="0"/>
    <xf numFmtId="0" fontId="13" fillId="5" borderId="14" applyNumberFormat="0" applyFont="0" applyAlignment="0" applyProtection="0"/>
    <xf numFmtId="0" fontId="13" fillId="5" borderId="14" applyNumberFormat="0" applyFont="0" applyAlignment="0" applyProtection="0"/>
    <xf numFmtId="0" fontId="13" fillId="5" borderId="14" applyNumberFormat="0" applyFont="0" applyAlignment="0" applyProtection="0"/>
    <xf numFmtId="0" fontId="13" fillId="5" borderId="14" applyNumberFormat="0" applyFont="0" applyAlignment="0" applyProtection="0"/>
    <xf numFmtId="0" fontId="13" fillId="5" borderId="14" applyNumberFormat="0" applyFont="0" applyAlignment="0" applyProtection="0"/>
    <xf numFmtId="0" fontId="13" fillId="5" borderId="14" applyNumberFormat="0" applyFont="0" applyAlignment="0" applyProtection="0"/>
    <xf numFmtId="0" fontId="13" fillId="5" borderId="14" applyNumberFormat="0" applyFont="0" applyAlignment="0" applyProtection="0"/>
    <xf numFmtId="0" fontId="13" fillId="5" borderId="14" applyNumberFormat="0" applyFont="0" applyAlignment="0" applyProtection="0"/>
    <xf numFmtId="0" fontId="13" fillId="5" borderId="14" applyNumberFormat="0" applyFont="0" applyAlignment="0" applyProtection="0"/>
    <xf numFmtId="10" fontId="13" fillId="0" borderId="0" applyFont="0" applyFill="0" applyBorder="0" applyAlignment="0" applyProtection="0"/>
    <xf numFmtId="10" fontId="13" fillId="0" borderId="0" applyFont="0" applyFill="0" applyBorder="0" applyAlignment="0" applyProtection="0"/>
    <xf numFmtId="10" fontId="13" fillId="0" borderId="0" applyFont="0" applyFill="0" applyBorder="0" applyAlignment="0" applyProtection="0"/>
    <xf numFmtId="10" fontId="13" fillId="0" borderId="0" applyFont="0" applyFill="0" applyBorder="0" applyAlignment="0" applyProtection="0"/>
    <xf numFmtId="10" fontId="13" fillId="0" borderId="0" applyFont="0" applyFill="0" applyBorder="0" applyAlignment="0" applyProtection="0"/>
    <xf numFmtId="10" fontId="13" fillId="0" borderId="0" applyFont="0" applyFill="0" applyBorder="0" applyAlignment="0" applyProtection="0"/>
    <xf numFmtId="10" fontId="13" fillId="0" borderId="0" applyFont="0" applyFill="0" applyBorder="0" applyAlignment="0" applyProtection="0"/>
    <xf numFmtId="10" fontId="13" fillId="0" borderId="0" applyFont="0" applyFill="0" applyBorder="0" applyAlignment="0" applyProtection="0"/>
    <xf numFmtId="10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22" borderId="0" applyNumberFormat="0" applyFont="0" applyBorder="0" applyAlignment="0" applyProtection="0"/>
    <xf numFmtId="0" fontId="13" fillId="22" borderId="0" applyNumberFormat="0" applyFont="0" applyBorder="0" applyAlignment="0" applyProtection="0"/>
    <xf numFmtId="0" fontId="13" fillId="0" borderId="0"/>
    <xf numFmtId="0" fontId="13" fillId="0" borderId="0"/>
    <xf numFmtId="0" fontId="13" fillId="0" borderId="0">
      <alignment vertical="top"/>
    </xf>
    <xf numFmtId="0" fontId="13" fillId="0" borderId="0">
      <alignment vertical="top"/>
    </xf>
    <xf numFmtId="0" fontId="13" fillId="0" borderId="0">
      <alignment vertical="top"/>
    </xf>
    <xf numFmtId="0" fontId="13" fillId="0" borderId="0"/>
    <xf numFmtId="0" fontId="13" fillId="0" borderId="0"/>
    <xf numFmtId="0" fontId="13" fillId="0" borderId="0">
      <alignment vertical="top"/>
    </xf>
    <xf numFmtId="0" fontId="13" fillId="0" borderId="0">
      <alignment vertical="top"/>
    </xf>
    <xf numFmtId="0" fontId="13" fillId="0" borderId="0"/>
    <xf numFmtId="0" fontId="13" fillId="0" borderId="0"/>
    <xf numFmtId="0" fontId="13" fillId="0" borderId="0">
      <alignment vertical="top"/>
    </xf>
    <xf numFmtId="0" fontId="13" fillId="0" borderId="0">
      <alignment vertical="top"/>
    </xf>
    <xf numFmtId="0" fontId="13" fillId="0" borderId="0"/>
    <xf numFmtId="0" fontId="13" fillId="0" borderId="0"/>
    <xf numFmtId="0" fontId="13" fillId="0" borderId="0">
      <alignment vertical="top"/>
    </xf>
    <xf numFmtId="0" fontId="13" fillId="0" borderId="0"/>
    <xf numFmtId="0" fontId="13" fillId="0" borderId="0">
      <alignment vertical="top"/>
    </xf>
    <xf numFmtId="0" fontId="13" fillId="0" borderId="0"/>
    <xf numFmtId="0" fontId="13" fillId="0" borderId="0"/>
    <xf numFmtId="0" fontId="13" fillId="0" borderId="0">
      <alignment vertical="top"/>
    </xf>
    <xf numFmtId="0" fontId="13" fillId="0" borderId="0">
      <alignment vertical="top"/>
    </xf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>
      <alignment vertical="top"/>
    </xf>
    <xf numFmtId="0" fontId="13" fillId="0" borderId="0">
      <alignment vertical="top"/>
    </xf>
    <xf numFmtId="0" fontId="13" fillId="0" borderId="0">
      <alignment vertical="top"/>
    </xf>
    <xf numFmtId="0" fontId="13" fillId="0" borderId="0">
      <alignment vertical="top"/>
    </xf>
    <xf numFmtId="0" fontId="13" fillId="0" borderId="0">
      <alignment vertical="top"/>
    </xf>
    <xf numFmtId="0" fontId="13" fillId="0" borderId="0">
      <alignment vertical="top"/>
    </xf>
    <xf numFmtId="0" fontId="13" fillId="0" borderId="0">
      <alignment vertical="top"/>
    </xf>
    <xf numFmtId="0" fontId="13" fillId="0" borderId="0">
      <alignment vertical="top"/>
    </xf>
    <xf numFmtId="0" fontId="13" fillId="0" borderId="0">
      <alignment vertical="top"/>
    </xf>
    <xf numFmtId="0" fontId="13" fillId="0" borderId="0">
      <alignment vertical="top"/>
    </xf>
    <xf numFmtId="0" fontId="13" fillId="0" borderId="0">
      <alignment vertical="top"/>
    </xf>
    <xf numFmtId="0" fontId="13" fillId="0" borderId="0">
      <alignment vertical="top"/>
    </xf>
    <xf numFmtId="0" fontId="13" fillId="0" borderId="0">
      <alignment vertical="top"/>
    </xf>
    <xf numFmtId="0" fontId="13" fillId="0" borderId="0">
      <alignment vertical="top"/>
    </xf>
    <xf numFmtId="0" fontId="13" fillId="0" borderId="0">
      <alignment vertical="top"/>
    </xf>
    <xf numFmtId="0" fontId="13" fillId="0" borderId="0">
      <alignment vertical="top"/>
    </xf>
    <xf numFmtId="0" fontId="13" fillId="0" borderId="0">
      <alignment vertical="top"/>
    </xf>
    <xf numFmtId="1" fontId="13" fillId="0" borderId="0">
      <alignment horizontal="center"/>
    </xf>
    <xf numFmtId="1" fontId="13" fillId="0" borderId="0">
      <alignment horizontal="center"/>
    </xf>
    <xf numFmtId="1" fontId="13" fillId="0" borderId="0">
      <alignment horizontal="center"/>
    </xf>
    <xf numFmtId="1" fontId="13" fillId="0" borderId="0">
      <alignment horizontal="center"/>
    </xf>
    <xf numFmtId="1" fontId="13" fillId="0" borderId="0">
      <alignment horizontal="center"/>
    </xf>
    <xf numFmtId="1" fontId="13" fillId="0" borderId="0">
      <alignment horizontal="center"/>
    </xf>
    <xf numFmtId="1" fontId="13" fillId="0" borderId="0">
      <alignment horizontal="center"/>
    </xf>
    <xf numFmtId="1" fontId="13" fillId="0" borderId="0">
      <alignment horizontal="center"/>
    </xf>
    <xf numFmtId="1" fontId="13" fillId="0" borderId="0">
      <alignment horizontal="center"/>
    </xf>
    <xf numFmtId="0" fontId="13" fillId="0" borderId="0" applyNumberFormat="0" applyFont="0" applyFill="0" applyBorder="0" applyAlignment="0" applyProtection="0"/>
    <xf numFmtId="0" fontId="13" fillId="0" borderId="0" applyNumberFormat="0" applyFont="0" applyFill="0" applyBorder="0" applyAlignment="0" applyProtection="0"/>
    <xf numFmtId="0" fontId="13" fillId="0" borderId="0" applyNumberFormat="0" applyFont="0" applyFill="0" applyBorder="0" applyAlignment="0" applyProtection="0"/>
    <xf numFmtId="0" fontId="13" fillId="0" borderId="0" applyNumberFormat="0" applyFont="0" applyFill="0" applyBorder="0" applyAlignment="0" applyProtection="0"/>
    <xf numFmtId="0" fontId="11" fillId="0" borderId="0"/>
    <xf numFmtId="0" fontId="11" fillId="0" borderId="0"/>
    <xf numFmtId="0" fontId="13" fillId="0" borderId="0" applyNumberFormat="0" applyFont="0" applyFill="0" applyBorder="0" applyAlignment="0" applyProtection="0"/>
    <xf numFmtId="0" fontId="13" fillId="0" borderId="0" applyNumberFormat="0" applyFont="0" applyFill="0" applyBorder="0" applyAlignment="0" applyProtection="0"/>
    <xf numFmtId="0" fontId="13" fillId="0" borderId="0" applyNumberFormat="0" applyFont="0" applyFill="0" applyBorder="0" applyAlignment="0" applyProtection="0"/>
    <xf numFmtId="0" fontId="196" fillId="0" borderId="0"/>
    <xf numFmtId="3" fontId="177" fillId="0" borderId="0"/>
    <xf numFmtId="0" fontId="13" fillId="0" borderId="0"/>
    <xf numFmtId="3" fontId="177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95" fillId="0" borderId="0"/>
    <xf numFmtId="0" fontId="13" fillId="0" borderId="0"/>
    <xf numFmtId="3" fontId="177" fillId="0" borderId="0"/>
    <xf numFmtId="3" fontId="177" fillId="0" borderId="0"/>
    <xf numFmtId="3" fontId="177" fillId="0" borderId="0"/>
    <xf numFmtId="3" fontId="177" fillId="0" borderId="0"/>
    <xf numFmtId="0" fontId="13" fillId="0" borderId="0"/>
    <xf numFmtId="3" fontId="177" fillId="0" borderId="0"/>
    <xf numFmtId="0" fontId="13" fillId="0" borderId="0"/>
    <xf numFmtId="3" fontId="177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3" fontId="177" fillId="0" borderId="0"/>
    <xf numFmtId="3" fontId="177" fillId="0" borderId="0"/>
    <xf numFmtId="0" fontId="38" fillId="0" borderId="0"/>
    <xf numFmtId="0" fontId="13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91" fillId="8" borderId="0" applyNumberFormat="0" applyBorder="0" applyAlignment="0" applyProtection="0"/>
    <xf numFmtId="0" fontId="91" fillId="2" borderId="0" applyNumberFormat="0" applyBorder="0" applyAlignment="0" applyProtection="0"/>
    <xf numFmtId="0" fontId="91" fillId="33" borderId="0" applyNumberFormat="0" applyBorder="0" applyAlignment="0" applyProtection="0"/>
    <xf numFmtId="0" fontId="91" fillId="13" borderId="0" applyNumberFormat="0" applyBorder="0" applyAlignment="0" applyProtection="0"/>
    <xf numFmtId="0" fontId="91" fillId="10" borderId="0" applyNumberFormat="0" applyBorder="0" applyAlignment="0" applyProtection="0"/>
    <xf numFmtId="0" fontId="91" fillId="5" borderId="0" applyNumberFormat="0" applyBorder="0" applyAlignment="0" applyProtection="0"/>
    <xf numFmtId="0" fontId="91" fillId="4" borderId="0" applyNumberFormat="0" applyBorder="0" applyAlignment="0" applyProtection="0"/>
    <xf numFmtId="0" fontId="91" fillId="34" borderId="0" applyNumberFormat="0" applyBorder="0" applyAlignment="0" applyProtection="0"/>
    <xf numFmtId="0" fontId="91" fillId="10" borderId="0" applyNumberFormat="0" applyBorder="0" applyAlignment="0" applyProtection="0"/>
    <xf numFmtId="0" fontId="91" fillId="5" borderId="0" applyNumberFormat="0" applyBorder="0" applyAlignment="0" applyProtection="0"/>
    <xf numFmtId="0" fontId="91" fillId="2" borderId="0" applyNumberFormat="0" applyBorder="0" applyAlignment="0" applyProtection="0"/>
    <xf numFmtId="0" fontId="91" fillId="6" borderId="0" applyNumberFormat="0" applyBorder="0" applyAlignment="0" applyProtection="0"/>
    <xf numFmtId="0" fontId="91" fillId="7" borderId="0" applyNumberFormat="0" applyBorder="0" applyAlignment="0" applyProtection="0"/>
    <xf numFmtId="0" fontId="91" fillId="8" borderId="0" applyNumberFormat="0" applyBorder="0" applyAlignment="0" applyProtection="0"/>
    <xf numFmtId="0" fontId="91" fillId="35" borderId="0" applyNumberFormat="0" applyBorder="0" applyAlignment="0" applyProtection="0"/>
    <xf numFmtId="0" fontId="91" fillId="13" borderId="0" applyNumberFormat="0" applyBorder="0" applyAlignment="0" applyProtection="0"/>
    <xf numFmtId="0" fontId="91" fillId="7" borderId="0" applyNumberFormat="0" applyBorder="0" applyAlignment="0" applyProtection="0"/>
    <xf numFmtId="0" fontId="91" fillId="34" borderId="0" applyNumberFormat="0" applyBorder="0" applyAlignment="0" applyProtection="0"/>
    <xf numFmtId="0" fontId="91" fillId="6" borderId="0" applyNumberFormat="0" applyBorder="0" applyAlignment="0" applyProtection="0"/>
    <xf numFmtId="0" fontId="91" fillId="8" borderId="0" applyNumberFormat="0" applyBorder="0" applyAlignment="0" applyProtection="0"/>
    <xf numFmtId="0" fontId="91" fillId="10" borderId="0" applyNumberFormat="0" applyBorder="0" applyAlignment="0" applyProtection="0"/>
    <xf numFmtId="0" fontId="91" fillId="5" borderId="0" applyNumberFormat="0" applyBorder="0" applyAlignment="0" applyProtection="0"/>
    <xf numFmtId="0" fontId="91" fillId="36" borderId="0" applyNumberFormat="0" applyBorder="0" applyAlignment="0" applyProtection="0"/>
    <xf numFmtId="0" fontId="92" fillId="6" borderId="0" applyNumberFormat="0" applyBorder="0" applyAlignment="0" applyProtection="0"/>
    <xf numFmtId="0" fontId="92" fillId="9" borderId="0" applyNumberFormat="0" applyBorder="0" applyAlignment="0" applyProtection="0"/>
    <xf numFmtId="0" fontId="92" fillId="37" borderId="0" applyNumberFormat="0" applyBorder="0" applyAlignment="0" applyProtection="0"/>
    <xf numFmtId="0" fontId="92" fillId="38" borderId="0" applyNumberFormat="0" applyBorder="0" applyAlignment="0" applyProtection="0"/>
    <xf numFmtId="0" fontId="92" fillId="3" borderId="0" applyNumberFormat="0" applyBorder="0" applyAlignment="0" applyProtection="0"/>
    <xf numFmtId="0" fontId="92" fillId="36" borderId="0" applyNumberFormat="0" applyBorder="0" applyAlignment="0" applyProtection="0"/>
    <xf numFmtId="0" fontId="92" fillId="10" borderId="0" applyNumberFormat="0" applyBorder="0" applyAlignment="0" applyProtection="0"/>
    <xf numFmtId="0" fontId="92" fillId="35" borderId="0" applyNumberFormat="0" applyBorder="0" applyAlignment="0" applyProtection="0"/>
    <xf numFmtId="0" fontId="92" fillId="13" borderId="0" applyNumberFormat="0" applyBorder="0" applyAlignment="0" applyProtection="0"/>
    <xf numFmtId="0" fontId="92" fillId="7" borderId="0" applyNumberFormat="0" applyBorder="0" applyAlignment="0" applyProtection="0"/>
    <xf numFmtId="0" fontId="92" fillId="39" borderId="0" applyNumberFormat="0" applyBorder="0" applyAlignment="0" applyProtection="0"/>
    <xf numFmtId="0" fontId="92" fillId="6" borderId="0" applyNumberFormat="0" applyBorder="0" applyAlignment="0" applyProtection="0"/>
    <xf numFmtId="0" fontId="92" fillId="9" borderId="0" applyNumberFormat="0" applyBorder="0" applyAlignment="0" applyProtection="0"/>
    <xf numFmtId="0" fontId="92" fillId="3" borderId="0" applyNumberFormat="0" applyBorder="0" applyAlignment="0" applyProtection="0"/>
    <xf numFmtId="0" fontId="92" fillId="5" borderId="0" applyNumberFormat="0" applyBorder="0" applyAlignment="0" applyProtection="0"/>
    <xf numFmtId="0" fontId="92" fillId="40" borderId="0" applyNumberFormat="0" applyBorder="0" applyAlignment="0" applyProtection="0"/>
    <xf numFmtId="0" fontId="92" fillId="41" borderId="0" applyNumberFormat="0" applyBorder="0" applyAlignment="0" applyProtection="0"/>
    <xf numFmtId="0" fontId="92" fillId="9" borderId="0" applyNumberFormat="0" applyBorder="0" applyAlignment="0" applyProtection="0"/>
    <xf numFmtId="0" fontId="92" fillId="42" borderId="0" applyNumberFormat="0" applyBorder="0" applyAlignment="0" applyProtection="0"/>
    <xf numFmtId="0" fontId="92" fillId="38" borderId="0" applyNumberFormat="0" applyBorder="0" applyAlignment="0" applyProtection="0"/>
    <xf numFmtId="0" fontId="92" fillId="3" borderId="0" applyNumberFormat="0" applyBorder="0" applyAlignment="0" applyProtection="0"/>
    <xf numFmtId="0" fontId="92" fillId="43" borderId="0" applyNumberFormat="0" applyBorder="0" applyAlignment="0" applyProtection="0"/>
    <xf numFmtId="0" fontId="92" fillId="36" borderId="0" applyNumberFormat="0" applyBorder="0" applyAlignment="0" applyProtection="0"/>
    <xf numFmtId="0" fontId="92" fillId="10" borderId="0" applyNumberFormat="0" applyBorder="0" applyAlignment="0" applyProtection="0"/>
    <xf numFmtId="0" fontId="92" fillId="44" borderId="0" applyNumberFormat="0" applyBorder="0" applyAlignment="0" applyProtection="0"/>
    <xf numFmtId="0" fontId="92" fillId="39" borderId="0" applyNumberFormat="0" applyBorder="0" applyAlignment="0" applyProtection="0"/>
    <xf numFmtId="0" fontId="92" fillId="43" borderId="0" applyNumberFormat="0" applyBorder="0" applyAlignment="0" applyProtection="0"/>
    <xf numFmtId="0" fontId="92" fillId="3" borderId="0" applyNumberFormat="0" applyBorder="0" applyAlignment="0" applyProtection="0"/>
    <xf numFmtId="0" fontId="92" fillId="38" borderId="0" applyNumberFormat="0" applyBorder="0" applyAlignment="0" applyProtection="0"/>
    <xf numFmtId="0" fontId="102" fillId="5" borderId="4" applyNumberFormat="0" applyAlignment="0" applyProtection="0"/>
    <xf numFmtId="0" fontId="13" fillId="0" borderId="8"/>
    <xf numFmtId="168" fontId="197" fillId="0" borderId="0" applyFont="0" applyFill="0" applyBorder="0" applyAlignment="0" applyProtection="0"/>
    <xf numFmtId="0" fontId="99" fillId="34" borderId="0" applyNumberFormat="0" applyBorder="0" applyAlignment="0" applyProtection="0"/>
    <xf numFmtId="0" fontId="99" fillId="13" borderId="0" applyNumberFormat="0" applyBorder="0" applyAlignment="0" applyProtection="0"/>
    <xf numFmtId="0" fontId="39" fillId="0" borderId="0"/>
    <xf numFmtId="0" fontId="39" fillId="0" borderId="0"/>
    <xf numFmtId="0" fontId="102" fillId="5" borderId="4" applyNumberFormat="0" applyAlignment="0" applyProtection="0"/>
    <xf numFmtId="0" fontId="175" fillId="15" borderId="4" applyNumberFormat="0" applyAlignment="0" applyProtection="0"/>
    <xf numFmtId="0" fontId="100" fillId="15" borderId="4" applyNumberFormat="0" applyAlignment="0" applyProtection="0"/>
    <xf numFmtId="0" fontId="100" fillId="7" borderId="4" applyNumberFormat="0" applyAlignment="0" applyProtection="0"/>
    <xf numFmtId="0" fontId="102" fillId="5" borderId="4" applyNumberFormat="0" applyAlignment="0" applyProtection="0"/>
    <xf numFmtId="0" fontId="102" fillId="5" borderId="4" applyNumberFormat="0" applyAlignment="0" applyProtection="0"/>
    <xf numFmtId="41" fontId="13" fillId="0" borderId="0" applyFont="0" applyFill="0" applyBorder="0" applyAlignment="0" applyProtection="0"/>
    <xf numFmtId="41" fontId="13" fillId="0" borderId="0" applyFont="0" applyFill="0" applyBorder="0" applyAlignment="0" applyProtection="0"/>
    <xf numFmtId="0" fontId="102" fillId="5" borderId="4" applyNumberFormat="0" applyAlignment="0" applyProtection="0"/>
    <xf numFmtId="0" fontId="102" fillId="5" borderId="4" applyNumberFormat="0" applyAlignment="0" applyProtection="0"/>
    <xf numFmtId="43" fontId="91" fillId="0" borderId="0" applyFont="0" applyFill="0" applyBorder="0" applyAlignment="0" applyProtection="0"/>
    <xf numFmtId="0" fontId="102" fillId="5" borderId="4" applyNumberFormat="0" applyAlignment="0" applyProtection="0"/>
    <xf numFmtId="43" fontId="91" fillId="0" borderId="0" applyFont="0" applyFill="0" applyBorder="0" applyAlignment="0" applyProtection="0"/>
    <xf numFmtId="0" fontId="102" fillId="5" borderId="4" applyNumberFormat="0" applyAlignment="0" applyProtection="0"/>
    <xf numFmtId="0" fontId="102" fillId="5" borderId="4" applyNumberFormat="0" applyAlignment="0" applyProtection="0"/>
    <xf numFmtId="0" fontId="102" fillId="5" borderId="4" applyNumberFormat="0" applyAlignment="0" applyProtection="0"/>
    <xf numFmtId="0" fontId="102" fillId="5" borderId="4" applyNumberFormat="0" applyAlignment="0" applyProtection="0"/>
    <xf numFmtId="0" fontId="102" fillId="5" borderId="4" applyNumberFormat="0" applyAlignment="0" applyProtection="0"/>
    <xf numFmtId="0" fontId="102" fillId="5" borderId="4" applyNumberFormat="0" applyAlignment="0" applyProtection="0"/>
    <xf numFmtId="0" fontId="102" fillId="5" borderId="4" applyNumberFormat="0" applyAlignment="0" applyProtection="0"/>
    <xf numFmtId="0" fontId="102" fillId="5" borderId="4" applyNumberFormat="0" applyAlignment="0" applyProtection="0"/>
    <xf numFmtId="0" fontId="102" fillId="5" borderId="4" applyNumberFormat="0" applyAlignment="0" applyProtection="0"/>
    <xf numFmtId="0" fontId="102" fillId="5" borderId="4" applyNumberFormat="0" applyAlignment="0" applyProtection="0"/>
    <xf numFmtId="195" fontId="177" fillId="0" borderId="0"/>
    <xf numFmtId="0" fontId="102" fillId="5" borderId="4" applyNumberFormat="0" applyAlignment="0" applyProtection="0"/>
    <xf numFmtId="0" fontId="102" fillId="5" borderId="4" applyNumberFormat="0" applyAlignment="0" applyProtection="0"/>
    <xf numFmtId="0" fontId="102" fillId="5" borderId="4" applyNumberFormat="0" applyAlignment="0" applyProtection="0"/>
    <xf numFmtId="0" fontId="102" fillId="5" borderId="4" applyNumberFormat="0" applyAlignment="0" applyProtection="0"/>
    <xf numFmtId="0" fontId="102" fillId="5" borderId="4" applyNumberFormat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91" fillId="0" borderId="0" applyFont="0" applyFill="0" applyBorder="0" applyAlignment="0" applyProtection="0"/>
    <xf numFmtId="43" fontId="91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91" fillId="0" borderId="0" applyFont="0" applyFill="0" applyBorder="0" applyAlignment="0" applyProtection="0"/>
    <xf numFmtId="44" fontId="13" fillId="0" borderId="0" applyFont="0" applyFill="0" applyBorder="0" applyAlignment="0" applyProtection="0"/>
    <xf numFmtId="44" fontId="13" fillId="0" borderId="0" applyFont="0" applyFill="0" applyBorder="0" applyAlignment="0" applyProtection="0"/>
    <xf numFmtId="44" fontId="13" fillId="0" borderId="0" applyFont="0" applyFill="0" applyBorder="0" applyAlignment="0" applyProtection="0"/>
    <xf numFmtId="44" fontId="13" fillId="0" borderId="0" applyFont="0" applyFill="0" applyBorder="0" applyAlignment="0" applyProtection="0"/>
    <xf numFmtId="44" fontId="13" fillId="0" borderId="0" applyFont="0" applyFill="0" applyBorder="0" applyAlignment="0" applyProtection="0"/>
    <xf numFmtId="44" fontId="13" fillId="0" borderId="0" applyFont="0" applyFill="0" applyBorder="0" applyAlignment="0" applyProtection="0"/>
    <xf numFmtId="44" fontId="13" fillId="0" borderId="0" applyFont="0" applyFill="0" applyBorder="0" applyAlignment="0" applyProtection="0"/>
    <xf numFmtId="44" fontId="13" fillId="0" borderId="0" applyFont="0" applyFill="0" applyBorder="0" applyAlignment="0" applyProtection="0"/>
    <xf numFmtId="44" fontId="64" fillId="0" borderId="0" applyFont="0" applyFill="0" applyBorder="0" applyAlignment="0" applyProtection="0"/>
    <xf numFmtId="10" fontId="13" fillId="0" borderId="8"/>
    <xf numFmtId="1" fontId="13" fillId="0" borderId="8"/>
    <xf numFmtId="0" fontId="183" fillId="0" borderId="8" applyFill="0" applyAlignment="0" applyProtection="0">
      <alignment vertical="center"/>
    </xf>
    <xf numFmtId="222" fontId="13" fillId="0" borderId="0" applyFont="0" applyFill="0" applyBorder="0" applyAlignment="0" applyProtection="0"/>
    <xf numFmtId="234" fontId="64" fillId="45" borderId="0" applyNumberFormat="0" applyBorder="0">
      <alignment vertical="top"/>
      <protection locked="0"/>
    </xf>
    <xf numFmtId="4" fontId="184" fillId="0" borderId="0" applyFont="0" applyFill="0" applyBorder="0" applyAlignment="0" applyProtection="0"/>
    <xf numFmtId="0" fontId="57" fillId="0" borderId="0"/>
    <xf numFmtId="0" fontId="101" fillId="6" borderId="0" applyNumberFormat="0" applyBorder="0" applyAlignment="0" applyProtection="0"/>
    <xf numFmtId="0" fontId="101" fillId="4" borderId="0" applyNumberFormat="0" applyBorder="0" applyAlignment="0" applyProtection="0"/>
    <xf numFmtId="0" fontId="123" fillId="0" borderId="0"/>
    <xf numFmtId="0" fontId="123" fillId="0" borderId="0"/>
    <xf numFmtId="0" fontId="123" fillId="0" borderId="0"/>
    <xf numFmtId="0" fontId="123" fillId="0" borderId="0"/>
    <xf numFmtId="0" fontId="30" fillId="0" borderId="8">
      <alignment horizontal="center"/>
    </xf>
    <xf numFmtId="0" fontId="125" fillId="0" borderId="33" applyNumberFormat="0" applyFill="0" applyAlignment="0" applyProtection="0"/>
    <xf numFmtId="0" fontId="125" fillId="0" borderId="10" applyNumberFormat="0" applyFill="0" applyAlignment="0" applyProtection="0"/>
    <xf numFmtId="0" fontId="185" fillId="0" borderId="34" applyNumberFormat="0" applyFill="0" applyAlignment="0" applyProtection="0"/>
    <xf numFmtId="0" fontId="126" fillId="0" borderId="35" applyNumberFormat="0" applyFill="0" applyAlignment="0" applyProtection="0"/>
    <xf numFmtId="0" fontId="126" fillId="0" borderId="11" applyNumberFormat="0" applyFill="0" applyAlignment="0" applyProtection="0"/>
    <xf numFmtId="0" fontId="186" fillId="0" borderId="11" applyNumberFormat="0" applyFill="0" applyAlignment="0" applyProtection="0"/>
    <xf numFmtId="0" fontId="127" fillId="0" borderId="36" applyNumberFormat="0" applyFill="0" applyAlignment="0" applyProtection="0"/>
    <xf numFmtId="0" fontId="127" fillId="0" borderId="12" applyNumberFormat="0" applyFill="0" applyAlignment="0" applyProtection="0"/>
    <xf numFmtId="0" fontId="187" fillId="0" borderId="37" applyNumberFormat="0" applyFill="0" applyAlignment="0" applyProtection="0"/>
    <xf numFmtId="0" fontId="187" fillId="0" borderId="0" applyNumberFormat="0" applyFill="0" applyBorder="0" applyAlignment="0" applyProtection="0"/>
    <xf numFmtId="0" fontId="178" fillId="0" borderId="0" applyNumberFormat="0" applyFill="0" applyBorder="0" applyAlignment="0" applyProtection="0">
      <alignment vertical="top"/>
      <protection locked="0"/>
    </xf>
    <xf numFmtId="0" fontId="40" fillId="0" borderId="0" applyNumberFormat="0" applyFill="0" applyBorder="0" applyAlignment="0" applyProtection="0">
      <alignment vertical="top"/>
      <protection locked="0"/>
    </xf>
    <xf numFmtId="0" fontId="179" fillId="0" borderId="0" applyNumberFormat="0" applyFill="0" applyBorder="0" applyAlignment="0" applyProtection="0"/>
    <xf numFmtId="0" fontId="179" fillId="0" borderId="0" applyNumberFormat="0" applyFill="0" applyBorder="0" applyAlignment="0" applyProtection="0"/>
    <xf numFmtId="0" fontId="102" fillId="5" borderId="4" applyNumberFormat="0" applyAlignment="0" applyProtection="0"/>
    <xf numFmtId="0" fontId="102" fillId="2" borderId="4" applyNumberFormat="0" applyAlignment="0" applyProtection="0"/>
    <xf numFmtId="0" fontId="102" fillId="2" borderId="4" applyNumberFormat="0" applyAlignment="0" applyProtection="0"/>
    <xf numFmtId="0" fontId="102" fillId="2" borderId="4" applyNumberFormat="0" applyAlignment="0" applyProtection="0"/>
    <xf numFmtId="0" fontId="102" fillId="2" borderId="4" applyNumberFormat="0" applyAlignment="0" applyProtection="0"/>
    <xf numFmtId="0" fontId="102" fillId="2" borderId="4" applyNumberFormat="0" applyAlignment="0" applyProtection="0"/>
    <xf numFmtId="0" fontId="102" fillId="2" borderId="4" applyNumberFormat="0" applyAlignment="0" applyProtection="0"/>
    <xf numFmtId="234" fontId="64" fillId="46" borderId="0" applyNumberFormat="0" applyBorder="0">
      <alignment horizontal="right"/>
      <protection locked="0"/>
    </xf>
    <xf numFmtId="0" fontId="97" fillId="0" borderId="38" applyNumberFormat="0" applyFill="0" applyAlignment="0" applyProtection="0"/>
    <xf numFmtId="0" fontId="103" fillId="0" borderId="13" applyNumberFormat="0" applyFill="0" applyAlignment="0" applyProtection="0"/>
    <xf numFmtId="234" fontId="188" fillId="46" borderId="0" applyNumberFormat="0" applyBorder="0">
      <alignment horizontal="right"/>
      <protection locked="0"/>
    </xf>
    <xf numFmtId="0" fontId="176" fillId="5" borderId="0" applyNumberFormat="0" applyBorder="0" applyAlignment="0" applyProtection="0"/>
    <xf numFmtId="0" fontId="104" fillId="5" borderId="0" applyNumberFormat="0" applyBorder="0" applyAlignment="0" applyProtection="0"/>
    <xf numFmtId="0" fontId="10" fillId="0" borderId="0"/>
    <xf numFmtId="0" fontId="13" fillId="0" borderId="0"/>
    <xf numFmtId="0" fontId="10" fillId="0" borderId="0"/>
    <xf numFmtId="0" fontId="10" fillId="0" borderId="0"/>
    <xf numFmtId="0" fontId="13" fillId="0" borderId="0"/>
    <xf numFmtId="0" fontId="13" fillId="0" borderId="0" applyNumberFormat="0" applyFont="0" applyFill="0" applyBorder="0" applyAlignment="0" applyProtection="0"/>
    <xf numFmtId="0" fontId="13" fillId="0" borderId="0" applyNumberFormat="0" applyFont="0" applyFill="0" applyBorder="0" applyAlignment="0" applyProtection="0"/>
    <xf numFmtId="0" fontId="13" fillId="0" borderId="0" applyNumberFormat="0" applyFont="0" applyFill="0" applyBorder="0" applyAlignment="0" applyProtection="0"/>
    <xf numFmtId="0" fontId="151" fillId="0" borderId="0"/>
    <xf numFmtId="0" fontId="13" fillId="0" borderId="0" applyNumberFormat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 applyNumberFormat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 applyNumberFormat="0" applyFont="0" applyFill="0" applyBorder="0" applyAlignment="0" applyProtection="0"/>
    <xf numFmtId="0" fontId="13" fillId="0" borderId="0" applyNumberFormat="0" applyFont="0" applyFill="0" applyBorder="0" applyAlignment="0" applyProtection="0"/>
    <xf numFmtId="0" fontId="13" fillId="0" borderId="0"/>
    <xf numFmtId="0" fontId="13" fillId="0" borderId="0" applyNumberFormat="0" applyFont="0" applyFill="0" applyBorder="0" applyAlignment="0" applyProtection="0"/>
    <xf numFmtId="3" fontId="177" fillId="0" borderId="0"/>
    <xf numFmtId="0" fontId="13" fillId="0" borderId="0"/>
    <xf numFmtId="0" fontId="13" fillId="0" borderId="0"/>
    <xf numFmtId="0" fontId="13" fillId="0" borderId="0"/>
    <xf numFmtId="0" fontId="13" fillId="0" borderId="0" applyNumberFormat="0" applyFon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98" fillId="0" borderId="0"/>
    <xf numFmtId="0" fontId="13" fillId="0" borderId="0"/>
    <xf numFmtId="0" fontId="13" fillId="0" borderId="0" applyNumberFormat="0" applyFont="0" applyFill="0" applyBorder="0" applyAlignment="0" applyProtection="0"/>
    <xf numFmtId="0" fontId="13" fillId="0" borderId="0" applyNumberFormat="0" applyFont="0" applyFill="0" applyBorder="0" applyAlignment="0" applyProtection="0"/>
    <xf numFmtId="0" fontId="13" fillId="0" borderId="0" applyNumberFormat="0" applyFont="0" applyFill="0" applyBorder="0" applyAlignment="0" applyProtection="0"/>
    <xf numFmtId="0" fontId="13" fillId="0" borderId="0" applyNumberFormat="0" applyFont="0" applyFill="0" applyBorder="0" applyAlignment="0" applyProtection="0"/>
    <xf numFmtId="0" fontId="13" fillId="0" borderId="0"/>
    <xf numFmtId="0" fontId="13" fillId="0" borderId="0"/>
    <xf numFmtId="0" fontId="198" fillId="0" borderId="0"/>
    <xf numFmtId="0" fontId="13" fillId="0" borderId="0"/>
    <xf numFmtId="0" fontId="13" fillId="0" borderId="0" applyNumberFormat="0" applyFont="0" applyFill="0" applyBorder="0" applyAlignment="0" applyProtection="0"/>
    <xf numFmtId="0" fontId="13" fillId="0" borderId="0" applyNumberFormat="0" applyFont="0" applyFill="0" applyBorder="0" applyAlignment="0" applyProtection="0"/>
    <xf numFmtId="0" fontId="13" fillId="0" borderId="0" applyNumberFormat="0" applyFont="0" applyFill="0" applyBorder="0" applyAlignment="0" applyProtection="0"/>
    <xf numFmtId="0" fontId="13" fillId="0" borderId="0" applyNumberFormat="0" applyFont="0" applyFill="0" applyBorder="0" applyAlignment="0" applyProtection="0"/>
    <xf numFmtId="0" fontId="13" fillId="0" borderId="0" applyNumberFormat="0" applyFont="0" applyFill="0" applyBorder="0" applyAlignment="0" applyProtection="0"/>
    <xf numFmtId="0" fontId="13" fillId="0" borderId="0" applyNumberFormat="0" applyFont="0" applyFill="0" applyBorder="0" applyAlignment="0" applyProtection="0"/>
    <xf numFmtId="0" fontId="13" fillId="0" borderId="0" applyNumberFormat="0" applyFont="0" applyFill="0" applyBorder="0" applyAlignment="0" applyProtection="0"/>
    <xf numFmtId="0" fontId="13" fillId="0" borderId="0" applyNumberFormat="0" applyFont="0" applyFill="0" applyBorder="0" applyAlignment="0" applyProtection="0"/>
    <xf numFmtId="0" fontId="13" fillId="0" borderId="0" applyNumberFormat="0" applyFont="0" applyFill="0" applyBorder="0" applyAlignment="0" applyProtection="0"/>
    <xf numFmtId="0" fontId="13" fillId="0" borderId="0" applyNumberFormat="0" applyFont="0" applyFill="0" applyBorder="0" applyAlignment="0" applyProtection="0"/>
    <xf numFmtId="0" fontId="13" fillId="0" borderId="0" applyNumberFormat="0" applyFont="0" applyFill="0" applyBorder="0" applyAlignment="0" applyProtection="0"/>
    <xf numFmtId="0" fontId="13" fillId="0" borderId="0" applyNumberFormat="0" applyFont="0" applyFill="0" applyBorder="0" applyAlignment="0" applyProtection="0"/>
    <xf numFmtId="0" fontId="13" fillId="0" borderId="0" applyNumberFormat="0" applyFont="0" applyFill="0" applyBorder="0" applyAlignment="0" applyProtection="0"/>
    <xf numFmtId="0" fontId="13" fillId="0" borderId="0" applyNumberFormat="0" applyFont="0" applyFill="0" applyBorder="0" applyAlignment="0" applyProtection="0"/>
    <xf numFmtId="0" fontId="13" fillId="0" borderId="0" applyNumberFormat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 applyNumberFormat="0" applyFont="0" applyFill="0" applyBorder="0" applyAlignment="0" applyProtection="0"/>
    <xf numFmtId="0" fontId="13" fillId="0" borderId="0"/>
    <xf numFmtId="0" fontId="13" fillId="0" borderId="0" applyNumberFormat="0" applyFont="0" applyFill="0" applyBorder="0" applyAlignment="0" applyProtection="0"/>
    <xf numFmtId="0" fontId="13" fillId="0" borderId="0" applyNumberFormat="0" applyFont="0" applyFill="0" applyBorder="0" applyAlignment="0" applyProtection="0"/>
    <xf numFmtId="0" fontId="13" fillId="0" borderId="0" applyNumberFormat="0" applyFont="0" applyFill="0" applyBorder="0" applyAlignment="0" applyProtection="0"/>
    <xf numFmtId="0" fontId="13" fillId="0" borderId="0" applyNumberFormat="0" applyFont="0" applyFill="0" applyBorder="0" applyAlignment="0" applyProtection="0"/>
    <xf numFmtId="0" fontId="13" fillId="0" borderId="0" applyNumberFormat="0" applyFont="0" applyFill="0" applyBorder="0" applyAlignment="0" applyProtection="0"/>
    <xf numFmtId="0" fontId="13" fillId="0" borderId="0" applyNumberFormat="0" applyFont="0" applyFill="0" applyBorder="0" applyAlignment="0" applyProtection="0"/>
    <xf numFmtId="0" fontId="13" fillId="0" borderId="0" applyNumberFormat="0" applyFont="0" applyFill="0" applyBorder="0" applyAlignment="0" applyProtection="0"/>
    <xf numFmtId="0" fontId="13" fillId="0" borderId="0" applyNumberFormat="0" applyFont="0" applyFill="0" applyBorder="0" applyAlignment="0" applyProtection="0"/>
    <xf numFmtId="0" fontId="13" fillId="0" borderId="0" applyNumberFormat="0" applyFont="0" applyFill="0" applyBorder="0" applyAlignment="0" applyProtection="0"/>
    <xf numFmtId="0" fontId="13" fillId="0" borderId="0" applyNumberFormat="0" applyFont="0" applyFill="0" applyBorder="0" applyAlignment="0" applyProtection="0"/>
    <xf numFmtId="0" fontId="13" fillId="0" borderId="0"/>
    <xf numFmtId="0" fontId="13" fillId="0" borderId="0" applyNumberFormat="0" applyFont="0" applyFill="0" applyBorder="0" applyAlignment="0" applyProtection="0"/>
    <xf numFmtId="0" fontId="13" fillId="0" borderId="0" applyNumberFormat="0" applyFont="0" applyFill="0" applyBorder="0" applyAlignment="0" applyProtection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3" fillId="0" borderId="0" applyNumberFormat="0" applyFont="0" applyFill="0" applyBorder="0" applyAlignment="0" applyProtection="0"/>
    <xf numFmtId="0" fontId="13" fillId="0" borderId="0" applyNumberFormat="0" applyFont="0" applyFill="0" applyBorder="0" applyAlignment="0" applyProtection="0"/>
    <xf numFmtId="0" fontId="13" fillId="0" borderId="0" applyNumberFormat="0" applyFont="0" applyFill="0" applyBorder="0" applyAlignment="0" applyProtection="0"/>
    <xf numFmtId="0" fontId="13" fillId="0" borderId="0"/>
    <xf numFmtId="0" fontId="13" fillId="0" borderId="0" applyNumberFormat="0" applyFont="0" applyFill="0" applyBorder="0" applyAlignment="0" applyProtection="0"/>
    <xf numFmtId="0" fontId="13" fillId="0" borderId="0" applyNumberFormat="0" applyFont="0" applyFill="0" applyBorder="0" applyAlignment="0" applyProtection="0"/>
    <xf numFmtId="0" fontId="13" fillId="0" borderId="0" applyNumberFormat="0" applyFont="0" applyFill="0" applyBorder="0" applyAlignment="0" applyProtection="0"/>
    <xf numFmtId="0" fontId="13" fillId="0" borderId="0" applyNumberFormat="0" applyFont="0" applyFill="0" applyBorder="0" applyAlignment="0" applyProtection="0"/>
    <xf numFmtId="0" fontId="13" fillId="0" borderId="0" applyNumberFormat="0" applyFont="0" applyFill="0" applyBorder="0" applyAlignment="0" applyProtection="0"/>
    <xf numFmtId="0" fontId="13" fillId="0" borderId="0" applyNumberFormat="0" applyFont="0" applyFill="0" applyBorder="0" applyAlignment="0" applyProtection="0"/>
    <xf numFmtId="0" fontId="13" fillId="0" borderId="0" applyNumberFormat="0" applyFont="0" applyFill="0" applyBorder="0" applyAlignment="0" applyProtection="0"/>
    <xf numFmtId="0" fontId="13" fillId="0" borderId="0" applyNumberFormat="0" applyFont="0" applyFill="0" applyBorder="0" applyAlignment="0" applyProtection="0"/>
    <xf numFmtId="0" fontId="13" fillId="0" borderId="0" applyNumberFormat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 applyNumberFormat="0" applyFont="0" applyFill="0" applyBorder="0" applyAlignment="0" applyProtection="0"/>
    <xf numFmtId="0" fontId="53" fillId="0" borderId="0"/>
    <xf numFmtId="0" fontId="13" fillId="5" borderId="14" applyNumberFormat="0" applyFont="0" applyAlignment="0" applyProtection="0"/>
    <xf numFmtId="0" fontId="13" fillId="5" borderId="14" applyNumberFormat="0" applyFont="0" applyAlignment="0" applyProtection="0"/>
    <xf numFmtId="0" fontId="13" fillId="5" borderId="14" applyNumberFormat="0" applyFont="0" applyAlignment="0" applyProtection="0"/>
    <xf numFmtId="0" fontId="13" fillId="10" borderId="14" applyNumberFormat="0" applyFont="0" applyAlignment="0" applyProtection="0"/>
    <xf numFmtId="0" fontId="13" fillId="10" borderId="14" applyNumberFormat="0" applyFont="0" applyAlignment="0" applyProtection="0"/>
    <xf numFmtId="0" fontId="13" fillId="5" borderId="14" applyNumberFormat="0" applyFont="0" applyAlignment="0" applyProtection="0"/>
    <xf numFmtId="0" fontId="13" fillId="5" borderId="14" applyNumberFormat="0" applyFont="0" applyAlignment="0" applyProtection="0"/>
    <xf numFmtId="0" fontId="13" fillId="5" borderId="14" applyNumberFormat="0" applyFont="0" applyAlignment="0" applyProtection="0"/>
    <xf numFmtId="0" fontId="13" fillId="5" borderId="14" applyNumberFormat="0" applyFont="0" applyAlignment="0" applyProtection="0"/>
    <xf numFmtId="0" fontId="95" fillId="7" borderId="15" applyNumberFormat="0" applyAlignment="0" applyProtection="0"/>
    <xf numFmtId="9" fontId="13" fillId="0" borderId="0" applyFont="0" applyFill="0" applyBorder="0" applyAlignment="0" applyProtection="0"/>
    <xf numFmtId="9" fontId="91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91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64" fillId="0" borderId="0" applyFont="0" applyFill="0" applyBorder="0" applyAlignment="0" applyProtection="0"/>
    <xf numFmtId="9" fontId="64" fillId="0" borderId="0" applyFont="0" applyFill="0" applyBorder="0" applyAlignment="0" applyProtection="0"/>
    <xf numFmtId="9" fontId="64" fillId="0" borderId="0" applyFont="0" applyFill="0" applyBorder="0" applyAlignment="0" applyProtection="0"/>
    <xf numFmtId="9" fontId="64" fillId="0" borderId="0" applyFont="0" applyFill="0" applyBorder="0" applyAlignment="0" applyProtection="0"/>
    <xf numFmtId="9" fontId="64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91" fillId="0" borderId="0" applyFont="0" applyFill="0" applyBorder="0" applyAlignment="0" applyProtection="0"/>
    <xf numFmtId="9" fontId="91" fillId="0" borderId="0" applyFont="0" applyFill="0" applyBorder="0" applyAlignment="0" applyProtection="0"/>
    <xf numFmtId="9" fontId="64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168" fontId="13" fillId="0" borderId="0" applyFont="0" applyFill="0" applyBorder="0" applyAlignment="0" applyProtection="0"/>
    <xf numFmtId="49" fontId="177" fillId="0" borderId="0">
      <alignment horizontal="right"/>
    </xf>
    <xf numFmtId="0" fontId="135" fillId="0" borderId="0"/>
    <xf numFmtId="0" fontId="135" fillId="0" borderId="0"/>
    <xf numFmtId="0" fontId="135" fillId="0" borderId="0"/>
    <xf numFmtId="0" fontId="135" fillId="0" borderId="0"/>
    <xf numFmtId="0" fontId="42" fillId="0" borderId="0"/>
    <xf numFmtId="0" fontId="42" fillId="0" borderId="0"/>
    <xf numFmtId="0" fontId="42" fillId="0" borderId="16">
      <alignment horizontal="centerContinuous"/>
    </xf>
    <xf numFmtId="0" fontId="42" fillId="0" borderId="16">
      <alignment horizontal="centerContinuous"/>
    </xf>
    <xf numFmtId="3" fontId="35" fillId="0" borderId="0"/>
    <xf numFmtId="0" fontId="13" fillId="0" borderId="0">
      <alignment vertical="top"/>
    </xf>
    <xf numFmtId="0" fontId="13" fillId="0" borderId="0">
      <alignment vertical="top"/>
    </xf>
    <xf numFmtId="0" fontId="13" fillId="0" borderId="0">
      <alignment vertical="top"/>
    </xf>
    <xf numFmtId="0" fontId="13" fillId="0" borderId="0"/>
    <xf numFmtId="0" fontId="13" fillId="0" borderId="0">
      <alignment vertical="top"/>
    </xf>
    <xf numFmtId="0" fontId="13" fillId="0" borderId="0">
      <alignment vertical="top"/>
    </xf>
    <xf numFmtId="0" fontId="13" fillId="0" borderId="0">
      <alignment vertical="top"/>
    </xf>
    <xf numFmtId="0" fontId="13" fillId="0" borderId="0"/>
    <xf numFmtId="0" fontId="13" fillId="0" borderId="0">
      <alignment vertical="top"/>
    </xf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>
      <alignment vertical="top"/>
    </xf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>
      <alignment vertical="top"/>
    </xf>
    <xf numFmtId="0" fontId="13" fillId="0" borderId="0"/>
    <xf numFmtId="0" fontId="13" fillId="0" borderId="0"/>
    <xf numFmtId="0" fontId="13" fillId="0" borderId="0">
      <alignment vertical="top"/>
    </xf>
    <xf numFmtId="0" fontId="13" fillId="0" borderId="0"/>
    <xf numFmtId="0" fontId="13" fillId="0" borderId="0">
      <alignment vertical="top"/>
    </xf>
    <xf numFmtId="0" fontId="13" fillId="0" borderId="0"/>
    <xf numFmtId="0" fontId="13" fillId="0" borderId="0">
      <alignment vertical="top"/>
    </xf>
    <xf numFmtId="0" fontId="13" fillId="0" borderId="0">
      <alignment vertical="top"/>
    </xf>
    <xf numFmtId="0" fontId="13" fillId="0" borderId="0">
      <alignment vertical="top"/>
    </xf>
    <xf numFmtId="3" fontId="177" fillId="0" borderId="0"/>
    <xf numFmtId="0" fontId="13" fillId="0" borderId="0"/>
    <xf numFmtId="0" fontId="13" fillId="0" borderId="0">
      <alignment vertical="top"/>
    </xf>
    <xf numFmtId="0" fontId="13" fillId="0" borderId="0" applyNumberFormat="0" applyFont="0" applyFill="0" applyBorder="0" applyAlignment="0" applyProtection="0"/>
    <xf numFmtId="3" fontId="52" fillId="0" borderId="0" applyNumberFormat="0"/>
    <xf numFmtId="0" fontId="189" fillId="0" borderId="0" applyNumberFormat="0" applyFill="0" applyBorder="0" applyAlignment="0" applyProtection="0"/>
    <xf numFmtId="3" fontId="180" fillId="0" borderId="0"/>
    <xf numFmtId="234" fontId="190" fillId="47" borderId="0" applyNumberFormat="0" applyBorder="0">
      <alignment horizontal="left"/>
      <protection locked="0"/>
    </xf>
    <xf numFmtId="234" fontId="64" fillId="46" borderId="0" applyNumberFormat="0" applyBorder="0">
      <alignment horizontal="center"/>
      <protection locked="0"/>
    </xf>
    <xf numFmtId="234" fontId="191" fillId="45" borderId="0" applyNumberFormat="0" applyBorder="0">
      <alignment horizontal="center"/>
      <protection locked="0"/>
    </xf>
    <xf numFmtId="234" fontId="191" fillId="46" borderId="0" applyNumberFormat="0" applyBorder="0">
      <alignment horizontal="center"/>
      <protection locked="0"/>
    </xf>
    <xf numFmtId="234" fontId="190" fillId="47" borderId="0" applyNumberFormat="0" applyBorder="0">
      <protection locked="0"/>
    </xf>
    <xf numFmtId="234" fontId="82" fillId="48" borderId="0" applyNumberFormat="0" applyBorder="0">
      <alignment horizontal="left"/>
      <protection locked="0"/>
    </xf>
    <xf numFmtId="234" fontId="192" fillId="45" borderId="0" applyNumberFormat="0" applyBorder="0">
      <protection locked="0"/>
    </xf>
    <xf numFmtId="0" fontId="52" fillId="0" borderId="1">
      <alignment horizontal="right" wrapText="1"/>
    </xf>
    <xf numFmtId="0" fontId="52" fillId="0" borderId="1">
      <alignment horizontal="right" wrapText="1"/>
    </xf>
    <xf numFmtId="0" fontId="96" fillId="0" borderId="39" applyNumberFormat="0" applyFill="0" applyAlignment="0" applyProtection="0"/>
    <xf numFmtId="0" fontId="96" fillId="0" borderId="18" applyNumberFormat="0" applyFill="0" applyAlignment="0" applyProtection="0"/>
    <xf numFmtId="234" fontId="82" fillId="49" borderId="0" applyNumberFormat="0" applyBorder="0">
      <alignment horizontal="right"/>
      <protection locked="0"/>
    </xf>
    <xf numFmtId="234" fontId="82" fillId="50" borderId="0" applyNumberFormat="0" applyBorder="0">
      <alignment vertical="top"/>
      <protection locked="0"/>
    </xf>
    <xf numFmtId="234" fontId="82" fillId="46" borderId="0" applyNumberFormat="0" applyBorder="0">
      <protection locked="0"/>
    </xf>
    <xf numFmtId="234" fontId="193" fillId="48" borderId="0" applyNumberFormat="0" applyBorder="0">
      <protection locked="0"/>
    </xf>
    <xf numFmtId="234" fontId="82" fillId="51" borderId="0" applyNumberFormat="0" applyBorder="0">
      <protection locked="0"/>
    </xf>
    <xf numFmtId="3" fontId="52" fillId="0" borderId="3" applyNumberFormat="0"/>
    <xf numFmtId="234" fontId="194" fillId="52" borderId="0" applyNumberFormat="0" applyBorder="0">
      <protection locked="0"/>
    </xf>
    <xf numFmtId="0" fontId="13" fillId="0" borderId="0" applyNumberFormat="0" applyFont="0" applyFill="0" applyBorder="0" applyAlignment="0" applyProtection="0"/>
    <xf numFmtId="235" fontId="184" fillId="0" borderId="0" applyFont="0" applyFill="0" applyBorder="0" applyAlignment="0" applyProtection="0"/>
    <xf numFmtId="0" fontId="13" fillId="0" borderId="0" applyNumberFormat="0" applyFont="0" applyFill="0" applyBorder="0" applyAlignment="0" applyProtection="0"/>
    <xf numFmtId="168" fontId="181" fillId="0" borderId="0" applyFont="0" applyFill="0" applyBorder="0" applyAlignment="0" applyProtection="0"/>
    <xf numFmtId="0" fontId="13" fillId="0" borderId="0" applyNumberFormat="0" applyFont="0" applyFill="0" applyBorder="0" applyAlignment="0" applyProtection="0"/>
    <xf numFmtId="42" fontId="13" fillId="0" borderId="0" applyFont="0" applyFill="0" applyBorder="0" applyAlignment="0" applyProtection="0"/>
    <xf numFmtId="44" fontId="13" fillId="0" borderId="0" applyFont="0" applyFill="0" applyBorder="0" applyAlignment="0" applyProtection="0"/>
    <xf numFmtId="40" fontId="182" fillId="0" borderId="0" applyFont="0" applyFill="0" applyBorder="0" applyAlignment="0" applyProtection="0">
      <alignment vertical="center"/>
    </xf>
    <xf numFmtId="0" fontId="13" fillId="0" borderId="0" applyNumberFormat="0" applyFont="0" applyFill="0" applyBorder="0" applyAlignment="0" applyProtection="0"/>
    <xf numFmtId="0" fontId="13" fillId="0" borderId="0" applyNumberFormat="0" applyFont="0" applyFill="0" applyBorder="0" applyAlignment="0" applyProtection="0"/>
    <xf numFmtId="0" fontId="13" fillId="0" borderId="0" applyNumberFormat="0" applyFont="0" applyFill="0" applyBorder="0" applyAlignment="0" applyProtection="0"/>
    <xf numFmtId="0" fontId="13" fillId="0" borderId="0" applyNumberFormat="0" applyFont="0" applyFill="0" applyBorder="0" applyAlignment="0" applyProtection="0"/>
    <xf numFmtId="0" fontId="13" fillId="0" borderId="0" applyNumberFormat="0" applyFont="0" applyFill="0" applyBorder="0" applyAlignment="0" applyProtection="0"/>
    <xf numFmtId="0" fontId="13" fillId="0" borderId="0" applyNumberFormat="0" applyFont="0" applyFill="0" applyBorder="0" applyAlignment="0" applyProtection="0"/>
    <xf numFmtId="0" fontId="13" fillId="0" borderId="0" applyNumberFormat="0" applyFont="0" applyFill="0" applyBorder="0" applyAlignment="0" applyProtection="0"/>
    <xf numFmtId="0" fontId="13" fillId="0" borderId="0" applyNumberFormat="0" applyFont="0" applyFill="0" applyBorder="0" applyAlignment="0" applyProtection="0"/>
    <xf numFmtId="0" fontId="13" fillId="0" borderId="0" applyNumberFormat="0" applyFont="0" applyFill="0" applyBorder="0" applyAlignment="0" applyProtection="0"/>
    <xf numFmtId="0" fontId="13" fillId="0" borderId="0" applyNumberFormat="0" applyFont="0" applyFill="0" applyBorder="0" applyAlignment="0" applyProtection="0"/>
    <xf numFmtId="0" fontId="13" fillId="0" borderId="0" applyNumberFormat="0" applyFont="0" applyFill="0" applyBorder="0" applyAlignment="0" applyProtection="0"/>
    <xf numFmtId="0" fontId="13" fillId="0" borderId="0" applyNumberFormat="0" applyFont="0" applyFill="0" applyBorder="0" applyAlignment="0" applyProtection="0"/>
    <xf numFmtId="0" fontId="13" fillId="0" borderId="0" applyNumberFormat="0" applyFont="0" applyFill="0" applyBorder="0" applyAlignment="0" applyProtection="0"/>
    <xf numFmtId="0" fontId="13" fillId="0" borderId="0" applyNumberFormat="0" applyFont="0" applyFill="0" applyBorder="0" applyAlignment="0" applyProtection="0"/>
    <xf numFmtId="0" fontId="13" fillId="0" borderId="0" applyNumberFormat="0" applyFont="0" applyFill="0" applyBorder="0" applyAlignment="0" applyProtection="0"/>
    <xf numFmtId="0" fontId="13" fillId="0" borderId="0" applyNumberFormat="0" applyFont="0" applyFill="0" applyBorder="0" applyAlignment="0" applyProtection="0"/>
    <xf numFmtId="0" fontId="13" fillId="0" borderId="0" applyNumberFormat="0" applyFont="0" applyFill="0" applyBorder="0" applyAlignment="0" applyProtection="0"/>
    <xf numFmtId="0" fontId="13" fillId="0" borderId="0" applyNumberFormat="0" applyFont="0" applyFill="0" applyBorder="0" applyAlignment="0" applyProtection="0"/>
    <xf numFmtId="0" fontId="13" fillId="0" borderId="0" applyNumberFormat="0" applyFont="0" applyFill="0" applyBorder="0" applyAlignment="0" applyProtection="0"/>
    <xf numFmtId="0" fontId="13" fillId="0" borderId="0" applyNumberFormat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3" fillId="0" borderId="0" applyNumberFormat="0" applyFont="0" applyFill="0" applyBorder="0" applyAlignment="0" applyProtection="0"/>
    <xf numFmtId="0" fontId="102" fillId="5" borderId="4" applyNumberFormat="0" applyAlignment="0" applyProtection="0"/>
    <xf numFmtId="0" fontId="102" fillId="5" borderId="4" applyNumberFormat="0" applyAlignment="0" applyProtection="0"/>
    <xf numFmtId="0" fontId="102" fillId="5" borderId="4" applyNumberFormat="0" applyAlignment="0" applyProtection="0"/>
    <xf numFmtId="0" fontId="8" fillId="0" borderId="0"/>
    <xf numFmtId="0" fontId="8" fillId="0" borderId="0"/>
    <xf numFmtId="0" fontId="13" fillId="0" borderId="0" applyNumberFormat="0" applyFont="0" applyFill="0" applyBorder="0" applyAlignment="0" applyProtection="0"/>
    <xf numFmtId="0" fontId="13" fillId="0" borderId="0" applyNumberFormat="0" applyFont="0" applyFill="0" applyBorder="0" applyAlignment="0" applyProtection="0"/>
    <xf numFmtId="0" fontId="13" fillId="0" borderId="0" applyNumberFormat="0" applyFont="0" applyFill="0" applyBorder="0" applyAlignment="0" applyProtection="0"/>
    <xf numFmtId="0" fontId="102" fillId="5" borderId="4" applyNumberFormat="0" applyAlignment="0" applyProtection="0"/>
    <xf numFmtId="0" fontId="102" fillId="5" borderId="4" applyNumberFormat="0" applyAlignment="0" applyProtection="0"/>
    <xf numFmtId="0" fontId="102" fillId="5" borderId="4" applyNumberFormat="0" applyAlignment="0" applyProtection="0"/>
    <xf numFmtId="0" fontId="102" fillId="5" borderId="4" applyNumberFormat="0" applyAlignment="0" applyProtection="0"/>
    <xf numFmtId="0" fontId="7" fillId="0" borderId="0"/>
    <xf numFmtId="0" fontId="7" fillId="0" borderId="0"/>
    <xf numFmtId="0" fontId="13" fillId="0" borderId="0" applyNumberFormat="0" applyFont="0" applyFill="0" applyBorder="0" applyAlignment="0" applyProtection="0"/>
    <xf numFmtId="0" fontId="13" fillId="0" borderId="0" applyNumberFormat="0" applyFont="0" applyFill="0" applyBorder="0" applyAlignment="0" applyProtection="0"/>
    <xf numFmtId="0" fontId="13" fillId="0" borderId="0" applyNumberFormat="0" applyFont="0" applyFill="0" applyBorder="0" applyAlignment="0" applyProtection="0"/>
    <xf numFmtId="0" fontId="6" fillId="0" borderId="0"/>
    <xf numFmtId="0" fontId="13" fillId="0" borderId="0" applyNumberFormat="0" applyFont="0" applyFill="0" applyBorder="0" applyAlignment="0" applyProtection="0"/>
    <xf numFmtId="0" fontId="13" fillId="0" borderId="0" applyNumberFormat="0" applyFont="0" applyFill="0" applyBorder="0" applyAlignment="0" applyProtection="0"/>
    <xf numFmtId="0" fontId="13" fillId="0" borderId="0" applyNumberFormat="0" applyFont="0" applyFill="0" applyBorder="0" applyAlignment="0" applyProtection="0"/>
    <xf numFmtId="0" fontId="5" fillId="0" borderId="0"/>
    <xf numFmtId="0" fontId="5" fillId="0" borderId="0"/>
    <xf numFmtId="0" fontId="13" fillId="0" borderId="0" applyNumberFormat="0" applyFont="0" applyFill="0" applyBorder="0" applyAlignment="0" applyProtection="0"/>
    <xf numFmtId="0" fontId="13" fillId="0" borderId="0" applyNumberFormat="0" applyFont="0" applyFill="0" applyBorder="0" applyAlignment="0" applyProtection="0"/>
    <xf numFmtId="0" fontId="13" fillId="0" borderId="0" applyNumberFormat="0" applyFont="0" applyFill="0" applyBorder="0" applyAlignment="0" applyProtection="0"/>
    <xf numFmtId="0" fontId="13" fillId="0" borderId="0" applyNumberFormat="0" applyFont="0" applyFill="0" applyBorder="0" applyAlignment="0" applyProtection="0"/>
    <xf numFmtId="0" fontId="13" fillId="0" borderId="0" applyNumberFormat="0" applyFont="0" applyFill="0" applyBorder="0" applyAlignment="0" applyProtection="0"/>
    <xf numFmtId="0" fontId="5" fillId="0" borderId="0"/>
    <xf numFmtId="0" fontId="5" fillId="0" borderId="0"/>
    <xf numFmtId="0" fontId="13" fillId="0" borderId="0" applyNumberFormat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13" fillId="0" borderId="0" applyNumberFormat="0" applyFont="0" applyFill="0" applyBorder="0" applyAlignment="0" applyProtection="0"/>
    <xf numFmtId="0" fontId="13" fillId="0" borderId="0" applyNumberFormat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3" fillId="0" borderId="0" applyNumberFormat="0" applyFont="0" applyFill="0" applyBorder="0" applyAlignment="0" applyProtection="0"/>
    <xf numFmtId="0" fontId="13" fillId="0" borderId="0" applyNumberFormat="0" applyFont="0" applyFill="0" applyBorder="0" applyAlignment="0" applyProtection="0"/>
    <xf numFmtId="0" fontId="102" fillId="5" borderId="4" applyNumberFormat="0" applyAlignment="0" applyProtection="0"/>
    <xf numFmtId="0" fontId="35" fillId="0" borderId="0" applyNumberFormat="0" applyBorder="0" applyAlignment="0" applyProtection="0"/>
    <xf numFmtId="0" fontId="208" fillId="0" borderId="0" applyNumberFormat="0" applyFill="0" applyBorder="0" applyAlignment="0" applyProtection="0"/>
    <xf numFmtId="0" fontId="209" fillId="0" borderId="40" applyNumberFormat="0" applyFill="0" applyAlignment="0" applyProtection="0"/>
    <xf numFmtId="0" fontId="210" fillId="0" borderId="41" applyNumberFormat="0" applyFill="0" applyAlignment="0" applyProtection="0"/>
    <xf numFmtId="0" fontId="211" fillId="0" borderId="42" applyNumberFormat="0" applyFill="0" applyAlignment="0" applyProtection="0"/>
    <xf numFmtId="0" fontId="211" fillId="0" borderId="0" applyNumberFormat="0" applyFill="0" applyBorder="0" applyAlignment="0" applyProtection="0"/>
    <xf numFmtId="0" fontId="212" fillId="57" borderId="0" applyNumberFormat="0" applyBorder="0" applyAlignment="0" applyProtection="0"/>
    <xf numFmtId="0" fontId="213" fillId="58" borderId="0" applyNumberFormat="0" applyBorder="0" applyAlignment="0" applyProtection="0"/>
    <xf numFmtId="0" fontId="214" fillId="59" borderId="0" applyNumberFormat="0" applyBorder="0" applyAlignment="0" applyProtection="0"/>
    <xf numFmtId="0" fontId="215" fillId="60" borderId="43" applyNumberFormat="0" applyAlignment="0" applyProtection="0"/>
    <xf numFmtId="0" fontId="216" fillId="61" borderId="44" applyNumberFormat="0" applyAlignment="0" applyProtection="0"/>
    <xf numFmtId="0" fontId="217" fillId="61" borderId="43" applyNumberFormat="0" applyAlignment="0" applyProtection="0"/>
    <xf numFmtId="0" fontId="218" fillId="0" borderId="45" applyNumberFormat="0" applyFill="0" applyAlignment="0" applyProtection="0"/>
    <xf numFmtId="0" fontId="219" fillId="62" borderId="46" applyNumberFormat="0" applyAlignment="0" applyProtection="0"/>
    <xf numFmtId="0" fontId="220" fillId="0" borderId="0" applyNumberFormat="0" applyFill="0" applyBorder="0" applyAlignment="0" applyProtection="0"/>
    <xf numFmtId="0" fontId="221" fillId="0" borderId="0" applyNumberFormat="0" applyFill="0" applyBorder="0" applyAlignment="0" applyProtection="0"/>
    <xf numFmtId="0" fontId="207" fillId="0" borderId="48" applyNumberFormat="0" applyFill="0" applyAlignment="0" applyProtection="0"/>
    <xf numFmtId="0" fontId="222" fillId="64" borderId="0" applyNumberFormat="0" applyBorder="0" applyAlignment="0" applyProtection="0"/>
    <xf numFmtId="0" fontId="4" fillId="65" borderId="0" applyNumberFormat="0" applyBorder="0" applyAlignment="0" applyProtection="0"/>
    <xf numFmtId="0" fontId="4" fillId="66" borderId="0" applyNumberFormat="0" applyBorder="0" applyAlignment="0" applyProtection="0"/>
    <xf numFmtId="0" fontId="222" fillId="67" borderId="0" applyNumberFormat="0" applyBorder="0" applyAlignment="0" applyProtection="0"/>
    <xf numFmtId="0" fontId="222" fillId="68" borderId="0" applyNumberFormat="0" applyBorder="0" applyAlignment="0" applyProtection="0"/>
    <xf numFmtId="0" fontId="4" fillId="69" borderId="0" applyNumberFormat="0" applyBorder="0" applyAlignment="0" applyProtection="0"/>
    <xf numFmtId="0" fontId="4" fillId="70" borderId="0" applyNumberFormat="0" applyBorder="0" applyAlignment="0" applyProtection="0"/>
    <xf numFmtId="0" fontId="222" fillId="71" borderId="0" applyNumberFormat="0" applyBorder="0" applyAlignment="0" applyProtection="0"/>
    <xf numFmtId="0" fontId="222" fillId="72" borderId="0" applyNumberFormat="0" applyBorder="0" applyAlignment="0" applyProtection="0"/>
    <xf numFmtId="0" fontId="4" fillId="73" borderId="0" applyNumberFormat="0" applyBorder="0" applyAlignment="0" applyProtection="0"/>
    <xf numFmtId="0" fontId="4" fillId="74" borderId="0" applyNumberFormat="0" applyBorder="0" applyAlignment="0" applyProtection="0"/>
    <xf numFmtId="0" fontId="222" fillId="75" borderId="0" applyNumberFormat="0" applyBorder="0" applyAlignment="0" applyProtection="0"/>
    <xf numFmtId="0" fontId="222" fillId="76" borderId="0" applyNumberFormat="0" applyBorder="0" applyAlignment="0" applyProtection="0"/>
    <xf numFmtId="0" fontId="4" fillId="77" borderId="0" applyNumberFormat="0" applyBorder="0" applyAlignment="0" applyProtection="0"/>
    <xf numFmtId="0" fontId="4" fillId="78" borderId="0" applyNumberFormat="0" applyBorder="0" applyAlignment="0" applyProtection="0"/>
    <xf numFmtId="0" fontId="222" fillId="79" borderId="0" applyNumberFormat="0" applyBorder="0" applyAlignment="0" applyProtection="0"/>
    <xf numFmtId="0" fontId="222" fillId="80" borderId="0" applyNumberFormat="0" applyBorder="0" applyAlignment="0" applyProtection="0"/>
    <xf numFmtId="0" fontId="4" fillId="81" borderId="0" applyNumberFormat="0" applyBorder="0" applyAlignment="0" applyProtection="0"/>
    <xf numFmtId="0" fontId="4" fillId="82" borderId="0" applyNumberFormat="0" applyBorder="0" applyAlignment="0" applyProtection="0"/>
    <xf numFmtId="0" fontId="222" fillId="83" borderId="0" applyNumberFormat="0" applyBorder="0" applyAlignment="0" applyProtection="0"/>
    <xf numFmtId="0" fontId="222" fillId="84" borderId="0" applyNumberFormat="0" applyBorder="0" applyAlignment="0" applyProtection="0"/>
    <xf numFmtId="0" fontId="4" fillId="85" borderId="0" applyNumberFormat="0" applyBorder="0" applyAlignment="0" applyProtection="0"/>
    <xf numFmtId="0" fontId="4" fillId="86" borderId="0" applyNumberFormat="0" applyBorder="0" applyAlignment="0" applyProtection="0"/>
    <xf numFmtId="0" fontId="222" fillId="87" borderId="0" applyNumberFormat="0" applyBorder="0" applyAlignment="0" applyProtection="0"/>
    <xf numFmtId="0" fontId="13" fillId="0" borderId="0" applyNumberFormat="0" applyFont="0" applyFill="0" applyBorder="0" applyAlignment="0" applyProtection="0"/>
    <xf numFmtId="3" fontId="177" fillId="0" borderId="0"/>
    <xf numFmtId="0" fontId="13" fillId="0" borderId="0" applyNumberFormat="0" applyFont="0" applyFill="0" applyBorder="0" applyAlignment="0" applyProtection="0"/>
    <xf numFmtId="0" fontId="106" fillId="0" borderId="0" applyNumberFormat="0" applyFont="0" applyFill="0" applyBorder="0" applyAlignment="0" applyProtection="0"/>
    <xf numFmtId="0" fontId="13" fillId="0" borderId="0" applyNumberFormat="0" applyFont="0" applyFill="0" applyBorder="0" applyAlignment="0" applyProtection="0"/>
    <xf numFmtId="0" fontId="13" fillId="0" borderId="0" applyNumberFormat="0" applyFont="0" applyFill="0" applyBorder="0" applyAlignment="0" applyProtection="0"/>
    <xf numFmtId="0" fontId="14" fillId="0" borderId="0" applyNumberFormat="0" applyFont="0" applyFill="0" applyBorder="0" applyAlignment="0" applyProtection="0"/>
    <xf numFmtId="0" fontId="14" fillId="0" borderId="0" applyNumberFormat="0" applyFont="0" applyFill="0" applyBorder="0" applyAlignment="0" applyProtection="0"/>
    <xf numFmtId="0" fontId="13" fillId="0" borderId="0" applyNumberFormat="0" applyFill="0" applyBorder="0" applyAlignment="0" applyProtection="0"/>
    <xf numFmtId="5" fontId="233" fillId="0" borderId="0" applyFont="0" applyFill="0" applyBorder="0" applyAlignment="0" applyProtection="0"/>
    <xf numFmtId="8" fontId="233" fillId="0" borderId="0" applyFont="0" applyFill="0" applyBorder="0" applyAlignment="0" applyProtection="0"/>
    <xf numFmtId="0" fontId="228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246" fontId="234" fillId="0" borderId="0"/>
    <xf numFmtId="249" fontId="232" fillId="0" borderId="0"/>
    <xf numFmtId="10" fontId="233" fillId="0" borderId="0" applyFont="0" applyFill="0" applyBorder="0" applyAlignment="0" applyProtection="0"/>
    <xf numFmtId="0" fontId="13" fillId="0" borderId="0" applyNumberFormat="0" applyFont="0" applyFill="0" applyBorder="0" applyAlignment="0" applyProtection="0"/>
    <xf numFmtId="0" fontId="13" fillId="0" borderId="0" applyNumberFormat="0" applyFont="0" applyFill="0" applyBorder="0" applyAlignment="0" applyProtection="0"/>
    <xf numFmtId="0" fontId="13" fillId="0" borderId="0" applyNumberFormat="0" applyFont="0" applyFill="0" applyBorder="0" applyAlignment="0" applyProtection="0"/>
    <xf numFmtId="42" fontId="13" fillId="0" borderId="0" applyFont="0" applyFill="0" applyBorder="0" applyAlignment="0" applyProtection="0"/>
    <xf numFmtId="250" fontId="235" fillId="0" borderId="0" applyFont="0" applyFill="0" applyBorder="0" applyAlignment="0" applyProtection="0"/>
    <xf numFmtId="0" fontId="236" fillId="0" borderId="0" applyFont="0" applyFill="0" applyBorder="0" applyAlignment="0" applyProtection="0"/>
    <xf numFmtId="40" fontId="237" fillId="0" borderId="0" applyFont="0" applyFill="0" applyBorder="0" applyAlignment="0" applyProtection="0"/>
    <xf numFmtId="0" fontId="238" fillId="0" borderId="0" applyNumberFormat="0" applyFill="0" applyBorder="0" applyAlignment="0" applyProtection="0">
      <alignment vertical="top"/>
      <protection locked="0"/>
    </xf>
    <xf numFmtId="38" fontId="237" fillId="0" borderId="0" applyFont="0" applyFill="0" applyBorder="0" applyAlignment="0" applyProtection="0"/>
    <xf numFmtId="0" fontId="236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95" fillId="0" borderId="0"/>
    <xf numFmtId="0" fontId="195" fillId="0" borderId="0"/>
    <xf numFmtId="3" fontId="177" fillId="0" borderId="0"/>
    <xf numFmtId="0" fontId="195" fillId="0" borderId="0"/>
    <xf numFmtId="0" fontId="195" fillId="0" borderId="0"/>
    <xf numFmtId="0" fontId="195" fillId="0" borderId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3" fontId="177" fillId="0" borderId="0"/>
    <xf numFmtId="176" fontId="13" fillId="0" borderId="0" applyFont="0" applyFill="0" applyBorder="0" applyAlignment="0" applyProtection="0"/>
    <xf numFmtId="3" fontId="177" fillId="0" borderId="0"/>
    <xf numFmtId="0" fontId="13" fillId="0" borderId="0"/>
    <xf numFmtId="0" fontId="13" fillId="0" borderId="0"/>
    <xf numFmtId="240" fontId="13" fillId="0" borderId="0" applyFont="0" applyFill="0" applyBorder="0" applyAlignment="0" applyProtection="0"/>
    <xf numFmtId="0" fontId="13" fillId="0" borderId="0" applyFont="0" applyFill="0" applyBorder="0" applyAlignment="0" applyProtection="0"/>
    <xf numFmtId="0" fontId="13" fillId="0" borderId="0">
      <alignment vertical="top"/>
    </xf>
    <xf numFmtId="0" fontId="13" fillId="0" borderId="0">
      <alignment vertical="top"/>
    </xf>
    <xf numFmtId="0" fontId="13" fillId="0" borderId="0"/>
    <xf numFmtId="0" fontId="13" fillId="0" borderId="0"/>
    <xf numFmtId="0" fontId="13" fillId="0" borderId="0" applyFill="0" applyAlignment="0">
      <protection locked="0"/>
    </xf>
    <xf numFmtId="0" fontId="13" fillId="0" borderId="0" applyFill="0" applyAlignment="0">
      <protection locked="0"/>
    </xf>
    <xf numFmtId="0" fontId="13" fillId="0" borderId="0"/>
    <xf numFmtId="0" fontId="13" fillId="0" borderId="0"/>
    <xf numFmtId="0" fontId="13" fillId="0" borderId="0"/>
    <xf numFmtId="0" fontId="13" fillId="0" borderId="0"/>
    <xf numFmtId="3" fontId="177" fillId="0" borderId="0"/>
    <xf numFmtId="0" fontId="13" fillId="0" borderId="0"/>
    <xf numFmtId="0" fontId="13" fillId="0" borderId="0"/>
    <xf numFmtId="0" fontId="13" fillId="0" borderId="0"/>
    <xf numFmtId="3" fontId="177" fillId="0" borderId="0"/>
    <xf numFmtId="3" fontId="177" fillId="0" borderId="0"/>
    <xf numFmtId="0" fontId="164" fillId="0" borderId="0"/>
    <xf numFmtId="3" fontId="177" fillId="0" borderId="0"/>
    <xf numFmtId="3" fontId="177" fillId="0" borderId="0"/>
    <xf numFmtId="0" fontId="13" fillId="0" borderId="0"/>
    <xf numFmtId="0" fontId="13" fillId="0" borderId="0"/>
    <xf numFmtId="0" fontId="13" fillId="0" borderId="0"/>
    <xf numFmtId="3" fontId="177" fillId="0" borderId="0"/>
    <xf numFmtId="3" fontId="177" fillId="0" borderId="0"/>
    <xf numFmtId="3" fontId="177" fillId="0" borderId="0"/>
    <xf numFmtId="3" fontId="177" fillId="0" borderId="0"/>
    <xf numFmtId="0" fontId="13" fillId="0" borderId="0" applyFill="0" applyAlignment="0">
      <protection locked="0"/>
    </xf>
    <xf numFmtId="0" fontId="13" fillId="0" borderId="0"/>
    <xf numFmtId="0" fontId="13" fillId="0" borderId="0"/>
    <xf numFmtId="3" fontId="177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3" fontId="177" fillId="0" borderId="0"/>
    <xf numFmtId="0" fontId="13" fillId="0" borderId="0" applyFill="0" applyAlignment="0">
      <protection locked="0"/>
    </xf>
    <xf numFmtId="0" fontId="13" fillId="0" borderId="0" applyFill="0" applyAlignment="0">
      <protection locked="0"/>
    </xf>
    <xf numFmtId="0" fontId="13" fillId="0" borderId="0" applyFill="0" applyAlignment="0">
      <protection locked="0"/>
    </xf>
    <xf numFmtId="0" fontId="13" fillId="0" borderId="0" applyFill="0" applyAlignment="0">
      <protection locked="0"/>
    </xf>
    <xf numFmtId="0" fontId="13" fillId="0" borderId="0" applyFill="0" applyAlignment="0">
      <protection locked="0"/>
    </xf>
    <xf numFmtId="0" fontId="13" fillId="0" borderId="0" applyFill="0" applyAlignment="0">
      <protection locked="0"/>
    </xf>
    <xf numFmtId="0" fontId="13" fillId="0" borderId="0" applyFill="0" applyAlignment="0">
      <protection locked="0"/>
    </xf>
    <xf numFmtId="0" fontId="13" fillId="0" borderId="0"/>
    <xf numFmtId="0" fontId="13" fillId="0" borderId="0"/>
    <xf numFmtId="0" fontId="13" fillId="0" borderId="0" applyFont="0" applyFill="0" applyBorder="0" applyAlignment="0" applyProtection="0"/>
    <xf numFmtId="241" fontId="13" fillId="0" borderId="0" applyFont="0" applyFill="0" applyBorder="0" applyAlignment="0" applyProtection="0"/>
    <xf numFmtId="0" fontId="13" fillId="0" borderId="0" applyFill="0" applyAlignment="0">
      <protection locked="0"/>
    </xf>
    <xf numFmtId="0" fontId="13" fillId="0" borderId="0" applyFill="0" applyAlignment="0">
      <protection locked="0"/>
    </xf>
    <xf numFmtId="239" fontId="13" fillId="0" borderId="0" applyFont="0" applyFill="0" applyBorder="0" applyAlignment="0" applyProtection="0"/>
    <xf numFmtId="0" fontId="13" fillId="0" borderId="0" applyFont="0" applyFill="0" applyBorder="0" applyAlignment="0" applyProtection="0"/>
    <xf numFmtId="0" fontId="13" fillId="0" borderId="0"/>
    <xf numFmtId="0" fontId="13" fillId="0" borderId="0"/>
    <xf numFmtId="3" fontId="177" fillId="0" borderId="0"/>
    <xf numFmtId="0" fontId="13" fillId="0" borderId="0"/>
    <xf numFmtId="0" fontId="13" fillId="0" borderId="0"/>
    <xf numFmtId="3" fontId="177" fillId="0" borderId="0"/>
    <xf numFmtId="0" fontId="13" fillId="0" borderId="0"/>
    <xf numFmtId="0" fontId="13" fillId="0" borderId="0"/>
    <xf numFmtId="0" fontId="13" fillId="0" borderId="0"/>
    <xf numFmtId="0" fontId="13" fillId="0" borderId="0" applyFill="0" applyAlignment="0">
      <protection locked="0"/>
    </xf>
    <xf numFmtId="0" fontId="13" fillId="0" borderId="0" applyFill="0" applyAlignment="0">
      <protection locked="0"/>
    </xf>
    <xf numFmtId="0" fontId="13" fillId="0" borderId="0" applyFill="0" applyAlignment="0">
      <protection locked="0"/>
    </xf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3" fontId="177" fillId="0" borderId="0"/>
    <xf numFmtId="3" fontId="177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3" fontId="177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 applyNumberFormat="0" applyFill="0" applyBorder="0" applyAlignment="0" applyProtection="0"/>
    <xf numFmtId="3" fontId="177" fillId="0" borderId="0"/>
    <xf numFmtId="0" fontId="195" fillId="0" borderId="0"/>
    <xf numFmtId="0" fontId="13" fillId="0" borderId="0"/>
    <xf numFmtId="0" fontId="13" fillId="0" borderId="0" applyFill="0" applyAlignment="0">
      <protection locked="0"/>
    </xf>
    <xf numFmtId="0" fontId="13" fillId="0" borderId="0" applyFill="0" applyAlignment="0">
      <protection locked="0"/>
    </xf>
    <xf numFmtId="0" fontId="13" fillId="0" borderId="0"/>
    <xf numFmtId="0" fontId="13" fillId="0" borderId="0"/>
    <xf numFmtId="0" fontId="239" fillId="0" borderId="49" applyBorder="0"/>
    <xf numFmtId="251" fontId="107" fillId="0" borderId="0" applyFont="0" applyFill="0" applyBorder="0" applyAlignment="0" applyProtection="0"/>
    <xf numFmtId="252" fontId="107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38" fillId="0" borderId="0"/>
    <xf numFmtId="9" fontId="13" fillId="0" borderId="0"/>
    <xf numFmtId="9" fontId="13" fillId="0" borderId="0"/>
    <xf numFmtId="9" fontId="13" fillId="0" borderId="0"/>
    <xf numFmtId="9" fontId="13" fillId="0" borderId="0"/>
    <xf numFmtId="9" fontId="13" fillId="0" borderId="0"/>
    <xf numFmtId="9" fontId="13" fillId="0" borderId="0"/>
    <xf numFmtId="9" fontId="13" fillId="0" borderId="0"/>
    <xf numFmtId="9" fontId="13" fillId="0" borderId="0"/>
    <xf numFmtId="9" fontId="13" fillId="0" borderId="0"/>
    <xf numFmtId="0" fontId="13" fillId="0" borderId="0"/>
    <xf numFmtId="0" fontId="177" fillId="0" borderId="0"/>
    <xf numFmtId="0" fontId="38" fillId="0" borderId="0"/>
    <xf numFmtId="0" fontId="38" fillId="0" borderId="0"/>
    <xf numFmtId="0" fontId="38" fillId="0" borderId="0"/>
    <xf numFmtId="2" fontId="38" fillId="0" borderId="0"/>
    <xf numFmtId="10" fontId="38" fillId="0" borderId="0"/>
    <xf numFmtId="2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207" fontId="38" fillId="0" borderId="0"/>
    <xf numFmtId="207" fontId="38" fillId="0" borderId="0"/>
    <xf numFmtId="0" fontId="38" fillId="0" borderId="0"/>
    <xf numFmtId="181" fontId="13" fillId="0" borderId="0"/>
    <xf numFmtId="181" fontId="13" fillId="0" borderId="0"/>
    <xf numFmtId="181" fontId="13" fillId="0" borderId="0"/>
    <xf numFmtId="181" fontId="13" fillId="0" borderId="0"/>
    <xf numFmtId="181" fontId="13" fillId="0" borderId="0"/>
    <xf numFmtId="181" fontId="13" fillId="0" borderId="0"/>
    <xf numFmtId="181" fontId="13" fillId="0" borderId="0"/>
    <xf numFmtId="181" fontId="13" fillId="0" borderId="0"/>
    <xf numFmtId="181" fontId="13" fillId="0" borderId="0"/>
    <xf numFmtId="0" fontId="4" fillId="88" borderId="0" applyNumberFormat="0" applyBorder="0" applyAlignment="0" applyProtection="0"/>
    <xf numFmtId="0" fontId="4" fillId="88" borderId="0" applyNumberFormat="0" applyBorder="0" applyAlignment="0" applyProtection="0"/>
    <xf numFmtId="0" fontId="4" fillId="88" borderId="0" applyNumberFormat="0" applyBorder="0" applyAlignment="0" applyProtection="0"/>
    <xf numFmtId="0" fontId="4" fillId="88" borderId="0" applyNumberFormat="0" applyBorder="0" applyAlignment="0" applyProtection="0"/>
    <xf numFmtId="0" fontId="4" fillId="88" borderId="0" applyNumberFormat="0" applyBorder="0" applyAlignment="0" applyProtection="0"/>
    <xf numFmtId="0" fontId="4" fillId="88" borderId="0" applyNumberFormat="0" applyBorder="0" applyAlignment="0" applyProtection="0"/>
    <xf numFmtId="0" fontId="91" fillId="2" borderId="0" applyNumberFormat="0" applyBorder="0" applyAlignment="0" applyProtection="0"/>
    <xf numFmtId="0" fontId="91" fillId="3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91" fillId="3" borderId="0" applyNumberFormat="0" applyBorder="0" applyAlignment="0" applyProtection="0"/>
    <xf numFmtId="0" fontId="4" fillId="73" borderId="0" applyNumberFormat="0" applyBorder="0" applyAlignment="0" applyProtection="0"/>
    <xf numFmtId="0" fontId="4" fillId="73" borderId="0" applyNumberFormat="0" applyBorder="0" applyAlignment="0" applyProtection="0"/>
    <xf numFmtId="0" fontId="4" fillId="73" borderId="0" applyNumberFormat="0" applyBorder="0" applyAlignment="0" applyProtection="0"/>
    <xf numFmtId="0" fontId="91" fillId="5" borderId="0" applyNumberFormat="0" applyBorder="0" applyAlignment="0" applyProtection="0"/>
    <xf numFmtId="0" fontId="4" fillId="73" borderId="0" applyNumberFormat="0" applyBorder="0" applyAlignment="0" applyProtection="0"/>
    <xf numFmtId="0" fontId="4" fillId="73" borderId="0" applyNumberFormat="0" applyBorder="0" applyAlignment="0" applyProtection="0"/>
    <xf numFmtId="0" fontId="4" fillId="73" borderId="0" applyNumberFormat="0" applyBorder="0" applyAlignment="0" applyProtection="0"/>
    <xf numFmtId="0" fontId="91" fillId="2" borderId="0" applyNumberFormat="0" applyBorder="0" applyAlignment="0" applyProtection="0"/>
    <xf numFmtId="0" fontId="4" fillId="89" borderId="0" applyNumberFormat="0" applyBorder="0" applyAlignment="0" applyProtection="0"/>
    <xf numFmtId="0" fontId="4" fillId="89" borderId="0" applyNumberFormat="0" applyBorder="0" applyAlignment="0" applyProtection="0"/>
    <xf numFmtId="0" fontId="4" fillId="89" borderId="0" applyNumberFormat="0" applyBorder="0" applyAlignment="0" applyProtection="0"/>
    <xf numFmtId="0" fontId="4" fillId="89" borderId="0" applyNumberFormat="0" applyBorder="0" applyAlignment="0" applyProtection="0"/>
    <xf numFmtId="0" fontId="4" fillId="89" borderId="0" applyNumberFormat="0" applyBorder="0" applyAlignment="0" applyProtection="0"/>
    <xf numFmtId="0" fontId="4" fillId="89" borderId="0" applyNumberFormat="0" applyBorder="0" applyAlignment="0" applyProtection="0"/>
    <xf numFmtId="0" fontId="91" fillId="2" borderId="0" applyNumberFormat="0" applyBorder="0" applyAlignment="0" applyProtection="0"/>
    <xf numFmtId="0" fontId="91" fillId="6" borderId="0" applyNumberFormat="0" applyBorder="0" applyAlignment="0" applyProtection="0"/>
    <xf numFmtId="0" fontId="4" fillId="88" borderId="0" applyNumberFormat="0" applyBorder="0" applyAlignment="0" applyProtection="0"/>
    <xf numFmtId="0" fontId="4" fillId="88" borderId="0" applyNumberFormat="0" applyBorder="0" applyAlignment="0" applyProtection="0"/>
    <xf numFmtId="0" fontId="4" fillId="88" borderId="0" applyNumberFormat="0" applyBorder="0" applyAlignment="0" applyProtection="0"/>
    <xf numFmtId="0" fontId="4" fillId="88" borderId="0" applyNumberFormat="0" applyBorder="0" applyAlignment="0" applyProtection="0"/>
    <xf numFmtId="0" fontId="4" fillId="88" borderId="0" applyNumberFormat="0" applyBorder="0" applyAlignment="0" applyProtection="0"/>
    <xf numFmtId="0" fontId="4" fillId="88" borderId="0" applyNumberFormat="0" applyBorder="0" applyAlignment="0" applyProtection="0"/>
    <xf numFmtId="0" fontId="91" fillId="6" borderId="0" applyNumberFormat="0" applyBorder="0" applyAlignment="0" applyProtection="0"/>
    <xf numFmtId="0" fontId="4" fillId="85" borderId="0" applyNumberFormat="0" applyBorder="0" applyAlignment="0" applyProtection="0"/>
    <xf numFmtId="0" fontId="4" fillId="85" borderId="0" applyNumberFormat="0" applyBorder="0" applyAlignment="0" applyProtection="0"/>
    <xf numFmtId="0" fontId="4" fillId="85" borderId="0" applyNumberFormat="0" applyBorder="0" applyAlignment="0" applyProtection="0"/>
    <xf numFmtId="0" fontId="91" fillId="5" borderId="0" applyNumberFormat="0" applyBorder="0" applyAlignment="0" applyProtection="0"/>
    <xf numFmtId="0" fontId="4" fillId="85" borderId="0" applyNumberFormat="0" applyBorder="0" applyAlignment="0" applyProtection="0"/>
    <xf numFmtId="0" fontId="4" fillId="85" borderId="0" applyNumberFormat="0" applyBorder="0" applyAlignment="0" applyProtection="0"/>
    <xf numFmtId="0" fontId="4" fillId="85" borderId="0" applyNumberFormat="0" applyBorder="0" applyAlignment="0" applyProtection="0"/>
    <xf numFmtId="0" fontId="4" fillId="88" borderId="0" applyNumberFormat="0" applyBorder="0" applyAlignment="0" applyProtection="0"/>
    <xf numFmtId="0" fontId="4" fillId="88" borderId="0" applyNumberFormat="0" applyBorder="0" applyAlignment="0" applyProtection="0"/>
    <xf numFmtId="0" fontId="4" fillId="88" borderId="0" applyNumberFormat="0" applyBorder="0" applyAlignment="0" applyProtection="0"/>
    <xf numFmtId="0" fontId="4" fillId="88" borderId="0" applyNumberFormat="0" applyBorder="0" applyAlignment="0" applyProtection="0"/>
    <xf numFmtId="0" fontId="4" fillId="88" borderId="0" applyNumberFormat="0" applyBorder="0" applyAlignment="0" applyProtection="0"/>
    <xf numFmtId="0" fontId="4" fillId="88" borderId="0" applyNumberFormat="0" applyBorder="0" applyAlignment="0" applyProtection="0"/>
    <xf numFmtId="0" fontId="91" fillId="7" borderId="0" applyNumberFormat="0" applyBorder="0" applyAlignment="0" applyProtection="0"/>
    <xf numFmtId="0" fontId="91" fillId="3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91" fillId="3" borderId="0" applyNumberFormat="0" applyBorder="0" applyAlignment="0" applyProtection="0"/>
    <xf numFmtId="0" fontId="91" fillId="5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91" fillId="5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91" fillId="7" borderId="0" applyNumberFormat="0" applyBorder="0" applyAlignment="0" applyProtection="0"/>
    <xf numFmtId="0" fontId="4" fillId="90" borderId="0" applyNumberFormat="0" applyBorder="0" applyAlignment="0" applyProtection="0"/>
    <xf numFmtId="0" fontId="4" fillId="90" borderId="0" applyNumberFormat="0" applyBorder="0" applyAlignment="0" applyProtection="0"/>
    <xf numFmtId="0" fontId="4" fillId="90" borderId="0" applyNumberFormat="0" applyBorder="0" applyAlignment="0" applyProtection="0"/>
    <xf numFmtId="0" fontId="4" fillId="90" borderId="0" applyNumberFormat="0" applyBorder="0" applyAlignment="0" applyProtection="0"/>
    <xf numFmtId="0" fontId="4" fillId="90" borderId="0" applyNumberFormat="0" applyBorder="0" applyAlignment="0" applyProtection="0"/>
    <xf numFmtId="0" fontId="4" fillId="90" borderId="0" applyNumberFormat="0" applyBorder="0" applyAlignment="0" applyProtection="0"/>
    <xf numFmtId="0" fontId="91" fillId="8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91" fillId="5" borderId="0" applyNumberFormat="0" applyBorder="0" applyAlignment="0" applyProtection="0"/>
    <xf numFmtId="0" fontId="222" fillId="8" borderId="0" applyNumberFormat="0" applyBorder="0" applyAlignment="0" applyProtection="0"/>
    <xf numFmtId="0" fontId="92" fillId="9" borderId="0" applyNumberFormat="0" applyBorder="0" applyAlignment="0" applyProtection="0"/>
    <xf numFmtId="0" fontId="222" fillId="91" borderId="0" applyNumberFormat="0" applyBorder="0" applyAlignment="0" applyProtection="0"/>
    <xf numFmtId="0" fontId="92" fillId="3" borderId="0" applyNumberFormat="0" applyBorder="0" applyAlignment="0" applyProtection="0"/>
    <xf numFmtId="0" fontId="222" fillId="3" borderId="0" applyNumberFormat="0" applyBorder="0" applyAlignment="0" applyProtection="0"/>
    <xf numFmtId="0" fontId="92" fillId="10" borderId="0" applyNumberFormat="0" applyBorder="0" applyAlignment="0" applyProtection="0"/>
    <xf numFmtId="0" fontId="222" fillId="7" borderId="0" applyNumberFormat="0" applyBorder="0" applyAlignment="0" applyProtection="0"/>
    <xf numFmtId="0" fontId="92" fillId="7" borderId="0" applyNumberFormat="0" applyBorder="0" applyAlignment="0" applyProtection="0"/>
    <xf numFmtId="0" fontId="222" fillId="92" borderId="0" applyNumberFormat="0" applyBorder="0" applyAlignment="0" applyProtection="0"/>
    <xf numFmtId="0" fontId="92" fillId="9" borderId="0" applyNumberFormat="0" applyBorder="0" applyAlignment="0" applyProtection="0"/>
    <xf numFmtId="0" fontId="222" fillId="2" borderId="0" applyNumberFormat="0" applyBorder="0" applyAlignment="0" applyProtection="0"/>
    <xf numFmtId="0" fontId="92" fillId="5" borderId="0" applyNumberFormat="0" applyBorder="0" applyAlignment="0" applyProtection="0"/>
    <xf numFmtId="37" fontId="240" fillId="0" borderId="0">
      <alignment horizontal="center"/>
    </xf>
    <xf numFmtId="0" fontId="222" fillId="11" borderId="0" applyNumberFormat="0" applyBorder="0" applyAlignment="0" applyProtection="0"/>
    <xf numFmtId="0" fontId="92" fillId="9" borderId="0" applyNumberFormat="0" applyBorder="0" applyAlignment="0" applyProtection="0"/>
    <xf numFmtId="0" fontId="222" fillId="93" borderId="0" applyNumberFormat="0" applyBorder="0" applyAlignment="0" applyProtection="0"/>
    <xf numFmtId="0" fontId="92" fillId="3" borderId="0" applyNumberFormat="0" applyBorder="0" applyAlignment="0" applyProtection="0"/>
    <xf numFmtId="0" fontId="222" fillId="94" borderId="0" applyNumberFormat="0" applyBorder="0" applyAlignment="0" applyProtection="0"/>
    <xf numFmtId="0" fontId="92" fillId="10" borderId="0" applyNumberFormat="0" applyBorder="0" applyAlignment="0" applyProtection="0"/>
    <xf numFmtId="0" fontId="222" fillId="95" borderId="0" applyNumberFormat="0" applyBorder="0" applyAlignment="0" applyProtection="0"/>
    <xf numFmtId="0" fontId="92" fillId="12" borderId="0" applyNumberFormat="0" applyBorder="0" applyAlignment="0" applyProtection="0"/>
    <xf numFmtId="0" fontId="222" fillId="11" borderId="0" applyNumberFormat="0" applyBorder="0" applyAlignment="0" applyProtection="0"/>
    <xf numFmtId="0" fontId="92" fillId="9" borderId="0" applyNumberFormat="0" applyBorder="0" applyAlignment="0" applyProtection="0"/>
    <xf numFmtId="0" fontId="222" fillId="84" borderId="0" applyNumberFormat="0" applyBorder="0" applyAlignment="0" applyProtection="0"/>
    <xf numFmtId="0" fontId="92" fillId="3" borderId="0" applyNumberFormat="0" applyBorder="0" applyAlignment="0" applyProtection="0"/>
    <xf numFmtId="231" fontId="35" fillId="0" borderId="0" applyFont="0" applyFill="0" applyBorder="0" applyProtection="0"/>
    <xf numFmtId="0" fontId="13" fillId="0" borderId="0"/>
    <xf numFmtId="0" fontId="272" fillId="33" borderId="0" applyNumberFormat="0" applyBorder="0" applyAlignment="0" applyProtection="0"/>
    <xf numFmtId="0" fontId="272" fillId="33" borderId="0" applyNumberFormat="0" applyBorder="0" applyAlignment="0" applyProtection="0"/>
    <xf numFmtId="0" fontId="99" fillId="13" borderId="0" applyNumberFormat="0" applyBorder="0" applyAlignment="0" applyProtection="0"/>
    <xf numFmtId="246" fontId="232" fillId="0" borderId="0"/>
    <xf numFmtId="238" fontId="120" fillId="0" borderId="0" applyFont="0" applyFill="0" applyBorder="0" applyAlignment="0" applyProtection="0"/>
    <xf numFmtId="1" fontId="112" fillId="14" borderId="2" applyNumberFormat="0" applyBorder="0" applyAlignment="0">
      <alignment horizontal="center" vertical="top" wrapText="1"/>
      <protection hidden="1"/>
    </xf>
    <xf numFmtId="37" fontId="105" fillId="0" borderId="0" applyNumberFormat="0" applyFill="0" applyBorder="0" applyAlignment="0" applyProtection="0"/>
    <xf numFmtId="0" fontId="241" fillId="0" borderId="0" applyNumberFormat="0" applyFill="0" applyBorder="0" applyAlignment="0" applyProtection="0"/>
    <xf numFmtId="0" fontId="242" fillId="0" borderId="0" applyNumberFormat="0" applyFill="0" applyBorder="0" applyAlignment="0" applyProtection="0"/>
    <xf numFmtId="0" fontId="233" fillId="0" borderId="3" applyNumberFormat="0" applyFont="0" applyFill="0" applyAlignment="0" applyProtection="0"/>
    <xf numFmtId="0" fontId="233" fillId="0" borderId="2" applyNumberFormat="0" applyFont="0" applyFill="0" applyAlignment="0" applyProtection="0"/>
    <xf numFmtId="0" fontId="233" fillId="0" borderId="2" applyNumberFormat="0" applyFont="0" applyFill="0" applyAlignment="0" applyProtection="0"/>
    <xf numFmtId="0" fontId="233" fillId="0" borderId="21" applyNumberFormat="0" applyFont="0" applyFill="0" applyAlignment="0" applyProtection="0"/>
    <xf numFmtId="0" fontId="233" fillId="0" borderId="17" applyNumberFormat="0" applyFont="0" applyFill="0" applyAlignment="0" applyProtection="0"/>
    <xf numFmtId="37" fontId="243" fillId="0" borderId="0" applyNumberFormat="0" applyFill="0" applyBorder="0" applyAlignment="0" applyProtection="0">
      <alignment horizontal="center"/>
    </xf>
    <xf numFmtId="253" fontId="107" fillId="0" borderId="0" applyFont="0" applyFill="0" applyBorder="0" applyAlignment="0" applyProtection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254" fontId="235" fillId="0" borderId="0" applyFill="0" applyBorder="0" applyAlignment="0"/>
    <xf numFmtId="0" fontId="301" fillId="15" borderId="43" applyNumberFormat="0" applyAlignment="0" applyProtection="0"/>
    <xf numFmtId="0" fontId="100" fillId="15" borderId="4" applyNumberFormat="0" applyAlignment="0" applyProtection="0"/>
    <xf numFmtId="238" fontId="230" fillId="0" borderId="0" applyFont="0" applyFill="0" applyBorder="0" applyAlignment="0" applyProtection="0"/>
    <xf numFmtId="0" fontId="244" fillId="0" borderId="0">
      <alignment horizontal="right"/>
    </xf>
    <xf numFmtId="255" fontId="244" fillId="0" borderId="0"/>
    <xf numFmtId="0" fontId="64" fillId="0" borderId="0" applyAlignment="0"/>
    <xf numFmtId="0" fontId="219" fillId="62" borderId="46" applyNumberFormat="0" applyAlignment="0" applyProtection="0"/>
    <xf numFmtId="0" fontId="93" fillId="16" borderId="5" applyNumberFormat="0" applyAlignment="0" applyProtection="0"/>
    <xf numFmtId="0" fontId="283" fillId="0" borderId="0" applyAlignment="0"/>
    <xf numFmtId="0" fontId="283" fillId="0" borderId="0" applyAlignment="0"/>
    <xf numFmtId="0" fontId="283" fillId="0" borderId="0" applyAlignment="0"/>
    <xf numFmtId="0" fontId="283" fillId="0" borderId="0" applyAlignment="0"/>
    <xf numFmtId="0" fontId="284" fillId="27" borderId="0" applyAlignment="0"/>
    <xf numFmtId="256" fontId="13" fillId="0" borderId="0"/>
    <xf numFmtId="256" fontId="13" fillId="0" borderId="0"/>
    <xf numFmtId="256" fontId="13" fillId="0" borderId="0"/>
    <xf numFmtId="256" fontId="13" fillId="0" borderId="0"/>
    <xf numFmtId="256" fontId="13" fillId="0" borderId="0"/>
    <xf numFmtId="256" fontId="13" fillId="0" borderId="0"/>
    <xf numFmtId="256" fontId="13" fillId="0" borderId="0"/>
    <xf numFmtId="225" fontId="231" fillId="0" borderId="0" applyFont="0"/>
    <xf numFmtId="181" fontId="114" fillId="0" borderId="0" applyFont="0" applyFill="0" applyBorder="0" applyAlignment="0">
      <alignment horizontal="center" wrapText="1"/>
    </xf>
    <xf numFmtId="38" fontId="41" fillId="0" borderId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91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91" fillId="0" borderId="0" applyFont="0" applyFill="0" applyBorder="0" applyAlignment="0" applyProtection="0"/>
    <xf numFmtId="43" fontId="91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91" fillId="0" borderId="0" applyFont="0" applyFill="0" applyBorder="0" applyAlignment="0" applyProtection="0"/>
    <xf numFmtId="43" fontId="91" fillId="0" borderId="0" applyFont="0" applyFill="0" applyBorder="0" applyAlignment="0" applyProtection="0"/>
    <xf numFmtId="43" fontId="91" fillId="0" borderId="0" applyFont="0" applyFill="0" applyBorder="0" applyAlignment="0" applyProtection="0"/>
    <xf numFmtId="43" fontId="91" fillId="0" borderId="0" applyFont="0" applyFill="0" applyBorder="0" applyAlignment="0" applyProtection="0"/>
    <xf numFmtId="43" fontId="91" fillId="0" borderId="0" applyFont="0" applyFill="0" applyBorder="0" applyAlignment="0" applyProtection="0"/>
    <xf numFmtId="43" fontId="91" fillId="0" borderId="0" applyFont="0" applyFill="0" applyBorder="0" applyAlignment="0" applyProtection="0"/>
    <xf numFmtId="43" fontId="91" fillId="0" borderId="0" applyFont="0" applyFill="0" applyBorder="0" applyAlignment="0" applyProtection="0"/>
    <xf numFmtId="43" fontId="91" fillId="0" borderId="0" applyFont="0" applyFill="0" applyBorder="0" applyAlignment="0" applyProtection="0"/>
    <xf numFmtId="43" fontId="91" fillId="0" borderId="0" applyFont="0" applyFill="0" applyBorder="0" applyAlignment="0" applyProtection="0"/>
    <xf numFmtId="43" fontId="91" fillId="0" borderId="0" applyFont="0" applyFill="0" applyBorder="0" applyAlignment="0" applyProtection="0"/>
    <xf numFmtId="43" fontId="91" fillId="0" borderId="0" applyFont="0" applyFill="0" applyBorder="0" applyAlignment="0" applyProtection="0"/>
    <xf numFmtId="43" fontId="91" fillId="0" borderId="0" applyFont="0" applyFill="0" applyBorder="0" applyAlignment="0" applyProtection="0"/>
    <xf numFmtId="43" fontId="91" fillId="0" borderId="0" applyFont="0" applyFill="0" applyBorder="0" applyAlignment="0" applyProtection="0"/>
    <xf numFmtId="43" fontId="91" fillId="0" borderId="0" applyFont="0" applyFill="0" applyBorder="0" applyAlignment="0" applyProtection="0"/>
    <xf numFmtId="43" fontId="91" fillId="0" borderId="0" applyFont="0" applyFill="0" applyBorder="0" applyAlignment="0" applyProtection="0"/>
    <xf numFmtId="43" fontId="91" fillId="0" borderId="0" applyFont="0" applyFill="0" applyBorder="0" applyAlignment="0" applyProtection="0"/>
    <xf numFmtId="43" fontId="91" fillId="0" borderId="0" applyFont="0" applyFill="0" applyBorder="0" applyAlignment="0" applyProtection="0"/>
    <xf numFmtId="43" fontId="91" fillId="0" borderId="0" applyFont="0" applyFill="0" applyBorder="0" applyAlignment="0" applyProtection="0"/>
    <xf numFmtId="43" fontId="91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91" fillId="0" borderId="0" applyFont="0" applyFill="0" applyBorder="0" applyAlignment="0" applyProtection="0"/>
    <xf numFmtId="43" fontId="91" fillId="0" borderId="0" applyFont="0" applyFill="0" applyBorder="0" applyAlignment="0" applyProtection="0"/>
    <xf numFmtId="43" fontId="91" fillId="0" borderId="0" applyFont="0" applyFill="0" applyBorder="0" applyAlignment="0" applyProtection="0"/>
    <xf numFmtId="43" fontId="91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195" fontId="177" fillId="0" borderId="0"/>
    <xf numFmtId="43" fontId="13" fillId="0" borderId="0" applyFont="0" applyFill="0" applyBorder="0" applyAlignment="0" applyProtection="0"/>
    <xf numFmtId="43" fontId="91" fillId="0" borderId="0" applyFont="0" applyFill="0" applyBorder="0" applyAlignment="0" applyProtection="0"/>
    <xf numFmtId="43" fontId="35" fillId="0" borderId="0" applyFont="0" applyFill="0" applyBorder="0" applyAlignment="0" applyProtection="0"/>
    <xf numFmtId="263" fontId="91" fillId="0" borderId="0" applyFont="0" applyFill="0" applyBorder="0" applyAlignment="0" applyProtection="0"/>
    <xf numFmtId="263" fontId="91" fillId="0" borderId="0" applyFont="0" applyFill="0" applyBorder="0" applyAlignment="0" applyProtection="0"/>
    <xf numFmtId="43" fontId="229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91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26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22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91" fillId="0" borderId="0" applyFont="0" applyFill="0" applyBorder="0" applyAlignment="0" applyProtection="0"/>
    <xf numFmtId="43" fontId="91" fillId="0" borderId="0" applyFont="0" applyFill="0" applyBorder="0" applyAlignment="0" applyProtection="0"/>
    <xf numFmtId="43" fontId="91" fillId="0" borderId="0" applyFont="0" applyFill="0" applyBorder="0" applyAlignment="0" applyProtection="0"/>
    <xf numFmtId="43" fontId="91" fillId="0" borderId="0" applyFont="0" applyFill="0" applyBorder="0" applyAlignment="0" applyProtection="0"/>
    <xf numFmtId="43" fontId="91" fillId="0" borderId="0" applyFont="0" applyFill="0" applyBorder="0" applyAlignment="0" applyProtection="0"/>
    <xf numFmtId="43" fontId="91" fillId="0" borderId="0" applyFont="0" applyFill="0" applyBorder="0" applyAlignment="0" applyProtection="0"/>
    <xf numFmtId="43" fontId="91" fillId="0" borderId="0" applyFont="0" applyFill="0" applyBorder="0" applyAlignment="0" applyProtection="0"/>
    <xf numFmtId="43" fontId="91" fillId="0" borderId="0" applyFont="0" applyFill="0" applyBorder="0" applyAlignment="0" applyProtection="0"/>
    <xf numFmtId="43" fontId="91" fillId="0" borderId="0" applyFont="0" applyFill="0" applyBorder="0" applyAlignment="0" applyProtection="0"/>
    <xf numFmtId="43" fontId="91" fillId="0" borderId="0" applyFont="0" applyFill="0" applyBorder="0" applyAlignment="0" applyProtection="0"/>
    <xf numFmtId="43" fontId="91" fillId="0" borderId="0" applyFont="0" applyFill="0" applyBorder="0" applyAlignment="0" applyProtection="0"/>
    <xf numFmtId="43" fontId="91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91" fillId="0" borderId="0" applyFont="0" applyFill="0" applyBorder="0" applyAlignment="0" applyProtection="0"/>
    <xf numFmtId="43" fontId="91" fillId="0" borderId="0" applyFont="0" applyFill="0" applyBorder="0" applyAlignment="0" applyProtection="0"/>
    <xf numFmtId="43" fontId="91" fillId="0" borderId="0" applyFont="0" applyFill="0" applyBorder="0" applyAlignment="0" applyProtection="0"/>
    <xf numFmtId="43" fontId="91" fillId="0" borderId="0" applyFont="0" applyFill="0" applyBorder="0" applyAlignment="0" applyProtection="0"/>
    <xf numFmtId="43" fontId="91" fillId="0" borderId="0" applyFont="0" applyFill="0" applyBorder="0" applyAlignment="0" applyProtection="0"/>
    <xf numFmtId="43" fontId="91" fillId="0" borderId="0" applyFont="0" applyFill="0" applyBorder="0" applyAlignment="0" applyProtection="0"/>
    <xf numFmtId="43" fontId="91" fillId="0" borderId="0" applyFont="0" applyFill="0" applyBorder="0" applyAlignment="0" applyProtection="0"/>
    <xf numFmtId="43" fontId="91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91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91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91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91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91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91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91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91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3" fontId="245" fillId="0" borderId="0"/>
    <xf numFmtId="195" fontId="245" fillId="0" borderId="0"/>
    <xf numFmtId="2" fontId="245" fillId="0" borderId="0"/>
    <xf numFmtId="217" fontId="119" fillId="0" borderId="0" applyFill="0" applyBorder="0">
      <alignment horizontal="left"/>
    </xf>
    <xf numFmtId="0" fontId="246" fillId="0" borderId="0" applyNumberFormat="0" applyAlignment="0">
      <alignment horizontal="left"/>
    </xf>
    <xf numFmtId="257" fontId="120" fillId="0" borderId="0"/>
    <xf numFmtId="166" fontId="114" fillId="0" borderId="0" applyFont="0" applyFill="0" applyBorder="0" applyAlignment="0">
      <alignment horizontal="center" wrapText="1"/>
    </xf>
    <xf numFmtId="8" fontId="120" fillId="0" borderId="0" applyFont="0" applyFill="0" applyBorder="0" applyAlignment="0" applyProtection="0">
      <alignment horizontal="left"/>
    </xf>
    <xf numFmtId="44" fontId="91" fillId="0" borderId="0" applyFont="0" applyFill="0" applyBorder="0" applyAlignment="0" applyProtection="0"/>
    <xf numFmtId="44" fontId="13" fillId="0" borderId="0" applyFont="0" applyFill="0" applyBorder="0" applyAlignment="0" applyProtection="0"/>
    <xf numFmtId="44" fontId="13" fillId="0" borderId="0" applyFont="0" applyFill="0" applyBorder="0" applyAlignment="0" applyProtection="0"/>
    <xf numFmtId="44" fontId="13" fillId="0" borderId="0" applyFont="0" applyFill="0" applyBorder="0" applyAlignment="0" applyProtection="0"/>
    <xf numFmtId="44" fontId="13" fillId="0" borderId="0" applyFont="0" applyFill="0" applyBorder="0" applyAlignment="0" applyProtection="0"/>
    <xf numFmtId="44" fontId="13" fillId="0" borderId="0" applyFont="0" applyFill="0" applyBorder="0" applyAlignment="0" applyProtection="0"/>
    <xf numFmtId="44" fontId="13" fillId="0" borderId="0" applyFont="0" applyFill="0" applyBorder="0" applyAlignment="0" applyProtection="0"/>
    <xf numFmtId="44" fontId="13" fillId="0" borderId="0" applyFont="0" applyFill="0" applyBorder="0" applyAlignment="0" applyProtection="0"/>
    <xf numFmtId="44" fontId="13" fillId="0" borderId="0" applyFont="0" applyFill="0" applyBorder="0" applyAlignment="0" applyProtection="0"/>
    <xf numFmtId="44" fontId="13" fillId="0" borderId="0" applyFont="0" applyFill="0" applyBorder="0" applyAlignment="0" applyProtection="0"/>
    <xf numFmtId="44" fontId="13" fillId="0" borderId="0" applyFont="0" applyFill="0" applyBorder="0" applyAlignment="0" applyProtection="0"/>
    <xf numFmtId="44" fontId="13" fillId="0" borderId="0" applyFont="0" applyFill="0" applyBorder="0" applyAlignment="0" applyProtection="0"/>
    <xf numFmtId="44" fontId="13" fillId="0" borderId="0" applyFont="0" applyFill="0" applyBorder="0" applyAlignment="0" applyProtection="0"/>
    <xf numFmtId="44" fontId="13" fillId="0" borderId="0" applyFont="0" applyFill="0" applyBorder="0" applyAlignment="0" applyProtection="0"/>
    <xf numFmtId="44" fontId="13" fillId="0" borderId="0" applyFont="0" applyFill="0" applyBorder="0" applyAlignment="0" applyProtection="0"/>
    <xf numFmtId="44" fontId="13" fillId="0" borderId="0" applyFont="0" applyFill="0" applyBorder="0" applyAlignment="0" applyProtection="0"/>
    <xf numFmtId="44" fontId="13" fillId="0" borderId="0" applyFont="0" applyFill="0" applyBorder="0" applyAlignment="0" applyProtection="0"/>
    <xf numFmtId="44" fontId="13" fillId="0" borderId="0" applyFont="0" applyFill="0" applyBorder="0" applyAlignment="0" applyProtection="0"/>
    <xf numFmtId="44" fontId="13" fillId="0" borderId="0" applyFont="0" applyFill="0" applyBorder="0" applyAlignment="0" applyProtection="0"/>
    <xf numFmtId="44" fontId="13" fillId="0" borderId="0" applyFont="0" applyFill="0" applyBorder="0" applyAlignment="0" applyProtection="0"/>
    <xf numFmtId="44" fontId="13" fillId="0" borderId="0" applyFont="0" applyFill="0" applyBorder="0" applyAlignment="0" applyProtection="0"/>
    <xf numFmtId="44" fontId="91" fillId="0" borderId="0" applyFont="0" applyFill="0" applyBorder="0" applyAlignment="0" applyProtection="0"/>
    <xf numFmtId="44" fontId="13" fillId="0" borderId="0" applyFont="0" applyFill="0" applyBorder="0" applyAlignment="0" applyProtection="0"/>
    <xf numFmtId="44" fontId="13" fillId="0" borderId="0" applyFont="0" applyFill="0" applyBorder="0" applyAlignment="0" applyProtection="0"/>
    <xf numFmtId="44" fontId="13" fillId="0" borderId="0" applyFont="0" applyFill="0" applyBorder="0" applyAlignment="0" applyProtection="0"/>
    <xf numFmtId="44" fontId="13" fillId="0" borderId="0" applyFont="0" applyFill="0" applyBorder="0" applyAlignment="0" applyProtection="0"/>
    <xf numFmtId="44" fontId="13" fillId="0" borderId="0" applyFont="0" applyFill="0" applyBorder="0" applyAlignment="0" applyProtection="0"/>
    <xf numFmtId="44" fontId="13" fillId="0" borderId="0" applyFont="0" applyFill="0" applyBorder="0" applyAlignment="0" applyProtection="0"/>
    <xf numFmtId="44" fontId="13" fillId="0" borderId="0" applyFont="0" applyFill="0" applyBorder="0" applyAlignment="0" applyProtection="0"/>
    <xf numFmtId="44" fontId="13" fillId="0" borderId="0" applyFont="0" applyFill="0" applyBorder="0" applyAlignment="0" applyProtection="0"/>
    <xf numFmtId="44" fontId="13" fillId="0" borderId="0" applyFont="0" applyFill="0" applyBorder="0" applyAlignment="0" applyProtection="0"/>
    <xf numFmtId="44" fontId="13" fillId="0" borderId="0" applyFont="0" applyFill="0" applyBorder="0" applyAlignment="0" applyProtection="0"/>
    <xf numFmtId="44" fontId="13" fillId="0" borderId="0" applyFont="0" applyFill="0" applyBorder="0" applyAlignment="0" applyProtection="0"/>
    <xf numFmtId="44" fontId="13" fillId="0" borderId="0" applyFont="0" applyFill="0" applyBorder="0" applyAlignment="0" applyProtection="0"/>
    <xf numFmtId="44" fontId="13" fillId="0" borderId="0" applyFont="0" applyFill="0" applyBorder="0" applyAlignment="0" applyProtection="0"/>
    <xf numFmtId="44" fontId="13" fillId="0" borderId="0" applyFont="0" applyFill="0" applyBorder="0" applyAlignment="0" applyProtection="0"/>
    <xf numFmtId="44" fontId="13" fillId="0" borderId="0" applyFont="0" applyFill="0" applyBorder="0" applyAlignment="0" applyProtection="0"/>
    <xf numFmtId="44" fontId="35" fillId="0" borderId="0" applyFont="0" applyFill="0" applyBorder="0" applyAlignment="0" applyProtection="0"/>
    <xf numFmtId="44" fontId="13" fillId="0" borderId="0" applyFont="0" applyFill="0" applyBorder="0" applyAlignment="0" applyProtection="0"/>
    <xf numFmtId="44" fontId="13" fillId="0" borderId="0" applyFont="0" applyFill="0" applyBorder="0" applyAlignment="0" applyProtection="0"/>
    <xf numFmtId="44" fontId="13" fillId="0" borderId="0" applyFont="0" applyFill="0" applyBorder="0" applyAlignment="0" applyProtection="0"/>
    <xf numFmtId="44" fontId="13" fillId="0" borderId="0" applyFont="0" applyFill="0" applyBorder="0" applyAlignment="0" applyProtection="0"/>
    <xf numFmtId="44" fontId="13" fillId="0" borderId="0" applyFont="0" applyFill="0" applyBorder="0" applyAlignment="0" applyProtection="0"/>
    <xf numFmtId="44" fontId="13" fillId="0" borderId="0" applyFont="0" applyFill="0" applyBorder="0" applyAlignment="0" applyProtection="0"/>
    <xf numFmtId="44" fontId="13" fillId="0" borderId="0" applyFont="0" applyFill="0" applyBorder="0" applyAlignment="0" applyProtection="0"/>
    <xf numFmtId="44" fontId="13" fillId="0" borderId="0" applyFont="0" applyFill="0" applyBorder="0" applyAlignment="0" applyProtection="0"/>
    <xf numFmtId="44" fontId="13" fillId="0" borderId="0" applyFont="0" applyFill="0" applyBorder="0" applyAlignment="0" applyProtection="0"/>
    <xf numFmtId="44" fontId="13" fillId="0" borderId="0" applyFont="0" applyFill="0" applyBorder="0" applyAlignment="0" applyProtection="0"/>
    <xf numFmtId="44" fontId="13" fillId="0" borderId="0" applyFont="0" applyFill="0" applyBorder="0" applyAlignment="0" applyProtection="0"/>
    <xf numFmtId="44" fontId="13" fillId="0" borderId="0" applyFont="0" applyFill="0" applyBorder="0" applyAlignment="0" applyProtection="0"/>
    <xf numFmtId="44" fontId="13" fillId="0" borderId="0" applyFont="0" applyFill="0" applyBorder="0" applyAlignment="0" applyProtection="0"/>
    <xf numFmtId="44" fontId="13" fillId="0" borderId="0" applyFont="0" applyFill="0" applyBorder="0" applyAlignment="0" applyProtection="0"/>
    <xf numFmtId="44" fontId="13" fillId="0" borderId="0" applyFont="0" applyFill="0" applyBorder="0" applyAlignment="0" applyProtection="0"/>
    <xf numFmtId="189" fontId="247" fillId="0" borderId="0" applyFont="0" applyFill="0" applyBorder="0" applyAlignment="0" applyProtection="0"/>
    <xf numFmtId="242" fontId="13" fillId="18" borderId="21">
      <alignment horizontal="right"/>
    </xf>
    <xf numFmtId="258" fontId="107" fillId="0" borderId="0" applyFont="0" applyFill="0" applyBorder="0" applyAlignment="0" applyProtection="0"/>
    <xf numFmtId="222" fontId="13" fillId="0" borderId="0" applyFont="0" applyFill="0" applyBorder="0" applyAlignment="0" applyProtection="0"/>
    <xf numFmtId="14" fontId="230" fillId="0" borderId="0" applyFont="0" applyFill="0" applyBorder="0" applyAlignment="0" applyProtection="0">
      <alignment horizontal="center"/>
    </xf>
    <xf numFmtId="245" fontId="230" fillId="0" borderId="0" applyFont="0" applyFill="0" applyBorder="0" applyAlignment="0" applyProtection="0">
      <alignment horizontal="center"/>
    </xf>
    <xf numFmtId="0" fontId="120" fillId="0" borderId="0"/>
    <xf numFmtId="257" fontId="244" fillId="0" borderId="0"/>
    <xf numFmtId="5" fontId="64" fillId="0" borderId="0" applyFont="0" applyFill="0" applyBorder="0" applyAlignment="0" applyProtection="0">
      <protection locked="0"/>
    </xf>
    <xf numFmtId="6" fontId="120" fillId="0" borderId="0" applyFont="0" applyFill="0" applyBorder="0" applyAlignment="0" applyProtection="0"/>
    <xf numFmtId="0" fontId="248" fillId="0" borderId="0" applyNumberFormat="0" applyAlignment="0">
      <alignment horizontal="left"/>
    </xf>
    <xf numFmtId="265" fontId="91" fillId="0" borderId="0" applyFont="0" applyFill="0" applyBorder="0" applyAlignment="0" applyProtection="0"/>
    <xf numFmtId="0" fontId="221" fillId="0" borderId="0" applyNumberFormat="0" applyFill="0" applyBorder="0" applyAlignment="0" applyProtection="0"/>
    <xf numFmtId="0" fontId="94" fillId="0" borderId="0" applyNumberFormat="0" applyFill="0" applyBorder="0" applyAlignment="0" applyProtection="0"/>
    <xf numFmtId="0" fontId="225" fillId="0" borderId="0">
      <alignment vertical="center"/>
    </xf>
    <xf numFmtId="0" fontId="249" fillId="0" borderId="0"/>
    <xf numFmtId="0" fontId="279" fillId="0" borderId="0"/>
    <xf numFmtId="0" fontId="145" fillId="0" borderId="0"/>
    <xf numFmtId="0" fontId="250" fillId="11" borderId="0"/>
    <xf numFmtId="0" fontId="280" fillId="11" borderId="0"/>
    <xf numFmtId="0" fontId="146" fillId="11" borderId="0"/>
    <xf numFmtId="259" fontId="244" fillId="0" borderId="0"/>
    <xf numFmtId="189" fontId="13" fillId="18" borderId="21">
      <alignment horizontal="right"/>
    </xf>
    <xf numFmtId="49" fontId="35" fillId="0" borderId="0" applyFill="0" applyBorder="0"/>
    <xf numFmtId="49" fontId="13" fillId="0" borderId="0" applyFill="0" applyBorder="0">
      <alignment horizontal="right" vertical="center"/>
    </xf>
    <xf numFmtId="49" fontId="13" fillId="0" borderId="0" applyFill="0" applyBorder="0">
      <alignment horizontal="right" vertical="center"/>
    </xf>
    <xf numFmtId="49" fontId="13" fillId="0" borderId="0" applyFill="0" applyBorder="0">
      <alignment horizontal="right" vertical="center"/>
    </xf>
    <xf numFmtId="49" fontId="13" fillId="0" borderId="0" applyFill="0" applyBorder="0">
      <alignment horizontal="right" vertical="center"/>
    </xf>
    <xf numFmtId="49" fontId="13" fillId="0" borderId="0" applyFill="0" applyBorder="0">
      <alignment horizontal="right" vertical="center"/>
    </xf>
    <xf numFmtId="49" fontId="13" fillId="0" borderId="0" applyFill="0" applyBorder="0">
      <alignment horizontal="right" vertical="center"/>
    </xf>
    <xf numFmtId="49" fontId="13" fillId="0" borderId="0" applyFill="0" applyBorder="0">
      <alignment horizontal="right" vertical="center"/>
    </xf>
    <xf numFmtId="49" fontId="13" fillId="0" borderId="0" applyFill="0" applyBorder="0">
      <alignment horizontal="right" vertical="center"/>
    </xf>
    <xf numFmtId="49" fontId="13" fillId="0" borderId="0" applyFill="0" applyBorder="0">
      <alignment horizontal="right" vertical="center"/>
    </xf>
    <xf numFmtId="49" fontId="13" fillId="0" borderId="0" applyFill="0" applyBorder="0">
      <alignment horizontal="right" vertical="center"/>
    </xf>
    <xf numFmtId="49" fontId="13" fillId="0" borderId="0" applyFill="0" applyBorder="0">
      <alignment horizontal="right" vertical="center"/>
    </xf>
    <xf numFmtId="49" fontId="13" fillId="0" borderId="0" applyFill="0" applyBorder="0">
      <alignment horizontal="right" vertical="center"/>
    </xf>
    <xf numFmtId="49" fontId="13" fillId="0" borderId="0" applyFill="0" applyBorder="0">
      <alignment horizontal="right" vertical="center"/>
    </xf>
    <xf numFmtId="49" fontId="13" fillId="0" borderId="0" applyFill="0" applyBorder="0">
      <alignment horizontal="right" vertical="center"/>
    </xf>
    <xf numFmtId="49" fontId="13" fillId="0" borderId="0" applyFill="0" applyBorder="0">
      <alignment horizontal="right" vertical="center"/>
    </xf>
    <xf numFmtId="49" fontId="13" fillId="0" borderId="0" applyFill="0" applyBorder="0">
      <alignment horizontal="right" vertical="center"/>
    </xf>
    <xf numFmtId="49" fontId="13" fillId="0" borderId="0" applyFill="0" applyBorder="0">
      <alignment horizontal="right" vertical="center"/>
    </xf>
    <xf numFmtId="49" fontId="13" fillId="0" borderId="0" applyFill="0" applyBorder="0">
      <alignment horizontal="right" vertical="center"/>
    </xf>
    <xf numFmtId="0" fontId="273" fillId="3" borderId="0" applyNumberFormat="0" applyBorder="0" applyAlignment="0" applyProtection="0"/>
    <xf numFmtId="0" fontId="273" fillId="3" borderId="0" applyNumberFormat="0" applyBorder="0" applyAlignment="0" applyProtection="0"/>
    <xf numFmtId="0" fontId="101" fillId="4" borderId="0" applyNumberFormat="0" applyBorder="0" applyAlignment="0" applyProtection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38" fontId="35" fillId="18" borderId="0" applyNumberFormat="0" applyBorder="0" applyAlignment="0" applyProtection="0"/>
    <xf numFmtId="249" fontId="234" fillId="0" borderId="0"/>
    <xf numFmtId="246" fontId="234" fillId="0" borderId="0" applyFill="0" applyBorder="0" applyAlignment="0" applyProtection="0"/>
    <xf numFmtId="168" fontId="13" fillId="19" borderId="8" applyNumberFormat="0" applyFont="0" applyBorder="0" applyAlignment="0" applyProtection="0"/>
    <xf numFmtId="168" fontId="13" fillId="19" borderId="8" applyNumberFormat="0" applyFont="0" applyBorder="0" applyAlignment="0" applyProtection="0"/>
    <xf numFmtId="0" fontId="251" fillId="0" borderId="0" applyNumberFormat="0" applyFill="0" applyBorder="0" applyAlignment="0" applyProtection="0"/>
    <xf numFmtId="0" fontId="182" fillId="0" borderId="9" applyNumberFormat="0" applyAlignment="0" applyProtection="0">
      <alignment horizontal="left" vertical="center"/>
    </xf>
    <xf numFmtId="0" fontId="182" fillId="0" borderId="1">
      <alignment horizontal="left" vertical="center"/>
    </xf>
    <xf numFmtId="0" fontId="274" fillId="0" borderId="50" applyNumberFormat="0" applyFill="0" applyAlignment="0" applyProtection="0"/>
    <xf numFmtId="0" fontId="274" fillId="0" borderId="50" applyNumberFormat="0" applyFill="0" applyAlignment="0" applyProtection="0"/>
    <xf numFmtId="0" fontId="125" fillId="0" borderId="10" applyNumberFormat="0" applyFill="0" applyAlignment="0" applyProtection="0"/>
    <xf numFmtId="0" fontId="275" fillId="0" borderId="51" applyNumberFormat="0" applyFill="0" applyAlignment="0" applyProtection="0"/>
    <xf numFmtId="0" fontId="275" fillId="0" borderId="51" applyNumberFormat="0" applyFill="0" applyAlignment="0" applyProtection="0"/>
    <xf numFmtId="0" fontId="126" fillId="0" borderId="11" applyNumberFormat="0" applyFill="0" applyAlignment="0" applyProtection="0"/>
    <xf numFmtId="0" fontId="276" fillId="0" borderId="52" applyNumberFormat="0" applyFill="0" applyAlignment="0" applyProtection="0"/>
    <xf numFmtId="0" fontId="276" fillId="0" borderId="52" applyNumberFormat="0" applyFill="0" applyAlignment="0" applyProtection="0"/>
    <xf numFmtId="0" fontId="127" fillId="0" borderId="12" applyNumberFormat="0" applyFill="0" applyAlignment="0" applyProtection="0"/>
    <xf numFmtId="0" fontId="276" fillId="0" borderId="0" applyNumberFormat="0" applyFill="0" applyBorder="0" applyAlignment="0" applyProtection="0"/>
    <xf numFmtId="0" fontId="276" fillId="0" borderId="0" applyNumberFormat="0" applyFill="0" applyBorder="0" applyAlignment="0" applyProtection="0"/>
    <xf numFmtId="0" fontId="127" fillId="0" borderId="0" applyNumberFormat="0" applyFill="0" applyBorder="0" applyAlignment="0" applyProtection="0"/>
    <xf numFmtId="0" fontId="252" fillId="0" borderId="0">
      <protection locked="0"/>
    </xf>
    <xf numFmtId="0" fontId="252" fillId="0" borderId="0">
      <protection locked="0"/>
    </xf>
    <xf numFmtId="0" fontId="253" fillId="0" borderId="0">
      <alignment wrapText="1"/>
    </xf>
    <xf numFmtId="0" fontId="151" fillId="0" borderId="0">
      <alignment wrapText="1"/>
    </xf>
    <xf numFmtId="0" fontId="147" fillId="0" borderId="0">
      <alignment wrapText="1"/>
    </xf>
    <xf numFmtId="0" fontId="56" fillId="0" borderId="53" applyNumberFormat="0" applyFill="0" applyAlignment="0" applyProtection="0"/>
    <xf numFmtId="0" fontId="13" fillId="0" borderId="0" applyNumberFormat="0" applyFill="0" applyBorder="0" applyAlignment="0" applyProtection="0">
      <alignment vertical="top"/>
      <protection locked="0"/>
    </xf>
    <xf numFmtId="0" fontId="295" fillId="0" borderId="0" applyNumberFormat="0" applyFill="0" applyBorder="0" applyAlignment="0" applyProtection="0">
      <alignment vertical="top"/>
      <protection locked="0"/>
    </xf>
    <xf numFmtId="0" fontId="178" fillId="0" borderId="0" applyNumberFormat="0" applyFill="0" applyBorder="0" applyAlignment="0" applyProtection="0">
      <alignment vertical="top"/>
      <protection locked="0"/>
    </xf>
    <xf numFmtId="0" fontId="295" fillId="0" borderId="0" applyNumberFormat="0" applyFill="0" applyBorder="0" applyAlignment="0" applyProtection="0">
      <alignment vertical="top"/>
      <protection locked="0"/>
    </xf>
    <xf numFmtId="0" fontId="226" fillId="0" borderId="0" applyNumberFormat="0" applyFill="0" applyBorder="0" applyAlignment="0" applyProtection="0">
      <alignment vertical="top"/>
      <protection locked="0"/>
    </xf>
    <xf numFmtId="0" fontId="161" fillId="0" borderId="0" applyNumberFormat="0" applyFill="0" applyBorder="0" applyAlignment="0" applyProtection="0">
      <alignment vertical="top"/>
      <protection locked="0"/>
    </xf>
    <xf numFmtId="0" fontId="178" fillId="0" borderId="0" applyNumberFormat="0" applyFill="0" applyBorder="0" applyAlignment="0" applyProtection="0">
      <alignment vertical="top"/>
      <protection locked="0"/>
    </xf>
    <xf numFmtId="0" fontId="296" fillId="0" borderId="0" applyNumberFormat="0" applyFill="0" applyBorder="0" applyAlignment="0" applyProtection="0">
      <alignment vertical="top"/>
      <protection locked="0"/>
    </xf>
    <xf numFmtId="0" fontId="161" fillId="0" borderId="0" applyNumberFormat="0" applyFill="0" applyBorder="0" applyAlignment="0" applyProtection="0">
      <alignment vertical="top"/>
      <protection locked="0"/>
    </xf>
    <xf numFmtId="0" fontId="296" fillId="0" borderId="0" applyNumberFormat="0" applyFill="0" applyBorder="0" applyAlignment="0" applyProtection="0">
      <alignment vertical="top"/>
      <protection locked="0"/>
    </xf>
    <xf numFmtId="0" fontId="179" fillId="0" borderId="0" applyNumberFormat="0" applyFill="0" applyBorder="0" applyAlignment="0" applyProtection="0"/>
    <xf numFmtId="0" fontId="179" fillId="0" borderId="0" applyNumberFormat="0" applyFill="0" applyBorder="0" applyAlignment="0" applyProtection="0"/>
    <xf numFmtId="0" fontId="302" fillId="0" borderId="0" applyNumberFormat="0" applyFill="0" applyBorder="0" applyAlignment="0" applyProtection="0"/>
    <xf numFmtId="0" fontId="178" fillId="0" borderId="0" applyNumberFormat="0" applyFill="0" applyBorder="0" applyAlignment="0" applyProtection="0">
      <alignment vertical="top"/>
      <protection locked="0"/>
    </xf>
    <xf numFmtId="0" fontId="179" fillId="0" borderId="0" applyNumberFormat="0" applyFill="0" applyBorder="0" applyAlignment="0" applyProtection="0"/>
    <xf numFmtId="0" fontId="40" fillId="0" borderId="0" applyNumberFormat="0" applyFill="0" applyBorder="0" applyAlignment="0" applyProtection="0">
      <alignment vertical="top"/>
      <protection locked="0"/>
    </xf>
    <xf numFmtId="38" fontId="120" fillId="0" borderId="0"/>
    <xf numFmtId="238" fontId="120" fillId="0" borderId="0" applyFont="0" applyFill="0" applyBorder="0" applyAlignment="0" applyProtection="0"/>
    <xf numFmtId="0" fontId="102" fillId="5" borderId="4" applyNumberFormat="0" applyAlignment="0" applyProtection="0"/>
    <xf numFmtId="10" fontId="35" fillId="21" borderId="8" applyNumberFormat="0" applyBorder="0" applyAlignment="0" applyProtection="0"/>
    <xf numFmtId="0" fontId="102" fillId="5" borderId="4" applyNumberFormat="0" applyAlignment="0" applyProtection="0"/>
    <xf numFmtId="0" fontId="102" fillId="5" borderId="4" applyNumberFormat="0" applyAlignment="0" applyProtection="0"/>
    <xf numFmtId="0" fontId="102" fillId="5" borderId="4" applyNumberFormat="0" applyAlignment="0" applyProtection="0"/>
    <xf numFmtId="0" fontId="102" fillId="5" borderId="4" applyNumberFormat="0" applyAlignment="0" applyProtection="0"/>
    <xf numFmtId="0" fontId="102" fillId="5" borderId="4" applyNumberFormat="0" applyAlignment="0" applyProtection="0"/>
    <xf numFmtId="0" fontId="303" fillId="60" borderId="43" applyNumberFormat="0" applyAlignment="0" applyProtection="0"/>
    <xf numFmtId="0" fontId="102" fillId="5" borderId="4" applyNumberFormat="0" applyAlignment="0" applyProtection="0"/>
    <xf numFmtId="0" fontId="303" fillId="60" borderId="43" applyNumberFormat="0" applyAlignment="0" applyProtection="0"/>
    <xf numFmtId="0" fontId="102" fillId="5" borderId="4" applyNumberFormat="0" applyAlignment="0" applyProtection="0"/>
    <xf numFmtId="0" fontId="102" fillId="5" borderId="4" applyNumberFormat="0" applyAlignment="0" applyProtection="0"/>
    <xf numFmtId="0" fontId="102" fillId="5" borderId="4" applyNumberFormat="0" applyAlignment="0" applyProtection="0"/>
    <xf numFmtId="0" fontId="102" fillId="5" borderId="4" applyNumberFormat="0" applyAlignment="0" applyProtection="0"/>
    <xf numFmtId="0" fontId="102" fillId="5" borderId="4" applyNumberFormat="0" applyAlignment="0" applyProtection="0"/>
    <xf numFmtId="0" fontId="102" fillId="5" borderId="4" applyNumberFormat="0" applyAlignment="0" applyProtection="0"/>
    <xf numFmtId="0" fontId="102" fillId="5" borderId="4" applyNumberFormat="0" applyAlignment="0" applyProtection="0"/>
    <xf numFmtId="0" fontId="102" fillId="5" borderId="4" applyNumberFormat="0" applyAlignment="0" applyProtection="0"/>
    <xf numFmtId="0" fontId="102" fillId="5" borderId="4" applyNumberFormat="0" applyAlignment="0" applyProtection="0"/>
    <xf numFmtId="0" fontId="102" fillId="5" borderId="4" applyNumberFormat="0" applyAlignment="0" applyProtection="0"/>
    <xf numFmtId="0" fontId="102" fillId="5" borderId="4" applyNumberFormat="0" applyAlignment="0" applyProtection="0"/>
    <xf numFmtId="0" fontId="102" fillId="5" borderId="4" applyNumberFormat="0" applyAlignment="0" applyProtection="0"/>
    <xf numFmtId="0" fontId="102" fillId="5" borderId="4" applyNumberFormat="0" applyAlignment="0" applyProtection="0"/>
    <xf numFmtId="0" fontId="102" fillId="5" borderId="4" applyNumberFormat="0" applyAlignment="0" applyProtection="0"/>
    <xf numFmtId="0" fontId="102" fillId="5" borderId="4" applyNumberFormat="0" applyAlignment="0" applyProtection="0"/>
    <xf numFmtId="0" fontId="102" fillId="5" borderId="4" applyNumberFormat="0" applyAlignment="0" applyProtection="0"/>
    <xf numFmtId="260" fontId="244" fillId="0" borderId="0"/>
    <xf numFmtId="0" fontId="285" fillId="0" borderId="0" applyAlignment="0"/>
    <xf numFmtId="38" fontId="43" fillId="0" borderId="0" applyNumberFormat="0" applyBorder="0" applyProtection="0">
      <alignment horizontal="left"/>
    </xf>
    <xf numFmtId="38" fontId="254" fillId="0" borderId="0"/>
    <xf numFmtId="38" fontId="255" fillId="0" borderId="0"/>
    <xf numFmtId="38" fontId="256" fillId="0" borderId="0"/>
    <xf numFmtId="38" fontId="257" fillId="0" borderId="0"/>
    <xf numFmtId="0" fontId="258" fillId="0" borderId="0"/>
    <xf numFmtId="0" fontId="258" fillId="0" borderId="0"/>
    <xf numFmtId="0" fontId="13" fillId="0" borderId="0"/>
    <xf numFmtId="0" fontId="277" fillId="0" borderId="54" applyNumberFormat="0" applyFill="0" applyAlignment="0" applyProtection="0"/>
    <xf numFmtId="0" fontId="277" fillId="0" borderId="54" applyNumberFormat="0" applyFill="0" applyAlignment="0" applyProtection="0"/>
    <xf numFmtId="0" fontId="103" fillId="0" borderId="13" applyNumberFormat="0" applyFill="0" applyAlignment="0" applyProtection="0"/>
    <xf numFmtId="243" fontId="13" fillId="0" borderId="0">
      <alignment horizontal="right"/>
    </xf>
    <xf numFmtId="246" fontId="232" fillId="0" borderId="0" applyFill="0" applyBorder="0" applyAlignment="0" applyProtection="0"/>
    <xf numFmtId="0" fontId="250" fillId="0" borderId="0"/>
    <xf numFmtId="0" fontId="280" fillId="0" borderId="0"/>
    <xf numFmtId="0" fontId="146" fillId="0" borderId="0"/>
    <xf numFmtId="0" fontId="259" fillId="0" borderId="0"/>
    <xf numFmtId="0" fontId="281" fillId="0" borderId="0"/>
    <xf numFmtId="0" fontId="148" fillId="0" borderId="0"/>
    <xf numFmtId="0" fontId="260" fillId="0" borderId="0"/>
    <xf numFmtId="0" fontId="282" fillId="0" borderId="0"/>
    <xf numFmtId="0" fontId="149" fillId="0" borderId="0"/>
    <xf numFmtId="37" fontId="132" fillId="0" borderId="0" applyNumberFormat="0" applyFill="0" applyBorder="0" applyAlignment="0" applyProtection="0">
      <alignment horizontal="center"/>
    </xf>
    <xf numFmtId="37" fontId="132" fillId="0" borderId="0" applyNumberFormat="0" applyFill="0" applyBorder="0" applyAlignment="0" applyProtection="0">
      <alignment horizontal="center"/>
    </xf>
    <xf numFmtId="14" fontId="233" fillId="0" borderId="0" applyFont="0" applyFill="0" applyBorder="0" applyAlignment="0" applyProtection="0"/>
    <xf numFmtId="222" fontId="35" fillId="21" borderId="0">
      <alignment horizontal="center"/>
    </xf>
    <xf numFmtId="261" fontId="120" fillId="0" borderId="0" applyFont="0" applyFill="0" applyBorder="0" applyAlignment="0" applyProtection="0"/>
    <xf numFmtId="264" fontId="35" fillId="0" borderId="0"/>
    <xf numFmtId="0" fontId="304" fillId="59" borderId="0" applyNumberFormat="0" applyBorder="0" applyAlignment="0" applyProtection="0"/>
    <xf numFmtId="0" fontId="104" fillId="5" borderId="0" applyNumberFormat="0" applyBorder="0" applyAlignment="0" applyProtection="0"/>
    <xf numFmtId="0" fontId="286" fillId="96" borderId="0" applyAlignment="0"/>
    <xf numFmtId="0" fontId="55" fillId="97" borderId="0" applyAlignment="0"/>
    <xf numFmtId="0" fontId="287" fillId="0" borderId="0" applyAlignment="0"/>
    <xf numFmtId="0" fontId="41" fillId="0" borderId="0"/>
    <xf numFmtId="0" fontId="107" fillId="0" borderId="0"/>
    <xf numFmtId="3" fontId="177" fillId="0" borderId="0"/>
    <xf numFmtId="3" fontId="177" fillId="0" borderId="0"/>
    <xf numFmtId="0" fontId="4" fillId="0" borderId="0"/>
    <xf numFmtId="0" fontId="13" fillId="0" borderId="0" applyNumberFormat="0" applyFont="0" applyFill="0" applyBorder="0" applyAlignment="0" applyProtection="0"/>
    <xf numFmtId="0" fontId="13" fillId="0" borderId="0" applyNumberFormat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3" fillId="0" borderId="0" applyNumberFormat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3" fillId="0" borderId="0" applyNumberFormat="0" applyFont="0" applyFill="0" applyBorder="0" applyAlignment="0" applyProtection="0"/>
    <xf numFmtId="0" fontId="35" fillId="0" borderId="0"/>
    <xf numFmtId="0" fontId="13" fillId="0" borderId="0"/>
    <xf numFmtId="0" fontId="35" fillId="0" borderId="0" applyNumberFormat="0" applyBorder="0" applyAlignment="0" applyProtection="0"/>
    <xf numFmtId="0" fontId="35" fillId="0" borderId="0" applyNumberFormat="0" applyBorder="0" applyAlignment="0" applyProtection="0"/>
    <xf numFmtId="0" fontId="35" fillId="0" borderId="0" applyNumberFormat="0" applyBorder="0" applyAlignment="0" applyProtection="0"/>
    <xf numFmtId="0" fontId="35" fillId="0" borderId="0" applyNumberFormat="0" applyBorder="0" applyAlignment="0" applyProtection="0"/>
    <xf numFmtId="0" fontId="35" fillId="0" borderId="0" applyNumberFormat="0" applyBorder="0" applyAlignment="0" applyProtection="0"/>
    <xf numFmtId="0" fontId="35" fillId="0" borderId="0" applyNumberFormat="0" applyBorder="0" applyAlignment="0" applyProtection="0"/>
    <xf numFmtId="0" fontId="35" fillId="0" borderId="0" applyNumberFormat="0" applyBorder="0" applyAlignment="0" applyProtection="0"/>
    <xf numFmtId="0" fontId="35" fillId="0" borderId="0" applyNumberFormat="0" applyBorder="0" applyAlignment="0" applyProtection="0"/>
    <xf numFmtId="0" fontId="35" fillId="0" borderId="0" applyNumberFormat="0" applyBorder="0" applyAlignment="0" applyProtection="0"/>
    <xf numFmtId="0" fontId="35" fillId="0" borderId="0" applyNumberFormat="0" applyBorder="0" applyAlignment="0" applyProtection="0"/>
    <xf numFmtId="0" fontId="4" fillId="0" borderId="0"/>
    <xf numFmtId="0" fontId="13" fillId="0" borderId="0" applyNumberFormat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5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3" fillId="0" borderId="0" applyNumberFormat="0" applyFont="0" applyFill="0" applyBorder="0" applyAlignment="0" applyProtection="0"/>
    <xf numFmtId="0" fontId="4" fillId="0" borderId="0"/>
    <xf numFmtId="0" fontId="177" fillId="0" borderId="0"/>
    <xf numFmtId="0" fontId="35" fillId="0" borderId="0" applyNumberFormat="0" applyBorder="0" applyAlignment="0" applyProtection="0"/>
    <xf numFmtId="0" fontId="35" fillId="0" borderId="0" applyNumberFormat="0" applyBorder="0" applyAlignment="0" applyProtection="0"/>
    <xf numFmtId="0" fontId="35" fillId="0" borderId="0" applyNumberFormat="0" applyBorder="0" applyAlignment="0" applyProtection="0"/>
    <xf numFmtId="0" fontId="35" fillId="0" borderId="0" applyNumberFormat="0" applyBorder="0" applyAlignment="0" applyProtection="0"/>
    <xf numFmtId="0" fontId="35" fillId="0" borderId="0" applyNumberFormat="0" applyBorder="0" applyAlignment="0" applyProtection="0"/>
    <xf numFmtId="0" fontId="35" fillId="0" borderId="0" applyNumberFormat="0" applyBorder="0" applyAlignment="0" applyProtection="0"/>
    <xf numFmtId="0" fontId="35" fillId="0" borderId="0" applyNumberFormat="0" applyBorder="0" applyAlignment="0" applyProtection="0"/>
    <xf numFmtId="0" fontId="35" fillId="0" borderId="0" applyNumberFormat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 applyNumberFormat="0" applyFont="0" applyFill="0" applyBorder="0" applyAlignment="0" applyProtection="0"/>
    <xf numFmtId="0" fontId="13" fillId="0" borderId="0" applyNumberFormat="0" applyFont="0" applyFill="0" applyBorder="0" applyAlignment="0" applyProtection="0"/>
    <xf numFmtId="0" fontId="13" fillId="0" borderId="0"/>
    <xf numFmtId="0" fontId="4" fillId="0" borderId="0"/>
    <xf numFmtId="0" fontId="13" fillId="0" borderId="0" applyNumberFormat="0" applyFont="0" applyFill="0" applyBorder="0" applyAlignment="0" applyProtection="0"/>
    <xf numFmtId="0" fontId="35" fillId="0" borderId="0"/>
    <xf numFmtId="0" fontId="13" fillId="0" borderId="0"/>
    <xf numFmtId="0" fontId="13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3" fillId="0" borderId="0" applyNumberFormat="0" applyFont="0" applyFill="0" applyBorder="0" applyAlignment="0" applyProtection="0"/>
    <xf numFmtId="0" fontId="13" fillId="0" borderId="0"/>
    <xf numFmtId="0" fontId="151" fillId="0" borderId="0"/>
    <xf numFmtId="0" fontId="13" fillId="0" borderId="0"/>
    <xf numFmtId="0" fontId="13" fillId="0" borderId="0" applyNumberFormat="0" applyFont="0" applyFill="0" applyBorder="0" applyAlignment="0" applyProtection="0"/>
    <xf numFmtId="0" fontId="13" fillId="0" borderId="0" applyNumberFormat="0" applyFont="0" applyFill="0" applyBorder="0" applyAlignment="0" applyProtection="0"/>
    <xf numFmtId="0" fontId="4" fillId="0" borderId="0"/>
    <xf numFmtId="0" fontId="13" fillId="0" borderId="0" applyNumberFormat="0" applyFont="0" applyFill="0" applyBorder="0" applyAlignment="0" applyProtection="0"/>
    <xf numFmtId="0" fontId="13" fillId="0" borderId="0"/>
    <xf numFmtId="0" fontId="35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3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3" fillId="0" borderId="0" applyNumberFormat="0" applyFont="0" applyFill="0" applyBorder="0" applyAlignment="0" applyProtection="0"/>
    <xf numFmtId="0" fontId="13" fillId="0" borderId="0" applyNumberFormat="0" applyFont="0" applyFill="0" applyBorder="0" applyAlignment="0" applyProtection="0"/>
    <xf numFmtId="0" fontId="13" fillId="0" borderId="0" applyNumberFormat="0" applyFont="0" applyFill="0" applyBorder="0" applyAlignment="0" applyProtection="0"/>
    <xf numFmtId="0" fontId="13" fillId="0" borderId="0" applyNumberFormat="0" applyFont="0" applyFill="0" applyBorder="0" applyAlignment="0" applyProtection="0"/>
    <xf numFmtId="0" fontId="13" fillId="0" borderId="0" applyNumberFormat="0" applyFont="0" applyFill="0" applyBorder="0" applyAlignment="0" applyProtection="0"/>
    <xf numFmtId="0" fontId="13" fillId="0" borderId="0" applyNumberFormat="0" applyFont="0" applyFill="0" applyBorder="0" applyAlignment="0" applyProtection="0"/>
    <xf numFmtId="0" fontId="13" fillId="0" borderId="0" applyNumberFormat="0" applyFont="0" applyFill="0" applyBorder="0" applyAlignment="0" applyProtection="0"/>
    <xf numFmtId="0" fontId="4" fillId="0" borderId="0"/>
    <xf numFmtId="0" fontId="13" fillId="0" borderId="0" applyNumberFormat="0" applyFont="0" applyFill="0" applyBorder="0" applyAlignment="0" applyProtection="0"/>
    <xf numFmtId="0" fontId="4" fillId="0" borderId="0"/>
    <xf numFmtId="0" fontId="13" fillId="0" borderId="0" applyNumberFormat="0" applyFont="0" applyFill="0" applyBorder="0" applyAlignment="0" applyProtection="0"/>
    <xf numFmtId="0" fontId="13" fillId="0" borderId="0" applyNumberFormat="0" applyFont="0" applyFill="0" applyBorder="0" applyAlignment="0" applyProtection="0"/>
    <xf numFmtId="0" fontId="13" fillId="0" borderId="0" applyNumberFormat="0" applyFont="0" applyFill="0" applyBorder="0" applyAlignment="0" applyProtection="0"/>
    <xf numFmtId="0" fontId="13" fillId="0" borderId="0" applyNumberFormat="0" applyFont="0" applyFill="0" applyBorder="0" applyAlignment="0" applyProtection="0"/>
    <xf numFmtId="0" fontId="13" fillId="0" borderId="0"/>
    <xf numFmtId="0" fontId="13" fillId="0" borderId="0"/>
    <xf numFmtId="0" fontId="13" fillId="0" borderId="0" applyNumberFormat="0" applyFont="0" applyFill="0" applyBorder="0" applyAlignment="0" applyProtection="0"/>
    <xf numFmtId="0" fontId="13" fillId="0" borderId="0" applyNumberFormat="0" applyFont="0" applyFill="0" applyBorder="0" applyAlignment="0" applyProtection="0"/>
    <xf numFmtId="0" fontId="13" fillId="0" borderId="0" applyNumberFormat="0" applyFont="0" applyFill="0" applyBorder="0" applyAlignment="0" applyProtection="0"/>
    <xf numFmtId="0" fontId="13" fillId="0" borderId="0" applyNumberFormat="0" applyFont="0" applyFill="0" applyBorder="0" applyAlignment="0" applyProtection="0"/>
    <xf numFmtId="0" fontId="13" fillId="0" borderId="0" applyNumberFormat="0" applyFont="0" applyFill="0" applyBorder="0" applyAlignment="0" applyProtection="0"/>
    <xf numFmtId="0" fontId="13" fillId="0" borderId="0" applyNumberFormat="0" applyFont="0" applyFill="0" applyBorder="0" applyAlignment="0" applyProtection="0"/>
    <xf numFmtId="0" fontId="13" fillId="0" borderId="0" applyNumberFormat="0" applyFont="0" applyFill="0" applyBorder="0" applyAlignment="0" applyProtection="0"/>
    <xf numFmtId="0" fontId="13" fillId="0" borderId="0" applyNumberFormat="0" applyFont="0" applyFill="0" applyBorder="0" applyAlignment="0" applyProtection="0"/>
    <xf numFmtId="0" fontId="13" fillId="0" borderId="0" applyNumberFormat="0" applyFont="0" applyFill="0" applyBorder="0" applyAlignment="0" applyProtection="0"/>
    <xf numFmtId="0" fontId="13" fillId="0" borderId="0" applyNumberFormat="0" applyFont="0" applyFill="0" applyBorder="0" applyAlignment="0" applyProtection="0"/>
    <xf numFmtId="0" fontId="13" fillId="0" borderId="0" applyNumberFormat="0" applyFont="0" applyFill="0" applyBorder="0" applyAlignment="0" applyProtection="0"/>
    <xf numFmtId="0" fontId="13" fillId="0" borderId="0" applyNumberFormat="0" applyFont="0" applyFill="0" applyBorder="0" applyAlignment="0" applyProtection="0"/>
    <xf numFmtId="0" fontId="13" fillId="0" borderId="0" applyNumberFormat="0" applyFont="0" applyFill="0" applyBorder="0" applyAlignment="0" applyProtection="0"/>
    <xf numFmtId="0" fontId="13" fillId="0" borderId="0" applyNumberFormat="0" applyFont="0" applyFill="0" applyBorder="0" applyAlignment="0" applyProtection="0"/>
    <xf numFmtId="0" fontId="13" fillId="0" borderId="0" applyNumberFormat="0" applyFont="0" applyFill="0" applyBorder="0" applyAlignment="0" applyProtection="0"/>
    <xf numFmtId="0" fontId="13" fillId="0" borderId="0" applyNumberFormat="0" applyFont="0" applyFill="0" applyBorder="0" applyAlignment="0" applyProtection="0"/>
    <xf numFmtId="0" fontId="13" fillId="0" borderId="0" applyNumberFormat="0" applyFont="0" applyFill="0" applyBorder="0" applyAlignment="0" applyProtection="0"/>
    <xf numFmtId="0" fontId="13" fillId="0" borderId="0"/>
    <xf numFmtId="0" fontId="13" fillId="0" borderId="0" applyNumberFormat="0" applyFont="0" applyFill="0" applyBorder="0" applyAlignment="0" applyProtection="0"/>
    <xf numFmtId="0" fontId="13" fillId="0" borderId="0" applyNumberFormat="0" applyFont="0" applyFill="0" applyBorder="0" applyAlignment="0" applyProtection="0"/>
    <xf numFmtId="0" fontId="13" fillId="0" borderId="0" applyNumberFormat="0" applyFont="0" applyFill="0" applyBorder="0" applyAlignment="0" applyProtection="0"/>
    <xf numFmtId="0" fontId="13" fillId="0" borderId="0" applyNumberFormat="0" applyFont="0" applyFill="0" applyBorder="0" applyAlignment="0" applyProtection="0"/>
    <xf numFmtId="0" fontId="13" fillId="0" borderId="0" applyNumberFormat="0" applyFont="0" applyFill="0" applyBorder="0" applyAlignment="0" applyProtection="0"/>
    <xf numFmtId="0" fontId="13" fillId="0" borderId="0" applyNumberFormat="0" applyFont="0" applyFill="0" applyBorder="0" applyAlignment="0" applyProtection="0"/>
    <xf numFmtId="0" fontId="13" fillId="0" borderId="0" applyNumberFormat="0" applyFont="0" applyFill="0" applyBorder="0" applyAlignment="0" applyProtection="0"/>
    <xf numFmtId="0" fontId="13" fillId="0" borderId="0" applyNumberFormat="0" applyFont="0" applyFill="0" applyBorder="0" applyAlignment="0" applyProtection="0"/>
    <xf numFmtId="0" fontId="13" fillId="0" borderId="0" applyNumberFormat="0" applyFont="0" applyFill="0" applyBorder="0" applyAlignment="0" applyProtection="0"/>
    <xf numFmtId="0" fontId="13" fillId="0" borderId="0" applyNumberFormat="0" applyFont="0" applyFill="0" applyBorder="0" applyAlignment="0" applyProtection="0"/>
    <xf numFmtId="0" fontId="13" fillId="0" borderId="0" applyNumberFormat="0" applyFont="0" applyFill="0" applyBorder="0" applyAlignment="0" applyProtection="0"/>
    <xf numFmtId="0" fontId="13" fillId="0" borderId="0" applyNumberFormat="0" applyFont="0" applyFill="0" applyBorder="0" applyAlignment="0" applyProtection="0"/>
    <xf numFmtId="0" fontId="13" fillId="0" borderId="0" applyNumberFormat="0" applyFont="0" applyFill="0" applyBorder="0" applyAlignment="0" applyProtection="0"/>
    <xf numFmtId="0" fontId="13" fillId="0" borderId="0" applyNumberFormat="0" applyFont="0" applyFill="0" applyBorder="0" applyAlignment="0" applyProtection="0"/>
    <xf numFmtId="0" fontId="13" fillId="0" borderId="0" applyNumberFormat="0" applyFont="0" applyFill="0" applyBorder="0" applyAlignment="0" applyProtection="0"/>
    <xf numFmtId="0" fontId="13" fillId="0" borderId="0" applyNumberFormat="0" applyFont="0" applyFill="0" applyBorder="0" applyAlignment="0" applyProtection="0"/>
    <xf numFmtId="0" fontId="13" fillId="0" borderId="0" applyNumberFormat="0" applyFont="0" applyFill="0" applyBorder="0" applyAlignment="0" applyProtection="0"/>
    <xf numFmtId="0" fontId="13" fillId="0" borderId="0" applyNumberFormat="0" applyFont="0" applyFill="0" applyBorder="0" applyAlignment="0" applyProtection="0"/>
    <xf numFmtId="0" fontId="13" fillId="0" borderId="0" applyNumberFormat="0" applyFont="0" applyFill="0" applyBorder="0" applyAlignment="0" applyProtection="0"/>
    <xf numFmtId="0" fontId="13" fillId="0" borderId="0" applyNumberFormat="0" applyFont="0" applyFill="0" applyBorder="0" applyAlignment="0" applyProtection="0"/>
    <xf numFmtId="0" fontId="13" fillId="0" borderId="0" applyNumberFormat="0" applyFont="0" applyFill="0" applyBorder="0" applyAlignment="0" applyProtection="0"/>
    <xf numFmtId="0" fontId="13" fillId="0" borderId="0" applyNumberFormat="0" applyFont="0" applyFill="0" applyBorder="0" applyAlignment="0" applyProtection="0"/>
    <xf numFmtId="0" fontId="13" fillId="0" borderId="0"/>
    <xf numFmtId="0" fontId="13" fillId="0" borderId="0" applyNumberFormat="0" applyFont="0" applyFill="0" applyBorder="0" applyAlignment="0" applyProtection="0"/>
    <xf numFmtId="0" fontId="13" fillId="0" borderId="0"/>
    <xf numFmtId="0" fontId="13" fillId="0" borderId="0"/>
    <xf numFmtId="0" fontId="13" fillId="0" borderId="0" applyNumberFormat="0" applyFont="0" applyFill="0" applyBorder="0" applyAlignment="0" applyProtection="0"/>
    <xf numFmtId="0" fontId="13" fillId="0" borderId="0" applyNumberFormat="0" applyFont="0" applyFill="0" applyBorder="0" applyAlignment="0" applyProtection="0"/>
    <xf numFmtId="0" fontId="13" fillId="0" borderId="0"/>
    <xf numFmtId="0" fontId="13" fillId="0" borderId="0"/>
    <xf numFmtId="0" fontId="4" fillId="0" borderId="0"/>
    <xf numFmtId="0" fontId="4" fillId="0" borderId="0"/>
    <xf numFmtId="0" fontId="13" fillId="0" borderId="0"/>
    <xf numFmtId="0" fontId="91" fillId="0" borderId="0"/>
    <xf numFmtId="0" fontId="13" fillId="0" borderId="0" applyNumberFormat="0" applyFont="0" applyFill="0" applyBorder="0" applyAlignment="0" applyProtection="0"/>
    <xf numFmtId="0" fontId="13" fillId="0" borderId="0" applyNumberFormat="0" applyFont="0" applyFill="0" applyBorder="0" applyAlignment="0" applyProtection="0"/>
    <xf numFmtId="0" fontId="91" fillId="0" borderId="0"/>
    <xf numFmtId="3" fontId="177" fillId="0" borderId="0"/>
    <xf numFmtId="3" fontId="177" fillId="0" borderId="0"/>
    <xf numFmtId="0" fontId="13" fillId="0" borderId="0" applyNumberFormat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 applyNumberFormat="0" applyFont="0" applyFill="0" applyBorder="0" applyAlignment="0" applyProtection="0"/>
    <xf numFmtId="0" fontId="13" fillId="0" borderId="0" applyNumberFormat="0" applyFont="0" applyFill="0" applyBorder="0" applyAlignment="0" applyProtection="0"/>
    <xf numFmtId="0" fontId="13" fillId="0" borderId="0"/>
    <xf numFmtId="0" fontId="13" fillId="0" borderId="0" applyNumberFormat="0" applyFont="0" applyFill="0" applyBorder="0" applyAlignment="0" applyProtection="0"/>
    <xf numFmtId="3" fontId="177" fillId="0" borderId="0"/>
    <xf numFmtId="0" fontId="13" fillId="0" borderId="0"/>
    <xf numFmtId="0" fontId="13" fillId="0" borderId="0" applyNumberFormat="0" applyFont="0" applyFill="0" applyBorder="0" applyAlignment="0" applyProtection="0"/>
    <xf numFmtId="0" fontId="13" fillId="0" borderId="0"/>
    <xf numFmtId="0" fontId="13" fillId="0" borderId="0">
      <alignment vertical="center"/>
    </xf>
    <xf numFmtId="0" fontId="13" fillId="0" borderId="0"/>
    <xf numFmtId="0" fontId="13" fillId="0" borderId="0" applyNumberFormat="0" applyFont="0" applyFill="0" applyBorder="0" applyAlignment="0" applyProtection="0"/>
    <xf numFmtId="0" fontId="13" fillId="0" borderId="0">
      <alignment vertical="center"/>
    </xf>
    <xf numFmtId="0" fontId="13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3" fillId="0" borderId="0" applyNumberFormat="0" applyFont="0" applyFill="0" applyBorder="0" applyAlignment="0" applyProtection="0"/>
    <xf numFmtId="0" fontId="4" fillId="0" borderId="0"/>
    <xf numFmtId="0" fontId="4" fillId="0" borderId="0"/>
    <xf numFmtId="0" fontId="13" fillId="0" borderId="0" applyNumberFormat="0" applyFont="0" applyFill="0" applyBorder="0" applyAlignment="0" applyProtection="0"/>
    <xf numFmtId="0" fontId="13" fillId="0" borderId="0" applyNumberFormat="0" applyFont="0" applyFill="0" applyBorder="0" applyAlignment="0" applyProtection="0"/>
    <xf numFmtId="0" fontId="102" fillId="5" borderId="4" applyNumberFormat="0" applyAlignment="0" applyProtection="0"/>
    <xf numFmtId="0" fontId="13" fillId="0" borderId="0"/>
    <xf numFmtId="0" fontId="13" fillId="0" borderId="0" applyNumberFormat="0" applyFont="0" applyFill="0" applyBorder="0" applyAlignment="0" applyProtection="0"/>
    <xf numFmtId="0" fontId="13" fillId="0" borderId="0" applyNumberFormat="0" applyFont="0" applyFill="0" applyBorder="0" applyAlignment="0" applyProtection="0"/>
    <xf numFmtId="0" fontId="13" fillId="0" borderId="0"/>
    <xf numFmtId="0" fontId="13" fillId="0" borderId="0" applyNumberFormat="0" applyFont="0" applyFill="0" applyBorder="0" applyAlignment="0" applyProtection="0"/>
    <xf numFmtId="0" fontId="13" fillId="0" borderId="0" applyNumberFormat="0" applyFont="0" applyFill="0" applyBorder="0" applyAlignment="0" applyProtection="0"/>
    <xf numFmtId="0" fontId="151" fillId="0" borderId="0"/>
    <xf numFmtId="0" fontId="13" fillId="0" borderId="0"/>
    <xf numFmtId="0" fontId="13" fillId="0" borderId="0" applyNumberFormat="0" applyFont="0" applyFill="0" applyBorder="0" applyAlignment="0" applyProtection="0"/>
    <xf numFmtId="0" fontId="13" fillId="0" borderId="0"/>
    <xf numFmtId="0" fontId="4" fillId="0" borderId="0"/>
    <xf numFmtId="0" fontId="13" fillId="0" borderId="0" applyNumberFormat="0" applyFont="0" applyFill="0" applyBorder="0" applyAlignment="0" applyProtection="0"/>
    <xf numFmtId="0" fontId="4" fillId="0" borderId="0"/>
    <xf numFmtId="0" fontId="13" fillId="0" borderId="0" applyNumberFormat="0" applyFont="0" applyFill="0" applyBorder="0" applyAlignment="0" applyProtection="0"/>
    <xf numFmtId="0" fontId="13" fillId="0" borderId="0" applyNumberFormat="0" applyFont="0" applyFill="0" applyBorder="0" applyAlignment="0" applyProtection="0"/>
    <xf numFmtId="0" fontId="13" fillId="0" borderId="0" applyNumberFormat="0" applyFont="0" applyFill="0" applyBorder="0" applyAlignment="0" applyProtection="0"/>
    <xf numFmtId="0" fontId="13" fillId="0" borderId="0"/>
    <xf numFmtId="0" fontId="13" fillId="0" borderId="0" applyNumberFormat="0" applyFont="0" applyFill="0" applyBorder="0" applyAlignment="0" applyProtection="0"/>
    <xf numFmtId="0" fontId="13" fillId="0" borderId="0" applyNumberFormat="0" applyFont="0" applyFill="0" applyBorder="0" applyAlignment="0" applyProtection="0"/>
    <xf numFmtId="0" fontId="35" fillId="0" borderId="0" applyNumberFormat="0" applyFont="0" applyFill="0" applyBorder="0" applyAlignment="0" applyProtection="0"/>
    <xf numFmtId="0" fontId="13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3" fillId="0" borderId="0" applyNumberFormat="0" applyFont="0" applyFill="0" applyBorder="0" applyAlignment="0" applyProtection="0"/>
    <xf numFmtId="0" fontId="4" fillId="0" borderId="0"/>
    <xf numFmtId="3" fontId="177" fillId="0" borderId="0"/>
    <xf numFmtId="0" fontId="13" fillId="0" borderId="0"/>
    <xf numFmtId="0" fontId="198" fillId="0" borderId="0"/>
    <xf numFmtId="0" fontId="13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3" fillId="0" borderId="0" applyNumberFormat="0" applyFont="0" applyFill="0" applyBorder="0" applyAlignment="0" applyProtection="0"/>
    <xf numFmtId="0" fontId="13" fillId="0" borderId="0"/>
    <xf numFmtId="0" fontId="13" fillId="0" borderId="0"/>
    <xf numFmtId="0" fontId="13" fillId="0" borderId="0" applyNumberFormat="0" applyFont="0" applyFill="0" applyBorder="0" applyAlignment="0" applyProtection="0"/>
    <xf numFmtId="0" fontId="13" fillId="0" borderId="0"/>
    <xf numFmtId="0" fontId="13" fillId="0" borderId="0"/>
    <xf numFmtId="0" fontId="13" fillId="0" borderId="0" applyNumberFormat="0" applyFont="0" applyFill="0" applyBorder="0" applyAlignment="0" applyProtection="0"/>
    <xf numFmtId="0" fontId="13" fillId="0" borderId="0"/>
    <xf numFmtId="0" fontId="13" fillId="0" borderId="0"/>
    <xf numFmtId="0" fontId="13" fillId="0" borderId="0" applyNumberFormat="0" applyFont="0" applyFill="0" applyBorder="0" applyAlignment="0" applyProtection="0"/>
    <xf numFmtId="0" fontId="13" fillId="0" borderId="0"/>
    <xf numFmtId="0" fontId="13" fillId="0" borderId="0" applyNumberFormat="0" applyFont="0" applyFill="0" applyBorder="0" applyAlignment="0" applyProtection="0"/>
    <xf numFmtId="0" fontId="35" fillId="0" borderId="0" applyNumberFormat="0" applyBorder="0" applyAlignment="0" applyProtection="0"/>
    <xf numFmtId="0" fontId="13" fillId="0" borderId="0" applyNumberFormat="0" applyFont="0" applyFill="0" applyBorder="0" applyAlignment="0" applyProtection="0"/>
    <xf numFmtId="0" fontId="13" fillId="0" borderId="0"/>
    <xf numFmtId="0" fontId="13" fillId="0" borderId="0" applyNumberFormat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13" fillId="0" borderId="0"/>
    <xf numFmtId="0" fontId="13" fillId="0" borderId="0" applyNumberFormat="0" applyFont="0" applyFill="0" applyBorder="0" applyAlignment="0" applyProtection="0"/>
    <xf numFmtId="0" fontId="13" fillId="0" borderId="0" applyNumberFormat="0" applyFont="0" applyFill="0" applyBorder="0" applyAlignment="0" applyProtection="0"/>
    <xf numFmtId="0" fontId="13" fillId="0" borderId="0"/>
    <xf numFmtId="0" fontId="13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3" fillId="0" borderId="0"/>
    <xf numFmtId="0" fontId="13" fillId="0" borderId="0" applyNumberFormat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5" fillId="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3" fillId="0" borderId="0" applyNumberFormat="0" applyFont="0" applyFill="0" applyBorder="0" applyAlignment="0" applyProtection="0"/>
    <xf numFmtId="0" fontId="13" fillId="0" borderId="0"/>
    <xf numFmtId="0" fontId="13" fillId="0" borderId="0" applyNumberFormat="0" applyFont="0" applyFill="0" applyBorder="0" applyAlignment="0" applyProtection="0"/>
    <xf numFmtId="0" fontId="13" fillId="0" borderId="0" applyNumberFormat="0" applyFont="0" applyFill="0" applyBorder="0" applyAlignment="0" applyProtection="0"/>
    <xf numFmtId="0" fontId="13" fillId="0" borderId="0" applyNumberFormat="0" applyFont="0" applyFill="0" applyBorder="0" applyAlignment="0" applyProtection="0"/>
    <xf numFmtId="0" fontId="13" fillId="0" borderId="0" applyNumberFormat="0" applyFont="0" applyFill="0" applyBorder="0" applyAlignment="0" applyProtection="0"/>
    <xf numFmtId="0" fontId="13" fillId="0" borderId="0" applyNumberFormat="0" applyFont="0" applyFill="0" applyBorder="0" applyAlignment="0" applyProtection="0"/>
    <xf numFmtId="0" fontId="13" fillId="0" borderId="0"/>
    <xf numFmtId="0" fontId="13" fillId="0" borderId="0"/>
    <xf numFmtId="0" fontId="13" fillId="0" borderId="0" applyNumberFormat="0" applyFont="0" applyFill="0" applyBorder="0" applyAlignment="0" applyProtection="0"/>
    <xf numFmtId="0" fontId="13" fillId="0" borderId="0" applyNumberFormat="0" applyFont="0" applyFill="0" applyBorder="0" applyAlignment="0" applyProtection="0"/>
    <xf numFmtId="0" fontId="13" fillId="0" borderId="0"/>
    <xf numFmtId="0" fontId="13" fillId="0" borderId="0"/>
    <xf numFmtId="0" fontId="13" fillId="0" borderId="0" applyNumberFormat="0" applyFont="0" applyFill="0" applyBorder="0" applyAlignment="0" applyProtection="0"/>
    <xf numFmtId="0" fontId="13" fillId="0" borderId="0" applyNumberFormat="0" applyFont="0" applyFill="0" applyBorder="0" applyAlignment="0" applyProtection="0"/>
    <xf numFmtId="0" fontId="13" fillId="0" borderId="0"/>
    <xf numFmtId="0" fontId="13" fillId="0" borderId="0"/>
    <xf numFmtId="0" fontId="13" fillId="0" borderId="0" applyNumberFormat="0" applyFont="0" applyFill="0" applyBorder="0" applyAlignment="0" applyProtection="0"/>
    <xf numFmtId="0" fontId="13" fillId="0" borderId="0" applyNumberFormat="0" applyFont="0" applyFill="0" applyBorder="0" applyAlignment="0" applyProtection="0"/>
    <xf numFmtId="0" fontId="13" fillId="0" borderId="0"/>
    <xf numFmtId="0" fontId="13" fillId="0" borderId="0"/>
    <xf numFmtId="0" fontId="13" fillId="0" borderId="0" applyNumberFormat="0" applyFont="0" applyFill="0" applyBorder="0" applyAlignment="0" applyProtection="0"/>
    <xf numFmtId="0" fontId="13" fillId="0" borderId="0" applyNumberFormat="0" applyFont="0" applyFill="0" applyBorder="0" applyAlignment="0" applyProtection="0"/>
    <xf numFmtId="0" fontId="13" fillId="0" borderId="0"/>
    <xf numFmtId="0" fontId="13" fillId="0" borderId="0"/>
    <xf numFmtId="0" fontId="91" fillId="0" borderId="0"/>
    <xf numFmtId="0" fontId="13" fillId="0" borderId="0"/>
    <xf numFmtId="0" fontId="13" fillId="0" borderId="0" applyNumberFormat="0" applyFont="0" applyFill="0" applyBorder="0" applyAlignment="0" applyProtection="0"/>
    <xf numFmtId="0" fontId="13" fillId="0" borderId="0"/>
    <xf numFmtId="0" fontId="4" fillId="0" borderId="0"/>
    <xf numFmtId="0" fontId="4" fillId="0" borderId="0"/>
    <xf numFmtId="0" fontId="13" fillId="0" borderId="0" applyNumberFormat="0" applyFont="0" applyFill="0" applyBorder="0" applyAlignment="0" applyProtection="0"/>
    <xf numFmtId="0" fontId="13" fillId="0" borderId="0"/>
    <xf numFmtId="0" fontId="13" fillId="0" borderId="0" applyNumberFormat="0" applyFont="0" applyFill="0" applyBorder="0" applyAlignment="0" applyProtection="0"/>
    <xf numFmtId="0" fontId="13" fillId="0" borderId="0"/>
    <xf numFmtId="0" fontId="13" fillId="0" borderId="0"/>
    <xf numFmtId="0" fontId="9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3" fillId="0" borderId="0"/>
    <xf numFmtId="0" fontId="13" fillId="0" borderId="0" applyNumberFormat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3" fillId="0" borderId="0" applyNumberFormat="0" applyFont="0" applyFill="0" applyBorder="0" applyAlignment="0" applyProtection="0"/>
    <xf numFmtId="0" fontId="13" fillId="0" borderId="0" applyNumberFormat="0" applyFont="0" applyFill="0" applyBorder="0" applyAlignment="0" applyProtection="0"/>
    <xf numFmtId="0" fontId="13" fillId="0" borderId="0"/>
    <xf numFmtId="0" fontId="13" fillId="0" borderId="0"/>
    <xf numFmtId="0" fontId="13" fillId="0" borderId="0" applyNumberFormat="0" applyFont="0" applyFill="0" applyBorder="0" applyAlignment="0" applyProtection="0"/>
    <xf numFmtId="0" fontId="13" fillId="0" borderId="0" applyNumberFormat="0" applyFont="0" applyFill="0" applyBorder="0" applyAlignment="0" applyProtection="0"/>
    <xf numFmtId="0" fontId="13" fillId="0" borderId="0"/>
    <xf numFmtId="0" fontId="13" fillId="0" borderId="0"/>
    <xf numFmtId="0" fontId="13" fillId="0" borderId="0" applyNumberFormat="0" applyFont="0" applyFill="0" applyBorder="0" applyAlignment="0" applyProtection="0"/>
    <xf numFmtId="0" fontId="13" fillId="0" borderId="0" applyNumberFormat="0" applyFont="0" applyFill="0" applyBorder="0" applyAlignment="0" applyProtection="0"/>
    <xf numFmtId="0" fontId="13" fillId="0" borderId="0"/>
    <xf numFmtId="0" fontId="13" fillId="0" borderId="0"/>
    <xf numFmtId="0" fontId="13" fillId="0" borderId="0" applyNumberFormat="0" applyFont="0" applyFill="0" applyBorder="0" applyAlignment="0" applyProtection="0"/>
    <xf numFmtId="0" fontId="13" fillId="0" borderId="0" applyNumberFormat="0" applyFont="0" applyFill="0" applyBorder="0" applyAlignment="0" applyProtection="0"/>
    <xf numFmtId="0" fontId="13" fillId="0" borderId="0"/>
    <xf numFmtId="0" fontId="13" fillId="0" borderId="0"/>
    <xf numFmtId="0" fontId="13" fillId="0" borderId="0" applyNumberFormat="0" applyFont="0" applyFill="0" applyBorder="0" applyAlignment="0" applyProtection="0"/>
    <xf numFmtId="0" fontId="13" fillId="0" borderId="0" applyNumberFormat="0" applyFont="0" applyFill="0" applyBorder="0" applyAlignment="0" applyProtection="0"/>
    <xf numFmtId="0" fontId="13" fillId="0" borderId="0"/>
    <xf numFmtId="0" fontId="13" fillId="0" borderId="0"/>
    <xf numFmtId="0" fontId="13" fillId="0" borderId="0" applyNumberFormat="0" applyFont="0" applyFill="0" applyBorder="0" applyAlignment="0" applyProtection="0"/>
    <xf numFmtId="0" fontId="13" fillId="0" borderId="0" applyNumberFormat="0" applyFont="0" applyFill="0" applyBorder="0" applyAlignment="0" applyProtection="0"/>
    <xf numFmtId="0" fontId="13" fillId="0" borderId="0"/>
    <xf numFmtId="0" fontId="13" fillId="0" borderId="0"/>
    <xf numFmtId="0" fontId="13" fillId="0" borderId="0" applyNumberFormat="0" applyFont="0" applyFill="0" applyBorder="0" applyAlignment="0" applyProtection="0"/>
    <xf numFmtId="0" fontId="13" fillId="0" borderId="0" applyNumberFormat="0" applyFont="0" applyFill="0" applyBorder="0" applyAlignment="0" applyProtection="0"/>
    <xf numFmtId="0" fontId="13" fillId="0" borderId="0"/>
    <xf numFmtId="0" fontId="13" fillId="0" borderId="0"/>
    <xf numFmtId="0" fontId="13" fillId="0" borderId="0" applyNumberFormat="0" applyFont="0" applyFill="0" applyBorder="0" applyAlignment="0" applyProtection="0"/>
    <xf numFmtId="0" fontId="13" fillId="0" borderId="0" applyNumberFormat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 applyNumberFormat="0" applyFont="0" applyFill="0" applyBorder="0" applyAlignment="0" applyProtection="0"/>
    <xf numFmtId="0" fontId="13" fillId="0" borderId="0" applyNumberFormat="0" applyFont="0" applyFill="0" applyBorder="0" applyAlignment="0" applyProtection="0"/>
    <xf numFmtId="0" fontId="13" fillId="0" borderId="0"/>
    <xf numFmtId="0" fontId="13" fillId="0" borderId="0" applyNumberFormat="0" applyFont="0" applyFill="0" applyBorder="0" applyAlignment="0" applyProtection="0"/>
    <xf numFmtId="0" fontId="13" fillId="0" borderId="0"/>
    <xf numFmtId="0" fontId="13" fillId="0" borderId="0"/>
    <xf numFmtId="0" fontId="35" fillId="0" borderId="0" applyNumberFormat="0" applyBorder="0" applyAlignment="0" applyProtection="0"/>
    <xf numFmtId="0" fontId="13" fillId="0" borderId="0" applyNumberFormat="0" applyFont="0" applyFill="0" applyBorder="0" applyAlignment="0" applyProtection="0"/>
    <xf numFmtId="0" fontId="13" fillId="0" borderId="0" applyNumberFormat="0" applyFont="0" applyFill="0" applyBorder="0" applyAlignment="0" applyProtection="0"/>
    <xf numFmtId="0" fontId="13" fillId="0" borderId="0" applyNumberFormat="0" applyFont="0" applyFill="0" applyBorder="0" applyAlignment="0" applyProtection="0"/>
    <xf numFmtId="0" fontId="13" fillId="0" borderId="0" applyNumberFormat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3" fillId="0" borderId="0"/>
    <xf numFmtId="0" fontId="13" fillId="0" borderId="0"/>
    <xf numFmtId="0" fontId="13" fillId="0" borderId="0"/>
    <xf numFmtId="0" fontId="91" fillId="0" borderId="0"/>
    <xf numFmtId="0" fontId="13" fillId="0" borderId="0"/>
    <xf numFmtId="0" fontId="13" fillId="0" borderId="0" applyNumberFormat="0" applyFont="0" applyFill="0" applyBorder="0" applyAlignment="0" applyProtection="0"/>
    <xf numFmtId="0" fontId="13" fillId="0" borderId="0"/>
    <xf numFmtId="0" fontId="91" fillId="0" borderId="0"/>
    <xf numFmtId="0" fontId="13" fillId="0" borderId="0" applyNumberFormat="0" applyFont="0" applyFill="0" applyBorder="0" applyAlignment="0" applyProtection="0"/>
    <xf numFmtId="0" fontId="13" fillId="0" borderId="0" applyNumberFormat="0" applyFont="0" applyFill="0" applyBorder="0" applyAlignment="0" applyProtection="0"/>
    <xf numFmtId="0" fontId="13" fillId="0" borderId="0"/>
    <xf numFmtId="0" fontId="13" fillId="0" borderId="0"/>
    <xf numFmtId="0" fontId="13" fillId="0" borderId="0" applyNumberFormat="0" applyFont="0" applyFill="0" applyBorder="0" applyAlignment="0" applyProtection="0"/>
    <xf numFmtId="0" fontId="13" fillId="0" borderId="0" applyNumberFormat="0" applyFont="0" applyFill="0" applyBorder="0" applyAlignment="0" applyProtection="0"/>
    <xf numFmtId="0" fontId="13" fillId="0" borderId="0" applyNumberFormat="0" applyFont="0" applyFill="0" applyBorder="0" applyAlignment="0" applyProtection="0"/>
    <xf numFmtId="0" fontId="13" fillId="0" borderId="0" applyNumberFormat="0" applyFont="0" applyFill="0" applyBorder="0" applyAlignment="0" applyProtection="0"/>
    <xf numFmtId="0" fontId="13" fillId="0" borderId="0" applyNumberFormat="0" applyFont="0" applyFill="0" applyBorder="0" applyAlignment="0" applyProtection="0"/>
    <xf numFmtId="0" fontId="13" fillId="0" borderId="0" applyNumberFormat="0" applyFont="0" applyFill="0" applyBorder="0" applyAlignment="0" applyProtection="0"/>
    <xf numFmtId="0" fontId="198" fillId="0" borderId="0"/>
    <xf numFmtId="0" fontId="13" fillId="0" borderId="0" applyNumberFormat="0" applyFont="0" applyFill="0" applyBorder="0" applyAlignment="0" applyProtection="0"/>
    <xf numFmtId="0" fontId="13" fillId="0" borderId="0" applyNumberFormat="0" applyFont="0" applyFill="0" applyBorder="0" applyAlignment="0" applyProtection="0"/>
    <xf numFmtId="0" fontId="13" fillId="0" borderId="0" applyNumberFormat="0" applyFont="0" applyFill="0" applyBorder="0" applyAlignment="0" applyProtection="0"/>
    <xf numFmtId="0" fontId="198" fillId="0" borderId="0"/>
    <xf numFmtId="0" fontId="13" fillId="0" borderId="0" applyNumberFormat="0" applyFont="0" applyFill="0" applyBorder="0" applyAlignment="0" applyProtection="0"/>
    <xf numFmtId="0" fontId="13" fillId="0" borderId="0" applyNumberFormat="0" applyFont="0" applyFill="0" applyBorder="0" applyAlignment="0" applyProtection="0"/>
    <xf numFmtId="0" fontId="91" fillId="0" borderId="0"/>
    <xf numFmtId="0" fontId="13" fillId="0" borderId="0" applyNumberFormat="0" applyFont="0" applyFill="0" applyBorder="0" applyAlignment="0" applyProtection="0"/>
    <xf numFmtId="0" fontId="198" fillId="0" borderId="0"/>
    <xf numFmtId="0" fontId="91" fillId="0" borderId="0"/>
    <xf numFmtId="0" fontId="13" fillId="0" borderId="0" applyNumberFormat="0" applyFont="0" applyFill="0" applyBorder="0" applyAlignment="0" applyProtection="0"/>
    <xf numFmtId="0" fontId="13" fillId="0" borderId="0" applyNumberFormat="0" applyFont="0" applyFill="0" applyBorder="0" applyAlignment="0" applyProtection="0"/>
    <xf numFmtId="0" fontId="13" fillId="0" borderId="0" applyNumberFormat="0" applyFont="0" applyFill="0" applyBorder="0" applyAlignment="0" applyProtection="0"/>
    <xf numFmtId="0" fontId="198" fillId="0" borderId="0"/>
    <xf numFmtId="0" fontId="13" fillId="0" borderId="0" applyNumberFormat="0" applyFont="0" applyFill="0" applyBorder="0" applyAlignment="0" applyProtection="0"/>
    <xf numFmtId="0" fontId="198" fillId="0" borderId="0"/>
    <xf numFmtId="0" fontId="13" fillId="0" borderId="0"/>
    <xf numFmtId="0" fontId="151" fillId="0" borderId="0"/>
    <xf numFmtId="0" fontId="13" fillId="0" borderId="0" applyNumberFormat="0" applyFont="0" applyFill="0" applyBorder="0" applyAlignment="0" applyProtection="0"/>
    <xf numFmtId="0" fontId="13" fillId="0" borderId="0" applyNumberFormat="0" applyFont="0" applyFill="0" applyBorder="0" applyAlignment="0" applyProtection="0"/>
    <xf numFmtId="0" fontId="13" fillId="0" borderId="0"/>
    <xf numFmtId="0" fontId="13" fillId="0" borderId="0"/>
    <xf numFmtId="0" fontId="13" fillId="0" borderId="0" applyNumberFormat="0" applyFont="0" applyFill="0" applyBorder="0" applyAlignment="0" applyProtection="0"/>
    <xf numFmtId="0" fontId="13" fillId="0" borderId="0" applyNumberFormat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3" fillId="0" borderId="0" applyNumberFormat="0" applyFont="0" applyFill="0" applyBorder="0" applyAlignment="0" applyProtection="0"/>
    <xf numFmtId="0" fontId="13" fillId="0" borderId="0" applyNumberFormat="0" applyFont="0" applyFill="0" applyBorder="0" applyAlignment="0" applyProtection="0"/>
    <xf numFmtId="0" fontId="13" fillId="0" borderId="0" applyNumberFormat="0" applyFont="0" applyFill="0" applyBorder="0" applyAlignment="0" applyProtection="0"/>
    <xf numFmtId="0" fontId="305" fillId="0" borderId="0"/>
    <xf numFmtId="0" fontId="13" fillId="0" borderId="0"/>
    <xf numFmtId="0" fontId="13" fillId="0" borderId="0"/>
    <xf numFmtId="0" fontId="13" fillId="0" borderId="0" applyNumberFormat="0" applyFont="0" applyFill="0" applyBorder="0" applyAlignment="0" applyProtection="0"/>
    <xf numFmtId="0" fontId="13" fillId="0" borderId="0" applyNumberFormat="0" applyFont="0" applyFill="0" applyBorder="0" applyAlignment="0" applyProtection="0"/>
    <xf numFmtId="0" fontId="13" fillId="0" borderId="0"/>
    <xf numFmtId="0" fontId="13" fillId="0" borderId="0" applyNumberFormat="0" applyFont="0" applyFill="0" applyBorder="0" applyAlignment="0" applyProtection="0"/>
    <xf numFmtId="0" fontId="13" fillId="0" borderId="0" applyNumberFormat="0" applyFont="0" applyFill="0" applyBorder="0" applyAlignment="0" applyProtection="0"/>
    <xf numFmtId="0" fontId="13" fillId="0" borderId="0" applyNumberFormat="0" applyFont="0" applyFill="0" applyBorder="0" applyAlignment="0" applyProtection="0"/>
    <xf numFmtId="0" fontId="261" fillId="0" borderId="0"/>
    <xf numFmtId="217" fontId="43" fillId="0" borderId="0" applyBorder="0">
      <alignment horizontal="left"/>
    </xf>
    <xf numFmtId="0" fontId="13" fillId="5" borderId="14" applyNumberFormat="0" applyFont="0" applyAlignment="0" applyProtection="0"/>
    <xf numFmtId="0" fontId="13" fillId="5" borderId="14" applyNumberFormat="0" applyFont="0" applyAlignment="0" applyProtection="0"/>
    <xf numFmtId="0" fontId="13" fillId="5" borderId="14" applyNumberFormat="0" applyFont="0" applyAlignment="0" applyProtection="0"/>
    <xf numFmtId="0" fontId="13" fillId="5" borderId="14" applyNumberFormat="0" applyFont="0" applyAlignment="0" applyProtection="0"/>
    <xf numFmtId="0" fontId="13" fillId="5" borderId="14" applyNumberFormat="0" applyFont="0" applyAlignment="0" applyProtection="0"/>
    <xf numFmtId="0" fontId="13" fillId="5" borderId="14" applyNumberFormat="0" applyFont="0" applyAlignment="0" applyProtection="0"/>
    <xf numFmtId="0" fontId="13" fillId="5" borderId="14" applyNumberFormat="0" applyFont="0" applyAlignment="0" applyProtection="0"/>
    <xf numFmtId="0" fontId="13" fillId="5" borderId="14" applyNumberFormat="0" applyFont="0" applyAlignment="0" applyProtection="0"/>
    <xf numFmtId="0" fontId="91" fillId="5" borderId="47" applyNumberFormat="0" applyFont="0" applyAlignment="0" applyProtection="0"/>
    <xf numFmtId="0" fontId="13" fillId="5" borderId="14" applyNumberFormat="0" applyFont="0" applyAlignment="0" applyProtection="0"/>
    <xf numFmtId="0" fontId="13" fillId="5" borderId="14" applyNumberFormat="0" applyFont="0" applyAlignment="0" applyProtection="0"/>
    <xf numFmtId="0" fontId="13" fillId="5" borderId="14" applyNumberFormat="0" applyFont="0" applyAlignment="0" applyProtection="0"/>
    <xf numFmtId="0" fontId="91" fillId="5" borderId="47" applyNumberFormat="0" applyFont="0" applyAlignment="0" applyProtection="0"/>
    <xf numFmtId="0" fontId="91" fillId="5" borderId="47" applyNumberFormat="0" applyFont="0" applyAlignment="0" applyProtection="0"/>
    <xf numFmtId="3" fontId="177" fillId="0" borderId="0" applyBorder="0"/>
    <xf numFmtId="164" fontId="58" fillId="0" borderId="0" applyFont="0" applyFill="0" applyBorder="0" applyProtection="0">
      <alignment horizontal="right"/>
    </xf>
    <xf numFmtId="3" fontId="177" fillId="0" borderId="17" applyBorder="0"/>
    <xf numFmtId="3" fontId="177" fillId="0" borderId="17" applyBorder="0"/>
    <xf numFmtId="3" fontId="177" fillId="0" borderId="17" applyBorder="0"/>
    <xf numFmtId="164" fontId="58" fillId="0" borderId="0" applyFont="0" applyFill="0" applyBorder="0" applyProtection="0">
      <alignment horizontal="right"/>
    </xf>
    <xf numFmtId="3" fontId="177" fillId="0" borderId="0" applyBorder="0"/>
    <xf numFmtId="3" fontId="177" fillId="0" borderId="0" applyBorder="0"/>
    <xf numFmtId="3" fontId="177" fillId="0" borderId="0" applyBorder="0"/>
    <xf numFmtId="3" fontId="177" fillId="0" borderId="0" applyBorder="0"/>
    <xf numFmtId="3" fontId="177" fillId="0" borderId="0" applyBorder="0"/>
    <xf numFmtId="3" fontId="177" fillId="0" borderId="0" applyBorder="0"/>
    <xf numFmtId="238" fontId="120" fillId="0" borderId="0" applyFont="0" applyFill="0" applyBorder="0" applyAlignment="0" applyProtection="0"/>
    <xf numFmtId="249" fontId="232" fillId="0" borderId="0"/>
    <xf numFmtId="0" fontId="216" fillId="15" borderId="44" applyNumberFormat="0" applyAlignment="0" applyProtection="0"/>
    <xf numFmtId="0" fontId="95" fillId="15" borderId="15" applyNumberFormat="0" applyAlignment="0" applyProtection="0"/>
    <xf numFmtId="0" fontId="260" fillId="0" borderId="0"/>
    <xf numFmtId="0" fontId="282" fillId="0" borderId="0"/>
    <xf numFmtId="0" fontId="149" fillId="0" borderId="0"/>
    <xf numFmtId="168" fontId="120" fillId="0" borderId="0"/>
    <xf numFmtId="10" fontId="13" fillId="0" borderId="0" applyFont="0" applyFill="0" applyBorder="0" applyAlignment="0" applyProtection="0"/>
    <xf numFmtId="10" fontId="13" fillId="0" borderId="0" applyFont="0" applyFill="0" applyBorder="0" applyAlignment="0" applyProtection="0"/>
    <xf numFmtId="10" fontId="13" fillId="0" borderId="0" applyFont="0" applyFill="0" applyBorder="0" applyAlignment="0" applyProtection="0"/>
    <xf numFmtId="10" fontId="13" fillId="0" borderId="0" applyFont="0" applyFill="0" applyBorder="0" applyAlignment="0" applyProtection="0"/>
    <xf numFmtId="10" fontId="13" fillId="0" borderId="0" applyFont="0" applyFill="0" applyBorder="0" applyAlignment="0" applyProtection="0"/>
    <xf numFmtId="10" fontId="13" fillId="0" borderId="0" applyFont="0" applyFill="0" applyBorder="0" applyAlignment="0" applyProtection="0"/>
    <xf numFmtId="10" fontId="13" fillId="0" borderId="0" applyFont="0" applyFill="0" applyBorder="0" applyAlignment="0" applyProtection="0"/>
    <xf numFmtId="10" fontId="13" fillId="0" borderId="0" applyFont="0" applyFill="0" applyBorder="0" applyAlignment="0" applyProtection="0"/>
    <xf numFmtId="10" fontId="13" fillId="0" borderId="0" applyFont="0" applyFill="0" applyBorder="0" applyAlignment="0" applyProtection="0"/>
    <xf numFmtId="9" fontId="91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91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91" fillId="0" borderId="0" applyFont="0" applyFill="0" applyBorder="0" applyAlignment="0" applyProtection="0"/>
    <xf numFmtId="9" fontId="91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91" fillId="0" borderId="0" applyFont="0" applyFill="0" applyBorder="0" applyAlignment="0" applyProtection="0"/>
    <xf numFmtId="9" fontId="91" fillId="0" borderId="0" applyFont="0" applyFill="0" applyBorder="0" applyAlignment="0" applyProtection="0"/>
    <xf numFmtId="9" fontId="91" fillId="0" borderId="0" applyFont="0" applyFill="0" applyBorder="0" applyAlignment="0" applyProtection="0"/>
    <xf numFmtId="9" fontId="91" fillId="0" borderId="0" applyFont="0" applyFill="0" applyBorder="0" applyAlignment="0" applyProtection="0"/>
    <xf numFmtId="9" fontId="35" fillId="0" borderId="0" applyFont="0" applyFill="0" applyBorder="0" applyAlignment="0" applyProtection="0"/>
    <xf numFmtId="9" fontId="177" fillId="0" borderId="0" applyFont="0" applyFill="0" applyBorder="0" applyProtection="0">
      <alignment horizontal="right"/>
    </xf>
    <xf numFmtId="9" fontId="91" fillId="0" borderId="0" applyFont="0" applyFill="0" applyBorder="0" applyAlignment="0" applyProtection="0"/>
    <xf numFmtId="9" fontId="91" fillId="0" borderId="0" applyFont="0" applyFill="0" applyBorder="0" applyAlignment="0" applyProtection="0"/>
    <xf numFmtId="9" fontId="91" fillId="0" borderId="0" applyFont="0" applyFill="0" applyBorder="0" applyAlignment="0" applyProtection="0"/>
    <xf numFmtId="9" fontId="91" fillId="0" borderId="0" applyFont="0" applyFill="0" applyBorder="0" applyAlignment="0" applyProtection="0"/>
    <xf numFmtId="9" fontId="91" fillId="0" borderId="0" applyFont="0" applyFill="0" applyBorder="0" applyAlignment="0" applyProtection="0"/>
    <xf numFmtId="9" fontId="91" fillId="0" borderId="0" applyFont="0" applyFill="0" applyBorder="0" applyAlignment="0" applyProtection="0"/>
    <xf numFmtId="9" fontId="91" fillId="0" borderId="0" applyFont="0" applyFill="0" applyBorder="0" applyAlignment="0" applyProtection="0"/>
    <xf numFmtId="9" fontId="91" fillId="0" borderId="0" applyFont="0" applyFill="0" applyBorder="0" applyAlignment="0" applyProtection="0"/>
    <xf numFmtId="9" fontId="91" fillId="0" borderId="0" applyFont="0" applyFill="0" applyBorder="0" applyAlignment="0" applyProtection="0"/>
    <xf numFmtId="9" fontId="91" fillId="0" borderId="0" applyFont="0" applyFill="0" applyBorder="0" applyAlignment="0" applyProtection="0"/>
    <xf numFmtId="9" fontId="91" fillId="0" borderId="0" applyFont="0" applyFill="0" applyBorder="0" applyAlignment="0" applyProtection="0"/>
    <xf numFmtId="9" fontId="91" fillId="0" borderId="0" applyFont="0" applyFill="0" applyBorder="0" applyAlignment="0" applyProtection="0"/>
    <xf numFmtId="9" fontId="91" fillId="0" borderId="0" applyFont="0" applyFill="0" applyBorder="0" applyAlignment="0" applyProtection="0"/>
    <xf numFmtId="9" fontId="91" fillId="0" borderId="0" applyFont="0" applyFill="0" applyBorder="0" applyAlignment="0" applyProtection="0"/>
    <xf numFmtId="9" fontId="91" fillId="0" borderId="0" applyFont="0" applyFill="0" applyBorder="0" applyAlignment="0" applyProtection="0"/>
    <xf numFmtId="9" fontId="91" fillId="0" borderId="0" applyFont="0" applyFill="0" applyBorder="0" applyAlignment="0" applyProtection="0"/>
    <xf numFmtId="9" fontId="91" fillId="0" borderId="0" applyFont="0" applyFill="0" applyBorder="0" applyAlignment="0" applyProtection="0"/>
    <xf numFmtId="9" fontId="91" fillId="0" borderId="0" applyFont="0" applyFill="0" applyBorder="0" applyAlignment="0" applyProtection="0"/>
    <xf numFmtId="9" fontId="91" fillId="0" borderId="0" applyFont="0" applyFill="0" applyBorder="0" applyAlignment="0" applyProtection="0"/>
    <xf numFmtId="9" fontId="91" fillId="0" borderId="0" applyFont="0" applyFill="0" applyBorder="0" applyAlignment="0" applyProtection="0"/>
    <xf numFmtId="9" fontId="91" fillId="0" borderId="0" applyFont="0" applyFill="0" applyBorder="0" applyAlignment="0" applyProtection="0"/>
    <xf numFmtId="9" fontId="91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91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91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77" fillId="0" borderId="0" applyFont="0" applyFill="0" applyBorder="0" applyProtection="0">
      <alignment horizontal="right"/>
    </xf>
    <xf numFmtId="9" fontId="223" fillId="0" borderId="0" applyFont="0" applyFill="0" applyBorder="0" applyAlignment="0" applyProtection="0"/>
    <xf numFmtId="9" fontId="91" fillId="0" borderId="0" applyFont="0" applyFill="0" applyBorder="0" applyAlignment="0" applyProtection="0"/>
    <xf numFmtId="9" fontId="91" fillId="0" borderId="0" applyFont="0" applyFill="0" applyBorder="0" applyAlignment="0" applyProtection="0"/>
    <xf numFmtId="9" fontId="91" fillId="0" borderId="0" applyFont="0" applyFill="0" applyBorder="0" applyAlignment="0" applyProtection="0"/>
    <xf numFmtId="9" fontId="91" fillId="0" borderId="0" applyFont="0" applyFill="0" applyBorder="0" applyAlignment="0" applyProtection="0"/>
    <xf numFmtId="9" fontId="91" fillId="0" borderId="0" applyFont="0" applyFill="0" applyBorder="0" applyAlignment="0" applyProtection="0"/>
    <xf numFmtId="9" fontId="91" fillId="0" borderId="0" applyFont="0" applyFill="0" applyBorder="0" applyAlignment="0" applyProtection="0"/>
    <xf numFmtId="9" fontId="91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91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64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91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35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91" fillId="0" borderId="0" applyFont="0" applyFill="0" applyBorder="0" applyAlignment="0" applyProtection="0"/>
    <xf numFmtId="9" fontId="91" fillId="0" borderId="0" applyFont="0" applyFill="0" applyBorder="0" applyAlignment="0" applyProtection="0"/>
    <xf numFmtId="9" fontId="91" fillId="0" borderId="0" applyFont="0" applyFill="0" applyBorder="0" applyAlignment="0" applyProtection="0"/>
    <xf numFmtId="9" fontId="91" fillId="0" borderId="0" applyFont="0" applyFill="0" applyBorder="0" applyAlignment="0" applyProtection="0"/>
    <xf numFmtId="9" fontId="91" fillId="0" borderId="0" applyFont="0" applyFill="0" applyBorder="0" applyAlignment="0" applyProtection="0"/>
    <xf numFmtId="9" fontId="91" fillId="0" borderId="0" applyFont="0" applyFill="0" applyBorder="0" applyAlignment="0" applyProtection="0"/>
    <xf numFmtId="9" fontId="91" fillId="0" borderId="0" applyFont="0" applyFill="0" applyBorder="0" applyAlignment="0" applyProtection="0"/>
    <xf numFmtId="9" fontId="91" fillId="0" borderId="0" applyFont="0" applyFill="0" applyBorder="0" applyAlignment="0" applyProtection="0"/>
    <xf numFmtId="9" fontId="91" fillId="0" borderId="0" applyFont="0" applyFill="0" applyBorder="0" applyAlignment="0" applyProtection="0"/>
    <xf numFmtId="9" fontId="91" fillId="0" borderId="0" applyFont="0" applyFill="0" applyBorder="0" applyAlignment="0" applyProtection="0"/>
    <xf numFmtId="9" fontId="91" fillId="0" borderId="0" applyFont="0" applyFill="0" applyBorder="0" applyAlignment="0" applyProtection="0"/>
    <xf numFmtId="9" fontId="91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35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91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35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91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91" fillId="0" borderId="0" applyFont="0" applyFill="0" applyBorder="0" applyAlignment="0" applyProtection="0"/>
    <xf numFmtId="9" fontId="91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91" fillId="0" borderId="0" applyFont="0" applyFill="0" applyBorder="0" applyAlignment="0" applyProtection="0"/>
    <xf numFmtId="9" fontId="91" fillId="0" borderId="0" applyFont="0" applyFill="0" applyBorder="0" applyAlignment="0" applyProtection="0"/>
    <xf numFmtId="9" fontId="91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91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91" fillId="0" borderId="0" applyFont="0" applyFill="0" applyBorder="0" applyAlignment="0" applyProtection="0"/>
    <xf numFmtId="9" fontId="91" fillId="0" borderId="0" applyFont="0" applyFill="0" applyBorder="0" applyAlignment="0" applyProtection="0"/>
    <xf numFmtId="9" fontId="35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91" fillId="0" borderId="0" applyFont="0" applyFill="0" applyBorder="0" applyAlignment="0" applyProtection="0"/>
    <xf numFmtId="9" fontId="91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91" fillId="0" borderId="0" applyFont="0" applyFill="0" applyBorder="0" applyAlignment="0" applyProtection="0"/>
    <xf numFmtId="9" fontId="91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91" fillId="0" borderId="0" applyFont="0" applyFill="0" applyBorder="0" applyAlignment="0" applyProtection="0"/>
    <xf numFmtId="9" fontId="91" fillId="0" borderId="0" applyFont="0" applyFill="0" applyBorder="0" applyAlignment="0" applyProtection="0"/>
    <xf numFmtId="9" fontId="91" fillId="0" borderId="0" applyFont="0" applyFill="0" applyBorder="0" applyAlignment="0" applyProtection="0"/>
    <xf numFmtId="9" fontId="91" fillId="0" borderId="0" applyFont="0" applyFill="0" applyBorder="0" applyAlignment="0" applyProtection="0"/>
    <xf numFmtId="9" fontId="91" fillId="0" borderId="0" applyFont="0" applyFill="0" applyBorder="0" applyAlignment="0" applyProtection="0"/>
    <xf numFmtId="9" fontId="91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91" fillId="0" borderId="0" applyFont="0" applyFill="0" applyBorder="0" applyAlignment="0" applyProtection="0"/>
    <xf numFmtId="9" fontId="91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91" fillId="0" borderId="0" applyFont="0" applyFill="0" applyBorder="0" applyAlignment="0" applyProtection="0"/>
    <xf numFmtId="9" fontId="91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168" fontId="13" fillId="0" borderId="0" applyFont="0" applyFill="0" applyBorder="0" applyAlignment="0" applyProtection="0"/>
    <xf numFmtId="168" fontId="231" fillId="0" borderId="0"/>
    <xf numFmtId="262" fontId="120" fillId="0" borderId="0" applyFont="0" applyBorder="0"/>
    <xf numFmtId="168" fontId="247" fillId="0" borderId="0" applyFont="0" applyFill="0" applyBorder="0" applyAlignment="0" applyProtection="0"/>
    <xf numFmtId="10" fontId="247" fillId="0" borderId="0" applyFont="0" applyFill="0" applyBorder="0" applyAlignment="0" applyProtection="0"/>
    <xf numFmtId="9" fontId="13" fillId="0" borderId="0"/>
    <xf numFmtId="168" fontId="262" fillId="0" borderId="0" applyFill="0" applyBorder="0" applyAlignment="0" applyProtection="0"/>
    <xf numFmtId="247" fontId="120" fillId="0" borderId="0" applyFont="0" applyFill="0" applyBorder="0" applyAlignment="0" applyProtection="0"/>
    <xf numFmtId="248" fontId="120" fillId="0" borderId="0" applyFont="0" applyFill="0" applyBorder="0" applyAlignment="0" applyProtection="0"/>
    <xf numFmtId="38" fontId="120" fillId="0" borderId="0" applyFont="0" applyFill="0" applyBorder="0" applyAlignment="0" applyProtection="0"/>
    <xf numFmtId="3" fontId="120" fillId="0" borderId="0"/>
    <xf numFmtId="244" fontId="228" fillId="18" borderId="0"/>
    <xf numFmtId="224" fontId="35" fillId="0" borderId="0"/>
    <xf numFmtId="49" fontId="177" fillId="0" borderId="0">
      <alignment horizontal="right"/>
    </xf>
    <xf numFmtId="0" fontId="135" fillId="0" borderId="0"/>
    <xf numFmtId="0" fontId="135" fillId="0" borderId="0"/>
    <xf numFmtId="0" fontId="135" fillId="0" borderId="0"/>
    <xf numFmtId="0" fontId="135" fillId="0" borderId="0"/>
    <xf numFmtId="0" fontId="135" fillId="0" borderId="0"/>
    <xf numFmtId="0" fontId="135" fillId="0" borderId="0"/>
    <xf numFmtId="190" fontId="263" fillId="0" borderId="0" applyNumberFormat="0" applyFill="0" applyBorder="0" applyAlignment="0" applyProtection="0">
      <alignment horizontal="left"/>
    </xf>
    <xf numFmtId="181" fontId="42" fillId="0" borderId="0"/>
    <xf numFmtId="181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16">
      <alignment horizontal="centerContinuous"/>
    </xf>
    <xf numFmtId="0" fontId="42" fillId="0" borderId="16">
      <alignment horizontal="centerContinuous"/>
    </xf>
    <xf numFmtId="0" fontId="42" fillId="0" borderId="16">
      <alignment horizontal="centerContinuous"/>
    </xf>
    <xf numFmtId="0" fontId="42" fillId="0" borderId="16">
      <alignment horizontal="centerContinuous"/>
    </xf>
    <xf numFmtId="0" fontId="288" fillId="98" borderId="0" applyAlignment="0"/>
    <xf numFmtId="0" fontId="264" fillId="99" borderId="0" applyNumberFormat="0" applyFont="0" applyBorder="0" applyAlignment="0" applyProtection="0"/>
    <xf numFmtId="238" fontId="120" fillId="0" borderId="0" applyFont="0" applyFill="0" applyBorder="0" applyAlignment="0" applyProtection="0"/>
    <xf numFmtId="3" fontId="35" fillId="0" borderId="0"/>
    <xf numFmtId="0" fontId="13" fillId="0" borderId="0"/>
    <xf numFmtId="0" fontId="13" fillId="0" borderId="0"/>
    <xf numFmtId="0" fontId="13" fillId="0" borderId="0" applyNumberFormat="0" applyFill="0" applyBorder="0" applyAlignment="0" applyProtection="0"/>
    <xf numFmtId="0" fontId="13" fillId="0" borderId="0">
      <alignment vertical="top"/>
    </xf>
    <xf numFmtId="0" fontId="13" fillId="0" borderId="0"/>
    <xf numFmtId="0" fontId="13" fillId="0" borderId="0">
      <alignment vertical="top"/>
    </xf>
    <xf numFmtId="0" fontId="13" fillId="0" borderId="0">
      <alignment vertical="top"/>
    </xf>
    <xf numFmtId="0" fontId="13" fillId="0" borderId="0">
      <alignment vertical="top"/>
    </xf>
    <xf numFmtId="0" fontId="13" fillId="0" borderId="0">
      <alignment vertical="top"/>
    </xf>
    <xf numFmtId="0" fontId="13" fillId="0" borderId="0">
      <alignment vertical="top"/>
    </xf>
    <xf numFmtId="0" fontId="13" fillId="0" borderId="0">
      <alignment vertical="top"/>
    </xf>
    <xf numFmtId="0" fontId="13" fillId="0" borderId="0">
      <alignment vertical="top"/>
    </xf>
    <xf numFmtId="0" fontId="13" fillId="0" borderId="0">
      <alignment vertical="top"/>
    </xf>
    <xf numFmtId="0" fontId="13" fillId="0" borderId="0"/>
    <xf numFmtId="0" fontId="13" fillId="0" borderId="0">
      <alignment vertical="top"/>
    </xf>
    <xf numFmtId="0" fontId="13" fillId="0" borderId="0">
      <alignment vertical="top"/>
    </xf>
    <xf numFmtId="0" fontId="13" fillId="0" borderId="0">
      <alignment vertical="top"/>
    </xf>
    <xf numFmtId="0" fontId="13" fillId="0" borderId="0"/>
    <xf numFmtId="0" fontId="13" fillId="0" borderId="0"/>
    <xf numFmtId="0" fontId="13" fillId="0" borderId="0">
      <alignment vertical="top"/>
    </xf>
    <xf numFmtId="3" fontId="177" fillId="0" borderId="0"/>
    <xf numFmtId="0" fontId="13" fillId="0" borderId="0">
      <alignment vertical="top"/>
    </xf>
    <xf numFmtId="0" fontId="13" fillId="0" borderId="0"/>
    <xf numFmtId="0" fontId="13" fillId="0" borderId="0">
      <alignment vertical="top"/>
    </xf>
    <xf numFmtId="0" fontId="13" fillId="0" borderId="0">
      <alignment vertical="top"/>
    </xf>
    <xf numFmtId="0" fontId="13" fillId="0" borderId="0">
      <alignment vertical="top"/>
    </xf>
    <xf numFmtId="3" fontId="177" fillId="0" borderId="0"/>
    <xf numFmtId="0" fontId="13" fillId="0" borderId="0"/>
    <xf numFmtId="0" fontId="13" fillId="0" borderId="0">
      <alignment vertical="top"/>
    </xf>
    <xf numFmtId="0" fontId="13" fillId="0" borderId="0" applyNumberFormat="0" applyFill="0" applyBorder="0" applyAlignment="0" applyProtection="0"/>
    <xf numFmtId="0" fontId="13" fillId="0" borderId="0">
      <alignment vertical="top"/>
    </xf>
    <xf numFmtId="0" fontId="13" fillId="0" borderId="0">
      <alignment vertical="top"/>
    </xf>
    <xf numFmtId="0" fontId="13" fillId="0" borderId="0">
      <alignment vertical="top"/>
    </xf>
    <xf numFmtId="0" fontId="13" fillId="0" borderId="0">
      <alignment vertical="top"/>
    </xf>
    <xf numFmtId="3" fontId="177" fillId="0" borderId="0"/>
    <xf numFmtId="0" fontId="13" fillId="0" borderId="0">
      <alignment vertical="top"/>
    </xf>
    <xf numFmtId="0" fontId="13" fillId="0" borderId="0">
      <alignment vertical="top"/>
    </xf>
    <xf numFmtId="0" fontId="13" fillId="0" borderId="0">
      <alignment vertical="top"/>
    </xf>
    <xf numFmtId="0" fontId="13" fillId="0" borderId="0"/>
    <xf numFmtId="0" fontId="13" fillId="0" borderId="0">
      <alignment vertical="top"/>
    </xf>
    <xf numFmtId="0" fontId="13" fillId="0" borderId="0">
      <alignment vertical="top"/>
    </xf>
    <xf numFmtId="0" fontId="13" fillId="0" borderId="0">
      <alignment vertical="top"/>
    </xf>
    <xf numFmtId="0" fontId="13" fillId="0" borderId="0"/>
    <xf numFmtId="0" fontId="13" fillId="0" borderId="0">
      <alignment vertical="top"/>
    </xf>
    <xf numFmtId="0" fontId="13" fillId="0" borderId="0"/>
    <xf numFmtId="0" fontId="13" fillId="0" borderId="0">
      <alignment vertical="top"/>
    </xf>
    <xf numFmtId="0" fontId="13" fillId="0" borderId="0">
      <alignment vertical="top"/>
    </xf>
    <xf numFmtId="0" fontId="13" fillId="0" borderId="0">
      <alignment vertical="top"/>
    </xf>
    <xf numFmtId="0" fontId="13" fillId="0" borderId="0">
      <alignment vertical="top"/>
    </xf>
    <xf numFmtId="0" fontId="13" fillId="0" borderId="0"/>
    <xf numFmtId="3" fontId="177" fillId="0" borderId="0"/>
    <xf numFmtId="0" fontId="13" fillId="0" borderId="0">
      <alignment vertical="top"/>
    </xf>
    <xf numFmtId="0" fontId="13" fillId="0" borderId="0">
      <alignment vertical="top"/>
    </xf>
    <xf numFmtId="0" fontId="13" fillId="0" borderId="0">
      <alignment vertical="top"/>
    </xf>
    <xf numFmtId="0" fontId="13" fillId="0" borderId="0"/>
    <xf numFmtId="0" fontId="13" fillId="0" borderId="0">
      <alignment vertical="top"/>
    </xf>
    <xf numFmtId="0" fontId="13" fillId="0" borderId="0">
      <alignment vertical="top"/>
    </xf>
    <xf numFmtId="0" fontId="13" fillId="0" borderId="0">
      <alignment vertical="top"/>
    </xf>
    <xf numFmtId="0" fontId="13" fillId="0" borderId="0">
      <alignment vertical="top"/>
    </xf>
    <xf numFmtId="0" fontId="13" fillId="0" borderId="0"/>
    <xf numFmtId="0" fontId="13" fillId="0" borderId="0"/>
    <xf numFmtId="0" fontId="13" fillId="0" borderId="0">
      <alignment vertical="top"/>
    </xf>
    <xf numFmtId="0" fontId="13" fillId="0" borderId="0"/>
    <xf numFmtId="0" fontId="13" fillId="0" borderId="0">
      <alignment vertical="top"/>
    </xf>
    <xf numFmtId="0" fontId="13" fillId="0" borderId="0"/>
    <xf numFmtId="0" fontId="13" fillId="0" borderId="0">
      <alignment vertical="top"/>
    </xf>
    <xf numFmtId="0" fontId="13" fillId="0" borderId="0">
      <alignment vertical="top"/>
    </xf>
    <xf numFmtId="0" fontId="13" fillId="0" borderId="0">
      <alignment vertical="top"/>
    </xf>
    <xf numFmtId="0" fontId="13" fillId="0" borderId="0">
      <alignment vertical="top"/>
    </xf>
    <xf numFmtId="0" fontId="13" fillId="0" borderId="0"/>
    <xf numFmtId="0" fontId="13" fillId="0" borderId="0"/>
    <xf numFmtId="0" fontId="13" fillId="0" borderId="0">
      <alignment vertical="top"/>
    </xf>
    <xf numFmtId="0" fontId="13" fillId="0" borderId="0">
      <alignment vertical="top"/>
    </xf>
    <xf numFmtId="0" fontId="13" fillId="0" borderId="0"/>
    <xf numFmtId="0" fontId="13" fillId="0" borderId="0"/>
    <xf numFmtId="0" fontId="13" fillId="0" borderId="0"/>
    <xf numFmtId="0" fontId="13" fillId="0" borderId="0"/>
    <xf numFmtId="0" fontId="298" fillId="96" borderId="55" applyNumberFormat="0" applyAlignment="0" applyProtection="0"/>
    <xf numFmtId="2" fontId="298" fillId="100" borderId="55" applyProtection="0">
      <alignment horizontal="right"/>
    </xf>
    <xf numFmtId="2" fontId="299" fillId="30" borderId="55" applyProtection="0">
      <alignment horizontal="right"/>
    </xf>
    <xf numFmtId="0" fontId="35" fillId="32" borderId="8" applyNumberFormat="0" applyProtection="0">
      <alignment horizontal="center" wrapText="1"/>
    </xf>
    <xf numFmtId="14" fontId="289" fillId="27" borderId="55" applyProtection="0">
      <alignment horizontal="right"/>
    </xf>
    <xf numFmtId="14" fontId="289" fillId="27" borderId="55" applyProtection="0">
      <alignment horizontal="left"/>
    </xf>
    <xf numFmtId="0" fontId="35" fillId="0" borderId="0" applyNumberFormat="0" applyFill="0" applyBorder="0" applyProtection="0">
      <alignment vertical="center"/>
    </xf>
    <xf numFmtId="0" fontId="300" fillId="96" borderId="55" applyNumberFormat="0" applyProtection="0">
      <alignment horizontal="left"/>
    </xf>
    <xf numFmtId="0" fontId="57" fillId="0" borderId="0" applyNumberFormat="0" applyFill="0" applyBorder="0" applyProtection="0">
      <alignment vertical="center"/>
    </xf>
    <xf numFmtId="41" fontId="13" fillId="0" borderId="0" applyFont="0" applyFill="0" applyBorder="0" applyAlignment="0" applyProtection="0"/>
    <xf numFmtId="0" fontId="35" fillId="24" borderId="8" applyNumberFormat="0" applyProtection="0">
      <alignment wrapText="1"/>
    </xf>
    <xf numFmtId="41" fontId="13" fillId="0" borderId="0" applyFont="0" applyFill="0" applyBorder="0" applyAlignment="0" applyProtection="0"/>
    <xf numFmtId="0" fontId="13" fillId="0" borderId="0">
      <alignment vertical="top"/>
    </xf>
    <xf numFmtId="0" fontId="13" fillId="0" borderId="0">
      <alignment vertical="top"/>
    </xf>
    <xf numFmtId="0" fontId="13" fillId="0" borderId="0">
      <alignment vertical="top"/>
    </xf>
    <xf numFmtId="41" fontId="13" fillId="0" borderId="0" applyFont="0" applyFill="0" applyBorder="0" applyAlignment="0" applyProtection="0"/>
    <xf numFmtId="0" fontId="13" fillId="0" borderId="0">
      <alignment vertical="top"/>
    </xf>
    <xf numFmtId="0" fontId="13" fillId="0" borderId="0">
      <alignment vertical="top"/>
    </xf>
    <xf numFmtId="0" fontId="13" fillId="0" borderId="0">
      <alignment vertical="top"/>
    </xf>
    <xf numFmtId="0" fontId="13" fillId="0" borderId="0">
      <alignment vertical="top"/>
    </xf>
    <xf numFmtId="0" fontId="13" fillId="0" borderId="0">
      <alignment vertical="top"/>
    </xf>
    <xf numFmtId="0" fontId="13" fillId="0" borderId="0">
      <alignment vertical="top"/>
    </xf>
    <xf numFmtId="0" fontId="13" fillId="0" borderId="0">
      <alignment vertical="top"/>
    </xf>
    <xf numFmtId="0" fontId="13" fillId="0" borderId="0">
      <alignment vertical="top"/>
    </xf>
    <xf numFmtId="0" fontId="13" fillId="0" borderId="0">
      <alignment vertical="top"/>
    </xf>
    <xf numFmtId="0" fontId="64" fillId="0" borderId="0" applyNumberFormat="0" applyBorder="0" applyAlignment="0"/>
    <xf numFmtId="0" fontId="82" fillId="0" borderId="0" applyNumberFormat="0" applyBorder="0" applyAlignment="0"/>
    <xf numFmtId="2" fontId="289" fillId="96" borderId="55" applyProtection="0"/>
    <xf numFmtId="2" fontId="290" fillId="100" borderId="55" applyProtection="0"/>
    <xf numFmtId="2" fontId="290" fillId="97" borderId="55" applyProtection="0"/>
    <xf numFmtId="2" fontId="290" fillId="27" borderId="55" applyProtection="0"/>
    <xf numFmtId="237" fontId="265" fillId="0" borderId="0" applyFill="0" applyBorder="0" applyAlignment="0" applyProtection="0"/>
    <xf numFmtId="246" fontId="266" fillId="0" borderId="0" applyFill="0" applyBorder="0" applyAlignment="0" applyProtection="0"/>
    <xf numFmtId="0" fontId="136" fillId="0" borderId="0" applyNumberFormat="0" applyFill="0" applyBorder="0" applyProtection="0">
      <alignment horizontal="left" vertical="center"/>
    </xf>
    <xf numFmtId="238" fontId="120" fillId="0" borderId="0" applyFill="0" applyBorder="0" applyAlignment="0" applyProtection="0">
      <protection locked="0"/>
    </xf>
    <xf numFmtId="0" fontId="291" fillId="0" borderId="0" applyAlignment="0"/>
    <xf numFmtId="40" fontId="267" fillId="0" borderId="0" applyBorder="0">
      <alignment horizontal="right"/>
    </xf>
    <xf numFmtId="238" fontId="265" fillId="0" borderId="0" applyFill="0" applyBorder="0" applyAlignment="0" applyProtection="0"/>
    <xf numFmtId="0" fontId="292" fillId="0" borderId="0" applyAlignment="0"/>
    <xf numFmtId="0" fontId="52" fillId="0" borderId="0" applyFill="0" applyBorder="0" applyProtection="0">
      <alignment horizontal="left"/>
    </xf>
    <xf numFmtId="0" fontId="35" fillId="0" borderId="2" applyFill="0" applyBorder="0" applyProtection="0">
      <alignment horizontal="left" vertical="top"/>
    </xf>
    <xf numFmtId="0" fontId="35" fillId="0" borderId="2" applyFill="0" applyBorder="0" applyProtection="0">
      <alignment horizontal="left" vertical="top"/>
    </xf>
    <xf numFmtId="38" fontId="245" fillId="0" borderId="0" applyNumberFormat="0" applyBorder="0">
      <alignment horizontal="left"/>
    </xf>
    <xf numFmtId="0" fontId="233" fillId="0" borderId="0" applyNumberFormat="0" applyFont="0" applyFill="0" applyBorder="0" applyProtection="0">
      <alignment horizontal="left" vertical="top" wrapText="1"/>
    </xf>
    <xf numFmtId="0" fontId="39" fillId="0" borderId="0">
      <alignment vertical="center"/>
    </xf>
    <xf numFmtId="0" fontId="224" fillId="0" borderId="0" applyAlignment="0"/>
    <xf numFmtId="0" fontId="224" fillId="0" borderId="0" applyAlignment="0"/>
    <xf numFmtId="0" fontId="293" fillId="0" borderId="0" applyAlignment="0"/>
    <xf numFmtId="0" fontId="223" fillId="0" borderId="0" applyAlignment="0"/>
    <xf numFmtId="0" fontId="278" fillId="0" borderId="0" applyNumberFormat="0" applyFill="0" applyBorder="0" applyAlignment="0" applyProtection="0"/>
    <xf numFmtId="0" fontId="278" fillId="0" borderId="0" applyNumberFormat="0" applyFill="0" applyBorder="0" applyAlignment="0" applyProtection="0"/>
    <xf numFmtId="0" fontId="137" fillId="0" borderId="0" applyNumberFormat="0" applyFill="0" applyBorder="0" applyAlignment="0" applyProtection="0"/>
    <xf numFmtId="238" fontId="268" fillId="0" borderId="0" applyNumberFormat="0" applyFill="0" applyBorder="0" applyAlignment="0" applyProtection="0"/>
    <xf numFmtId="0" fontId="294" fillId="0" borderId="0" applyAlignment="0"/>
    <xf numFmtId="37" fontId="247" fillId="0" borderId="0" applyNumberFormat="0" applyFill="0" applyBorder="0" applyAlignment="0" applyProtection="0">
      <alignment horizontal="center"/>
    </xf>
    <xf numFmtId="0" fontId="52" fillId="0" borderId="1">
      <alignment horizontal="right" wrapText="1"/>
    </xf>
    <xf numFmtId="0" fontId="52" fillId="0" borderId="1">
      <alignment horizontal="center" wrapText="1"/>
    </xf>
    <xf numFmtId="0" fontId="52" fillId="0" borderId="1">
      <alignment horizontal="right" wrapText="1"/>
    </xf>
    <xf numFmtId="0" fontId="52" fillId="0" borderId="1">
      <alignment horizontal="right" wrapText="1"/>
    </xf>
    <xf numFmtId="0" fontId="52" fillId="0" borderId="1">
      <alignment horizontal="right" wrapText="1"/>
    </xf>
    <xf numFmtId="0" fontId="52" fillId="0" borderId="1">
      <alignment horizontal="right" wrapText="1"/>
    </xf>
    <xf numFmtId="0" fontId="52" fillId="0" borderId="1">
      <alignment horizontal="right" wrapText="1"/>
    </xf>
    <xf numFmtId="0" fontId="52" fillId="0" borderId="1">
      <alignment horizontal="right" wrapText="1"/>
    </xf>
    <xf numFmtId="0" fontId="52" fillId="0" borderId="1">
      <alignment horizontal="right" wrapText="1"/>
    </xf>
    <xf numFmtId="0" fontId="52" fillId="0" borderId="1">
      <alignment horizontal="right" wrapText="1"/>
    </xf>
    <xf numFmtId="37" fontId="247" fillId="0" borderId="0" applyNumberFormat="0" applyFill="0" applyBorder="0" applyAlignment="0" applyProtection="0">
      <alignment horizontal="center"/>
    </xf>
    <xf numFmtId="0" fontId="207" fillId="0" borderId="56" applyNumberFormat="0" applyFill="0" applyAlignment="0" applyProtection="0"/>
    <xf numFmtId="0" fontId="224" fillId="0" borderId="0" applyAlignment="0">
      <alignment wrapText="1"/>
    </xf>
    <xf numFmtId="0" fontId="224" fillId="0" borderId="0" applyAlignment="0">
      <alignment wrapText="1"/>
    </xf>
    <xf numFmtId="0" fontId="96" fillId="0" borderId="18" applyNumberFormat="0" applyFill="0" applyAlignment="0" applyProtection="0"/>
    <xf numFmtId="0" fontId="224" fillId="0" borderId="0" applyAlignment="0">
      <alignment wrapText="1"/>
    </xf>
    <xf numFmtId="0" fontId="224" fillId="0" borderId="0" applyAlignment="0">
      <alignment wrapText="1"/>
    </xf>
    <xf numFmtId="0" fontId="224" fillId="0" borderId="0" applyAlignment="0">
      <alignment wrapText="1"/>
    </xf>
    <xf numFmtId="0" fontId="224" fillId="0" borderId="0" applyAlignment="0">
      <alignment wrapText="1"/>
    </xf>
    <xf numFmtId="0" fontId="224" fillId="0" borderId="0" applyAlignment="0">
      <alignment wrapText="1"/>
    </xf>
    <xf numFmtId="0" fontId="224" fillId="0" borderId="0" applyAlignment="0">
      <alignment wrapText="1"/>
    </xf>
    <xf numFmtId="1" fontId="120" fillId="0" borderId="3" applyNumberFormat="0">
      <alignment horizontal="right"/>
    </xf>
    <xf numFmtId="37" fontId="35" fillId="22" borderId="0" applyNumberFormat="0" applyBorder="0" applyAlignment="0" applyProtection="0"/>
    <xf numFmtId="37" fontId="35" fillId="0" borderId="0"/>
    <xf numFmtId="3" fontId="58" fillId="0" borderId="53" applyProtection="0"/>
    <xf numFmtId="6" fontId="269" fillId="0" borderId="31" applyNumberFormat="0" applyFill="0" applyBorder="0" applyAlignment="0" applyProtection="0">
      <alignment horizontal="right"/>
    </xf>
    <xf numFmtId="226" fontId="134" fillId="18" borderId="2" applyBorder="0">
      <alignment horizontal="right" vertical="center"/>
      <protection locked="0"/>
    </xf>
    <xf numFmtId="0" fontId="270" fillId="0" borderId="0" applyNumberFormat="0"/>
    <xf numFmtId="0" fontId="220" fillId="0" borderId="0" applyNumberFormat="0" applyFill="0" applyBorder="0" applyAlignment="0" applyProtection="0"/>
    <xf numFmtId="0" fontId="97" fillId="0" borderId="0" applyNumberFormat="0" applyFill="0" applyBorder="0" applyAlignment="0" applyProtection="0"/>
    <xf numFmtId="1" fontId="120" fillId="0" borderId="0" applyFont="0" applyFill="0" applyBorder="0" applyAlignment="0" applyProtection="0"/>
    <xf numFmtId="1" fontId="13" fillId="0" borderId="0">
      <alignment horizontal="center"/>
    </xf>
    <xf numFmtId="1" fontId="13" fillId="0" borderId="0">
      <alignment horizontal="center"/>
    </xf>
    <xf numFmtId="1" fontId="13" fillId="0" borderId="0">
      <alignment horizontal="center"/>
    </xf>
    <xf numFmtId="1" fontId="13" fillId="0" borderId="0">
      <alignment horizontal="center"/>
    </xf>
    <xf numFmtId="1" fontId="13" fillId="0" borderId="0">
      <alignment horizontal="center"/>
    </xf>
    <xf numFmtId="1" fontId="13" fillId="0" borderId="0">
      <alignment horizontal="center"/>
    </xf>
    <xf numFmtId="1" fontId="13" fillId="0" borderId="0">
      <alignment horizontal="center"/>
    </xf>
    <xf numFmtId="1" fontId="13" fillId="0" borderId="0">
      <alignment horizontal="center"/>
    </xf>
    <xf numFmtId="1" fontId="13" fillId="0" borderId="0">
      <alignment horizontal="center"/>
    </xf>
    <xf numFmtId="1" fontId="264" fillId="0" borderId="3">
      <alignment horizontal="center"/>
    </xf>
    <xf numFmtId="40" fontId="227" fillId="0" borderId="0" applyFont="0" applyFill="0" applyBorder="0" applyAlignment="0" applyProtection="0"/>
    <xf numFmtId="0" fontId="13" fillId="0" borderId="0"/>
    <xf numFmtId="0" fontId="297" fillId="0" borderId="0"/>
    <xf numFmtId="0" fontId="271" fillId="0" borderId="0"/>
    <xf numFmtId="0" fontId="13" fillId="0" borderId="0" applyNumberFormat="0" applyFont="0" applyFill="0" applyBorder="0" applyAlignment="0" applyProtection="0"/>
    <xf numFmtId="0" fontId="235" fillId="0" borderId="0"/>
    <xf numFmtId="0" fontId="13" fillId="0" borderId="0" applyNumberFormat="0" applyFont="0" applyFill="0" applyBorder="0" applyAlignment="0" applyProtection="0"/>
    <xf numFmtId="43" fontId="13" fillId="0" borderId="0" applyFont="0" applyFill="0" applyBorder="0" applyAlignment="0" applyProtection="0"/>
    <xf numFmtId="44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307" fillId="0" borderId="0" applyFont="0" applyFill="0" applyBorder="0" applyAlignment="0" applyProtection="0"/>
    <xf numFmtId="43" fontId="305" fillId="0" borderId="0" applyFont="0" applyFill="0" applyBorder="0" applyAlignment="0" applyProtection="0"/>
    <xf numFmtId="0" fontId="4" fillId="0" borderId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305" fillId="0" borderId="0" applyFont="0" applyFill="0" applyBorder="0" applyAlignment="0" applyProtection="0"/>
    <xf numFmtId="3" fontId="177" fillId="0" borderId="17" applyBorder="0"/>
    <xf numFmtId="1" fontId="112" fillId="14" borderId="2" applyNumberFormat="0" applyBorder="0" applyAlignment="0">
      <alignment horizontal="center" vertical="top" wrapText="1"/>
      <protection hidden="1"/>
    </xf>
    <xf numFmtId="0" fontId="13" fillId="0" borderId="0" applyNumberFormat="0" applyFont="0" applyFill="0" applyBorder="0" applyAlignment="0" applyProtection="0"/>
    <xf numFmtId="9" fontId="198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0" fontId="13" fillId="0" borderId="0"/>
    <xf numFmtId="0" fontId="13" fillId="0" borderId="0"/>
    <xf numFmtId="267" fontId="13" fillId="0" borderId="0" applyFont="0" applyFill="0" applyBorder="0" applyAlignment="0" applyProtection="0"/>
    <xf numFmtId="263" fontId="13" fillId="0" borderId="0" applyFon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3" fontId="177" fillId="0" borderId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3" fontId="177" fillId="0" borderId="0"/>
    <xf numFmtId="0" fontId="13" fillId="0" borderId="0" applyNumberFormat="0" applyFill="0" applyBorder="0" applyAlignment="0" applyProtection="0"/>
    <xf numFmtId="3" fontId="177" fillId="0" borderId="0"/>
    <xf numFmtId="3" fontId="177" fillId="0" borderId="0"/>
    <xf numFmtId="0" fontId="13" fillId="0" borderId="0" applyNumberFormat="0" applyFill="0" applyBorder="0" applyAlignment="0" applyProtection="0"/>
    <xf numFmtId="3" fontId="177" fillId="0" borderId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3" fontId="177" fillId="0" borderId="0"/>
    <xf numFmtId="0" fontId="106" fillId="0" borderId="0"/>
    <xf numFmtId="267" fontId="106" fillId="0" borderId="0" applyFont="0" applyFill="0" applyBorder="0" applyAlignment="0" applyProtection="0"/>
    <xf numFmtId="263" fontId="106" fillId="0" borderId="0" applyFont="0" applyFill="0" applyBorder="0" applyAlignment="0" applyProtection="0"/>
    <xf numFmtId="268" fontId="107" fillId="0" borderId="0" applyFont="0" applyFill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266" fontId="106" fillId="0" borderId="0" applyFont="0" applyFill="0" applyBorder="0" applyAlignment="0" applyProtection="0"/>
    <xf numFmtId="269" fontId="106" fillId="0" borderId="0" applyFont="0" applyFill="0" applyBorder="0" applyAlignment="0" applyProtection="0"/>
    <xf numFmtId="0" fontId="308" fillId="0" borderId="0">
      <alignment horizontal="right"/>
    </xf>
    <xf numFmtId="0" fontId="41" fillId="0" borderId="0"/>
    <xf numFmtId="0" fontId="13" fillId="7" borderId="0" applyNumberFormat="0" applyFont="0" applyAlignment="0"/>
    <xf numFmtId="270" fontId="120" fillId="0" borderId="0">
      <alignment horizontal="right"/>
    </xf>
    <xf numFmtId="0" fontId="309" fillId="0" borderId="0"/>
    <xf numFmtId="271" fontId="244" fillId="0" borderId="0">
      <alignment horizontal="right"/>
    </xf>
    <xf numFmtId="0" fontId="13" fillId="0" borderId="0">
      <alignment horizontal="center" wrapText="1"/>
      <protection hidden="1"/>
    </xf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3" fontId="13" fillId="0" borderId="0" applyFont="0" applyFill="0" applyBorder="0" applyAlignment="0" applyProtection="0"/>
    <xf numFmtId="0" fontId="306" fillId="18" borderId="0" applyNumberFormat="0" applyFill="0" applyBorder="0" applyAlignment="0"/>
    <xf numFmtId="0" fontId="310" fillId="101" borderId="0">
      <alignment horizontal="center" vertical="center" wrapText="1"/>
    </xf>
    <xf numFmtId="272" fontId="13" fillId="0" borderId="0" applyFill="0" applyBorder="0">
      <alignment horizontal="right"/>
      <protection locked="0"/>
    </xf>
    <xf numFmtId="217" fontId="311" fillId="0" borderId="0"/>
    <xf numFmtId="217" fontId="311" fillId="0" borderId="0"/>
    <xf numFmtId="8" fontId="38" fillId="0" borderId="0" applyFont="0" applyFill="0" applyBorder="0" applyAlignment="0" applyProtection="0"/>
    <xf numFmtId="189" fontId="312" fillId="0" borderId="0" applyFont="0" applyFill="0" applyBorder="0" applyAlignment="0" applyProtection="0"/>
    <xf numFmtId="273" fontId="13" fillId="0" borderId="0" applyFont="0" applyFill="0" applyBorder="0" applyAlignment="0" applyProtection="0"/>
    <xf numFmtId="0" fontId="38" fillId="0" borderId="0" applyFont="0" applyFill="0" applyBorder="0" applyAlignment="0">
      <protection locked="0"/>
    </xf>
    <xf numFmtId="44" fontId="13" fillId="0" borderId="0" applyFont="0" applyFill="0" applyBorder="0" applyAlignment="0" applyProtection="0"/>
    <xf numFmtId="38" fontId="223" fillId="19" borderId="58">
      <protection locked="0"/>
    </xf>
    <xf numFmtId="37" fontId="56" fillId="0" borderId="59" applyAlignment="0">
      <protection locked="0"/>
    </xf>
    <xf numFmtId="10" fontId="56" fillId="0" borderId="59" applyAlignment="0">
      <protection locked="0"/>
    </xf>
    <xf numFmtId="37" fontId="56" fillId="0" borderId="59" applyAlignment="0">
      <protection locked="0"/>
    </xf>
    <xf numFmtId="184" fontId="244" fillId="0" borderId="0"/>
    <xf numFmtId="2" fontId="224" fillId="20" borderId="0">
      <alignment horizontal="left"/>
      <protection hidden="1"/>
    </xf>
    <xf numFmtId="225" fontId="120" fillId="0" borderId="0"/>
    <xf numFmtId="2" fontId="244" fillId="0" borderId="0"/>
    <xf numFmtId="262" fontId="120" fillId="0" borderId="0"/>
    <xf numFmtId="259" fontId="244" fillId="0" borderId="0"/>
    <xf numFmtId="260" fontId="313" fillId="0" borderId="0" applyBorder="0" applyAlignment="0"/>
    <xf numFmtId="238" fontId="314" fillId="21" borderId="0" applyNumberFormat="0" applyBorder="0" applyAlignment="0">
      <protection locked="0"/>
    </xf>
    <xf numFmtId="10" fontId="315" fillId="0" borderId="0">
      <protection locked="0"/>
    </xf>
    <xf numFmtId="15" fontId="315" fillId="0" borderId="0">
      <protection locked="0"/>
    </xf>
    <xf numFmtId="2" fontId="315" fillId="0" borderId="26">
      <protection locked="0"/>
    </xf>
    <xf numFmtId="37" fontId="57" fillId="7" borderId="0"/>
    <xf numFmtId="37" fontId="54" fillId="7" borderId="0"/>
    <xf numFmtId="0" fontId="315" fillId="0" borderId="0">
      <protection locked="0"/>
    </xf>
    <xf numFmtId="199" fontId="13" fillId="0" borderId="0" applyFill="0" applyBorder="0">
      <alignment horizontal="right"/>
      <protection locked="0"/>
    </xf>
    <xf numFmtId="0" fontId="30" fillId="31" borderId="57">
      <alignment horizontal="left" vertical="center" wrapText="1"/>
    </xf>
    <xf numFmtId="4" fontId="244" fillId="0" borderId="0"/>
    <xf numFmtId="274" fontId="120" fillId="0" borderId="0"/>
    <xf numFmtId="0" fontId="38" fillId="0" borderId="0"/>
    <xf numFmtId="0" fontId="13" fillId="0" borderId="0" applyNumberFormat="0" applyFill="0" applyBorder="0" applyAlignment="0" applyProtection="0"/>
    <xf numFmtId="0" fontId="38" fillId="0" borderId="0"/>
    <xf numFmtId="0" fontId="4" fillId="0" borderId="0"/>
    <xf numFmtId="0" fontId="4" fillId="0" borderId="0"/>
    <xf numFmtId="238" fontId="57" fillId="0" borderId="0" applyNumberFormat="0" applyFill="0" applyBorder="0" applyAlignment="0" applyProtection="0"/>
    <xf numFmtId="0" fontId="316" fillId="0" borderId="26"/>
    <xf numFmtId="38" fontId="317" fillId="0" borderId="0"/>
    <xf numFmtId="3" fontId="177" fillId="0" borderId="17" applyBorder="0"/>
    <xf numFmtId="238" fontId="52" fillId="0" borderId="0" applyFont="0" applyBorder="0">
      <alignment horizontal="right"/>
    </xf>
    <xf numFmtId="1" fontId="52" fillId="0" borderId="0">
      <alignment horizontal="right"/>
    </xf>
    <xf numFmtId="37" fontId="56" fillId="0" borderId="59">
      <protection locked="0"/>
    </xf>
    <xf numFmtId="10" fontId="317" fillId="0" borderId="0"/>
    <xf numFmtId="9" fontId="38" fillId="0" borderId="0" applyFont="0" applyFill="0" applyBorder="0" applyAlignment="0" applyProtection="0"/>
    <xf numFmtId="275" fontId="120" fillId="0" borderId="0">
      <alignment horizontal="right"/>
    </xf>
    <xf numFmtId="10" fontId="312" fillId="0" borderId="0" applyFont="0" applyFill="0" applyBorder="0" applyAlignment="0" applyProtection="0"/>
    <xf numFmtId="238" fontId="318" fillId="0" borderId="0">
      <alignment horizontal="right"/>
    </xf>
    <xf numFmtId="276" fontId="13" fillId="0" borderId="0" applyFill="0" applyBorder="0">
      <alignment horizontal="right"/>
      <protection locked="0"/>
    </xf>
    <xf numFmtId="37" fontId="56" fillId="0" borderId="0">
      <protection locked="0"/>
    </xf>
    <xf numFmtId="248" fontId="107" fillId="0" borderId="0" applyFill="0" applyBorder="0">
      <alignment horizontal="right"/>
      <protection locked="0"/>
    </xf>
    <xf numFmtId="2" fontId="317" fillId="0" borderId="0"/>
    <xf numFmtId="277" fontId="13" fillId="0" borderId="0">
      <alignment horizontal="right"/>
      <protection locked="0"/>
    </xf>
    <xf numFmtId="37" fontId="38" fillId="0" borderId="0" applyFont="0" applyFill="0" applyBorder="0" applyAlignment="0" applyProtection="0"/>
    <xf numFmtId="0" fontId="313" fillId="0" borderId="0" applyNumberFormat="0" applyFill="0" applyBorder="0" applyAlignment="0" applyProtection="0"/>
    <xf numFmtId="278" fontId="319" fillId="0" borderId="0" applyFill="0" applyBorder="0">
      <alignment horizontal="right"/>
      <protection hidden="1"/>
    </xf>
    <xf numFmtId="0" fontId="54" fillId="101" borderId="8">
      <alignment horizontal="center" vertical="center" wrapText="1"/>
      <protection hidden="1"/>
    </xf>
    <xf numFmtId="0" fontId="51" fillId="30" borderId="0">
      <alignment horizontal="right"/>
    </xf>
    <xf numFmtId="184" fontId="120" fillId="0" borderId="0"/>
    <xf numFmtId="279" fontId="107" fillId="0" borderId="0">
      <protection locked="0"/>
    </xf>
    <xf numFmtId="0" fontId="64" fillId="0" borderId="2" applyBorder="0">
      <alignment horizontal="center"/>
    </xf>
    <xf numFmtId="38" fontId="13" fillId="0" borderId="0" applyNumberFormat="0" applyBorder="0">
      <alignment horizontal="left"/>
    </xf>
    <xf numFmtId="0" fontId="317" fillId="0" borderId="0"/>
    <xf numFmtId="0" fontId="55" fillId="102" borderId="0" applyNumberFormat="0" applyBorder="0">
      <alignment horizontal="centerContinuous"/>
    </xf>
    <xf numFmtId="0" fontId="13" fillId="0" borderId="0" applyBorder="0"/>
    <xf numFmtId="38" fontId="13" fillId="0" borderId="0">
      <alignment horizontal="right"/>
    </xf>
    <xf numFmtId="238" fontId="35" fillId="21" borderId="58">
      <alignment horizontal="right"/>
    </xf>
    <xf numFmtId="238" fontId="57" fillId="21" borderId="58"/>
    <xf numFmtId="1" fontId="320" fillId="0" borderId="0" applyFont="0">
      <alignment horizontal="right"/>
    </xf>
    <xf numFmtId="0" fontId="197" fillId="0" borderId="0"/>
    <xf numFmtId="267" fontId="197" fillId="0" borderId="0" applyFont="0" applyFill="0" applyBorder="0" applyAlignment="0" applyProtection="0"/>
    <xf numFmtId="263" fontId="197" fillId="0" borderId="0" applyFont="0" applyFill="0" applyBorder="0" applyAlignment="0" applyProtection="0"/>
    <xf numFmtId="9" fontId="177" fillId="0" borderId="0" applyFont="0" applyFill="0" applyBorder="0" applyProtection="0">
      <alignment horizontal="right"/>
    </xf>
    <xf numFmtId="266" fontId="197" fillId="0" borderId="0" applyFont="0" applyFill="0" applyBorder="0" applyAlignment="0" applyProtection="0"/>
    <xf numFmtId="269" fontId="197" fillId="0" borderId="0" applyFont="0" applyFill="0" applyBorder="0" applyAlignment="0" applyProtection="0"/>
    <xf numFmtId="0" fontId="178" fillId="0" borderId="0" applyNumberFormat="0" applyFill="0" applyBorder="0" applyAlignment="0" applyProtection="0">
      <alignment vertical="top"/>
      <protection locked="0"/>
    </xf>
    <xf numFmtId="0" fontId="35" fillId="0" borderId="0"/>
    <xf numFmtId="9" fontId="35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35" fillId="0" borderId="0" applyFont="0" applyFill="0" applyBorder="0" applyAlignment="0" applyProtection="0"/>
    <xf numFmtId="242" fontId="13" fillId="18" borderId="21">
      <alignment horizontal="right"/>
    </xf>
    <xf numFmtId="43" fontId="4" fillId="0" borderId="0" applyFont="0" applyFill="0" applyBorder="0" applyAlignment="0" applyProtection="0"/>
    <xf numFmtId="189" fontId="13" fillId="18" borderId="21">
      <alignment horizontal="right"/>
    </xf>
    <xf numFmtId="43" fontId="4" fillId="0" borderId="0" applyFont="0" applyFill="0" applyBorder="0" applyAlignment="0" applyProtection="0"/>
    <xf numFmtId="0" fontId="123" fillId="0" borderId="0"/>
    <xf numFmtId="43" fontId="4" fillId="0" borderId="0" applyFont="0" applyFill="0" applyBorder="0" applyAlignment="0" applyProtection="0"/>
    <xf numFmtId="0" fontId="4" fillId="0" borderId="0"/>
    <xf numFmtId="43" fontId="35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13" fillId="0" borderId="0"/>
    <xf numFmtId="0" fontId="4" fillId="0" borderId="0"/>
    <xf numFmtId="9" fontId="35" fillId="0" borderId="0" applyFont="0" applyFill="0" applyBorder="0" applyAlignment="0" applyProtection="0"/>
    <xf numFmtId="9" fontId="35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135" fillId="0" borderId="0"/>
    <xf numFmtId="0" fontId="35" fillId="0" borderId="0"/>
    <xf numFmtId="0" fontId="35" fillId="0" borderId="0"/>
    <xf numFmtId="0" fontId="13" fillId="0" borderId="0" applyFont="0" applyFill="0" applyBorder="0" applyAlignment="0" applyProtection="0"/>
    <xf numFmtId="0" fontId="14" fillId="0" borderId="0" applyNumberFormat="0" applyFont="0" applyFill="0" applyBorder="0" applyAlignment="0" applyProtection="0"/>
    <xf numFmtId="233" fontId="164" fillId="0" borderId="0"/>
    <xf numFmtId="0" fontId="13" fillId="0" borderId="0" applyNumberFormat="0" applyFont="0" applyFill="0" applyBorder="0" applyAlignment="0" applyProtection="0"/>
    <xf numFmtId="43" fontId="4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64" fillId="0" borderId="2" applyBorder="0">
      <alignment horizontal="center"/>
    </xf>
    <xf numFmtId="0" fontId="178" fillId="0" borderId="0" applyNumberFormat="0" applyFill="0" applyBorder="0" applyAlignment="0" applyProtection="0">
      <alignment vertical="top"/>
      <protection locked="0"/>
    </xf>
    <xf numFmtId="0" fontId="321" fillId="0" borderId="0" applyNumberFormat="0" applyFill="0" applyBorder="0" applyAlignment="0" applyProtection="0"/>
    <xf numFmtId="0" fontId="13" fillId="0" borderId="0" applyNumberFormat="0" applyFont="0" applyFill="0" applyBorder="0" applyAlignment="0" applyProtection="0"/>
    <xf numFmtId="0" fontId="4" fillId="0" borderId="0"/>
    <xf numFmtId="0" fontId="4" fillId="0" borderId="0"/>
    <xf numFmtId="0" fontId="13" fillId="0" borderId="0" applyNumberFormat="0" applyFont="0" applyFill="0" applyBorder="0" applyAlignment="0" applyProtection="0"/>
    <xf numFmtId="0" fontId="4" fillId="0" borderId="0"/>
    <xf numFmtId="0" fontId="13" fillId="0" borderId="0"/>
    <xf numFmtId="0" fontId="4" fillId="0" borderId="0"/>
    <xf numFmtId="0" fontId="13" fillId="0" borderId="0" applyNumberFormat="0" applyFont="0" applyFill="0" applyBorder="0" applyAlignment="0" applyProtection="0"/>
    <xf numFmtId="0" fontId="4" fillId="0" borderId="0"/>
    <xf numFmtId="0" fontId="13" fillId="0" borderId="0" applyNumberFormat="0" applyFont="0" applyFill="0" applyBorder="0" applyAlignment="0" applyProtection="0"/>
    <xf numFmtId="0" fontId="13" fillId="0" borderId="0" applyNumberFormat="0" applyFont="0" applyFill="0" applyBorder="0" applyAlignment="0" applyProtection="0"/>
    <xf numFmtId="0" fontId="13" fillId="0" borderId="0" applyNumberFormat="0" applyFont="0" applyFill="0" applyBorder="0" applyAlignment="0" applyProtection="0"/>
    <xf numFmtId="0" fontId="13" fillId="0" borderId="0" applyNumberFormat="0" applyFont="0" applyFill="0" applyBorder="0" applyAlignment="0" applyProtection="0"/>
    <xf numFmtId="0" fontId="13" fillId="0" borderId="0"/>
    <xf numFmtId="0" fontId="13" fillId="0" borderId="0" applyNumberFormat="0" applyFont="0" applyFill="0" applyBorder="0" applyAlignment="0" applyProtection="0"/>
    <xf numFmtId="0" fontId="198" fillId="0" borderId="0"/>
    <xf numFmtId="0" fontId="13" fillId="0" borderId="0" applyNumberFormat="0" applyFont="0" applyFill="0" applyBorder="0" applyAlignment="0" applyProtection="0"/>
    <xf numFmtId="0" fontId="13" fillId="0" borderId="0" applyNumberFormat="0" applyFont="0" applyFill="0" applyBorder="0" applyAlignment="0" applyProtection="0"/>
    <xf numFmtId="0" fontId="198" fillId="0" borderId="0"/>
    <xf numFmtId="0" fontId="13" fillId="0" borderId="0"/>
    <xf numFmtId="3" fontId="177" fillId="0" borderId="0" applyBorder="0"/>
    <xf numFmtId="0" fontId="35" fillId="0" borderId="2" applyFill="0" applyBorder="0" applyProtection="0">
      <alignment horizontal="left" vertical="top"/>
    </xf>
    <xf numFmtId="9" fontId="4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233" fillId="0" borderId="2" applyNumberFormat="0" applyFont="0" applyFill="0" applyAlignment="0" applyProtection="0"/>
    <xf numFmtId="9" fontId="13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226" fontId="134" fillId="18" borderId="2" applyBorder="0">
      <alignment horizontal="right" vertical="center"/>
      <protection locked="0"/>
    </xf>
    <xf numFmtId="9" fontId="13" fillId="0" borderId="0" applyFont="0" applyFill="0" applyBorder="0" applyAlignment="0" applyProtection="0"/>
    <xf numFmtId="0" fontId="53" fillId="0" borderId="0"/>
    <xf numFmtId="0" fontId="53" fillId="0" borderId="0"/>
    <xf numFmtId="44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4" fillId="88" borderId="0" applyNumberFormat="0" applyBorder="0" applyAlignment="0" applyProtection="0"/>
    <xf numFmtId="0" fontId="4" fillId="2" borderId="0" applyNumberFormat="0" applyBorder="0" applyAlignment="0" applyProtection="0"/>
    <xf numFmtId="0" fontId="4" fillId="89" borderId="0" applyNumberFormat="0" applyBorder="0" applyAlignment="0" applyProtection="0"/>
    <xf numFmtId="0" fontId="4" fillId="88" borderId="0" applyNumberFormat="0" applyBorder="0" applyAlignment="0" applyProtection="0"/>
    <xf numFmtId="0" fontId="4" fillId="88" borderId="0" applyNumberFormat="0" applyBorder="0" applyAlignment="0" applyProtection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7" borderId="0" applyNumberFormat="0" applyBorder="0" applyAlignment="0" applyProtection="0"/>
    <xf numFmtId="0" fontId="4" fillId="90" borderId="0" applyNumberFormat="0" applyBorder="0" applyAlignment="0" applyProtection="0"/>
    <xf numFmtId="0" fontId="4" fillId="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8" borderId="0" applyNumberFormat="0" applyBorder="0" applyAlignment="0" applyProtection="0"/>
    <xf numFmtId="0" fontId="4" fillId="2" borderId="0" applyNumberFormat="0" applyBorder="0" applyAlignment="0" applyProtection="0"/>
    <xf numFmtId="0" fontId="4" fillId="73" borderId="0" applyNumberFormat="0" applyBorder="0" applyAlignment="0" applyProtection="0"/>
    <xf numFmtId="0" fontId="4" fillId="89" borderId="0" applyNumberFormat="0" applyBorder="0" applyAlignment="0" applyProtection="0"/>
    <xf numFmtId="0" fontId="4" fillId="88" borderId="0" applyNumberFormat="0" applyBorder="0" applyAlignment="0" applyProtection="0"/>
    <xf numFmtId="0" fontId="4" fillId="85" borderId="0" applyNumberFormat="0" applyBorder="0" applyAlignment="0" applyProtection="0"/>
    <xf numFmtId="0" fontId="4" fillId="88" borderId="0" applyNumberFormat="0" applyBorder="0" applyAlignment="0" applyProtection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7" borderId="0" applyNumberFormat="0" applyBorder="0" applyAlignment="0" applyProtection="0"/>
    <xf numFmtId="0" fontId="4" fillId="90" borderId="0" applyNumberFormat="0" applyBorder="0" applyAlignment="0" applyProtection="0"/>
    <xf numFmtId="0" fontId="4" fillId="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73" borderId="0" applyNumberFormat="0" applyBorder="0" applyAlignment="0" applyProtection="0"/>
    <xf numFmtId="0" fontId="4" fillId="88" borderId="0" applyNumberFormat="0" applyBorder="0" applyAlignment="0" applyProtection="0"/>
    <xf numFmtId="0" fontId="4" fillId="85" borderId="0" applyNumberFormat="0" applyBorder="0" applyAlignment="0" applyProtection="0"/>
    <xf numFmtId="0" fontId="4" fillId="2" borderId="0" applyNumberFormat="0" applyBorder="0" applyAlignment="0" applyProtection="0"/>
    <xf numFmtId="0" fontId="4" fillId="9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8" borderId="0" applyNumberFormat="0" applyBorder="0" applyAlignment="0" applyProtection="0"/>
    <xf numFmtId="0" fontId="4" fillId="2" borderId="0" applyNumberFormat="0" applyBorder="0" applyAlignment="0" applyProtection="0"/>
    <xf numFmtId="0" fontId="4" fillId="89" borderId="0" applyNumberFormat="0" applyBorder="0" applyAlignment="0" applyProtection="0"/>
    <xf numFmtId="0" fontId="4" fillId="88" borderId="0" applyNumberFormat="0" applyBorder="0" applyAlignment="0" applyProtection="0"/>
    <xf numFmtId="0" fontId="4" fillId="88" borderId="0" applyNumberFormat="0" applyBorder="0" applyAlignment="0" applyProtection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7" borderId="0" applyNumberFormat="0" applyBorder="0" applyAlignment="0" applyProtection="0"/>
    <xf numFmtId="0" fontId="4" fillId="90" borderId="0" applyNumberFormat="0" applyBorder="0" applyAlignment="0" applyProtection="0"/>
    <xf numFmtId="0" fontId="4" fillId="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8" borderId="0" applyNumberFormat="0" applyBorder="0" applyAlignment="0" applyProtection="0"/>
    <xf numFmtId="0" fontId="4" fillId="2" borderId="0" applyNumberFormat="0" applyBorder="0" applyAlignment="0" applyProtection="0"/>
    <xf numFmtId="0" fontId="4" fillId="73" borderId="0" applyNumberFormat="0" applyBorder="0" applyAlignment="0" applyProtection="0"/>
    <xf numFmtId="0" fontId="4" fillId="89" borderId="0" applyNumberFormat="0" applyBorder="0" applyAlignment="0" applyProtection="0"/>
    <xf numFmtId="0" fontId="4" fillId="88" borderId="0" applyNumberFormat="0" applyBorder="0" applyAlignment="0" applyProtection="0"/>
    <xf numFmtId="0" fontId="4" fillId="85" borderId="0" applyNumberFormat="0" applyBorder="0" applyAlignment="0" applyProtection="0"/>
    <xf numFmtId="0" fontId="4" fillId="88" borderId="0" applyNumberFormat="0" applyBorder="0" applyAlignment="0" applyProtection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7" borderId="0" applyNumberFormat="0" applyBorder="0" applyAlignment="0" applyProtection="0"/>
    <xf numFmtId="0" fontId="4" fillId="90" borderId="0" applyNumberFormat="0" applyBorder="0" applyAlignment="0" applyProtection="0"/>
    <xf numFmtId="0" fontId="4" fillId="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8" borderId="0" applyNumberFormat="0" applyBorder="0" applyAlignment="0" applyProtection="0"/>
    <xf numFmtId="0" fontId="4" fillId="2" borderId="0" applyNumberFormat="0" applyBorder="0" applyAlignment="0" applyProtection="0"/>
    <xf numFmtId="0" fontId="4" fillId="73" borderId="0" applyNumberFormat="0" applyBorder="0" applyAlignment="0" applyProtection="0"/>
    <xf numFmtId="0" fontId="4" fillId="89" borderId="0" applyNumberFormat="0" applyBorder="0" applyAlignment="0" applyProtection="0"/>
    <xf numFmtId="0" fontId="4" fillId="88" borderId="0" applyNumberFormat="0" applyBorder="0" applyAlignment="0" applyProtection="0"/>
    <xf numFmtId="0" fontId="4" fillId="85" borderId="0" applyNumberFormat="0" applyBorder="0" applyAlignment="0" applyProtection="0"/>
    <xf numFmtId="0" fontId="4" fillId="88" borderId="0" applyNumberFormat="0" applyBorder="0" applyAlignment="0" applyProtection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7" borderId="0" applyNumberFormat="0" applyBorder="0" applyAlignment="0" applyProtection="0"/>
    <xf numFmtId="0" fontId="4" fillId="90" borderId="0" applyNumberFormat="0" applyBorder="0" applyAlignment="0" applyProtection="0"/>
    <xf numFmtId="0" fontId="4" fillId="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8" borderId="0" applyNumberFormat="0" applyBorder="0" applyAlignment="0" applyProtection="0"/>
    <xf numFmtId="0" fontId="4" fillId="2" borderId="0" applyNumberFormat="0" applyBorder="0" applyAlignment="0" applyProtection="0"/>
    <xf numFmtId="0" fontId="4" fillId="73" borderId="0" applyNumberFormat="0" applyBorder="0" applyAlignment="0" applyProtection="0"/>
    <xf numFmtId="0" fontId="4" fillId="89" borderId="0" applyNumberFormat="0" applyBorder="0" applyAlignment="0" applyProtection="0"/>
    <xf numFmtId="0" fontId="4" fillId="88" borderId="0" applyNumberFormat="0" applyBorder="0" applyAlignment="0" applyProtection="0"/>
    <xf numFmtId="0" fontId="4" fillId="85" borderId="0" applyNumberFormat="0" applyBorder="0" applyAlignment="0" applyProtection="0"/>
    <xf numFmtId="0" fontId="4" fillId="88" borderId="0" applyNumberFormat="0" applyBorder="0" applyAlignment="0" applyProtection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7" borderId="0" applyNumberFormat="0" applyBorder="0" applyAlignment="0" applyProtection="0"/>
    <xf numFmtId="0" fontId="4" fillId="90" borderId="0" applyNumberFormat="0" applyBorder="0" applyAlignment="0" applyProtection="0"/>
    <xf numFmtId="0" fontId="4" fillId="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8" borderId="0" applyNumberFormat="0" applyBorder="0" applyAlignment="0" applyProtection="0"/>
    <xf numFmtId="0" fontId="4" fillId="2" borderId="0" applyNumberFormat="0" applyBorder="0" applyAlignment="0" applyProtection="0"/>
    <xf numFmtId="0" fontId="4" fillId="73" borderId="0" applyNumberFormat="0" applyBorder="0" applyAlignment="0" applyProtection="0"/>
    <xf numFmtId="0" fontId="4" fillId="89" borderId="0" applyNumberFormat="0" applyBorder="0" applyAlignment="0" applyProtection="0"/>
    <xf numFmtId="0" fontId="4" fillId="88" borderId="0" applyNumberFormat="0" applyBorder="0" applyAlignment="0" applyProtection="0"/>
    <xf numFmtId="0" fontId="4" fillId="85" borderId="0" applyNumberFormat="0" applyBorder="0" applyAlignment="0" applyProtection="0"/>
    <xf numFmtId="0" fontId="4" fillId="88" borderId="0" applyNumberFormat="0" applyBorder="0" applyAlignment="0" applyProtection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7" borderId="0" applyNumberFormat="0" applyBorder="0" applyAlignment="0" applyProtection="0"/>
    <xf numFmtId="0" fontId="4" fillId="90" borderId="0" applyNumberFormat="0" applyBorder="0" applyAlignment="0" applyProtection="0"/>
    <xf numFmtId="0" fontId="4" fillId="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8" borderId="0" applyNumberFormat="0" applyBorder="0" applyAlignment="0" applyProtection="0"/>
    <xf numFmtId="0" fontId="4" fillId="2" borderId="0" applyNumberFormat="0" applyBorder="0" applyAlignment="0" applyProtection="0"/>
    <xf numFmtId="0" fontId="4" fillId="73" borderId="0" applyNumberFormat="0" applyBorder="0" applyAlignment="0" applyProtection="0"/>
    <xf numFmtId="0" fontId="4" fillId="89" borderId="0" applyNumberFormat="0" applyBorder="0" applyAlignment="0" applyProtection="0"/>
    <xf numFmtId="0" fontId="4" fillId="88" borderId="0" applyNumberFormat="0" applyBorder="0" applyAlignment="0" applyProtection="0"/>
    <xf numFmtId="0" fontId="4" fillId="85" borderId="0" applyNumberFormat="0" applyBorder="0" applyAlignment="0" applyProtection="0"/>
    <xf numFmtId="0" fontId="4" fillId="88" borderId="0" applyNumberFormat="0" applyBorder="0" applyAlignment="0" applyProtection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7" borderId="0" applyNumberFormat="0" applyBorder="0" applyAlignment="0" applyProtection="0"/>
    <xf numFmtId="0" fontId="4" fillId="90" borderId="0" applyNumberFormat="0" applyBorder="0" applyAlignment="0" applyProtection="0"/>
    <xf numFmtId="0" fontId="4" fillId="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8" borderId="0" applyNumberFormat="0" applyBorder="0" applyAlignment="0" applyProtection="0"/>
    <xf numFmtId="0" fontId="4" fillId="2" borderId="0" applyNumberFormat="0" applyBorder="0" applyAlignment="0" applyProtection="0"/>
    <xf numFmtId="0" fontId="4" fillId="73" borderId="0" applyNumberFormat="0" applyBorder="0" applyAlignment="0" applyProtection="0"/>
    <xf numFmtId="0" fontId="4" fillId="89" borderId="0" applyNumberFormat="0" applyBorder="0" applyAlignment="0" applyProtection="0"/>
    <xf numFmtId="0" fontId="4" fillId="88" borderId="0" applyNumberFormat="0" applyBorder="0" applyAlignment="0" applyProtection="0"/>
    <xf numFmtId="0" fontId="4" fillId="85" borderId="0" applyNumberFormat="0" applyBorder="0" applyAlignment="0" applyProtection="0"/>
    <xf numFmtId="0" fontId="4" fillId="88" borderId="0" applyNumberFormat="0" applyBorder="0" applyAlignment="0" applyProtection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7" borderId="0" applyNumberFormat="0" applyBorder="0" applyAlignment="0" applyProtection="0"/>
    <xf numFmtId="0" fontId="4" fillId="90" borderId="0" applyNumberFormat="0" applyBorder="0" applyAlignment="0" applyProtection="0"/>
    <xf numFmtId="0" fontId="4" fillId="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8" borderId="0" applyNumberFormat="0" applyBorder="0" applyAlignment="0" applyProtection="0"/>
    <xf numFmtId="0" fontId="4" fillId="2" borderId="0" applyNumberFormat="0" applyBorder="0" applyAlignment="0" applyProtection="0"/>
    <xf numFmtId="0" fontId="4" fillId="73" borderId="0" applyNumberFormat="0" applyBorder="0" applyAlignment="0" applyProtection="0"/>
    <xf numFmtId="0" fontId="4" fillId="89" borderId="0" applyNumberFormat="0" applyBorder="0" applyAlignment="0" applyProtection="0"/>
    <xf numFmtId="0" fontId="4" fillId="88" borderId="0" applyNumberFormat="0" applyBorder="0" applyAlignment="0" applyProtection="0"/>
    <xf numFmtId="0" fontId="4" fillId="85" borderId="0" applyNumberFormat="0" applyBorder="0" applyAlignment="0" applyProtection="0"/>
    <xf numFmtId="0" fontId="4" fillId="88" borderId="0" applyNumberFormat="0" applyBorder="0" applyAlignment="0" applyProtection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7" borderId="0" applyNumberFormat="0" applyBorder="0" applyAlignment="0" applyProtection="0"/>
    <xf numFmtId="0" fontId="4" fillId="90" borderId="0" applyNumberFormat="0" applyBorder="0" applyAlignment="0" applyProtection="0"/>
    <xf numFmtId="0" fontId="4" fillId="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8" borderId="0" applyNumberFormat="0" applyBorder="0" applyAlignment="0" applyProtection="0"/>
    <xf numFmtId="0" fontId="4" fillId="2" borderId="0" applyNumberFormat="0" applyBorder="0" applyAlignment="0" applyProtection="0"/>
    <xf numFmtId="0" fontId="4" fillId="73" borderId="0" applyNumberFormat="0" applyBorder="0" applyAlignment="0" applyProtection="0"/>
    <xf numFmtId="0" fontId="4" fillId="89" borderId="0" applyNumberFormat="0" applyBorder="0" applyAlignment="0" applyProtection="0"/>
    <xf numFmtId="0" fontId="4" fillId="88" borderId="0" applyNumberFormat="0" applyBorder="0" applyAlignment="0" applyProtection="0"/>
    <xf numFmtId="0" fontId="4" fillId="85" borderId="0" applyNumberFormat="0" applyBorder="0" applyAlignment="0" applyProtection="0"/>
    <xf numFmtId="0" fontId="4" fillId="88" borderId="0" applyNumberFormat="0" applyBorder="0" applyAlignment="0" applyProtection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7" borderId="0" applyNumberFormat="0" applyBorder="0" applyAlignment="0" applyProtection="0"/>
    <xf numFmtId="0" fontId="4" fillId="90" borderId="0" applyNumberFormat="0" applyBorder="0" applyAlignment="0" applyProtection="0"/>
    <xf numFmtId="0" fontId="4" fillId="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8" borderId="0" applyNumberFormat="0" applyBorder="0" applyAlignment="0" applyProtection="0"/>
    <xf numFmtId="0" fontId="4" fillId="2" borderId="0" applyNumberFormat="0" applyBorder="0" applyAlignment="0" applyProtection="0"/>
    <xf numFmtId="0" fontId="4" fillId="73" borderId="0" applyNumberFormat="0" applyBorder="0" applyAlignment="0" applyProtection="0"/>
    <xf numFmtId="0" fontId="4" fillId="89" borderId="0" applyNumberFormat="0" applyBorder="0" applyAlignment="0" applyProtection="0"/>
    <xf numFmtId="0" fontId="4" fillId="88" borderId="0" applyNumberFormat="0" applyBorder="0" applyAlignment="0" applyProtection="0"/>
    <xf numFmtId="0" fontId="4" fillId="85" borderId="0" applyNumberFormat="0" applyBorder="0" applyAlignment="0" applyProtection="0"/>
    <xf numFmtId="0" fontId="4" fillId="88" borderId="0" applyNumberFormat="0" applyBorder="0" applyAlignment="0" applyProtection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7" borderId="0" applyNumberFormat="0" applyBorder="0" applyAlignment="0" applyProtection="0"/>
    <xf numFmtId="0" fontId="4" fillId="90" borderId="0" applyNumberFormat="0" applyBorder="0" applyAlignment="0" applyProtection="0"/>
    <xf numFmtId="0" fontId="4" fillId="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8" borderId="0" applyNumberFormat="0" applyBorder="0" applyAlignment="0" applyProtection="0"/>
    <xf numFmtId="0" fontId="4" fillId="2" borderId="0" applyNumberFormat="0" applyBorder="0" applyAlignment="0" applyProtection="0"/>
    <xf numFmtId="0" fontId="4" fillId="73" borderId="0" applyNumberFormat="0" applyBorder="0" applyAlignment="0" applyProtection="0"/>
    <xf numFmtId="0" fontId="4" fillId="89" borderId="0" applyNumberFormat="0" applyBorder="0" applyAlignment="0" applyProtection="0"/>
    <xf numFmtId="0" fontId="4" fillId="88" borderId="0" applyNumberFormat="0" applyBorder="0" applyAlignment="0" applyProtection="0"/>
    <xf numFmtId="0" fontId="4" fillId="85" borderId="0" applyNumberFormat="0" applyBorder="0" applyAlignment="0" applyProtection="0"/>
    <xf numFmtId="0" fontId="4" fillId="88" borderId="0" applyNumberFormat="0" applyBorder="0" applyAlignment="0" applyProtection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7" borderId="0" applyNumberFormat="0" applyBorder="0" applyAlignment="0" applyProtection="0"/>
    <xf numFmtId="0" fontId="4" fillId="90" borderId="0" applyNumberFormat="0" applyBorder="0" applyAlignment="0" applyProtection="0"/>
    <xf numFmtId="0" fontId="4" fillId="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8" borderId="0" applyNumberFormat="0" applyBorder="0" applyAlignment="0" applyProtection="0"/>
    <xf numFmtId="0" fontId="4" fillId="2" borderId="0" applyNumberFormat="0" applyBorder="0" applyAlignment="0" applyProtection="0"/>
    <xf numFmtId="0" fontId="4" fillId="73" borderId="0" applyNumberFormat="0" applyBorder="0" applyAlignment="0" applyProtection="0"/>
    <xf numFmtId="0" fontId="4" fillId="89" borderId="0" applyNumberFormat="0" applyBorder="0" applyAlignment="0" applyProtection="0"/>
    <xf numFmtId="0" fontId="4" fillId="88" borderId="0" applyNumberFormat="0" applyBorder="0" applyAlignment="0" applyProtection="0"/>
    <xf numFmtId="0" fontId="4" fillId="85" borderId="0" applyNumberFormat="0" applyBorder="0" applyAlignment="0" applyProtection="0"/>
    <xf numFmtId="0" fontId="4" fillId="88" borderId="0" applyNumberFormat="0" applyBorder="0" applyAlignment="0" applyProtection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7" borderId="0" applyNumberFormat="0" applyBorder="0" applyAlignment="0" applyProtection="0"/>
    <xf numFmtId="0" fontId="4" fillId="90" borderId="0" applyNumberFormat="0" applyBorder="0" applyAlignment="0" applyProtection="0"/>
    <xf numFmtId="0" fontId="4" fillId="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8" borderId="0" applyNumberFormat="0" applyBorder="0" applyAlignment="0" applyProtection="0"/>
    <xf numFmtId="0" fontId="4" fillId="2" borderId="0" applyNumberFormat="0" applyBorder="0" applyAlignment="0" applyProtection="0"/>
    <xf numFmtId="0" fontId="4" fillId="73" borderId="0" applyNumberFormat="0" applyBorder="0" applyAlignment="0" applyProtection="0"/>
    <xf numFmtId="0" fontId="4" fillId="89" borderId="0" applyNumberFormat="0" applyBorder="0" applyAlignment="0" applyProtection="0"/>
    <xf numFmtId="0" fontId="4" fillId="88" borderId="0" applyNumberFormat="0" applyBorder="0" applyAlignment="0" applyProtection="0"/>
    <xf numFmtId="0" fontId="4" fillId="85" borderId="0" applyNumberFormat="0" applyBorder="0" applyAlignment="0" applyProtection="0"/>
    <xf numFmtId="0" fontId="4" fillId="88" borderId="0" applyNumberFormat="0" applyBorder="0" applyAlignment="0" applyProtection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7" borderId="0" applyNumberFormat="0" applyBorder="0" applyAlignment="0" applyProtection="0"/>
    <xf numFmtId="0" fontId="4" fillId="90" borderId="0" applyNumberFormat="0" applyBorder="0" applyAlignment="0" applyProtection="0"/>
    <xf numFmtId="0" fontId="4" fillId="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8" borderId="0" applyNumberFormat="0" applyBorder="0" applyAlignment="0" applyProtection="0"/>
    <xf numFmtId="0" fontId="4" fillId="2" borderId="0" applyNumberFormat="0" applyBorder="0" applyAlignment="0" applyProtection="0"/>
    <xf numFmtId="0" fontId="4" fillId="73" borderId="0" applyNumberFormat="0" applyBorder="0" applyAlignment="0" applyProtection="0"/>
    <xf numFmtId="0" fontId="4" fillId="89" borderId="0" applyNumberFormat="0" applyBorder="0" applyAlignment="0" applyProtection="0"/>
    <xf numFmtId="0" fontId="4" fillId="88" borderId="0" applyNumberFormat="0" applyBorder="0" applyAlignment="0" applyProtection="0"/>
    <xf numFmtId="0" fontId="4" fillId="85" borderId="0" applyNumberFormat="0" applyBorder="0" applyAlignment="0" applyProtection="0"/>
    <xf numFmtId="0" fontId="4" fillId="88" borderId="0" applyNumberFormat="0" applyBorder="0" applyAlignment="0" applyProtection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7" borderId="0" applyNumberFormat="0" applyBorder="0" applyAlignment="0" applyProtection="0"/>
    <xf numFmtId="0" fontId="4" fillId="90" borderId="0" applyNumberFormat="0" applyBorder="0" applyAlignment="0" applyProtection="0"/>
    <xf numFmtId="0" fontId="4" fillId="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8" borderId="0" applyNumberFormat="0" applyBorder="0" applyAlignment="0" applyProtection="0"/>
    <xf numFmtId="0" fontId="4" fillId="2" borderId="0" applyNumberFormat="0" applyBorder="0" applyAlignment="0" applyProtection="0"/>
    <xf numFmtId="0" fontId="4" fillId="73" borderId="0" applyNumberFormat="0" applyBorder="0" applyAlignment="0" applyProtection="0"/>
    <xf numFmtId="0" fontId="4" fillId="89" borderId="0" applyNumberFormat="0" applyBorder="0" applyAlignment="0" applyProtection="0"/>
    <xf numFmtId="0" fontId="4" fillId="88" borderId="0" applyNumberFormat="0" applyBorder="0" applyAlignment="0" applyProtection="0"/>
    <xf numFmtId="0" fontId="4" fillId="85" borderId="0" applyNumberFormat="0" applyBorder="0" applyAlignment="0" applyProtection="0"/>
    <xf numFmtId="0" fontId="4" fillId="88" borderId="0" applyNumberFormat="0" applyBorder="0" applyAlignment="0" applyProtection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7" borderId="0" applyNumberFormat="0" applyBorder="0" applyAlignment="0" applyProtection="0"/>
    <xf numFmtId="0" fontId="4" fillId="90" borderId="0" applyNumberFormat="0" applyBorder="0" applyAlignment="0" applyProtection="0"/>
    <xf numFmtId="0" fontId="4" fillId="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8" borderId="0" applyNumberFormat="0" applyBorder="0" applyAlignment="0" applyProtection="0"/>
    <xf numFmtId="0" fontId="4" fillId="2" borderId="0" applyNumberFormat="0" applyBorder="0" applyAlignment="0" applyProtection="0"/>
    <xf numFmtId="0" fontId="4" fillId="73" borderId="0" applyNumberFormat="0" applyBorder="0" applyAlignment="0" applyProtection="0"/>
    <xf numFmtId="0" fontId="4" fillId="89" borderId="0" applyNumberFormat="0" applyBorder="0" applyAlignment="0" applyProtection="0"/>
    <xf numFmtId="0" fontId="4" fillId="88" borderId="0" applyNumberFormat="0" applyBorder="0" applyAlignment="0" applyProtection="0"/>
    <xf numFmtId="0" fontId="4" fillId="85" borderId="0" applyNumberFormat="0" applyBorder="0" applyAlignment="0" applyProtection="0"/>
    <xf numFmtId="0" fontId="4" fillId="88" borderId="0" applyNumberFormat="0" applyBorder="0" applyAlignment="0" applyProtection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7" borderId="0" applyNumberFormat="0" applyBorder="0" applyAlignment="0" applyProtection="0"/>
    <xf numFmtId="0" fontId="4" fillId="90" borderId="0" applyNumberFormat="0" applyBorder="0" applyAlignment="0" applyProtection="0"/>
    <xf numFmtId="0" fontId="4" fillId="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8" borderId="0" applyNumberFormat="0" applyBorder="0" applyAlignment="0" applyProtection="0"/>
    <xf numFmtId="0" fontId="4" fillId="2" borderId="0" applyNumberFormat="0" applyBorder="0" applyAlignment="0" applyProtection="0"/>
    <xf numFmtId="0" fontId="4" fillId="73" borderId="0" applyNumberFormat="0" applyBorder="0" applyAlignment="0" applyProtection="0"/>
    <xf numFmtId="0" fontId="4" fillId="89" borderId="0" applyNumberFormat="0" applyBorder="0" applyAlignment="0" applyProtection="0"/>
    <xf numFmtId="0" fontId="4" fillId="88" borderId="0" applyNumberFormat="0" applyBorder="0" applyAlignment="0" applyProtection="0"/>
    <xf numFmtId="0" fontId="4" fillId="85" borderId="0" applyNumberFormat="0" applyBorder="0" applyAlignment="0" applyProtection="0"/>
    <xf numFmtId="0" fontId="4" fillId="88" borderId="0" applyNumberFormat="0" applyBorder="0" applyAlignment="0" applyProtection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7" borderId="0" applyNumberFormat="0" applyBorder="0" applyAlignment="0" applyProtection="0"/>
    <xf numFmtId="0" fontId="4" fillId="90" borderId="0" applyNumberFormat="0" applyBorder="0" applyAlignment="0" applyProtection="0"/>
    <xf numFmtId="0" fontId="4" fillId="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8" borderId="0" applyNumberFormat="0" applyBorder="0" applyAlignment="0" applyProtection="0"/>
    <xf numFmtId="0" fontId="4" fillId="2" borderId="0" applyNumberFormat="0" applyBorder="0" applyAlignment="0" applyProtection="0"/>
    <xf numFmtId="0" fontId="4" fillId="73" borderId="0" applyNumberFormat="0" applyBorder="0" applyAlignment="0" applyProtection="0"/>
    <xf numFmtId="0" fontId="4" fillId="89" borderId="0" applyNumberFormat="0" applyBorder="0" applyAlignment="0" applyProtection="0"/>
    <xf numFmtId="0" fontId="4" fillId="88" borderId="0" applyNumberFormat="0" applyBorder="0" applyAlignment="0" applyProtection="0"/>
    <xf numFmtId="0" fontId="4" fillId="85" borderId="0" applyNumberFormat="0" applyBorder="0" applyAlignment="0" applyProtection="0"/>
    <xf numFmtId="0" fontId="4" fillId="88" borderId="0" applyNumberFormat="0" applyBorder="0" applyAlignment="0" applyProtection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7" borderId="0" applyNumberFormat="0" applyBorder="0" applyAlignment="0" applyProtection="0"/>
    <xf numFmtId="0" fontId="4" fillId="90" borderId="0" applyNumberFormat="0" applyBorder="0" applyAlignment="0" applyProtection="0"/>
    <xf numFmtId="0" fontId="4" fillId="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8" borderId="0" applyNumberFormat="0" applyBorder="0" applyAlignment="0" applyProtection="0"/>
    <xf numFmtId="0" fontId="4" fillId="2" borderId="0" applyNumberFormat="0" applyBorder="0" applyAlignment="0" applyProtection="0"/>
    <xf numFmtId="0" fontId="4" fillId="73" borderId="0" applyNumberFormat="0" applyBorder="0" applyAlignment="0" applyProtection="0"/>
    <xf numFmtId="0" fontId="4" fillId="89" borderId="0" applyNumberFormat="0" applyBorder="0" applyAlignment="0" applyProtection="0"/>
    <xf numFmtId="0" fontId="4" fillId="88" borderId="0" applyNumberFormat="0" applyBorder="0" applyAlignment="0" applyProtection="0"/>
    <xf numFmtId="0" fontId="4" fillId="85" borderId="0" applyNumberFormat="0" applyBorder="0" applyAlignment="0" applyProtection="0"/>
    <xf numFmtId="0" fontId="4" fillId="88" borderId="0" applyNumberFormat="0" applyBorder="0" applyAlignment="0" applyProtection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7" borderId="0" applyNumberFormat="0" applyBorder="0" applyAlignment="0" applyProtection="0"/>
    <xf numFmtId="0" fontId="4" fillId="90" borderId="0" applyNumberFormat="0" applyBorder="0" applyAlignment="0" applyProtection="0"/>
    <xf numFmtId="0" fontId="4" fillId="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8" borderId="0" applyNumberFormat="0" applyBorder="0" applyAlignment="0" applyProtection="0"/>
    <xf numFmtId="0" fontId="4" fillId="2" borderId="0" applyNumberFormat="0" applyBorder="0" applyAlignment="0" applyProtection="0"/>
    <xf numFmtId="0" fontId="4" fillId="73" borderId="0" applyNumberFormat="0" applyBorder="0" applyAlignment="0" applyProtection="0"/>
    <xf numFmtId="0" fontId="4" fillId="89" borderId="0" applyNumberFormat="0" applyBorder="0" applyAlignment="0" applyProtection="0"/>
    <xf numFmtId="0" fontId="4" fillId="88" borderId="0" applyNumberFormat="0" applyBorder="0" applyAlignment="0" applyProtection="0"/>
    <xf numFmtId="0" fontId="4" fillId="85" borderId="0" applyNumberFormat="0" applyBorder="0" applyAlignment="0" applyProtection="0"/>
    <xf numFmtId="0" fontId="4" fillId="88" borderId="0" applyNumberFormat="0" applyBorder="0" applyAlignment="0" applyProtection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7" borderId="0" applyNumberFormat="0" applyBorder="0" applyAlignment="0" applyProtection="0"/>
    <xf numFmtId="0" fontId="4" fillId="90" borderId="0" applyNumberFormat="0" applyBorder="0" applyAlignment="0" applyProtection="0"/>
    <xf numFmtId="0" fontId="4" fillId="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8" borderId="0" applyNumberFormat="0" applyBorder="0" applyAlignment="0" applyProtection="0"/>
    <xf numFmtId="0" fontId="4" fillId="2" borderId="0" applyNumberFormat="0" applyBorder="0" applyAlignment="0" applyProtection="0"/>
    <xf numFmtId="0" fontId="4" fillId="73" borderId="0" applyNumberFormat="0" applyBorder="0" applyAlignment="0" applyProtection="0"/>
    <xf numFmtId="0" fontId="4" fillId="89" borderId="0" applyNumberFormat="0" applyBorder="0" applyAlignment="0" applyProtection="0"/>
    <xf numFmtId="0" fontId="4" fillId="88" borderId="0" applyNumberFormat="0" applyBorder="0" applyAlignment="0" applyProtection="0"/>
    <xf numFmtId="0" fontId="4" fillId="85" borderId="0" applyNumberFormat="0" applyBorder="0" applyAlignment="0" applyProtection="0"/>
    <xf numFmtId="0" fontId="4" fillId="88" borderId="0" applyNumberFormat="0" applyBorder="0" applyAlignment="0" applyProtection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7" borderId="0" applyNumberFormat="0" applyBorder="0" applyAlignment="0" applyProtection="0"/>
    <xf numFmtId="0" fontId="4" fillId="90" borderId="0" applyNumberFormat="0" applyBorder="0" applyAlignment="0" applyProtection="0"/>
    <xf numFmtId="0" fontId="4" fillId="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8" borderId="0" applyNumberFormat="0" applyBorder="0" applyAlignment="0" applyProtection="0"/>
    <xf numFmtId="0" fontId="4" fillId="2" borderId="0" applyNumberFormat="0" applyBorder="0" applyAlignment="0" applyProtection="0"/>
    <xf numFmtId="0" fontId="4" fillId="73" borderId="0" applyNumberFormat="0" applyBorder="0" applyAlignment="0" applyProtection="0"/>
    <xf numFmtId="0" fontId="4" fillId="89" borderId="0" applyNumberFormat="0" applyBorder="0" applyAlignment="0" applyProtection="0"/>
    <xf numFmtId="0" fontId="4" fillId="88" borderId="0" applyNumberFormat="0" applyBorder="0" applyAlignment="0" applyProtection="0"/>
    <xf numFmtId="0" fontId="4" fillId="85" borderId="0" applyNumberFormat="0" applyBorder="0" applyAlignment="0" applyProtection="0"/>
    <xf numFmtId="0" fontId="4" fillId="88" borderId="0" applyNumberFormat="0" applyBorder="0" applyAlignment="0" applyProtection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7" borderId="0" applyNumberFormat="0" applyBorder="0" applyAlignment="0" applyProtection="0"/>
    <xf numFmtId="0" fontId="4" fillId="90" borderId="0" applyNumberFormat="0" applyBorder="0" applyAlignment="0" applyProtection="0"/>
    <xf numFmtId="0" fontId="4" fillId="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8" borderId="0" applyNumberFormat="0" applyBorder="0" applyAlignment="0" applyProtection="0"/>
    <xf numFmtId="0" fontId="4" fillId="2" borderId="0" applyNumberFormat="0" applyBorder="0" applyAlignment="0" applyProtection="0"/>
    <xf numFmtId="0" fontId="4" fillId="73" borderId="0" applyNumberFormat="0" applyBorder="0" applyAlignment="0" applyProtection="0"/>
    <xf numFmtId="0" fontId="4" fillId="89" borderId="0" applyNumberFormat="0" applyBorder="0" applyAlignment="0" applyProtection="0"/>
    <xf numFmtId="0" fontId="4" fillId="88" borderId="0" applyNumberFormat="0" applyBorder="0" applyAlignment="0" applyProtection="0"/>
    <xf numFmtId="0" fontId="4" fillId="85" borderId="0" applyNumberFormat="0" applyBorder="0" applyAlignment="0" applyProtection="0"/>
    <xf numFmtId="0" fontId="4" fillId="88" borderId="0" applyNumberFormat="0" applyBorder="0" applyAlignment="0" applyProtection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7" borderId="0" applyNumberFormat="0" applyBorder="0" applyAlignment="0" applyProtection="0"/>
    <xf numFmtId="0" fontId="4" fillId="90" borderId="0" applyNumberFormat="0" applyBorder="0" applyAlignment="0" applyProtection="0"/>
    <xf numFmtId="0" fontId="4" fillId="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3" borderId="47" applyNumberFormat="0" applyFont="0" applyAlignment="0" applyProtection="0"/>
    <xf numFmtId="0" fontId="13" fillId="0" borderId="0"/>
    <xf numFmtId="0" fontId="4" fillId="0" borderId="0"/>
    <xf numFmtId="0" fontId="4" fillId="73" borderId="0" applyNumberFormat="0" applyBorder="0" applyAlignment="0" applyProtection="0"/>
    <xf numFmtId="0" fontId="4" fillId="85" borderId="0" applyNumberFormat="0" applyBorder="0" applyAlignment="0" applyProtection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263" fontId="4" fillId="0" borderId="0" applyFont="0" applyFill="0" applyBorder="0" applyAlignment="0" applyProtection="0"/>
    <xf numFmtId="0" fontId="224" fillId="0" borderId="0" applyAlignment="0"/>
    <xf numFmtId="0" fontId="4" fillId="88" borderId="0" applyNumberFormat="0" applyBorder="0" applyAlignment="0" applyProtection="0"/>
    <xf numFmtId="0" fontId="4" fillId="2" borderId="0" applyNumberFormat="0" applyBorder="0" applyAlignment="0" applyProtection="0"/>
    <xf numFmtId="0" fontId="4" fillId="73" borderId="0" applyNumberFormat="0" applyBorder="0" applyAlignment="0" applyProtection="0"/>
    <xf numFmtId="0" fontId="4" fillId="89" borderId="0" applyNumberFormat="0" applyBorder="0" applyAlignment="0" applyProtection="0"/>
    <xf numFmtId="0" fontId="4" fillId="88" borderId="0" applyNumberFormat="0" applyBorder="0" applyAlignment="0" applyProtection="0"/>
    <xf numFmtId="0" fontId="4" fillId="85" borderId="0" applyNumberFormat="0" applyBorder="0" applyAlignment="0" applyProtection="0"/>
    <xf numFmtId="0" fontId="4" fillId="88" borderId="0" applyNumberFormat="0" applyBorder="0" applyAlignment="0" applyProtection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7" borderId="0" applyNumberFormat="0" applyBorder="0" applyAlignment="0" applyProtection="0"/>
    <xf numFmtId="0" fontId="4" fillId="90" borderId="0" applyNumberFormat="0" applyBorder="0" applyAlignment="0" applyProtection="0"/>
    <xf numFmtId="0" fontId="4" fillId="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8" borderId="0" applyNumberFormat="0" applyBorder="0" applyAlignment="0" applyProtection="0"/>
    <xf numFmtId="0" fontId="4" fillId="2" borderId="0" applyNumberFormat="0" applyBorder="0" applyAlignment="0" applyProtection="0"/>
    <xf numFmtId="0" fontId="4" fillId="73" borderId="0" applyNumberFormat="0" applyBorder="0" applyAlignment="0" applyProtection="0"/>
    <xf numFmtId="0" fontId="4" fillId="89" borderId="0" applyNumberFormat="0" applyBorder="0" applyAlignment="0" applyProtection="0"/>
    <xf numFmtId="0" fontId="4" fillId="88" borderId="0" applyNumberFormat="0" applyBorder="0" applyAlignment="0" applyProtection="0"/>
    <xf numFmtId="0" fontId="4" fillId="85" borderId="0" applyNumberFormat="0" applyBorder="0" applyAlignment="0" applyProtection="0"/>
    <xf numFmtId="0" fontId="4" fillId="88" borderId="0" applyNumberFormat="0" applyBorder="0" applyAlignment="0" applyProtection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7" borderId="0" applyNumberFormat="0" applyBorder="0" applyAlignment="0" applyProtection="0"/>
    <xf numFmtId="0" fontId="4" fillId="90" borderId="0" applyNumberFormat="0" applyBorder="0" applyAlignment="0" applyProtection="0"/>
    <xf numFmtId="0" fontId="4" fillId="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8" borderId="0" applyNumberFormat="0" applyBorder="0" applyAlignment="0" applyProtection="0"/>
    <xf numFmtId="0" fontId="4" fillId="2" borderId="0" applyNumberFormat="0" applyBorder="0" applyAlignment="0" applyProtection="0"/>
    <xf numFmtId="0" fontId="4" fillId="73" borderId="0" applyNumberFormat="0" applyBorder="0" applyAlignment="0" applyProtection="0"/>
    <xf numFmtId="0" fontId="4" fillId="89" borderId="0" applyNumberFormat="0" applyBorder="0" applyAlignment="0" applyProtection="0"/>
    <xf numFmtId="0" fontId="4" fillId="88" borderId="0" applyNumberFormat="0" applyBorder="0" applyAlignment="0" applyProtection="0"/>
    <xf numFmtId="0" fontId="4" fillId="85" borderId="0" applyNumberFormat="0" applyBorder="0" applyAlignment="0" applyProtection="0"/>
    <xf numFmtId="0" fontId="4" fillId="88" borderId="0" applyNumberFormat="0" applyBorder="0" applyAlignment="0" applyProtection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7" borderId="0" applyNumberFormat="0" applyBorder="0" applyAlignment="0" applyProtection="0"/>
    <xf numFmtId="0" fontId="4" fillId="90" borderId="0" applyNumberFormat="0" applyBorder="0" applyAlignment="0" applyProtection="0"/>
    <xf numFmtId="0" fontId="4" fillId="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8" borderId="0" applyNumberFormat="0" applyBorder="0" applyAlignment="0" applyProtection="0"/>
    <xf numFmtId="0" fontId="4" fillId="2" borderId="0" applyNumberFormat="0" applyBorder="0" applyAlignment="0" applyProtection="0"/>
    <xf numFmtId="0" fontId="4" fillId="73" borderId="0" applyNumberFormat="0" applyBorder="0" applyAlignment="0" applyProtection="0"/>
    <xf numFmtId="0" fontId="4" fillId="89" borderId="0" applyNumberFormat="0" applyBorder="0" applyAlignment="0" applyProtection="0"/>
    <xf numFmtId="0" fontId="4" fillId="88" borderId="0" applyNumberFormat="0" applyBorder="0" applyAlignment="0" applyProtection="0"/>
    <xf numFmtId="0" fontId="4" fillId="85" borderId="0" applyNumberFormat="0" applyBorder="0" applyAlignment="0" applyProtection="0"/>
    <xf numFmtId="0" fontId="4" fillId="88" borderId="0" applyNumberFormat="0" applyBorder="0" applyAlignment="0" applyProtection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7" borderId="0" applyNumberFormat="0" applyBorder="0" applyAlignment="0" applyProtection="0"/>
    <xf numFmtId="0" fontId="4" fillId="90" borderId="0" applyNumberFormat="0" applyBorder="0" applyAlignment="0" applyProtection="0"/>
    <xf numFmtId="0" fontId="4" fillId="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8" borderId="0" applyNumberFormat="0" applyBorder="0" applyAlignment="0" applyProtection="0"/>
    <xf numFmtId="0" fontId="4" fillId="2" borderId="0" applyNumberFormat="0" applyBorder="0" applyAlignment="0" applyProtection="0"/>
    <xf numFmtId="0" fontId="4" fillId="73" borderId="0" applyNumberFormat="0" applyBorder="0" applyAlignment="0" applyProtection="0"/>
    <xf numFmtId="0" fontId="4" fillId="89" borderId="0" applyNumberFormat="0" applyBorder="0" applyAlignment="0" applyProtection="0"/>
    <xf numFmtId="0" fontId="4" fillId="88" borderId="0" applyNumberFormat="0" applyBorder="0" applyAlignment="0" applyProtection="0"/>
    <xf numFmtId="0" fontId="4" fillId="85" borderId="0" applyNumberFormat="0" applyBorder="0" applyAlignment="0" applyProtection="0"/>
    <xf numFmtId="0" fontId="4" fillId="88" borderId="0" applyNumberFormat="0" applyBorder="0" applyAlignment="0" applyProtection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7" borderId="0" applyNumberFormat="0" applyBorder="0" applyAlignment="0" applyProtection="0"/>
    <xf numFmtId="0" fontId="4" fillId="90" borderId="0" applyNumberFormat="0" applyBorder="0" applyAlignment="0" applyProtection="0"/>
    <xf numFmtId="0" fontId="4" fillId="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8" borderId="0" applyNumberFormat="0" applyBorder="0" applyAlignment="0" applyProtection="0"/>
    <xf numFmtId="0" fontId="4" fillId="2" borderId="0" applyNumberFormat="0" applyBorder="0" applyAlignment="0" applyProtection="0"/>
    <xf numFmtId="0" fontId="4" fillId="73" borderId="0" applyNumberFormat="0" applyBorder="0" applyAlignment="0" applyProtection="0"/>
    <xf numFmtId="0" fontId="4" fillId="89" borderId="0" applyNumberFormat="0" applyBorder="0" applyAlignment="0" applyProtection="0"/>
    <xf numFmtId="0" fontId="4" fillId="88" borderId="0" applyNumberFormat="0" applyBorder="0" applyAlignment="0" applyProtection="0"/>
    <xf numFmtId="0" fontId="4" fillId="85" borderId="0" applyNumberFormat="0" applyBorder="0" applyAlignment="0" applyProtection="0"/>
    <xf numFmtId="0" fontId="4" fillId="88" borderId="0" applyNumberFormat="0" applyBorder="0" applyAlignment="0" applyProtection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7" borderId="0" applyNumberFormat="0" applyBorder="0" applyAlignment="0" applyProtection="0"/>
    <xf numFmtId="0" fontId="4" fillId="90" borderId="0" applyNumberFormat="0" applyBorder="0" applyAlignment="0" applyProtection="0"/>
    <xf numFmtId="0" fontId="4" fillId="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8" borderId="0" applyNumberFormat="0" applyBorder="0" applyAlignment="0" applyProtection="0"/>
    <xf numFmtId="0" fontId="4" fillId="2" borderId="0" applyNumberFormat="0" applyBorder="0" applyAlignment="0" applyProtection="0"/>
    <xf numFmtId="0" fontId="4" fillId="73" borderId="0" applyNumberFormat="0" applyBorder="0" applyAlignment="0" applyProtection="0"/>
    <xf numFmtId="0" fontId="4" fillId="89" borderId="0" applyNumberFormat="0" applyBorder="0" applyAlignment="0" applyProtection="0"/>
    <xf numFmtId="0" fontId="4" fillId="88" borderId="0" applyNumberFormat="0" applyBorder="0" applyAlignment="0" applyProtection="0"/>
    <xf numFmtId="0" fontId="4" fillId="85" borderId="0" applyNumberFormat="0" applyBorder="0" applyAlignment="0" applyProtection="0"/>
    <xf numFmtId="0" fontId="4" fillId="88" borderId="0" applyNumberFormat="0" applyBorder="0" applyAlignment="0" applyProtection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7" borderId="0" applyNumberFormat="0" applyBorder="0" applyAlignment="0" applyProtection="0"/>
    <xf numFmtId="0" fontId="4" fillId="90" borderId="0" applyNumberFormat="0" applyBorder="0" applyAlignment="0" applyProtection="0"/>
    <xf numFmtId="0" fontId="4" fillId="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8" borderId="0" applyNumberFormat="0" applyBorder="0" applyAlignment="0" applyProtection="0"/>
    <xf numFmtId="0" fontId="4" fillId="2" borderId="0" applyNumberFormat="0" applyBorder="0" applyAlignment="0" applyProtection="0"/>
    <xf numFmtId="0" fontId="4" fillId="73" borderId="0" applyNumberFormat="0" applyBorder="0" applyAlignment="0" applyProtection="0"/>
    <xf numFmtId="0" fontId="4" fillId="89" borderId="0" applyNumberFormat="0" applyBorder="0" applyAlignment="0" applyProtection="0"/>
    <xf numFmtId="0" fontId="4" fillId="88" borderId="0" applyNumberFormat="0" applyBorder="0" applyAlignment="0" applyProtection="0"/>
    <xf numFmtId="0" fontId="4" fillId="85" borderId="0" applyNumberFormat="0" applyBorder="0" applyAlignment="0" applyProtection="0"/>
    <xf numFmtId="0" fontId="4" fillId="88" borderId="0" applyNumberFormat="0" applyBorder="0" applyAlignment="0" applyProtection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7" borderId="0" applyNumberFormat="0" applyBorder="0" applyAlignment="0" applyProtection="0"/>
    <xf numFmtId="0" fontId="4" fillId="90" borderId="0" applyNumberFormat="0" applyBorder="0" applyAlignment="0" applyProtection="0"/>
    <xf numFmtId="0" fontId="4" fillId="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8" borderId="0" applyNumberFormat="0" applyBorder="0" applyAlignment="0" applyProtection="0"/>
    <xf numFmtId="0" fontId="4" fillId="2" borderId="0" applyNumberFormat="0" applyBorder="0" applyAlignment="0" applyProtection="0"/>
    <xf numFmtId="0" fontId="4" fillId="73" borderId="0" applyNumberFormat="0" applyBorder="0" applyAlignment="0" applyProtection="0"/>
    <xf numFmtId="0" fontId="4" fillId="89" borderId="0" applyNumberFormat="0" applyBorder="0" applyAlignment="0" applyProtection="0"/>
    <xf numFmtId="0" fontId="4" fillId="88" borderId="0" applyNumberFormat="0" applyBorder="0" applyAlignment="0" applyProtection="0"/>
    <xf numFmtId="0" fontId="4" fillId="85" borderId="0" applyNumberFormat="0" applyBorder="0" applyAlignment="0" applyProtection="0"/>
    <xf numFmtId="0" fontId="4" fillId="88" borderId="0" applyNumberFormat="0" applyBorder="0" applyAlignment="0" applyProtection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7" borderId="0" applyNumberFormat="0" applyBorder="0" applyAlignment="0" applyProtection="0"/>
    <xf numFmtId="0" fontId="4" fillId="90" borderId="0" applyNumberFormat="0" applyBorder="0" applyAlignment="0" applyProtection="0"/>
    <xf numFmtId="0" fontId="4" fillId="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8" borderId="0" applyNumberFormat="0" applyBorder="0" applyAlignment="0" applyProtection="0"/>
    <xf numFmtId="0" fontId="4" fillId="2" borderId="0" applyNumberFormat="0" applyBorder="0" applyAlignment="0" applyProtection="0"/>
    <xf numFmtId="0" fontId="4" fillId="73" borderId="0" applyNumberFormat="0" applyBorder="0" applyAlignment="0" applyProtection="0"/>
    <xf numFmtId="0" fontId="4" fillId="89" borderId="0" applyNumberFormat="0" applyBorder="0" applyAlignment="0" applyProtection="0"/>
    <xf numFmtId="0" fontId="4" fillId="88" borderId="0" applyNumberFormat="0" applyBorder="0" applyAlignment="0" applyProtection="0"/>
    <xf numFmtId="0" fontId="4" fillId="85" borderId="0" applyNumberFormat="0" applyBorder="0" applyAlignment="0" applyProtection="0"/>
    <xf numFmtId="0" fontId="4" fillId="88" borderId="0" applyNumberFormat="0" applyBorder="0" applyAlignment="0" applyProtection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7" borderId="0" applyNumberFormat="0" applyBorder="0" applyAlignment="0" applyProtection="0"/>
    <xf numFmtId="0" fontId="4" fillId="90" borderId="0" applyNumberFormat="0" applyBorder="0" applyAlignment="0" applyProtection="0"/>
    <xf numFmtId="0" fontId="4" fillId="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8" borderId="0" applyNumberFormat="0" applyBorder="0" applyAlignment="0" applyProtection="0"/>
    <xf numFmtId="0" fontId="4" fillId="2" borderId="0" applyNumberFormat="0" applyBorder="0" applyAlignment="0" applyProtection="0"/>
    <xf numFmtId="0" fontId="4" fillId="73" borderId="0" applyNumberFormat="0" applyBorder="0" applyAlignment="0" applyProtection="0"/>
    <xf numFmtId="0" fontId="4" fillId="89" borderId="0" applyNumberFormat="0" applyBorder="0" applyAlignment="0" applyProtection="0"/>
    <xf numFmtId="0" fontId="4" fillId="88" borderId="0" applyNumberFormat="0" applyBorder="0" applyAlignment="0" applyProtection="0"/>
    <xf numFmtId="0" fontId="4" fillId="85" borderId="0" applyNumberFormat="0" applyBorder="0" applyAlignment="0" applyProtection="0"/>
    <xf numFmtId="0" fontId="4" fillId="88" borderId="0" applyNumberFormat="0" applyBorder="0" applyAlignment="0" applyProtection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7" borderId="0" applyNumberFormat="0" applyBorder="0" applyAlignment="0" applyProtection="0"/>
    <xf numFmtId="0" fontId="4" fillId="90" borderId="0" applyNumberFormat="0" applyBorder="0" applyAlignment="0" applyProtection="0"/>
    <xf numFmtId="0" fontId="4" fillId="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8" borderId="0" applyNumberFormat="0" applyBorder="0" applyAlignment="0" applyProtection="0"/>
    <xf numFmtId="0" fontId="4" fillId="2" borderId="0" applyNumberFormat="0" applyBorder="0" applyAlignment="0" applyProtection="0"/>
    <xf numFmtId="0" fontId="4" fillId="73" borderId="0" applyNumberFormat="0" applyBorder="0" applyAlignment="0" applyProtection="0"/>
    <xf numFmtId="0" fontId="4" fillId="89" borderId="0" applyNumberFormat="0" applyBorder="0" applyAlignment="0" applyProtection="0"/>
    <xf numFmtId="0" fontId="4" fillId="88" borderId="0" applyNumberFormat="0" applyBorder="0" applyAlignment="0" applyProtection="0"/>
    <xf numFmtId="0" fontId="4" fillId="85" borderId="0" applyNumberFormat="0" applyBorder="0" applyAlignment="0" applyProtection="0"/>
    <xf numFmtId="0" fontId="4" fillId="88" borderId="0" applyNumberFormat="0" applyBorder="0" applyAlignment="0" applyProtection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7" borderId="0" applyNumberFormat="0" applyBorder="0" applyAlignment="0" applyProtection="0"/>
    <xf numFmtId="0" fontId="4" fillId="90" borderId="0" applyNumberFormat="0" applyBorder="0" applyAlignment="0" applyProtection="0"/>
    <xf numFmtId="0" fontId="4" fillId="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8" borderId="0" applyNumberFormat="0" applyBorder="0" applyAlignment="0" applyProtection="0"/>
    <xf numFmtId="0" fontId="4" fillId="2" borderId="0" applyNumberFormat="0" applyBorder="0" applyAlignment="0" applyProtection="0"/>
    <xf numFmtId="0" fontId="4" fillId="73" borderId="0" applyNumberFormat="0" applyBorder="0" applyAlignment="0" applyProtection="0"/>
    <xf numFmtId="0" fontId="4" fillId="89" borderId="0" applyNumberFormat="0" applyBorder="0" applyAlignment="0" applyProtection="0"/>
    <xf numFmtId="0" fontId="4" fillId="88" borderId="0" applyNumberFormat="0" applyBorder="0" applyAlignment="0" applyProtection="0"/>
    <xf numFmtId="0" fontId="4" fillId="85" borderId="0" applyNumberFormat="0" applyBorder="0" applyAlignment="0" applyProtection="0"/>
    <xf numFmtId="0" fontId="4" fillId="88" borderId="0" applyNumberFormat="0" applyBorder="0" applyAlignment="0" applyProtection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7" borderId="0" applyNumberFormat="0" applyBorder="0" applyAlignment="0" applyProtection="0"/>
    <xf numFmtId="0" fontId="4" fillId="90" borderId="0" applyNumberFormat="0" applyBorder="0" applyAlignment="0" applyProtection="0"/>
    <xf numFmtId="0" fontId="4" fillId="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8" borderId="0" applyNumberFormat="0" applyBorder="0" applyAlignment="0" applyProtection="0"/>
    <xf numFmtId="0" fontId="4" fillId="2" borderId="0" applyNumberFormat="0" applyBorder="0" applyAlignment="0" applyProtection="0"/>
    <xf numFmtId="0" fontId="4" fillId="73" borderId="0" applyNumberFormat="0" applyBorder="0" applyAlignment="0" applyProtection="0"/>
    <xf numFmtId="0" fontId="4" fillId="89" borderId="0" applyNumberFormat="0" applyBorder="0" applyAlignment="0" applyProtection="0"/>
    <xf numFmtId="0" fontId="4" fillId="88" borderId="0" applyNumberFormat="0" applyBorder="0" applyAlignment="0" applyProtection="0"/>
    <xf numFmtId="0" fontId="4" fillId="85" borderId="0" applyNumberFormat="0" applyBorder="0" applyAlignment="0" applyProtection="0"/>
    <xf numFmtId="0" fontId="4" fillId="88" borderId="0" applyNumberFormat="0" applyBorder="0" applyAlignment="0" applyProtection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7" borderId="0" applyNumberFormat="0" applyBorder="0" applyAlignment="0" applyProtection="0"/>
    <xf numFmtId="0" fontId="4" fillId="90" borderId="0" applyNumberFormat="0" applyBorder="0" applyAlignment="0" applyProtection="0"/>
    <xf numFmtId="0" fontId="4" fillId="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8" borderId="0" applyNumberFormat="0" applyBorder="0" applyAlignment="0" applyProtection="0"/>
    <xf numFmtId="0" fontId="4" fillId="2" borderId="0" applyNumberFormat="0" applyBorder="0" applyAlignment="0" applyProtection="0"/>
    <xf numFmtId="0" fontId="4" fillId="73" borderId="0" applyNumberFormat="0" applyBorder="0" applyAlignment="0" applyProtection="0"/>
    <xf numFmtId="0" fontId="4" fillId="89" borderId="0" applyNumberFormat="0" applyBorder="0" applyAlignment="0" applyProtection="0"/>
    <xf numFmtId="0" fontId="4" fillId="88" borderId="0" applyNumberFormat="0" applyBorder="0" applyAlignment="0" applyProtection="0"/>
    <xf numFmtId="0" fontId="4" fillId="85" borderId="0" applyNumberFormat="0" applyBorder="0" applyAlignment="0" applyProtection="0"/>
    <xf numFmtId="0" fontId="4" fillId="88" borderId="0" applyNumberFormat="0" applyBorder="0" applyAlignment="0" applyProtection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7" borderId="0" applyNumberFormat="0" applyBorder="0" applyAlignment="0" applyProtection="0"/>
    <xf numFmtId="0" fontId="4" fillId="90" borderId="0" applyNumberFormat="0" applyBorder="0" applyAlignment="0" applyProtection="0"/>
    <xf numFmtId="0" fontId="4" fillId="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8" borderId="0" applyNumberFormat="0" applyBorder="0" applyAlignment="0" applyProtection="0"/>
    <xf numFmtId="0" fontId="4" fillId="2" borderId="0" applyNumberFormat="0" applyBorder="0" applyAlignment="0" applyProtection="0"/>
    <xf numFmtId="0" fontId="4" fillId="73" borderId="0" applyNumberFormat="0" applyBorder="0" applyAlignment="0" applyProtection="0"/>
    <xf numFmtId="0" fontId="4" fillId="89" borderId="0" applyNumberFormat="0" applyBorder="0" applyAlignment="0" applyProtection="0"/>
    <xf numFmtId="0" fontId="4" fillId="88" borderId="0" applyNumberFormat="0" applyBorder="0" applyAlignment="0" applyProtection="0"/>
    <xf numFmtId="0" fontId="4" fillId="85" borderId="0" applyNumberFormat="0" applyBorder="0" applyAlignment="0" applyProtection="0"/>
    <xf numFmtId="0" fontId="4" fillId="88" borderId="0" applyNumberFormat="0" applyBorder="0" applyAlignment="0" applyProtection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7" borderId="0" applyNumberFormat="0" applyBorder="0" applyAlignment="0" applyProtection="0"/>
    <xf numFmtId="0" fontId="4" fillId="90" borderId="0" applyNumberFormat="0" applyBorder="0" applyAlignment="0" applyProtection="0"/>
    <xf numFmtId="0" fontId="4" fillId="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8" borderId="0" applyNumberFormat="0" applyBorder="0" applyAlignment="0" applyProtection="0"/>
    <xf numFmtId="0" fontId="4" fillId="2" borderId="0" applyNumberFormat="0" applyBorder="0" applyAlignment="0" applyProtection="0"/>
    <xf numFmtId="0" fontId="4" fillId="73" borderId="0" applyNumberFormat="0" applyBorder="0" applyAlignment="0" applyProtection="0"/>
    <xf numFmtId="0" fontId="4" fillId="89" borderId="0" applyNumberFormat="0" applyBorder="0" applyAlignment="0" applyProtection="0"/>
    <xf numFmtId="0" fontId="4" fillId="88" borderId="0" applyNumberFormat="0" applyBorder="0" applyAlignment="0" applyProtection="0"/>
    <xf numFmtId="0" fontId="4" fillId="85" borderId="0" applyNumberFormat="0" applyBorder="0" applyAlignment="0" applyProtection="0"/>
    <xf numFmtId="0" fontId="4" fillId="88" borderId="0" applyNumberFormat="0" applyBorder="0" applyAlignment="0" applyProtection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7" borderId="0" applyNumberFormat="0" applyBorder="0" applyAlignment="0" applyProtection="0"/>
    <xf numFmtId="0" fontId="4" fillId="90" borderId="0" applyNumberFormat="0" applyBorder="0" applyAlignment="0" applyProtection="0"/>
    <xf numFmtId="0" fontId="4" fillId="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8" borderId="0" applyNumberFormat="0" applyBorder="0" applyAlignment="0" applyProtection="0"/>
    <xf numFmtId="0" fontId="4" fillId="2" borderId="0" applyNumberFormat="0" applyBorder="0" applyAlignment="0" applyProtection="0"/>
    <xf numFmtId="0" fontId="4" fillId="73" borderId="0" applyNumberFormat="0" applyBorder="0" applyAlignment="0" applyProtection="0"/>
    <xf numFmtId="0" fontId="4" fillId="89" borderId="0" applyNumberFormat="0" applyBorder="0" applyAlignment="0" applyProtection="0"/>
    <xf numFmtId="0" fontId="4" fillId="88" borderId="0" applyNumberFormat="0" applyBorder="0" applyAlignment="0" applyProtection="0"/>
    <xf numFmtId="0" fontId="4" fillId="85" borderId="0" applyNumberFormat="0" applyBorder="0" applyAlignment="0" applyProtection="0"/>
    <xf numFmtId="0" fontId="4" fillId="88" borderId="0" applyNumberFormat="0" applyBorder="0" applyAlignment="0" applyProtection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7" borderId="0" applyNumberFormat="0" applyBorder="0" applyAlignment="0" applyProtection="0"/>
    <xf numFmtId="0" fontId="4" fillId="90" borderId="0" applyNumberFormat="0" applyBorder="0" applyAlignment="0" applyProtection="0"/>
    <xf numFmtId="0" fontId="4" fillId="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8" borderId="0" applyNumberFormat="0" applyBorder="0" applyAlignment="0" applyProtection="0"/>
    <xf numFmtId="0" fontId="4" fillId="2" borderId="0" applyNumberFormat="0" applyBorder="0" applyAlignment="0" applyProtection="0"/>
    <xf numFmtId="0" fontId="4" fillId="73" borderId="0" applyNumberFormat="0" applyBorder="0" applyAlignment="0" applyProtection="0"/>
    <xf numFmtId="0" fontId="4" fillId="89" borderId="0" applyNumberFormat="0" applyBorder="0" applyAlignment="0" applyProtection="0"/>
    <xf numFmtId="0" fontId="4" fillId="88" borderId="0" applyNumberFormat="0" applyBorder="0" applyAlignment="0" applyProtection="0"/>
    <xf numFmtId="0" fontId="4" fillId="85" borderId="0" applyNumberFormat="0" applyBorder="0" applyAlignment="0" applyProtection="0"/>
    <xf numFmtId="0" fontId="4" fillId="88" borderId="0" applyNumberFormat="0" applyBorder="0" applyAlignment="0" applyProtection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7" borderId="0" applyNumberFormat="0" applyBorder="0" applyAlignment="0" applyProtection="0"/>
    <xf numFmtId="0" fontId="4" fillId="90" borderId="0" applyNumberFormat="0" applyBorder="0" applyAlignment="0" applyProtection="0"/>
    <xf numFmtId="0" fontId="4" fillId="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8" borderId="0" applyNumberFormat="0" applyBorder="0" applyAlignment="0" applyProtection="0"/>
    <xf numFmtId="0" fontId="4" fillId="2" borderId="0" applyNumberFormat="0" applyBorder="0" applyAlignment="0" applyProtection="0"/>
    <xf numFmtId="0" fontId="4" fillId="73" borderId="0" applyNumberFormat="0" applyBorder="0" applyAlignment="0" applyProtection="0"/>
    <xf numFmtId="0" fontId="4" fillId="89" borderId="0" applyNumberFormat="0" applyBorder="0" applyAlignment="0" applyProtection="0"/>
    <xf numFmtId="0" fontId="4" fillId="88" borderId="0" applyNumberFormat="0" applyBorder="0" applyAlignment="0" applyProtection="0"/>
    <xf numFmtId="0" fontId="4" fillId="85" borderId="0" applyNumberFormat="0" applyBorder="0" applyAlignment="0" applyProtection="0"/>
    <xf numFmtId="0" fontId="4" fillId="88" borderId="0" applyNumberFormat="0" applyBorder="0" applyAlignment="0" applyProtection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7" borderId="0" applyNumberFormat="0" applyBorder="0" applyAlignment="0" applyProtection="0"/>
    <xf numFmtId="0" fontId="4" fillId="90" borderId="0" applyNumberFormat="0" applyBorder="0" applyAlignment="0" applyProtection="0"/>
    <xf numFmtId="0" fontId="4" fillId="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8" borderId="0" applyNumberFormat="0" applyBorder="0" applyAlignment="0" applyProtection="0"/>
    <xf numFmtId="0" fontId="4" fillId="2" borderId="0" applyNumberFormat="0" applyBorder="0" applyAlignment="0" applyProtection="0"/>
    <xf numFmtId="0" fontId="4" fillId="73" borderId="0" applyNumberFormat="0" applyBorder="0" applyAlignment="0" applyProtection="0"/>
    <xf numFmtId="0" fontId="4" fillId="89" borderId="0" applyNumberFormat="0" applyBorder="0" applyAlignment="0" applyProtection="0"/>
    <xf numFmtId="0" fontId="4" fillId="88" borderId="0" applyNumberFormat="0" applyBorder="0" applyAlignment="0" applyProtection="0"/>
    <xf numFmtId="0" fontId="4" fillId="85" borderId="0" applyNumberFormat="0" applyBorder="0" applyAlignment="0" applyProtection="0"/>
    <xf numFmtId="0" fontId="4" fillId="88" borderId="0" applyNumberFormat="0" applyBorder="0" applyAlignment="0" applyProtection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7" borderId="0" applyNumberFormat="0" applyBorder="0" applyAlignment="0" applyProtection="0"/>
    <xf numFmtId="0" fontId="4" fillId="90" borderId="0" applyNumberFormat="0" applyBorder="0" applyAlignment="0" applyProtection="0"/>
    <xf numFmtId="0" fontId="4" fillId="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8" borderId="0" applyNumberFormat="0" applyBorder="0" applyAlignment="0" applyProtection="0"/>
    <xf numFmtId="0" fontId="4" fillId="2" borderId="0" applyNumberFormat="0" applyBorder="0" applyAlignment="0" applyProtection="0"/>
    <xf numFmtId="0" fontId="4" fillId="73" borderId="0" applyNumberFormat="0" applyBorder="0" applyAlignment="0" applyProtection="0"/>
    <xf numFmtId="0" fontId="4" fillId="89" borderId="0" applyNumberFormat="0" applyBorder="0" applyAlignment="0" applyProtection="0"/>
    <xf numFmtId="0" fontId="4" fillId="88" borderId="0" applyNumberFormat="0" applyBorder="0" applyAlignment="0" applyProtection="0"/>
    <xf numFmtId="0" fontId="4" fillId="85" borderId="0" applyNumberFormat="0" applyBorder="0" applyAlignment="0" applyProtection="0"/>
    <xf numFmtId="0" fontId="4" fillId="88" borderId="0" applyNumberFormat="0" applyBorder="0" applyAlignment="0" applyProtection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7" borderId="0" applyNumberFormat="0" applyBorder="0" applyAlignment="0" applyProtection="0"/>
    <xf numFmtId="0" fontId="4" fillId="90" borderId="0" applyNumberFormat="0" applyBorder="0" applyAlignment="0" applyProtection="0"/>
    <xf numFmtId="0" fontId="4" fillId="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8" borderId="0" applyNumberFormat="0" applyBorder="0" applyAlignment="0" applyProtection="0"/>
    <xf numFmtId="0" fontId="4" fillId="2" borderId="0" applyNumberFormat="0" applyBorder="0" applyAlignment="0" applyProtection="0"/>
    <xf numFmtId="0" fontId="4" fillId="73" borderId="0" applyNumberFormat="0" applyBorder="0" applyAlignment="0" applyProtection="0"/>
    <xf numFmtId="0" fontId="4" fillId="89" borderId="0" applyNumberFormat="0" applyBorder="0" applyAlignment="0" applyProtection="0"/>
    <xf numFmtId="0" fontId="4" fillId="88" borderId="0" applyNumberFormat="0" applyBorder="0" applyAlignment="0" applyProtection="0"/>
    <xf numFmtId="0" fontId="4" fillId="85" borderId="0" applyNumberFormat="0" applyBorder="0" applyAlignment="0" applyProtection="0"/>
    <xf numFmtId="0" fontId="4" fillId="88" borderId="0" applyNumberFormat="0" applyBorder="0" applyAlignment="0" applyProtection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7" borderId="0" applyNumberFormat="0" applyBorder="0" applyAlignment="0" applyProtection="0"/>
    <xf numFmtId="0" fontId="4" fillId="90" borderId="0" applyNumberFormat="0" applyBorder="0" applyAlignment="0" applyProtection="0"/>
    <xf numFmtId="0" fontId="4" fillId="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8" borderId="0" applyNumberFormat="0" applyBorder="0" applyAlignment="0" applyProtection="0"/>
    <xf numFmtId="0" fontId="4" fillId="2" borderId="0" applyNumberFormat="0" applyBorder="0" applyAlignment="0" applyProtection="0"/>
    <xf numFmtId="0" fontId="4" fillId="73" borderId="0" applyNumberFormat="0" applyBorder="0" applyAlignment="0" applyProtection="0"/>
    <xf numFmtId="0" fontId="4" fillId="89" borderId="0" applyNumberFormat="0" applyBorder="0" applyAlignment="0" applyProtection="0"/>
    <xf numFmtId="0" fontId="4" fillId="88" borderId="0" applyNumberFormat="0" applyBorder="0" applyAlignment="0" applyProtection="0"/>
    <xf numFmtId="0" fontId="4" fillId="85" borderId="0" applyNumberFormat="0" applyBorder="0" applyAlignment="0" applyProtection="0"/>
    <xf numFmtId="0" fontId="4" fillId="88" borderId="0" applyNumberFormat="0" applyBorder="0" applyAlignment="0" applyProtection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7" borderId="0" applyNumberFormat="0" applyBorder="0" applyAlignment="0" applyProtection="0"/>
    <xf numFmtId="0" fontId="4" fillId="90" borderId="0" applyNumberFormat="0" applyBorder="0" applyAlignment="0" applyProtection="0"/>
    <xf numFmtId="0" fontId="4" fillId="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8" borderId="0" applyNumberFormat="0" applyBorder="0" applyAlignment="0" applyProtection="0"/>
    <xf numFmtId="0" fontId="4" fillId="2" borderId="0" applyNumberFormat="0" applyBorder="0" applyAlignment="0" applyProtection="0"/>
    <xf numFmtId="0" fontId="4" fillId="73" borderId="0" applyNumberFormat="0" applyBorder="0" applyAlignment="0" applyProtection="0"/>
    <xf numFmtId="0" fontId="4" fillId="89" borderId="0" applyNumberFormat="0" applyBorder="0" applyAlignment="0" applyProtection="0"/>
    <xf numFmtId="0" fontId="4" fillId="88" borderId="0" applyNumberFormat="0" applyBorder="0" applyAlignment="0" applyProtection="0"/>
    <xf numFmtId="0" fontId="4" fillId="85" borderId="0" applyNumberFormat="0" applyBorder="0" applyAlignment="0" applyProtection="0"/>
    <xf numFmtId="0" fontId="4" fillId="88" borderId="0" applyNumberFormat="0" applyBorder="0" applyAlignment="0" applyProtection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7" borderId="0" applyNumberFormat="0" applyBorder="0" applyAlignment="0" applyProtection="0"/>
    <xf numFmtId="0" fontId="4" fillId="90" borderId="0" applyNumberFormat="0" applyBorder="0" applyAlignment="0" applyProtection="0"/>
    <xf numFmtId="0" fontId="4" fillId="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8" borderId="0" applyNumberFormat="0" applyBorder="0" applyAlignment="0" applyProtection="0"/>
    <xf numFmtId="0" fontId="4" fillId="2" borderId="0" applyNumberFormat="0" applyBorder="0" applyAlignment="0" applyProtection="0"/>
    <xf numFmtId="0" fontId="4" fillId="73" borderId="0" applyNumberFormat="0" applyBorder="0" applyAlignment="0" applyProtection="0"/>
    <xf numFmtId="0" fontId="4" fillId="89" borderId="0" applyNumberFormat="0" applyBorder="0" applyAlignment="0" applyProtection="0"/>
    <xf numFmtId="0" fontId="4" fillId="88" borderId="0" applyNumberFormat="0" applyBorder="0" applyAlignment="0" applyProtection="0"/>
    <xf numFmtId="0" fontId="4" fillId="85" borderId="0" applyNumberFormat="0" applyBorder="0" applyAlignment="0" applyProtection="0"/>
    <xf numFmtId="0" fontId="4" fillId="88" borderId="0" applyNumberFormat="0" applyBorder="0" applyAlignment="0" applyProtection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7" borderId="0" applyNumberFormat="0" applyBorder="0" applyAlignment="0" applyProtection="0"/>
    <xf numFmtId="0" fontId="4" fillId="90" borderId="0" applyNumberFormat="0" applyBorder="0" applyAlignment="0" applyProtection="0"/>
    <xf numFmtId="0" fontId="4" fillId="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8" borderId="0" applyNumberFormat="0" applyBorder="0" applyAlignment="0" applyProtection="0"/>
    <xf numFmtId="0" fontId="4" fillId="2" borderId="0" applyNumberFormat="0" applyBorder="0" applyAlignment="0" applyProtection="0"/>
    <xf numFmtId="0" fontId="4" fillId="73" borderId="0" applyNumberFormat="0" applyBorder="0" applyAlignment="0" applyProtection="0"/>
    <xf numFmtId="0" fontId="4" fillId="89" borderId="0" applyNumberFormat="0" applyBorder="0" applyAlignment="0" applyProtection="0"/>
    <xf numFmtId="0" fontId="4" fillId="88" borderId="0" applyNumberFormat="0" applyBorder="0" applyAlignment="0" applyProtection="0"/>
    <xf numFmtId="0" fontId="4" fillId="85" borderId="0" applyNumberFormat="0" applyBorder="0" applyAlignment="0" applyProtection="0"/>
    <xf numFmtId="0" fontId="4" fillId="88" borderId="0" applyNumberFormat="0" applyBorder="0" applyAlignment="0" applyProtection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7" borderId="0" applyNumberFormat="0" applyBorder="0" applyAlignment="0" applyProtection="0"/>
    <xf numFmtId="0" fontId="4" fillId="90" borderId="0" applyNumberFormat="0" applyBorder="0" applyAlignment="0" applyProtection="0"/>
    <xf numFmtId="0" fontId="4" fillId="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8" borderId="0" applyNumberFormat="0" applyBorder="0" applyAlignment="0" applyProtection="0"/>
    <xf numFmtId="0" fontId="4" fillId="2" borderId="0" applyNumberFormat="0" applyBorder="0" applyAlignment="0" applyProtection="0"/>
    <xf numFmtId="0" fontId="4" fillId="73" borderId="0" applyNumberFormat="0" applyBorder="0" applyAlignment="0" applyProtection="0"/>
    <xf numFmtId="0" fontId="4" fillId="89" borderId="0" applyNumberFormat="0" applyBorder="0" applyAlignment="0" applyProtection="0"/>
    <xf numFmtId="0" fontId="4" fillId="88" borderId="0" applyNumberFormat="0" applyBorder="0" applyAlignment="0" applyProtection="0"/>
    <xf numFmtId="0" fontId="4" fillId="85" borderId="0" applyNumberFormat="0" applyBorder="0" applyAlignment="0" applyProtection="0"/>
    <xf numFmtId="0" fontId="4" fillId="88" borderId="0" applyNumberFormat="0" applyBorder="0" applyAlignment="0" applyProtection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7" borderId="0" applyNumberFormat="0" applyBorder="0" applyAlignment="0" applyProtection="0"/>
    <xf numFmtId="0" fontId="4" fillId="90" borderId="0" applyNumberFormat="0" applyBorder="0" applyAlignment="0" applyProtection="0"/>
    <xf numFmtId="0" fontId="4" fillId="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8" borderId="0" applyNumberFormat="0" applyBorder="0" applyAlignment="0" applyProtection="0"/>
    <xf numFmtId="0" fontId="4" fillId="2" borderId="0" applyNumberFormat="0" applyBorder="0" applyAlignment="0" applyProtection="0"/>
    <xf numFmtId="0" fontId="4" fillId="73" borderId="0" applyNumberFormat="0" applyBorder="0" applyAlignment="0" applyProtection="0"/>
    <xf numFmtId="0" fontId="4" fillId="89" borderId="0" applyNumberFormat="0" applyBorder="0" applyAlignment="0" applyProtection="0"/>
    <xf numFmtId="0" fontId="4" fillId="88" borderId="0" applyNumberFormat="0" applyBorder="0" applyAlignment="0" applyProtection="0"/>
    <xf numFmtId="0" fontId="4" fillId="85" borderId="0" applyNumberFormat="0" applyBorder="0" applyAlignment="0" applyProtection="0"/>
    <xf numFmtId="0" fontId="4" fillId="88" borderId="0" applyNumberFormat="0" applyBorder="0" applyAlignment="0" applyProtection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7" borderId="0" applyNumberFormat="0" applyBorder="0" applyAlignment="0" applyProtection="0"/>
    <xf numFmtId="0" fontId="4" fillId="90" borderId="0" applyNumberFormat="0" applyBorder="0" applyAlignment="0" applyProtection="0"/>
    <xf numFmtId="0" fontId="4" fillId="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8" borderId="0" applyNumberFormat="0" applyBorder="0" applyAlignment="0" applyProtection="0"/>
    <xf numFmtId="0" fontId="4" fillId="2" borderId="0" applyNumberFormat="0" applyBorder="0" applyAlignment="0" applyProtection="0"/>
    <xf numFmtId="0" fontId="4" fillId="73" borderId="0" applyNumberFormat="0" applyBorder="0" applyAlignment="0" applyProtection="0"/>
    <xf numFmtId="0" fontId="4" fillId="89" borderId="0" applyNumberFormat="0" applyBorder="0" applyAlignment="0" applyProtection="0"/>
    <xf numFmtId="0" fontId="4" fillId="88" borderId="0" applyNumberFormat="0" applyBorder="0" applyAlignment="0" applyProtection="0"/>
    <xf numFmtId="0" fontId="4" fillId="85" borderId="0" applyNumberFormat="0" applyBorder="0" applyAlignment="0" applyProtection="0"/>
    <xf numFmtId="0" fontId="4" fillId="88" borderId="0" applyNumberFormat="0" applyBorder="0" applyAlignment="0" applyProtection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7" borderId="0" applyNumberFormat="0" applyBorder="0" applyAlignment="0" applyProtection="0"/>
    <xf numFmtId="0" fontId="4" fillId="90" borderId="0" applyNumberFormat="0" applyBorder="0" applyAlignment="0" applyProtection="0"/>
    <xf numFmtId="0" fontId="4" fillId="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8" borderId="0" applyNumberFormat="0" applyBorder="0" applyAlignment="0" applyProtection="0"/>
    <xf numFmtId="0" fontId="4" fillId="2" borderId="0" applyNumberFormat="0" applyBorder="0" applyAlignment="0" applyProtection="0"/>
    <xf numFmtId="0" fontId="4" fillId="73" borderId="0" applyNumberFormat="0" applyBorder="0" applyAlignment="0" applyProtection="0"/>
    <xf numFmtId="0" fontId="4" fillId="89" borderId="0" applyNumberFormat="0" applyBorder="0" applyAlignment="0" applyProtection="0"/>
    <xf numFmtId="0" fontId="4" fillId="88" borderId="0" applyNumberFormat="0" applyBorder="0" applyAlignment="0" applyProtection="0"/>
    <xf numFmtId="0" fontId="4" fillId="85" borderId="0" applyNumberFormat="0" applyBorder="0" applyAlignment="0" applyProtection="0"/>
    <xf numFmtId="0" fontId="4" fillId="88" borderId="0" applyNumberFormat="0" applyBorder="0" applyAlignment="0" applyProtection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7" borderId="0" applyNumberFormat="0" applyBorder="0" applyAlignment="0" applyProtection="0"/>
    <xf numFmtId="0" fontId="4" fillId="90" borderId="0" applyNumberFormat="0" applyBorder="0" applyAlignment="0" applyProtection="0"/>
    <xf numFmtId="0" fontId="4" fillId="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8" borderId="0" applyNumberFormat="0" applyBorder="0" applyAlignment="0" applyProtection="0"/>
    <xf numFmtId="0" fontId="4" fillId="2" borderId="0" applyNumberFormat="0" applyBorder="0" applyAlignment="0" applyProtection="0"/>
    <xf numFmtId="0" fontId="4" fillId="73" borderId="0" applyNumberFormat="0" applyBorder="0" applyAlignment="0" applyProtection="0"/>
    <xf numFmtId="0" fontId="4" fillId="89" borderId="0" applyNumberFormat="0" applyBorder="0" applyAlignment="0" applyProtection="0"/>
    <xf numFmtId="0" fontId="4" fillId="88" borderId="0" applyNumberFormat="0" applyBorder="0" applyAlignment="0" applyProtection="0"/>
    <xf numFmtId="0" fontId="4" fillId="85" borderId="0" applyNumberFormat="0" applyBorder="0" applyAlignment="0" applyProtection="0"/>
    <xf numFmtId="0" fontId="4" fillId="88" borderId="0" applyNumberFormat="0" applyBorder="0" applyAlignment="0" applyProtection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7" borderId="0" applyNumberFormat="0" applyBorder="0" applyAlignment="0" applyProtection="0"/>
    <xf numFmtId="0" fontId="4" fillId="90" borderId="0" applyNumberFormat="0" applyBorder="0" applyAlignment="0" applyProtection="0"/>
    <xf numFmtId="0" fontId="4" fillId="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8" borderId="0" applyNumberFormat="0" applyBorder="0" applyAlignment="0" applyProtection="0"/>
    <xf numFmtId="0" fontId="4" fillId="2" borderId="0" applyNumberFormat="0" applyBorder="0" applyAlignment="0" applyProtection="0"/>
    <xf numFmtId="0" fontId="4" fillId="73" borderId="0" applyNumberFormat="0" applyBorder="0" applyAlignment="0" applyProtection="0"/>
    <xf numFmtId="0" fontId="4" fillId="89" borderId="0" applyNumberFormat="0" applyBorder="0" applyAlignment="0" applyProtection="0"/>
    <xf numFmtId="0" fontId="4" fillId="88" borderId="0" applyNumberFormat="0" applyBorder="0" applyAlignment="0" applyProtection="0"/>
    <xf numFmtId="0" fontId="4" fillId="85" borderId="0" applyNumberFormat="0" applyBorder="0" applyAlignment="0" applyProtection="0"/>
    <xf numFmtId="0" fontId="4" fillId="88" borderId="0" applyNumberFormat="0" applyBorder="0" applyAlignment="0" applyProtection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7" borderId="0" applyNumberFormat="0" applyBorder="0" applyAlignment="0" applyProtection="0"/>
    <xf numFmtId="0" fontId="4" fillId="90" borderId="0" applyNumberFormat="0" applyBorder="0" applyAlignment="0" applyProtection="0"/>
    <xf numFmtId="0" fontId="4" fillId="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8" borderId="0" applyNumberFormat="0" applyBorder="0" applyAlignment="0" applyProtection="0"/>
    <xf numFmtId="0" fontId="4" fillId="2" borderId="0" applyNumberFormat="0" applyBorder="0" applyAlignment="0" applyProtection="0"/>
    <xf numFmtId="0" fontId="4" fillId="73" borderId="0" applyNumberFormat="0" applyBorder="0" applyAlignment="0" applyProtection="0"/>
    <xf numFmtId="0" fontId="4" fillId="89" borderId="0" applyNumberFormat="0" applyBorder="0" applyAlignment="0" applyProtection="0"/>
    <xf numFmtId="0" fontId="4" fillId="88" borderId="0" applyNumberFormat="0" applyBorder="0" applyAlignment="0" applyProtection="0"/>
    <xf numFmtId="0" fontId="4" fillId="85" borderId="0" applyNumberFormat="0" applyBorder="0" applyAlignment="0" applyProtection="0"/>
    <xf numFmtId="0" fontId="4" fillId="88" borderId="0" applyNumberFormat="0" applyBorder="0" applyAlignment="0" applyProtection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7" borderId="0" applyNumberFormat="0" applyBorder="0" applyAlignment="0" applyProtection="0"/>
    <xf numFmtId="0" fontId="4" fillId="90" borderId="0" applyNumberFormat="0" applyBorder="0" applyAlignment="0" applyProtection="0"/>
    <xf numFmtId="0" fontId="4" fillId="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8" borderId="0" applyNumberFormat="0" applyBorder="0" applyAlignment="0" applyProtection="0"/>
    <xf numFmtId="0" fontId="4" fillId="2" borderId="0" applyNumberFormat="0" applyBorder="0" applyAlignment="0" applyProtection="0"/>
    <xf numFmtId="0" fontId="4" fillId="73" borderId="0" applyNumberFormat="0" applyBorder="0" applyAlignment="0" applyProtection="0"/>
    <xf numFmtId="0" fontId="4" fillId="89" borderId="0" applyNumberFormat="0" applyBorder="0" applyAlignment="0" applyProtection="0"/>
    <xf numFmtId="0" fontId="4" fillId="88" borderId="0" applyNumberFormat="0" applyBorder="0" applyAlignment="0" applyProtection="0"/>
    <xf numFmtId="0" fontId="4" fillId="85" borderId="0" applyNumberFormat="0" applyBorder="0" applyAlignment="0" applyProtection="0"/>
    <xf numFmtId="0" fontId="4" fillId="88" borderId="0" applyNumberFormat="0" applyBorder="0" applyAlignment="0" applyProtection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7" borderId="0" applyNumberFormat="0" applyBorder="0" applyAlignment="0" applyProtection="0"/>
    <xf numFmtId="0" fontId="4" fillId="90" borderId="0" applyNumberFormat="0" applyBorder="0" applyAlignment="0" applyProtection="0"/>
    <xf numFmtId="0" fontId="4" fillId="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8" borderId="0" applyNumberFormat="0" applyBorder="0" applyAlignment="0" applyProtection="0"/>
    <xf numFmtId="0" fontId="4" fillId="2" borderId="0" applyNumberFormat="0" applyBorder="0" applyAlignment="0" applyProtection="0"/>
    <xf numFmtId="0" fontId="4" fillId="73" borderId="0" applyNumberFormat="0" applyBorder="0" applyAlignment="0" applyProtection="0"/>
    <xf numFmtId="0" fontId="4" fillId="89" borderId="0" applyNumberFormat="0" applyBorder="0" applyAlignment="0" applyProtection="0"/>
    <xf numFmtId="0" fontId="4" fillId="88" borderId="0" applyNumberFormat="0" applyBorder="0" applyAlignment="0" applyProtection="0"/>
    <xf numFmtId="0" fontId="4" fillId="85" borderId="0" applyNumberFormat="0" applyBorder="0" applyAlignment="0" applyProtection="0"/>
    <xf numFmtId="0" fontId="4" fillId="88" borderId="0" applyNumberFormat="0" applyBorder="0" applyAlignment="0" applyProtection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7" borderId="0" applyNumberFormat="0" applyBorder="0" applyAlignment="0" applyProtection="0"/>
    <xf numFmtId="0" fontId="4" fillId="90" borderId="0" applyNumberFormat="0" applyBorder="0" applyAlignment="0" applyProtection="0"/>
    <xf numFmtId="0" fontId="4" fillId="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8" borderId="0" applyNumberFormat="0" applyBorder="0" applyAlignment="0" applyProtection="0"/>
    <xf numFmtId="0" fontId="4" fillId="2" borderId="0" applyNumberFormat="0" applyBorder="0" applyAlignment="0" applyProtection="0"/>
    <xf numFmtId="0" fontId="4" fillId="73" borderId="0" applyNumberFormat="0" applyBorder="0" applyAlignment="0" applyProtection="0"/>
    <xf numFmtId="0" fontId="4" fillId="89" borderId="0" applyNumberFormat="0" applyBorder="0" applyAlignment="0" applyProtection="0"/>
    <xf numFmtId="0" fontId="4" fillId="88" borderId="0" applyNumberFormat="0" applyBorder="0" applyAlignment="0" applyProtection="0"/>
    <xf numFmtId="0" fontId="4" fillId="85" borderId="0" applyNumberFormat="0" applyBorder="0" applyAlignment="0" applyProtection="0"/>
    <xf numFmtId="0" fontId="4" fillId="88" borderId="0" applyNumberFormat="0" applyBorder="0" applyAlignment="0" applyProtection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7" borderId="0" applyNumberFormat="0" applyBorder="0" applyAlignment="0" applyProtection="0"/>
    <xf numFmtId="0" fontId="4" fillId="90" borderId="0" applyNumberFormat="0" applyBorder="0" applyAlignment="0" applyProtection="0"/>
    <xf numFmtId="0" fontId="4" fillId="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8" borderId="0" applyNumberFormat="0" applyBorder="0" applyAlignment="0" applyProtection="0"/>
    <xf numFmtId="0" fontId="4" fillId="2" borderId="0" applyNumberFormat="0" applyBorder="0" applyAlignment="0" applyProtection="0"/>
    <xf numFmtId="0" fontId="4" fillId="73" borderId="0" applyNumberFormat="0" applyBorder="0" applyAlignment="0" applyProtection="0"/>
    <xf numFmtId="0" fontId="4" fillId="89" borderId="0" applyNumberFormat="0" applyBorder="0" applyAlignment="0" applyProtection="0"/>
    <xf numFmtId="0" fontId="4" fillId="88" borderId="0" applyNumberFormat="0" applyBorder="0" applyAlignment="0" applyProtection="0"/>
    <xf numFmtId="0" fontId="4" fillId="85" borderId="0" applyNumberFormat="0" applyBorder="0" applyAlignment="0" applyProtection="0"/>
    <xf numFmtId="0" fontId="4" fillId="88" borderId="0" applyNumberFormat="0" applyBorder="0" applyAlignment="0" applyProtection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7" borderId="0" applyNumberFormat="0" applyBorder="0" applyAlignment="0" applyProtection="0"/>
    <xf numFmtId="0" fontId="4" fillId="90" borderId="0" applyNumberFormat="0" applyBorder="0" applyAlignment="0" applyProtection="0"/>
    <xf numFmtId="0" fontId="4" fillId="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8" borderId="0" applyNumberFormat="0" applyBorder="0" applyAlignment="0" applyProtection="0"/>
    <xf numFmtId="0" fontId="4" fillId="2" borderId="0" applyNumberFormat="0" applyBorder="0" applyAlignment="0" applyProtection="0"/>
    <xf numFmtId="0" fontId="4" fillId="73" borderId="0" applyNumberFormat="0" applyBorder="0" applyAlignment="0" applyProtection="0"/>
    <xf numFmtId="0" fontId="4" fillId="89" borderId="0" applyNumberFormat="0" applyBorder="0" applyAlignment="0" applyProtection="0"/>
    <xf numFmtId="0" fontId="4" fillId="88" borderId="0" applyNumberFormat="0" applyBorder="0" applyAlignment="0" applyProtection="0"/>
    <xf numFmtId="0" fontId="4" fillId="85" borderId="0" applyNumberFormat="0" applyBorder="0" applyAlignment="0" applyProtection="0"/>
    <xf numFmtId="0" fontId="4" fillId="88" borderId="0" applyNumberFormat="0" applyBorder="0" applyAlignment="0" applyProtection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7" borderId="0" applyNumberFormat="0" applyBorder="0" applyAlignment="0" applyProtection="0"/>
    <xf numFmtId="0" fontId="4" fillId="90" borderId="0" applyNumberFormat="0" applyBorder="0" applyAlignment="0" applyProtection="0"/>
    <xf numFmtId="0" fontId="4" fillId="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8" borderId="0" applyNumberFormat="0" applyBorder="0" applyAlignment="0" applyProtection="0"/>
    <xf numFmtId="0" fontId="4" fillId="2" borderId="0" applyNumberFormat="0" applyBorder="0" applyAlignment="0" applyProtection="0"/>
    <xf numFmtId="0" fontId="4" fillId="73" borderId="0" applyNumberFormat="0" applyBorder="0" applyAlignment="0" applyProtection="0"/>
    <xf numFmtId="0" fontId="4" fillId="89" borderId="0" applyNumberFormat="0" applyBorder="0" applyAlignment="0" applyProtection="0"/>
    <xf numFmtId="0" fontId="4" fillId="88" borderId="0" applyNumberFormat="0" applyBorder="0" applyAlignment="0" applyProtection="0"/>
    <xf numFmtId="0" fontId="4" fillId="85" borderId="0" applyNumberFormat="0" applyBorder="0" applyAlignment="0" applyProtection="0"/>
    <xf numFmtId="0" fontId="4" fillId="88" borderId="0" applyNumberFormat="0" applyBorder="0" applyAlignment="0" applyProtection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7" borderId="0" applyNumberFormat="0" applyBorder="0" applyAlignment="0" applyProtection="0"/>
    <xf numFmtId="0" fontId="4" fillId="90" borderId="0" applyNumberFormat="0" applyBorder="0" applyAlignment="0" applyProtection="0"/>
    <xf numFmtId="0" fontId="4" fillId="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8" borderId="0" applyNumberFormat="0" applyBorder="0" applyAlignment="0" applyProtection="0"/>
    <xf numFmtId="0" fontId="4" fillId="2" borderId="0" applyNumberFormat="0" applyBorder="0" applyAlignment="0" applyProtection="0"/>
    <xf numFmtId="0" fontId="4" fillId="73" borderId="0" applyNumberFormat="0" applyBorder="0" applyAlignment="0" applyProtection="0"/>
    <xf numFmtId="0" fontId="4" fillId="89" borderId="0" applyNumberFormat="0" applyBorder="0" applyAlignment="0" applyProtection="0"/>
    <xf numFmtId="0" fontId="4" fillId="88" borderId="0" applyNumberFormat="0" applyBorder="0" applyAlignment="0" applyProtection="0"/>
    <xf numFmtId="0" fontId="4" fillId="85" borderId="0" applyNumberFormat="0" applyBorder="0" applyAlignment="0" applyProtection="0"/>
    <xf numFmtId="0" fontId="4" fillId="88" borderId="0" applyNumberFormat="0" applyBorder="0" applyAlignment="0" applyProtection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7" borderId="0" applyNumberFormat="0" applyBorder="0" applyAlignment="0" applyProtection="0"/>
    <xf numFmtId="0" fontId="4" fillId="90" borderId="0" applyNumberFormat="0" applyBorder="0" applyAlignment="0" applyProtection="0"/>
    <xf numFmtId="0" fontId="4" fillId="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8" borderId="0" applyNumberFormat="0" applyBorder="0" applyAlignment="0" applyProtection="0"/>
    <xf numFmtId="0" fontId="4" fillId="2" borderId="0" applyNumberFormat="0" applyBorder="0" applyAlignment="0" applyProtection="0"/>
    <xf numFmtId="0" fontId="4" fillId="73" borderId="0" applyNumberFormat="0" applyBorder="0" applyAlignment="0" applyProtection="0"/>
    <xf numFmtId="0" fontId="4" fillId="89" borderId="0" applyNumberFormat="0" applyBorder="0" applyAlignment="0" applyProtection="0"/>
    <xf numFmtId="0" fontId="4" fillId="88" borderId="0" applyNumberFormat="0" applyBorder="0" applyAlignment="0" applyProtection="0"/>
    <xf numFmtId="0" fontId="4" fillId="85" borderId="0" applyNumberFormat="0" applyBorder="0" applyAlignment="0" applyProtection="0"/>
    <xf numFmtId="0" fontId="4" fillId="88" borderId="0" applyNumberFormat="0" applyBorder="0" applyAlignment="0" applyProtection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7" borderId="0" applyNumberFormat="0" applyBorder="0" applyAlignment="0" applyProtection="0"/>
    <xf numFmtId="0" fontId="4" fillId="90" borderId="0" applyNumberFormat="0" applyBorder="0" applyAlignment="0" applyProtection="0"/>
    <xf numFmtId="0" fontId="4" fillId="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8" borderId="0" applyNumberFormat="0" applyBorder="0" applyAlignment="0" applyProtection="0"/>
    <xf numFmtId="0" fontId="4" fillId="2" borderId="0" applyNumberFormat="0" applyBorder="0" applyAlignment="0" applyProtection="0"/>
    <xf numFmtId="0" fontId="4" fillId="73" borderId="0" applyNumberFormat="0" applyBorder="0" applyAlignment="0" applyProtection="0"/>
    <xf numFmtId="0" fontId="4" fillId="89" borderId="0" applyNumberFormat="0" applyBorder="0" applyAlignment="0" applyProtection="0"/>
    <xf numFmtId="0" fontId="4" fillId="88" borderId="0" applyNumberFormat="0" applyBorder="0" applyAlignment="0" applyProtection="0"/>
    <xf numFmtId="0" fontId="4" fillId="85" borderId="0" applyNumberFormat="0" applyBorder="0" applyAlignment="0" applyProtection="0"/>
    <xf numFmtId="0" fontId="4" fillId="88" borderId="0" applyNumberFormat="0" applyBorder="0" applyAlignment="0" applyProtection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7" borderId="0" applyNumberFormat="0" applyBorder="0" applyAlignment="0" applyProtection="0"/>
    <xf numFmtId="0" fontId="4" fillId="90" borderId="0" applyNumberFormat="0" applyBorder="0" applyAlignment="0" applyProtection="0"/>
    <xf numFmtId="0" fontId="4" fillId="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8" borderId="0" applyNumberFormat="0" applyBorder="0" applyAlignment="0" applyProtection="0"/>
    <xf numFmtId="0" fontId="4" fillId="2" borderId="0" applyNumberFormat="0" applyBorder="0" applyAlignment="0" applyProtection="0"/>
    <xf numFmtId="0" fontId="4" fillId="73" borderId="0" applyNumberFormat="0" applyBorder="0" applyAlignment="0" applyProtection="0"/>
    <xf numFmtId="0" fontId="4" fillId="89" borderId="0" applyNumberFormat="0" applyBorder="0" applyAlignment="0" applyProtection="0"/>
    <xf numFmtId="0" fontId="4" fillId="88" borderId="0" applyNumberFormat="0" applyBorder="0" applyAlignment="0" applyProtection="0"/>
    <xf numFmtId="0" fontId="4" fillId="85" borderId="0" applyNumberFormat="0" applyBorder="0" applyAlignment="0" applyProtection="0"/>
    <xf numFmtId="0" fontId="4" fillId="88" borderId="0" applyNumberFormat="0" applyBorder="0" applyAlignment="0" applyProtection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7" borderId="0" applyNumberFormat="0" applyBorder="0" applyAlignment="0" applyProtection="0"/>
    <xf numFmtId="0" fontId="4" fillId="90" borderId="0" applyNumberFormat="0" applyBorder="0" applyAlignment="0" applyProtection="0"/>
    <xf numFmtId="0" fontId="4" fillId="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8" borderId="0" applyNumberFormat="0" applyBorder="0" applyAlignment="0" applyProtection="0"/>
    <xf numFmtId="0" fontId="4" fillId="2" borderId="0" applyNumberFormat="0" applyBorder="0" applyAlignment="0" applyProtection="0"/>
    <xf numFmtId="0" fontId="4" fillId="73" borderId="0" applyNumberFormat="0" applyBorder="0" applyAlignment="0" applyProtection="0"/>
    <xf numFmtId="0" fontId="4" fillId="89" borderId="0" applyNumberFormat="0" applyBorder="0" applyAlignment="0" applyProtection="0"/>
    <xf numFmtId="0" fontId="4" fillId="88" borderId="0" applyNumberFormat="0" applyBorder="0" applyAlignment="0" applyProtection="0"/>
    <xf numFmtId="0" fontId="4" fillId="85" borderId="0" applyNumberFormat="0" applyBorder="0" applyAlignment="0" applyProtection="0"/>
    <xf numFmtId="0" fontId="4" fillId="88" borderId="0" applyNumberFormat="0" applyBorder="0" applyAlignment="0" applyProtection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7" borderId="0" applyNumberFormat="0" applyBorder="0" applyAlignment="0" applyProtection="0"/>
    <xf numFmtId="0" fontId="4" fillId="90" borderId="0" applyNumberFormat="0" applyBorder="0" applyAlignment="0" applyProtection="0"/>
    <xf numFmtId="0" fontId="4" fillId="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8" borderId="0" applyNumberFormat="0" applyBorder="0" applyAlignment="0" applyProtection="0"/>
    <xf numFmtId="0" fontId="4" fillId="2" borderId="0" applyNumberFormat="0" applyBorder="0" applyAlignment="0" applyProtection="0"/>
    <xf numFmtId="0" fontId="4" fillId="73" borderId="0" applyNumberFormat="0" applyBorder="0" applyAlignment="0" applyProtection="0"/>
    <xf numFmtId="0" fontId="4" fillId="89" borderId="0" applyNumberFormat="0" applyBorder="0" applyAlignment="0" applyProtection="0"/>
    <xf numFmtId="0" fontId="4" fillId="88" borderId="0" applyNumberFormat="0" applyBorder="0" applyAlignment="0" applyProtection="0"/>
    <xf numFmtId="0" fontId="4" fillId="85" borderId="0" applyNumberFormat="0" applyBorder="0" applyAlignment="0" applyProtection="0"/>
    <xf numFmtId="0" fontId="4" fillId="88" borderId="0" applyNumberFormat="0" applyBorder="0" applyAlignment="0" applyProtection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7" borderId="0" applyNumberFormat="0" applyBorder="0" applyAlignment="0" applyProtection="0"/>
    <xf numFmtId="0" fontId="4" fillId="90" borderId="0" applyNumberFormat="0" applyBorder="0" applyAlignment="0" applyProtection="0"/>
    <xf numFmtId="0" fontId="4" fillId="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8" borderId="0" applyNumberFormat="0" applyBorder="0" applyAlignment="0" applyProtection="0"/>
    <xf numFmtId="0" fontId="4" fillId="2" borderId="0" applyNumberFormat="0" applyBorder="0" applyAlignment="0" applyProtection="0"/>
    <xf numFmtId="0" fontId="4" fillId="73" borderId="0" applyNumberFormat="0" applyBorder="0" applyAlignment="0" applyProtection="0"/>
    <xf numFmtId="0" fontId="4" fillId="89" borderId="0" applyNumberFormat="0" applyBorder="0" applyAlignment="0" applyProtection="0"/>
    <xf numFmtId="0" fontId="4" fillId="88" borderId="0" applyNumberFormat="0" applyBorder="0" applyAlignment="0" applyProtection="0"/>
    <xf numFmtId="0" fontId="4" fillId="85" borderId="0" applyNumberFormat="0" applyBorder="0" applyAlignment="0" applyProtection="0"/>
    <xf numFmtId="0" fontId="4" fillId="88" borderId="0" applyNumberFormat="0" applyBorder="0" applyAlignment="0" applyProtection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7" borderId="0" applyNumberFormat="0" applyBorder="0" applyAlignment="0" applyProtection="0"/>
    <xf numFmtId="0" fontId="4" fillId="90" borderId="0" applyNumberFormat="0" applyBorder="0" applyAlignment="0" applyProtection="0"/>
    <xf numFmtId="0" fontId="4" fillId="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8" borderId="0" applyNumberFormat="0" applyBorder="0" applyAlignment="0" applyProtection="0"/>
    <xf numFmtId="0" fontId="4" fillId="2" borderId="0" applyNumberFormat="0" applyBorder="0" applyAlignment="0" applyProtection="0"/>
    <xf numFmtId="0" fontId="4" fillId="73" borderId="0" applyNumberFormat="0" applyBorder="0" applyAlignment="0" applyProtection="0"/>
    <xf numFmtId="0" fontId="4" fillId="89" borderId="0" applyNumberFormat="0" applyBorder="0" applyAlignment="0" applyProtection="0"/>
    <xf numFmtId="0" fontId="4" fillId="88" borderId="0" applyNumberFormat="0" applyBorder="0" applyAlignment="0" applyProtection="0"/>
    <xf numFmtId="0" fontId="4" fillId="85" borderId="0" applyNumberFormat="0" applyBorder="0" applyAlignment="0" applyProtection="0"/>
    <xf numFmtId="0" fontId="4" fillId="88" borderId="0" applyNumberFormat="0" applyBorder="0" applyAlignment="0" applyProtection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7" borderId="0" applyNumberFormat="0" applyBorder="0" applyAlignment="0" applyProtection="0"/>
    <xf numFmtId="0" fontId="4" fillId="90" borderId="0" applyNumberFormat="0" applyBorder="0" applyAlignment="0" applyProtection="0"/>
    <xf numFmtId="0" fontId="4" fillId="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8" borderId="0" applyNumberFormat="0" applyBorder="0" applyAlignment="0" applyProtection="0"/>
    <xf numFmtId="0" fontId="4" fillId="2" borderId="0" applyNumberFormat="0" applyBorder="0" applyAlignment="0" applyProtection="0"/>
    <xf numFmtId="0" fontId="4" fillId="73" borderId="0" applyNumberFormat="0" applyBorder="0" applyAlignment="0" applyProtection="0"/>
    <xf numFmtId="0" fontId="4" fillId="89" borderId="0" applyNumberFormat="0" applyBorder="0" applyAlignment="0" applyProtection="0"/>
    <xf numFmtId="0" fontId="4" fillId="88" borderId="0" applyNumberFormat="0" applyBorder="0" applyAlignment="0" applyProtection="0"/>
    <xf numFmtId="0" fontId="4" fillId="85" borderId="0" applyNumberFormat="0" applyBorder="0" applyAlignment="0" applyProtection="0"/>
    <xf numFmtId="0" fontId="4" fillId="88" borderId="0" applyNumberFormat="0" applyBorder="0" applyAlignment="0" applyProtection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7" borderId="0" applyNumberFormat="0" applyBorder="0" applyAlignment="0" applyProtection="0"/>
    <xf numFmtId="0" fontId="4" fillId="90" borderId="0" applyNumberFormat="0" applyBorder="0" applyAlignment="0" applyProtection="0"/>
    <xf numFmtId="0" fontId="4" fillId="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8" borderId="0" applyNumberFormat="0" applyBorder="0" applyAlignment="0" applyProtection="0"/>
    <xf numFmtId="0" fontId="4" fillId="2" borderId="0" applyNumberFormat="0" applyBorder="0" applyAlignment="0" applyProtection="0"/>
    <xf numFmtId="0" fontId="4" fillId="73" borderId="0" applyNumberFormat="0" applyBorder="0" applyAlignment="0" applyProtection="0"/>
    <xf numFmtId="0" fontId="4" fillId="89" borderId="0" applyNumberFormat="0" applyBorder="0" applyAlignment="0" applyProtection="0"/>
    <xf numFmtId="0" fontId="4" fillId="88" borderId="0" applyNumberFormat="0" applyBorder="0" applyAlignment="0" applyProtection="0"/>
    <xf numFmtId="0" fontId="4" fillId="85" borderId="0" applyNumberFormat="0" applyBorder="0" applyAlignment="0" applyProtection="0"/>
    <xf numFmtId="0" fontId="4" fillId="88" borderId="0" applyNumberFormat="0" applyBorder="0" applyAlignment="0" applyProtection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7" borderId="0" applyNumberFormat="0" applyBorder="0" applyAlignment="0" applyProtection="0"/>
    <xf numFmtId="0" fontId="4" fillId="90" borderId="0" applyNumberFormat="0" applyBorder="0" applyAlignment="0" applyProtection="0"/>
    <xf numFmtId="0" fontId="4" fillId="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8" borderId="0" applyNumberFormat="0" applyBorder="0" applyAlignment="0" applyProtection="0"/>
    <xf numFmtId="0" fontId="4" fillId="2" borderId="0" applyNumberFormat="0" applyBorder="0" applyAlignment="0" applyProtection="0"/>
    <xf numFmtId="0" fontId="4" fillId="73" borderId="0" applyNumberFormat="0" applyBorder="0" applyAlignment="0" applyProtection="0"/>
    <xf numFmtId="0" fontId="4" fillId="89" borderId="0" applyNumberFormat="0" applyBorder="0" applyAlignment="0" applyProtection="0"/>
    <xf numFmtId="0" fontId="4" fillId="88" borderId="0" applyNumberFormat="0" applyBorder="0" applyAlignment="0" applyProtection="0"/>
    <xf numFmtId="0" fontId="4" fillId="85" borderId="0" applyNumberFormat="0" applyBorder="0" applyAlignment="0" applyProtection="0"/>
    <xf numFmtId="0" fontId="4" fillId="88" borderId="0" applyNumberFormat="0" applyBorder="0" applyAlignment="0" applyProtection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7" borderId="0" applyNumberFormat="0" applyBorder="0" applyAlignment="0" applyProtection="0"/>
    <xf numFmtId="0" fontId="4" fillId="90" borderId="0" applyNumberFormat="0" applyBorder="0" applyAlignment="0" applyProtection="0"/>
    <xf numFmtId="0" fontId="4" fillId="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8" borderId="0" applyNumberFormat="0" applyBorder="0" applyAlignment="0" applyProtection="0"/>
    <xf numFmtId="0" fontId="4" fillId="2" borderId="0" applyNumberFormat="0" applyBorder="0" applyAlignment="0" applyProtection="0"/>
    <xf numFmtId="0" fontId="4" fillId="73" borderId="0" applyNumberFormat="0" applyBorder="0" applyAlignment="0" applyProtection="0"/>
    <xf numFmtId="0" fontId="4" fillId="89" borderId="0" applyNumberFormat="0" applyBorder="0" applyAlignment="0" applyProtection="0"/>
    <xf numFmtId="0" fontId="4" fillId="88" borderId="0" applyNumberFormat="0" applyBorder="0" applyAlignment="0" applyProtection="0"/>
    <xf numFmtId="0" fontId="4" fillId="85" borderId="0" applyNumberFormat="0" applyBorder="0" applyAlignment="0" applyProtection="0"/>
    <xf numFmtId="0" fontId="4" fillId="88" borderId="0" applyNumberFormat="0" applyBorder="0" applyAlignment="0" applyProtection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7" borderId="0" applyNumberFormat="0" applyBorder="0" applyAlignment="0" applyProtection="0"/>
    <xf numFmtId="0" fontId="4" fillId="90" borderId="0" applyNumberFormat="0" applyBorder="0" applyAlignment="0" applyProtection="0"/>
    <xf numFmtId="0" fontId="4" fillId="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8" borderId="0" applyNumberFormat="0" applyBorder="0" applyAlignment="0" applyProtection="0"/>
    <xf numFmtId="0" fontId="4" fillId="2" borderId="0" applyNumberFormat="0" applyBorder="0" applyAlignment="0" applyProtection="0"/>
    <xf numFmtId="0" fontId="4" fillId="73" borderId="0" applyNumberFormat="0" applyBorder="0" applyAlignment="0" applyProtection="0"/>
    <xf numFmtId="0" fontId="4" fillId="89" borderId="0" applyNumberFormat="0" applyBorder="0" applyAlignment="0" applyProtection="0"/>
    <xf numFmtId="0" fontId="4" fillId="88" borderId="0" applyNumberFormat="0" applyBorder="0" applyAlignment="0" applyProtection="0"/>
    <xf numFmtId="0" fontId="4" fillId="85" borderId="0" applyNumberFormat="0" applyBorder="0" applyAlignment="0" applyProtection="0"/>
    <xf numFmtId="0" fontId="4" fillId="88" borderId="0" applyNumberFormat="0" applyBorder="0" applyAlignment="0" applyProtection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7" borderId="0" applyNumberFormat="0" applyBorder="0" applyAlignment="0" applyProtection="0"/>
    <xf numFmtId="0" fontId="4" fillId="90" borderId="0" applyNumberFormat="0" applyBorder="0" applyAlignment="0" applyProtection="0"/>
    <xf numFmtId="0" fontId="4" fillId="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8" borderId="0" applyNumberFormat="0" applyBorder="0" applyAlignment="0" applyProtection="0"/>
    <xf numFmtId="0" fontId="4" fillId="2" borderId="0" applyNumberFormat="0" applyBorder="0" applyAlignment="0" applyProtection="0"/>
    <xf numFmtId="0" fontId="4" fillId="73" borderId="0" applyNumberFormat="0" applyBorder="0" applyAlignment="0" applyProtection="0"/>
    <xf numFmtId="0" fontId="4" fillId="89" borderId="0" applyNumberFormat="0" applyBorder="0" applyAlignment="0" applyProtection="0"/>
    <xf numFmtId="0" fontId="4" fillId="88" borderId="0" applyNumberFormat="0" applyBorder="0" applyAlignment="0" applyProtection="0"/>
    <xf numFmtId="0" fontId="4" fillId="85" borderId="0" applyNumberFormat="0" applyBorder="0" applyAlignment="0" applyProtection="0"/>
    <xf numFmtId="0" fontId="4" fillId="88" borderId="0" applyNumberFormat="0" applyBorder="0" applyAlignment="0" applyProtection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7" borderId="0" applyNumberFormat="0" applyBorder="0" applyAlignment="0" applyProtection="0"/>
    <xf numFmtId="0" fontId="4" fillId="90" borderId="0" applyNumberFormat="0" applyBorder="0" applyAlignment="0" applyProtection="0"/>
    <xf numFmtId="0" fontId="4" fillId="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8" borderId="0" applyNumberFormat="0" applyBorder="0" applyAlignment="0" applyProtection="0"/>
    <xf numFmtId="0" fontId="4" fillId="2" borderId="0" applyNumberFormat="0" applyBorder="0" applyAlignment="0" applyProtection="0"/>
    <xf numFmtId="0" fontId="4" fillId="73" borderId="0" applyNumberFormat="0" applyBorder="0" applyAlignment="0" applyProtection="0"/>
    <xf numFmtId="0" fontId="4" fillId="89" borderId="0" applyNumberFormat="0" applyBorder="0" applyAlignment="0" applyProtection="0"/>
    <xf numFmtId="0" fontId="4" fillId="88" borderId="0" applyNumberFormat="0" applyBorder="0" applyAlignment="0" applyProtection="0"/>
    <xf numFmtId="0" fontId="4" fillId="85" borderId="0" applyNumberFormat="0" applyBorder="0" applyAlignment="0" applyProtection="0"/>
    <xf numFmtId="0" fontId="4" fillId="88" borderId="0" applyNumberFormat="0" applyBorder="0" applyAlignment="0" applyProtection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7" borderId="0" applyNumberFormat="0" applyBorder="0" applyAlignment="0" applyProtection="0"/>
    <xf numFmtId="0" fontId="4" fillId="90" borderId="0" applyNumberFormat="0" applyBorder="0" applyAlignment="0" applyProtection="0"/>
    <xf numFmtId="0" fontId="4" fillId="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8" borderId="0" applyNumberFormat="0" applyBorder="0" applyAlignment="0" applyProtection="0"/>
    <xf numFmtId="0" fontId="4" fillId="2" borderId="0" applyNumberFormat="0" applyBorder="0" applyAlignment="0" applyProtection="0"/>
    <xf numFmtId="0" fontId="4" fillId="73" borderId="0" applyNumberFormat="0" applyBorder="0" applyAlignment="0" applyProtection="0"/>
    <xf numFmtId="0" fontId="4" fillId="89" borderId="0" applyNumberFormat="0" applyBorder="0" applyAlignment="0" applyProtection="0"/>
    <xf numFmtId="0" fontId="4" fillId="88" borderId="0" applyNumberFormat="0" applyBorder="0" applyAlignment="0" applyProtection="0"/>
    <xf numFmtId="0" fontId="4" fillId="85" borderId="0" applyNumberFormat="0" applyBorder="0" applyAlignment="0" applyProtection="0"/>
    <xf numFmtId="0" fontId="4" fillId="88" borderId="0" applyNumberFormat="0" applyBorder="0" applyAlignment="0" applyProtection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7" borderId="0" applyNumberFormat="0" applyBorder="0" applyAlignment="0" applyProtection="0"/>
    <xf numFmtId="0" fontId="4" fillId="90" borderId="0" applyNumberFormat="0" applyBorder="0" applyAlignment="0" applyProtection="0"/>
    <xf numFmtId="0" fontId="4" fillId="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8" borderId="0" applyNumberFormat="0" applyBorder="0" applyAlignment="0" applyProtection="0"/>
    <xf numFmtId="0" fontId="4" fillId="2" borderId="0" applyNumberFormat="0" applyBorder="0" applyAlignment="0" applyProtection="0"/>
    <xf numFmtId="0" fontId="4" fillId="73" borderId="0" applyNumberFormat="0" applyBorder="0" applyAlignment="0" applyProtection="0"/>
    <xf numFmtId="0" fontId="4" fillId="89" borderId="0" applyNumberFormat="0" applyBorder="0" applyAlignment="0" applyProtection="0"/>
    <xf numFmtId="0" fontId="4" fillId="88" borderId="0" applyNumberFormat="0" applyBorder="0" applyAlignment="0" applyProtection="0"/>
    <xf numFmtId="0" fontId="4" fillId="85" borderId="0" applyNumberFormat="0" applyBorder="0" applyAlignment="0" applyProtection="0"/>
    <xf numFmtId="0" fontId="4" fillId="88" borderId="0" applyNumberFormat="0" applyBorder="0" applyAlignment="0" applyProtection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7" borderId="0" applyNumberFormat="0" applyBorder="0" applyAlignment="0" applyProtection="0"/>
    <xf numFmtId="0" fontId="4" fillId="90" borderId="0" applyNumberFormat="0" applyBorder="0" applyAlignment="0" applyProtection="0"/>
    <xf numFmtId="0" fontId="4" fillId="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8" borderId="0" applyNumberFormat="0" applyBorder="0" applyAlignment="0" applyProtection="0"/>
    <xf numFmtId="0" fontId="4" fillId="2" borderId="0" applyNumberFormat="0" applyBorder="0" applyAlignment="0" applyProtection="0"/>
    <xf numFmtId="0" fontId="4" fillId="73" borderId="0" applyNumberFormat="0" applyBorder="0" applyAlignment="0" applyProtection="0"/>
    <xf numFmtId="0" fontId="4" fillId="89" borderId="0" applyNumberFormat="0" applyBorder="0" applyAlignment="0" applyProtection="0"/>
    <xf numFmtId="0" fontId="4" fillId="88" borderId="0" applyNumberFormat="0" applyBorder="0" applyAlignment="0" applyProtection="0"/>
    <xf numFmtId="0" fontId="4" fillId="85" borderId="0" applyNumberFormat="0" applyBorder="0" applyAlignment="0" applyProtection="0"/>
    <xf numFmtId="0" fontId="4" fillId="88" borderId="0" applyNumberFormat="0" applyBorder="0" applyAlignment="0" applyProtection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7" borderId="0" applyNumberFormat="0" applyBorder="0" applyAlignment="0" applyProtection="0"/>
    <xf numFmtId="0" fontId="4" fillId="90" borderId="0" applyNumberFormat="0" applyBorder="0" applyAlignment="0" applyProtection="0"/>
    <xf numFmtId="0" fontId="4" fillId="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8" borderId="0" applyNumberFormat="0" applyBorder="0" applyAlignment="0" applyProtection="0"/>
    <xf numFmtId="0" fontId="4" fillId="2" borderId="0" applyNumberFormat="0" applyBorder="0" applyAlignment="0" applyProtection="0"/>
    <xf numFmtId="0" fontId="4" fillId="73" borderId="0" applyNumberFormat="0" applyBorder="0" applyAlignment="0" applyProtection="0"/>
    <xf numFmtId="0" fontId="4" fillId="89" borderId="0" applyNumberFormat="0" applyBorder="0" applyAlignment="0" applyProtection="0"/>
    <xf numFmtId="0" fontId="4" fillId="88" borderId="0" applyNumberFormat="0" applyBorder="0" applyAlignment="0" applyProtection="0"/>
    <xf numFmtId="0" fontId="4" fillId="85" borderId="0" applyNumberFormat="0" applyBorder="0" applyAlignment="0" applyProtection="0"/>
    <xf numFmtId="0" fontId="4" fillId="88" borderId="0" applyNumberFormat="0" applyBorder="0" applyAlignment="0" applyProtection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7" borderId="0" applyNumberFormat="0" applyBorder="0" applyAlignment="0" applyProtection="0"/>
    <xf numFmtId="0" fontId="4" fillId="90" borderId="0" applyNumberFormat="0" applyBorder="0" applyAlignment="0" applyProtection="0"/>
    <xf numFmtId="0" fontId="4" fillId="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8" borderId="0" applyNumberFormat="0" applyBorder="0" applyAlignment="0" applyProtection="0"/>
    <xf numFmtId="0" fontId="4" fillId="2" borderId="0" applyNumberFormat="0" applyBorder="0" applyAlignment="0" applyProtection="0"/>
    <xf numFmtId="0" fontId="4" fillId="73" borderId="0" applyNumberFormat="0" applyBorder="0" applyAlignment="0" applyProtection="0"/>
    <xf numFmtId="0" fontId="4" fillId="89" borderId="0" applyNumberFormat="0" applyBorder="0" applyAlignment="0" applyProtection="0"/>
    <xf numFmtId="0" fontId="4" fillId="88" borderId="0" applyNumberFormat="0" applyBorder="0" applyAlignment="0" applyProtection="0"/>
    <xf numFmtId="0" fontId="4" fillId="85" borderId="0" applyNumberFormat="0" applyBorder="0" applyAlignment="0" applyProtection="0"/>
    <xf numFmtId="0" fontId="4" fillId="88" borderId="0" applyNumberFormat="0" applyBorder="0" applyAlignment="0" applyProtection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7" borderId="0" applyNumberFormat="0" applyBorder="0" applyAlignment="0" applyProtection="0"/>
    <xf numFmtId="0" fontId="4" fillId="90" borderId="0" applyNumberFormat="0" applyBorder="0" applyAlignment="0" applyProtection="0"/>
    <xf numFmtId="0" fontId="4" fillId="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8" borderId="0" applyNumberFormat="0" applyBorder="0" applyAlignment="0" applyProtection="0"/>
    <xf numFmtId="0" fontId="4" fillId="2" borderId="0" applyNumberFormat="0" applyBorder="0" applyAlignment="0" applyProtection="0"/>
    <xf numFmtId="0" fontId="4" fillId="73" borderId="0" applyNumberFormat="0" applyBorder="0" applyAlignment="0" applyProtection="0"/>
    <xf numFmtId="0" fontId="4" fillId="89" borderId="0" applyNumberFormat="0" applyBorder="0" applyAlignment="0" applyProtection="0"/>
    <xf numFmtId="0" fontId="4" fillId="88" borderId="0" applyNumberFormat="0" applyBorder="0" applyAlignment="0" applyProtection="0"/>
    <xf numFmtId="0" fontId="4" fillId="85" borderId="0" applyNumberFormat="0" applyBorder="0" applyAlignment="0" applyProtection="0"/>
    <xf numFmtId="0" fontId="4" fillId="88" borderId="0" applyNumberFormat="0" applyBorder="0" applyAlignment="0" applyProtection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7" borderId="0" applyNumberFormat="0" applyBorder="0" applyAlignment="0" applyProtection="0"/>
    <xf numFmtId="0" fontId="4" fillId="90" borderId="0" applyNumberFormat="0" applyBorder="0" applyAlignment="0" applyProtection="0"/>
    <xf numFmtId="0" fontId="4" fillId="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8" borderId="0" applyNumberFormat="0" applyBorder="0" applyAlignment="0" applyProtection="0"/>
    <xf numFmtId="0" fontId="4" fillId="2" borderId="0" applyNumberFormat="0" applyBorder="0" applyAlignment="0" applyProtection="0"/>
    <xf numFmtId="0" fontId="4" fillId="73" borderId="0" applyNumberFormat="0" applyBorder="0" applyAlignment="0" applyProtection="0"/>
    <xf numFmtId="0" fontId="4" fillId="89" borderId="0" applyNumberFormat="0" applyBorder="0" applyAlignment="0" applyProtection="0"/>
    <xf numFmtId="0" fontId="4" fillId="88" borderId="0" applyNumberFormat="0" applyBorder="0" applyAlignment="0" applyProtection="0"/>
    <xf numFmtId="0" fontId="4" fillId="85" borderId="0" applyNumberFormat="0" applyBorder="0" applyAlignment="0" applyProtection="0"/>
    <xf numFmtId="0" fontId="4" fillId="88" borderId="0" applyNumberFormat="0" applyBorder="0" applyAlignment="0" applyProtection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7" borderId="0" applyNumberFormat="0" applyBorder="0" applyAlignment="0" applyProtection="0"/>
    <xf numFmtId="0" fontId="4" fillId="90" borderId="0" applyNumberFormat="0" applyBorder="0" applyAlignment="0" applyProtection="0"/>
    <xf numFmtId="0" fontId="4" fillId="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8" borderId="0" applyNumberFormat="0" applyBorder="0" applyAlignment="0" applyProtection="0"/>
    <xf numFmtId="0" fontId="4" fillId="2" borderId="0" applyNumberFormat="0" applyBorder="0" applyAlignment="0" applyProtection="0"/>
    <xf numFmtId="0" fontId="4" fillId="73" borderId="0" applyNumberFormat="0" applyBorder="0" applyAlignment="0" applyProtection="0"/>
    <xf numFmtId="0" fontId="4" fillId="89" borderId="0" applyNumberFormat="0" applyBorder="0" applyAlignment="0" applyProtection="0"/>
    <xf numFmtId="0" fontId="4" fillId="88" borderId="0" applyNumberFormat="0" applyBorder="0" applyAlignment="0" applyProtection="0"/>
    <xf numFmtId="0" fontId="4" fillId="85" borderId="0" applyNumberFormat="0" applyBorder="0" applyAlignment="0" applyProtection="0"/>
    <xf numFmtId="0" fontId="4" fillId="88" borderId="0" applyNumberFormat="0" applyBorder="0" applyAlignment="0" applyProtection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7" borderId="0" applyNumberFormat="0" applyBorder="0" applyAlignment="0" applyProtection="0"/>
    <xf numFmtId="0" fontId="4" fillId="90" borderId="0" applyNumberFormat="0" applyBorder="0" applyAlignment="0" applyProtection="0"/>
    <xf numFmtId="0" fontId="4" fillId="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8" borderId="0" applyNumberFormat="0" applyBorder="0" applyAlignment="0" applyProtection="0"/>
    <xf numFmtId="0" fontId="4" fillId="2" borderId="0" applyNumberFormat="0" applyBorder="0" applyAlignment="0" applyProtection="0"/>
    <xf numFmtId="0" fontId="4" fillId="73" borderId="0" applyNumberFormat="0" applyBorder="0" applyAlignment="0" applyProtection="0"/>
    <xf numFmtId="0" fontId="4" fillId="89" borderId="0" applyNumberFormat="0" applyBorder="0" applyAlignment="0" applyProtection="0"/>
    <xf numFmtId="0" fontId="4" fillId="88" borderId="0" applyNumberFormat="0" applyBorder="0" applyAlignment="0" applyProtection="0"/>
    <xf numFmtId="0" fontId="4" fillId="85" borderId="0" applyNumberFormat="0" applyBorder="0" applyAlignment="0" applyProtection="0"/>
    <xf numFmtId="0" fontId="4" fillId="88" borderId="0" applyNumberFormat="0" applyBorder="0" applyAlignment="0" applyProtection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7" borderId="0" applyNumberFormat="0" applyBorder="0" applyAlignment="0" applyProtection="0"/>
    <xf numFmtId="0" fontId="4" fillId="90" borderId="0" applyNumberFormat="0" applyBorder="0" applyAlignment="0" applyProtection="0"/>
    <xf numFmtId="0" fontId="4" fillId="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3" fillId="0" borderId="0" applyNumberFormat="0" applyFont="0" applyFill="0" applyBorder="0" applyAlignment="0" applyProtection="0"/>
    <xf numFmtId="0" fontId="13" fillId="0" borderId="0" applyNumberFormat="0" applyFont="0" applyFill="0" applyBorder="0" applyAlignment="0" applyProtection="0"/>
    <xf numFmtId="0" fontId="13" fillId="0" borderId="0" applyNumberFormat="0" applyFont="0" applyFill="0" applyBorder="0" applyAlignment="0" applyProtection="0"/>
    <xf numFmtId="0" fontId="13" fillId="0" borderId="0" applyNumberFormat="0" applyFont="0" applyFill="0" applyBorder="0" applyAlignment="0" applyProtection="0"/>
    <xf numFmtId="0" fontId="13" fillId="0" borderId="0" applyNumberFormat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13" fillId="0" borderId="0" applyNumberFormat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13" fillId="0" borderId="0" applyNumberFormat="0" applyFont="0" applyFill="0" applyBorder="0" applyAlignment="0" applyProtection="0"/>
    <xf numFmtId="0" fontId="13" fillId="0" borderId="0" applyNumberFormat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3" fillId="0" borderId="0" applyNumberFormat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65" borderId="0" applyNumberFormat="0" applyBorder="0" applyAlignment="0" applyProtection="0"/>
    <xf numFmtId="0" fontId="2" fillId="66" borderId="0" applyNumberFormat="0" applyBorder="0" applyAlignment="0" applyProtection="0"/>
    <xf numFmtId="0" fontId="2" fillId="69" borderId="0" applyNumberFormat="0" applyBorder="0" applyAlignment="0" applyProtection="0"/>
    <xf numFmtId="0" fontId="2" fillId="70" borderId="0" applyNumberFormat="0" applyBorder="0" applyAlignment="0" applyProtection="0"/>
    <xf numFmtId="0" fontId="2" fillId="73" borderId="0" applyNumberFormat="0" applyBorder="0" applyAlignment="0" applyProtection="0"/>
    <xf numFmtId="0" fontId="2" fillId="74" borderId="0" applyNumberFormat="0" applyBorder="0" applyAlignment="0" applyProtection="0"/>
    <xf numFmtId="0" fontId="2" fillId="77" borderId="0" applyNumberFormat="0" applyBorder="0" applyAlignment="0" applyProtection="0"/>
    <xf numFmtId="0" fontId="2" fillId="78" borderId="0" applyNumberFormat="0" applyBorder="0" applyAlignment="0" applyProtection="0"/>
    <xf numFmtId="0" fontId="2" fillId="81" borderId="0" applyNumberFormat="0" applyBorder="0" applyAlignment="0" applyProtection="0"/>
    <xf numFmtId="0" fontId="2" fillId="82" borderId="0" applyNumberFormat="0" applyBorder="0" applyAlignment="0" applyProtection="0"/>
    <xf numFmtId="0" fontId="2" fillId="85" borderId="0" applyNumberFormat="0" applyBorder="0" applyAlignment="0" applyProtection="0"/>
    <xf numFmtId="0" fontId="2" fillId="86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73" borderId="0" applyNumberFormat="0" applyBorder="0" applyAlignment="0" applyProtection="0"/>
    <xf numFmtId="0" fontId="2" fillId="73" borderId="0" applyNumberFormat="0" applyBorder="0" applyAlignment="0" applyProtection="0"/>
    <xf numFmtId="0" fontId="2" fillId="73" borderId="0" applyNumberFormat="0" applyBorder="0" applyAlignment="0" applyProtection="0"/>
    <xf numFmtId="0" fontId="2" fillId="73" borderId="0" applyNumberFormat="0" applyBorder="0" applyAlignment="0" applyProtection="0"/>
    <xf numFmtId="0" fontId="2" fillId="73" borderId="0" applyNumberFormat="0" applyBorder="0" applyAlignment="0" applyProtection="0"/>
    <xf numFmtId="0" fontId="2" fillId="73" borderId="0" applyNumberFormat="0" applyBorder="0" applyAlignment="0" applyProtection="0"/>
    <xf numFmtId="0" fontId="2" fillId="89" borderId="0" applyNumberFormat="0" applyBorder="0" applyAlignment="0" applyProtection="0"/>
    <xf numFmtId="0" fontId="2" fillId="89" borderId="0" applyNumberFormat="0" applyBorder="0" applyAlignment="0" applyProtection="0"/>
    <xf numFmtId="0" fontId="2" fillId="89" borderId="0" applyNumberFormat="0" applyBorder="0" applyAlignment="0" applyProtection="0"/>
    <xf numFmtId="0" fontId="2" fillId="89" borderId="0" applyNumberFormat="0" applyBorder="0" applyAlignment="0" applyProtection="0"/>
    <xf numFmtId="0" fontId="2" fillId="89" borderId="0" applyNumberFormat="0" applyBorder="0" applyAlignment="0" applyProtection="0"/>
    <xf numFmtId="0" fontId="2" fillId="89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5" borderId="0" applyNumberFormat="0" applyBorder="0" applyAlignment="0" applyProtection="0"/>
    <xf numFmtId="0" fontId="2" fillId="85" borderId="0" applyNumberFormat="0" applyBorder="0" applyAlignment="0" applyProtection="0"/>
    <xf numFmtId="0" fontId="2" fillId="85" borderId="0" applyNumberFormat="0" applyBorder="0" applyAlignment="0" applyProtection="0"/>
    <xf numFmtId="0" fontId="2" fillId="85" borderId="0" applyNumberFormat="0" applyBorder="0" applyAlignment="0" applyProtection="0"/>
    <xf numFmtId="0" fontId="2" fillId="85" borderId="0" applyNumberFormat="0" applyBorder="0" applyAlignment="0" applyProtection="0"/>
    <xf numFmtId="0" fontId="2" fillId="85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7" borderId="0" applyNumberFormat="0" applyBorder="0" applyAlignment="0" applyProtection="0"/>
    <xf numFmtId="0" fontId="2" fillId="7" borderId="0" applyNumberFormat="0" applyBorder="0" applyAlignment="0" applyProtection="0"/>
    <xf numFmtId="0" fontId="2" fillId="7" borderId="0" applyNumberFormat="0" applyBorder="0" applyAlignment="0" applyProtection="0"/>
    <xf numFmtId="0" fontId="2" fillId="7" borderId="0" applyNumberFormat="0" applyBorder="0" applyAlignment="0" applyProtection="0"/>
    <xf numFmtId="0" fontId="2" fillId="7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88" borderId="0" applyNumberFormat="0" applyBorder="0" applyAlignment="0" applyProtection="0"/>
    <xf numFmtId="0" fontId="2" fillId="2" borderId="0" applyNumberFormat="0" applyBorder="0" applyAlignment="0" applyProtection="0"/>
    <xf numFmtId="0" fontId="2" fillId="89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90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88" borderId="0" applyNumberFormat="0" applyBorder="0" applyAlignment="0" applyProtection="0"/>
    <xf numFmtId="0" fontId="2" fillId="2" borderId="0" applyNumberFormat="0" applyBorder="0" applyAlignment="0" applyProtection="0"/>
    <xf numFmtId="0" fontId="2" fillId="73" borderId="0" applyNumberFormat="0" applyBorder="0" applyAlignment="0" applyProtection="0"/>
    <xf numFmtId="0" fontId="2" fillId="89" borderId="0" applyNumberFormat="0" applyBorder="0" applyAlignment="0" applyProtection="0"/>
    <xf numFmtId="0" fontId="2" fillId="88" borderId="0" applyNumberFormat="0" applyBorder="0" applyAlignment="0" applyProtection="0"/>
    <xf numFmtId="0" fontId="2" fillId="85" borderId="0" applyNumberFormat="0" applyBorder="0" applyAlignment="0" applyProtection="0"/>
    <xf numFmtId="0" fontId="2" fillId="88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90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73" borderId="0" applyNumberFormat="0" applyBorder="0" applyAlignment="0" applyProtection="0"/>
    <xf numFmtId="0" fontId="2" fillId="88" borderId="0" applyNumberFormat="0" applyBorder="0" applyAlignment="0" applyProtection="0"/>
    <xf numFmtId="0" fontId="2" fillId="85" borderId="0" applyNumberFormat="0" applyBorder="0" applyAlignment="0" applyProtection="0"/>
    <xf numFmtId="0" fontId="2" fillId="2" borderId="0" applyNumberFormat="0" applyBorder="0" applyAlignment="0" applyProtection="0"/>
    <xf numFmtId="0" fontId="2" fillId="90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8" borderId="0" applyNumberFormat="0" applyBorder="0" applyAlignment="0" applyProtection="0"/>
    <xf numFmtId="0" fontId="2" fillId="2" borderId="0" applyNumberFormat="0" applyBorder="0" applyAlignment="0" applyProtection="0"/>
    <xf numFmtId="0" fontId="2" fillId="89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90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8" borderId="0" applyNumberFormat="0" applyBorder="0" applyAlignment="0" applyProtection="0"/>
    <xf numFmtId="0" fontId="2" fillId="2" borderId="0" applyNumberFormat="0" applyBorder="0" applyAlignment="0" applyProtection="0"/>
    <xf numFmtId="0" fontId="2" fillId="73" borderId="0" applyNumberFormat="0" applyBorder="0" applyAlignment="0" applyProtection="0"/>
    <xf numFmtId="0" fontId="2" fillId="89" borderId="0" applyNumberFormat="0" applyBorder="0" applyAlignment="0" applyProtection="0"/>
    <xf numFmtId="0" fontId="2" fillId="88" borderId="0" applyNumberFormat="0" applyBorder="0" applyAlignment="0" applyProtection="0"/>
    <xf numFmtId="0" fontId="2" fillId="85" borderId="0" applyNumberFormat="0" applyBorder="0" applyAlignment="0" applyProtection="0"/>
    <xf numFmtId="0" fontId="2" fillId="88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90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8" borderId="0" applyNumberFormat="0" applyBorder="0" applyAlignment="0" applyProtection="0"/>
    <xf numFmtId="0" fontId="2" fillId="2" borderId="0" applyNumberFormat="0" applyBorder="0" applyAlignment="0" applyProtection="0"/>
    <xf numFmtId="0" fontId="2" fillId="73" borderId="0" applyNumberFormat="0" applyBorder="0" applyAlignment="0" applyProtection="0"/>
    <xf numFmtId="0" fontId="2" fillId="89" borderId="0" applyNumberFormat="0" applyBorder="0" applyAlignment="0" applyProtection="0"/>
    <xf numFmtId="0" fontId="2" fillId="88" borderId="0" applyNumberFormat="0" applyBorder="0" applyAlignment="0" applyProtection="0"/>
    <xf numFmtId="0" fontId="2" fillId="85" borderId="0" applyNumberFormat="0" applyBorder="0" applyAlignment="0" applyProtection="0"/>
    <xf numFmtId="0" fontId="2" fillId="88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90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8" borderId="0" applyNumberFormat="0" applyBorder="0" applyAlignment="0" applyProtection="0"/>
    <xf numFmtId="0" fontId="2" fillId="2" borderId="0" applyNumberFormat="0" applyBorder="0" applyAlignment="0" applyProtection="0"/>
    <xf numFmtId="0" fontId="2" fillId="73" borderId="0" applyNumberFormat="0" applyBorder="0" applyAlignment="0" applyProtection="0"/>
    <xf numFmtId="0" fontId="2" fillId="89" borderId="0" applyNumberFormat="0" applyBorder="0" applyAlignment="0" applyProtection="0"/>
    <xf numFmtId="0" fontId="2" fillId="88" borderId="0" applyNumberFormat="0" applyBorder="0" applyAlignment="0" applyProtection="0"/>
    <xf numFmtId="0" fontId="2" fillId="85" borderId="0" applyNumberFormat="0" applyBorder="0" applyAlignment="0" applyProtection="0"/>
    <xf numFmtId="0" fontId="2" fillId="88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90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8" borderId="0" applyNumberFormat="0" applyBorder="0" applyAlignment="0" applyProtection="0"/>
    <xf numFmtId="0" fontId="2" fillId="2" borderId="0" applyNumberFormat="0" applyBorder="0" applyAlignment="0" applyProtection="0"/>
    <xf numFmtId="0" fontId="2" fillId="73" borderId="0" applyNumberFormat="0" applyBorder="0" applyAlignment="0" applyProtection="0"/>
    <xf numFmtId="0" fontId="2" fillId="89" borderId="0" applyNumberFormat="0" applyBorder="0" applyAlignment="0" applyProtection="0"/>
    <xf numFmtId="0" fontId="2" fillId="88" borderId="0" applyNumberFormat="0" applyBorder="0" applyAlignment="0" applyProtection="0"/>
    <xf numFmtId="0" fontId="2" fillId="85" borderId="0" applyNumberFormat="0" applyBorder="0" applyAlignment="0" applyProtection="0"/>
    <xf numFmtId="0" fontId="2" fillId="88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90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8" borderId="0" applyNumberFormat="0" applyBorder="0" applyAlignment="0" applyProtection="0"/>
    <xf numFmtId="0" fontId="2" fillId="2" borderId="0" applyNumberFormat="0" applyBorder="0" applyAlignment="0" applyProtection="0"/>
    <xf numFmtId="0" fontId="2" fillId="73" borderId="0" applyNumberFormat="0" applyBorder="0" applyAlignment="0" applyProtection="0"/>
    <xf numFmtId="0" fontId="2" fillId="89" borderId="0" applyNumberFormat="0" applyBorder="0" applyAlignment="0" applyProtection="0"/>
    <xf numFmtId="0" fontId="2" fillId="88" borderId="0" applyNumberFormat="0" applyBorder="0" applyAlignment="0" applyProtection="0"/>
    <xf numFmtId="0" fontId="2" fillId="85" borderId="0" applyNumberFormat="0" applyBorder="0" applyAlignment="0" applyProtection="0"/>
    <xf numFmtId="0" fontId="2" fillId="88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90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8" borderId="0" applyNumberFormat="0" applyBorder="0" applyAlignment="0" applyProtection="0"/>
    <xf numFmtId="0" fontId="2" fillId="2" borderId="0" applyNumberFormat="0" applyBorder="0" applyAlignment="0" applyProtection="0"/>
    <xf numFmtId="0" fontId="2" fillId="73" borderId="0" applyNumberFormat="0" applyBorder="0" applyAlignment="0" applyProtection="0"/>
    <xf numFmtId="0" fontId="2" fillId="89" borderId="0" applyNumberFormat="0" applyBorder="0" applyAlignment="0" applyProtection="0"/>
    <xf numFmtId="0" fontId="2" fillId="88" borderId="0" applyNumberFormat="0" applyBorder="0" applyAlignment="0" applyProtection="0"/>
    <xf numFmtId="0" fontId="2" fillId="85" borderId="0" applyNumberFormat="0" applyBorder="0" applyAlignment="0" applyProtection="0"/>
    <xf numFmtId="0" fontId="2" fillId="88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90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8" borderId="0" applyNumberFormat="0" applyBorder="0" applyAlignment="0" applyProtection="0"/>
    <xf numFmtId="0" fontId="2" fillId="2" borderId="0" applyNumberFormat="0" applyBorder="0" applyAlignment="0" applyProtection="0"/>
    <xf numFmtId="0" fontId="2" fillId="73" borderId="0" applyNumberFormat="0" applyBorder="0" applyAlignment="0" applyProtection="0"/>
    <xf numFmtId="0" fontId="2" fillId="89" borderId="0" applyNumberFormat="0" applyBorder="0" applyAlignment="0" applyProtection="0"/>
    <xf numFmtId="0" fontId="2" fillId="88" borderId="0" applyNumberFormat="0" applyBorder="0" applyAlignment="0" applyProtection="0"/>
    <xf numFmtId="0" fontId="2" fillId="85" borderId="0" applyNumberFormat="0" applyBorder="0" applyAlignment="0" applyProtection="0"/>
    <xf numFmtId="0" fontId="2" fillId="88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90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8" borderId="0" applyNumberFormat="0" applyBorder="0" applyAlignment="0" applyProtection="0"/>
    <xf numFmtId="0" fontId="2" fillId="2" borderId="0" applyNumberFormat="0" applyBorder="0" applyAlignment="0" applyProtection="0"/>
    <xf numFmtId="0" fontId="2" fillId="73" borderId="0" applyNumberFormat="0" applyBorder="0" applyAlignment="0" applyProtection="0"/>
    <xf numFmtId="0" fontId="2" fillId="89" borderId="0" applyNumberFormat="0" applyBorder="0" applyAlignment="0" applyProtection="0"/>
    <xf numFmtId="0" fontId="2" fillId="88" borderId="0" applyNumberFormat="0" applyBorder="0" applyAlignment="0" applyProtection="0"/>
    <xf numFmtId="0" fontId="2" fillId="85" borderId="0" applyNumberFormat="0" applyBorder="0" applyAlignment="0" applyProtection="0"/>
    <xf numFmtId="0" fontId="2" fillId="88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90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8" borderId="0" applyNumberFormat="0" applyBorder="0" applyAlignment="0" applyProtection="0"/>
    <xf numFmtId="0" fontId="2" fillId="2" borderId="0" applyNumberFormat="0" applyBorder="0" applyAlignment="0" applyProtection="0"/>
    <xf numFmtId="0" fontId="2" fillId="73" borderId="0" applyNumberFormat="0" applyBorder="0" applyAlignment="0" applyProtection="0"/>
    <xf numFmtId="0" fontId="2" fillId="89" borderId="0" applyNumberFormat="0" applyBorder="0" applyAlignment="0" applyProtection="0"/>
    <xf numFmtId="0" fontId="2" fillId="88" borderId="0" applyNumberFormat="0" applyBorder="0" applyAlignment="0" applyProtection="0"/>
    <xf numFmtId="0" fontId="2" fillId="85" borderId="0" applyNumberFormat="0" applyBorder="0" applyAlignment="0" applyProtection="0"/>
    <xf numFmtId="0" fontId="2" fillId="88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90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8" borderId="0" applyNumberFormat="0" applyBorder="0" applyAlignment="0" applyProtection="0"/>
    <xf numFmtId="0" fontId="2" fillId="2" borderId="0" applyNumberFormat="0" applyBorder="0" applyAlignment="0" applyProtection="0"/>
    <xf numFmtId="0" fontId="2" fillId="73" borderId="0" applyNumberFormat="0" applyBorder="0" applyAlignment="0" applyProtection="0"/>
    <xf numFmtId="0" fontId="2" fillId="89" borderId="0" applyNumberFormat="0" applyBorder="0" applyAlignment="0" applyProtection="0"/>
    <xf numFmtId="0" fontId="2" fillId="88" borderId="0" applyNumberFormat="0" applyBorder="0" applyAlignment="0" applyProtection="0"/>
    <xf numFmtId="0" fontId="2" fillId="85" borderId="0" applyNumberFormat="0" applyBorder="0" applyAlignment="0" applyProtection="0"/>
    <xf numFmtId="0" fontId="2" fillId="88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90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8" borderId="0" applyNumberFormat="0" applyBorder="0" applyAlignment="0" applyProtection="0"/>
    <xf numFmtId="0" fontId="2" fillId="2" borderId="0" applyNumberFormat="0" applyBorder="0" applyAlignment="0" applyProtection="0"/>
    <xf numFmtId="0" fontId="2" fillId="73" borderId="0" applyNumberFormat="0" applyBorder="0" applyAlignment="0" applyProtection="0"/>
    <xf numFmtId="0" fontId="2" fillId="89" borderId="0" applyNumberFormat="0" applyBorder="0" applyAlignment="0" applyProtection="0"/>
    <xf numFmtId="0" fontId="2" fillId="88" borderId="0" applyNumberFormat="0" applyBorder="0" applyAlignment="0" applyProtection="0"/>
    <xf numFmtId="0" fontId="2" fillId="85" borderId="0" applyNumberFormat="0" applyBorder="0" applyAlignment="0" applyProtection="0"/>
    <xf numFmtId="0" fontId="2" fillId="88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90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8" borderId="0" applyNumberFormat="0" applyBorder="0" applyAlignment="0" applyProtection="0"/>
    <xf numFmtId="0" fontId="2" fillId="2" borderId="0" applyNumberFormat="0" applyBorder="0" applyAlignment="0" applyProtection="0"/>
    <xf numFmtId="0" fontId="2" fillId="73" borderId="0" applyNumberFormat="0" applyBorder="0" applyAlignment="0" applyProtection="0"/>
    <xf numFmtId="0" fontId="2" fillId="89" borderId="0" applyNumberFormat="0" applyBorder="0" applyAlignment="0" applyProtection="0"/>
    <xf numFmtId="0" fontId="2" fillId="88" borderId="0" applyNumberFormat="0" applyBorder="0" applyAlignment="0" applyProtection="0"/>
    <xf numFmtId="0" fontId="2" fillId="85" borderId="0" applyNumberFormat="0" applyBorder="0" applyAlignment="0" applyProtection="0"/>
    <xf numFmtId="0" fontId="2" fillId="88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90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8" borderId="0" applyNumberFormat="0" applyBorder="0" applyAlignment="0" applyProtection="0"/>
    <xf numFmtId="0" fontId="2" fillId="2" borderId="0" applyNumberFormat="0" applyBorder="0" applyAlignment="0" applyProtection="0"/>
    <xf numFmtId="0" fontId="2" fillId="73" borderId="0" applyNumberFormat="0" applyBorder="0" applyAlignment="0" applyProtection="0"/>
    <xf numFmtId="0" fontId="2" fillId="89" borderId="0" applyNumberFormat="0" applyBorder="0" applyAlignment="0" applyProtection="0"/>
    <xf numFmtId="0" fontId="2" fillId="88" borderId="0" applyNumberFormat="0" applyBorder="0" applyAlignment="0" applyProtection="0"/>
    <xf numFmtId="0" fontId="2" fillId="85" borderId="0" applyNumberFormat="0" applyBorder="0" applyAlignment="0" applyProtection="0"/>
    <xf numFmtId="0" fontId="2" fillId="88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90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8" borderId="0" applyNumberFormat="0" applyBorder="0" applyAlignment="0" applyProtection="0"/>
    <xf numFmtId="0" fontId="2" fillId="2" borderId="0" applyNumberFormat="0" applyBorder="0" applyAlignment="0" applyProtection="0"/>
    <xf numFmtId="0" fontId="2" fillId="73" borderId="0" applyNumberFormat="0" applyBorder="0" applyAlignment="0" applyProtection="0"/>
    <xf numFmtId="0" fontId="2" fillId="89" borderId="0" applyNumberFormat="0" applyBorder="0" applyAlignment="0" applyProtection="0"/>
    <xf numFmtId="0" fontId="2" fillId="88" borderId="0" applyNumberFormat="0" applyBorder="0" applyAlignment="0" applyProtection="0"/>
    <xf numFmtId="0" fontId="2" fillId="85" borderId="0" applyNumberFormat="0" applyBorder="0" applyAlignment="0" applyProtection="0"/>
    <xf numFmtId="0" fontId="2" fillId="88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90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8" borderId="0" applyNumberFormat="0" applyBorder="0" applyAlignment="0" applyProtection="0"/>
    <xf numFmtId="0" fontId="2" fillId="2" borderId="0" applyNumberFormat="0" applyBorder="0" applyAlignment="0" applyProtection="0"/>
    <xf numFmtId="0" fontId="2" fillId="73" borderId="0" applyNumberFormat="0" applyBorder="0" applyAlignment="0" applyProtection="0"/>
    <xf numFmtId="0" fontId="2" fillId="89" borderId="0" applyNumberFormat="0" applyBorder="0" applyAlignment="0" applyProtection="0"/>
    <xf numFmtId="0" fontId="2" fillId="88" borderId="0" applyNumberFormat="0" applyBorder="0" applyAlignment="0" applyProtection="0"/>
    <xf numFmtId="0" fontId="2" fillId="85" borderId="0" applyNumberFormat="0" applyBorder="0" applyAlignment="0" applyProtection="0"/>
    <xf numFmtId="0" fontId="2" fillId="88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90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8" borderId="0" applyNumberFormat="0" applyBorder="0" applyAlignment="0" applyProtection="0"/>
    <xf numFmtId="0" fontId="2" fillId="2" borderId="0" applyNumberFormat="0" applyBorder="0" applyAlignment="0" applyProtection="0"/>
    <xf numFmtId="0" fontId="2" fillId="73" borderId="0" applyNumberFormat="0" applyBorder="0" applyAlignment="0" applyProtection="0"/>
    <xf numFmtId="0" fontId="2" fillId="89" borderId="0" applyNumberFormat="0" applyBorder="0" applyAlignment="0" applyProtection="0"/>
    <xf numFmtId="0" fontId="2" fillId="88" borderId="0" applyNumberFormat="0" applyBorder="0" applyAlignment="0" applyProtection="0"/>
    <xf numFmtId="0" fontId="2" fillId="85" borderId="0" applyNumberFormat="0" applyBorder="0" applyAlignment="0" applyProtection="0"/>
    <xf numFmtId="0" fontId="2" fillId="88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90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8" borderId="0" applyNumberFormat="0" applyBorder="0" applyAlignment="0" applyProtection="0"/>
    <xf numFmtId="0" fontId="2" fillId="2" borderId="0" applyNumberFormat="0" applyBorder="0" applyAlignment="0" applyProtection="0"/>
    <xf numFmtId="0" fontId="2" fillId="73" borderId="0" applyNumberFormat="0" applyBorder="0" applyAlignment="0" applyProtection="0"/>
    <xf numFmtId="0" fontId="2" fillId="89" borderId="0" applyNumberFormat="0" applyBorder="0" applyAlignment="0" applyProtection="0"/>
    <xf numFmtId="0" fontId="2" fillId="88" borderId="0" applyNumberFormat="0" applyBorder="0" applyAlignment="0" applyProtection="0"/>
    <xf numFmtId="0" fontId="2" fillId="85" borderId="0" applyNumberFormat="0" applyBorder="0" applyAlignment="0" applyProtection="0"/>
    <xf numFmtId="0" fontId="2" fillId="88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90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8" borderId="0" applyNumberFormat="0" applyBorder="0" applyAlignment="0" applyProtection="0"/>
    <xf numFmtId="0" fontId="2" fillId="2" borderId="0" applyNumberFormat="0" applyBorder="0" applyAlignment="0" applyProtection="0"/>
    <xf numFmtId="0" fontId="2" fillId="73" borderId="0" applyNumberFormat="0" applyBorder="0" applyAlignment="0" applyProtection="0"/>
    <xf numFmtId="0" fontId="2" fillId="89" borderId="0" applyNumberFormat="0" applyBorder="0" applyAlignment="0" applyProtection="0"/>
    <xf numFmtId="0" fontId="2" fillId="88" borderId="0" applyNumberFormat="0" applyBorder="0" applyAlignment="0" applyProtection="0"/>
    <xf numFmtId="0" fontId="2" fillId="85" borderId="0" applyNumberFormat="0" applyBorder="0" applyAlignment="0" applyProtection="0"/>
    <xf numFmtId="0" fontId="2" fillId="88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90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8" borderId="0" applyNumberFormat="0" applyBorder="0" applyAlignment="0" applyProtection="0"/>
    <xf numFmtId="0" fontId="2" fillId="2" borderId="0" applyNumberFormat="0" applyBorder="0" applyAlignment="0" applyProtection="0"/>
    <xf numFmtId="0" fontId="2" fillId="73" borderId="0" applyNumberFormat="0" applyBorder="0" applyAlignment="0" applyProtection="0"/>
    <xf numFmtId="0" fontId="2" fillId="89" borderId="0" applyNumberFormat="0" applyBorder="0" applyAlignment="0" applyProtection="0"/>
    <xf numFmtId="0" fontId="2" fillId="88" borderId="0" applyNumberFormat="0" applyBorder="0" applyAlignment="0" applyProtection="0"/>
    <xf numFmtId="0" fontId="2" fillId="85" borderId="0" applyNumberFormat="0" applyBorder="0" applyAlignment="0" applyProtection="0"/>
    <xf numFmtId="0" fontId="2" fillId="88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90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8" borderId="0" applyNumberFormat="0" applyBorder="0" applyAlignment="0" applyProtection="0"/>
    <xf numFmtId="0" fontId="2" fillId="2" borderId="0" applyNumberFormat="0" applyBorder="0" applyAlignment="0" applyProtection="0"/>
    <xf numFmtId="0" fontId="2" fillId="73" borderId="0" applyNumberFormat="0" applyBorder="0" applyAlignment="0" applyProtection="0"/>
    <xf numFmtId="0" fontId="2" fillId="89" borderId="0" applyNumberFormat="0" applyBorder="0" applyAlignment="0" applyProtection="0"/>
    <xf numFmtId="0" fontId="2" fillId="88" borderId="0" applyNumberFormat="0" applyBorder="0" applyAlignment="0" applyProtection="0"/>
    <xf numFmtId="0" fontId="2" fillId="85" borderId="0" applyNumberFormat="0" applyBorder="0" applyAlignment="0" applyProtection="0"/>
    <xf numFmtId="0" fontId="2" fillId="88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90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8" borderId="0" applyNumberFormat="0" applyBorder="0" applyAlignment="0" applyProtection="0"/>
    <xf numFmtId="0" fontId="2" fillId="2" borderId="0" applyNumberFormat="0" applyBorder="0" applyAlignment="0" applyProtection="0"/>
    <xf numFmtId="0" fontId="2" fillId="73" borderId="0" applyNumberFormat="0" applyBorder="0" applyAlignment="0" applyProtection="0"/>
    <xf numFmtId="0" fontId="2" fillId="89" borderId="0" applyNumberFormat="0" applyBorder="0" applyAlignment="0" applyProtection="0"/>
    <xf numFmtId="0" fontId="2" fillId="88" borderId="0" applyNumberFormat="0" applyBorder="0" applyAlignment="0" applyProtection="0"/>
    <xf numFmtId="0" fontId="2" fillId="85" borderId="0" applyNumberFormat="0" applyBorder="0" applyAlignment="0" applyProtection="0"/>
    <xf numFmtId="0" fontId="2" fillId="88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90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8" borderId="0" applyNumberFormat="0" applyBorder="0" applyAlignment="0" applyProtection="0"/>
    <xf numFmtId="0" fontId="2" fillId="2" borderId="0" applyNumberFormat="0" applyBorder="0" applyAlignment="0" applyProtection="0"/>
    <xf numFmtId="0" fontId="2" fillId="73" borderId="0" applyNumberFormat="0" applyBorder="0" applyAlignment="0" applyProtection="0"/>
    <xf numFmtId="0" fontId="2" fillId="89" borderId="0" applyNumberFormat="0" applyBorder="0" applyAlignment="0" applyProtection="0"/>
    <xf numFmtId="0" fontId="2" fillId="88" borderId="0" applyNumberFormat="0" applyBorder="0" applyAlignment="0" applyProtection="0"/>
    <xf numFmtId="0" fontId="2" fillId="85" borderId="0" applyNumberFormat="0" applyBorder="0" applyAlignment="0" applyProtection="0"/>
    <xf numFmtId="0" fontId="2" fillId="88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90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63" borderId="47" applyNumberFormat="0" applyFont="0" applyAlignment="0" applyProtection="0"/>
    <xf numFmtId="0" fontId="2" fillId="0" borderId="0"/>
    <xf numFmtId="0" fontId="2" fillId="73" borderId="0" applyNumberFormat="0" applyBorder="0" applyAlignment="0" applyProtection="0"/>
    <xf numFmtId="0" fontId="2" fillId="85" borderId="0" applyNumberFormat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263" fontId="2" fillId="0" borderId="0" applyFont="0" applyFill="0" applyBorder="0" applyAlignment="0" applyProtection="0"/>
    <xf numFmtId="0" fontId="2" fillId="88" borderId="0" applyNumberFormat="0" applyBorder="0" applyAlignment="0" applyProtection="0"/>
    <xf numFmtId="0" fontId="2" fillId="2" borderId="0" applyNumberFormat="0" applyBorder="0" applyAlignment="0" applyProtection="0"/>
    <xf numFmtId="0" fontId="2" fillId="73" borderId="0" applyNumberFormat="0" applyBorder="0" applyAlignment="0" applyProtection="0"/>
    <xf numFmtId="0" fontId="2" fillId="89" borderId="0" applyNumberFormat="0" applyBorder="0" applyAlignment="0" applyProtection="0"/>
    <xf numFmtId="0" fontId="2" fillId="88" borderId="0" applyNumberFormat="0" applyBorder="0" applyAlignment="0" applyProtection="0"/>
    <xf numFmtId="0" fontId="2" fillId="85" borderId="0" applyNumberFormat="0" applyBorder="0" applyAlignment="0" applyProtection="0"/>
    <xf numFmtId="0" fontId="2" fillId="88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90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8" borderId="0" applyNumberFormat="0" applyBorder="0" applyAlignment="0" applyProtection="0"/>
    <xf numFmtId="0" fontId="2" fillId="2" borderId="0" applyNumberFormat="0" applyBorder="0" applyAlignment="0" applyProtection="0"/>
    <xf numFmtId="0" fontId="2" fillId="73" borderId="0" applyNumberFormat="0" applyBorder="0" applyAlignment="0" applyProtection="0"/>
    <xf numFmtId="0" fontId="2" fillId="89" borderId="0" applyNumberFormat="0" applyBorder="0" applyAlignment="0" applyProtection="0"/>
    <xf numFmtId="0" fontId="2" fillId="88" borderId="0" applyNumberFormat="0" applyBorder="0" applyAlignment="0" applyProtection="0"/>
    <xf numFmtId="0" fontId="2" fillId="85" borderId="0" applyNumberFormat="0" applyBorder="0" applyAlignment="0" applyProtection="0"/>
    <xf numFmtId="0" fontId="2" fillId="88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90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8" borderId="0" applyNumberFormat="0" applyBorder="0" applyAlignment="0" applyProtection="0"/>
    <xf numFmtId="0" fontId="2" fillId="2" borderId="0" applyNumberFormat="0" applyBorder="0" applyAlignment="0" applyProtection="0"/>
    <xf numFmtId="0" fontId="2" fillId="73" borderId="0" applyNumberFormat="0" applyBorder="0" applyAlignment="0" applyProtection="0"/>
    <xf numFmtId="0" fontId="2" fillId="89" borderId="0" applyNumberFormat="0" applyBorder="0" applyAlignment="0" applyProtection="0"/>
    <xf numFmtId="0" fontId="2" fillId="88" borderId="0" applyNumberFormat="0" applyBorder="0" applyAlignment="0" applyProtection="0"/>
    <xf numFmtId="0" fontId="2" fillId="85" borderId="0" applyNumberFormat="0" applyBorder="0" applyAlignment="0" applyProtection="0"/>
    <xf numFmtId="0" fontId="2" fillId="88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90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8" borderId="0" applyNumberFormat="0" applyBorder="0" applyAlignment="0" applyProtection="0"/>
    <xf numFmtId="0" fontId="2" fillId="2" borderId="0" applyNumberFormat="0" applyBorder="0" applyAlignment="0" applyProtection="0"/>
    <xf numFmtId="0" fontId="2" fillId="73" borderId="0" applyNumberFormat="0" applyBorder="0" applyAlignment="0" applyProtection="0"/>
    <xf numFmtId="0" fontId="2" fillId="89" borderId="0" applyNumberFormat="0" applyBorder="0" applyAlignment="0" applyProtection="0"/>
    <xf numFmtId="0" fontId="2" fillId="88" borderId="0" applyNumberFormat="0" applyBorder="0" applyAlignment="0" applyProtection="0"/>
    <xf numFmtId="0" fontId="2" fillId="85" borderId="0" applyNumberFormat="0" applyBorder="0" applyAlignment="0" applyProtection="0"/>
    <xf numFmtId="0" fontId="2" fillId="88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90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8" borderId="0" applyNumberFormat="0" applyBorder="0" applyAlignment="0" applyProtection="0"/>
    <xf numFmtId="0" fontId="2" fillId="2" borderId="0" applyNumberFormat="0" applyBorder="0" applyAlignment="0" applyProtection="0"/>
    <xf numFmtId="0" fontId="2" fillId="73" borderId="0" applyNumberFormat="0" applyBorder="0" applyAlignment="0" applyProtection="0"/>
    <xf numFmtId="0" fontId="2" fillId="89" borderId="0" applyNumberFormat="0" applyBorder="0" applyAlignment="0" applyProtection="0"/>
    <xf numFmtId="0" fontId="2" fillId="88" borderId="0" applyNumberFormat="0" applyBorder="0" applyAlignment="0" applyProtection="0"/>
    <xf numFmtId="0" fontId="2" fillId="85" borderId="0" applyNumberFormat="0" applyBorder="0" applyAlignment="0" applyProtection="0"/>
    <xf numFmtId="0" fontId="2" fillId="88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90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8" borderId="0" applyNumberFormat="0" applyBorder="0" applyAlignment="0" applyProtection="0"/>
    <xf numFmtId="0" fontId="2" fillId="2" borderId="0" applyNumberFormat="0" applyBorder="0" applyAlignment="0" applyProtection="0"/>
    <xf numFmtId="0" fontId="2" fillId="73" borderId="0" applyNumberFormat="0" applyBorder="0" applyAlignment="0" applyProtection="0"/>
    <xf numFmtId="0" fontId="2" fillId="89" borderId="0" applyNumberFormat="0" applyBorder="0" applyAlignment="0" applyProtection="0"/>
    <xf numFmtId="0" fontId="2" fillId="88" borderId="0" applyNumberFormat="0" applyBorder="0" applyAlignment="0" applyProtection="0"/>
    <xf numFmtId="0" fontId="2" fillId="85" borderId="0" applyNumberFormat="0" applyBorder="0" applyAlignment="0" applyProtection="0"/>
    <xf numFmtId="0" fontId="2" fillId="88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90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8" borderId="0" applyNumberFormat="0" applyBorder="0" applyAlignment="0" applyProtection="0"/>
    <xf numFmtId="0" fontId="2" fillId="2" borderId="0" applyNumberFormat="0" applyBorder="0" applyAlignment="0" applyProtection="0"/>
    <xf numFmtId="0" fontId="2" fillId="73" borderId="0" applyNumberFormat="0" applyBorder="0" applyAlignment="0" applyProtection="0"/>
    <xf numFmtId="0" fontId="2" fillId="89" borderId="0" applyNumberFormat="0" applyBorder="0" applyAlignment="0" applyProtection="0"/>
    <xf numFmtId="0" fontId="2" fillId="88" borderId="0" applyNumberFormat="0" applyBorder="0" applyAlignment="0" applyProtection="0"/>
    <xf numFmtId="0" fontId="2" fillId="85" borderId="0" applyNumberFormat="0" applyBorder="0" applyAlignment="0" applyProtection="0"/>
    <xf numFmtId="0" fontId="2" fillId="88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90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8" borderId="0" applyNumberFormat="0" applyBorder="0" applyAlignment="0" applyProtection="0"/>
    <xf numFmtId="0" fontId="2" fillId="2" borderId="0" applyNumberFormat="0" applyBorder="0" applyAlignment="0" applyProtection="0"/>
    <xf numFmtId="0" fontId="2" fillId="73" borderId="0" applyNumberFormat="0" applyBorder="0" applyAlignment="0" applyProtection="0"/>
    <xf numFmtId="0" fontId="2" fillId="89" borderId="0" applyNumberFormat="0" applyBorder="0" applyAlignment="0" applyProtection="0"/>
    <xf numFmtId="0" fontId="2" fillId="88" borderId="0" applyNumberFormat="0" applyBorder="0" applyAlignment="0" applyProtection="0"/>
    <xf numFmtId="0" fontId="2" fillId="85" borderId="0" applyNumberFormat="0" applyBorder="0" applyAlignment="0" applyProtection="0"/>
    <xf numFmtId="0" fontId="2" fillId="88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90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8" borderId="0" applyNumberFormat="0" applyBorder="0" applyAlignment="0" applyProtection="0"/>
    <xf numFmtId="0" fontId="2" fillId="2" borderId="0" applyNumberFormat="0" applyBorder="0" applyAlignment="0" applyProtection="0"/>
    <xf numFmtId="0" fontId="2" fillId="73" borderId="0" applyNumberFormat="0" applyBorder="0" applyAlignment="0" applyProtection="0"/>
    <xf numFmtId="0" fontId="2" fillId="89" borderId="0" applyNumberFormat="0" applyBorder="0" applyAlignment="0" applyProtection="0"/>
    <xf numFmtId="0" fontId="2" fillId="88" borderId="0" applyNumberFormat="0" applyBorder="0" applyAlignment="0" applyProtection="0"/>
    <xf numFmtId="0" fontId="2" fillId="85" borderId="0" applyNumberFormat="0" applyBorder="0" applyAlignment="0" applyProtection="0"/>
    <xf numFmtId="0" fontId="2" fillId="88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90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8" borderId="0" applyNumberFormat="0" applyBorder="0" applyAlignment="0" applyProtection="0"/>
    <xf numFmtId="0" fontId="2" fillId="2" borderId="0" applyNumberFormat="0" applyBorder="0" applyAlignment="0" applyProtection="0"/>
    <xf numFmtId="0" fontId="2" fillId="73" borderId="0" applyNumberFormat="0" applyBorder="0" applyAlignment="0" applyProtection="0"/>
    <xf numFmtId="0" fontId="2" fillId="89" borderId="0" applyNumberFormat="0" applyBorder="0" applyAlignment="0" applyProtection="0"/>
    <xf numFmtId="0" fontId="2" fillId="88" borderId="0" applyNumberFormat="0" applyBorder="0" applyAlignment="0" applyProtection="0"/>
    <xf numFmtId="0" fontId="2" fillId="85" borderId="0" applyNumberFormat="0" applyBorder="0" applyAlignment="0" applyProtection="0"/>
    <xf numFmtId="0" fontId="2" fillId="88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90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8" borderId="0" applyNumberFormat="0" applyBorder="0" applyAlignment="0" applyProtection="0"/>
    <xf numFmtId="0" fontId="2" fillId="2" borderId="0" applyNumberFormat="0" applyBorder="0" applyAlignment="0" applyProtection="0"/>
    <xf numFmtId="0" fontId="2" fillId="73" borderId="0" applyNumberFormat="0" applyBorder="0" applyAlignment="0" applyProtection="0"/>
    <xf numFmtId="0" fontId="2" fillId="89" borderId="0" applyNumberFormat="0" applyBorder="0" applyAlignment="0" applyProtection="0"/>
    <xf numFmtId="0" fontId="2" fillId="88" borderId="0" applyNumberFormat="0" applyBorder="0" applyAlignment="0" applyProtection="0"/>
    <xf numFmtId="0" fontId="2" fillId="85" borderId="0" applyNumberFormat="0" applyBorder="0" applyAlignment="0" applyProtection="0"/>
    <xf numFmtId="0" fontId="2" fillId="88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90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8" borderId="0" applyNumberFormat="0" applyBorder="0" applyAlignment="0" applyProtection="0"/>
    <xf numFmtId="0" fontId="2" fillId="2" borderId="0" applyNumberFormat="0" applyBorder="0" applyAlignment="0" applyProtection="0"/>
    <xf numFmtId="0" fontId="2" fillId="73" borderId="0" applyNumberFormat="0" applyBorder="0" applyAlignment="0" applyProtection="0"/>
    <xf numFmtId="0" fontId="2" fillId="89" borderId="0" applyNumberFormat="0" applyBorder="0" applyAlignment="0" applyProtection="0"/>
    <xf numFmtId="0" fontId="2" fillId="88" borderId="0" applyNumberFormat="0" applyBorder="0" applyAlignment="0" applyProtection="0"/>
    <xf numFmtId="0" fontId="2" fillId="85" borderId="0" applyNumberFormat="0" applyBorder="0" applyAlignment="0" applyProtection="0"/>
    <xf numFmtId="0" fontId="2" fillId="88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90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8" borderId="0" applyNumberFormat="0" applyBorder="0" applyAlignment="0" applyProtection="0"/>
    <xf numFmtId="0" fontId="2" fillId="2" borderId="0" applyNumberFormat="0" applyBorder="0" applyAlignment="0" applyProtection="0"/>
    <xf numFmtId="0" fontId="2" fillId="73" borderId="0" applyNumberFormat="0" applyBorder="0" applyAlignment="0" applyProtection="0"/>
    <xf numFmtId="0" fontId="2" fillId="89" borderId="0" applyNumberFormat="0" applyBorder="0" applyAlignment="0" applyProtection="0"/>
    <xf numFmtId="0" fontId="2" fillId="88" borderId="0" applyNumberFormat="0" applyBorder="0" applyAlignment="0" applyProtection="0"/>
    <xf numFmtId="0" fontId="2" fillId="85" borderId="0" applyNumberFormat="0" applyBorder="0" applyAlignment="0" applyProtection="0"/>
    <xf numFmtId="0" fontId="2" fillId="88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90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8" borderId="0" applyNumberFormat="0" applyBorder="0" applyAlignment="0" applyProtection="0"/>
    <xf numFmtId="0" fontId="2" fillId="2" borderId="0" applyNumberFormat="0" applyBorder="0" applyAlignment="0" applyProtection="0"/>
    <xf numFmtId="0" fontId="2" fillId="73" borderId="0" applyNumberFormat="0" applyBorder="0" applyAlignment="0" applyProtection="0"/>
    <xf numFmtId="0" fontId="2" fillId="89" borderId="0" applyNumberFormat="0" applyBorder="0" applyAlignment="0" applyProtection="0"/>
    <xf numFmtId="0" fontId="2" fillId="88" borderId="0" applyNumberFormat="0" applyBorder="0" applyAlignment="0" applyProtection="0"/>
    <xf numFmtId="0" fontId="2" fillId="85" borderId="0" applyNumberFormat="0" applyBorder="0" applyAlignment="0" applyProtection="0"/>
    <xf numFmtId="0" fontId="2" fillId="88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90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8" borderId="0" applyNumberFormat="0" applyBorder="0" applyAlignment="0" applyProtection="0"/>
    <xf numFmtId="0" fontId="2" fillId="2" borderId="0" applyNumberFormat="0" applyBorder="0" applyAlignment="0" applyProtection="0"/>
    <xf numFmtId="0" fontId="2" fillId="73" borderId="0" applyNumberFormat="0" applyBorder="0" applyAlignment="0" applyProtection="0"/>
    <xf numFmtId="0" fontId="2" fillId="89" borderId="0" applyNumberFormat="0" applyBorder="0" applyAlignment="0" applyProtection="0"/>
    <xf numFmtId="0" fontId="2" fillId="88" borderId="0" applyNumberFormat="0" applyBorder="0" applyAlignment="0" applyProtection="0"/>
    <xf numFmtId="0" fontId="2" fillId="85" borderId="0" applyNumberFormat="0" applyBorder="0" applyAlignment="0" applyProtection="0"/>
    <xf numFmtId="0" fontId="2" fillId="88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90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8" borderId="0" applyNumberFormat="0" applyBorder="0" applyAlignment="0" applyProtection="0"/>
    <xf numFmtId="0" fontId="2" fillId="2" borderId="0" applyNumberFormat="0" applyBorder="0" applyAlignment="0" applyProtection="0"/>
    <xf numFmtId="0" fontId="2" fillId="73" borderId="0" applyNumberFormat="0" applyBorder="0" applyAlignment="0" applyProtection="0"/>
    <xf numFmtId="0" fontId="2" fillId="89" borderId="0" applyNumberFormat="0" applyBorder="0" applyAlignment="0" applyProtection="0"/>
    <xf numFmtId="0" fontId="2" fillId="88" borderId="0" applyNumberFormat="0" applyBorder="0" applyAlignment="0" applyProtection="0"/>
    <xf numFmtId="0" fontId="2" fillId="85" borderId="0" applyNumberFormat="0" applyBorder="0" applyAlignment="0" applyProtection="0"/>
    <xf numFmtId="0" fontId="2" fillId="88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90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8" borderId="0" applyNumberFormat="0" applyBorder="0" applyAlignment="0" applyProtection="0"/>
    <xf numFmtId="0" fontId="2" fillId="2" borderId="0" applyNumberFormat="0" applyBorder="0" applyAlignment="0" applyProtection="0"/>
    <xf numFmtId="0" fontId="2" fillId="73" borderId="0" applyNumberFormat="0" applyBorder="0" applyAlignment="0" applyProtection="0"/>
    <xf numFmtId="0" fontId="2" fillId="89" borderId="0" applyNumberFormat="0" applyBorder="0" applyAlignment="0" applyProtection="0"/>
    <xf numFmtId="0" fontId="2" fillId="88" borderId="0" applyNumberFormat="0" applyBorder="0" applyAlignment="0" applyProtection="0"/>
    <xf numFmtId="0" fontId="2" fillId="85" borderId="0" applyNumberFormat="0" applyBorder="0" applyAlignment="0" applyProtection="0"/>
    <xf numFmtId="0" fontId="2" fillId="88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90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8" borderId="0" applyNumberFormat="0" applyBorder="0" applyAlignment="0" applyProtection="0"/>
    <xf numFmtId="0" fontId="2" fillId="2" borderId="0" applyNumberFormat="0" applyBorder="0" applyAlignment="0" applyProtection="0"/>
    <xf numFmtId="0" fontId="2" fillId="73" borderId="0" applyNumberFormat="0" applyBorder="0" applyAlignment="0" applyProtection="0"/>
    <xf numFmtId="0" fontId="2" fillId="89" borderId="0" applyNumberFormat="0" applyBorder="0" applyAlignment="0" applyProtection="0"/>
    <xf numFmtId="0" fontId="2" fillId="88" borderId="0" applyNumberFormat="0" applyBorder="0" applyAlignment="0" applyProtection="0"/>
    <xf numFmtId="0" fontId="2" fillId="85" borderId="0" applyNumberFormat="0" applyBorder="0" applyAlignment="0" applyProtection="0"/>
    <xf numFmtId="0" fontId="2" fillId="88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90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8" borderId="0" applyNumberFormat="0" applyBorder="0" applyAlignment="0" applyProtection="0"/>
    <xf numFmtId="0" fontId="2" fillId="2" borderId="0" applyNumberFormat="0" applyBorder="0" applyAlignment="0" applyProtection="0"/>
    <xf numFmtId="0" fontId="2" fillId="73" borderId="0" applyNumberFormat="0" applyBorder="0" applyAlignment="0" applyProtection="0"/>
    <xf numFmtId="0" fontId="2" fillId="89" borderId="0" applyNumberFormat="0" applyBorder="0" applyAlignment="0" applyProtection="0"/>
    <xf numFmtId="0" fontId="2" fillId="88" borderId="0" applyNumberFormat="0" applyBorder="0" applyAlignment="0" applyProtection="0"/>
    <xf numFmtId="0" fontId="2" fillId="85" borderId="0" applyNumberFormat="0" applyBorder="0" applyAlignment="0" applyProtection="0"/>
    <xf numFmtId="0" fontId="2" fillId="88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90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8" borderId="0" applyNumberFormat="0" applyBorder="0" applyAlignment="0" applyProtection="0"/>
    <xf numFmtId="0" fontId="2" fillId="2" borderId="0" applyNumberFormat="0" applyBorder="0" applyAlignment="0" applyProtection="0"/>
    <xf numFmtId="0" fontId="2" fillId="73" borderId="0" applyNumberFormat="0" applyBorder="0" applyAlignment="0" applyProtection="0"/>
    <xf numFmtId="0" fontId="2" fillId="89" borderId="0" applyNumberFormat="0" applyBorder="0" applyAlignment="0" applyProtection="0"/>
    <xf numFmtId="0" fontId="2" fillId="88" borderId="0" applyNumberFormat="0" applyBorder="0" applyAlignment="0" applyProtection="0"/>
    <xf numFmtId="0" fontId="2" fillId="85" borderId="0" applyNumberFormat="0" applyBorder="0" applyAlignment="0" applyProtection="0"/>
    <xf numFmtId="0" fontId="2" fillId="88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90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8" borderId="0" applyNumberFormat="0" applyBorder="0" applyAlignment="0" applyProtection="0"/>
    <xf numFmtId="0" fontId="2" fillId="2" borderId="0" applyNumberFormat="0" applyBorder="0" applyAlignment="0" applyProtection="0"/>
    <xf numFmtId="0" fontId="2" fillId="73" borderId="0" applyNumberFormat="0" applyBorder="0" applyAlignment="0" applyProtection="0"/>
    <xf numFmtId="0" fontId="2" fillId="89" borderId="0" applyNumberFormat="0" applyBorder="0" applyAlignment="0" applyProtection="0"/>
    <xf numFmtId="0" fontId="2" fillId="88" borderId="0" applyNumberFormat="0" applyBorder="0" applyAlignment="0" applyProtection="0"/>
    <xf numFmtId="0" fontId="2" fillId="85" borderId="0" applyNumberFormat="0" applyBorder="0" applyAlignment="0" applyProtection="0"/>
    <xf numFmtId="0" fontId="2" fillId="88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90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8" borderId="0" applyNumberFormat="0" applyBorder="0" applyAlignment="0" applyProtection="0"/>
    <xf numFmtId="0" fontId="2" fillId="2" borderId="0" applyNumberFormat="0" applyBorder="0" applyAlignment="0" applyProtection="0"/>
    <xf numFmtId="0" fontId="2" fillId="73" borderId="0" applyNumberFormat="0" applyBorder="0" applyAlignment="0" applyProtection="0"/>
    <xf numFmtId="0" fontId="2" fillId="89" borderId="0" applyNumberFormat="0" applyBorder="0" applyAlignment="0" applyProtection="0"/>
    <xf numFmtId="0" fontId="2" fillId="88" borderId="0" applyNumberFormat="0" applyBorder="0" applyAlignment="0" applyProtection="0"/>
    <xf numFmtId="0" fontId="2" fillId="85" borderId="0" applyNumberFormat="0" applyBorder="0" applyAlignment="0" applyProtection="0"/>
    <xf numFmtId="0" fontId="2" fillId="88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90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8" borderId="0" applyNumberFormat="0" applyBorder="0" applyAlignment="0" applyProtection="0"/>
    <xf numFmtId="0" fontId="2" fillId="2" borderId="0" applyNumberFormat="0" applyBorder="0" applyAlignment="0" applyProtection="0"/>
    <xf numFmtId="0" fontId="2" fillId="73" borderId="0" applyNumberFormat="0" applyBorder="0" applyAlignment="0" applyProtection="0"/>
    <xf numFmtId="0" fontId="2" fillId="89" borderId="0" applyNumberFormat="0" applyBorder="0" applyAlignment="0" applyProtection="0"/>
    <xf numFmtId="0" fontId="2" fillId="88" borderId="0" applyNumberFormat="0" applyBorder="0" applyAlignment="0" applyProtection="0"/>
    <xf numFmtId="0" fontId="2" fillId="85" borderId="0" applyNumberFormat="0" applyBorder="0" applyAlignment="0" applyProtection="0"/>
    <xf numFmtId="0" fontId="2" fillId="88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90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8" borderId="0" applyNumberFormat="0" applyBorder="0" applyAlignment="0" applyProtection="0"/>
    <xf numFmtId="0" fontId="2" fillId="2" borderId="0" applyNumberFormat="0" applyBorder="0" applyAlignment="0" applyProtection="0"/>
    <xf numFmtId="0" fontId="2" fillId="73" borderId="0" applyNumberFormat="0" applyBorder="0" applyAlignment="0" applyProtection="0"/>
    <xf numFmtId="0" fontId="2" fillId="89" borderId="0" applyNumberFormat="0" applyBorder="0" applyAlignment="0" applyProtection="0"/>
    <xf numFmtId="0" fontId="2" fillId="88" borderId="0" applyNumberFormat="0" applyBorder="0" applyAlignment="0" applyProtection="0"/>
    <xf numFmtId="0" fontId="2" fillId="85" borderId="0" applyNumberFormat="0" applyBorder="0" applyAlignment="0" applyProtection="0"/>
    <xf numFmtId="0" fontId="2" fillId="88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90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8" borderId="0" applyNumberFormat="0" applyBorder="0" applyAlignment="0" applyProtection="0"/>
    <xf numFmtId="0" fontId="2" fillId="2" borderId="0" applyNumberFormat="0" applyBorder="0" applyAlignment="0" applyProtection="0"/>
    <xf numFmtId="0" fontId="2" fillId="73" borderId="0" applyNumberFormat="0" applyBorder="0" applyAlignment="0" applyProtection="0"/>
    <xf numFmtId="0" fontId="2" fillId="89" borderId="0" applyNumberFormat="0" applyBorder="0" applyAlignment="0" applyProtection="0"/>
    <xf numFmtId="0" fontId="2" fillId="88" borderId="0" applyNumberFormat="0" applyBorder="0" applyAlignment="0" applyProtection="0"/>
    <xf numFmtId="0" fontId="2" fillId="85" borderId="0" applyNumberFormat="0" applyBorder="0" applyAlignment="0" applyProtection="0"/>
    <xf numFmtId="0" fontId="2" fillId="88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90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8" borderId="0" applyNumberFormat="0" applyBorder="0" applyAlignment="0" applyProtection="0"/>
    <xf numFmtId="0" fontId="2" fillId="2" borderId="0" applyNumberFormat="0" applyBorder="0" applyAlignment="0" applyProtection="0"/>
    <xf numFmtId="0" fontId="2" fillId="73" borderId="0" applyNumberFormat="0" applyBorder="0" applyAlignment="0" applyProtection="0"/>
    <xf numFmtId="0" fontId="2" fillId="89" borderId="0" applyNumberFormat="0" applyBorder="0" applyAlignment="0" applyProtection="0"/>
    <xf numFmtId="0" fontId="2" fillId="88" borderId="0" applyNumberFormat="0" applyBorder="0" applyAlignment="0" applyProtection="0"/>
    <xf numFmtId="0" fontId="2" fillId="85" borderId="0" applyNumberFormat="0" applyBorder="0" applyAlignment="0" applyProtection="0"/>
    <xf numFmtId="0" fontId="2" fillId="88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90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8" borderId="0" applyNumberFormat="0" applyBorder="0" applyAlignment="0" applyProtection="0"/>
    <xf numFmtId="0" fontId="2" fillId="2" borderId="0" applyNumberFormat="0" applyBorder="0" applyAlignment="0" applyProtection="0"/>
    <xf numFmtId="0" fontId="2" fillId="73" borderId="0" applyNumberFormat="0" applyBorder="0" applyAlignment="0" applyProtection="0"/>
    <xf numFmtId="0" fontId="2" fillId="89" borderId="0" applyNumberFormat="0" applyBorder="0" applyAlignment="0" applyProtection="0"/>
    <xf numFmtId="0" fontId="2" fillId="88" borderId="0" applyNumberFormat="0" applyBorder="0" applyAlignment="0" applyProtection="0"/>
    <xf numFmtId="0" fontId="2" fillId="85" borderId="0" applyNumberFormat="0" applyBorder="0" applyAlignment="0" applyProtection="0"/>
    <xf numFmtId="0" fontId="2" fillId="88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90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8" borderId="0" applyNumberFormat="0" applyBorder="0" applyAlignment="0" applyProtection="0"/>
    <xf numFmtId="0" fontId="2" fillId="2" borderId="0" applyNumberFormat="0" applyBorder="0" applyAlignment="0" applyProtection="0"/>
    <xf numFmtId="0" fontId="2" fillId="73" borderId="0" applyNumberFormat="0" applyBorder="0" applyAlignment="0" applyProtection="0"/>
    <xf numFmtId="0" fontId="2" fillId="89" borderId="0" applyNumberFormat="0" applyBorder="0" applyAlignment="0" applyProtection="0"/>
    <xf numFmtId="0" fontId="2" fillId="88" borderId="0" applyNumberFormat="0" applyBorder="0" applyAlignment="0" applyProtection="0"/>
    <xf numFmtId="0" fontId="2" fillId="85" borderId="0" applyNumberFormat="0" applyBorder="0" applyAlignment="0" applyProtection="0"/>
    <xf numFmtId="0" fontId="2" fillId="88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90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8" borderId="0" applyNumberFormat="0" applyBorder="0" applyAlignment="0" applyProtection="0"/>
    <xf numFmtId="0" fontId="2" fillId="2" borderId="0" applyNumberFormat="0" applyBorder="0" applyAlignment="0" applyProtection="0"/>
    <xf numFmtId="0" fontId="2" fillId="73" borderId="0" applyNumberFormat="0" applyBorder="0" applyAlignment="0" applyProtection="0"/>
    <xf numFmtId="0" fontId="2" fillId="89" borderId="0" applyNumberFormat="0" applyBorder="0" applyAlignment="0" applyProtection="0"/>
    <xf numFmtId="0" fontId="2" fillId="88" borderId="0" applyNumberFormat="0" applyBorder="0" applyAlignment="0" applyProtection="0"/>
    <xf numFmtId="0" fontId="2" fillId="85" borderId="0" applyNumberFormat="0" applyBorder="0" applyAlignment="0" applyProtection="0"/>
    <xf numFmtId="0" fontId="2" fillId="88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90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8" borderId="0" applyNumberFormat="0" applyBorder="0" applyAlignment="0" applyProtection="0"/>
    <xf numFmtId="0" fontId="2" fillId="2" borderId="0" applyNumberFormat="0" applyBorder="0" applyAlignment="0" applyProtection="0"/>
    <xf numFmtId="0" fontId="2" fillId="73" borderId="0" applyNumberFormat="0" applyBorder="0" applyAlignment="0" applyProtection="0"/>
    <xf numFmtId="0" fontId="2" fillId="89" borderId="0" applyNumberFormat="0" applyBorder="0" applyAlignment="0" applyProtection="0"/>
    <xf numFmtId="0" fontId="2" fillId="88" borderId="0" applyNumberFormat="0" applyBorder="0" applyAlignment="0" applyProtection="0"/>
    <xf numFmtId="0" fontId="2" fillId="85" borderId="0" applyNumberFormat="0" applyBorder="0" applyAlignment="0" applyProtection="0"/>
    <xf numFmtId="0" fontId="2" fillId="88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90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8" borderId="0" applyNumberFormat="0" applyBorder="0" applyAlignment="0" applyProtection="0"/>
    <xf numFmtId="0" fontId="2" fillId="2" borderId="0" applyNumberFormat="0" applyBorder="0" applyAlignment="0" applyProtection="0"/>
    <xf numFmtId="0" fontId="2" fillId="73" borderId="0" applyNumberFormat="0" applyBorder="0" applyAlignment="0" applyProtection="0"/>
    <xf numFmtId="0" fontId="2" fillId="89" borderId="0" applyNumberFormat="0" applyBorder="0" applyAlignment="0" applyProtection="0"/>
    <xf numFmtId="0" fontId="2" fillId="88" borderId="0" applyNumberFormat="0" applyBorder="0" applyAlignment="0" applyProtection="0"/>
    <xf numFmtId="0" fontId="2" fillId="85" borderId="0" applyNumberFormat="0" applyBorder="0" applyAlignment="0" applyProtection="0"/>
    <xf numFmtId="0" fontId="2" fillId="88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90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8" borderId="0" applyNumberFormat="0" applyBorder="0" applyAlignment="0" applyProtection="0"/>
    <xf numFmtId="0" fontId="2" fillId="2" borderId="0" applyNumberFormat="0" applyBorder="0" applyAlignment="0" applyProtection="0"/>
    <xf numFmtId="0" fontId="2" fillId="73" borderId="0" applyNumberFormat="0" applyBorder="0" applyAlignment="0" applyProtection="0"/>
    <xf numFmtId="0" fontId="2" fillId="89" borderId="0" applyNumberFormat="0" applyBorder="0" applyAlignment="0" applyProtection="0"/>
    <xf numFmtId="0" fontId="2" fillId="88" borderId="0" applyNumberFormat="0" applyBorder="0" applyAlignment="0" applyProtection="0"/>
    <xf numFmtId="0" fontId="2" fillId="85" borderId="0" applyNumberFormat="0" applyBorder="0" applyAlignment="0" applyProtection="0"/>
    <xf numFmtId="0" fontId="2" fillId="88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90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8" borderId="0" applyNumberFormat="0" applyBorder="0" applyAlignment="0" applyProtection="0"/>
    <xf numFmtId="0" fontId="2" fillId="2" borderId="0" applyNumberFormat="0" applyBorder="0" applyAlignment="0" applyProtection="0"/>
    <xf numFmtId="0" fontId="2" fillId="73" borderId="0" applyNumberFormat="0" applyBorder="0" applyAlignment="0" applyProtection="0"/>
    <xf numFmtId="0" fontId="2" fillId="89" borderId="0" applyNumberFormat="0" applyBorder="0" applyAlignment="0" applyProtection="0"/>
    <xf numFmtId="0" fontId="2" fillId="88" borderId="0" applyNumberFormat="0" applyBorder="0" applyAlignment="0" applyProtection="0"/>
    <xf numFmtId="0" fontId="2" fillId="85" borderId="0" applyNumberFormat="0" applyBorder="0" applyAlignment="0" applyProtection="0"/>
    <xf numFmtId="0" fontId="2" fillId="88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90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8" borderId="0" applyNumberFormat="0" applyBorder="0" applyAlignment="0" applyProtection="0"/>
    <xf numFmtId="0" fontId="2" fillId="2" borderId="0" applyNumberFormat="0" applyBorder="0" applyAlignment="0" applyProtection="0"/>
    <xf numFmtId="0" fontId="2" fillId="73" borderId="0" applyNumberFormat="0" applyBorder="0" applyAlignment="0" applyProtection="0"/>
    <xf numFmtId="0" fontId="2" fillId="89" borderId="0" applyNumberFormat="0" applyBorder="0" applyAlignment="0" applyProtection="0"/>
    <xf numFmtId="0" fontId="2" fillId="88" borderId="0" applyNumberFormat="0" applyBorder="0" applyAlignment="0" applyProtection="0"/>
    <xf numFmtId="0" fontId="2" fillId="85" borderId="0" applyNumberFormat="0" applyBorder="0" applyAlignment="0" applyProtection="0"/>
    <xf numFmtId="0" fontId="2" fillId="88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90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8" borderId="0" applyNumberFormat="0" applyBorder="0" applyAlignment="0" applyProtection="0"/>
    <xf numFmtId="0" fontId="2" fillId="2" borderId="0" applyNumberFormat="0" applyBorder="0" applyAlignment="0" applyProtection="0"/>
    <xf numFmtId="0" fontId="2" fillId="73" borderId="0" applyNumberFormat="0" applyBorder="0" applyAlignment="0" applyProtection="0"/>
    <xf numFmtId="0" fontId="2" fillId="89" borderId="0" applyNumberFormat="0" applyBorder="0" applyAlignment="0" applyProtection="0"/>
    <xf numFmtId="0" fontId="2" fillId="88" borderId="0" applyNumberFormat="0" applyBorder="0" applyAlignment="0" applyProtection="0"/>
    <xf numFmtId="0" fontId="2" fillId="85" borderId="0" applyNumberFormat="0" applyBorder="0" applyAlignment="0" applyProtection="0"/>
    <xf numFmtId="0" fontId="2" fillId="88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90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8" borderId="0" applyNumberFormat="0" applyBorder="0" applyAlignment="0" applyProtection="0"/>
    <xf numFmtId="0" fontId="2" fillId="2" borderId="0" applyNumberFormat="0" applyBorder="0" applyAlignment="0" applyProtection="0"/>
    <xf numFmtId="0" fontId="2" fillId="73" borderId="0" applyNumberFormat="0" applyBorder="0" applyAlignment="0" applyProtection="0"/>
    <xf numFmtId="0" fontId="2" fillId="89" borderId="0" applyNumberFormat="0" applyBorder="0" applyAlignment="0" applyProtection="0"/>
    <xf numFmtId="0" fontId="2" fillId="88" borderId="0" applyNumberFormat="0" applyBorder="0" applyAlignment="0" applyProtection="0"/>
    <xf numFmtId="0" fontId="2" fillId="85" borderId="0" applyNumberFormat="0" applyBorder="0" applyAlignment="0" applyProtection="0"/>
    <xf numFmtId="0" fontId="2" fillId="88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90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8" borderId="0" applyNumberFormat="0" applyBorder="0" applyAlignment="0" applyProtection="0"/>
    <xf numFmtId="0" fontId="2" fillId="2" borderId="0" applyNumberFormat="0" applyBorder="0" applyAlignment="0" applyProtection="0"/>
    <xf numFmtId="0" fontId="2" fillId="73" borderId="0" applyNumberFormat="0" applyBorder="0" applyAlignment="0" applyProtection="0"/>
    <xf numFmtId="0" fontId="2" fillId="89" borderId="0" applyNumberFormat="0" applyBorder="0" applyAlignment="0" applyProtection="0"/>
    <xf numFmtId="0" fontId="2" fillId="88" borderId="0" applyNumberFormat="0" applyBorder="0" applyAlignment="0" applyProtection="0"/>
    <xf numFmtId="0" fontId="2" fillId="85" borderId="0" applyNumberFormat="0" applyBorder="0" applyAlignment="0" applyProtection="0"/>
    <xf numFmtId="0" fontId="2" fillId="88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90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8" borderId="0" applyNumberFormat="0" applyBorder="0" applyAlignment="0" applyProtection="0"/>
    <xf numFmtId="0" fontId="2" fillId="2" borderId="0" applyNumberFormat="0" applyBorder="0" applyAlignment="0" applyProtection="0"/>
    <xf numFmtId="0" fontId="2" fillId="73" borderId="0" applyNumberFormat="0" applyBorder="0" applyAlignment="0" applyProtection="0"/>
    <xf numFmtId="0" fontId="2" fillId="89" borderId="0" applyNumberFormat="0" applyBorder="0" applyAlignment="0" applyProtection="0"/>
    <xf numFmtId="0" fontId="2" fillId="88" borderId="0" applyNumberFormat="0" applyBorder="0" applyAlignment="0" applyProtection="0"/>
    <xf numFmtId="0" fontId="2" fillId="85" borderId="0" applyNumberFormat="0" applyBorder="0" applyAlignment="0" applyProtection="0"/>
    <xf numFmtId="0" fontId="2" fillId="88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90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8" borderId="0" applyNumberFormat="0" applyBorder="0" applyAlignment="0" applyProtection="0"/>
    <xf numFmtId="0" fontId="2" fillId="2" borderId="0" applyNumberFormat="0" applyBorder="0" applyAlignment="0" applyProtection="0"/>
    <xf numFmtId="0" fontId="2" fillId="73" borderId="0" applyNumberFormat="0" applyBorder="0" applyAlignment="0" applyProtection="0"/>
    <xf numFmtId="0" fontId="2" fillId="89" borderId="0" applyNumberFormat="0" applyBorder="0" applyAlignment="0" applyProtection="0"/>
    <xf numFmtId="0" fontId="2" fillId="88" borderId="0" applyNumberFormat="0" applyBorder="0" applyAlignment="0" applyProtection="0"/>
    <xf numFmtId="0" fontId="2" fillId="85" borderId="0" applyNumberFormat="0" applyBorder="0" applyAlignment="0" applyProtection="0"/>
    <xf numFmtId="0" fontId="2" fillId="88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90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8" borderId="0" applyNumberFormat="0" applyBorder="0" applyAlignment="0" applyProtection="0"/>
    <xf numFmtId="0" fontId="2" fillId="2" borderId="0" applyNumberFormat="0" applyBorder="0" applyAlignment="0" applyProtection="0"/>
    <xf numFmtId="0" fontId="2" fillId="73" borderId="0" applyNumberFormat="0" applyBorder="0" applyAlignment="0" applyProtection="0"/>
    <xf numFmtId="0" fontId="2" fillId="89" borderId="0" applyNumberFormat="0" applyBorder="0" applyAlignment="0" applyProtection="0"/>
    <xf numFmtId="0" fontId="2" fillId="88" borderId="0" applyNumberFormat="0" applyBorder="0" applyAlignment="0" applyProtection="0"/>
    <xf numFmtId="0" fontId="2" fillId="85" borderId="0" applyNumberFormat="0" applyBorder="0" applyAlignment="0" applyProtection="0"/>
    <xf numFmtId="0" fontId="2" fillId="88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90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8" borderId="0" applyNumberFormat="0" applyBorder="0" applyAlignment="0" applyProtection="0"/>
    <xf numFmtId="0" fontId="2" fillId="2" borderId="0" applyNumberFormat="0" applyBorder="0" applyAlignment="0" applyProtection="0"/>
    <xf numFmtId="0" fontId="2" fillId="73" borderId="0" applyNumberFormat="0" applyBorder="0" applyAlignment="0" applyProtection="0"/>
    <xf numFmtId="0" fontId="2" fillId="89" borderId="0" applyNumberFormat="0" applyBorder="0" applyAlignment="0" applyProtection="0"/>
    <xf numFmtId="0" fontId="2" fillId="88" borderId="0" applyNumberFormat="0" applyBorder="0" applyAlignment="0" applyProtection="0"/>
    <xf numFmtId="0" fontId="2" fillId="85" borderId="0" applyNumberFormat="0" applyBorder="0" applyAlignment="0" applyProtection="0"/>
    <xf numFmtId="0" fontId="2" fillId="88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90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8" borderId="0" applyNumberFormat="0" applyBorder="0" applyAlignment="0" applyProtection="0"/>
    <xf numFmtId="0" fontId="2" fillId="2" borderId="0" applyNumberFormat="0" applyBorder="0" applyAlignment="0" applyProtection="0"/>
    <xf numFmtId="0" fontId="2" fillId="73" borderId="0" applyNumberFormat="0" applyBorder="0" applyAlignment="0" applyProtection="0"/>
    <xf numFmtId="0" fontId="2" fillId="89" borderId="0" applyNumberFormat="0" applyBorder="0" applyAlignment="0" applyProtection="0"/>
    <xf numFmtId="0" fontId="2" fillId="88" borderId="0" applyNumberFormat="0" applyBorder="0" applyAlignment="0" applyProtection="0"/>
    <xf numFmtId="0" fontId="2" fillId="85" borderId="0" applyNumberFormat="0" applyBorder="0" applyAlignment="0" applyProtection="0"/>
    <xf numFmtId="0" fontId="2" fillId="88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90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8" borderId="0" applyNumberFormat="0" applyBorder="0" applyAlignment="0" applyProtection="0"/>
    <xf numFmtId="0" fontId="2" fillId="2" borderId="0" applyNumberFormat="0" applyBorder="0" applyAlignment="0" applyProtection="0"/>
    <xf numFmtId="0" fontId="2" fillId="73" borderId="0" applyNumberFormat="0" applyBorder="0" applyAlignment="0" applyProtection="0"/>
    <xf numFmtId="0" fontId="2" fillId="89" borderId="0" applyNumberFormat="0" applyBorder="0" applyAlignment="0" applyProtection="0"/>
    <xf numFmtId="0" fontId="2" fillId="88" borderId="0" applyNumberFormat="0" applyBorder="0" applyAlignment="0" applyProtection="0"/>
    <xf numFmtId="0" fontId="2" fillId="85" borderId="0" applyNumberFormat="0" applyBorder="0" applyAlignment="0" applyProtection="0"/>
    <xf numFmtId="0" fontId="2" fillId="88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90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8" borderId="0" applyNumberFormat="0" applyBorder="0" applyAlignment="0" applyProtection="0"/>
    <xf numFmtId="0" fontId="2" fillId="2" borderId="0" applyNumberFormat="0" applyBorder="0" applyAlignment="0" applyProtection="0"/>
    <xf numFmtId="0" fontId="2" fillId="73" borderId="0" applyNumberFormat="0" applyBorder="0" applyAlignment="0" applyProtection="0"/>
    <xf numFmtId="0" fontId="2" fillId="89" borderId="0" applyNumberFormat="0" applyBorder="0" applyAlignment="0" applyProtection="0"/>
    <xf numFmtId="0" fontId="2" fillId="88" borderId="0" applyNumberFormat="0" applyBorder="0" applyAlignment="0" applyProtection="0"/>
    <xf numFmtId="0" fontId="2" fillId="85" borderId="0" applyNumberFormat="0" applyBorder="0" applyAlignment="0" applyProtection="0"/>
    <xf numFmtId="0" fontId="2" fillId="88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90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8" borderId="0" applyNumberFormat="0" applyBorder="0" applyAlignment="0" applyProtection="0"/>
    <xf numFmtId="0" fontId="2" fillId="2" borderId="0" applyNumberFormat="0" applyBorder="0" applyAlignment="0" applyProtection="0"/>
    <xf numFmtId="0" fontId="2" fillId="73" borderId="0" applyNumberFormat="0" applyBorder="0" applyAlignment="0" applyProtection="0"/>
    <xf numFmtId="0" fontId="2" fillId="89" borderId="0" applyNumberFormat="0" applyBorder="0" applyAlignment="0" applyProtection="0"/>
    <xf numFmtId="0" fontId="2" fillId="88" borderId="0" applyNumberFormat="0" applyBorder="0" applyAlignment="0" applyProtection="0"/>
    <xf numFmtId="0" fontId="2" fillId="85" borderId="0" applyNumberFormat="0" applyBorder="0" applyAlignment="0" applyProtection="0"/>
    <xf numFmtId="0" fontId="2" fillId="88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90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8" borderId="0" applyNumberFormat="0" applyBorder="0" applyAlignment="0" applyProtection="0"/>
    <xf numFmtId="0" fontId="2" fillId="2" borderId="0" applyNumberFormat="0" applyBorder="0" applyAlignment="0" applyProtection="0"/>
    <xf numFmtId="0" fontId="2" fillId="73" borderId="0" applyNumberFormat="0" applyBorder="0" applyAlignment="0" applyProtection="0"/>
    <xf numFmtId="0" fontId="2" fillId="89" borderId="0" applyNumberFormat="0" applyBorder="0" applyAlignment="0" applyProtection="0"/>
    <xf numFmtId="0" fontId="2" fillId="88" borderId="0" applyNumberFormat="0" applyBorder="0" applyAlignment="0" applyProtection="0"/>
    <xf numFmtId="0" fontId="2" fillId="85" borderId="0" applyNumberFormat="0" applyBorder="0" applyAlignment="0" applyProtection="0"/>
    <xf numFmtId="0" fontId="2" fillId="88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90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8" borderId="0" applyNumberFormat="0" applyBorder="0" applyAlignment="0" applyProtection="0"/>
    <xf numFmtId="0" fontId="2" fillId="2" borderId="0" applyNumberFormat="0" applyBorder="0" applyAlignment="0" applyProtection="0"/>
    <xf numFmtId="0" fontId="2" fillId="73" borderId="0" applyNumberFormat="0" applyBorder="0" applyAlignment="0" applyProtection="0"/>
    <xf numFmtId="0" fontId="2" fillId="89" borderId="0" applyNumberFormat="0" applyBorder="0" applyAlignment="0" applyProtection="0"/>
    <xf numFmtId="0" fontId="2" fillId="88" borderId="0" applyNumberFormat="0" applyBorder="0" applyAlignment="0" applyProtection="0"/>
    <xf numFmtId="0" fontId="2" fillId="85" borderId="0" applyNumberFormat="0" applyBorder="0" applyAlignment="0" applyProtection="0"/>
    <xf numFmtId="0" fontId="2" fillId="88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90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8" borderId="0" applyNumberFormat="0" applyBorder="0" applyAlignment="0" applyProtection="0"/>
    <xf numFmtId="0" fontId="2" fillId="2" borderId="0" applyNumberFormat="0" applyBorder="0" applyAlignment="0" applyProtection="0"/>
    <xf numFmtId="0" fontId="2" fillId="73" borderId="0" applyNumberFormat="0" applyBorder="0" applyAlignment="0" applyProtection="0"/>
    <xf numFmtId="0" fontId="2" fillId="89" borderId="0" applyNumberFormat="0" applyBorder="0" applyAlignment="0" applyProtection="0"/>
    <xf numFmtId="0" fontId="2" fillId="88" borderId="0" applyNumberFormat="0" applyBorder="0" applyAlignment="0" applyProtection="0"/>
    <xf numFmtId="0" fontId="2" fillId="85" borderId="0" applyNumberFormat="0" applyBorder="0" applyAlignment="0" applyProtection="0"/>
    <xf numFmtId="0" fontId="2" fillId="88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90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8" borderId="0" applyNumberFormat="0" applyBorder="0" applyAlignment="0" applyProtection="0"/>
    <xf numFmtId="0" fontId="2" fillId="2" borderId="0" applyNumberFormat="0" applyBorder="0" applyAlignment="0" applyProtection="0"/>
    <xf numFmtId="0" fontId="2" fillId="73" borderId="0" applyNumberFormat="0" applyBorder="0" applyAlignment="0" applyProtection="0"/>
    <xf numFmtId="0" fontId="2" fillId="89" borderId="0" applyNumberFormat="0" applyBorder="0" applyAlignment="0" applyProtection="0"/>
    <xf numFmtId="0" fontId="2" fillId="88" borderId="0" applyNumberFormat="0" applyBorder="0" applyAlignment="0" applyProtection="0"/>
    <xf numFmtId="0" fontId="2" fillId="85" borderId="0" applyNumberFormat="0" applyBorder="0" applyAlignment="0" applyProtection="0"/>
    <xf numFmtId="0" fontId="2" fillId="88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90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8" borderId="0" applyNumberFormat="0" applyBorder="0" applyAlignment="0" applyProtection="0"/>
    <xf numFmtId="0" fontId="2" fillId="2" borderId="0" applyNumberFormat="0" applyBorder="0" applyAlignment="0" applyProtection="0"/>
    <xf numFmtId="0" fontId="2" fillId="73" borderId="0" applyNumberFormat="0" applyBorder="0" applyAlignment="0" applyProtection="0"/>
    <xf numFmtId="0" fontId="2" fillId="89" borderId="0" applyNumberFormat="0" applyBorder="0" applyAlignment="0" applyProtection="0"/>
    <xf numFmtId="0" fontId="2" fillId="88" borderId="0" applyNumberFormat="0" applyBorder="0" applyAlignment="0" applyProtection="0"/>
    <xf numFmtId="0" fontId="2" fillId="85" borderId="0" applyNumberFormat="0" applyBorder="0" applyAlignment="0" applyProtection="0"/>
    <xf numFmtId="0" fontId="2" fillId="88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90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8" borderId="0" applyNumberFormat="0" applyBorder="0" applyAlignment="0" applyProtection="0"/>
    <xf numFmtId="0" fontId="2" fillId="2" borderId="0" applyNumberFormat="0" applyBorder="0" applyAlignment="0" applyProtection="0"/>
    <xf numFmtId="0" fontId="2" fillId="73" borderId="0" applyNumberFormat="0" applyBorder="0" applyAlignment="0" applyProtection="0"/>
    <xf numFmtId="0" fontId="2" fillId="89" borderId="0" applyNumberFormat="0" applyBorder="0" applyAlignment="0" applyProtection="0"/>
    <xf numFmtId="0" fontId="2" fillId="88" borderId="0" applyNumberFormat="0" applyBorder="0" applyAlignment="0" applyProtection="0"/>
    <xf numFmtId="0" fontId="2" fillId="85" borderId="0" applyNumberFormat="0" applyBorder="0" applyAlignment="0" applyProtection="0"/>
    <xf numFmtId="0" fontId="2" fillId="88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90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8" borderId="0" applyNumberFormat="0" applyBorder="0" applyAlignment="0" applyProtection="0"/>
    <xf numFmtId="0" fontId="2" fillId="2" borderId="0" applyNumberFormat="0" applyBorder="0" applyAlignment="0" applyProtection="0"/>
    <xf numFmtId="0" fontId="2" fillId="73" borderId="0" applyNumberFormat="0" applyBorder="0" applyAlignment="0" applyProtection="0"/>
    <xf numFmtId="0" fontId="2" fillId="89" borderId="0" applyNumberFormat="0" applyBorder="0" applyAlignment="0" applyProtection="0"/>
    <xf numFmtId="0" fontId="2" fillId="88" borderId="0" applyNumberFormat="0" applyBorder="0" applyAlignment="0" applyProtection="0"/>
    <xf numFmtId="0" fontId="2" fillId="85" borderId="0" applyNumberFormat="0" applyBorder="0" applyAlignment="0" applyProtection="0"/>
    <xf numFmtId="0" fontId="2" fillId="88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90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8" borderId="0" applyNumberFormat="0" applyBorder="0" applyAlignment="0" applyProtection="0"/>
    <xf numFmtId="0" fontId="2" fillId="2" borderId="0" applyNumberFormat="0" applyBorder="0" applyAlignment="0" applyProtection="0"/>
    <xf numFmtId="0" fontId="2" fillId="73" borderId="0" applyNumberFormat="0" applyBorder="0" applyAlignment="0" applyProtection="0"/>
    <xf numFmtId="0" fontId="2" fillId="89" borderId="0" applyNumberFormat="0" applyBorder="0" applyAlignment="0" applyProtection="0"/>
    <xf numFmtId="0" fontId="2" fillId="88" borderId="0" applyNumberFormat="0" applyBorder="0" applyAlignment="0" applyProtection="0"/>
    <xf numFmtId="0" fontId="2" fillId="85" borderId="0" applyNumberFormat="0" applyBorder="0" applyAlignment="0" applyProtection="0"/>
    <xf numFmtId="0" fontId="2" fillId="88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90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8" borderId="0" applyNumberFormat="0" applyBorder="0" applyAlignment="0" applyProtection="0"/>
    <xf numFmtId="0" fontId="2" fillId="2" borderId="0" applyNumberFormat="0" applyBorder="0" applyAlignment="0" applyProtection="0"/>
    <xf numFmtId="0" fontId="2" fillId="73" borderId="0" applyNumberFormat="0" applyBorder="0" applyAlignment="0" applyProtection="0"/>
    <xf numFmtId="0" fontId="2" fillId="89" borderId="0" applyNumberFormat="0" applyBorder="0" applyAlignment="0" applyProtection="0"/>
    <xf numFmtId="0" fontId="2" fillId="88" borderId="0" applyNumberFormat="0" applyBorder="0" applyAlignment="0" applyProtection="0"/>
    <xf numFmtId="0" fontId="2" fillId="85" borderId="0" applyNumberFormat="0" applyBorder="0" applyAlignment="0" applyProtection="0"/>
    <xf numFmtId="0" fontId="2" fillId="88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90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8" borderId="0" applyNumberFormat="0" applyBorder="0" applyAlignment="0" applyProtection="0"/>
    <xf numFmtId="0" fontId="2" fillId="2" borderId="0" applyNumberFormat="0" applyBorder="0" applyAlignment="0" applyProtection="0"/>
    <xf numFmtId="0" fontId="2" fillId="73" borderId="0" applyNumberFormat="0" applyBorder="0" applyAlignment="0" applyProtection="0"/>
    <xf numFmtId="0" fontId="2" fillId="89" borderId="0" applyNumberFormat="0" applyBorder="0" applyAlignment="0" applyProtection="0"/>
    <xf numFmtId="0" fontId="2" fillId="88" borderId="0" applyNumberFormat="0" applyBorder="0" applyAlignment="0" applyProtection="0"/>
    <xf numFmtId="0" fontId="2" fillId="85" borderId="0" applyNumberFormat="0" applyBorder="0" applyAlignment="0" applyProtection="0"/>
    <xf numFmtId="0" fontId="2" fillId="88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90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8" borderId="0" applyNumberFormat="0" applyBorder="0" applyAlignment="0" applyProtection="0"/>
    <xf numFmtId="0" fontId="2" fillId="2" borderId="0" applyNumberFormat="0" applyBorder="0" applyAlignment="0" applyProtection="0"/>
    <xf numFmtId="0" fontId="2" fillId="73" borderId="0" applyNumberFormat="0" applyBorder="0" applyAlignment="0" applyProtection="0"/>
    <xf numFmtId="0" fontId="2" fillId="89" borderId="0" applyNumberFormat="0" applyBorder="0" applyAlignment="0" applyProtection="0"/>
    <xf numFmtId="0" fontId="2" fillId="88" borderId="0" applyNumberFormat="0" applyBorder="0" applyAlignment="0" applyProtection="0"/>
    <xf numFmtId="0" fontId="2" fillId="85" borderId="0" applyNumberFormat="0" applyBorder="0" applyAlignment="0" applyProtection="0"/>
    <xf numFmtId="0" fontId="2" fillId="88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90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8" borderId="0" applyNumberFormat="0" applyBorder="0" applyAlignment="0" applyProtection="0"/>
    <xf numFmtId="0" fontId="2" fillId="2" borderId="0" applyNumberFormat="0" applyBorder="0" applyAlignment="0" applyProtection="0"/>
    <xf numFmtId="0" fontId="2" fillId="73" borderId="0" applyNumberFormat="0" applyBorder="0" applyAlignment="0" applyProtection="0"/>
    <xf numFmtId="0" fontId="2" fillId="89" borderId="0" applyNumberFormat="0" applyBorder="0" applyAlignment="0" applyProtection="0"/>
    <xf numFmtId="0" fontId="2" fillId="88" borderId="0" applyNumberFormat="0" applyBorder="0" applyAlignment="0" applyProtection="0"/>
    <xf numFmtId="0" fontId="2" fillId="85" borderId="0" applyNumberFormat="0" applyBorder="0" applyAlignment="0" applyProtection="0"/>
    <xf numFmtId="0" fontId="2" fillId="88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90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8" borderId="0" applyNumberFormat="0" applyBorder="0" applyAlignment="0" applyProtection="0"/>
    <xf numFmtId="0" fontId="2" fillId="2" borderId="0" applyNumberFormat="0" applyBorder="0" applyAlignment="0" applyProtection="0"/>
    <xf numFmtId="0" fontId="2" fillId="73" borderId="0" applyNumberFormat="0" applyBorder="0" applyAlignment="0" applyProtection="0"/>
    <xf numFmtId="0" fontId="2" fillId="89" borderId="0" applyNumberFormat="0" applyBorder="0" applyAlignment="0" applyProtection="0"/>
    <xf numFmtId="0" fontId="2" fillId="88" borderId="0" applyNumberFormat="0" applyBorder="0" applyAlignment="0" applyProtection="0"/>
    <xf numFmtId="0" fontId="2" fillId="85" borderId="0" applyNumberFormat="0" applyBorder="0" applyAlignment="0" applyProtection="0"/>
    <xf numFmtId="0" fontId="2" fillId="88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90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8" borderId="0" applyNumberFormat="0" applyBorder="0" applyAlignment="0" applyProtection="0"/>
    <xf numFmtId="0" fontId="2" fillId="2" borderId="0" applyNumberFormat="0" applyBorder="0" applyAlignment="0" applyProtection="0"/>
    <xf numFmtId="0" fontId="2" fillId="73" borderId="0" applyNumberFormat="0" applyBorder="0" applyAlignment="0" applyProtection="0"/>
    <xf numFmtId="0" fontId="2" fillId="89" borderId="0" applyNumberFormat="0" applyBorder="0" applyAlignment="0" applyProtection="0"/>
    <xf numFmtId="0" fontId="2" fillId="88" borderId="0" applyNumberFormat="0" applyBorder="0" applyAlignment="0" applyProtection="0"/>
    <xf numFmtId="0" fontId="2" fillId="85" borderId="0" applyNumberFormat="0" applyBorder="0" applyAlignment="0" applyProtection="0"/>
    <xf numFmtId="0" fontId="2" fillId="88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90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8" borderId="0" applyNumberFormat="0" applyBorder="0" applyAlignment="0" applyProtection="0"/>
    <xf numFmtId="0" fontId="2" fillId="2" borderId="0" applyNumberFormat="0" applyBorder="0" applyAlignment="0" applyProtection="0"/>
    <xf numFmtId="0" fontId="2" fillId="73" borderId="0" applyNumberFormat="0" applyBorder="0" applyAlignment="0" applyProtection="0"/>
    <xf numFmtId="0" fontId="2" fillId="89" borderId="0" applyNumberFormat="0" applyBorder="0" applyAlignment="0" applyProtection="0"/>
    <xf numFmtId="0" fontId="2" fillId="88" borderId="0" applyNumberFormat="0" applyBorder="0" applyAlignment="0" applyProtection="0"/>
    <xf numFmtId="0" fontId="2" fillId="85" borderId="0" applyNumberFormat="0" applyBorder="0" applyAlignment="0" applyProtection="0"/>
    <xf numFmtId="0" fontId="2" fillId="88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90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8" borderId="0" applyNumberFormat="0" applyBorder="0" applyAlignment="0" applyProtection="0"/>
    <xf numFmtId="0" fontId="2" fillId="2" borderId="0" applyNumberFormat="0" applyBorder="0" applyAlignment="0" applyProtection="0"/>
    <xf numFmtId="0" fontId="2" fillId="73" borderId="0" applyNumberFormat="0" applyBorder="0" applyAlignment="0" applyProtection="0"/>
    <xf numFmtId="0" fontId="2" fillId="89" borderId="0" applyNumberFormat="0" applyBorder="0" applyAlignment="0" applyProtection="0"/>
    <xf numFmtId="0" fontId="2" fillId="88" borderId="0" applyNumberFormat="0" applyBorder="0" applyAlignment="0" applyProtection="0"/>
    <xf numFmtId="0" fontId="2" fillId="85" borderId="0" applyNumberFormat="0" applyBorder="0" applyAlignment="0" applyProtection="0"/>
    <xf numFmtId="0" fontId="2" fillId="88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90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8" borderId="0" applyNumberFormat="0" applyBorder="0" applyAlignment="0" applyProtection="0"/>
    <xf numFmtId="0" fontId="2" fillId="2" borderId="0" applyNumberFormat="0" applyBorder="0" applyAlignment="0" applyProtection="0"/>
    <xf numFmtId="0" fontId="2" fillId="73" borderId="0" applyNumberFormat="0" applyBorder="0" applyAlignment="0" applyProtection="0"/>
    <xf numFmtId="0" fontId="2" fillId="89" borderId="0" applyNumberFormat="0" applyBorder="0" applyAlignment="0" applyProtection="0"/>
    <xf numFmtId="0" fontId="2" fillId="88" borderId="0" applyNumberFormat="0" applyBorder="0" applyAlignment="0" applyProtection="0"/>
    <xf numFmtId="0" fontId="2" fillId="85" borderId="0" applyNumberFormat="0" applyBorder="0" applyAlignment="0" applyProtection="0"/>
    <xf numFmtId="0" fontId="2" fillId="88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90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8" borderId="0" applyNumberFormat="0" applyBorder="0" applyAlignment="0" applyProtection="0"/>
    <xf numFmtId="0" fontId="2" fillId="2" borderId="0" applyNumberFormat="0" applyBorder="0" applyAlignment="0" applyProtection="0"/>
    <xf numFmtId="0" fontId="2" fillId="73" borderId="0" applyNumberFormat="0" applyBorder="0" applyAlignment="0" applyProtection="0"/>
    <xf numFmtId="0" fontId="2" fillId="89" borderId="0" applyNumberFormat="0" applyBorder="0" applyAlignment="0" applyProtection="0"/>
    <xf numFmtId="0" fontId="2" fillId="88" borderId="0" applyNumberFormat="0" applyBorder="0" applyAlignment="0" applyProtection="0"/>
    <xf numFmtId="0" fontId="2" fillId="85" borderId="0" applyNumberFormat="0" applyBorder="0" applyAlignment="0" applyProtection="0"/>
    <xf numFmtId="0" fontId="2" fillId="88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90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8" borderId="0" applyNumberFormat="0" applyBorder="0" applyAlignment="0" applyProtection="0"/>
    <xf numFmtId="0" fontId="2" fillId="2" borderId="0" applyNumberFormat="0" applyBorder="0" applyAlignment="0" applyProtection="0"/>
    <xf numFmtId="0" fontId="2" fillId="73" borderId="0" applyNumberFormat="0" applyBorder="0" applyAlignment="0" applyProtection="0"/>
    <xf numFmtId="0" fontId="2" fillId="89" borderId="0" applyNumberFormat="0" applyBorder="0" applyAlignment="0" applyProtection="0"/>
    <xf numFmtId="0" fontId="2" fillId="88" borderId="0" applyNumberFormat="0" applyBorder="0" applyAlignment="0" applyProtection="0"/>
    <xf numFmtId="0" fontId="2" fillId="85" borderId="0" applyNumberFormat="0" applyBorder="0" applyAlignment="0" applyProtection="0"/>
    <xf numFmtId="0" fontId="2" fillId="88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90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9" fontId="1" fillId="0" borderId="0" applyFont="0" applyFill="0" applyBorder="0" applyAlignment="0" applyProtection="0"/>
    <xf numFmtId="0" fontId="225" fillId="0" borderId="0"/>
  </cellStyleXfs>
  <cellXfs count="1514">
    <xf numFmtId="0" fontId="0" fillId="0" borderId="0" xfId="0"/>
    <xf numFmtId="0" fontId="13" fillId="0" borderId="0" xfId="3" applyFont="1"/>
    <xf numFmtId="0" fontId="15" fillId="0" borderId="0" xfId="3" applyFont="1" applyFill="1" applyAlignment="1">
      <alignment vertical="center"/>
    </xf>
    <xf numFmtId="0" fontId="13" fillId="18" borderId="0" xfId="3" applyFont="1" applyFill="1"/>
    <xf numFmtId="0" fontId="16" fillId="0" borderId="0" xfId="548" applyNumberFormat="1" applyFont="1" applyFill="1" applyBorder="1" applyAlignment="1">
      <alignment horizontal="left"/>
    </xf>
    <xf numFmtId="0" fontId="13" fillId="0" borderId="0" xfId="3" applyFont="1" applyFill="1"/>
    <xf numFmtId="164" fontId="13" fillId="0" borderId="0" xfId="3" applyNumberFormat="1" applyFont="1"/>
    <xf numFmtId="0" fontId="13" fillId="0" borderId="3" xfId="3" applyFont="1" applyBorder="1"/>
    <xf numFmtId="0" fontId="18" fillId="0" borderId="0" xfId="3" applyFont="1"/>
    <xf numFmtId="0" fontId="19" fillId="0" borderId="7" xfId="3" applyFont="1" applyBorder="1"/>
    <xf numFmtId="0" fontId="19" fillId="0" borderId="20" xfId="3" applyFont="1" applyBorder="1"/>
    <xf numFmtId="0" fontId="18" fillId="0" borderId="0" xfId="3" applyFont="1" applyFill="1"/>
    <xf numFmtId="0" fontId="20" fillId="0" borderId="2" xfId="3" applyFont="1" applyBorder="1"/>
    <xf numFmtId="0" fontId="20" fillId="0" borderId="21" xfId="3" applyFont="1" applyBorder="1"/>
    <xf numFmtId="165" fontId="21" fillId="0" borderId="0" xfId="548" applyNumberFormat="1" applyFont="1" applyFill="1" applyBorder="1" applyAlignment="1">
      <alignment horizontal="right"/>
    </xf>
    <xf numFmtId="165" fontId="21" fillId="0" borderId="21" xfId="548" applyNumberFormat="1" applyFont="1" applyFill="1" applyBorder="1" applyAlignment="1">
      <alignment horizontal="right"/>
    </xf>
    <xf numFmtId="165" fontId="21" fillId="0" borderId="2" xfId="548" applyNumberFormat="1" applyFont="1" applyFill="1" applyBorder="1" applyAlignment="1">
      <alignment horizontal="right"/>
    </xf>
    <xf numFmtId="0" fontId="18" fillId="0" borderId="0" xfId="3" applyFont="1" applyBorder="1"/>
    <xf numFmtId="0" fontId="18" fillId="0" borderId="22" xfId="3" applyFont="1" applyBorder="1"/>
    <xf numFmtId="0" fontId="18" fillId="0" borderId="23" xfId="3" applyFont="1" applyBorder="1"/>
    <xf numFmtId="1" fontId="21" fillId="18" borderId="24" xfId="547" applyNumberFormat="1" applyFont="1" applyFill="1" applyBorder="1" applyAlignment="1">
      <alignment horizontal="right"/>
    </xf>
    <xf numFmtId="1" fontId="21" fillId="18" borderId="1" xfId="547" applyNumberFormat="1" applyFont="1" applyFill="1" applyBorder="1" applyAlignment="1">
      <alignment horizontal="right"/>
    </xf>
    <xf numFmtId="1" fontId="21" fillId="18" borderId="25" xfId="547" applyNumberFormat="1" applyFont="1" applyFill="1" applyBorder="1" applyAlignment="1">
      <alignment horizontal="right"/>
    </xf>
    <xf numFmtId="0" fontId="18" fillId="0" borderId="26" xfId="3" applyFont="1" applyBorder="1"/>
    <xf numFmtId="1" fontId="21" fillId="18" borderId="20" xfId="547" applyNumberFormat="1" applyFont="1" applyFill="1" applyBorder="1" applyAlignment="1">
      <alignment horizontal="right"/>
    </xf>
    <xf numFmtId="0" fontId="18" fillId="0" borderId="2" xfId="3" applyFont="1" applyBorder="1"/>
    <xf numFmtId="0" fontId="18" fillId="0" borderId="2" xfId="3" applyFont="1" applyFill="1" applyBorder="1"/>
    <xf numFmtId="0" fontId="18" fillId="0" borderId="21" xfId="3" applyFont="1" applyFill="1" applyBorder="1"/>
    <xf numFmtId="167" fontId="23" fillId="0" borderId="0" xfId="3" applyNumberFormat="1" applyFont="1" applyFill="1" applyBorder="1" applyAlignment="1"/>
    <xf numFmtId="167" fontId="18" fillId="0" borderId="0" xfId="3" applyNumberFormat="1" applyFont="1" applyFill="1" applyBorder="1" applyAlignment="1"/>
    <xf numFmtId="167" fontId="18" fillId="0" borderId="2" xfId="3" applyNumberFormat="1" applyFont="1" applyFill="1" applyBorder="1" applyAlignment="1"/>
    <xf numFmtId="0" fontId="18" fillId="0" borderId="2" xfId="3" applyFont="1" applyFill="1" applyBorder="1" applyAlignment="1">
      <alignment horizontal="left" indent="1"/>
    </xf>
    <xf numFmtId="0" fontId="18" fillId="0" borderId="21" xfId="3" applyFont="1" applyFill="1" applyBorder="1" applyAlignment="1">
      <alignment horizontal="left" indent="1"/>
    </xf>
    <xf numFmtId="164" fontId="23" fillId="0" borderId="0" xfId="3" applyNumberFormat="1" applyFont="1" applyFill="1" applyBorder="1" applyAlignment="1"/>
    <xf numFmtId="164" fontId="23" fillId="0" borderId="21" xfId="3" applyNumberFormat="1" applyFont="1" applyFill="1" applyBorder="1" applyAlignment="1"/>
    <xf numFmtId="164" fontId="18" fillId="0" borderId="0" xfId="3" applyNumberFormat="1" applyFont="1" applyFill="1" applyBorder="1" applyAlignment="1"/>
    <xf numFmtId="164" fontId="18" fillId="0" borderId="21" xfId="3" applyNumberFormat="1" applyFont="1" applyFill="1" applyBorder="1" applyAlignment="1"/>
    <xf numFmtId="164" fontId="18" fillId="0" borderId="2" xfId="3" applyNumberFormat="1" applyFont="1" applyFill="1" applyBorder="1" applyAlignment="1"/>
    <xf numFmtId="0" fontId="20" fillId="0" borderId="2" xfId="3" applyFont="1" applyFill="1" applyBorder="1" applyAlignment="1">
      <alignment horizontal="left" indent="1"/>
    </xf>
    <xf numFmtId="0" fontId="20" fillId="0" borderId="21" xfId="3" applyFont="1" applyFill="1" applyBorder="1" applyAlignment="1">
      <alignment horizontal="left" indent="1"/>
    </xf>
    <xf numFmtId="168" fontId="20" fillId="0" borderId="0" xfId="568" applyNumberFormat="1" applyFont="1" applyFill="1" applyBorder="1" applyAlignment="1"/>
    <xf numFmtId="168" fontId="20" fillId="0" borderId="21" xfId="568" applyNumberFormat="1" applyFont="1" applyFill="1" applyBorder="1" applyAlignment="1"/>
    <xf numFmtId="168" fontId="20" fillId="0" borderId="2" xfId="568" applyNumberFormat="1" applyFont="1" applyFill="1" applyBorder="1" applyAlignment="1"/>
    <xf numFmtId="168" fontId="24" fillId="0" borderId="0" xfId="568" applyNumberFormat="1" applyFont="1" applyFill="1" applyBorder="1" applyAlignment="1"/>
    <xf numFmtId="168" fontId="24" fillId="0" borderId="2" xfId="568" applyNumberFormat="1" applyFont="1" applyFill="1" applyBorder="1" applyAlignment="1"/>
    <xf numFmtId="169" fontId="23" fillId="0" borderId="0" xfId="3" applyNumberFormat="1" applyFont="1" applyFill="1" applyBorder="1" applyAlignment="1"/>
    <xf numFmtId="169" fontId="23" fillId="0" borderId="21" xfId="3" applyNumberFormat="1" applyFont="1" applyFill="1" applyBorder="1" applyAlignment="1"/>
    <xf numFmtId="169" fontId="23" fillId="0" borderId="2" xfId="3" applyNumberFormat="1" applyFont="1" applyFill="1" applyBorder="1" applyAlignment="1"/>
    <xf numFmtId="169" fontId="23" fillId="0" borderId="0" xfId="3" applyNumberFormat="1" applyFont="1" applyFill="1" applyBorder="1"/>
    <xf numFmtId="169" fontId="23" fillId="0" borderId="21" xfId="3" applyNumberFormat="1" applyFont="1" applyFill="1" applyBorder="1"/>
    <xf numFmtId="170" fontId="23" fillId="0" borderId="0" xfId="3" applyNumberFormat="1" applyFont="1" applyFill="1" applyBorder="1" applyAlignment="1"/>
    <xf numFmtId="0" fontId="19" fillId="0" borderId="2" xfId="3" applyFont="1" applyFill="1" applyBorder="1"/>
    <xf numFmtId="0" fontId="19" fillId="0" borderId="21" xfId="3" applyFont="1" applyFill="1" applyBorder="1"/>
    <xf numFmtId="164" fontId="19" fillId="0" borderId="2" xfId="3" applyNumberFormat="1" applyFont="1" applyFill="1" applyBorder="1" applyAlignment="1"/>
    <xf numFmtId="164" fontId="19" fillId="0" borderId="0" xfId="3" applyNumberFormat="1" applyFont="1" applyFill="1" applyBorder="1" applyAlignment="1"/>
    <xf numFmtId="164" fontId="19" fillId="0" borderId="21" xfId="3" applyNumberFormat="1" applyFont="1" applyFill="1" applyBorder="1" applyAlignment="1"/>
    <xf numFmtId="0" fontId="18" fillId="0" borderId="2" xfId="3" applyFont="1" applyFill="1" applyBorder="1" applyAlignment="1">
      <alignment horizontal="left" indent="2"/>
    </xf>
    <xf numFmtId="0" fontId="18" fillId="0" borderId="21" xfId="3" applyFont="1" applyFill="1" applyBorder="1" applyAlignment="1">
      <alignment horizontal="left" indent="2"/>
    </xf>
    <xf numFmtId="169" fontId="23" fillId="0" borderId="2" xfId="3" applyNumberFormat="1" applyFont="1" applyFill="1" applyBorder="1"/>
    <xf numFmtId="9" fontId="23" fillId="0" borderId="0" xfId="568" applyFont="1" applyFill="1" applyBorder="1" applyAlignment="1"/>
    <xf numFmtId="9" fontId="23" fillId="0" borderId="21" xfId="568" applyFont="1" applyFill="1" applyBorder="1" applyAlignment="1"/>
    <xf numFmtId="168" fontId="20" fillId="0" borderId="0" xfId="568" applyNumberFormat="1" applyFont="1" applyFill="1" applyBorder="1" applyAlignment="1">
      <alignment horizontal="right"/>
    </xf>
    <xf numFmtId="173" fontId="18" fillId="0" borderId="0" xfId="3" applyNumberFormat="1" applyFont="1" applyFill="1" applyBorder="1" applyAlignment="1"/>
    <xf numFmtId="170" fontId="23" fillId="0" borderId="0" xfId="3" applyNumberFormat="1" applyFont="1" applyFill="1" applyBorder="1"/>
    <xf numFmtId="175" fontId="18" fillId="0" borderId="2" xfId="3" applyNumberFormat="1" applyFont="1" applyFill="1" applyBorder="1"/>
    <xf numFmtId="175" fontId="18" fillId="0" borderId="0" xfId="3" applyNumberFormat="1" applyFont="1" applyFill="1" applyBorder="1"/>
    <xf numFmtId="175" fontId="18" fillId="0" borderId="21" xfId="3" applyNumberFormat="1" applyFont="1" applyFill="1" applyBorder="1"/>
    <xf numFmtId="0" fontId="18" fillId="0" borderId="22" xfId="3" applyFont="1" applyFill="1" applyBorder="1"/>
    <xf numFmtId="0" fontId="18" fillId="0" borderId="23" xfId="3" applyFont="1" applyFill="1" applyBorder="1"/>
    <xf numFmtId="0" fontId="18" fillId="0" borderId="17" xfId="3" applyFont="1" applyFill="1" applyBorder="1"/>
    <xf numFmtId="0" fontId="18" fillId="0" borderId="0" xfId="3" applyFont="1" applyFill="1" applyBorder="1"/>
    <xf numFmtId="169" fontId="23" fillId="0" borderId="17" xfId="3" applyNumberFormat="1" applyFont="1" applyFill="1" applyBorder="1"/>
    <xf numFmtId="37" fontId="23" fillId="0" borderId="0" xfId="3" applyNumberFormat="1" applyFont="1" applyFill="1" applyBorder="1"/>
    <xf numFmtId="43" fontId="23" fillId="0" borderId="0" xfId="3" applyNumberFormat="1" applyFont="1" applyFill="1" applyBorder="1"/>
    <xf numFmtId="0" fontId="18" fillId="0" borderId="3" xfId="3" applyFont="1" applyFill="1" applyBorder="1"/>
    <xf numFmtId="0" fontId="18" fillId="0" borderId="7" xfId="3" applyFont="1" applyFill="1" applyBorder="1"/>
    <xf numFmtId="0" fontId="18" fillId="0" borderId="20" xfId="3" applyFont="1" applyFill="1" applyBorder="1"/>
    <xf numFmtId="164" fontId="23" fillId="0" borderId="7" xfId="3" applyNumberFormat="1" applyFont="1" applyFill="1" applyBorder="1"/>
    <xf numFmtId="164" fontId="23" fillId="0" borderId="17" xfId="3" applyNumberFormat="1" applyFont="1" applyFill="1" applyBorder="1"/>
    <xf numFmtId="164" fontId="23" fillId="0" borderId="20" xfId="3" applyNumberFormat="1" applyFont="1" applyFill="1" applyBorder="1"/>
    <xf numFmtId="176" fontId="18" fillId="0" borderId="17" xfId="3" applyNumberFormat="1" applyFont="1" applyFill="1" applyBorder="1"/>
    <xf numFmtId="164" fontId="18" fillId="0" borderId="2" xfId="3" applyNumberFormat="1" applyFont="1" applyFill="1" applyBorder="1"/>
    <xf numFmtId="164" fontId="18" fillId="0" borderId="0" xfId="3" applyNumberFormat="1" applyFont="1" applyFill="1" applyBorder="1"/>
    <xf numFmtId="164" fontId="18" fillId="0" borderId="21" xfId="3" applyNumberFormat="1" applyFont="1" applyFill="1" applyBorder="1"/>
    <xf numFmtId="164" fontId="23" fillId="0" borderId="2" xfId="3" applyNumberFormat="1" applyFont="1" applyFill="1" applyBorder="1"/>
    <xf numFmtId="164" fontId="23" fillId="0" borderId="0" xfId="3" applyNumberFormat="1" applyFont="1" applyFill="1" applyBorder="1"/>
    <xf numFmtId="164" fontId="23" fillId="0" borderId="21" xfId="3" applyNumberFormat="1" applyFont="1" applyFill="1" applyBorder="1"/>
    <xf numFmtId="176" fontId="18" fillId="0" borderId="0" xfId="3" applyNumberFormat="1" applyFont="1" applyFill="1" applyBorder="1"/>
    <xf numFmtId="176" fontId="18" fillId="0" borderId="21" xfId="3" applyNumberFormat="1" applyFont="1" applyFill="1" applyBorder="1"/>
    <xf numFmtId="176" fontId="23" fillId="0" borderId="0" xfId="3" applyNumberFormat="1" applyFont="1" applyFill="1" applyBorder="1"/>
    <xf numFmtId="176" fontId="23" fillId="0" borderId="21" xfId="3" applyNumberFormat="1" applyFont="1" applyFill="1" applyBorder="1"/>
    <xf numFmtId="177" fontId="29" fillId="0" borderId="0" xfId="3" applyNumberFormat="1" applyFont="1" applyFill="1" applyBorder="1"/>
    <xf numFmtId="164" fontId="29" fillId="0" borderId="0" xfId="3" applyNumberFormat="1" applyFont="1" applyFill="1" applyBorder="1"/>
    <xf numFmtId="164" fontId="24" fillId="0" borderId="0" xfId="3" applyNumberFormat="1" applyFont="1" applyFill="1" applyBorder="1"/>
    <xf numFmtId="168" fontId="20" fillId="0" borderId="0" xfId="568" applyNumberFormat="1" applyFont="1" applyFill="1" applyBorder="1"/>
    <xf numFmtId="168" fontId="20" fillId="0" borderId="21" xfId="568" applyNumberFormat="1" applyFont="1" applyFill="1" applyBorder="1"/>
    <xf numFmtId="168" fontId="24" fillId="0" borderId="0" xfId="568" applyNumberFormat="1" applyFont="1" applyFill="1" applyBorder="1"/>
    <xf numFmtId="168" fontId="24" fillId="0" borderId="21" xfId="568" applyNumberFormat="1" applyFont="1" applyFill="1" applyBorder="1"/>
    <xf numFmtId="168" fontId="24" fillId="0" borderId="2" xfId="568" applyNumberFormat="1" applyFont="1" applyFill="1" applyBorder="1"/>
    <xf numFmtId="0" fontId="18" fillId="0" borderId="2" xfId="3" applyFont="1" applyFill="1" applyBorder="1" applyAlignment="1">
      <alignment horizontal="left"/>
    </xf>
    <xf numFmtId="0" fontId="18" fillId="0" borderId="21" xfId="3" applyFont="1" applyFill="1" applyBorder="1" applyAlignment="1">
      <alignment horizontal="left"/>
    </xf>
    <xf numFmtId="169" fontId="18" fillId="0" borderId="2" xfId="3" applyNumberFormat="1" applyFont="1" applyFill="1" applyBorder="1"/>
    <xf numFmtId="169" fontId="18" fillId="0" borderId="0" xfId="3" applyNumberFormat="1" applyFont="1" applyFill="1" applyBorder="1"/>
    <xf numFmtId="169" fontId="18" fillId="0" borderId="21" xfId="3" applyNumberFormat="1" applyFont="1" applyFill="1" applyBorder="1"/>
    <xf numFmtId="0" fontId="18" fillId="0" borderId="0" xfId="3" applyFont="1" applyFill="1" applyBorder="1" applyAlignment="1">
      <alignment horizontal="left" wrapText="1" indent="2"/>
    </xf>
    <xf numFmtId="37" fontId="18" fillId="0" borderId="0" xfId="3" applyNumberFormat="1" applyFont="1" applyFill="1" applyAlignment="1">
      <alignment horizontal="center"/>
    </xf>
    <xf numFmtId="0" fontId="30" fillId="0" borderId="0" xfId="3" applyFont="1"/>
    <xf numFmtId="0" fontId="31" fillId="0" borderId="0" xfId="3" applyFont="1"/>
    <xf numFmtId="165" fontId="21" fillId="0" borderId="1" xfId="548" applyNumberFormat="1" applyFont="1" applyFill="1" applyBorder="1" applyAlignment="1">
      <alignment horizontal="right"/>
    </xf>
    <xf numFmtId="165" fontId="21" fillId="0" borderId="25" xfId="548" applyNumberFormat="1" applyFont="1" applyFill="1" applyBorder="1" applyAlignment="1">
      <alignment horizontal="right"/>
    </xf>
    <xf numFmtId="165" fontId="21" fillId="0" borderId="24" xfId="548" applyNumberFormat="1" applyFont="1" applyFill="1" applyBorder="1" applyAlignment="1">
      <alignment horizontal="right"/>
    </xf>
    <xf numFmtId="0" fontId="23" fillId="0" borderId="0" xfId="3" applyFont="1" applyFill="1" applyBorder="1"/>
    <xf numFmtId="0" fontId="23" fillId="0" borderId="21" xfId="3" applyFont="1" applyFill="1" applyBorder="1"/>
    <xf numFmtId="0" fontId="23" fillId="0" borderId="2" xfId="3" applyFont="1" applyFill="1" applyBorder="1"/>
    <xf numFmtId="0" fontId="23" fillId="0" borderId="17" xfId="3" applyFont="1" applyFill="1" applyBorder="1"/>
    <xf numFmtId="164" fontId="18" fillId="0" borderId="26" xfId="3" applyNumberFormat="1" applyFont="1" applyBorder="1"/>
    <xf numFmtId="164" fontId="25" fillId="0" borderId="0" xfId="3" applyNumberFormat="1" applyFont="1" applyFill="1" applyBorder="1"/>
    <xf numFmtId="0" fontId="18" fillId="0" borderId="22" xfId="3" applyFont="1" applyFill="1" applyBorder="1" applyAlignment="1">
      <alignment horizontal="left" indent="1"/>
    </xf>
    <xf numFmtId="0" fontId="18" fillId="0" borderId="23" xfId="3" applyFont="1" applyFill="1" applyBorder="1" applyAlignment="1">
      <alignment horizontal="left" indent="1"/>
    </xf>
    <xf numFmtId="164" fontId="18" fillId="0" borderId="3" xfId="3" applyNumberFormat="1" applyFont="1" applyFill="1" applyBorder="1"/>
    <xf numFmtId="164" fontId="18" fillId="0" borderId="23" xfId="3" applyNumberFormat="1" applyFont="1" applyFill="1" applyBorder="1"/>
    <xf numFmtId="164" fontId="19" fillId="0" borderId="17" xfId="3" applyNumberFormat="1" applyFont="1" applyFill="1" applyBorder="1"/>
    <xf numFmtId="164" fontId="19" fillId="0" borderId="20" xfId="3" applyNumberFormat="1" applyFont="1" applyFill="1" applyBorder="1"/>
    <xf numFmtId="164" fontId="19" fillId="0" borderId="7" xfId="3" applyNumberFormat="1" applyFont="1" applyFill="1" applyBorder="1"/>
    <xf numFmtId="164" fontId="19" fillId="0" borderId="0" xfId="3" applyNumberFormat="1" applyFont="1" applyFill="1" applyBorder="1"/>
    <xf numFmtId="164" fontId="19" fillId="0" borderId="21" xfId="3" applyNumberFormat="1" applyFont="1" applyFill="1" applyBorder="1"/>
    <xf numFmtId="164" fontId="23" fillId="0" borderId="0" xfId="234" applyNumberFormat="1" applyFont="1" applyFill="1" applyBorder="1"/>
    <xf numFmtId="164" fontId="23" fillId="0" borderId="2" xfId="234" applyNumberFormat="1" applyFont="1" applyFill="1" applyBorder="1"/>
    <xf numFmtId="164" fontId="23" fillId="0" borderId="21" xfId="234" applyNumberFormat="1" applyFont="1" applyFill="1" applyBorder="1"/>
    <xf numFmtId="164" fontId="19" fillId="0" borderId="1" xfId="3" applyNumberFormat="1" applyFont="1" applyFill="1" applyBorder="1"/>
    <xf numFmtId="164" fontId="19" fillId="0" borderId="25" xfId="3" applyNumberFormat="1" applyFont="1" applyFill="1" applyBorder="1"/>
    <xf numFmtId="164" fontId="19" fillId="0" borderId="24" xfId="3" applyNumberFormat="1" applyFont="1" applyFill="1" applyBorder="1"/>
    <xf numFmtId="164" fontId="28" fillId="0" borderId="0" xfId="3" applyNumberFormat="1" applyFont="1" applyFill="1" applyBorder="1"/>
    <xf numFmtId="164" fontId="28" fillId="0" borderId="21" xfId="3" applyNumberFormat="1" applyFont="1" applyFill="1" applyBorder="1"/>
    <xf numFmtId="164" fontId="28" fillId="0" borderId="2" xfId="3" applyNumberFormat="1" applyFont="1" applyFill="1" applyBorder="1"/>
    <xf numFmtId="164" fontId="19" fillId="0" borderId="2" xfId="3" applyNumberFormat="1" applyFont="1" applyFill="1" applyBorder="1"/>
    <xf numFmtId="37" fontId="19" fillId="0" borderId="24" xfId="547" applyNumberFormat="1" applyFont="1" applyFill="1" applyBorder="1"/>
    <xf numFmtId="37" fontId="19" fillId="0" borderId="25" xfId="547" applyNumberFormat="1" applyFont="1" applyFill="1" applyBorder="1"/>
    <xf numFmtId="0" fontId="18" fillId="0" borderId="1" xfId="3" applyFont="1" applyFill="1" applyBorder="1"/>
    <xf numFmtId="37" fontId="23" fillId="0" borderId="1" xfId="3" applyNumberFormat="1" applyFont="1" applyFill="1" applyBorder="1"/>
    <xf numFmtId="0" fontId="32" fillId="0" borderId="24" xfId="3" applyFont="1" applyFill="1" applyBorder="1"/>
    <xf numFmtId="0" fontId="32" fillId="0" borderId="25" xfId="3" applyFont="1" applyFill="1" applyBorder="1"/>
    <xf numFmtId="179" fontId="32" fillId="0" borderId="1" xfId="234" applyNumberFormat="1" applyFont="1" applyFill="1" applyBorder="1"/>
    <xf numFmtId="179" fontId="32" fillId="0" borderId="25" xfId="234" applyNumberFormat="1" applyFont="1" applyFill="1" applyBorder="1"/>
    <xf numFmtId="179" fontId="32" fillId="0" borderId="24" xfId="234" applyNumberFormat="1" applyFont="1" applyFill="1" applyBorder="1"/>
    <xf numFmtId="180" fontId="23" fillId="0" borderId="0" xfId="3" applyNumberFormat="1" applyFont="1" applyFill="1" applyBorder="1"/>
    <xf numFmtId="180" fontId="23" fillId="0" borderId="17" xfId="3" applyNumberFormat="1" applyFont="1" applyFill="1" applyBorder="1"/>
    <xf numFmtId="43" fontId="23" fillId="0" borderId="17" xfId="3" applyNumberFormat="1" applyFont="1" applyFill="1" applyBorder="1"/>
    <xf numFmtId="37" fontId="23" fillId="0" borderId="3" xfId="3" applyNumberFormat="1" applyFont="1" applyFill="1" applyBorder="1"/>
    <xf numFmtId="0" fontId="23" fillId="0" borderId="3" xfId="3" applyFont="1" applyFill="1" applyBorder="1"/>
    <xf numFmtId="0" fontId="19" fillId="18" borderId="24" xfId="3" applyFont="1" applyFill="1" applyBorder="1" applyAlignment="1">
      <alignment horizontal="left"/>
    </xf>
    <xf numFmtId="0" fontId="19" fillId="18" borderId="25" xfId="3" applyFont="1" applyFill="1" applyBorder="1" applyAlignment="1">
      <alignment horizontal="left"/>
    </xf>
    <xf numFmtId="164" fontId="18" fillId="0" borderId="17" xfId="3" applyNumberFormat="1" applyFont="1" applyFill="1" applyBorder="1"/>
    <xf numFmtId="168" fontId="20" fillId="0" borderId="2" xfId="568" applyNumberFormat="1" applyFont="1" applyFill="1" applyBorder="1"/>
    <xf numFmtId="168" fontId="24" fillId="18" borderId="2" xfId="568" applyNumberFormat="1" applyFont="1" applyFill="1" applyBorder="1"/>
    <xf numFmtId="168" fontId="20" fillId="0" borderId="26" xfId="568" applyNumberFormat="1" applyFont="1" applyBorder="1"/>
    <xf numFmtId="181" fontId="18" fillId="0" borderId="0" xfId="3" applyNumberFormat="1" applyFont="1" applyFill="1" applyBorder="1"/>
    <xf numFmtId="181" fontId="18" fillId="0" borderId="2" xfId="3" applyNumberFormat="1" applyFont="1" applyFill="1" applyBorder="1"/>
    <xf numFmtId="181" fontId="18" fillId="0" borderId="3" xfId="3" applyNumberFormat="1" applyFont="1" applyFill="1" applyBorder="1"/>
    <xf numFmtId="181" fontId="18" fillId="0" borderId="22" xfId="3" applyNumberFormat="1" applyFont="1" applyFill="1" applyBorder="1"/>
    <xf numFmtId="0" fontId="18" fillId="0" borderId="7" xfId="3" applyFont="1" applyFill="1" applyBorder="1" applyAlignment="1">
      <alignment horizontal="left"/>
    </xf>
    <xf numFmtId="0" fontId="18" fillId="0" borderId="20" xfId="3" applyFont="1" applyFill="1" applyBorder="1" applyAlignment="1">
      <alignment horizontal="left"/>
    </xf>
    <xf numFmtId="164" fontId="18" fillId="0" borderId="20" xfId="3" applyNumberFormat="1" applyFont="1" applyFill="1" applyBorder="1"/>
    <xf numFmtId="164" fontId="18" fillId="0" borderId="7" xfId="3" applyNumberFormat="1" applyFont="1" applyFill="1" applyBorder="1"/>
    <xf numFmtId="0" fontId="19" fillId="0" borderId="24" xfId="3" applyFont="1" applyFill="1" applyBorder="1" applyAlignment="1">
      <alignment horizontal="left" indent="1"/>
    </xf>
    <xf numFmtId="0" fontId="19" fillId="0" borderId="25" xfId="3" applyFont="1" applyFill="1" applyBorder="1" applyAlignment="1">
      <alignment horizontal="left" indent="1"/>
    </xf>
    <xf numFmtId="182" fontId="19" fillId="0" borderId="1" xfId="3" applyNumberFormat="1" applyFont="1" applyFill="1" applyBorder="1"/>
    <xf numFmtId="182" fontId="19" fillId="0" borderId="25" xfId="3" applyNumberFormat="1" applyFont="1" applyFill="1" applyBorder="1"/>
    <xf numFmtId="182" fontId="19" fillId="0" borderId="24" xfId="3" applyNumberFormat="1" applyFont="1" applyFill="1" applyBorder="1"/>
    <xf numFmtId="164" fontId="23" fillId="0" borderId="23" xfId="3" applyNumberFormat="1" applyFont="1" applyFill="1" applyBorder="1"/>
    <xf numFmtId="37" fontId="19" fillId="0" borderId="0" xfId="547" applyNumberFormat="1" applyFont="1" applyFill="1" applyBorder="1"/>
    <xf numFmtId="164" fontId="18" fillId="0" borderId="1" xfId="3" applyNumberFormat="1" applyFont="1" applyFill="1" applyBorder="1"/>
    <xf numFmtId="179" fontId="18" fillId="0" borderId="17" xfId="234" applyNumberFormat="1" applyFont="1" applyFill="1" applyBorder="1"/>
    <xf numFmtId="179" fontId="18" fillId="0" borderId="25" xfId="234" applyNumberFormat="1" applyFont="1" applyFill="1" applyBorder="1"/>
    <xf numFmtId="179" fontId="18" fillId="0" borderId="7" xfId="234" applyNumberFormat="1" applyFont="1" applyFill="1" applyBorder="1"/>
    <xf numFmtId="179" fontId="18" fillId="0" borderId="20" xfId="234" applyNumberFormat="1" applyFont="1" applyFill="1" applyBorder="1"/>
    <xf numFmtId="0" fontId="18" fillId="0" borderId="26" xfId="3" applyFont="1" applyFill="1" applyBorder="1"/>
    <xf numFmtId="179" fontId="32" fillId="0" borderId="1" xfId="234" applyNumberFormat="1" applyFont="1" applyFill="1" applyBorder="1" applyAlignment="1"/>
    <xf numFmtId="183" fontId="18" fillId="0" borderId="0" xfId="3" applyNumberFormat="1" applyFont="1" applyFill="1" applyBorder="1"/>
    <xf numFmtId="164" fontId="18" fillId="24" borderId="0" xfId="546" applyNumberFormat="1" applyFont="1" applyFill="1" applyBorder="1"/>
    <xf numFmtId="167" fontId="18" fillId="24" borderId="0" xfId="546" applyNumberFormat="1" applyFont="1" applyFill="1" applyBorder="1"/>
    <xf numFmtId="167" fontId="18" fillId="24" borderId="21" xfId="546" applyNumberFormat="1" applyFont="1" applyFill="1" applyBorder="1"/>
    <xf numFmtId="167" fontId="33" fillId="24" borderId="0" xfId="546" applyNumberFormat="1" applyFont="1" applyFill="1" applyBorder="1"/>
    <xf numFmtId="167" fontId="33" fillId="24" borderId="2" xfId="546" applyNumberFormat="1" applyFont="1" applyFill="1" applyBorder="1"/>
    <xf numFmtId="167" fontId="33" fillId="24" borderId="21" xfId="546" applyNumberFormat="1" applyFont="1" applyFill="1" applyBorder="1"/>
    <xf numFmtId="164" fontId="18" fillId="24" borderId="21" xfId="546" applyNumberFormat="1" applyFont="1" applyFill="1" applyBorder="1"/>
    <xf numFmtId="164" fontId="33" fillId="24" borderId="0" xfId="546" applyNumberFormat="1" applyFont="1" applyFill="1" applyBorder="1"/>
    <xf numFmtId="164" fontId="33" fillId="24" borderId="2" xfId="546" applyNumberFormat="1" applyFont="1" applyFill="1" applyBorder="1"/>
    <xf numFmtId="164" fontId="33" fillId="24" borderId="21" xfId="546" applyNumberFormat="1" applyFont="1" applyFill="1" applyBorder="1"/>
    <xf numFmtId="164" fontId="18" fillId="24" borderId="3" xfId="546" applyNumberFormat="1" applyFont="1" applyFill="1" applyBorder="1"/>
    <xf numFmtId="164" fontId="18" fillId="24" borderId="23" xfId="546" applyNumberFormat="1" applyFont="1" applyFill="1" applyBorder="1"/>
    <xf numFmtId="164" fontId="33" fillId="24" borderId="3" xfId="546" applyNumberFormat="1" applyFont="1" applyFill="1" applyBorder="1"/>
    <xf numFmtId="164" fontId="33" fillId="24" borderId="22" xfId="546" applyNumberFormat="1" applyFont="1" applyFill="1" applyBorder="1"/>
    <xf numFmtId="164" fontId="33" fillId="24" borderId="23" xfId="546" applyNumberFormat="1" applyFont="1" applyFill="1" applyBorder="1"/>
    <xf numFmtId="0" fontId="23" fillId="0" borderId="0" xfId="3" applyFont="1" applyAlignment="1">
      <alignment horizontal="center"/>
    </xf>
    <xf numFmtId="164" fontId="18" fillId="0" borderId="0" xfId="3" applyNumberFormat="1" applyFont="1" applyAlignment="1">
      <alignment horizontal="center"/>
    </xf>
    <xf numFmtId="0" fontId="13" fillId="0" borderId="0" xfId="3" applyFont="1" applyFill="1" applyBorder="1" applyAlignment="1">
      <alignment horizontal="left" wrapText="1" indent="2"/>
    </xf>
    <xf numFmtId="0" fontId="13" fillId="0" borderId="0" xfId="3" applyFont="1" applyBorder="1"/>
    <xf numFmtId="2" fontId="13" fillId="0" borderId="0" xfId="3" applyNumberFormat="1" applyFont="1"/>
    <xf numFmtId="0" fontId="20" fillId="0" borderId="23" xfId="3" applyFont="1" applyBorder="1"/>
    <xf numFmtId="0" fontId="19" fillId="0" borderId="7" xfId="3" applyFont="1" applyFill="1" applyBorder="1"/>
    <xf numFmtId="37" fontId="18" fillId="0" borderId="0" xfId="3" applyNumberFormat="1" applyFont="1" applyFill="1" applyBorder="1"/>
    <xf numFmtId="37" fontId="18" fillId="0" borderId="21" xfId="3" applyNumberFormat="1" applyFont="1" applyFill="1" applyBorder="1"/>
    <xf numFmtId="37" fontId="18" fillId="0" borderId="2" xfId="3" applyNumberFormat="1" applyFont="1" applyFill="1" applyBorder="1"/>
    <xf numFmtId="37" fontId="18" fillId="0" borderId="17" xfId="3" applyNumberFormat="1" applyFont="1" applyFill="1" applyBorder="1"/>
    <xf numFmtId="37" fontId="18" fillId="0" borderId="20" xfId="3" applyNumberFormat="1" applyFont="1" applyFill="1" applyBorder="1"/>
    <xf numFmtId="0" fontId="18" fillId="0" borderId="2" xfId="3" applyFont="1" applyFill="1" applyBorder="1" applyAlignment="1">
      <alignment horizontal="left" wrapText="1" indent="1"/>
    </xf>
    <xf numFmtId="0" fontId="18" fillId="0" borderId="21" xfId="3" applyFont="1" applyFill="1" applyBorder="1" applyAlignment="1">
      <alignment horizontal="left" wrapText="1" indent="1"/>
    </xf>
    <xf numFmtId="41" fontId="23" fillId="0" borderId="0" xfId="3" applyNumberFormat="1" applyFont="1" applyFill="1" applyBorder="1"/>
    <xf numFmtId="41" fontId="23" fillId="0" borderId="21" xfId="3" applyNumberFormat="1" applyFont="1" applyFill="1" applyBorder="1"/>
    <xf numFmtId="41" fontId="23" fillId="0" borderId="2" xfId="3" applyNumberFormat="1" applyFont="1" applyFill="1" applyBorder="1"/>
    <xf numFmtId="182" fontId="18" fillId="0" borderId="0" xfId="3" applyNumberFormat="1" applyFont="1" applyFill="1" applyBorder="1"/>
    <xf numFmtId="182" fontId="18" fillId="0" borderId="21" xfId="3" applyNumberFormat="1" applyFont="1" applyFill="1" applyBorder="1"/>
    <xf numFmtId="182" fontId="18" fillId="0" borderId="2" xfId="3" applyNumberFormat="1" applyFont="1" applyFill="1" applyBorder="1"/>
    <xf numFmtId="182" fontId="23" fillId="0" borderId="0" xfId="3" applyNumberFormat="1" applyFont="1" applyFill="1" applyBorder="1"/>
    <xf numFmtId="182" fontId="23" fillId="0" borderId="21" xfId="3" applyNumberFormat="1" applyFont="1" applyFill="1" applyBorder="1"/>
    <xf numFmtId="182" fontId="23" fillId="0" borderId="2" xfId="3" applyNumberFormat="1" applyFont="1" applyFill="1" applyBorder="1"/>
    <xf numFmtId="0" fontId="19" fillId="0" borderId="27" xfId="3" applyFont="1" applyFill="1" applyBorder="1" applyAlignment="1">
      <alignment horizontal="left"/>
    </xf>
    <xf numFmtId="0" fontId="19" fillId="0" borderId="28" xfId="3" applyFont="1" applyFill="1" applyBorder="1" applyAlignment="1">
      <alignment horizontal="left"/>
    </xf>
    <xf numFmtId="182" fontId="19" fillId="0" borderId="29" xfId="3" applyNumberFormat="1" applyFont="1" applyFill="1" applyBorder="1"/>
    <xf numFmtId="182" fontId="19" fillId="0" borderId="27" xfId="3" applyNumberFormat="1" applyFont="1" applyFill="1" applyBorder="1"/>
    <xf numFmtId="182" fontId="19" fillId="0" borderId="28" xfId="3" applyNumberFormat="1" applyFont="1" applyFill="1" applyBorder="1"/>
    <xf numFmtId="0" fontId="19" fillId="0" borderId="2" xfId="3" applyFont="1" applyFill="1" applyBorder="1" applyAlignment="1">
      <alignment horizontal="left"/>
    </xf>
    <xf numFmtId="0" fontId="19" fillId="0" borderId="21" xfId="3" applyFont="1" applyFill="1" applyBorder="1" applyAlignment="1">
      <alignment horizontal="left"/>
    </xf>
    <xf numFmtId="182" fontId="25" fillId="0" borderId="0" xfId="3" applyNumberFormat="1" applyFont="1" applyFill="1" applyBorder="1"/>
    <xf numFmtId="182" fontId="19" fillId="0" borderId="0" xfId="3" applyNumberFormat="1" applyFont="1" applyFill="1" applyBorder="1"/>
    <xf numFmtId="182" fontId="19" fillId="0" borderId="2" xfId="3" applyNumberFormat="1" applyFont="1" applyFill="1" applyBorder="1"/>
    <xf numFmtId="182" fontId="19" fillId="0" borderId="21" xfId="3" applyNumberFormat="1" applyFont="1" applyFill="1" applyBorder="1"/>
    <xf numFmtId="182" fontId="28" fillId="0" borderId="0" xfId="3" applyNumberFormat="1" applyFont="1" applyFill="1" applyBorder="1"/>
    <xf numFmtId="182" fontId="28" fillId="0" borderId="21" xfId="3" applyNumberFormat="1" applyFont="1" applyFill="1" applyBorder="1"/>
    <xf numFmtId="182" fontId="28" fillId="0" borderId="2" xfId="3" applyNumberFormat="1" applyFont="1" applyFill="1" applyBorder="1"/>
    <xf numFmtId="0" fontId="19" fillId="0" borderId="23" xfId="3" applyFont="1" applyFill="1" applyBorder="1" applyAlignment="1">
      <alignment horizontal="left"/>
    </xf>
    <xf numFmtId="182" fontId="19" fillId="0" borderId="3" xfId="3" applyNumberFormat="1" applyFont="1" applyFill="1" applyBorder="1"/>
    <xf numFmtId="182" fontId="19" fillId="0" borderId="22" xfId="3" applyNumberFormat="1" applyFont="1" applyFill="1" applyBorder="1"/>
    <xf numFmtId="182" fontId="19" fillId="0" borderId="23" xfId="3" applyNumberFormat="1" applyFont="1" applyFill="1" applyBorder="1"/>
    <xf numFmtId="0" fontId="19" fillId="0" borderId="0" xfId="3" applyFont="1" applyFill="1" applyBorder="1" applyAlignment="1">
      <alignment horizontal="left"/>
    </xf>
    <xf numFmtId="182" fontId="19" fillId="0" borderId="17" xfId="3" applyNumberFormat="1" applyFont="1" applyFill="1" applyBorder="1"/>
    <xf numFmtId="0" fontId="18" fillId="0" borderId="25" xfId="3" applyFont="1" applyFill="1" applyBorder="1"/>
    <xf numFmtId="179" fontId="18" fillId="0" borderId="1" xfId="234" applyNumberFormat="1" applyFont="1" applyFill="1" applyBorder="1"/>
    <xf numFmtId="179" fontId="32" fillId="0" borderId="3" xfId="234" applyNumberFormat="1" applyFont="1" applyFill="1" applyBorder="1"/>
    <xf numFmtId="179" fontId="32" fillId="0" borderId="23" xfId="234" applyNumberFormat="1" applyFont="1" applyFill="1" applyBorder="1"/>
    <xf numFmtId="0" fontId="20" fillId="0" borderId="0" xfId="3" applyFont="1" applyFill="1" applyBorder="1"/>
    <xf numFmtId="37" fontId="28" fillId="0" borderId="0" xfId="3" applyNumberFormat="1" applyFont="1" applyFill="1" applyBorder="1"/>
    <xf numFmtId="0" fontId="23" fillId="0" borderId="0" xfId="3" applyFont="1"/>
    <xf numFmtId="0" fontId="18" fillId="0" borderId="3" xfId="3" applyFont="1" applyBorder="1"/>
    <xf numFmtId="1" fontId="19" fillId="18" borderId="1" xfId="547" applyNumberFormat="1" applyFont="1" applyFill="1" applyBorder="1" applyAlignment="1">
      <alignment horizontal="right"/>
    </xf>
    <xf numFmtId="1" fontId="19" fillId="18" borderId="25" xfId="547" applyNumberFormat="1" applyFont="1" applyFill="1" applyBorder="1" applyAlignment="1">
      <alignment horizontal="right"/>
    </xf>
    <xf numFmtId="0" fontId="18" fillId="0" borderId="20" xfId="3" applyFont="1" applyBorder="1"/>
    <xf numFmtId="179" fontId="18" fillId="0" borderId="0" xfId="234" applyNumberFormat="1" applyFont="1" applyFill="1"/>
    <xf numFmtId="179" fontId="18" fillId="0" borderId="21" xfId="234" applyNumberFormat="1" applyFont="1" applyFill="1" applyBorder="1"/>
    <xf numFmtId="179" fontId="18" fillId="0" borderId="0" xfId="234" applyNumberFormat="1" applyFont="1" applyBorder="1"/>
    <xf numFmtId="179" fontId="18" fillId="0" borderId="21" xfId="234" applyNumberFormat="1" applyFont="1" applyBorder="1"/>
    <xf numFmtId="179" fontId="33" fillId="0" borderId="17" xfId="234" applyNumberFormat="1" applyFont="1" applyFill="1" applyBorder="1"/>
    <xf numFmtId="0" fontId="18" fillId="0" borderId="21" xfId="3" applyFont="1" applyBorder="1"/>
    <xf numFmtId="179" fontId="23" fillId="0" borderId="0" xfId="234" applyNumberFormat="1" applyFont="1" applyFill="1"/>
    <xf numFmtId="179" fontId="23" fillId="0" borderId="21" xfId="234" applyNumberFormat="1" applyFont="1" applyFill="1" applyBorder="1"/>
    <xf numFmtId="179" fontId="23" fillId="0" borderId="0" xfId="234" applyNumberFormat="1" applyFont="1" applyBorder="1"/>
    <xf numFmtId="179" fontId="23" fillId="0" borderId="21" xfId="234" applyNumberFormat="1" applyFont="1" applyBorder="1"/>
    <xf numFmtId="179" fontId="23" fillId="0" borderId="2" xfId="234" applyNumberFormat="1" applyFont="1" applyFill="1" applyBorder="1"/>
    <xf numFmtId="179" fontId="23" fillId="0" borderId="0" xfId="234" applyNumberFormat="1" applyFont="1" applyFill="1" applyBorder="1"/>
    <xf numFmtId="0" fontId="20" fillId="0" borderId="2" xfId="3" applyFont="1" applyBorder="1" applyAlignment="1">
      <alignment horizontal="left" indent="1"/>
    </xf>
    <xf numFmtId="0" fontId="20" fillId="0" borderId="21" xfId="3" applyFont="1" applyBorder="1" applyAlignment="1">
      <alignment horizontal="left" indent="1"/>
    </xf>
    <xf numFmtId="168" fontId="20" fillId="0" borderId="2" xfId="568" applyNumberFormat="1" applyFont="1" applyBorder="1"/>
    <xf numFmtId="168" fontId="20" fillId="0" borderId="0" xfId="568" applyNumberFormat="1" applyFont="1" applyBorder="1"/>
    <xf numFmtId="168" fontId="20" fillId="0" borderId="3" xfId="568" applyNumberFormat="1" applyFont="1" applyFill="1" applyBorder="1"/>
    <xf numFmtId="168" fontId="20" fillId="0" borderId="23" xfId="568" applyNumberFormat="1" applyFont="1" applyFill="1" applyBorder="1"/>
    <xf numFmtId="179" fontId="33" fillId="0" borderId="3" xfId="234" applyNumberFormat="1" applyFont="1" applyFill="1" applyBorder="1"/>
    <xf numFmtId="179" fontId="18" fillId="0" borderId="23" xfId="234" applyNumberFormat="1" applyFont="1" applyFill="1" applyBorder="1"/>
    <xf numFmtId="179" fontId="18" fillId="0" borderId="3" xfId="234" applyNumberFormat="1" applyFont="1" applyFill="1" applyBorder="1"/>
    <xf numFmtId="179" fontId="18" fillId="0" borderId="22" xfId="234" applyNumberFormat="1" applyFont="1" applyFill="1" applyBorder="1"/>
    <xf numFmtId="179" fontId="18" fillId="0" borderId="0" xfId="234" applyNumberFormat="1" applyFont="1" applyFill="1" applyBorder="1"/>
    <xf numFmtId="179" fontId="18" fillId="0" borderId="2" xfId="234" applyNumberFormat="1" applyFont="1" applyFill="1" applyBorder="1"/>
    <xf numFmtId="0" fontId="19" fillId="0" borderId="22" xfId="3" applyFont="1" applyBorder="1"/>
    <xf numFmtId="0" fontId="19" fillId="0" borderId="23" xfId="3" applyFont="1" applyBorder="1"/>
    <xf numFmtId="179" fontId="19" fillId="0" borderId="1" xfId="234" applyNumberFormat="1" applyFont="1" applyBorder="1"/>
    <xf numFmtId="179" fontId="19" fillId="0" borderId="25" xfId="234" applyNumberFormat="1" applyFont="1" applyBorder="1"/>
    <xf numFmtId="179" fontId="19" fillId="0" borderId="24" xfId="234" applyNumberFormat="1" applyFont="1" applyBorder="1"/>
    <xf numFmtId="179" fontId="18" fillId="0" borderId="1" xfId="234" applyNumberFormat="1" applyFont="1" applyBorder="1"/>
    <xf numFmtId="168" fontId="20" fillId="0" borderId="0" xfId="568" applyNumberFormat="1" applyFont="1" applyFill="1"/>
    <xf numFmtId="179" fontId="23" fillId="0" borderId="0" xfId="3" applyNumberFormat="1" applyFont="1"/>
    <xf numFmtId="0" fontId="25" fillId="0" borderId="0" xfId="3" applyFont="1"/>
    <xf numFmtId="1" fontId="19" fillId="18" borderId="24" xfId="547" applyNumberFormat="1" applyFont="1" applyFill="1" applyBorder="1" applyAlignment="1">
      <alignment horizontal="right"/>
    </xf>
    <xf numFmtId="0" fontId="19" fillId="0" borderId="2" xfId="3" applyFont="1" applyBorder="1"/>
    <xf numFmtId="0" fontId="20" fillId="0" borderId="22" xfId="3" applyFont="1" applyBorder="1" applyAlignment="1">
      <alignment horizontal="left" indent="1"/>
    </xf>
    <xf numFmtId="0" fontId="20" fillId="0" borderId="23" xfId="3" applyFont="1" applyBorder="1" applyAlignment="1">
      <alignment horizontal="left" indent="1"/>
    </xf>
    <xf numFmtId="182" fontId="18" fillId="0" borderId="0" xfId="3" applyNumberFormat="1" applyFont="1"/>
    <xf numFmtId="182" fontId="18" fillId="0" borderId="20" xfId="3" applyNumberFormat="1" applyFont="1" applyBorder="1"/>
    <xf numFmtId="182" fontId="18" fillId="0" borderId="7" xfId="3" applyNumberFormat="1" applyFont="1" applyBorder="1"/>
    <xf numFmtId="182" fontId="18" fillId="0" borderId="17" xfId="3" applyNumberFormat="1" applyFont="1" applyBorder="1"/>
    <xf numFmtId="182" fontId="18" fillId="0" borderId="3" xfId="3" applyNumberFormat="1" applyFont="1" applyBorder="1"/>
    <xf numFmtId="182" fontId="18" fillId="0" borderId="23" xfId="3" applyNumberFormat="1" applyFont="1" applyBorder="1"/>
    <xf numFmtId="182" fontId="18" fillId="0" borderId="22" xfId="3" applyNumberFormat="1" applyFont="1" applyBorder="1"/>
    <xf numFmtId="186" fontId="18" fillId="0" borderId="3" xfId="3" applyNumberFormat="1" applyFont="1" applyBorder="1"/>
    <xf numFmtId="0" fontId="34" fillId="0" borderId="0" xfId="3" applyFont="1"/>
    <xf numFmtId="0" fontId="34" fillId="0" borderId="0" xfId="3" applyFont="1" applyBorder="1"/>
    <xf numFmtId="0" fontId="19" fillId="0" borderId="3" xfId="3" applyFont="1" applyFill="1" applyBorder="1" applyAlignment="1">
      <alignment horizontal="left"/>
    </xf>
    <xf numFmtId="0" fontId="19" fillId="0" borderId="25" xfId="3" applyFont="1" applyFill="1" applyBorder="1" applyAlignment="1">
      <alignment horizontal="left"/>
    </xf>
    <xf numFmtId="0" fontId="13" fillId="18" borderId="0" xfId="3" applyFont="1" applyFill="1" applyBorder="1"/>
    <xf numFmtId="37" fontId="13" fillId="0" borderId="0" xfId="3" applyNumberFormat="1" applyFont="1" applyFill="1" applyAlignment="1">
      <alignment horizontal="center"/>
    </xf>
    <xf numFmtId="0" fontId="36" fillId="0" borderId="0" xfId="3" applyFont="1"/>
    <xf numFmtId="49" fontId="0" fillId="0" borderId="0" xfId="3" applyNumberFormat="1" applyFont="1"/>
    <xf numFmtId="0" fontId="19" fillId="0" borderId="0" xfId="3" applyFont="1" applyBorder="1"/>
    <xf numFmtId="0" fontId="13" fillId="0" borderId="0" xfId="3" applyFont="1" applyFill="1" applyBorder="1"/>
    <xf numFmtId="0" fontId="20" fillId="0" borderId="0" xfId="3" applyFont="1" applyBorder="1"/>
    <xf numFmtId="0" fontId="19" fillId="0" borderId="3" xfId="3" applyFont="1" applyBorder="1"/>
    <xf numFmtId="1" fontId="21" fillId="0" borderId="24" xfId="548" applyNumberFormat="1" applyFont="1" applyFill="1" applyBorder="1" applyAlignment="1">
      <alignment horizontal="right"/>
    </xf>
    <xf numFmtId="1" fontId="21" fillId="0" borderId="1" xfId="548" applyNumberFormat="1" applyFont="1" applyFill="1" applyBorder="1" applyAlignment="1">
      <alignment horizontal="right"/>
    </xf>
    <xf numFmtId="168" fontId="20" fillId="0" borderId="21" xfId="568" applyNumberFormat="1" applyFont="1" applyBorder="1"/>
    <xf numFmtId="164" fontId="19" fillId="0" borderId="2" xfId="3" applyNumberFormat="1" applyFont="1" applyBorder="1"/>
    <xf numFmtId="164" fontId="19" fillId="0" borderId="0" xfId="3" applyNumberFormat="1" applyFont="1" applyBorder="1"/>
    <xf numFmtId="164" fontId="19" fillId="0" borderId="21" xfId="3" applyNumberFormat="1" applyFont="1" applyBorder="1"/>
    <xf numFmtId="164" fontId="19" fillId="0" borderId="3" xfId="3" applyNumberFormat="1" applyFont="1" applyBorder="1"/>
    <xf numFmtId="164" fontId="19" fillId="0" borderId="23" xfId="3" applyNumberFormat="1" applyFont="1" applyBorder="1"/>
    <xf numFmtId="0" fontId="19" fillId="0" borderId="24" xfId="3" applyFont="1" applyBorder="1"/>
    <xf numFmtId="0" fontId="19" fillId="0" borderId="1" xfId="3" applyFont="1" applyBorder="1"/>
    <xf numFmtId="176" fontId="19" fillId="0" borderId="24" xfId="3" applyNumberFormat="1" applyFont="1" applyBorder="1" applyAlignment="1">
      <alignment horizontal="centerContinuous"/>
    </xf>
    <xf numFmtId="176" fontId="19" fillId="0" borderId="1" xfId="3" applyNumberFormat="1" applyFont="1" applyBorder="1" applyAlignment="1">
      <alignment horizontal="centerContinuous"/>
    </xf>
    <xf numFmtId="0" fontId="45" fillId="0" borderId="0" xfId="3" applyFont="1" applyBorder="1"/>
    <xf numFmtId="0" fontId="13" fillId="0" borderId="0" xfId="3" quotePrefix="1" applyFont="1" applyFill="1" applyBorder="1"/>
    <xf numFmtId="185" fontId="18" fillId="0" borderId="0" xfId="234" applyNumberFormat="1" applyFont="1" applyBorder="1"/>
    <xf numFmtId="165" fontId="13" fillId="0" borderId="0" xfId="3" applyNumberFormat="1" applyFont="1"/>
    <xf numFmtId="172" fontId="13" fillId="0" borderId="0" xfId="3" applyNumberFormat="1" applyFont="1"/>
    <xf numFmtId="0" fontId="59" fillId="0" borderId="0" xfId="3" applyFont="1" applyFill="1"/>
    <xf numFmtId="37" fontId="18" fillId="0" borderId="0" xfId="3" applyNumberFormat="1" applyFont="1"/>
    <xf numFmtId="176" fontId="18" fillId="0" borderId="2" xfId="3" applyNumberFormat="1" applyFont="1" applyFill="1" applyBorder="1"/>
    <xf numFmtId="167" fontId="18" fillId="0" borderId="21" xfId="3" applyNumberFormat="1" applyFont="1" applyFill="1" applyBorder="1" applyAlignment="1"/>
    <xf numFmtId="164" fontId="18" fillId="0" borderId="22" xfId="3" applyNumberFormat="1" applyFont="1" applyFill="1" applyBorder="1"/>
    <xf numFmtId="179" fontId="18" fillId="0" borderId="24" xfId="234" applyNumberFormat="1" applyFont="1" applyFill="1" applyBorder="1"/>
    <xf numFmtId="179" fontId="32" fillId="0" borderId="22" xfId="234" applyNumberFormat="1" applyFont="1" applyFill="1" applyBorder="1"/>
    <xf numFmtId="179" fontId="33" fillId="0" borderId="7" xfId="234" applyNumberFormat="1" applyFont="1" applyFill="1" applyBorder="1"/>
    <xf numFmtId="179" fontId="33" fillId="0" borderId="22" xfId="234" applyNumberFormat="1" applyFont="1" applyFill="1" applyBorder="1"/>
    <xf numFmtId="43" fontId="13" fillId="0" borderId="0" xfId="3" applyNumberFormat="1" applyFont="1"/>
    <xf numFmtId="44" fontId="13" fillId="0" borderId="0" xfId="3" applyNumberFormat="1" applyFont="1"/>
    <xf numFmtId="182" fontId="19" fillId="0" borderId="30" xfId="3" applyNumberFormat="1" applyFont="1" applyFill="1" applyBorder="1"/>
    <xf numFmtId="0" fontId="20" fillId="0" borderId="22" xfId="3" applyFont="1" applyBorder="1"/>
    <xf numFmtId="43" fontId="23" fillId="0" borderId="0" xfId="3" applyNumberFormat="1" applyFont="1"/>
    <xf numFmtId="202" fontId="24" fillId="0" borderId="2" xfId="568" applyNumberFormat="1" applyFont="1" applyFill="1" applyBorder="1" applyAlignment="1"/>
    <xf numFmtId="202" fontId="24" fillId="0" borderId="0" xfId="568" applyNumberFormat="1" applyFont="1" applyFill="1" applyBorder="1" applyAlignment="1"/>
    <xf numFmtId="202" fontId="24" fillId="0" borderId="21" xfId="568" applyNumberFormat="1" applyFont="1" applyFill="1" applyBorder="1" applyAlignment="1"/>
    <xf numFmtId="166" fontId="20" fillId="0" borderId="3" xfId="547" applyNumberFormat="1" applyFont="1" applyFill="1" applyBorder="1" applyAlignment="1"/>
    <xf numFmtId="164" fontId="18" fillId="0" borderId="0" xfId="3" applyNumberFormat="1" applyFont="1"/>
    <xf numFmtId="0" fontId="19" fillId="0" borderId="21" xfId="3" applyFont="1" applyBorder="1"/>
    <xf numFmtId="168" fontId="24" fillId="0" borderId="3" xfId="568" applyNumberFormat="1" applyFont="1" applyBorder="1"/>
    <xf numFmtId="0" fontId="31" fillId="0" borderId="26" xfId="3" applyFont="1" applyBorder="1"/>
    <xf numFmtId="0" fontId="31" fillId="0" borderId="2" xfId="3" applyFont="1" applyBorder="1"/>
    <xf numFmtId="0" fontId="31" fillId="0" borderId="21" xfId="3" applyFont="1" applyBorder="1"/>
    <xf numFmtId="0" fontId="36" fillId="0" borderId="2" xfId="3" applyFont="1" applyBorder="1"/>
    <xf numFmtId="168" fontId="26" fillId="0" borderId="0" xfId="3" applyNumberFormat="1" applyFont="1" applyBorder="1"/>
    <xf numFmtId="168" fontId="26" fillId="0" borderId="21" xfId="3" applyNumberFormat="1" applyFont="1" applyBorder="1"/>
    <xf numFmtId="168" fontId="18" fillId="0" borderId="0" xfId="3" applyNumberFormat="1" applyFont="1"/>
    <xf numFmtId="0" fontId="44" fillId="25" borderId="24" xfId="3" applyFont="1" applyFill="1" applyBorder="1"/>
    <xf numFmtId="0" fontId="61" fillId="25" borderId="1" xfId="3" applyFont="1" applyFill="1" applyBorder="1"/>
    <xf numFmtId="1" fontId="61" fillId="25" borderId="1" xfId="548" applyNumberFormat="1" applyFont="1" applyFill="1" applyBorder="1" applyAlignment="1">
      <alignment horizontal="right"/>
    </xf>
    <xf numFmtId="1" fontId="61" fillId="25" borderId="25" xfId="548" applyNumberFormat="1" applyFont="1" applyFill="1" applyBorder="1" applyAlignment="1">
      <alignment horizontal="right"/>
    </xf>
    <xf numFmtId="168" fontId="24" fillId="0" borderId="3" xfId="568" applyNumberFormat="1" applyFont="1" applyFill="1" applyBorder="1"/>
    <xf numFmtId="168" fontId="24" fillId="0" borderId="23" xfId="568" applyNumberFormat="1" applyFont="1" applyFill="1" applyBorder="1"/>
    <xf numFmtId="169" fontId="13" fillId="0" borderId="0" xfId="3" applyNumberFormat="1" applyFont="1"/>
    <xf numFmtId="168" fontId="26" fillId="0" borderId="2" xfId="3" applyNumberFormat="1" applyFont="1" applyFill="1" applyBorder="1" applyAlignment="1"/>
    <xf numFmtId="168" fontId="26" fillId="0" borderId="0" xfId="3" applyNumberFormat="1" applyFont="1" applyFill="1" applyBorder="1" applyAlignment="1"/>
    <xf numFmtId="168" fontId="26" fillId="0" borderId="21" xfId="3" applyNumberFormat="1" applyFont="1" applyFill="1" applyBorder="1" applyAlignment="1"/>
    <xf numFmtId="0" fontId="31" fillId="0" borderId="2" xfId="3" applyFont="1" applyFill="1" applyBorder="1"/>
    <xf numFmtId="0" fontId="20" fillId="0" borderId="22" xfId="3" applyFont="1" applyFill="1" applyBorder="1" applyAlignment="1">
      <alignment horizontal="left" indent="1"/>
    </xf>
    <xf numFmtId="164" fontId="29" fillId="0" borderId="0" xfId="3" applyNumberFormat="1" applyFont="1" applyFill="1" applyBorder="1" applyAlignment="1"/>
    <xf numFmtId="0" fontId="36" fillId="0" borderId="7" xfId="3" applyFont="1" applyFill="1" applyBorder="1"/>
    <xf numFmtId="0" fontId="36" fillId="0" borderId="2" xfId="3" applyFont="1" applyFill="1" applyBorder="1"/>
    <xf numFmtId="184" fontId="13" fillId="0" borderId="0" xfId="3" applyNumberFormat="1" applyFont="1"/>
    <xf numFmtId="0" fontId="0" fillId="0" borderId="0" xfId="3" applyFont="1" applyBorder="1"/>
    <xf numFmtId="0" fontId="0" fillId="0" borderId="21" xfId="3" applyFont="1" applyBorder="1"/>
    <xf numFmtId="0" fontId="0" fillId="0" borderId="23" xfId="3" applyFont="1" applyBorder="1"/>
    <xf numFmtId="164" fontId="36" fillId="0" borderId="0" xfId="3" applyNumberFormat="1" applyFont="1" applyFill="1" applyBorder="1" applyAlignment="1"/>
    <xf numFmtId="164" fontId="36" fillId="0" borderId="21" xfId="3" applyNumberFormat="1" applyFont="1" applyFill="1" applyBorder="1" applyAlignment="1"/>
    <xf numFmtId="164" fontId="36" fillId="0" borderId="2" xfId="3" applyNumberFormat="1" applyFont="1" applyFill="1" applyBorder="1" applyAlignment="1"/>
    <xf numFmtId="0" fontId="36" fillId="0" borderId="2" xfId="3" applyFont="1" applyFill="1" applyBorder="1" applyAlignment="1">
      <alignment horizontal="left" indent="1"/>
    </xf>
    <xf numFmtId="166" fontId="60" fillId="26" borderId="8" xfId="547" applyNumberFormat="1" applyFont="1" applyFill="1" applyBorder="1" applyAlignment="1"/>
    <xf numFmtId="44" fontId="13" fillId="0" borderId="3" xfId="3" applyNumberFormat="1" applyFont="1" applyBorder="1"/>
    <xf numFmtId="0" fontId="64" fillId="0" borderId="0" xfId="3" applyFont="1"/>
    <xf numFmtId="164" fontId="0" fillId="0" borderId="0" xfId="3" applyNumberFormat="1" applyFont="1"/>
    <xf numFmtId="164" fontId="69" fillId="0" borderId="2" xfId="3" applyNumberFormat="1" applyFont="1" applyFill="1" applyBorder="1"/>
    <xf numFmtId="41" fontId="69" fillId="0" borderId="2" xfId="3" applyNumberFormat="1" applyFont="1" applyFill="1" applyBorder="1"/>
    <xf numFmtId="182" fontId="69" fillId="0" borderId="2" xfId="3" applyNumberFormat="1" applyFont="1" applyFill="1" applyBorder="1"/>
    <xf numFmtId="182" fontId="69" fillId="0" borderId="0" xfId="3" applyNumberFormat="1" applyFont="1" applyFill="1" applyBorder="1"/>
    <xf numFmtId="164" fontId="18" fillId="0" borderId="0" xfId="568" applyNumberFormat="1" applyFont="1" applyFill="1" applyBorder="1"/>
    <xf numFmtId="2" fontId="23" fillId="0" borderId="0" xfId="3" applyNumberFormat="1" applyFont="1" applyFill="1" applyBorder="1"/>
    <xf numFmtId="175" fontId="23" fillId="0" borderId="0" xfId="3" applyNumberFormat="1" applyFont="1" applyFill="1" applyBorder="1"/>
    <xf numFmtId="2" fontId="18" fillId="0" borderId="0" xfId="3" applyNumberFormat="1" applyFont="1" applyBorder="1"/>
    <xf numFmtId="176" fontId="19" fillId="0" borderId="0" xfId="3" applyNumberFormat="1" applyFont="1" applyBorder="1" applyAlignment="1">
      <alignment horizontal="centerContinuous"/>
    </xf>
    <xf numFmtId="164" fontId="23" fillId="0" borderId="3" xfId="3" applyNumberFormat="1" applyFont="1" applyFill="1" applyBorder="1"/>
    <xf numFmtId="182" fontId="18" fillId="0" borderId="2" xfId="3" applyNumberFormat="1" applyFont="1" applyBorder="1"/>
    <xf numFmtId="182" fontId="18" fillId="0" borderId="0" xfId="3" applyNumberFormat="1" applyFont="1" applyBorder="1"/>
    <xf numFmtId="179" fontId="18" fillId="0" borderId="2" xfId="234" applyNumberFormat="1" applyFont="1" applyBorder="1"/>
    <xf numFmtId="168" fontId="20" fillId="0" borderId="22" xfId="568" applyNumberFormat="1" applyFont="1" applyFill="1" applyBorder="1"/>
    <xf numFmtId="179" fontId="18" fillId="0" borderId="7" xfId="234" applyNumberFormat="1" applyFont="1" applyBorder="1"/>
    <xf numFmtId="179" fontId="18" fillId="0" borderId="17" xfId="234" applyNumberFormat="1" applyFont="1" applyBorder="1"/>
    <xf numFmtId="179" fontId="23" fillId="0" borderId="2" xfId="234" applyNumberFormat="1" applyFont="1" applyBorder="1"/>
    <xf numFmtId="0" fontId="0" fillId="0" borderId="0" xfId="3" applyFont="1" applyFill="1"/>
    <xf numFmtId="168" fontId="26" fillId="0" borderId="2" xfId="3" applyNumberFormat="1" applyFont="1" applyBorder="1"/>
    <xf numFmtId="169" fontId="18" fillId="0" borderId="0" xfId="3" applyNumberFormat="1" applyFont="1" applyFill="1" applyBorder="1" applyAlignment="1"/>
    <xf numFmtId="169" fontId="18" fillId="0" borderId="2" xfId="3" applyNumberFormat="1" applyFont="1" applyFill="1" applyBorder="1" applyAlignment="1"/>
    <xf numFmtId="2" fontId="18" fillId="0" borderId="0" xfId="3" applyNumberFormat="1" applyFont="1" applyFill="1" applyBorder="1"/>
    <xf numFmtId="176" fontId="18" fillId="0" borderId="7" xfId="3" applyNumberFormat="1" applyFont="1" applyFill="1" applyBorder="1"/>
    <xf numFmtId="41" fontId="18" fillId="0" borderId="2" xfId="3" applyNumberFormat="1" applyFont="1" applyFill="1" applyBorder="1"/>
    <xf numFmtId="41" fontId="18" fillId="0" borderId="0" xfId="3" applyNumberFormat="1" applyFont="1" applyFill="1" applyBorder="1"/>
    <xf numFmtId="41" fontId="18" fillId="0" borderId="21" xfId="3" applyNumberFormat="1" applyFont="1" applyFill="1" applyBorder="1"/>
    <xf numFmtId="0" fontId="19" fillId="0" borderId="22" xfId="3" applyFont="1" applyFill="1" applyBorder="1" applyAlignment="1">
      <alignment horizontal="left"/>
    </xf>
    <xf numFmtId="181" fontId="31" fillId="0" borderId="0" xfId="3" applyNumberFormat="1" applyFont="1" applyBorder="1"/>
    <xf numFmtId="181" fontId="31" fillId="0" borderId="21" xfId="3" applyNumberFormat="1" applyFont="1" applyBorder="1"/>
    <xf numFmtId="181" fontId="18" fillId="0" borderId="0" xfId="3" applyNumberFormat="1" applyFont="1" applyBorder="1"/>
    <xf numFmtId="181" fontId="19" fillId="0" borderId="0" xfId="3" applyNumberFormat="1" applyFont="1" applyBorder="1"/>
    <xf numFmtId="181" fontId="19" fillId="0" borderId="21" xfId="3" applyNumberFormat="1" applyFont="1" applyBorder="1"/>
    <xf numFmtId="181" fontId="19" fillId="0" borderId="2" xfId="3" applyNumberFormat="1" applyFont="1" applyBorder="1"/>
    <xf numFmtId="181" fontId="31" fillId="0" borderId="2" xfId="3" applyNumberFormat="1" applyFont="1" applyBorder="1"/>
    <xf numFmtId="168" fontId="26" fillId="0" borderId="21" xfId="568" applyNumberFormat="1" applyFont="1" applyFill="1" applyBorder="1"/>
    <xf numFmtId="168" fontId="26" fillId="0" borderId="21" xfId="568" applyNumberFormat="1" applyFont="1" applyBorder="1"/>
    <xf numFmtId="168" fontId="26" fillId="0" borderId="0" xfId="568" applyNumberFormat="1" applyFont="1" applyBorder="1"/>
    <xf numFmtId="181" fontId="28" fillId="0" borderId="0" xfId="3" applyNumberFormat="1" applyFont="1" applyFill="1" applyBorder="1"/>
    <xf numFmtId="181" fontId="28" fillId="0" borderId="21" xfId="3" applyNumberFormat="1" applyFont="1" applyFill="1" applyBorder="1"/>
    <xf numFmtId="181" fontId="19" fillId="0" borderId="0" xfId="3" applyNumberFormat="1" applyFont="1" applyFill="1" applyBorder="1"/>
    <xf numFmtId="181" fontId="19" fillId="0" borderId="21" xfId="3" applyNumberFormat="1" applyFont="1" applyFill="1" applyBorder="1"/>
    <xf numFmtId="0" fontId="0" fillId="0" borderId="20" xfId="3" applyFont="1" applyBorder="1"/>
    <xf numFmtId="181" fontId="23" fillId="0" borderId="7" xfId="3" applyNumberFormat="1" applyFont="1" applyBorder="1" applyAlignment="1">
      <alignment horizontal="right"/>
    </xf>
    <xf numFmtId="181" fontId="23" fillId="0" borderId="17" xfId="3" applyNumberFormat="1" applyFont="1" applyBorder="1" applyAlignment="1">
      <alignment horizontal="right"/>
    </xf>
    <xf numFmtId="6" fontId="0" fillId="0" borderId="17" xfId="3" applyNumberFormat="1" applyFont="1" applyBorder="1" applyAlignment="1">
      <alignment horizontal="center"/>
    </xf>
    <xf numFmtId="6" fontId="0" fillId="0" borderId="20" xfId="3" applyNumberFormat="1" applyFont="1" applyBorder="1" applyAlignment="1">
      <alignment horizontal="center"/>
    </xf>
    <xf numFmtId="6" fontId="0" fillId="0" borderId="7" xfId="3" applyNumberFormat="1" applyFont="1" applyBorder="1" applyAlignment="1">
      <alignment horizontal="center"/>
    </xf>
    <xf numFmtId="0" fontId="0" fillId="0" borderId="26" xfId="3" applyFont="1" applyBorder="1"/>
    <xf numFmtId="181" fontId="18" fillId="0" borderId="17" xfId="3" applyNumberFormat="1" applyFont="1" applyBorder="1"/>
    <xf numFmtId="181" fontId="23" fillId="0" borderId="2" xfId="3" applyNumberFormat="1" applyFont="1" applyBorder="1" applyAlignment="1">
      <alignment horizontal="right"/>
    </xf>
    <xf numFmtId="181" fontId="23" fillId="0" borderId="0" xfId="3" applyNumberFormat="1" applyFont="1" applyBorder="1" applyAlignment="1">
      <alignment horizontal="right"/>
    </xf>
    <xf numFmtId="6" fontId="0" fillId="0" borderId="0" xfId="3" applyNumberFormat="1" applyFont="1" applyBorder="1" applyAlignment="1">
      <alignment horizontal="center"/>
    </xf>
    <xf numFmtId="6" fontId="0" fillId="0" borderId="21" xfId="3" applyNumberFormat="1" applyFont="1" applyBorder="1" applyAlignment="1">
      <alignment horizontal="center"/>
    </xf>
    <xf numFmtId="6" fontId="0" fillId="0" borderId="2" xfId="3" applyNumberFormat="1" applyFont="1" applyBorder="1" applyAlignment="1">
      <alignment horizontal="center"/>
    </xf>
    <xf numFmtId="181" fontId="18" fillId="0" borderId="3" xfId="3" applyNumberFormat="1" applyFont="1" applyBorder="1"/>
    <xf numFmtId="0" fontId="31" fillId="0" borderId="24" xfId="3" applyFont="1" applyFill="1" applyBorder="1" applyAlignment="1"/>
    <xf numFmtId="0" fontId="30" fillId="0" borderId="25" xfId="3" applyFont="1" applyBorder="1"/>
    <xf numFmtId="181" fontId="31" fillId="0" borderId="24" xfId="3" applyNumberFormat="1" applyFont="1" applyBorder="1" applyAlignment="1">
      <alignment horizontal="right"/>
    </xf>
    <xf numFmtId="181" fontId="31" fillId="0" borderId="1" xfId="3" applyNumberFormat="1" applyFont="1" applyBorder="1" applyAlignment="1">
      <alignment horizontal="right"/>
    </xf>
    <xf numFmtId="181" fontId="31" fillId="0" borderId="25" xfId="3" applyNumberFormat="1" applyFont="1" applyBorder="1" applyAlignment="1">
      <alignment horizontal="right"/>
    </xf>
    <xf numFmtId="6" fontId="30" fillId="0" borderId="1" xfId="3" applyNumberFormat="1" applyFont="1" applyBorder="1" applyAlignment="1">
      <alignment horizontal="center"/>
    </xf>
    <xf numFmtId="6" fontId="30" fillId="0" borderId="25" xfId="3" applyNumberFormat="1" applyFont="1" applyBorder="1" applyAlignment="1">
      <alignment horizontal="center"/>
    </xf>
    <xf numFmtId="6" fontId="30" fillId="0" borderId="24" xfId="3" applyNumberFormat="1" applyFont="1" applyBorder="1" applyAlignment="1">
      <alignment horizontal="center"/>
    </xf>
    <xf numFmtId="0" fontId="30" fillId="0" borderId="26" xfId="3" applyFont="1" applyBorder="1"/>
    <xf numFmtId="184" fontId="31" fillId="0" borderId="1" xfId="3" applyNumberFormat="1" applyFont="1" applyBorder="1"/>
    <xf numFmtId="164" fontId="31" fillId="0" borderId="1" xfId="3" applyNumberFormat="1" applyFont="1" applyBorder="1"/>
    <xf numFmtId="176" fontId="19" fillId="0" borderId="24" xfId="3" applyNumberFormat="1" applyFont="1" applyBorder="1" applyAlignment="1">
      <alignment horizontal="center"/>
    </xf>
    <xf numFmtId="176" fontId="19" fillId="0" borderId="1" xfId="3" applyNumberFormat="1" applyFont="1" applyBorder="1" applyAlignment="1">
      <alignment horizontal="center"/>
    </xf>
    <xf numFmtId="0" fontId="0" fillId="0" borderId="0" xfId="3" applyFont="1" applyFill="1" applyBorder="1"/>
    <xf numFmtId="0" fontId="20" fillId="0" borderId="7" xfId="3" applyFont="1" applyFill="1" applyBorder="1"/>
    <xf numFmtId="168" fontId="26" fillId="0" borderId="7" xfId="568" applyNumberFormat="1" applyFont="1" applyBorder="1" applyAlignment="1">
      <alignment horizontal="right"/>
    </xf>
    <xf numFmtId="168" fontId="26" fillId="0" borderId="17" xfId="568" applyNumberFormat="1" applyFont="1" applyBorder="1" applyAlignment="1">
      <alignment horizontal="right"/>
    </xf>
    <xf numFmtId="168" fontId="26" fillId="0" borderId="20" xfId="568" applyNumberFormat="1" applyFont="1" applyBorder="1" applyAlignment="1">
      <alignment horizontal="right"/>
    </xf>
    <xf numFmtId="9" fontId="0" fillId="0" borderId="17" xfId="3" applyNumberFormat="1" applyFont="1" applyBorder="1" applyAlignment="1">
      <alignment horizontal="center"/>
    </xf>
    <xf numFmtId="9" fontId="0" fillId="0" borderId="20" xfId="3" applyNumberFormat="1" applyFont="1" applyBorder="1" applyAlignment="1">
      <alignment horizontal="center"/>
    </xf>
    <xf numFmtId="9" fontId="0" fillId="0" borderId="7" xfId="3" applyNumberFormat="1" applyFont="1" applyBorder="1" applyAlignment="1">
      <alignment horizontal="center"/>
    </xf>
    <xf numFmtId="168" fontId="26" fillId="0" borderId="17" xfId="568" applyNumberFormat="1" applyFont="1" applyBorder="1"/>
    <xf numFmtId="168" fontId="20" fillId="0" borderId="17" xfId="568" applyNumberFormat="1" applyFont="1" applyBorder="1"/>
    <xf numFmtId="0" fontId="20" fillId="0" borderId="2" xfId="3" applyFont="1" applyFill="1" applyBorder="1"/>
    <xf numFmtId="168" fontId="26" fillId="0" borderId="2" xfId="568" applyNumberFormat="1" applyFont="1" applyBorder="1" applyAlignment="1">
      <alignment horizontal="right"/>
    </xf>
    <xf numFmtId="168" fontId="26" fillId="0" borderId="0" xfId="568" applyNumberFormat="1" applyFont="1" applyBorder="1" applyAlignment="1">
      <alignment horizontal="right"/>
    </xf>
    <xf numFmtId="168" fontId="26" fillId="0" borderId="21" xfId="568" applyNumberFormat="1" applyFont="1" applyBorder="1" applyAlignment="1">
      <alignment horizontal="right"/>
    </xf>
    <xf numFmtId="9" fontId="0" fillId="0" borderId="0" xfId="3" applyNumberFormat="1" applyFont="1" applyBorder="1" applyAlignment="1">
      <alignment horizontal="center"/>
    </xf>
    <xf numFmtId="9" fontId="0" fillId="0" borderId="21" xfId="3" applyNumberFormat="1" applyFont="1" applyBorder="1" applyAlignment="1">
      <alignment horizontal="center"/>
    </xf>
    <xf numFmtId="9" fontId="0" fillId="0" borderId="2" xfId="3" applyNumberFormat="1" applyFont="1" applyBorder="1" applyAlignment="1">
      <alignment horizontal="center"/>
    </xf>
    <xf numFmtId="168" fontId="26" fillId="0" borderId="2" xfId="568" applyNumberFormat="1" applyFont="1" applyBorder="1"/>
    <xf numFmtId="0" fontId="70" fillId="0" borderId="24" xfId="3" applyFont="1" applyBorder="1" applyAlignment="1"/>
    <xf numFmtId="168" fontId="70" fillId="0" borderId="24" xfId="568" applyNumberFormat="1" applyFont="1" applyBorder="1" applyAlignment="1">
      <alignment horizontal="right"/>
    </xf>
    <xf numFmtId="168" fontId="70" fillId="0" borderId="1" xfId="568" applyNumberFormat="1" applyFont="1" applyBorder="1" applyAlignment="1">
      <alignment horizontal="right"/>
    </xf>
    <xf numFmtId="168" fontId="70" fillId="0" borderId="25" xfId="568" applyNumberFormat="1" applyFont="1" applyBorder="1" applyAlignment="1">
      <alignment horizontal="right"/>
    </xf>
    <xf numFmtId="9" fontId="30" fillId="0" borderId="1" xfId="3" applyNumberFormat="1" applyFont="1" applyBorder="1" applyAlignment="1">
      <alignment horizontal="center"/>
    </xf>
    <xf numFmtId="9" fontId="30" fillId="0" borderId="25" xfId="3" applyNumberFormat="1" applyFont="1" applyBorder="1" applyAlignment="1">
      <alignment horizontal="center"/>
    </xf>
    <xf numFmtId="9" fontId="30" fillId="0" borderId="24" xfId="3" applyNumberFormat="1" applyFont="1" applyBorder="1" applyAlignment="1">
      <alignment horizontal="center"/>
    </xf>
    <xf numFmtId="168" fontId="70" fillId="0" borderId="1" xfId="568" applyNumberFormat="1" applyFont="1" applyBorder="1"/>
    <xf numFmtId="168" fontId="62" fillId="0" borderId="1" xfId="568" applyNumberFormat="1" applyFont="1" applyBorder="1"/>
    <xf numFmtId="0" fontId="19" fillId="0" borderId="0" xfId="3" applyFont="1" applyFill="1" applyBorder="1"/>
    <xf numFmtId="168" fontId="26" fillId="0" borderId="0" xfId="568" applyNumberFormat="1" applyFont="1" applyFill="1" applyBorder="1"/>
    <xf numFmtId="181" fontId="31" fillId="0" borderId="21" xfId="3" applyNumberFormat="1" applyFont="1" applyFill="1" applyBorder="1"/>
    <xf numFmtId="181" fontId="31" fillId="0" borderId="0" xfId="3" applyNumberFormat="1" applyFont="1" applyFill="1" applyBorder="1"/>
    <xf numFmtId="1" fontId="44" fillId="25" borderId="24" xfId="548" applyNumberFormat="1" applyFont="1" applyFill="1" applyBorder="1" applyAlignment="1">
      <alignment horizontal="right"/>
    </xf>
    <xf numFmtId="181" fontId="19" fillId="0" borderId="2" xfId="3" applyNumberFormat="1" applyFont="1" applyFill="1" applyBorder="1"/>
    <xf numFmtId="181" fontId="31" fillId="0" borderId="7" xfId="3" applyNumberFormat="1" applyFont="1" applyBorder="1"/>
    <xf numFmtId="181" fontId="31" fillId="0" borderId="17" xfId="3" applyNumberFormat="1" applyFont="1" applyBorder="1"/>
    <xf numFmtId="181" fontId="31" fillId="0" borderId="20" xfId="3" applyNumberFormat="1" applyFont="1" applyBorder="1"/>
    <xf numFmtId="164" fontId="19" fillId="0" borderId="22" xfId="3" applyNumberFormat="1" applyFont="1" applyBorder="1"/>
    <xf numFmtId="164" fontId="19" fillId="0" borderId="3" xfId="3" applyNumberFormat="1" applyFont="1" applyFill="1" applyBorder="1"/>
    <xf numFmtId="0" fontId="36" fillId="0" borderId="21" xfId="3" applyFont="1" applyFill="1" applyBorder="1"/>
    <xf numFmtId="182" fontId="37" fillId="0" borderId="2" xfId="3" applyNumberFormat="1" applyFont="1" applyFill="1" applyBorder="1"/>
    <xf numFmtId="182" fontId="37" fillId="0" borderId="0" xfId="3" applyNumberFormat="1" applyFont="1" applyFill="1" applyBorder="1"/>
    <xf numFmtId="182" fontId="37" fillId="0" borderId="21" xfId="3" applyNumberFormat="1" applyFont="1" applyFill="1" applyBorder="1"/>
    <xf numFmtId="0" fontId="36" fillId="0" borderId="26" xfId="3" applyFont="1" applyFill="1" applyBorder="1"/>
    <xf numFmtId="0" fontId="36" fillId="0" borderId="26" xfId="3" applyFont="1" applyBorder="1"/>
    <xf numFmtId="182" fontId="36" fillId="0" borderId="2" xfId="3" applyNumberFormat="1" applyFont="1" applyFill="1" applyBorder="1"/>
    <xf numFmtId="182" fontId="36" fillId="0" borderId="0" xfId="3" applyNumberFormat="1" applyFont="1" applyFill="1" applyBorder="1"/>
    <xf numFmtId="182" fontId="36" fillId="0" borderId="21" xfId="3" applyNumberFormat="1" applyFont="1" applyFill="1" applyBorder="1"/>
    <xf numFmtId="164" fontId="19" fillId="0" borderId="23" xfId="3" applyNumberFormat="1" applyFont="1" applyFill="1" applyBorder="1"/>
    <xf numFmtId="168" fontId="20" fillId="0" borderId="0" xfId="3" applyNumberFormat="1" applyFont="1" applyFill="1" applyBorder="1"/>
    <xf numFmtId="168" fontId="20" fillId="0" borderId="21" xfId="3" applyNumberFormat="1" applyFont="1" applyFill="1" applyBorder="1"/>
    <xf numFmtId="181" fontId="31" fillId="0" borderId="17" xfId="3" applyNumberFormat="1" applyFont="1" applyFill="1" applyBorder="1"/>
    <xf numFmtId="0" fontId="68" fillId="0" borderId="0" xfId="3" applyFont="1"/>
    <xf numFmtId="167" fontId="23" fillId="0" borderId="21" xfId="3" applyNumberFormat="1" applyFont="1" applyFill="1" applyBorder="1" applyAlignment="1"/>
    <xf numFmtId="164" fontId="23" fillId="0" borderId="22" xfId="3" applyNumberFormat="1" applyFont="1" applyFill="1" applyBorder="1"/>
    <xf numFmtId="179" fontId="23" fillId="0" borderId="23" xfId="234" applyNumberFormat="1" applyFont="1" applyBorder="1"/>
    <xf numFmtId="179" fontId="23" fillId="0" borderId="20" xfId="234" applyNumberFormat="1" applyFont="1" applyBorder="1"/>
    <xf numFmtId="179" fontId="23" fillId="0" borderId="20" xfId="234" applyNumberFormat="1" applyFont="1" applyFill="1" applyBorder="1"/>
    <xf numFmtId="179" fontId="23" fillId="0" borderId="23" xfId="234" applyNumberFormat="1" applyFont="1" applyFill="1" applyBorder="1"/>
    <xf numFmtId="0" fontId="36" fillId="0" borderId="7" xfId="3" applyFont="1" applyFill="1" applyBorder="1" applyAlignment="1">
      <alignment horizontal="left" indent="1"/>
    </xf>
    <xf numFmtId="1" fontId="18" fillId="0" borderId="26" xfId="3" applyNumberFormat="1" applyFont="1" applyBorder="1"/>
    <xf numFmtId="181" fontId="25" fillId="0" borderId="20" xfId="3" applyNumberFormat="1" applyFont="1" applyBorder="1" applyAlignment="1">
      <alignment horizontal="right"/>
    </xf>
    <xf numFmtId="181" fontId="25" fillId="0" borderId="21" xfId="3" applyNumberFormat="1" applyFont="1" applyBorder="1" applyAlignment="1">
      <alignment horizontal="right"/>
    </xf>
    <xf numFmtId="203" fontId="13" fillId="0" borderId="0" xfId="3" applyNumberFormat="1" applyFont="1"/>
    <xf numFmtId="175" fontId="36" fillId="0" borderId="0" xfId="3" applyNumberFormat="1" applyFont="1" applyFill="1" applyBorder="1"/>
    <xf numFmtId="175" fontId="36" fillId="0" borderId="21" xfId="3" applyNumberFormat="1" applyFont="1" applyFill="1" applyBorder="1"/>
    <xf numFmtId="0" fontId="0" fillId="27" borderId="0" xfId="3" applyFont="1" applyFill="1"/>
    <xf numFmtId="0" fontId="63" fillId="27" borderId="0" xfId="3" applyFont="1" applyFill="1"/>
    <xf numFmtId="0" fontId="66" fillId="27" borderId="0" xfId="3" applyFont="1" applyFill="1"/>
    <xf numFmtId="0" fontId="67" fillId="27" borderId="0" xfId="3" applyFont="1" applyFill="1"/>
    <xf numFmtId="14" fontId="0" fillId="0" borderId="0" xfId="3" applyNumberFormat="1" applyFont="1"/>
    <xf numFmtId="164" fontId="31" fillId="0" borderId="2" xfId="3" applyNumberFormat="1" applyFont="1" applyFill="1" applyBorder="1" applyAlignment="1"/>
    <xf numFmtId="164" fontId="31" fillId="0" borderId="0" xfId="3" applyNumberFormat="1" applyFont="1" applyFill="1" applyBorder="1" applyAlignment="1"/>
    <xf numFmtId="164" fontId="31" fillId="0" borderId="21" xfId="3" applyNumberFormat="1" applyFont="1" applyFill="1" applyBorder="1" applyAlignment="1"/>
    <xf numFmtId="0" fontId="71" fillId="27" borderId="2" xfId="3" applyFont="1" applyFill="1" applyBorder="1"/>
    <xf numFmtId="0" fontId="19" fillId="27" borderId="0" xfId="3" applyFont="1" applyFill="1" applyBorder="1"/>
    <xf numFmtId="164" fontId="19" fillId="27" borderId="0" xfId="3" applyNumberFormat="1" applyFont="1" applyFill="1" applyBorder="1"/>
    <xf numFmtId="164" fontId="19" fillId="27" borderId="21" xfId="3" applyNumberFormat="1" applyFont="1" applyFill="1" applyBorder="1"/>
    <xf numFmtId="164" fontId="71" fillId="27" borderId="0" xfId="3" applyNumberFormat="1" applyFont="1" applyFill="1" applyBorder="1"/>
    <xf numFmtId="164" fontId="71" fillId="27" borderId="21" xfId="3" applyNumberFormat="1" applyFont="1" applyFill="1" applyBorder="1"/>
    <xf numFmtId="181" fontId="31" fillId="0" borderId="2" xfId="3" applyNumberFormat="1" applyFont="1" applyBorder="1" applyAlignment="1">
      <alignment horizontal="right"/>
    </xf>
    <xf numFmtId="181" fontId="31" fillId="0" borderId="0" xfId="3" applyNumberFormat="1" applyFont="1" applyBorder="1" applyAlignment="1">
      <alignment horizontal="right"/>
    </xf>
    <xf numFmtId="181" fontId="31" fillId="0" borderId="21" xfId="3" applyNumberFormat="1" applyFont="1" applyBorder="1" applyAlignment="1">
      <alignment horizontal="right"/>
    </xf>
    <xf numFmtId="181" fontId="23" fillId="0" borderId="20" xfId="3" applyNumberFormat="1" applyFont="1" applyBorder="1" applyAlignment="1">
      <alignment horizontal="right"/>
    </xf>
    <xf numFmtId="181" fontId="23" fillId="0" borderId="21" xfId="3" applyNumberFormat="1" applyFont="1" applyBorder="1" applyAlignment="1">
      <alignment horizontal="right"/>
    </xf>
    <xf numFmtId="181" fontId="18" fillId="18" borderId="7" xfId="3" applyNumberFormat="1" applyFont="1" applyFill="1" applyBorder="1"/>
    <xf numFmtId="181" fontId="18" fillId="18" borderId="2" xfId="3" applyNumberFormat="1" applyFont="1" applyFill="1" applyBorder="1"/>
    <xf numFmtId="184" fontId="31" fillId="18" borderId="24" xfId="3" applyNumberFormat="1" applyFont="1" applyFill="1" applyBorder="1"/>
    <xf numFmtId="181" fontId="18" fillId="18" borderId="22" xfId="3" applyNumberFormat="1" applyFont="1" applyFill="1" applyBorder="1"/>
    <xf numFmtId="164" fontId="31" fillId="18" borderId="1" xfId="3" applyNumberFormat="1" applyFont="1" applyFill="1" applyBorder="1"/>
    <xf numFmtId="176" fontId="19" fillId="18" borderId="24" xfId="3" applyNumberFormat="1" applyFont="1" applyFill="1" applyBorder="1" applyAlignment="1">
      <alignment horizontal="centerContinuous"/>
    </xf>
    <xf numFmtId="168" fontId="26" fillId="18" borderId="7" xfId="568" applyNumberFormat="1" applyFont="1" applyFill="1" applyBorder="1"/>
    <xf numFmtId="168" fontId="26" fillId="18" borderId="2" xfId="568" applyNumberFormat="1" applyFont="1" applyFill="1" applyBorder="1"/>
    <xf numFmtId="168" fontId="70" fillId="18" borderId="24" xfId="568" applyNumberFormat="1" applyFont="1" applyFill="1" applyBorder="1"/>
    <xf numFmtId="168" fontId="26" fillId="18" borderId="7" xfId="568" applyNumberFormat="1" applyFont="1" applyFill="1" applyBorder="1" applyAlignment="1">
      <alignment horizontal="right"/>
    </xf>
    <xf numFmtId="168" fontId="26" fillId="18" borderId="2" xfId="568" applyNumberFormat="1" applyFont="1" applyFill="1" applyBorder="1" applyAlignment="1">
      <alignment horizontal="right"/>
    </xf>
    <xf numFmtId="168" fontId="70" fillId="18" borderId="24" xfId="568" applyNumberFormat="1" applyFont="1" applyFill="1" applyBorder="1" applyAlignment="1">
      <alignment horizontal="right"/>
    </xf>
    <xf numFmtId="181" fontId="23" fillId="18" borderId="7" xfId="3" applyNumberFormat="1" applyFont="1" applyFill="1" applyBorder="1" applyAlignment="1">
      <alignment horizontal="right"/>
    </xf>
    <xf numFmtId="181" fontId="23" fillId="18" borderId="17" xfId="3" applyNumberFormat="1" applyFont="1" applyFill="1" applyBorder="1" applyAlignment="1">
      <alignment horizontal="right"/>
    </xf>
    <xf numFmtId="181" fontId="25" fillId="18" borderId="20" xfId="3" applyNumberFormat="1" applyFont="1" applyFill="1" applyBorder="1" applyAlignment="1">
      <alignment horizontal="right"/>
    </xf>
    <xf numFmtId="181" fontId="23" fillId="18" borderId="2" xfId="3" applyNumberFormat="1" applyFont="1" applyFill="1" applyBorder="1" applyAlignment="1">
      <alignment horizontal="right"/>
    </xf>
    <xf numFmtId="181" fontId="23" fillId="18" borderId="0" xfId="3" applyNumberFormat="1" applyFont="1" applyFill="1" applyBorder="1" applyAlignment="1">
      <alignment horizontal="right"/>
    </xf>
    <xf numFmtId="181" fontId="25" fillId="18" borderId="21" xfId="3" applyNumberFormat="1" applyFont="1" applyFill="1" applyBorder="1" applyAlignment="1">
      <alignment horizontal="right"/>
    </xf>
    <xf numFmtId="181" fontId="18" fillId="18" borderId="2" xfId="3" applyNumberFormat="1" applyFont="1" applyFill="1" applyBorder="1" applyAlignment="1">
      <alignment horizontal="right"/>
    </xf>
    <xf numFmtId="181" fontId="18" fillId="18" borderId="0" xfId="3" applyNumberFormat="1" applyFont="1" applyFill="1" applyBorder="1" applyAlignment="1">
      <alignment horizontal="right"/>
    </xf>
    <xf numFmtId="181" fontId="18" fillId="18" borderId="21" xfId="3" applyNumberFormat="1" applyFont="1" applyFill="1" applyBorder="1" applyAlignment="1">
      <alignment horizontal="right"/>
    </xf>
    <xf numFmtId="181" fontId="31" fillId="18" borderId="24" xfId="3" applyNumberFormat="1" applyFont="1" applyFill="1" applyBorder="1" applyAlignment="1">
      <alignment horizontal="right"/>
    </xf>
    <xf numFmtId="181" fontId="31" fillId="18" borderId="1" xfId="3" applyNumberFormat="1" applyFont="1" applyFill="1" applyBorder="1" applyAlignment="1">
      <alignment horizontal="right"/>
    </xf>
    <xf numFmtId="181" fontId="31" fillId="18" borderId="25" xfId="3" applyNumberFormat="1" applyFont="1" applyFill="1" applyBorder="1" applyAlignment="1">
      <alignment horizontal="right"/>
    </xf>
    <xf numFmtId="176" fontId="19" fillId="18" borderId="24" xfId="3" applyNumberFormat="1" applyFont="1" applyFill="1" applyBorder="1" applyAlignment="1">
      <alignment horizontal="center"/>
    </xf>
    <xf numFmtId="176" fontId="19" fillId="18" borderId="1" xfId="3" applyNumberFormat="1" applyFont="1" applyFill="1" applyBorder="1" applyAlignment="1">
      <alignment horizontal="center"/>
    </xf>
    <xf numFmtId="168" fontId="26" fillId="18" borderId="17" xfId="568" applyNumberFormat="1" applyFont="1" applyFill="1" applyBorder="1" applyAlignment="1">
      <alignment horizontal="right"/>
    </xf>
    <xf numFmtId="168" fontId="26" fillId="18" borderId="20" xfId="568" applyNumberFormat="1" applyFont="1" applyFill="1" applyBorder="1" applyAlignment="1">
      <alignment horizontal="right"/>
    </xf>
    <xf numFmtId="168" fontId="26" fillId="18" borderId="0" xfId="568" applyNumberFormat="1" applyFont="1" applyFill="1" applyBorder="1" applyAlignment="1">
      <alignment horizontal="right"/>
    </xf>
    <xf numFmtId="168" fontId="26" fillId="18" borderId="21" xfId="568" applyNumberFormat="1" applyFont="1" applyFill="1" applyBorder="1" applyAlignment="1">
      <alignment horizontal="right"/>
    </xf>
    <xf numFmtId="168" fontId="70" fillId="18" borderId="1" xfId="568" applyNumberFormat="1" applyFont="1" applyFill="1" applyBorder="1" applyAlignment="1">
      <alignment horizontal="right"/>
    </xf>
    <xf numFmtId="168" fontId="70" fillId="18" borderId="25" xfId="568" applyNumberFormat="1" applyFont="1" applyFill="1" applyBorder="1" applyAlignment="1">
      <alignment horizontal="right"/>
    </xf>
    <xf numFmtId="0" fontId="26" fillId="18" borderId="7" xfId="568" applyNumberFormat="1" applyFont="1" applyFill="1" applyBorder="1" applyAlignment="1">
      <alignment horizontal="right"/>
    </xf>
    <xf numFmtId="181" fontId="19" fillId="0" borderId="17" xfId="3" applyNumberFormat="1" applyFont="1" applyFill="1" applyBorder="1"/>
    <xf numFmtId="0" fontId="36" fillId="0" borderId="22" xfId="3" applyFont="1" applyFill="1" applyBorder="1"/>
    <xf numFmtId="181" fontId="23" fillId="18" borderId="22" xfId="3" applyNumberFormat="1" applyFont="1" applyFill="1" applyBorder="1" applyAlignment="1">
      <alignment horizontal="right"/>
    </xf>
    <xf numFmtId="181" fontId="23" fillId="18" borderId="3" xfId="3" applyNumberFormat="1" applyFont="1" applyFill="1" applyBorder="1" applyAlignment="1">
      <alignment horizontal="right"/>
    </xf>
    <xf numFmtId="181" fontId="25" fillId="18" borderId="23" xfId="3" applyNumberFormat="1" applyFont="1" applyFill="1" applyBorder="1" applyAlignment="1">
      <alignment horizontal="right"/>
    </xf>
    <xf numFmtId="181" fontId="23" fillId="0" borderId="22" xfId="3" applyNumberFormat="1" applyFont="1" applyBorder="1" applyAlignment="1">
      <alignment horizontal="right"/>
    </xf>
    <xf numFmtId="181" fontId="23" fillId="0" borderId="3" xfId="3" applyNumberFormat="1" applyFont="1" applyBorder="1" applyAlignment="1">
      <alignment horizontal="right"/>
    </xf>
    <xf numFmtId="181" fontId="23" fillId="0" borderId="23" xfId="3" applyNumberFormat="1" applyFont="1" applyBorder="1" applyAlignment="1">
      <alignment horizontal="right"/>
    </xf>
    <xf numFmtId="6" fontId="0" fillId="0" borderId="3" xfId="3" applyNumberFormat="1" applyFont="1" applyBorder="1" applyAlignment="1">
      <alignment horizontal="center"/>
    </xf>
    <xf numFmtId="6" fontId="0" fillId="0" borderId="23" xfId="3" applyNumberFormat="1" applyFont="1" applyBorder="1" applyAlignment="1">
      <alignment horizontal="center"/>
    </xf>
    <xf numFmtId="6" fontId="0" fillId="0" borderId="22" xfId="3" applyNumberFormat="1" applyFont="1" applyBorder="1" applyAlignment="1">
      <alignment horizontal="center"/>
    </xf>
    <xf numFmtId="181" fontId="18" fillId="18" borderId="3" xfId="3" applyNumberFormat="1" applyFont="1" applyFill="1" applyBorder="1"/>
    <xf numFmtId="7" fontId="18" fillId="0" borderId="0" xfId="3" applyNumberFormat="1" applyFont="1" applyFill="1" applyBorder="1" applyAlignment="1"/>
    <xf numFmtId="7" fontId="18" fillId="0" borderId="2" xfId="3" applyNumberFormat="1" applyFont="1" applyFill="1" applyBorder="1"/>
    <xf numFmtId="181" fontId="23" fillId="0" borderId="7" xfId="3" applyNumberFormat="1" applyFont="1" applyFill="1" applyBorder="1" applyAlignment="1">
      <alignment horizontal="right"/>
    </xf>
    <xf numFmtId="181" fontId="23" fillId="0" borderId="17" xfId="3" applyNumberFormat="1" applyFont="1" applyFill="1" applyBorder="1" applyAlignment="1">
      <alignment horizontal="right"/>
    </xf>
    <xf numFmtId="181" fontId="23" fillId="0" borderId="20" xfId="3" applyNumberFormat="1" applyFont="1" applyFill="1" applyBorder="1" applyAlignment="1">
      <alignment horizontal="right"/>
    </xf>
    <xf numFmtId="7" fontId="18" fillId="0" borderId="0" xfId="3" applyNumberFormat="1" applyFont="1" applyBorder="1"/>
    <xf numFmtId="7" fontId="18" fillId="0" borderId="22" xfId="3" applyNumberFormat="1" applyFont="1" applyFill="1" applyBorder="1"/>
    <xf numFmtId="7" fontId="18" fillId="0" borderId="3" xfId="3" applyNumberFormat="1" applyFont="1" applyBorder="1"/>
    <xf numFmtId="195" fontId="31" fillId="0" borderId="24" xfId="3" applyNumberFormat="1" applyFont="1" applyFill="1" applyBorder="1"/>
    <xf numFmtId="195" fontId="31" fillId="0" borderId="1" xfId="3" applyNumberFormat="1" applyFont="1" applyBorder="1"/>
    <xf numFmtId="7" fontId="18" fillId="0" borderId="7" xfId="3" applyNumberFormat="1" applyFont="1" applyFill="1" applyBorder="1" applyAlignment="1">
      <alignment horizontal="right"/>
    </xf>
    <xf numFmtId="7" fontId="18" fillId="0" borderId="17" xfId="3" applyNumberFormat="1" applyFont="1" applyFill="1" applyBorder="1" applyAlignment="1">
      <alignment horizontal="right"/>
    </xf>
    <xf numFmtId="7" fontId="18" fillId="0" borderId="20" xfId="3" applyNumberFormat="1" applyFont="1" applyFill="1" applyBorder="1" applyAlignment="1">
      <alignment horizontal="right"/>
    </xf>
    <xf numFmtId="7" fontId="18" fillId="0" borderId="7" xfId="3" applyNumberFormat="1" applyFont="1" applyBorder="1" applyAlignment="1">
      <alignment horizontal="right"/>
    </xf>
    <xf numFmtId="7" fontId="18" fillId="0" borderId="17" xfId="3" applyNumberFormat="1" applyFont="1" applyBorder="1" applyAlignment="1">
      <alignment horizontal="right"/>
    </xf>
    <xf numFmtId="7" fontId="18" fillId="0" borderId="20" xfId="3" applyNumberFormat="1" applyFont="1" applyBorder="1" applyAlignment="1">
      <alignment horizontal="right"/>
    </xf>
    <xf numFmtId="6" fontId="68" fillId="0" borderId="17" xfId="3" applyNumberFormat="1" applyFont="1" applyBorder="1" applyAlignment="1">
      <alignment horizontal="center"/>
    </xf>
    <xf numFmtId="6" fontId="68" fillId="0" borderId="20" xfId="3" applyNumberFormat="1" applyFont="1" applyBorder="1" applyAlignment="1">
      <alignment horizontal="center"/>
    </xf>
    <xf numFmtId="7" fontId="18" fillId="0" borderId="2" xfId="3" applyNumberFormat="1" applyFont="1" applyFill="1" applyBorder="1" applyAlignment="1">
      <alignment horizontal="right"/>
    </xf>
    <xf numFmtId="7" fontId="18" fillId="0" borderId="0" xfId="3" applyNumberFormat="1" applyFont="1" applyFill="1" applyBorder="1" applyAlignment="1">
      <alignment horizontal="right"/>
    </xf>
    <xf numFmtId="7" fontId="18" fillId="0" borderId="21" xfId="3" applyNumberFormat="1" applyFont="1" applyFill="1" applyBorder="1" applyAlignment="1">
      <alignment horizontal="right"/>
    </xf>
    <xf numFmtId="7" fontId="18" fillId="0" borderId="2" xfId="3" applyNumberFormat="1" applyFont="1" applyBorder="1" applyAlignment="1">
      <alignment horizontal="right"/>
    </xf>
    <xf numFmtId="7" fontId="18" fillId="0" borderId="0" xfId="3" applyNumberFormat="1" applyFont="1" applyBorder="1" applyAlignment="1">
      <alignment horizontal="right"/>
    </xf>
    <xf numFmtId="7" fontId="18" fillId="0" borderId="21" xfId="3" applyNumberFormat="1" applyFont="1" applyBorder="1" applyAlignment="1">
      <alignment horizontal="right"/>
    </xf>
    <xf numFmtId="6" fontId="68" fillId="0" borderId="0" xfId="3" applyNumberFormat="1" applyFont="1" applyBorder="1" applyAlignment="1">
      <alignment horizontal="center"/>
    </xf>
    <xf numFmtId="6" fontId="68" fillId="0" borderId="21" xfId="3" applyNumberFormat="1" applyFont="1" applyBorder="1" applyAlignment="1">
      <alignment horizontal="center"/>
    </xf>
    <xf numFmtId="7" fontId="18" fillId="0" borderId="22" xfId="3" applyNumberFormat="1" applyFont="1" applyFill="1" applyBorder="1" applyAlignment="1">
      <alignment horizontal="right"/>
    </xf>
    <xf numFmtId="7" fontId="18" fillId="0" borderId="3" xfId="3" applyNumberFormat="1" applyFont="1" applyFill="1" applyBorder="1" applyAlignment="1">
      <alignment horizontal="right"/>
    </xf>
    <xf numFmtId="7" fontId="18" fillId="0" borderId="23" xfId="3" applyNumberFormat="1" applyFont="1" applyFill="1" applyBorder="1" applyAlignment="1">
      <alignment horizontal="right"/>
    </xf>
    <xf numFmtId="7" fontId="18" fillId="0" borderId="22" xfId="3" applyNumberFormat="1" applyFont="1" applyBorder="1" applyAlignment="1">
      <alignment horizontal="right"/>
    </xf>
    <xf numFmtId="7" fontId="18" fillId="0" borderId="3" xfId="3" applyNumberFormat="1" applyFont="1" applyBorder="1" applyAlignment="1">
      <alignment horizontal="right"/>
    </xf>
    <xf numFmtId="7" fontId="18" fillId="0" borderId="23" xfId="3" applyNumberFormat="1" applyFont="1" applyBorder="1" applyAlignment="1">
      <alignment horizontal="right"/>
    </xf>
    <xf numFmtId="6" fontId="68" fillId="0" borderId="3" xfId="3" applyNumberFormat="1" applyFont="1" applyBorder="1" applyAlignment="1">
      <alignment horizontal="center"/>
    </xf>
    <xf numFmtId="6" fontId="68" fillId="0" borderId="23" xfId="3" applyNumberFormat="1" applyFont="1" applyBorder="1" applyAlignment="1">
      <alignment horizontal="center"/>
    </xf>
    <xf numFmtId="7" fontId="31" fillId="0" borderId="24" xfId="3" applyNumberFormat="1" applyFont="1" applyBorder="1" applyAlignment="1">
      <alignment horizontal="right"/>
    </xf>
    <xf numFmtId="7" fontId="31" fillId="0" borderId="1" xfId="3" applyNumberFormat="1" applyFont="1" applyBorder="1" applyAlignment="1">
      <alignment horizontal="right"/>
    </xf>
    <xf numFmtId="7" fontId="31" fillId="0" borderId="25" xfId="3" applyNumberFormat="1" applyFont="1" applyBorder="1" applyAlignment="1">
      <alignment horizontal="right"/>
    </xf>
    <xf numFmtId="7" fontId="31" fillId="0" borderId="24" xfId="3" applyNumberFormat="1" applyFont="1" applyFill="1" applyBorder="1"/>
    <xf numFmtId="7" fontId="31" fillId="0" borderId="1" xfId="3" applyNumberFormat="1" applyFont="1" applyBorder="1"/>
    <xf numFmtId="7" fontId="18" fillId="0" borderId="2" xfId="3" applyNumberFormat="1" applyFont="1" applyFill="1" applyBorder="1" applyAlignment="1"/>
    <xf numFmtId="181" fontId="23" fillId="18" borderId="21" xfId="3" applyNumberFormat="1" applyFont="1" applyFill="1" applyBorder="1" applyAlignment="1">
      <alignment horizontal="right"/>
    </xf>
    <xf numFmtId="168" fontId="23" fillId="18" borderId="0" xfId="3" applyNumberFormat="1" applyFont="1" applyFill="1" applyBorder="1" applyAlignment="1">
      <alignment horizontal="right"/>
    </xf>
    <xf numFmtId="168" fontId="23" fillId="18" borderId="2" xfId="3" applyNumberFormat="1" applyFont="1" applyFill="1" applyBorder="1" applyAlignment="1">
      <alignment horizontal="right"/>
    </xf>
    <xf numFmtId="168" fontId="27" fillId="0" borderId="2" xfId="568" applyNumberFormat="1" applyFont="1" applyFill="1" applyBorder="1"/>
    <xf numFmtId="168" fontId="27" fillId="0" borderId="0" xfId="568" applyNumberFormat="1" applyFont="1" applyFill="1" applyBorder="1"/>
    <xf numFmtId="181" fontId="23" fillId="0" borderId="2" xfId="3" applyNumberFormat="1" applyFont="1" applyFill="1" applyBorder="1"/>
    <xf numFmtId="181" fontId="23" fillId="0" borderId="0" xfId="3" applyNumberFormat="1" applyFont="1" applyFill="1" applyBorder="1"/>
    <xf numFmtId="168" fontId="26" fillId="0" borderId="17" xfId="3" applyNumberFormat="1" applyFont="1" applyBorder="1"/>
    <xf numFmtId="168" fontId="27" fillId="0" borderId="0" xfId="3" applyNumberFormat="1" applyFont="1" applyBorder="1" applyAlignment="1">
      <alignment horizontal="right"/>
    </xf>
    <xf numFmtId="168" fontId="27" fillId="0" borderId="17" xfId="3" applyNumberFormat="1" applyFont="1" applyBorder="1" applyAlignment="1">
      <alignment horizontal="right"/>
    </xf>
    <xf numFmtId="168" fontId="27" fillId="0" borderId="20" xfId="3" applyNumberFormat="1" applyFont="1" applyBorder="1" applyAlignment="1">
      <alignment horizontal="right"/>
    </xf>
    <xf numFmtId="168" fontId="27" fillId="18" borderId="0" xfId="3" applyNumberFormat="1" applyFont="1" applyFill="1" applyBorder="1" applyAlignment="1">
      <alignment horizontal="right"/>
    </xf>
    <xf numFmtId="168" fontId="27" fillId="0" borderId="7" xfId="3" applyNumberFormat="1" applyFont="1" applyBorder="1" applyAlignment="1">
      <alignment horizontal="right"/>
    </xf>
    <xf numFmtId="181" fontId="23" fillId="18" borderId="23" xfId="3" applyNumberFormat="1" applyFont="1" applyFill="1" applyBorder="1" applyAlignment="1">
      <alignment horizontal="right"/>
    </xf>
    <xf numFmtId="175" fontId="36" fillId="0" borderId="2" xfId="3" applyNumberFormat="1" applyFont="1" applyFill="1" applyBorder="1"/>
    <xf numFmtId="0" fontId="31" fillId="0" borderId="22" xfId="3" applyFont="1" applyFill="1" applyBorder="1"/>
    <xf numFmtId="0" fontId="31" fillId="0" borderId="23" xfId="3" applyFont="1" applyFill="1" applyBorder="1"/>
    <xf numFmtId="175" fontId="31" fillId="0" borderId="3" xfId="3" applyNumberFormat="1" applyFont="1" applyFill="1" applyBorder="1"/>
    <xf numFmtId="175" fontId="31" fillId="0" borderId="23" xfId="3" applyNumberFormat="1" applyFont="1" applyFill="1" applyBorder="1"/>
    <xf numFmtId="175" fontId="31" fillId="0" borderId="22" xfId="3" applyNumberFormat="1" applyFont="1" applyFill="1" applyBorder="1"/>
    <xf numFmtId="0" fontId="18" fillId="28" borderId="0" xfId="3" applyFont="1" applyFill="1"/>
    <xf numFmtId="0" fontId="18" fillId="28" borderId="0" xfId="3" applyFont="1" applyFill="1" applyAlignment="1">
      <alignment horizontal="right"/>
    </xf>
    <xf numFmtId="173" fontId="18" fillId="0" borderId="2" xfId="3" applyNumberFormat="1" applyFont="1" applyFill="1" applyBorder="1" applyAlignment="1"/>
    <xf numFmtId="167" fontId="23" fillId="0" borderId="2" xfId="3" applyNumberFormat="1" applyFont="1" applyFill="1" applyBorder="1" applyAlignment="1"/>
    <xf numFmtId="164" fontId="23" fillId="0" borderId="2" xfId="3" applyNumberFormat="1" applyFont="1" applyFill="1" applyBorder="1" applyAlignment="1"/>
    <xf numFmtId="9" fontId="23" fillId="0" borderId="2" xfId="568" applyFont="1" applyFill="1" applyBorder="1" applyAlignment="1"/>
    <xf numFmtId="168" fontId="20" fillId="0" borderId="2" xfId="568" applyNumberFormat="1" applyFont="1" applyFill="1" applyBorder="1" applyAlignment="1">
      <alignment horizontal="right"/>
    </xf>
    <xf numFmtId="43" fontId="32" fillId="0" borderId="1" xfId="234" applyNumberFormat="1" applyFont="1" applyFill="1" applyBorder="1"/>
    <xf numFmtId="204" fontId="32" fillId="0" borderId="1" xfId="234" applyNumberFormat="1" applyFont="1" applyFill="1" applyBorder="1"/>
    <xf numFmtId="1" fontId="21" fillId="18" borderId="7" xfId="547" applyNumberFormat="1" applyFont="1" applyFill="1" applyBorder="1" applyAlignment="1">
      <alignment horizontal="right"/>
    </xf>
    <xf numFmtId="1" fontId="21" fillId="18" borderId="17" xfId="547" applyNumberFormat="1" applyFont="1" applyFill="1" applyBorder="1" applyAlignment="1">
      <alignment horizontal="right"/>
    </xf>
    <xf numFmtId="181" fontId="19" fillId="0" borderId="20" xfId="3" applyNumberFormat="1" applyFont="1" applyFill="1" applyBorder="1"/>
    <xf numFmtId="1" fontId="44" fillId="25" borderId="3" xfId="548" applyNumberFormat="1" applyFont="1" applyFill="1" applyBorder="1" applyAlignment="1">
      <alignment horizontal="right"/>
    </xf>
    <xf numFmtId="184" fontId="36" fillId="0" borderId="2" xfId="3" applyNumberFormat="1" applyFont="1" applyFill="1" applyBorder="1" applyAlignment="1">
      <alignment horizontal="left" indent="1"/>
    </xf>
    <xf numFmtId="185" fontId="26" fillId="0" borderId="0" xfId="234" applyNumberFormat="1" applyFont="1" applyFill="1" applyBorder="1"/>
    <xf numFmtId="179" fontId="36" fillId="0" borderId="0" xfId="234" applyNumberFormat="1" applyFont="1" applyFill="1" applyBorder="1"/>
    <xf numFmtId="179" fontId="36" fillId="0" borderId="21" xfId="234" applyNumberFormat="1" applyFont="1" applyFill="1" applyBorder="1"/>
    <xf numFmtId="179" fontId="36" fillId="0" borderId="0" xfId="234" applyNumberFormat="1" applyFont="1" applyBorder="1"/>
    <xf numFmtId="179" fontId="36" fillId="0" borderId="21" xfId="234" applyNumberFormat="1" applyFont="1" applyBorder="1"/>
    <xf numFmtId="179" fontId="37" fillId="0" borderId="0" xfId="234" applyNumberFormat="1" applyFont="1" applyFill="1" applyBorder="1"/>
    <xf numFmtId="9" fontId="37" fillId="0" borderId="0" xfId="568" applyFont="1" applyBorder="1"/>
    <xf numFmtId="9" fontId="37" fillId="0" borderId="0" xfId="568" applyFont="1" applyFill="1" applyBorder="1"/>
    <xf numFmtId="9" fontId="37" fillId="0" borderId="21" xfId="568" applyFont="1" applyFill="1" applyBorder="1"/>
    <xf numFmtId="9" fontId="37" fillId="0" borderId="21" xfId="568" applyFont="1" applyBorder="1"/>
    <xf numFmtId="0" fontId="26" fillId="0" borderId="21" xfId="3" applyFont="1" applyBorder="1"/>
    <xf numFmtId="9" fontId="26" fillId="0" borderId="0" xfId="568" applyFont="1" applyFill="1" applyBorder="1"/>
    <xf numFmtId="9" fontId="26" fillId="0" borderId="21" xfId="568" applyFont="1" applyFill="1" applyBorder="1"/>
    <xf numFmtId="9" fontId="26" fillId="0" borderId="0" xfId="568" applyFont="1" applyBorder="1"/>
    <xf numFmtId="9" fontId="26" fillId="0" borderId="21" xfId="568" applyFont="1" applyBorder="1"/>
    <xf numFmtId="185" fontId="31" fillId="0" borderId="0" xfId="234" applyNumberFormat="1" applyFont="1" applyBorder="1"/>
    <xf numFmtId="185" fontId="31" fillId="0" borderId="21" xfId="234" applyNumberFormat="1" applyFont="1" applyBorder="1"/>
    <xf numFmtId="0" fontId="31" fillId="0" borderId="2" xfId="3" applyFont="1" applyFill="1" applyBorder="1" applyAlignment="1">
      <alignment horizontal="left"/>
    </xf>
    <xf numFmtId="179" fontId="36" fillId="18" borderId="0" xfId="234" applyNumberFormat="1" applyFont="1" applyFill="1" applyBorder="1"/>
    <xf numFmtId="179" fontId="36" fillId="18" borderId="21" xfId="234" applyNumberFormat="1" applyFont="1" applyFill="1" applyBorder="1"/>
    <xf numFmtId="179" fontId="37" fillId="18" borderId="0" xfId="234" applyNumberFormat="1" applyFont="1" applyFill="1" applyBorder="1"/>
    <xf numFmtId="179" fontId="66" fillId="0" borderId="0" xfId="234" applyNumberFormat="1" applyFont="1" applyFill="1" applyBorder="1"/>
    <xf numFmtId="179" fontId="66" fillId="0" borderId="21" xfId="234" applyNumberFormat="1" applyFont="1" applyFill="1" applyBorder="1"/>
    <xf numFmtId="179" fontId="66" fillId="0" borderId="0" xfId="234" applyNumberFormat="1" applyFont="1" applyBorder="1"/>
    <xf numFmtId="179" fontId="66" fillId="0" borderId="21" xfId="234" applyNumberFormat="1" applyFont="1" applyBorder="1"/>
    <xf numFmtId="184" fontId="36" fillId="0" borderId="2" xfId="3" applyNumberFormat="1" applyFont="1" applyFill="1" applyBorder="1" applyAlignment="1">
      <alignment horizontal="left"/>
    </xf>
    <xf numFmtId="164" fontId="71" fillId="27" borderId="2" xfId="3" applyNumberFormat="1" applyFont="1" applyFill="1" applyBorder="1"/>
    <xf numFmtId="0" fontId="48" fillId="0" borderId="0" xfId="3" applyFont="1"/>
    <xf numFmtId="0" fontId="48" fillId="0" borderId="2" xfId="3" applyFont="1" applyFill="1" applyBorder="1"/>
    <xf numFmtId="0" fontId="48" fillId="0" borderId="21" xfId="3" applyFont="1" applyFill="1" applyBorder="1"/>
    <xf numFmtId="164" fontId="47" fillId="0" borderId="0" xfId="3" applyNumberFormat="1" applyFont="1" applyFill="1" applyBorder="1" applyAlignment="1"/>
    <xf numFmtId="164" fontId="47" fillId="0" borderId="21" xfId="3" applyNumberFormat="1" applyFont="1" applyFill="1" applyBorder="1" applyAlignment="1"/>
    <xf numFmtId="164" fontId="47" fillId="0" borderId="2" xfId="3" applyNumberFormat="1" applyFont="1" applyFill="1" applyBorder="1" applyAlignment="1"/>
    <xf numFmtId="0" fontId="48" fillId="0" borderId="26" xfId="3" applyFont="1" applyBorder="1"/>
    <xf numFmtId="164" fontId="48" fillId="0" borderId="0" xfId="3" applyNumberFormat="1" applyFont="1" applyFill="1" applyBorder="1" applyAlignment="1"/>
    <xf numFmtId="164" fontId="48" fillId="0" borderId="21" xfId="3" applyNumberFormat="1" applyFont="1" applyFill="1" applyBorder="1" applyAlignment="1"/>
    <xf numFmtId="164" fontId="48" fillId="0" borderId="2" xfId="3" applyNumberFormat="1" applyFont="1" applyFill="1" applyBorder="1" applyAlignment="1"/>
    <xf numFmtId="0" fontId="48" fillId="0" borderId="2" xfId="3" applyFont="1" applyBorder="1"/>
    <xf numFmtId="0" fontId="72" fillId="0" borderId="0" xfId="3" applyFont="1"/>
    <xf numFmtId="0" fontId="31" fillId="0" borderId="21" xfId="3" applyFont="1" applyFill="1" applyBorder="1"/>
    <xf numFmtId="185" fontId="0" fillId="0" borderId="0" xfId="234" applyNumberFormat="1" applyFont="1"/>
    <xf numFmtId="185" fontId="72" fillId="0" borderId="0" xfId="234" applyNumberFormat="1" applyFont="1"/>
    <xf numFmtId="185" fontId="30" fillId="0" borderId="0" xfId="234" applyNumberFormat="1" applyFont="1"/>
    <xf numFmtId="0" fontId="72" fillId="0" borderId="0" xfId="3" applyFont="1" applyFill="1"/>
    <xf numFmtId="185" fontId="13" fillId="0" borderId="0" xfId="234" applyNumberFormat="1" applyFont="1"/>
    <xf numFmtId="179" fontId="33" fillId="0" borderId="2" xfId="234" applyNumberFormat="1" applyFont="1" applyFill="1" applyBorder="1"/>
    <xf numFmtId="179" fontId="33" fillId="0" borderId="0" xfId="234" applyNumberFormat="1" applyFont="1" applyFill="1" applyBorder="1"/>
    <xf numFmtId="165" fontId="21" fillId="18" borderId="1" xfId="548" applyNumberFormat="1" applyFont="1" applyFill="1" applyBorder="1" applyAlignment="1">
      <alignment horizontal="right"/>
    </xf>
    <xf numFmtId="165" fontId="21" fillId="18" borderId="25" xfId="548" applyNumberFormat="1" applyFont="1" applyFill="1" applyBorder="1" applyAlignment="1">
      <alignment horizontal="right"/>
    </xf>
    <xf numFmtId="165" fontId="21" fillId="18" borderId="24" xfId="548" applyNumberFormat="1" applyFont="1" applyFill="1" applyBorder="1" applyAlignment="1">
      <alignment horizontal="right"/>
    </xf>
    <xf numFmtId="1" fontId="21" fillId="18" borderId="1" xfId="548" applyNumberFormat="1" applyFont="1" applyFill="1" applyBorder="1" applyAlignment="1">
      <alignment horizontal="right"/>
    </xf>
    <xf numFmtId="1" fontId="21" fillId="18" borderId="24" xfId="548" applyNumberFormat="1" applyFont="1" applyFill="1" applyBorder="1" applyAlignment="1">
      <alignment horizontal="right"/>
    </xf>
    <xf numFmtId="1" fontId="21" fillId="18" borderId="25" xfId="548" applyNumberFormat="1" applyFont="1" applyFill="1" applyBorder="1" applyAlignment="1">
      <alignment horizontal="right"/>
    </xf>
    <xf numFmtId="1" fontId="21" fillId="18" borderId="7" xfId="548" applyNumberFormat="1" applyFont="1" applyFill="1" applyBorder="1" applyAlignment="1">
      <alignment horizontal="right"/>
    </xf>
    <xf numFmtId="165" fontId="21" fillId="18" borderId="0" xfId="548" applyNumberFormat="1" applyFont="1" applyFill="1" applyBorder="1" applyAlignment="1">
      <alignment horizontal="right"/>
    </xf>
    <xf numFmtId="165" fontId="21" fillId="18" borderId="21" xfId="548" applyNumberFormat="1" applyFont="1" applyFill="1" applyBorder="1" applyAlignment="1">
      <alignment horizontal="right"/>
    </xf>
    <xf numFmtId="165" fontId="21" fillId="18" borderId="2" xfId="548" applyNumberFormat="1" applyFont="1" applyFill="1" applyBorder="1" applyAlignment="1">
      <alignment horizontal="right"/>
    </xf>
    <xf numFmtId="1" fontId="21" fillId="18" borderId="22" xfId="547" applyNumberFormat="1" applyFont="1" applyFill="1" applyBorder="1" applyAlignment="1">
      <alignment horizontal="right"/>
    </xf>
    <xf numFmtId="1" fontId="21" fillId="18" borderId="3" xfId="547" applyNumberFormat="1" applyFont="1" applyFill="1" applyBorder="1" applyAlignment="1">
      <alignment horizontal="right"/>
    </xf>
    <xf numFmtId="1" fontId="21" fillId="18" borderId="23" xfId="547" applyNumberFormat="1" applyFont="1" applyFill="1" applyBorder="1" applyAlignment="1">
      <alignment horizontal="right"/>
    </xf>
    <xf numFmtId="165" fontId="21" fillId="18" borderId="7" xfId="548" applyNumberFormat="1" applyFont="1" applyFill="1" applyBorder="1" applyAlignment="1">
      <alignment horizontal="right"/>
    </xf>
    <xf numFmtId="165" fontId="21" fillId="18" borderId="17" xfId="548" applyNumberFormat="1" applyFont="1" applyFill="1" applyBorder="1" applyAlignment="1">
      <alignment horizontal="right"/>
    </xf>
    <xf numFmtId="165" fontId="21" fillId="18" borderId="20" xfId="548" applyNumberFormat="1" applyFont="1" applyFill="1" applyBorder="1" applyAlignment="1">
      <alignment horizontal="right"/>
    </xf>
    <xf numFmtId="9" fontId="18" fillId="0" borderId="0" xfId="568" applyFont="1" applyFill="1" applyBorder="1"/>
    <xf numFmtId="44" fontId="0" fillId="0" borderId="0" xfId="394" applyFont="1"/>
    <xf numFmtId="0" fontId="31" fillId="18" borderId="24" xfId="3" applyNumberFormat="1" applyFont="1" applyFill="1" applyBorder="1"/>
    <xf numFmtId="0" fontId="31" fillId="0" borderId="2" xfId="3" applyNumberFormat="1" applyFont="1" applyFill="1" applyBorder="1"/>
    <xf numFmtId="0" fontId="75" fillId="0" borderId="2" xfId="234" applyNumberFormat="1" applyFont="1" applyBorder="1"/>
    <xf numFmtId="0" fontId="76" fillId="0" borderId="2" xfId="234" applyNumberFormat="1" applyFont="1" applyBorder="1"/>
    <xf numFmtId="0" fontId="31" fillId="0" borderId="2" xfId="234" applyNumberFormat="1" applyFont="1" applyBorder="1"/>
    <xf numFmtId="0" fontId="31" fillId="0" borderId="2" xfId="3" applyNumberFormat="1" applyFont="1" applyBorder="1"/>
    <xf numFmtId="0" fontId="31" fillId="0" borderId="22" xfId="3" applyNumberFormat="1" applyFont="1" applyBorder="1"/>
    <xf numFmtId="179" fontId="18" fillId="0" borderId="0" xfId="234" applyNumberFormat="1" applyFont="1"/>
    <xf numFmtId="185" fontId="18" fillId="0" borderId="0" xfId="234" applyNumberFormat="1" applyFont="1"/>
    <xf numFmtId="185" fontId="48" fillId="0" borderId="0" xfId="234" applyNumberFormat="1" applyFont="1"/>
    <xf numFmtId="185" fontId="31" fillId="0" borderId="0" xfId="234" applyNumberFormat="1" applyFont="1"/>
    <xf numFmtId="185" fontId="31" fillId="0" borderId="2" xfId="234" applyNumberFormat="1" applyFont="1" applyBorder="1"/>
    <xf numFmtId="0" fontId="36" fillId="0" borderId="2" xfId="234" applyNumberFormat="1" applyFont="1" applyFill="1" applyBorder="1"/>
    <xf numFmtId="0" fontId="31" fillId="0" borderId="2" xfId="234" applyNumberFormat="1" applyFont="1" applyBorder="1" applyAlignment="1">
      <alignment horizontal="left"/>
    </xf>
    <xf numFmtId="0" fontId="75" fillId="0" borderId="0" xfId="234" applyNumberFormat="1" applyFont="1" applyFill="1" applyBorder="1"/>
    <xf numFmtId="0" fontId="75" fillId="0" borderId="0" xfId="3" applyNumberFormat="1" applyFont="1" applyFill="1" applyBorder="1"/>
    <xf numFmtId="0" fontId="48" fillId="0" borderId="0" xfId="3" applyNumberFormat="1" applyFont="1" applyFill="1" applyBorder="1"/>
    <xf numFmtId="0" fontId="36" fillId="0" borderId="2" xfId="234" applyNumberFormat="1" applyFont="1" applyBorder="1"/>
    <xf numFmtId="10" fontId="18" fillId="0" borderId="0" xfId="568" applyNumberFormat="1" applyFont="1"/>
    <xf numFmtId="10" fontId="36" fillId="0" borderId="2" xfId="568" applyNumberFormat="1" applyFont="1" applyBorder="1"/>
    <xf numFmtId="10" fontId="75" fillId="0" borderId="2" xfId="568" applyNumberFormat="1" applyFont="1" applyBorder="1"/>
    <xf numFmtId="10" fontId="18" fillId="0" borderId="0" xfId="3" applyNumberFormat="1" applyFont="1"/>
    <xf numFmtId="10" fontId="31" fillId="0" borderId="2" xfId="3" applyNumberFormat="1" applyFont="1" applyBorder="1"/>
    <xf numFmtId="0" fontId="36" fillId="0" borderId="2" xfId="234" applyNumberFormat="1" applyFont="1" applyBorder="1" applyAlignment="1">
      <alignment horizontal="left"/>
    </xf>
    <xf numFmtId="0" fontId="48" fillId="0" borderId="2" xfId="234" applyNumberFormat="1" applyFont="1" applyBorder="1" applyAlignment="1">
      <alignment horizontal="left"/>
    </xf>
    <xf numFmtId="43" fontId="18" fillId="24" borderId="0" xfId="234" applyFont="1" applyFill="1" applyBorder="1"/>
    <xf numFmtId="0" fontId="18" fillId="18" borderId="1" xfId="3" applyFont="1" applyFill="1" applyBorder="1"/>
    <xf numFmtId="185" fontId="18" fillId="0" borderId="21" xfId="234" applyNumberFormat="1" applyFont="1" applyBorder="1"/>
    <xf numFmtId="185" fontId="48" fillId="0" borderId="21" xfId="234" applyNumberFormat="1" applyFont="1" applyBorder="1"/>
    <xf numFmtId="179" fontId="47" fillId="0" borderId="21" xfId="234" applyNumberFormat="1" applyFont="1" applyBorder="1"/>
    <xf numFmtId="179" fontId="31" fillId="0" borderId="21" xfId="234" applyNumberFormat="1" applyFont="1" applyBorder="1"/>
    <xf numFmtId="185" fontId="23" fillId="0" borderId="21" xfId="234" applyNumberFormat="1" applyFont="1" applyBorder="1"/>
    <xf numFmtId="10" fontId="23" fillId="0" borderId="21" xfId="568" applyNumberFormat="1" applyFont="1" applyBorder="1"/>
    <xf numFmtId="10" fontId="18" fillId="0" borderId="21" xfId="3" applyNumberFormat="1" applyFont="1" applyBorder="1"/>
    <xf numFmtId="179" fontId="48" fillId="0" borderId="21" xfId="234" applyNumberFormat="1" applyFont="1" applyBorder="1"/>
    <xf numFmtId="164" fontId="31" fillId="24" borderId="0" xfId="546" applyNumberFormat="1" applyFont="1" applyFill="1" applyBorder="1"/>
    <xf numFmtId="164" fontId="31" fillId="24" borderId="21" xfId="546" applyNumberFormat="1" applyFont="1" applyFill="1" applyBorder="1"/>
    <xf numFmtId="164" fontId="31" fillId="0" borderId="0" xfId="3" applyNumberFormat="1" applyFont="1" applyFill="1" applyBorder="1"/>
    <xf numFmtId="164" fontId="31" fillId="0" borderId="2" xfId="3" applyNumberFormat="1" applyFont="1" applyFill="1" applyBorder="1"/>
    <xf numFmtId="164" fontId="31" fillId="0" borderId="21" xfId="3" applyNumberFormat="1" applyFont="1" applyFill="1" applyBorder="1"/>
    <xf numFmtId="164" fontId="48" fillId="0" borderId="0" xfId="3" applyNumberFormat="1" applyFont="1" applyFill="1" applyBorder="1"/>
    <xf numFmtId="164" fontId="48" fillId="0" borderId="2" xfId="3" applyNumberFormat="1" applyFont="1" applyFill="1" applyBorder="1"/>
    <xf numFmtId="206" fontId="18" fillId="24" borderId="0" xfId="546" applyNumberFormat="1" applyFont="1" applyFill="1" applyBorder="1"/>
    <xf numFmtId="206" fontId="18" fillId="24" borderId="21" xfId="546" applyNumberFormat="1" applyFont="1" applyFill="1" applyBorder="1"/>
    <xf numFmtId="206" fontId="48" fillId="24" borderId="0" xfId="546" applyNumberFormat="1" applyFont="1" applyFill="1" applyBorder="1"/>
    <xf numFmtId="206" fontId="48" fillId="24" borderId="21" xfId="546" applyNumberFormat="1" applyFont="1" applyFill="1" applyBorder="1"/>
    <xf numFmtId="206" fontId="18" fillId="0" borderId="0" xfId="3" applyNumberFormat="1" applyFont="1"/>
    <xf numFmtId="206" fontId="18" fillId="0" borderId="7" xfId="3" applyNumberFormat="1" applyFont="1" applyFill="1" applyBorder="1"/>
    <xf numFmtId="206" fontId="18" fillId="0" borderId="21" xfId="3" applyNumberFormat="1" applyFont="1" applyFill="1" applyBorder="1"/>
    <xf numFmtId="206" fontId="18" fillId="24" borderId="20" xfId="546" applyNumberFormat="1" applyFont="1" applyFill="1" applyBorder="1"/>
    <xf numFmtId="206" fontId="18" fillId="0" borderId="26" xfId="3" applyNumberFormat="1" applyFont="1" applyBorder="1"/>
    <xf numFmtId="206" fontId="18" fillId="0" borderId="17" xfId="3" applyNumberFormat="1" applyFont="1" applyFill="1" applyBorder="1"/>
    <xf numFmtId="206" fontId="18" fillId="0" borderId="0" xfId="3" applyNumberFormat="1" applyFont="1" applyFill="1" applyBorder="1"/>
    <xf numFmtId="206" fontId="18" fillId="0" borderId="20" xfId="3" applyNumberFormat="1" applyFont="1" applyFill="1" applyBorder="1"/>
    <xf numFmtId="206" fontId="18" fillId="0" borderId="2" xfId="3" applyNumberFormat="1" applyFont="1" applyBorder="1"/>
    <xf numFmtId="0" fontId="18" fillId="0" borderId="7" xfId="3" applyNumberFormat="1" applyFont="1" applyFill="1" applyBorder="1"/>
    <xf numFmtId="185" fontId="36" fillId="0" borderId="0" xfId="234" applyNumberFormat="1" applyFont="1"/>
    <xf numFmtId="0" fontId="50" fillId="0" borderId="0" xfId="3" applyFont="1"/>
    <xf numFmtId="10" fontId="18" fillId="0" borderId="0" xfId="568" applyNumberFormat="1" applyFont="1" applyBorder="1"/>
    <xf numFmtId="10" fontId="18" fillId="0" borderId="21" xfId="568" applyNumberFormat="1" applyFont="1" applyBorder="1"/>
    <xf numFmtId="164" fontId="36" fillId="24" borderId="0" xfId="546" applyNumberFormat="1" applyFont="1" applyFill="1" applyBorder="1"/>
    <xf numFmtId="164" fontId="36" fillId="24" borderId="21" xfId="546" applyNumberFormat="1" applyFont="1" applyFill="1" applyBorder="1"/>
    <xf numFmtId="0" fontId="77" fillId="0" borderId="0" xfId="3" applyFont="1"/>
    <xf numFmtId="0" fontId="77" fillId="0" borderId="21" xfId="3" applyFont="1" applyFill="1" applyBorder="1"/>
    <xf numFmtId="164" fontId="74" fillId="24" borderId="0" xfId="546" applyNumberFormat="1" applyFont="1" applyFill="1" applyBorder="1"/>
    <xf numFmtId="164" fontId="74" fillId="24" borderId="21" xfId="546" applyNumberFormat="1" applyFont="1" applyFill="1" applyBorder="1"/>
    <xf numFmtId="0" fontId="77" fillId="0" borderId="26" xfId="3" applyFont="1" applyBorder="1"/>
    <xf numFmtId="164" fontId="77" fillId="0" borderId="0" xfId="3" applyNumberFormat="1" applyFont="1" applyFill="1" applyBorder="1"/>
    <xf numFmtId="164" fontId="77" fillId="0" borderId="2" xfId="3" applyNumberFormat="1" applyFont="1" applyFill="1" applyBorder="1"/>
    <xf numFmtId="0" fontId="77" fillId="0" borderId="2" xfId="3" applyFont="1" applyBorder="1"/>
    <xf numFmtId="44" fontId="36" fillId="24" borderId="0" xfId="394" applyFont="1" applyFill="1" applyBorder="1"/>
    <xf numFmtId="44" fontId="36" fillId="24" borderId="21" xfId="394" applyFont="1" applyFill="1" applyBorder="1"/>
    <xf numFmtId="164" fontId="36" fillId="0" borderId="0" xfId="3" applyNumberFormat="1" applyFont="1" applyFill="1" applyBorder="1"/>
    <xf numFmtId="164" fontId="36" fillId="0" borderId="2" xfId="3" applyNumberFormat="1" applyFont="1" applyFill="1" applyBorder="1"/>
    <xf numFmtId="164" fontId="36" fillId="0" borderId="21" xfId="3" applyNumberFormat="1" applyFont="1" applyFill="1" applyBorder="1"/>
    <xf numFmtId="206" fontId="36" fillId="24" borderId="0" xfId="546" applyNumberFormat="1" applyFont="1" applyFill="1" applyBorder="1"/>
    <xf numFmtId="206" fontId="36" fillId="24" borderId="21" xfId="546" applyNumberFormat="1" applyFont="1" applyFill="1" applyBorder="1"/>
    <xf numFmtId="0" fontId="20" fillId="0" borderId="23" xfId="3" applyFont="1" applyFill="1" applyBorder="1" applyAlignment="1">
      <alignment horizontal="left" indent="1"/>
    </xf>
    <xf numFmtId="185" fontId="23" fillId="0" borderId="0" xfId="234" applyNumberFormat="1" applyFont="1" applyBorder="1"/>
    <xf numFmtId="185" fontId="48" fillId="0" borderId="0" xfId="234" applyNumberFormat="1" applyFont="1" applyBorder="1"/>
    <xf numFmtId="185" fontId="36" fillId="0" borderId="0" xfId="234" applyNumberFormat="1" applyFont="1" applyBorder="1"/>
    <xf numFmtId="185" fontId="36" fillId="0" borderId="21" xfId="234" applyNumberFormat="1" applyFont="1" applyBorder="1"/>
    <xf numFmtId="179" fontId="47" fillId="0" borderId="0" xfId="234" applyNumberFormat="1" applyFont="1" applyBorder="1"/>
    <xf numFmtId="179" fontId="31" fillId="0" borderId="0" xfId="234" applyNumberFormat="1" applyFont="1" applyBorder="1"/>
    <xf numFmtId="10" fontId="23" fillId="0" borderId="0" xfId="568" applyNumberFormat="1" applyFont="1" applyBorder="1"/>
    <xf numFmtId="10" fontId="18" fillId="0" borderId="0" xfId="3" applyNumberFormat="1" applyFont="1" applyBorder="1"/>
    <xf numFmtId="0" fontId="48" fillId="0" borderId="0" xfId="3" applyFont="1" applyBorder="1"/>
    <xf numFmtId="179" fontId="48" fillId="0" borderId="0" xfId="234" applyNumberFormat="1" applyFont="1" applyBorder="1"/>
    <xf numFmtId="0" fontId="31" fillId="0" borderId="3" xfId="3" applyFont="1" applyBorder="1"/>
    <xf numFmtId="179" fontId="31" fillId="0" borderId="23" xfId="3" applyNumberFormat="1" applyFont="1" applyBorder="1"/>
    <xf numFmtId="179" fontId="31" fillId="0" borderId="22" xfId="3" applyNumberFormat="1" applyFont="1" applyBorder="1"/>
    <xf numFmtId="185" fontId="18" fillId="0" borderId="2" xfId="234" applyNumberFormat="1" applyFont="1" applyBorder="1"/>
    <xf numFmtId="185" fontId="48" fillId="0" borderId="2" xfId="234" applyNumberFormat="1" applyFont="1" applyBorder="1"/>
    <xf numFmtId="185" fontId="36" fillId="0" borderId="2" xfId="234" applyNumberFormat="1" applyFont="1" applyBorder="1"/>
    <xf numFmtId="185" fontId="23" fillId="0" borderId="2" xfId="234" applyNumberFormat="1" applyFont="1" applyBorder="1"/>
    <xf numFmtId="10" fontId="23" fillId="0" borderId="2" xfId="568" applyNumberFormat="1" applyFont="1" applyBorder="1"/>
    <xf numFmtId="10" fontId="18" fillId="0" borderId="2" xfId="568" applyNumberFormat="1" applyFont="1" applyBorder="1"/>
    <xf numFmtId="10" fontId="18" fillId="0" borderId="2" xfId="3" applyNumberFormat="1" applyFont="1" applyBorder="1"/>
    <xf numFmtId="1" fontId="31" fillId="18" borderId="1" xfId="3" applyNumberFormat="1" applyFont="1" applyFill="1" applyBorder="1" applyAlignment="1">
      <alignment horizontal="right"/>
    </xf>
    <xf numFmtId="1" fontId="31" fillId="18" borderId="25" xfId="3" applyNumberFormat="1" applyFont="1" applyFill="1" applyBorder="1" applyAlignment="1">
      <alignment horizontal="right"/>
    </xf>
    <xf numFmtId="0" fontId="20" fillId="0" borderId="0" xfId="3" applyFont="1" applyFill="1" applyBorder="1" applyAlignment="1">
      <alignment horizontal="left" indent="1"/>
    </xf>
    <xf numFmtId="179" fontId="66" fillId="0" borderId="2" xfId="234" applyNumberFormat="1" applyFont="1" applyBorder="1"/>
    <xf numFmtId="1" fontId="61" fillId="25" borderId="24" xfId="548" applyNumberFormat="1" applyFont="1" applyFill="1" applyBorder="1" applyAlignment="1">
      <alignment horizontal="right"/>
    </xf>
    <xf numFmtId="181" fontId="31" fillId="0" borderId="2" xfId="3" applyNumberFormat="1" applyFont="1" applyFill="1" applyBorder="1"/>
    <xf numFmtId="168" fontId="24" fillId="0" borderId="22" xfId="568" applyNumberFormat="1" applyFont="1" applyFill="1" applyBorder="1"/>
    <xf numFmtId="9" fontId="26" fillId="0" borderId="2" xfId="568" applyFont="1" applyBorder="1"/>
    <xf numFmtId="179" fontId="36" fillId="18" borderId="2" xfId="234" applyNumberFormat="1" applyFont="1" applyFill="1" applyBorder="1"/>
    <xf numFmtId="179" fontId="36" fillId="0" borderId="2" xfId="234" applyNumberFormat="1" applyFont="1" applyBorder="1"/>
    <xf numFmtId="9" fontId="37" fillId="0" borderId="2" xfId="568" applyFont="1" applyBorder="1"/>
    <xf numFmtId="1" fontId="44" fillId="25" borderId="23" xfId="548" applyNumberFormat="1" applyFont="1" applyFill="1" applyBorder="1" applyAlignment="1">
      <alignment horizontal="right"/>
    </xf>
    <xf numFmtId="168" fontId="26" fillId="0" borderId="2" xfId="568" applyNumberFormat="1" applyFont="1" applyFill="1" applyBorder="1"/>
    <xf numFmtId="168" fontId="0" fillId="0" borderId="0" xfId="568" applyNumberFormat="1" applyFont="1"/>
    <xf numFmtId="185" fontId="34" fillId="0" borderId="0" xfId="234" applyNumberFormat="1" applyFont="1"/>
    <xf numFmtId="6" fontId="0" fillId="18" borderId="21" xfId="3" applyNumberFormat="1" applyFont="1" applyFill="1" applyBorder="1" applyAlignment="1">
      <alignment horizontal="center"/>
    </xf>
    <xf numFmtId="6" fontId="30" fillId="18" borderId="25" xfId="3" applyNumberFormat="1" applyFont="1" applyFill="1" applyBorder="1" applyAlignment="1">
      <alignment horizontal="center"/>
    </xf>
    <xf numFmtId="9" fontId="0" fillId="18" borderId="21" xfId="3" applyNumberFormat="1" applyFont="1" applyFill="1" applyBorder="1" applyAlignment="1">
      <alignment horizontal="center"/>
    </xf>
    <xf numFmtId="9" fontId="30" fillId="18" borderId="25" xfId="3" applyNumberFormat="1" applyFont="1" applyFill="1" applyBorder="1" applyAlignment="1">
      <alignment horizontal="center"/>
    </xf>
    <xf numFmtId="6" fontId="0" fillId="0" borderId="17" xfId="3" applyNumberFormat="1" applyFont="1" applyFill="1" applyBorder="1" applyAlignment="1">
      <alignment horizontal="center"/>
    </xf>
    <xf numFmtId="6" fontId="0" fillId="0" borderId="0" xfId="3" applyNumberFormat="1" applyFont="1" applyFill="1" applyBorder="1" applyAlignment="1">
      <alignment horizontal="center"/>
    </xf>
    <xf numFmtId="6" fontId="0" fillId="0" borderId="3" xfId="3" applyNumberFormat="1" applyFont="1" applyFill="1" applyBorder="1" applyAlignment="1">
      <alignment horizontal="center"/>
    </xf>
    <xf numFmtId="6" fontId="30" fillId="0" borderId="1" xfId="3" applyNumberFormat="1" applyFont="1" applyFill="1" applyBorder="1" applyAlignment="1">
      <alignment horizontal="center"/>
    </xf>
    <xf numFmtId="7" fontId="31" fillId="0" borderId="1" xfId="3" applyNumberFormat="1" applyFont="1" applyFill="1" applyBorder="1" applyAlignment="1">
      <alignment horizontal="right"/>
    </xf>
    <xf numFmtId="0" fontId="50" fillId="0" borderId="0" xfId="3" applyFont="1" applyFill="1" applyBorder="1"/>
    <xf numFmtId="0" fontId="44" fillId="29" borderId="24" xfId="3" applyFont="1" applyFill="1" applyBorder="1"/>
    <xf numFmtId="0" fontId="19" fillId="29" borderId="1" xfId="3" applyFont="1" applyFill="1" applyBorder="1"/>
    <xf numFmtId="1" fontId="19" fillId="29" borderId="1" xfId="548" applyNumberFormat="1" applyFont="1" applyFill="1" applyBorder="1" applyAlignment="1">
      <alignment horizontal="right"/>
    </xf>
    <xf numFmtId="1" fontId="19" fillId="29" borderId="24" xfId="548" applyNumberFormat="1" applyFont="1" applyFill="1" applyBorder="1" applyAlignment="1">
      <alignment horizontal="right"/>
    </xf>
    <xf numFmtId="1" fontId="19" fillId="29" borderId="25" xfId="548" applyNumberFormat="1" applyFont="1" applyFill="1" applyBorder="1" applyAlignment="1">
      <alignment horizontal="right"/>
    </xf>
    <xf numFmtId="1" fontId="44" fillId="29" borderId="24" xfId="548" applyNumberFormat="1" applyFont="1" applyFill="1" applyBorder="1" applyAlignment="1">
      <alignment horizontal="right"/>
    </xf>
    <xf numFmtId="1" fontId="44" fillId="29" borderId="1" xfId="548" applyNumberFormat="1" applyFont="1" applyFill="1" applyBorder="1" applyAlignment="1">
      <alignment horizontal="right"/>
    </xf>
    <xf numFmtId="1" fontId="44" fillId="29" borderId="25" xfId="548" applyNumberFormat="1" applyFont="1" applyFill="1" applyBorder="1" applyAlignment="1">
      <alignment horizontal="right"/>
    </xf>
    <xf numFmtId="0" fontId="60" fillId="29" borderId="24" xfId="3" applyFont="1" applyFill="1" applyBorder="1"/>
    <xf numFmtId="0" fontId="18" fillId="29" borderId="25" xfId="3" applyFont="1" applyFill="1" applyBorder="1"/>
    <xf numFmtId="168" fontId="20" fillId="29" borderId="1" xfId="568" applyNumberFormat="1" applyFont="1" applyFill="1" applyBorder="1"/>
    <xf numFmtId="168" fontId="20" fillId="29" borderId="25" xfId="568" applyNumberFormat="1" applyFont="1" applyFill="1" applyBorder="1"/>
    <xf numFmtId="168" fontId="20" fillId="29" borderId="24" xfId="568" applyNumberFormat="1" applyFont="1" applyFill="1" applyBorder="1"/>
    <xf numFmtId="0" fontId="18" fillId="29" borderId="24" xfId="3" applyFont="1" applyFill="1" applyBorder="1"/>
    <xf numFmtId="0" fontId="18" fillId="29" borderId="1" xfId="3" applyFont="1" applyFill="1" applyBorder="1"/>
    <xf numFmtId="0" fontId="48" fillId="0" borderId="2" xfId="3" applyFont="1" applyFill="1" applyBorder="1" applyAlignment="1">
      <alignment horizontal="left"/>
    </xf>
    <xf numFmtId="0" fontId="48" fillId="0" borderId="21" xfId="3" applyFont="1" applyFill="1" applyBorder="1" applyAlignment="1">
      <alignment horizontal="left" indent="1"/>
    </xf>
    <xf numFmtId="44" fontId="23" fillId="0" borderId="0" xfId="394" applyFont="1" applyFill="1" applyBorder="1"/>
    <xf numFmtId="44" fontId="18" fillId="0" borderId="0" xfId="394" applyFont="1" applyFill="1" applyBorder="1"/>
    <xf numFmtId="44" fontId="18" fillId="0" borderId="21" xfId="394" applyFont="1" applyFill="1" applyBorder="1"/>
    <xf numFmtId="176" fontId="23" fillId="0" borderId="2" xfId="3" applyNumberFormat="1" applyFont="1" applyFill="1" applyBorder="1"/>
    <xf numFmtId="44" fontId="18" fillId="0" borderId="2" xfId="394" applyFont="1" applyFill="1" applyBorder="1"/>
    <xf numFmtId="0" fontId="31" fillId="18" borderId="24" xfId="3" applyFont="1" applyFill="1" applyBorder="1"/>
    <xf numFmtId="0" fontId="48" fillId="0" borderId="0" xfId="3" applyFont="1" applyFill="1"/>
    <xf numFmtId="0" fontId="48" fillId="0" borderId="26" xfId="3" applyFont="1" applyFill="1" applyBorder="1"/>
    <xf numFmtId="0" fontId="79" fillId="0" borderId="21" xfId="3" applyFont="1" applyFill="1" applyBorder="1" applyAlignment="1">
      <alignment horizontal="left" indent="1"/>
    </xf>
    <xf numFmtId="176" fontId="31" fillId="0" borderId="22" xfId="3" applyNumberFormat="1" applyFont="1" applyFill="1" applyBorder="1"/>
    <xf numFmtId="176" fontId="31" fillId="0" borderId="3" xfId="3" applyNumberFormat="1" applyFont="1" applyFill="1" applyBorder="1"/>
    <xf numFmtId="176" fontId="31" fillId="0" borderId="23" xfId="3" applyNumberFormat="1" applyFont="1" applyFill="1" applyBorder="1"/>
    <xf numFmtId="0" fontId="31" fillId="0" borderId="22" xfId="3" applyFont="1" applyFill="1" applyBorder="1" applyAlignment="1">
      <alignment horizontal="left"/>
    </xf>
    <xf numFmtId="0" fontId="31" fillId="0" borderId="23" xfId="3" applyFont="1" applyFill="1" applyBorder="1" applyAlignment="1">
      <alignment horizontal="left" indent="1"/>
    </xf>
    <xf numFmtId="164" fontId="31" fillId="0" borderId="3" xfId="3" applyNumberFormat="1" applyFont="1" applyFill="1" applyBorder="1" applyAlignment="1"/>
    <xf numFmtId="164" fontId="31" fillId="0" borderId="23" xfId="3" applyNumberFormat="1" applyFont="1" applyFill="1" applyBorder="1" applyAlignment="1"/>
    <xf numFmtId="164" fontId="31" fillId="0" borderId="22" xfId="3" applyNumberFormat="1" applyFont="1" applyFill="1" applyBorder="1" applyAlignment="1"/>
    <xf numFmtId="0" fontId="18" fillId="0" borderId="2" xfId="234" applyNumberFormat="1" applyFont="1" applyBorder="1" applyAlignment="1">
      <alignment horizontal="left"/>
    </xf>
    <xf numFmtId="0" fontId="48" fillId="0" borderId="0" xfId="3" applyNumberFormat="1" applyFont="1" applyBorder="1"/>
    <xf numFmtId="0" fontId="31" fillId="0" borderId="0" xfId="3" applyNumberFormat="1" applyFont="1" applyBorder="1"/>
    <xf numFmtId="0" fontId="36" fillId="0" borderId="0" xfId="3" applyNumberFormat="1" applyFont="1" applyBorder="1"/>
    <xf numFmtId="0" fontId="75" fillId="0" borderId="0" xfId="234" applyNumberFormat="1" applyFont="1" applyBorder="1"/>
    <xf numFmtId="0" fontId="76" fillId="0" borderId="0" xfId="3" applyNumberFormat="1" applyFont="1" applyBorder="1"/>
    <xf numFmtId="0" fontId="75" fillId="0" borderId="0" xfId="3" applyNumberFormat="1" applyFont="1" applyBorder="1"/>
    <xf numFmtId="0" fontId="18" fillId="0" borderId="0" xfId="3" applyNumberFormat="1" applyFont="1" applyBorder="1"/>
    <xf numFmtId="1" fontId="31" fillId="18" borderId="24" xfId="3" applyNumberFormat="1" applyFont="1" applyFill="1" applyBorder="1" applyAlignment="1">
      <alignment horizontal="right"/>
    </xf>
    <xf numFmtId="0" fontId="31" fillId="0" borderId="22" xfId="3" applyFont="1" applyBorder="1"/>
    <xf numFmtId="168" fontId="18" fillId="0" borderId="0" xfId="568" applyNumberFormat="1" applyFont="1" applyBorder="1"/>
    <xf numFmtId="164" fontId="29" fillId="0" borderId="2" xfId="3" applyNumberFormat="1" applyFont="1" applyFill="1" applyBorder="1" applyAlignment="1"/>
    <xf numFmtId="164" fontId="29" fillId="0" borderId="21" xfId="3" applyNumberFormat="1" applyFont="1" applyFill="1" applyBorder="1" applyAlignment="1"/>
    <xf numFmtId="0" fontId="77" fillId="0" borderId="2" xfId="3" applyFont="1" applyFill="1" applyBorder="1"/>
    <xf numFmtId="164" fontId="74" fillId="0" borderId="0" xfId="3" applyNumberFormat="1" applyFont="1" applyFill="1" applyBorder="1"/>
    <xf numFmtId="185" fontId="74" fillId="0" borderId="0" xfId="234" applyNumberFormat="1" applyFont="1"/>
    <xf numFmtId="44" fontId="36" fillId="0" borderId="26" xfId="394" applyFont="1" applyBorder="1"/>
    <xf numFmtId="44" fontId="36" fillId="0" borderId="0" xfId="394" applyFont="1" applyFill="1" applyBorder="1"/>
    <xf numFmtId="44" fontId="18" fillId="0" borderId="0" xfId="394" applyFont="1"/>
    <xf numFmtId="206" fontId="18" fillId="0" borderId="0" xfId="234" applyNumberFormat="1" applyFont="1"/>
    <xf numFmtId="206" fontId="48" fillId="0" borderId="0" xfId="234" applyNumberFormat="1" applyFont="1"/>
    <xf numFmtId="206" fontId="48" fillId="0" borderId="0" xfId="3" applyNumberFormat="1" applyFont="1" applyFill="1" applyBorder="1"/>
    <xf numFmtId="179" fontId="18" fillId="0" borderId="0" xfId="3" applyNumberFormat="1" applyFont="1"/>
    <xf numFmtId="179" fontId="29" fillId="0" borderId="0" xfId="234" applyNumberFormat="1" applyFont="1" applyBorder="1"/>
    <xf numFmtId="168" fontId="75" fillId="0" borderId="2" xfId="234" applyNumberFormat="1" applyFont="1" applyBorder="1"/>
    <xf numFmtId="168" fontId="18" fillId="0" borderId="0" xfId="234" applyNumberFormat="1" applyFont="1" applyBorder="1"/>
    <xf numFmtId="168" fontId="18" fillId="0" borderId="2" xfId="234" applyNumberFormat="1" applyFont="1" applyBorder="1"/>
    <xf numFmtId="179" fontId="18" fillId="0" borderId="22" xfId="234" applyNumberFormat="1" applyFont="1" applyBorder="1"/>
    <xf numFmtId="179" fontId="18" fillId="0" borderId="3" xfId="234" applyNumberFormat="1" applyFont="1" applyBorder="1"/>
    <xf numFmtId="179" fontId="37" fillId="0" borderId="0" xfId="234" applyNumberFormat="1" applyFont="1" applyBorder="1"/>
    <xf numFmtId="44" fontId="23" fillId="0" borderId="2" xfId="394" applyFont="1" applyFill="1" applyBorder="1"/>
    <xf numFmtId="44" fontId="23" fillId="0" borderId="21" xfId="394" applyFont="1" applyFill="1" applyBorder="1"/>
    <xf numFmtId="177" fontId="29" fillId="0" borderId="2" xfId="3" applyNumberFormat="1" applyFont="1" applyFill="1" applyBorder="1"/>
    <xf numFmtId="164" fontId="29" fillId="0" borderId="21" xfId="3" applyNumberFormat="1" applyFont="1" applyFill="1" applyBorder="1"/>
    <xf numFmtId="164" fontId="24" fillId="0" borderId="2" xfId="3" applyNumberFormat="1" applyFont="1" applyFill="1" applyBorder="1"/>
    <xf numFmtId="1" fontId="21" fillId="0" borderId="22" xfId="547" applyNumberFormat="1" applyFont="1" applyFill="1" applyBorder="1" applyAlignment="1">
      <alignment horizontal="right"/>
    </xf>
    <xf numFmtId="1" fontId="21" fillId="0" borderId="3" xfId="547" applyNumberFormat="1" applyFont="1" applyFill="1" applyBorder="1" applyAlignment="1">
      <alignment horizontal="right"/>
    </xf>
    <xf numFmtId="185" fontId="80" fillId="0" borderId="0" xfId="234" applyNumberFormat="1" applyFont="1" applyFill="1" applyBorder="1"/>
    <xf numFmtId="185" fontId="80" fillId="0" borderId="21" xfId="234" applyNumberFormat="1" applyFont="1" applyFill="1" applyBorder="1"/>
    <xf numFmtId="185" fontId="80" fillId="0" borderId="0" xfId="234" applyNumberFormat="1" applyFont="1" applyBorder="1"/>
    <xf numFmtId="168" fontId="13" fillId="0" borderId="0" xfId="568" applyNumberFormat="1" applyFont="1"/>
    <xf numFmtId="176" fontId="23" fillId="0" borderId="20" xfId="3" applyNumberFormat="1" applyFont="1" applyFill="1" applyBorder="1"/>
    <xf numFmtId="179" fontId="29" fillId="0" borderId="0" xfId="234" applyNumberFormat="1" applyFont="1" applyFill="1" applyBorder="1"/>
    <xf numFmtId="0" fontId="50" fillId="0" borderId="2" xfId="234" applyNumberFormat="1" applyFont="1" applyBorder="1"/>
    <xf numFmtId="0" fontId="30" fillId="0" borderId="0" xfId="0" applyFont="1"/>
    <xf numFmtId="0" fontId="34" fillId="0" borderId="0" xfId="0" applyFont="1"/>
    <xf numFmtId="0" fontId="73" fillId="0" borderId="0" xfId="0" applyFont="1"/>
    <xf numFmtId="9" fontId="18" fillId="0" borderId="0" xfId="568" applyFont="1"/>
    <xf numFmtId="176" fontId="23" fillId="0" borderId="17" xfId="3" applyNumberFormat="1" applyFont="1" applyFill="1" applyBorder="1"/>
    <xf numFmtId="6" fontId="0" fillId="18" borderId="23" xfId="3" applyNumberFormat="1" applyFont="1" applyFill="1" applyBorder="1" applyAlignment="1">
      <alignment horizontal="center"/>
    </xf>
    <xf numFmtId="185" fontId="80" fillId="0" borderId="2" xfId="234" applyNumberFormat="1" applyFont="1" applyBorder="1"/>
    <xf numFmtId="179" fontId="36" fillId="0" borderId="2" xfId="234" applyNumberFormat="1" applyFont="1" applyFill="1" applyBorder="1"/>
    <xf numFmtId="179" fontId="37" fillId="0" borderId="21" xfId="234" applyNumberFormat="1" applyFont="1" applyFill="1" applyBorder="1"/>
    <xf numFmtId="0" fontId="0" fillId="0" borderId="0" xfId="0" applyFill="1"/>
    <xf numFmtId="9" fontId="18" fillId="0" borderId="0" xfId="568" applyFont="1" applyFill="1"/>
    <xf numFmtId="9" fontId="36" fillId="0" borderId="2" xfId="568" applyFont="1" applyFill="1" applyBorder="1" applyAlignment="1">
      <alignment horizontal="left"/>
    </xf>
    <xf numFmtId="9" fontId="18" fillId="0" borderId="21" xfId="568" applyFont="1" applyFill="1" applyBorder="1"/>
    <xf numFmtId="9" fontId="20" fillId="0" borderId="0" xfId="568" applyFont="1" applyFill="1" applyBorder="1"/>
    <xf numFmtId="9" fontId="20" fillId="0" borderId="21" xfId="568" applyFont="1" applyFill="1" applyBorder="1"/>
    <xf numFmtId="9" fontId="36" fillId="0" borderId="0" xfId="568" applyFont="1" applyFill="1" applyBorder="1"/>
    <xf numFmtId="9" fontId="36" fillId="0" borderId="21" xfId="568" applyFont="1" applyFill="1" applyBorder="1"/>
    <xf numFmtId="9" fontId="18" fillId="0" borderId="2" xfId="568" applyFont="1" applyFill="1" applyBorder="1"/>
    <xf numFmtId="9" fontId="0" fillId="0" borderId="0" xfId="568" applyFont="1" applyFill="1"/>
    <xf numFmtId="9" fontId="36" fillId="0" borderId="0" xfId="568" applyFont="1" applyFill="1" applyBorder="1" applyAlignment="1">
      <alignment horizontal="right"/>
    </xf>
    <xf numFmtId="43" fontId="13" fillId="0" borderId="0" xfId="234" applyFont="1"/>
    <xf numFmtId="181" fontId="31" fillId="0" borderId="22" xfId="3" applyNumberFormat="1" applyFont="1" applyBorder="1"/>
    <xf numFmtId="181" fontId="31" fillId="0" borderId="3" xfId="3" applyNumberFormat="1" applyFont="1" applyBorder="1"/>
    <xf numFmtId="182" fontId="18" fillId="0" borderId="21" xfId="3" applyNumberFormat="1" applyFont="1" applyBorder="1"/>
    <xf numFmtId="185" fontId="65" fillId="0" borderId="0" xfId="234" applyNumberFormat="1" applyFont="1" applyBorder="1"/>
    <xf numFmtId="185" fontId="65" fillId="0" borderId="2" xfId="234" applyNumberFormat="1" applyFont="1" applyBorder="1"/>
    <xf numFmtId="179" fontId="65" fillId="0" borderId="0" xfId="234" applyNumberFormat="1" applyFont="1" applyFill="1" applyBorder="1"/>
    <xf numFmtId="179" fontId="65" fillId="0" borderId="21" xfId="234" applyNumberFormat="1" applyFont="1" applyFill="1" applyBorder="1"/>
    <xf numFmtId="179" fontId="65" fillId="0" borderId="0" xfId="234" applyNumberFormat="1" applyFont="1" applyBorder="1"/>
    <xf numFmtId="179" fontId="65" fillId="0" borderId="2" xfId="234" applyNumberFormat="1" applyFont="1" applyFill="1" applyBorder="1"/>
    <xf numFmtId="179" fontId="13" fillId="0" borderId="0" xfId="234" applyNumberFormat="1" applyFont="1"/>
    <xf numFmtId="167" fontId="13" fillId="0" borderId="0" xfId="3" applyNumberFormat="1" applyFont="1"/>
    <xf numFmtId="0" fontId="48" fillId="0" borderId="21" xfId="3" applyFont="1" applyBorder="1"/>
    <xf numFmtId="182" fontId="48" fillId="0" borderId="2" xfId="3" applyNumberFormat="1" applyFont="1" applyBorder="1"/>
    <xf numFmtId="182" fontId="48" fillId="0" borderId="0" xfId="3" applyNumberFormat="1" applyFont="1" applyBorder="1"/>
    <xf numFmtId="182" fontId="48" fillId="0" borderId="21" xfId="3" applyNumberFormat="1" applyFont="1" applyBorder="1"/>
    <xf numFmtId="182" fontId="48" fillId="0" borderId="0" xfId="3" applyNumberFormat="1" applyFont="1"/>
    <xf numFmtId="0" fontId="72" fillId="0" borderId="0" xfId="0" applyFont="1"/>
    <xf numFmtId="182" fontId="31" fillId="0" borderId="2" xfId="3" applyNumberFormat="1" applyFont="1" applyBorder="1"/>
    <xf numFmtId="182" fontId="31" fillId="0" borderId="0" xfId="3" applyNumberFormat="1" applyFont="1" applyBorder="1"/>
    <xf numFmtId="182" fontId="31" fillId="0" borderId="21" xfId="3" applyNumberFormat="1" applyFont="1" applyBorder="1"/>
    <xf numFmtId="182" fontId="31" fillId="0" borderId="0" xfId="3" applyNumberFormat="1" applyFont="1"/>
    <xf numFmtId="0" fontId="36" fillId="0" borderId="21" xfId="3" applyFont="1" applyBorder="1"/>
    <xf numFmtId="182" fontId="36" fillId="0" borderId="2" xfId="3" applyNumberFormat="1" applyFont="1" applyBorder="1"/>
    <xf numFmtId="182" fontId="36" fillId="0" borderId="0" xfId="3" applyNumberFormat="1" applyFont="1" applyBorder="1"/>
    <xf numFmtId="182" fontId="36" fillId="0" borderId="21" xfId="3" applyNumberFormat="1" applyFont="1" applyBorder="1"/>
    <xf numFmtId="182" fontId="36" fillId="0" borderId="0" xfId="3" applyNumberFormat="1" applyFont="1"/>
    <xf numFmtId="0" fontId="74" fillId="0" borderId="0" xfId="3" applyFont="1"/>
    <xf numFmtId="0" fontId="74" fillId="0" borderId="2" xfId="3" applyFont="1" applyBorder="1"/>
    <xf numFmtId="0" fontId="74" fillId="0" borderId="21" xfId="3" applyFont="1" applyBorder="1"/>
    <xf numFmtId="182" fontId="74" fillId="0" borderId="2" xfId="3" applyNumberFormat="1" applyFont="1" applyBorder="1"/>
    <xf numFmtId="182" fontId="74" fillId="0" borderId="0" xfId="3" applyNumberFormat="1" applyFont="1" applyBorder="1"/>
    <xf numFmtId="182" fontId="74" fillId="0" borderId="21" xfId="3" applyNumberFormat="1" applyFont="1" applyBorder="1"/>
    <xf numFmtId="182" fontId="74" fillId="0" borderId="0" xfId="3" applyNumberFormat="1" applyFont="1"/>
    <xf numFmtId="0" fontId="74" fillId="0" borderId="26" xfId="3" applyFont="1" applyBorder="1"/>
    <xf numFmtId="0" fontId="78" fillId="0" borderId="0" xfId="0" applyFont="1"/>
    <xf numFmtId="185" fontId="18" fillId="0" borderId="0" xfId="234" applyNumberFormat="1" applyFont="1" applyFill="1" applyBorder="1"/>
    <xf numFmtId="185" fontId="48" fillId="0" borderId="0" xfId="234" applyNumberFormat="1" applyFont="1" applyFill="1" applyBorder="1"/>
    <xf numFmtId="185" fontId="31" fillId="0" borderId="0" xfId="234" applyNumberFormat="1" applyFont="1" applyFill="1" applyBorder="1"/>
    <xf numFmtId="185" fontId="18" fillId="0" borderId="2" xfId="234" applyNumberFormat="1" applyFont="1" applyFill="1" applyBorder="1"/>
    <xf numFmtId="185" fontId="48" fillId="0" borderId="2" xfId="234" applyNumberFormat="1" applyFont="1" applyFill="1" applyBorder="1"/>
    <xf numFmtId="0" fontId="18" fillId="0" borderId="2" xfId="234" applyNumberFormat="1" applyFont="1" applyBorder="1"/>
    <xf numFmtId="0" fontId="48" fillId="0" borderId="2" xfId="234" applyNumberFormat="1" applyFont="1" applyBorder="1"/>
    <xf numFmtId="185" fontId="31" fillId="0" borderId="2" xfId="234" applyNumberFormat="1" applyFont="1" applyFill="1" applyBorder="1"/>
    <xf numFmtId="9" fontId="36" fillId="0" borderId="2" xfId="568" applyFont="1" applyBorder="1"/>
    <xf numFmtId="0" fontId="74" fillId="0" borderId="2" xfId="234" applyNumberFormat="1" applyFont="1" applyBorder="1"/>
    <xf numFmtId="9" fontId="36" fillId="0" borderId="2" xfId="568" applyFont="1" applyBorder="1" applyAlignment="1">
      <alignment horizontal="left"/>
    </xf>
    <xf numFmtId="9" fontId="36" fillId="0" borderId="2" xfId="234" applyNumberFormat="1" applyFont="1" applyBorder="1" applyAlignment="1">
      <alignment horizontal="left"/>
    </xf>
    <xf numFmtId="0" fontId="31" fillId="0" borderId="22" xfId="394" applyNumberFormat="1" applyFont="1" applyBorder="1"/>
    <xf numFmtId="9" fontId="81" fillId="0" borderId="0" xfId="568" applyFont="1" applyBorder="1"/>
    <xf numFmtId="9" fontId="36" fillId="0" borderId="0" xfId="568" applyFont="1"/>
    <xf numFmtId="9" fontId="36" fillId="0" borderId="0" xfId="568" applyFont="1" applyBorder="1"/>
    <xf numFmtId="9" fontId="34" fillId="0" borderId="0" xfId="568" applyFont="1"/>
    <xf numFmtId="44" fontId="31" fillId="0" borderId="22" xfId="394" applyFont="1" applyBorder="1"/>
    <xf numFmtId="185" fontId="36" fillId="0" borderId="0" xfId="234" applyNumberFormat="1" applyFont="1" applyFill="1" applyBorder="1"/>
    <xf numFmtId="9" fontId="36" fillId="0" borderId="21" xfId="568" applyFont="1" applyBorder="1"/>
    <xf numFmtId="44" fontId="31" fillId="0" borderId="0" xfId="394" applyFont="1" applyBorder="1"/>
    <xf numFmtId="44" fontId="31" fillId="0" borderId="3" xfId="394" applyFont="1" applyBorder="1"/>
    <xf numFmtId="44" fontId="31" fillId="0" borderId="3" xfId="394" applyFont="1" applyFill="1" applyBorder="1"/>
    <xf numFmtId="44" fontId="31" fillId="0" borderId="23" xfId="394" applyFont="1" applyBorder="1"/>
    <xf numFmtId="44" fontId="30" fillId="0" borderId="0" xfId="394" applyFont="1" applyBorder="1"/>
    <xf numFmtId="44" fontId="0" fillId="0" borderId="0" xfId="0" applyNumberFormat="1"/>
    <xf numFmtId="185" fontId="36" fillId="0" borderId="2" xfId="234" applyNumberFormat="1" applyFont="1" applyFill="1" applyBorder="1"/>
    <xf numFmtId="9" fontId="36" fillId="0" borderId="2" xfId="568" applyFont="1" applyFill="1" applyBorder="1"/>
    <xf numFmtId="44" fontId="31" fillId="0" borderId="22" xfId="394" applyFont="1" applyFill="1" applyBorder="1"/>
    <xf numFmtId="0" fontId="18" fillId="0" borderId="17" xfId="3" applyFont="1" applyBorder="1"/>
    <xf numFmtId="168" fontId="18" fillId="0" borderId="2" xfId="3" applyNumberFormat="1" applyFont="1" applyBorder="1"/>
    <xf numFmtId="179" fontId="18" fillId="0" borderId="2" xfId="3" applyNumberFormat="1" applyFont="1" applyBorder="1"/>
    <xf numFmtId="179" fontId="31" fillId="0" borderId="22" xfId="234" applyNumberFormat="1" applyFont="1" applyBorder="1"/>
    <xf numFmtId="179" fontId="31" fillId="0" borderId="3" xfId="234" applyNumberFormat="1" applyFont="1" applyBorder="1"/>
    <xf numFmtId="179" fontId="29" fillId="0" borderId="3" xfId="234" applyNumberFormat="1" applyFont="1" applyBorder="1"/>
    <xf numFmtId="0" fontId="0" fillId="0" borderId="0" xfId="0" applyBorder="1"/>
    <xf numFmtId="0" fontId="23" fillId="0" borderId="0" xfId="3" applyFont="1" applyBorder="1"/>
    <xf numFmtId="185" fontId="31" fillId="0" borderId="26" xfId="234" applyNumberFormat="1" applyFont="1" applyBorder="1"/>
    <xf numFmtId="185" fontId="36" fillId="0" borderId="26" xfId="234" applyNumberFormat="1" applyFont="1" applyBorder="1"/>
    <xf numFmtId="9" fontId="36" fillId="0" borderId="26" xfId="568" applyFont="1" applyBorder="1"/>
    <xf numFmtId="44" fontId="31" fillId="0" borderId="26" xfId="394" applyFont="1" applyBorder="1"/>
    <xf numFmtId="0" fontId="13" fillId="0" borderId="2" xfId="3" applyFont="1" applyFill="1" applyBorder="1"/>
    <xf numFmtId="179" fontId="29" fillId="0" borderId="21" xfId="234" applyNumberFormat="1" applyFont="1" applyBorder="1"/>
    <xf numFmtId="185" fontId="74" fillId="0" borderId="0" xfId="234" applyNumberFormat="1" applyFont="1" applyBorder="1"/>
    <xf numFmtId="168" fontId="18" fillId="0" borderId="21" xfId="568" applyNumberFormat="1" applyFont="1" applyBorder="1"/>
    <xf numFmtId="179" fontId="29" fillId="0" borderId="23" xfId="234" applyNumberFormat="1" applyFont="1" applyBorder="1"/>
    <xf numFmtId="206" fontId="18" fillId="0" borderId="0" xfId="234" applyNumberFormat="1" applyFont="1" applyBorder="1"/>
    <xf numFmtId="206" fontId="48" fillId="0" borderId="0" xfId="234" applyNumberFormat="1" applyFont="1" applyBorder="1"/>
    <xf numFmtId="44" fontId="18" fillId="0" borderId="0" xfId="394" applyFont="1" applyBorder="1"/>
    <xf numFmtId="179" fontId="48" fillId="0" borderId="2" xfId="234" applyNumberFormat="1" applyFont="1" applyBorder="1"/>
    <xf numFmtId="168" fontId="13" fillId="0" borderId="0" xfId="3" applyNumberFormat="1" applyFont="1" applyFill="1"/>
    <xf numFmtId="168" fontId="24" fillId="0" borderId="23" xfId="568" applyNumberFormat="1" applyFont="1" applyBorder="1"/>
    <xf numFmtId="179" fontId="65" fillId="0" borderId="21" xfId="234" applyNumberFormat="1" applyFont="1" applyBorder="1"/>
    <xf numFmtId="169" fontId="18" fillId="0" borderId="21" xfId="3" applyNumberFormat="1" applyFont="1" applyFill="1" applyBorder="1" applyAlignment="1"/>
    <xf numFmtId="168" fontId="18" fillId="0" borderId="2" xfId="568" applyNumberFormat="1" applyFont="1" applyFill="1" applyBorder="1" applyAlignment="1"/>
    <xf numFmtId="168" fontId="18" fillId="0" borderId="0" xfId="568" applyNumberFormat="1" applyFont="1" applyFill="1" applyBorder="1" applyAlignment="1"/>
    <xf numFmtId="168" fontId="18" fillId="0" borderId="21" xfId="568" applyNumberFormat="1" applyFont="1" applyFill="1" applyBorder="1" applyAlignment="1"/>
    <xf numFmtId="173" fontId="18" fillId="0" borderId="21" xfId="3" applyNumberFormat="1" applyFont="1" applyFill="1" applyBorder="1" applyAlignment="1"/>
    <xf numFmtId="164" fontId="18" fillId="0" borderId="17" xfId="3" applyNumberFormat="1" applyFont="1" applyFill="1" applyBorder="1" applyAlignment="1"/>
    <xf numFmtId="181" fontId="19" fillId="0" borderId="7" xfId="3" applyNumberFormat="1" applyFont="1" applyBorder="1"/>
    <xf numFmtId="0" fontId="13" fillId="0" borderId="21" xfId="3" applyFont="1" applyFill="1" applyBorder="1"/>
    <xf numFmtId="0" fontId="0" fillId="0" borderId="2" xfId="0" applyBorder="1"/>
    <xf numFmtId="0" fontId="0" fillId="0" borderId="21" xfId="0" applyBorder="1"/>
    <xf numFmtId="181" fontId="19" fillId="0" borderId="7" xfId="3" applyNumberFormat="1" applyFont="1" applyFill="1" applyBorder="1"/>
    <xf numFmtId="167" fontId="18" fillId="0" borderId="0" xfId="4" applyNumberFormat="1" applyFont="1" applyFill="1" applyBorder="1" applyAlignment="1"/>
    <xf numFmtId="1" fontId="19" fillId="29" borderId="17" xfId="548" applyNumberFormat="1" applyFont="1" applyFill="1" applyBorder="1" applyAlignment="1">
      <alignment horizontal="right"/>
    </xf>
    <xf numFmtId="0" fontId="18" fillId="18" borderId="25" xfId="3" applyFont="1" applyFill="1" applyBorder="1"/>
    <xf numFmtId="0" fontId="31" fillId="0" borderId="23" xfId="3" applyFont="1" applyBorder="1"/>
    <xf numFmtId="179" fontId="80" fillId="0" borderId="24" xfId="3" applyNumberFormat="1" applyFont="1" applyBorder="1"/>
    <xf numFmtId="179" fontId="80" fillId="0" borderId="1" xfId="3" applyNumberFormat="1" applyFont="1" applyBorder="1"/>
    <xf numFmtId="179" fontId="80" fillId="0" borderId="25" xfId="3" applyNumberFormat="1" applyFont="1" applyBorder="1"/>
    <xf numFmtId="206" fontId="18" fillId="24" borderId="17" xfId="546" applyNumberFormat="1" applyFont="1" applyFill="1" applyBorder="1"/>
    <xf numFmtId="206" fontId="18" fillId="24" borderId="7" xfId="546" applyNumberFormat="1" applyFont="1" applyFill="1" applyBorder="1"/>
    <xf numFmtId="164" fontId="18" fillId="24" borderId="2" xfId="546" applyNumberFormat="1" applyFont="1" applyFill="1" applyBorder="1"/>
    <xf numFmtId="206" fontId="18" fillId="24" borderId="2" xfId="546" applyNumberFormat="1" applyFont="1" applyFill="1" applyBorder="1"/>
    <xf numFmtId="206" fontId="48" fillId="24" borderId="2" xfId="546" applyNumberFormat="1" applyFont="1" applyFill="1" applyBorder="1"/>
    <xf numFmtId="206" fontId="36" fillId="24" borderId="2" xfId="546" applyNumberFormat="1" applyFont="1" applyFill="1" applyBorder="1"/>
    <xf numFmtId="164" fontId="74" fillId="24" borderId="2" xfId="546" applyNumberFormat="1" applyFont="1" applyFill="1" applyBorder="1"/>
    <xf numFmtId="164" fontId="36" fillId="24" borderId="2" xfId="546" applyNumberFormat="1" applyFont="1" applyFill="1" applyBorder="1"/>
    <xf numFmtId="44" fontId="36" fillId="24" borderId="2" xfId="394" applyFont="1" applyFill="1" applyBorder="1"/>
    <xf numFmtId="167" fontId="18" fillId="24" borderId="2" xfId="546" applyNumberFormat="1" applyFont="1" applyFill="1" applyBorder="1"/>
    <xf numFmtId="164" fontId="18" fillId="24" borderId="22" xfId="546" applyNumberFormat="1" applyFont="1" applyFill="1" applyBorder="1"/>
    <xf numFmtId="185" fontId="23" fillId="0" borderId="0" xfId="234" applyNumberFormat="1" applyFont="1" applyFill="1" applyBorder="1"/>
    <xf numFmtId="179" fontId="29" fillId="0" borderId="2" xfId="234" applyNumberFormat="1" applyFont="1" applyBorder="1"/>
    <xf numFmtId="179" fontId="47" fillId="0" borderId="2" xfId="234" applyNumberFormat="1" applyFont="1" applyBorder="1"/>
    <xf numFmtId="179" fontId="31" fillId="0" borderId="2" xfId="234" applyNumberFormat="1" applyFont="1" applyBorder="1"/>
    <xf numFmtId="179" fontId="48" fillId="0" borderId="22" xfId="234" applyNumberFormat="1" applyFont="1" applyBorder="1"/>
    <xf numFmtId="179" fontId="48" fillId="0" borderId="3" xfId="234" applyNumberFormat="1" applyFont="1" applyBorder="1"/>
    <xf numFmtId="179" fontId="48" fillId="0" borderId="23" xfId="234" applyNumberFormat="1" applyFont="1" applyBorder="1"/>
    <xf numFmtId="0" fontId="18" fillId="0" borderId="7" xfId="3" applyFont="1" applyBorder="1"/>
    <xf numFmtId="1" fontId="19" fillId="18" borderId="17" xfId="547" applyNumberFormat="1" applyFont="1" applyFill="1" applyBorder="1" applyAlignment="1">
      <alignment horizontal="right"/>
    </xf>
    <xf numFmtId="1" fontId="19" fillId="18" borderId="7" xfId="547" applyNumberFormat="1" applyFont="1" applyFill="1" applyBorder="1" applyAlignment="1">
      <alignment horizontal="right"/>
    </xf>
    <xf numFmtId="181" fontId="31" fillId="0" borderId="7" xfId="3" applyNumberFormat="1" applyFont="1" applyFill="1" applyBorder="1"/>
    <xf numFmtId="179" fontId="37" fillId="18" borderId="2" xfId="234" applyNumberFormat="1" applyFont="1" applyFill="1" applyBorder="1"/>
    <xf numFmtId="179" fontId="37" fillId="18" borderId="21" xfId="234" applyNumberFormat="1" applyFont="1" applyFill="1" applyBorder="1"/>
    <xf numFmtId="179" fontId="37" fillId="0" borderId="2" xfId="234" applyNumberFormat="1" applyFont="1" applyFill="1" applyBorder="1"/>
    <xf numFmtId="9" fontId="37" fillId="0" borderId="2" xfId="568" applyFont="1" applyFill="1" applyBorder="1"/>
    <xf numFmtId="211" fontId="13" fillId="0" borderId="0" xfId="3" applyNumberFormat="1" applyFont="1"/>
    <xf numFmtId="185" fontId="65" fillId="31" borderId="2" xfId="234" applyNumberFormat="1" applyFont="1" applyFill="1" applyBorder="1"/>
    <xf numFmtId="185" fontId="65" fillId="0" borderId="0" xfId="234" applyNumberFormat="1" applyFont="1" applyFill="1" applyBorder="1"/>
    <xf numFmtId="185" fontId="65" fillId="31" borderId="0" xfId="234" applyNumberFormat="1" applyFont="1" applyFill="1" applyBorder="1"/>
    <xf numFmtId="174" fontId="23" fillId="0" borderId="21" xfId="234" applyNumberFormat="1" applyFont="1" applyFill="1" applyBorder="1" applyAlignment="1"/>
    <xf numFmtId="164" fontId="18" fillId="0" borderId="21" xfId="3" applyNumberFormat="1" applyFont="1" applyBorder="1"/>
    <xf numFmtId="164" fontId="48" fillId="0" borderId="21" xfId="3" applyNumberFormat="1" applyFont="1" applyBorder="1"/>
    <xf numFmtId="168" fontId="18" fillId="0" borderId="0" xfId="568" applyNumberFormat="1" applyFont="1" applyFill="1"/>
    <xf numFmtId="169" fontId="18" fillId="0" borderId="26" xfId="3" applyNumberFormat="1" applyFont="1" applyBorder="1"/>
    <xf numFmtId="172" fontId="18" fillId="0" borderId="26" xfId="3" applyNumberFormat="1" applyFont="1" applyBorder="1"/>
    <xf numFmtId="44" fontId="20" fillId="0" borderId="0" xfId="394" applyFont="1" applyBorder="1"/>
    <xf numFmtId="9" fontId="89" fillId="0" borderId="2" xfId="568" applyFont="1" applyFill="1" applyBorder="1" applyAlignment="1">
      <alignment horizontal="right"/>
    </xf>
    <xf numFmtId="9" fontId="89" fillId="0" borderId="0" xfId="568" applyFont="1" applyFill="1" applyBorder="1" applyAlignment="1">
      <alignment horizontal="right"/>
    </xf>
    <xf numFmtId="9" fontId="89" fillId="0" borderId="21" xfId="568" applyFont="1" applyFill="1" applyBorder="1" applyAlignment="1">
      <alignment horizontal="center"/>
    </xf>
    <xf numFmtId="9" fontId="89" fillId="0" borderId="2" xfId="568" applyFont="1" applyFill="1" applyBorder="1" applyAlignment="1">
      <alignment horizontal="center"/>
    </xf>
    <xf numFmtId="9" fontId="89" fillId="0" borderId="0" xfId="568" applyFont="1" applyFill="1" applyBorder="1" applyAlignment="1">
      <alignment horizontal="center"/>
    </xf>
    <xf numFmtId="44" fontId="18" fillId="0" borderId="21" xfId="3" applyNumberFormat="1" applyFont="1" applyFill="1" applyBorder="1" applyAlignment="1"/>
    <xf numFmtId="0" fontId="0" fillId="18" borderId="0" xfId="3" applyFont="1" applyFill="1" applyBorder="1"/>
    <xf numFmtId="37" fontId="18" fillId="0" borderId="0" xfId="3" applyNumberFormat="1" applyFont="1" applyFill="1" applyBorder="1" applyAlignment="1">
      <alignment horizontal="center"/>
    </xf>
    <xf numFmtId="168" fontId="18" fillId="0" borderId="21" xfId="234" applyNumberFormat="1" applyFont="1" applyBorder="1"/>
    <xf numFmtId="179" fontId="18" fillId="0" borderId="23" xfId="234" applyNumberFormat="1" applyFont="1" applyBorder="1"/>
    <xf numFmtId="206" fontId="18" fillId="0" borderId="21" xfId="234" applyNumberFormat="1" applyFont="1" applyBorder="1"/>
    <xf numFmtId="206" fontId="48" fillId="0" borderId="21" xfId="234" applyNumberFormat="1" applyFont="1" applyBorder="1"/>
    <xf numFmtId="185" fontId="74" fillId="0" borderId="21" xfId="234" applyNumberFormat="1" applyFont="1" applyBorder="1"/>
    <xf numFmtId="44" fontId="18" fillId="0" borderId="21" xfId="394" applyFont="1" applyBorder="1"/>
    <xf numFmtId="185" fontId="18" fillId="0" borderId="21" xfId="234" applyNumberFormat="1" applyFont="1" applyFill="1" applyBorder="1"/>
    <xf numFmtId="185" fontId="48" fillId="0" borderId="21" xfId="234" applyNumberFormat="1" applyFont="1" applyFill="1" applyBorder="1"/>
    <xf numFmtId="185" fontId="31" fillId="0" borderId="21" xfId="234" applyNumberFormat="1" applyFont="1" applyFill="1" applyBorder="1"/>
    <xf numFmtId="185" fontId="36" fillId="0" borderId="21" xfId="234" applyNumberFormat="1" applyFont="1" applyFill="1" applyBorder="1"/>
    <xf numFmtId="0" fontId="48" fillId="0" borderId="0" xfId="3" applyFont="1" applyFill="1" applyBorder="1"/>
    <xf numFmtId="164" fontId="18" fillId="0" borderId="0" xfId="3" applyNumberFormat="1" applyFont="1" applyBorder="1"/>
    <xf numFmtId="164" fontId="18" fillId="0" borderId="20" xfId="3" applyNumberFormat="1" applyFont="1" applyFill="1" applyBorder="1" applyAlignment="1"/>
    <xf numFmtId="164" fontId="31" fillId="24" borderId="2" xfId="546" applyNumberFormat="1" applyFont="1" applyFill="1" applyBorder="1"/>
    <xf numFmtId="185" fontId="83" fillId="0" borderId="2" xfId="234" applyNumberFormat="1" applyFont="1" applyBorder="1"/>
    <xf numFmtId="185" fontId="65" fillId="0" borderId="21" xfId="234" applyNumberFormat="1" applyFont="1" applyBorder="1"/>
    <xf numFmtId="44" fontId="31" fillId="0" borderId="23" xfId="394" applyFont="1" applyFill="1" applyBorder="1"/>
    <xf numFmtId="168" fontId="0" fillId="0" borderId="0" xfId="568" applyNumberFormat="1" applyFont="1" applyBorder="1"/>
    <xf numFmtId="168" fontId="0" fillId="0" borderId="0" xfId="0" applyNumberFormat="1"/>
    <xf numFmtId="168" fontId="23" fillId="0" borderId="0" xfId="568" applyNumberFormat="1" applyFont="1" applyFill="1" applyBorder="1" applyAlignment="1"/>
    <xf numFmtId="164" fontId="23" fillId="0" borderId="0" xfId="4" applyNumberFormat="1" applyFont="1" applyFill="1" applyBorder="1" applyAlignment="1"/>
    <xf numFmtId="164" fontId="47" fillId="0" borderId="0" xfId="4" applyNumberFormat="1" applyFont="1" applyFill="1" applyBorder="1" applyAlignment="1"/>
    <xf numFmtId="164" fontId="18" fillId="0" borderId="0" xfId="4" applyNumberFormat="1" applyFont="1" applyFill="1" applyBorder="1" applyAlignment="1"/>
    <xf numFmtId="169" fontId="0" fillId="0" borderId="0" xfId="0" applyNumberFormat="1"/>
    <xf numFmtId="175" fontId="0" fillId="0" borderId="0" xfId="0" applyNumberFormat="1"/>
    <xf numFmtId="174" fontId="71" fillId="27" borderId="2" xfId="234" applyNumberFormat="1" applyFont="1" applyFill="1" applyBorder="1"/>
    <xf numFmtId="168" fontId="13" fillId="0" borderId="0" xfId="3" applyNumberFormat="1" applyFont="1"/>
    <xf numFmtId="167" fontId="153" fillId="0" borderId="2" xfId="4" applyNumberFormat="1" applyFont="1" applyFill="1" applyBorder="1" applyAlignment="1">
      <alignment horizontal="center"/>
    </xf>
    <xf numFmtId="167" fontId="153" fillId="0" borderId="0" xfId="4" applyNumberFormat="1" applyFont="1" applyFill="1" applyBorder="1" applyAlignment="1">
      <alignment horizontal="center"/>
    </xf>
    <xf numFmtId="167" fontId="153" fillId="0" borderId="21" xfId="4" applyNumberFormat="1" applyFont="1" applyFill="1" applyBorder="1" applyAlignment="1">
      <alignment horizontal="center"/>
    </xf>
    <xf numFmtId="168" fontId="154" fillId="22" borderId="3" xfId="0" applyNumberFormat="1" applyFont="1" applyFill="1" applyBorder="1"/>
    <xf numFmtId="168" fontId="154" fillId="22" borderId="23" xfId="0" applyNumberFormat="1" applyFont="1" applyFill="1" applyBorder="1"/>
    <xf numFmtId="168" fontId="154" fillId="22" borderId="22" xfId="0" applyNumberFormat="1" applyFont="1" applyFill="1" applyBorder="1"/>
    <xf numFmtId="179" fontId="154" fillId="22" borderId="0" xfId="248" applyNumberFormat="1" applyFont="1" applyFill="1" applyBorder="1"/>
    <xf numFmtId="179" fontId="154" fillId="22" borderId="21" xfId="248" applyNumberFormat="1" applyFont="1" applyFill="1" applyBorder="1"/>
    <xf numFmtId="164" fontId="18" fillId="0" borderId="0" xfId="4" applyNumberFormat="1" applyFont="1" applyFill="1" applyBorder="1"/>
    <xf numFmtId="164" fontId="18" fillId="0" borderId="21" xfId="4" applyNumberFormat="1" applyFont="1" applyFill="1" applyBorder="1"/>
    <xf numFmtId="168" fontId="154" fillId="22" borderId="0" xfId="248" applyNumberFormat="1" applyFont="1" applyFill="1" applyBorder="1"/>
    <xf numFmtId="168" fontId="154" fillId="22" borderId="21" xfId="248" applyNumberFormat="1" applyFont="1" applyFill="1" applyBorder="1"/>
    <xf numFmtId="179" fontId="155" fillId="24" borderId="2" xfId="248" applyNumberFormat="1" applyFont="1" applyFill="1" applyBorder="1"/>
    <xf numFmtId="179" fontId="155" fillId="24" borderId="0" xfId="248" applyNumberFormat="1" applyFont="1" applyFill="1" applyBorder="1"/>
    <xf numFmtId="179" fontId="155" fillId="24" borderId="21" xfId="248" applyNumberFormat="1" applyFont="1" applyFill="1" applyBorder="1"/>
    <xf numFmtId="179" fontId="155" fillId="24" borderId="22" xfId="248" applyNumberFormat="1" applyFont="1" applyFill="1" applyBorder="1"/>
    <xf numFmtId="179" fontId="155" fillId="24" borderId="3" xfId="248" applyNumberFormat="1" applyFont="1" applyFill="1" applyBorder="1"/>
    <xf numFmtId="179" fontId="155" fillId="24" borderId="23" xfId="248" applyNumberFormat="1" applyFont="1" applyFill="1" applyBorder="1"/>
    <xf numFmtId="179" fontId="154" fillId="22" borderId="20" xfId="248" applyNumberFormat="1" applyFont="1" applyFill="1" applyBorder="1"/>
    <xf numFmtId="187" fontId="155" fillId="24" borderId="0" xfId="394" applyNumberFormat="1" applyFont="1" applyFill="1" applyBorder="1"/>
    <xf numFmtId="187" fontId="155" fillId="24" borderId="21" xfId="394" applyNumberFormat="1" applyFont="1" applyFill="1" applyBorder="1"/>
    <xf numFmtId="187" fontId="155" fillId="24" borderId="2" xfId="394" applyNumberFormat="1" applyFont="1" applyFill="1" applyBorder="1"/>
    <xf numFmtId="179" fontId="155" fillId="24" borderId="0" xfId="234" applyNumberFormat="1" applyFont="1" applyFill="1" applyBorder="1"/>
    <xf numFmtId="179" fontId="155" fillId="24" borderId="21" xfId="234" applyNumberFormat="1" applyFont="1" applyFill="1" applyBorder="1"/>
    <xf numFmtId="179" fontId="155" fillId="24" borderId="2" xfId="234" applyNumberFormat="1" applyFont="1" applyFill="1" applyBorder="1"/>
    <xf numFmtId="168" fontId="154" fillId="22" borderId="3" xfId="248" applyNumberFormat="1" applyFont="1" applyFill="1" applyBorder="1"/>
    <xf numFmtId="168" fontId="154" fillId="22" borderId="23" xfId="248" applyNumberFormat="1" applyFont="1" applyFill="1" applyBorder="1"/>
    <xf numFmtId="168" fontId="156" fillId="24" borderId="0" xfId="582" applyNumberFormat="1" applyFont="1" applyFill="1" applyBorder="1"/>
    <xf numFmtId="168" fontId="156" fillId="24" borderId="2" xfId="582" applyNumberFormat="1" applyFont="1" applyFill="1" applyBorder="1"/>
    <xf numFmtId="168" fontId="156" fillId="24" borderId="21" xfId="582" applyNumberFormat="1" applyFont="1" applyFill="1" applyBorder="1"/>
    <xf numFmtId="179" fontId="155" fillId="24" borderId="17" xfId="234" applyNumberFormat="1" applyFont="1" applyFill="1" applyBorder="1"/>
    <xf numFmtId="179" fontId="155" fillId="24" borderId="20" xfId="234" applyNumberFormat="1" applyFont="1" applyFill="1" applyBorder="1"/>
    <xf numFmtId="168" fontId="20" fillId="0" borderId="0" xfId="593" applyNumberFormat="1" applyFont="1" applyFill="1" applyBorder="1" applyAlignment="1"/>
    <xf numFmtId="170" fontId="36" fillId="0" borderId="0" xfId="3" applyNumberFormat="1" applyFont="1" applyFill="1" applyBorder="1"/>
    <xf numFmtId="165" fontId="21" fillId="18" borderId="32" xfId="548" applyNumberFormat="1" applyFont="1" applyFill="1" applyBorder="1" applyAlignment="1">
      <alignment horizontal="right"/>
    </xf>
    <xf numFmtId="1" fontId="21" fillId="18" borderId="32" xfId="548" applyNumberFormat="1" applyFont="1" applyFill="1" applyBorder="1" applyAlignment="1">
      <alignment horizontal="right"/>
    </xf>
    <xf numFmtId="187" fontId="18" fillId="0" borderId="2" xfId="3" applyNumberFormat="1" applyFont="1" applyBorder="1"/>
    <xf numFmtId="43" fontId="18" fillId="0" borderId="0" xfId="3" applyNumberFormat="1" applyFont="1" applyBorder="1"/>
    <xf numFmtId="43" fontId="18" fillId="0" borderId="2" xfId="3" applyNumberFormat="1" applyFont="1" applyFill="1" applyBorder="1"/>
    <xf numFmtId="230" fontId="62" fillId="0" borderId="0" xfId="3" applyNumberFormat="1" applyFont="1" applyFill="1" applyBorder="1" applyAlignment="1"/>
    <xf numFmtId="230" fontId="24" fillId="0" borderId="0" xfId="3" applyNumberFormat="1" applyFont="1" applyFill="1" applyBorder="1" applyAlignment="1"/>
    <xf numFmtId="227" fontId="73" fillId="0" borderId="0" xfId="3" applyNumberFormat="1" applyFont="1"/>
    <xf numFmtId="37" fontId="28" fillId="0" borderId="17" xfId="3" applyNumberFormat="1" applyFont="1" applyFill="1" applyBorder="1"/>
    <xf numFmtId="0" fontId="23" fillId="0" borderId="3" xfId="3" applyFont="1" applyBorder="1"/>
    <xf numFmtId="179" fontId="23" fillId="0" borderId="17" xfId="3" applyNumberFormat="1" applyFont="1" applyBorder="1"/>
    <xf numFmtId="179" fontId="23" fillId="0" borderId="0" xfId="3" applyNumberFormat="1" applyFont="1" applyBorder="1"/>
    <xf numFmtId="168" fontId="18" fillId="0" borderId="0" xfId="568" applyNumberFormat="1" applyFont="1" applyFill="1" applyBorder="1"/>
    <xf numFmtId="44" fontId="18" fillId="0" borderId="0" xfId="3" applyNumberFormat="1" applyFont="1" applyFill="1" applyBorder="1" applyAlignment="1"/>
    <xf numFmtId="182" fontId="18" fillId="0" borderId="3" xfId="3" applyNumberFormat="1" applyFont="1" applyFill="1" applyBorder="1"/>
    <xf numFmtId="185" fontId="18" fillId="0" borderId="26" xfId="234" applyNumberFormat="1" applyFont="1" applyBorder="1"/>
    <xf numFmtId="185" fontId="48" fillId="0" borderId="26" xfId="234" applyNumberFormat="1" applyFont="1" applyBorder="1"/>
    <xf numFmtId="168" fontId="18" fillId="0" borderId="26" xfId="234" applyNumberFormat="1" applyFont="1" applyBorder="1"/>
    <xf numFmtId="179" fontId="18" fillId="0" borderId="26" xfId="234" applyNumberFormat="1" applyFont="1" applyBorder="1"/>
    <xf numFmtId="44" fontId="13" fillId="0" borderId="0" xfId="394" applyFont="1"/>
    <xf numFmtId="168" fontId="20" fillId="0" borderId="0" xfId="694" applyNumberFormat="1" applyFont="1" applyFill="1" applyBorder="1" applyAlignment="1"/>
    <xf numFmtId="175" fontId="19" fillId="0" borderId="0" xfId="4" applyNumberFormat="1" applyFont="1" applyFill="1" applyBorder="1"/>
    <xf numFmtId="44" fontId="20" fillId="0" borderId="21" xfId="394" applyFont="1" applyBorder="1"/>
    <xf numFmtId="176" fontId="19" fillId="0" borderId="25" xfId="3" applyNumberFormat="1" applyFont="1" applyBorder="1" applyAlignment="1">
      <alignment horizontal="center"/>
    </xf>
    <xf numFmtId="176" fontId="19" fillId="0" borderId="25" xfId="3" applyNumberFormat="1" applyFont="1" applyBorder="1" applyAlignment="1">
      <alignment horizontal="centerContinuous"/>
    </xf>
    <xf numFmtId="168" fontId="0" fillId="0" borderId="0" xfId="394" applyNumberFormat="1" applyFont="1" applyBorder="1"/>
    <xf numFmtId="167" fontId="13" fillId="0" borderId="0" xfId="3" applyNumberFormat="1" applyFont="1" applyBorder="1"/>
    <xf numFmtId="203" fontId="0" fillId="0" borderId="0" xfId="0" applyNumberFormat="1"/>
    <xf numFmtId="168" fontId="154" fillId="22" borderId="2" xfId="248" applyNumberFormat="1" applyFont="1" applyFill="1" applyBorder="1"/>
    <xf numFmtId="187" fontId="13" fillId="0" borderId="0" xfId="394" applyNumberFormat="1" applyFont="1"/>
    <xf numFmtId="9" fontId="18" fillId="0" borderId="0" xfId="568" applyFont="1" applyBorder="1"/>
    <xf numFmtId="1" fontId="13" fillId="0" borderId="0" xfId="3" applyNumberFormat="1" applyFont="1"/>
    <xf numFmtId="176" fontId="23" fillId="0" borderId="7" xfId="3" applyNumberFormat="1" applyFont="1" applyFill="1" applyBorder="1"/>
    <xf numFmtId="1" fontId="21" fillId="18" borderId="0" xfId="547" applyNumberFormat="1" applyFont="1" applyFill="1" applyBorder="1" applyAlignment="1">
      <alignment horizontal="right"/>
    </xf>
    <xf numFmtId="228" fontId="20" fillId="0" borderId="0" xfId="593" applyNumberFormat="1" applyFont="1" applyFill="1" applyBorder="1" applyAlignment="1"/>
    <xf numFmtId="232" fontId="18" fillId="0" borderId="2" xfId="3" applyNumberFormat="1" applyFont="1" applyBorder="1"/>
    <xf numFmtId="204" fontId="32" fillId="0" borderId="25" xfId="234" applyNumberFormat="1" applyFont="1" applyFill="1" applyBorder="1"/>
    <xf numFmtId="166" fontId="19" fillId="0" borderId="2" xfId="547" applyFont="1" applyFill="1" applyBorder="1"/>
    <xf numFmtId="166" fontId="19" fillId="0" borderId="21" xfId="547" applyFont="1" applyFill="1" applyBorder="1"/>
    <xf numFmtId="166" fontId="19" fillId="0" borderId="2" xfId="547" applyNumberFormat="1" applyFont="1" applyFill="1" applyBorder="1" applyAlignment="1"/>
    <xf numFmtId="166" fontId="19" fillId="0" borderId="21" xfId="547" applyNumberFormat="1" applyFont="1" applyFill="1" applyBorder="1" applyAlignment="1"/>
    <xf numFmtId="166" fontId="19" fillId="0" borderId="24" xfId="547" applyFont="1" applyFill="1" applyBorder="1"/>
    <xf numFmtId="166" fontId="19" fillId="0" borderId="25" xfId="547" applyFont="1" applyFill="1" applyBorder="1"/>
    <xf numFmtId="37" fontId="19" fillId="0" borderId="2" xfId="547" applyNumberFormat="1" applyFont="1" applyFill="1" applyBorder="1"/>
    <xf numFmtId="37" fontId="19" fillId="0" borderId="21" xfId="547" applyNumberFormat="1" applyFont="1" applyFill="1" applyBorder="1"/>
    <xf numFmtId="44" fontId="13" fillId="0" borderId="0" xfId="394" applyNumberFormat="1" applyFont="1"/>
    <xf numFmtId="168" fontId="154" fillId="22" borderId="0" xfId="0" applyNumberFormat="1" applyFont="1" applyFill="1" applyBorder="1"/>
    <xf numFmtId="168" fontId="154" fillId="22" borderId="21" xfId="0" applyNumberFormat="1" applyFont="1" applyFill="1" applyBorder="1"/>
    <xf numFmtId="168" fontId="154" fillId="22" borderId="2" xfId="0" applyNumberFormat="1" applyFont="1" applyFill="1" applyBorder="1"/>
    <xf numFmtId="229" fontId="153" fillId="0" borderId="0" xfId="4" applyNumberFormat="1" applyFont="1" applyFill="1" applyBorder="1" applyAlignment="1">
      <alignment horizontal="center"/>
    </xf>
    <xf numFmtId="229" fontId="153" fillId="0" borderId="21" xfId="4" applyNumberFormat="1" applyFont="1" applyFill="1" applyBorder="1" applyAlignment="1">
      <alignment horizontal="center"/>
    </xf>
    <xf numFmtId="9" fontId="13" fillId="0" borderId="0" xfId="568" applyNumberFormat="1" applyFont="1"/>
    <xf numFmtId="1" fontId="21" fillId="0" borderId="17" xfId="547" applyNumberFormat="1" applyFont="1" applyFill="1" applyBorder="1" applyAlignment="1">
      <alignment horizontal="right"/>
    </xf>
    <xf numFmtId="1" fontId="21" fillId="0" borderId="20" xfId="547" applyNumberFormat="1" applyFont="1" applyFill="1" applyBorder="1" applyAlignment="1">
      <alignment horizontal="right"/>
    </xf>
    <xf numFmtId="190" fontId="20" fillId="0" borderId="0" xfId="394" applyNumberFormat="1" applyFont="1" applyFill="1" applyBorder="1"/>
    <xf numFmtId="168" fontId="23" fillId="0" borderId="0" xfId="568" applyNumberFormat="1" applyFont="1" applyFill="1" applyBorder="1"/>
    <xf numFmtId="185" fontId="65" fillId="0" borderId="21" xfId="234" applyNumberFormat="1" applyFont="1" applyFill="1" applyBorder="1"/>
    <xf numFmtId="1" fontId="21" fillId="18" borderId="24" xfId="547" applyNumberFormat="1" applyFont="1" applyFill="1" applyBorder="1" applyAlignment="1">
      <alignment horizontal="right"/>
    </xf>
    <xf numFmtId="1" fontId="21" fillId="18" borderId="1" xfId="547" applyNumberFormat="1" applyFont="1" applyFill="1" applyBorder="1" applyAlignment="1">
      <alignment horizontal="right"/>
    </xf>
    <xf numFmtId="1" fontId="21" fillId="18" borderId="25" xfId="547" applyNumberFormat="1" applyFont="1" applyFill="1" applyBorder="1" applyAlignment="1">
      <alignment horizontal="right"/>
    </xf>
    <xf numFmtId="168" fontId="20" fillId="0" borderId="0" xfId="568" applyNumberFormat="1" applyFont="1" applyFill="1" applyBorder="1" applyAlignment="1"/>
    <xf numFmtId="168" fontId="20" fillId="0" borderId="21" xfId="568" applyNumberFormat="1" applyFont="1" applyFill="1" applyBorder="1" applyAlignment="1"/>
    <xf numFmtId="168" fontId="20" fillId="0" borderId="2" xfId="568" applyNumberFormat="1" applyFont="1" applyFill="1" applyBorder="1" applyAlignment="1"/>
    <xf numFmtId="168" fontId="24" fillId="0" borderId="0" xfId="568" applyNumberFormat="1" applyFont="1" applyFill="1" applyBorder="1" applyAlignment="1"/>
    <xf numFmtId="168" fontId="20" fillId="0" borderId="0" xfId="568" applyNumberFormat="1" applyFont="1" applyFill="1" applyBorder="1"/>
    <xf numFmtId="168" fontId="20" fillId="0" borderId="21" xfId="568" applyNumberFormat="1" applyFont="1" applyFill="1" applyBorder="1"/>
    <xf numFmtId="167" fontId="29" fillId="0" borderId="0" xfId="856" applyNumberFormat="1" applyFont="1" applyFill="1" applyBorder="1" applyAlignment="1"/>
    <xf numFmtId="165" fontId="21" fillId="18" borderId="0" xfId="548" applyNumberFormat="1" applyFont="1" applyFill="1" applyBorder="1" applyAlignment="1">
      <alignment horizontal="right"/>
    </xf>
    <xf numFmtId="165" fontId="21" fillId="18" borderId="21" xfId="548" applyNumberFormat="1" applyFont="1" applyFill="1" applyBorder="1" applyAlignment="1">
      <alignment horizontal="right"/>
    </xf>
    <xf numFmtId="165" fontId="21" fillId="18" borderId="2" xfId="548" applyNumberFormat="1" applyFont="1" applyFill="1" applyBorder="1" applyAlignment="1">
      <alignment horizontal="right"/>
    </xf>
    <xf numFmtId="168" fontId="13" fillId="0" borderId="0" xfId="568" applyNumberFormat="1" applyFont="1"/>
    <xf numFmtId="168" fontId="13" fillId="0" borderId="0" xfId="568" applyNumberFormat="1" applyFont="1" applyBorder="1"/>
    <xf numFmtId="175" fontId="19" fillId="0" borderId="0" xfId="855" applyNumberFormat="1" applyFont="1" applyFill="1" applyBorder="1"/>
    <xf numFmtId="175" fontId="19" fillId="0" borderId="0" xfId="856" applyNumberFormat="1" applyFont="1" applyFill="1" applyBorder="1"/>
    <xf numFmtId="185" fontId="18" fillId="0" borderId="0" xfId="234" applyNumberFormat="1" applyFont="1" applyFill="1" applyBorder="1" applyAlignment="1"/>
    <xf numFmtId="168" fontId="23" fillId="0" borderId="2" xfId="568" applyNumberFormat="1" applyFont="1" applyFill="1" applyBorder="1"/>
    <xf numFmtId="164" fontId="174" fillId="0" borderId="21" xfId="3" applyNumberFormat="1" applyFont="1" applyFill="1" applyBorder="1" applyAlignment="1"/>
    <xf numFmtId="0" fontId="23" fillId="0" borderId="7" xfId="3" applyFont="1" applyFill="1" applyBorder="1"/>
    <xf numFmtId="1" fontId="61" fillId="25" borderId="0" xfId="548" applyNumberFormat="1" applyFont="1" applyFill="1" applyBorder="1" applyAlignment="1">
      <alignment horizontal="right"/>
    </xf>
    <xf numFmtId="1" fontId="19" fillId="29" borderId="0" xfId="548" applyNumberFormat="1" applyFont="1" applyFill="1" applyBorder="1" applyAlignment="1">
      <alignment horizontal="right"/>
    </xf>
    <xf numFmtId="181" fontId="18" fillId="0" borderId="21" xfId="3" applyNumberFormat="1" applyFont="1" applyFill="1" applyBorder="1"/>
    <xf numFmtId="181" fontId="18" fillId="0" borderId="23" xfId="3" applyNumberFormat="1" applyFont="1" applyFill="1" applyBorder="1"/>
    <xf numFmtId="164" fontId="48" fillId="0" borderId="21" xfId="3" applyNumberFormat="1" applyFont="1" applyFill="1" applyBorder="1"/>
    <xf numFmtId="164" fontId="77" fillId="0" borderId="21" xfId="3" applyNumberFormat="1" applyFont="1" applyFill="1" applyBorder="1"/>
    <xf numFmtId="182" fontId="23" fillId="0" borderId="30" xfId="3" applyNumberFormat="1" applyFont="1" applyFill="1" applyBorder="1"/>
    <xf numFmtId="0" fontId="19" fillId="0" borderId="2" xfId="3" applyFont="1" applyFill="1" applyBorder="1" applyAlignment="1">
      <alignment horizontal="left" indent="2"/>
    </xf>
    <xf numFmtId="0" fontId="20" fillId="0" borderId="2" xfId="3" applyFont="1" applyFill="1" applyBorder="1" applyAlignment="1">
      <alignment horizontal="left" indent="3"/>
    </xf>
    <xf numFmtId="0" fontId="20" fillId="0" borderId="22" xfId="3" applyFont="1" applyFill="1" applyBorder="1" applyAlignment="1">
      <alignment horizontal="left" indent="3"/>
    </xf>
    <xf numFmtId="168" fontId="24" fillId="53" borderId="0" xfId="568" applyNumberFormat="1" applyFont="1" applyFill="1" applyBorder="1"/>
    <xf numFmtId="168" fontId="20" fillId="53" borderId="2" xfId="568" applyNumberFormat="1" applyFont="1" applyFill="1" applyBorder="1"/>
    <xf numFmtId="0" fontId="20" fillId="53" borderId="21" xfId="3" applyFont="1" applyFill="1" applyBorder="1" applyAlignment="1">
      <alignment horizontal="left" indent="1"/>
    </xf>
    <xf numFmtId="0" fontId="20" fillId="53" borderId="2" xfId="3" applyFont="1" applyFill="1" applyBorder="1" applyAlignment="1">
      <alignment horizontal="left" indent="1"/>
    </xf>
    <xf numFmtId="185" fontId="31" fillId="53" borderId="0" xfId="234" applyNumberFormat="1" applyFont="1" applyFill="1" applyBorder="1"/>
    <xf numFmtId="164" fontId="18" fillId="53" borderId="0" xfId="856" applyNumberFormat="1" applyFont="1" applyFill="1" applyBorder="1" applyAlignment="1"/>
    <xf numFmtId="185" fontId="80" fillId="53" borderId="2" xfId="234" applyNumberFormat="1" applyFont="1" applyFill="1" applyBorder="1"/>
    <xf numFmtId="185" fontId="80" fillId="53" borderId="21" xfId="234" applyNumberFormat="1" applyFont="1" applyFill="1" applyBorder="1"/>
    <xf numFmtId="185" fontId="80" fillId="53" borderId="0" xfId="234" applyNumberFormat="1" applyFont="1" applyFill="1" applyBorder="1"/>
    <xf numFmtId="168" fontId="20" fillId="53" borderId="21" xfId="568" applyNumberFormat="1" applyFont="1" applyFill="1" applyBorder="1"/>
    <xf numFmtId="168" fontId="20" fillId="53" borderId="0" xfId="568" applyNumberFormat="1" applyFont="1" applyFill="1" applyBorder="1"/>
    <xf numFmtId="0" fontId="18" fillId="53" borderId="21" xfId="3" applyFont="1" applyFill="1" applyBorder="1"/>
    <xf numFmtId="0" fontId="19" fillId="53" borderId="2" xfId="3" applyFont="1" applyFill="1" applyBorder="1"/>
    <xf numFmtId="0" fontId="200" fillId="0" borderId="2" xfId="3" applyFont="1" applyFill="1" applyBorder="1" applyAlignment="1">
      <alignment horizontal="left"/>
    </xf>
    <xf numFmtId="168" fontId="20" fillId="0" borderId="0" xfId="568" applyNumberFormat="1" applyFont="1" applyFill="1" applyBorder="1"/>
    <xf numFmtId="168" fontId="20" fillId="0" borderId="21" xfId="568" applyNumberFormat="1" applyFont="1" applyFill="1" applyBorder="1"/>
    <xf numFmtId="168" fontId="20" fillId="0" borderId="2" xfId="568" applyNumberFormat="1" applyFont="1" applyFill="1" applyBorder="1"/>
    <xf numFmtId="181" fontId="199" fillId="0" borderId="0" xfId="3" applyNumberFormat="1" applyFont="1" applyFill="1" applyBorder="1"/>
    <xf numFmtId="168" fontId="20" fillId="0" borderId="0" xfId="568" applyNumberFormat="1" applyFont="1" applyFill="1" applyBorder="1"/>
    <xf numFmtId="168" fontId="20" fillId="0" borderId="21" xfId="568" applyNumberFormat="1" applyFont="1" applyFill="1" applyBorder="1"/>
    <xf numFmtId="168" fontId="24" fillId="0" borderId="0" xfId="568" applyNumberFormat="1" applyFont="1" applyFill="1" applyBorder="1"/>
    <xf numFmtId="168" fontId="24" fillId="0" borderId="21" xfId="568" applyNumberFormat="1" applyFont="1" applyFill="1" applyBorder="1"/>
    <xf numFmtId="168" fontId="20" fillId="0" borderId="2" xfId="568" applyNumberFormat="1" applyFont="1" applyFill="1" applyBorder="1"/>
    <xf numFmtId="168" fontId="20" fillId="0" borderId="0" xfId="568" applyNumberFormat="1" applyFont="1" applyBorder="1"/>
    <xf numFmtId="168" fontId="20" fillId="0" borderId="21" xfId="568" applyNumberFormat="1" applyFont="1" applyBorder="1"/>
    <xf numFmtId="168" fontId="20" fillId="0" borderId="2" xfId="568" applyNumberFormat="1" applyFont="1" applyBorder="1"/>
    <xf numFmtId="164" fontId="47" fillId="54" borderId="2" xfId="3" applyNumberFormat="1" applyFont="1" applyFill="1" applyBorder="1" applyAlignment="1"/>
    <xf numFmtId="164" fontId="47" fillId="54" borderId="21" xfId="3" applyNumberFormat="1" applyFont="1" applyFill="1" applyBorder="1" applyAlignment="1"/>
    <xf numFmtId="164" fontId="47" fillId="54" borderId="0" xfId="3" applyNumberFormat="1" applyFont="1" applyFill="1" applyBorder="1" applyAlignment="1"/>
    <xf numFmtId="168" fontId="20" fillId="0" borderId="0" xfId="568" applyNumberFormat="1" applyFont="1" applyBorder="1"/>
    <xf numFmtId="181" fontId="31" fillId="53" borderId="0" xfId="3" applyNumberFormat="1" applyFont="1" applyFill="1" applyBorder="1"/>
    <xf numFmtId="181" fontId="31" fillId="0" borderId="23" xfId="3" applyNumberFormat="1" applyFont="1" applyBorder="1"/>
    <xf numFmtId="168" fontId="20" fillId="0" borderId="0" xfId="568" applyNumberFormat="1" applyFont="1" applyFill="1" applyBorder="1" applyAlignment="1"/>
    <xf numFmtId="168" fontId="20" fillId="0" borderId="21" xfId="568" applyNumberFormat="1" applyFont="1" applyFill="1" applyBorder="1" applyAlignment="1"/>
    <xf numFmtId="168" fontId="20" fillId="0" borderId="0" xfId="568" applyNumberFormat="1" applyFont="1" applyFill="1" applyBorder="1"/>
    <xf numFmtId="168" fontId="20" fillId="0" borderId="21" xfId="568" applyNumberFormat="1" applyFont="1" applyFill="1" applyBorder="1"/>
    <xf numFmtId="168" fontId="20" fillId="0" borderId="0" xfId="568" applyNumberFormat="1" applyFont="1" applyBorder="1"/>
    <xf numFmtId="168" fontId="20" fillId="0" borderId="3" xfId="568" applyNumberFormat="1" applyFont="1" applyFill="1" applyBorder="1"/>
    <xf numFmtId="168" fontId="20" fillId="0" borderId="23" xfId="568" applyNumberFormat="1" applyFont="1" applyFill="1" applyBorder="1"/>
    <xf numFmtId="168" fontId="24" fillId="0" borderId="3" xfId="568" applyNumberFormat="1" applyFont="1" applyFill="1" applyBorder="1"/>
    <xf numFmtId="168" fontId="24" fillId="0" borderId="23" xfId="568" applyNumberFormat="1" applyFont="1" applyFill="1" applyBorder="1"/>
    <xf numFmtId="168" fontId="20" fillId="0" borderId="22" xfId="568" applyNumberFormat="1" applyFont="1" applyFill="1" applyBorder="1"/>
    <xf numFmtId="168" fontId="20" fillId="0" borderId="2" xfId="568" applyNumberFormat="1" applyFont="1" applyBorder="1"/>
    <xf numFmtId="179" fontId="201" fillId="53" borderId="0" xfId="234" applyNumberFormat="1" applyFont="1" applyFill="1" applyBorder="1"/>
    <xf numFmtId="9" fontId="201" fillId="53" borderId="0" xfId="568" applyFont="1" applyFill="1" applyBorder="1"/>
    <xf numFmtId="168" fontId="20" fillId="0" borderId="0" xfId="568" applyNumberFormat="1" applyFont="1" applyFill="1" applyBorder="1" applyAlignment="1"/>
    <xf numFmtId="168" fontId="20" fillId="0" borderId="21" xfId="568" applyNumberFormat="1" applyFont="1" applyFill="1" applyBorder="1" applyAlignment="1"/>
    <xf numFmtId="168" fontId="20" fillId="0" borderId="0" xfId="568" applyNumberFormat="1" applyFont="1" applyFill="1" applyBorder="1" applyAlignment="1"/>
    <xf numFmtId="168" fontId="20" fillId="0" borderId="2" xfId="568" applyNumberFormat="1" applyFont="1" applyFill="1" applyBorder="1" applyAlignment="1"/>
    <xf numFmtId="9" fontId="37" fillId="53" borderId="2" xfId="568" applyFont="1" applyFill="1" applyBorder="1"/>
    <xf numFmtId="9" fontId="37" fillId="53" borderId="21" xfId="568" applyFont="1" applyFill="1" applyBorder="1"/>
    <xf numFmtId="9" fontId="37" fillId="53" borderId="0" xfId="568" applyFont="1" applyFill="1" applyBorder="1"/>
    <xf numFmtId="168" fontId="20" fillId="0" borderId="3" xfId="568" applyNumberFormat="1" applyFont="1" applyFill="1" applyBorder="1"/>
    <xf numFmtId="168" fontId="20" fillId="0" borderId="23" xfId="568" applyNumberFormat="1" applyFont="1" applyFill="1" applyBorder="1"/>
    <xf numFmtId="168" fontId="24" fillId="0" borderId="3" xfId="568" applyNumberFormat="1" applyFont="1" applyFill="1" applyBorder="1"/>
    <xf numFmtId="168" fontId="24" fillId="0" borderId="23" xfId="568" applyNumberFormat="1" applyFont="1" applyFill="1" applyBorder="1"/>
    <xf numFmtId="168" fontId="20" fillId="0" borderId="22" xfId="568" applyNumberFormat="1" applyFont="1" applyFill="1" applyBorder="1"/>
    <xf numFmtId="168" fontId="20" fillId="0" borderId="0" xfId="568" applyNumberFormat="1" applyFont="1" applyBorder="1"/>
    <xf numFmtId="168" fontId="20" fillId="0" borderId="21" xfId="568" applyNumberFormat="1" applyFont="1" applyBorder="1"/>
    <xf numFmtId="184" fontId="18" fillId="53" borderId="2" xfId="856" applyNumberFormat="1" applyFont="1" applyFill="1" applyBorder="1" applyAlignment="1">
      <alignment horizontal="left" indent="1"/>
    </xf>
    <xf numFmtId="179" fontId="36" fillId="53" borderId="2" xfId="234" applyNumberFormat="1" applyFont="1" applyFill="1" applyBorder="1"/>
    <xf numFmtId="179" fontId="36" fillId="53" borderId="21" xfId="234" applyNumberFormat="1" applyFont="1" applyFill="1" applyBorder="1"/>
    <xf numFmtId="179" fontId="36" fillId="53" borderId="0" xfId="234" applyNumberFormat="1" applyFont="1" applyFill="1" applyBorder="1"/>
    <xf numFmtId="184" fontId="18" fillId="53" borderId="2" xfId="856" applyNumberFormat="1" applyFont="1" applyFill="1" applyBorder="1" applyAlignment="1">
      <alignment horizontal="left"/>
    </xf>
    <xf numFmtId="0" fontId="19" fillId="53" borderId="2" xfId="856" applyFont="1" applyFill="1" applyBorder="1" applyAlignment="1">
      <alignment horizontal="left"/>
    </xf>
    <xf numFmtId="168" fontId="20" fillId="0" borderId="21" xfId="568" applyNumberFormat="1" applyFont="1" applyFill="1" applyBorder="1" applyAlignment="1"/>
    <xf numFmtId="0" fontId="18" fillId="0" borderId="2" xfId="856" applyFont="1" applyFill="1" applyBorder="1"/>
    <xf numFmtId="0" fontId="19" fillId="0" borderId="2" xfId="856" applyFont="1" applyFill="1" applyBorder="1"/>
    <xf numFmtId="0" fontId="19" fillId="0" borderId="0" xfId="3" applyFont="1"/>
    <xf numFmtId="167" fontId="19" fillId="0" borderId="0" xfId="3" applyNumberFormat="1" applyFont="1" applyFill="1" applyBorder="1" applyAlignment="1"/>
    <xf numFmtId="167" fontId="19" fillId="0" borderId="20" xfId="3" applyNumberFormat="1" applyFont="1" applyFill="1" applyBorder="1" applyAlignment="1"/>
    <xf numFmtId="167" fontId="19" fillId="0" borderId="21" xfId="3" applyNumberFormat="1" applyFont="1" applyFill="1" applyBorder="1" applyAlignment="1"/>
    <xf numFmtId="167" fontId="19" fillId="0" borderId="2" xfId="3" applyNumberFormat="1" applyFont="1" applyFill="1" applyBorder="1" applyAlignment="1"/>
    <xf numFmtId="167" fontId="19" fillId="0" borderId="2" xfId="3" applyNumberFormat="1" applyFont="1" applyFill="1" applyBorder="1"/>
    <xf numFmtId="167" fontId="18" fillId="0" borderId="2" xfId="3" applyNumberFormat="1" applyFont="1" applyFill="1" applyBorder="1"/>
    <xf numFmtId="170" fontId="36" fillId="0" borderId="2" xfId="3" applyNumberFormat="1" applyFont="1" applyFill="1" applyBorder="1"/>
    <xf numFmtId="164" fontId="202" fillId="0" borderId="0" xfId="3" applyNumberFormat="1" applyFont="1" applyFill="1" applyBorder="1" applyAlignment="1"/>
    <xf numFmtId="164" fontId="202" fillId="0" borderId="2" xfId="3" applyNumberFormat="1" applyFont="1" applyFill="1" applyBorder="1" applyAlignment="1"/>
    <xf numFmtId="185" fontId="20" fillId="0" borderId="0" xfId="234" applyNumberFormat="1" applyFont="1" applyBorder="1"/>
    <xf numFmtId="181" fontId="20" fillId="0" borderId="21" xfId="3" applyNumberFormat="1" applyFont="1" applyBorder="1"/>
    <xf numFmtId="181" fontId="20" fillId="0" borderId="0" xfId="3" applyNumberFormat="1" applyFont="1" applyBorder="1"/>
    <xf numFmtId="181" fontId="20" fillId="0" borderId="21" xfId="3" applyNumberFormat="1" applyFont="1" applyFill="1" applyBorder="1"/>
    <xf numFmtId="181" fontId="20" fillId="0" borderId="0" xfId="3" applyNumberFormat="1" applyFont="1" applyFill="1" applyBorder="1"/>
    <xf numFmtId="0" fontId="20" fillId="28" borderId="0" xfId="3" applyFont="1" applyFill="1"/>
    <xf numFmtId="168" fontId="24" fillId="0" borderId="0" xfId="568" applyNumberFormat="1" applyFont="1" applyFill="1" applyBorder="1"/>
    <xf numFmtId="168" fontId="24" fillId="0" borderId="21" xfId="568" applyNumberFormat="1" applyFont="1" applyFill="1" applyBorder="1"/>
    <xf numFmtId="168" fontId="20" fillId="0" borderId="0" xfId="568" applyNumberFormat="1" applyFont="1" applyFill="1" applyBorder="1"/>
    <xf numFmtId="168" fontId="20" fillId="0" borderId="21" xfId="568" applyNumberFormat="1" applyFont="1" applyFill="1" applyBorder="1"/>
    <xf numFmtId="168" fontId="20" fillId="0" borderId="2" xfId="568" applyNumberFormat="1" applyFont="1" applyFill="1" applyBorder="1"/>
    <xf numFmtId="168" fontId="20" fillId="0" borderId="0" xfId="568" applyNumberFormat="1" applyFont="1" applyBorder="1"/>
    <xf numFmtId="168" fontId="20" fillId="0" borderId="2" xfId="568" applyNumberFormat="1" applyFont="1" applyBorder="1"/>
    <xf numFmtId="168" fontId="24" fillId="0" borderId="0" xfId="568" applyNumberFormat="1" applyFont="1" applyFill="1" applyBorder="1"/>
    <xf numFmtId="168" fontId="24" fillId="0" borderId="21" xfId="568" applyNumberFormat="1" applyFont="1" applyFill="1" applyBorder="1"/>
    <xf numFmtId="168" fontId="24" fillId="0" borderId="0" xfId="568" applyNumberFormat="1" applyFont="1" applyFill="1" applyBorder="1"/>
    <xf numFmtId="168" fontId="24" fillId="0" borderId="21" xfId="568" applyNumberFormat="1" applyFont="1" applyFill="1" applyBorder="1"/>
    <xf numFmtId="168" fontId="24" fillId="0" borderId="0" xfId="568" applyNumberFormat="1" applyFont="1" applyFill="1" applyBorder="1"/>
    <xf numFmtId="168" fontId="24" fillId="0" borderId="0" xfId="568" applyNumberFormat="1" applyFont="1" applyFill="1" applyBorder="1"/>
    <xf numFmtId="168" fontId="24" fillId="0" borderId="21" xfId="568" applyNumberFormat="1" applyFont="1" applyFill="1" applyBorder="1"/>
    <xf numFmtId="0" fontId="20" fillId="0" borderId="2" xfId="3" applyFont="1" applyFill="1" applyBorder="1" applyAlignment="1">
      <alignment horizontal="left" indent="2"/>
    </xf>
    <xf numFmtId="0" fontId="18" fillId="55" borderId="2" xfId="3" applyFont="1" applyFill="1" applyBorder="1" applyAlignment="1">
      <alignment horizontal="left" indent="2"/>
    </xf>
    <xf numFmtId="0" fontId="20" fillId="55" borderId="21" xfId="3" applyFont="1" applyFill="1" applyBorder="1" applyAlignment="1">
      <alignment horizontal="left" indent="1"/>
    </xf>
    <xf numFmtId="181" fontId="18" fillId="55" borderId="2" xfId="3" applyNumberFormat="1" applyFont="1" applyFill="1" applyBorder="1"/>
    <xf numFmtId="181" fontId="18" fillId="55" borderId="0" xfId="3" applyNumberFormat="1" applyFont="1" applyFill="1" applyBorder="1"/>
    <xf numFmtId="181" fontId="18" fillId="55" borderId="21" xfId="3" applyNumberFormat="1" applyFont="1" applyFill="1" applyBorder="1"/>
    <xf numFmtId="43" fontId="18" fillId="55" borderId="0" xfId="234" applyFont="1" applyFill="1" applyBorder="1"/>
    <xf numFmtId="181" fontId="23" fillId="0" borderId="17" xfId="856" applyNumberFormat="1" applyFont="1" applyBorder="1" applyAlignment="1">
      <alignment horizontal="right"/>
    </xf>
    <xf numFmtId="181" fontId="23" fillId="0" borderId="0" xfId="856" applyNumberFormat="1" applyFont="1" applyBorder="1" applyAlignment="1">
      <alignment horizontal="right"/>
    </xf>
    <xf numFmtId="181" fontId="19" fillId="0" borderId="1" xfId="856" applyNumberFormat="1" applyFont="1" applyBorder="1" applyAlignment="1">
      <alignment horizontal="right"/>
    </xf>
    <xf numFmtId="181" fontId="23" fillId="0" borderId="7" xfId="856" applyNumberFormat="1" applyFont="1" applyBorder="1" applyAlignment="1">
      <alignment horizontal="right"/>
    </xf>
    <xf numFmtId="181" fontId="25" fillId="0" borderId="20" xfId="856" applyNumberFormat="1" applyFont="1" applyBorder="1" applyAlignment="1">
      <alignment horizontal="right"/>
    </xf>
    <xf numFmtId="181" fontId="23" fillId="0" borderId="2" xfId="856" applyNumberFormat="1" applyFont="1" applyBorder="1" applyAlignment="1">
      <alignment horizontal="right"/>
    </xf>
    <xf numFmtId="181" fontId="25" fillId="0" borderId="21" xfId="856" applyNumberFormat="1" applyFont="1" applyBorder="1" applyAlignment="1">
      <alignment horizontal="right"/>
    </xf>
    <xf numFmtId="181" fontId="19" fillId="0" borderId="24" xfId="856" applyNumberFormat="1" applyFont="1" applyBorder="1" applyAlignment="1">
      <alignment horizontal="right"/>
    </xf>
    <xf numFmtId="181" fontId="19" fillId="0" borderId="25" xfId="856" applyNumberFormat="1" applyFont="1" applyBorder="1" applyAlignment="1">
      <alignment horizontal="right"/>
    </xf>
    <xf numFmtId="0" fontId="19" fillId="56" borderId="24" xfId="3" applyFont="1" applyFill="1" applyBorder="1" applyAlignment="1">
      <alignment horizontal="left"/>
    </xf>
    <xf numFmtId="0" fontId="19" fillId="56" borderId="25" xfId="3" applyFont="1" applyFill="1" applyBorder="1" applyAlignment="1">
      <alignment horizontal="left"/>
    </xf>
    <xf numFmtId="165" fontId="21" fillId="56" borderId="24" xfId="548" applyNumberFormat="1" applyFont="1" applyFill="1" applyBorder="1" applyAlignment="1">
      <alignment horizontal="right"/>
    </xf>
    <xf numFmtId="165" fontId="21" fillId="56" borderId="1" xfId="548" applyNumberFormat="1" applyFont="1" applyFill="1" applyBorder="1" applyAlignment="1">
      <alignment horizontal="right"/>
    </xf>
    <xf numFmtId="165" fontId="21" fillId="56" borderId="25" xfId="548" applyNumberFormat="1" applyFont="1" applyFill="1" applyBorder="1" applyAlignment="1">
      <alignment horizontal="right"/>
    </xf>
    <xf numFmtId="165" fontId="21" fillId="56" borderId="32" xfId="548" applyNumberFormat="1" applyFont="1" applyFill="1" applyBorder="1" applyAlignment="1">
      <alignment horizontal="right"/>
    </xf>
    <xf numFmtId="168" fontId="203" fillId="0" borderId="17" xfId="568" applyNumberFormat="1" applyFont="1" applyBorder="1" applyAlignment="1">
      <alignment horizontal="right"/>
    </xf>
    <xf numFmtId="168" fontId="203" fillId="0" borderId="0" xfId="568" applyNumberFormat="1" applyFont="1" applyBorder="1" applyAlignment="1">
      <alignment horizontal="right"/>
    </xf>
    <xf numFmtId="43" fontId="20" fillId="0" borderId="0" xfId="234" applyFont="1" applyFill="1" applyBorder="1" applyAlignment="1"/>
    <xf numFmtId="179" fontId="20" fillId="0" borderId="0" xfId="234" applyNumberFormat="1" applyFont="1" applyFill="1" applyBorder="1" applyAlignment="1"/>
    <xf numFmtId="168" fontId="154" fillId="54" borderId="0" xfId="0" applyNumberFormat="1" applyFont="1" applyFill="1" applyBorder="1"/>
    <xf numFmtId="168" fontId="154" fillId="54" borderId="2" xfId="0" applyNumberFormat="1" applyFont="1" applyFill="1" applyBorder="1"/>
    <xf numFmtId="0" fontId="204" fillId="0" borderId="0" xfId="3" applyFont="1" applyFill="1"/>
    <xf numFmtId="0" fontId="204" fillId="0" borderId="2" xfId="3" applyFont="1" applyFill="1" applyBorder="1" applyAlignment="1">
      <alignment horizontal="left" indent="1"/>
    </xf>
    <xf numFmtId="0" fontId="204" fillId="0" borderId="21" xfId="3" applyFont="1" applyFill="1" applyBorder="1"/>
    <xf numFmtId="164" fontId="204" fillId="0" borderId="0" xfId="3" applyNumberFormat="1" applyFont="1" applyFill="1" applyBorder="1" applyAlignment="1"/>
    <xf numFmtId="164" fontId="204" fillId="0" borderId="21" xfId="3" applyNumberFormat="1" applyFont="1" applyFill="1" applyBorder="1" applyAlignment="1"/>
    <xf numFmtId="164" fontId="204" fillId="0" borderId="2" xfId="3" applyNumberFormat="1" applyFont="1" applyFill="1" applyBorder="1" applyAlignment="1"/>
    <xf numFmtId="0" fontId="204" fillId="0" borderId="0" xfId="3" applyFont="1" applyFill="1" applyBorder="1"/>
    <xf numFmtId="0" fontId="205" fillId="0" borderId="0" xfId="0" applyFont="1" applyFill="1"/>
    <xf numFmtId="0" fontId="18" fillId="55" borderId="2" xfId="3" applyFont="1" applyFill="1" applyBorder="1" applyAlignment="1">
      <alignment horizontal="left" indent="3"/>
    </xf>
    <xf numFmtId="179" fontId="20" fillId="0" borderId="0" xfId="234" applyNumberFormat="1" applyFont="1" applyFill="1" applyBorder="1"/>
    <xf numFmtId="179" fontId="20" fillId="0" borderId="21" xfId="234" applyNumberFormat="1" applyFont="1" applyFill="1" applyBorder="1"/>
    <xf numFmtId="164" fontId="206" fillId="0" borderId="0" xfId="3" applyNumberFormat="1" applyFont="1" applyFill="1" applyBorder="1" applyAlignment="1"/>
    <xf numFmtId="164" fontId="206" fillId="0" borderId="21" xfId="3" applyNumberFormat="1" applyFont="1" applyFill="1" applyBorder="1" applyAlignment="1"/>
    <xf numFmtId="164" fontId="206" fillId="0" borderId="2" xfId="3" applyNumberFormat="1" applyFont="1" applyFill="1" applyBorder="1" applyAlignment="1"/>
    <xf numFmtId="168" fontId="18" fillId="55" borderId="0" xfId="568" applyNumberFormat="1" applyFont="1" applyFill="1" applyBorder="1"/>
    <xf numFmtId="0" fontId="0" fillId="0" borderId="0" xfId="568" applyNumberFormat="1" applyFont="1"/>
    <xf numFmtId="164" fontId="0" fillId="0" borderId="0" xfId="0" applyNumberFormat="1"/>
    <xf numFmtId="229" fontId="18" fillId="0" borderId="0" xfId="4" applyNumberFormat="1" applyFont="1" applyFill="1" applyBorder="1" applyAlignment="1"/>
    <xf numFmtId="10" fontId="13" fillId="0" borderId="0" xfId="3" applyNumberFormat="1" applyFont="1"/>
    <xf numFmtId="168" fontId="323" fillId="0" borderId="0" xfId="568" applyNumberFormat="1" applyFont="1" applyFill="1" applyBorder="1"/>
    <xf numFmtId="168" fontId="323" fillId="0" borderId="21" xfId="568" applyNumberFormat="1" applyFont="1" applyFill="1" applyBorder="1"/>
    <xf numFmtId="229" fontId="153" fillId="0" borderId="2" xfId="4" applyNumberFormat="1" applyFont="1" applyFill="1" applyBorder="1" applyAlignment="1">
      <alignment horizontal="center"/>
    </xf>
    <xf numFmtId="185" fontId="20" fillId="0" borderId="0" xfId="234" applyNumberFormat="1" applyFont="1" applyFill="1" applyBorder="1" applyAlignment="1"/>
    <xf numFmtId="185" fontId="31" fillId="53" borderId="7" xfId="234" applyNumberFormat="1" applyFont="1" applyFill="1" applyBorder="1"/>
    <xf numFmtId="185" fontId="31" fillId="53" borderId="17" xfId="234" applyNumberFormat="1" applyFont="1" applyFill="1" applyBorder="1"/>
    <xf numFmtId="168" fontId="154" fillId="22" borderId="22" xfId="248" applyNumberFormat="1" applyFont="1" applyFill="1" applyBorder="1"/>
    <xf numFmtId="168" fontId="18" fillId="55" borderId="21" xfId="568" applyNumberFormat="1" applyFont="1" applyFill="1" applyBorder="1"/>
    <xf numFmtId="185" fontId="31" fillId="53" borderId="20" xfId="234" applyNumberFormat="1" applyFont="1" applyFill="1" applyBorder="1"/>
    <xf numFmtId="168" fontId="20" fillId="0" borderId="0" xfId="568" applyNumberFormat="1" applyFont="1" applyFill="1" applyBorder="1"/>
    <xf numFmtId="1" fontId="19" fillId="18" borderId="1" xfId="547" applyNumberFormat="1" applyFont="1" applyFill="1" applyBorder="1" applyAlignment="1">
      <alignment horizontal="right"/>
    </xf>
    <xf numFmtId="1" fontId="19" fillId="18" borderId="25" xfId="547" applyNumberFormat="1" applyFont="1" applyFill="1" applyBorder="1" applyAlignment="1">
      <alignment horizontal="right"/>
    </xf>
    <xf numFmtId="179" fontId="18" fillId="0" borderId="0" xfId="234" applyNumberFormat="1" applyFont="1" applyBorder="1"/>
    <xf numFmtId="179" fontId="18" fillId="0" borderId="21" xfId="234" applyNumberFormat="1" applyFont="1" applyBorder="1"/>
    <xf numFmtId="168" fontId="20" fillId="0" borderId="2" xfId="568" applyNumberFormat="1" applyFont="1" applyBorder="1"/>
    <xf numFmtId="168" fontId="20" fillId="0" borderId="0" xfId="568" applyNumberFormat="1" applyFont="1" applyBorder="1"/>
    <xf numFmtId="1" fontId="19" fillId="18" borderId="24" xfId="547" applyNumberFormat="1" applyFont="1" applyFill="1" applyBorder="1" applyAlignment="1">
      <alignment horizontal="right"/>
    </xf>
    <xf numFmtId="168" fontId="20" fillId="0" borderId="21" xfId="568" applyNumberFormat="1" applyFont="1" applyBorder="1"/>
    <xf numFmtId="179" fontId="18" fillId="0" borderId="2" xfId="234" applyNumberFormat="1" applyFont="1" applyBorder="1"/>
    <xf numFmtId="1" fontId="21" fillId="18" borderId="17" xfId="547" applyNumberFormat="1" applyFont="1" applyFill="1" applyBorder="1" applyAlignment="1">
      <alignment horizontal="right"/>
    </xf>
    <xf numFmtId="179" fontId="66" fillId="0" borderId="0" xfId="234" applyNumberFormat="1" applyFont="1" applyBorder="1"/>
    <xf numFmtId="179" fontId="66" fillId="0" borderId="21" xfId="234" applyNumberFormat="1" applyFont="1" applyBorder="1"/>
    <xf numFmtId="179" fontId="66" fillId="0" borderId="2" xfId="234" applyNumberFormat="1" applyFont="1" applyBorder="1"/>
    <xf numFmtId="168" fontId="18" fillId="0" borderId="0" xfId="568" applyNumberFormat="1" applyFont="1" applyBorder="1"/>
    <xf numFmtId="168" fontId="18" fillId="0" borderId="21" xfId="568" applyNumberFormat="1" applyFont="1" applyBorder="1"/>
    <xf numFmtId="1" fontId="19" fillId="29" borderId="17" xfId="548" applyNumberFormat="1" applyFont="1" applyFill="1" applyBorder="1" applyAlignment="1">
      <alignment horizontal="right"/>
    </xf>
    <xf numFmtId="168" fontId="18" fillId="0" borderId="2" xfId="568" applyNumberFormat="1" applyFont="1" applyBorder="1"/>
    <xf numFmtId="44" fontId="20" fillId="0" borderId="2" xfId="394" applyFont="1" applyBorder="1"/>
    <xf numFmtId="168" fontId="24" fillId="53" borderId="0" xfId="568" applyNumberFormat="1" applyFont="1" applyFill="1" applyBorder="1"/>
    <xf numFmtId="168" fontId="24" fillId="53" borderId="2" xfId="568" applyNumberFormat="1" applyFont="1" applyFill="1" applyBorder="1"/>
    <xf numFmtId="168" fontId="24" fillId="53" borderId="21" xfId="568" applyNumberFormat="1" applyFont="1" applyFill="1" applyBorder="1"/>
    <xf numFmtId="168" fontId="20" fillId="53" borderId="2" xfId="568" applyNumberFormat="1" applyFont="1" applyFill="1" applyBorder="1"/>
    <xf numFmtId="168" fontId="20" fillId="53" borderId="21" xfId="568" applyNumberFormat="1" applyFont="1" applyFill="1" applyBorder="1"/>
    <xf numFmtId="168" fontId="20" fillId="53" borderId="0" xfId="568" applyNumberFormat="1" applyFont="1" applyFill="1" applyBorder="1"/>
    <xf numFmtId="179" fontId="201" fillId="53" borderId="2" xfId="234" applyNumberFormat="1" applyFont="1" applyFill="1" applyBorder="1"/>
    <xf numFmtId="179" fontId="201" fillId="53" borderId="21" xfId="234" applyNumberFormat="1" applyFont="1" applyFill="1" applyBorder="1"/>
    <xf numFmtId="179" fontId="201" fillId="53" borderId="0" xfId="234" applyNumberFormat="1" applyFont="1" applyFill="1" applyBorder="1"/>
    <xf numFmtId="1" fontId="21" fillId="18" borderId="24" xfId="547" applyNumberFormat="1" applyFont="1" applyFill="1" applyBorder="1" applyAlignment="1">
      <alignment horizontal="right"/>
    </xf>
    <xf numFmtId="1" fontId="21" fillId="18" borderId="1" xfId="547" applyNumberFormat="1" applyFont="1" applyFill="1" applyBorder="1" applyAlignment="1">
      <alignment horizontal="right"/>
    </xf>
    <xf numFmtId="1" fontId="21" fillId="18" borderId="25" xfId="547" applyNumberFormat="1" applyFont="1" applyFill="1" applyBorder="1" applyAlignment="1">
      <alignment horizontal="right"/>
    </xf>
    <xf numFmtId="168" fontId="20" fillId="0" borderId="0" xfId="568" applyNumberFormat="1" applyFont="1" applyFill="1" applyBorder="1" applyAlignment="1"/>
    <xf numFmtId="168" fontId="20" fillId="0" borderId="21" xfId="568" applyNumberFormat="1" applyFont="1" applyFill="1" applyBorder="1" applyAlignment="1"/>
    <xf numFmtId="168" fontId="20" fillId="0" borderId="2" xfId="568" applyNumberFormat="1" applyFont="1" applyFill="1" applyBorder="1" applyAlignment="1"/>
    <xf numFmtId="168" fontId="24" fillId="0" borderId="0" xfId="568" applyNumberFormat="1" applyFont="1" applyFill="1" applyBorder="1" applyAlignment="1"/>
    <xf numFmtId="168" fontId="20" fillId="0" borderId="2" xfId="568" applyNumberFormat="1" applyFont="1" applyBorder="1"/>
    <xf numFmtId="168" fontId="20" fillId="0" borderId="0" xfId="568" applyNumberFormat="1" applyFont="1" applyBorder="1"/>
    <xf numFmtId="168" fontId="20" fillId="0" borderId="21" xfId="568" applyNumberFormat="1" applyFont="1" applyBorder="1"/>
    <xf numFmtId="165" fontId="21" fillId="18" borderId="0" xfId="548" applyNumberFormat="1" applyFont="1" applyFill="1" applyBorder="1" applyAlignment="1">
      <alignment horizontal="right"/>
    </xf>
    <xf numFmtId="165" fontId="21" fillId="18" borderId="21" xfId="548" applyNumberFormat="1" applyFont="1" applyFill="1" applyBorder="1" applyAlignment="1">
      <alignment horizontal="right"/>
    </xf>
    <xf numFmtId="165" fontId="21" fillId="18" borderId="2" xfId="548" applyNumberFormat="1" applyFont="1" applyFill="1" applyBorder="1" applyAlignment="1">
      <alignment horizontal="right"/>
    </xf>
    <xf numFmtId="174" fontId="23" fillId="0" borderId="21" xfId="234" applyNumberFormat="1" applyFont="1" applyFill="1" applyBorder="1" applyAlignment="1"/>
    <xf numFmtId="174" fontId="23" fillId="0" borderId="2" xfId="234" applyNumberFormat="1" applyFont="1" applyFill="1" applyBorder="1" applyAlignment="1"/>
    <xf numFmtId="43" fontId="20" fillId="0" borderId="0" xfId="234" applyFont="1" applyBorder="1"/>
    <xf numFmtId="168" fontId="18" fillId="55" borderId="0" xfId="568" applyNumberFormat="1" applyFont="1" applyFill="1" applyBorder="1"/>
    <xf numFmtId="167" fontId="19" fillId="0" borderId="7" xfId="3" applyNumberFormat="1" applyFont="1" applyFill="1" applyBorder="1" applyAlignment="1"/>
    <xf numFmtId="187" fontId="20" fillId="0" borderId="0" xfId="394" applyNumberFormat="1" applyFont="1" applyFill="1" applyBorder="1"/>
    <xf numFmtId="168" fontId="18" fillId="0" borderId="2" xfId="568" applyNumberFormat="1" applyFont="1" applyFill="1" applyBorder="1"/>
    <xf numFmtId="1" fontId="21" fillId="18" borderId="24" xfId="547" applyNumberFormat="1" applyFont="1" applyFill="1" applyBorder="1" applyAlignment="1">
      <alignment horizontal="right"/>
    </xf>
    <xf numFmtId="1" fontId="21" fillId="18" borderId="1" xfId="547" applyNumberFormat="1" applyFont="1" applyFill="1" applyBorder="1" applyAlignment="1">
      <alignment horizontal="right"/>
    </xf>
    <xf numFmtId="1" fontId="21" fillId="18" borderId="25" xfId="547" applyNumberFormat="1" applyFont="1" applyFill="1" applyBorder="1" applyAlignment="1">
      <alignment horizontal="right"/>
    </xf>
    <xf numFmtId="168" fontId="20" fillId="0" borderId="0" xfId="568" applyNumberFormat="1" applyFont="1" applyFill="1" applyBorder="1" applyAlignment="1"/>
    <xf numFmtId="168" fontId="20" fillId="0" borderId="21" xfId="568" applyNumberFormat="1" applyFont="1" applyFill="1" applyBorder="1" applyAlignment="1"/>
    <xf numFmtId="168" fontId="20" fillId="0" borderId="2" xfId="568" applyNumberFormat="1" applyFont="1" applyFill="1" applyBorder="1" applyAlignment="1"/>
    <xf numFmtId="168" fontId="24" fillId="0" borderId="0" xfId="568" applyNumberFormat="1" applyFont="1" applyFill="1" applyBorder="1" applyAlignment="1"/>
    <xf numFmtId="168" fontId="24" fillId="0" borderId="2" xfId="568" applyNumberFormat="1" applyFont="1" applyFill="1" applyBorder="1" applyAlignment="1"/>
    <xf numFmtId="168" fontId="24" fillId="0" borderId="21" xfId="568" applyNumberFormat="1" applyFont="1" applyFill="1" applyBorder="1" applyAlignment="1"/>
    <xf numFmtId="168" fontId="13" fillId="0" borderId="0" xfId="568" applyNumberFormat="1" applyFont="1"/>
    <xf numFmtId="168" fontId="18" fillId="0" borderId="0" xfId="568" applyNumberFormat="1" applyFont="1" applyFill="1" applyBorder="1"/>
    <xf numFmtId="44" fontId="13" fillId="0" borderId="0" xfId="394" applyNumberFormat="1" applyFont="1"/>
    <xf numFmtId="168" fontId="23" fillId="0" borderId="0" xfId="568" applyNumberFormat="1" applyFont="1" applyFill="1" applyBorder="1"/>
    <xf numFmtId="168" fontId="23" fillId="0" borderId="21" xfId="568" applyNumberFormat="1" applyFont="1" applyFill="1" applyBorder="1"/>
    <xf numFmtId="168" fontId="18" fillId="0" borderId="21" xfId="568" applyNumberFormat="1" applyFont="1" applyFill="1" applyBorder="1"/>
    <xf numFmtId="0" fontId="13" fillId="0" borderId="0" xfId="4321"/>
    <xf numFmtId="181" fontId="18" fillId="0" borderId="21" xfId="3" applyNumberFormat="1" applyFont="1" applyBorder="1"/>
    <xf numFmtId="164" fontId="31" fillId="0" borderId="25" xfId="3" applyNumberFormat="1" applyFont="1" applyBorder="1"/>
    <xf numFmtId="168" fontId="26" fillId="0" borderId="20" xfId="568" applyNumberFormat="1" applyFont="1" applyBorder="1"/>
    <xf numFmtId="168" fontId="70" fillId="0" borderId="25" xfId="568" applyNumberFormat="1" applyFont="1" applyBorder="1"/>
    <xf numFmtId="181" fontId="18" fillId="0" borderId="20" xfId="3" applyNumberFormat="1" applyFont="1" applyBorder="1"/>
    <xf numFmtId="181" fontId="18" fillId="0" borderId="23" xfId="3" applyNumberFormat="1" applyFont="1" applyBorder="1"/>
    <xf numFmtId="181" fontId="31" fillId="53" borderId="21" xfId="3" applyNumberFormat="1" applyFont="1" applyFill="1" applyBorder="1"/>
    <xf numFmtId="164" fontId="23" fillId="103" borderId="0" xfId="3" applyNumberFormat="1" applyFont="1" applyFill="1" applyBorder="1" applyAlignment="1"/>
    <xf numFmtId="167" fontId="23" fillId="0" borderId="20" xfId="3" applyNumberFormat="1" applyFont="1" applyFill="1" applyBorder="1" applyAlignment="1"/>
    <xf numFmtId="164" fontId="23" fillId="0" borderId="20" xfId="3" applyNumberFormat="1" applyFont="1" applyFill="1" applyBorder="1" applyAlignment="1"/>
    <xf numFmtId="0" fontId="13" fillId="0" borderId="0" xfId="568" applyNumberFormat="1" applyFont="1"/>
    <xf numFmtId="2" fontId="20" fillId="0" borderId="0" xfId="568" applyNumberFormat="1" applyFont="1" applyFill="1" applyBorder="1"/>
    <xf numFmtId="9" fontId="13" fillId="0" borderId="0" xfId="568" applyFont="1"/>
    <xf numFmtId="165" fontId="19" fillId="0" borderId="0" xfId="548" applyNumberFormat="1" applyFont="1" applyFill="1" applyBorder="1" applyAlignment="1">
      <alignment horizontal="right"/>
    </xf>
    <xf numFmtId="171" fontId="23" fillId="0" borderId="26" xfId="3" applyNumberFormat="1" applyFont="1" applyFill="1" applyBorder="1"/>
    <xf numFmtId="179" fontId="31" fillId="0" borderId="24" xfId="3" applyNumberFormat="1" applyFont="1" applyBorder="1"/>
    <xf numFmtId="179" fontId="31" fillId="0" borderId="1" xfId="3" applyNumberFormat="1" applyFont="1" applyBorder="1"/>
    <xf numFmtId="0" fontId="19" fillId="0" borderId="26" xfId="3" applyFont="1" applyBorder="1"/>
    <xf numFmtId="0" fontId="20" fillId="0" borderId="26" xfId="3" applyFont="1" applyBorder="1"/>
    <xf numFmtId="9" fontId="18" fillId="0" borderId="26" xfId="568" applyFont="1" applyFill="1" applyBorder="1"/>
    <xf numFmtId="0" fontId="73" fillId="0" borderId="2" xfId="0" applyFont="1" applyBorder="1"/>
    <xf numFmtId="0" fontId="30" fillId="0" borderId="2" xfId="3" applyFont="1" applyBorder="1"/>
    <xf numFmtId="164" fontId="322" fillId="0" borderId="0" xfId="3" applyNumberFormat="1" applyFont="1" applyFill="1" applyBorder="1"/>
    <xf numFmtId="182" fontId="324" fillId="0" borderId="0" xfId="3" applyNumberFormat="1" applyFont="1" applyFill="1" applyBorder="1"/>
    <xf numFmtId="168" fontId="154" fillId="0" borderId="2" xfId="248" applyNumberFormat="1" applyFont="1" applyFill="1" applyBorder="1"/>
    <xf numFmtId="179" fontId="322" fillId="0" borderId="0" xfId="234" applyNumberFormat="1" applyFont="1" applyBorder="1"/>
    <xf numFmtId="181" fontId="20" fillId="0" borderId="2" xfId="3" applyNumberFormat="1" applyFont="1" applyFill="1" applyBorder="1"/>
    <xf numFmtId="175" fontId="325" fillId="0" borderId="21" xfId="3" applyNumberFormat="1" applyFont="1" applyFill="1" applyBorder="1"/>
    <xf numFmtId="0" fontId="204" fillId="0" borderId="26" xfId="3" applyFont="1" applyFill="1" applyBorder="1"/>
    <xf numFmtId="167" fontId="325" fillId="0" borderId="0" xfId="3" applyNumberFormat="1" applyFont="1" applyFill="1" applyBorder="1" applyAlignment="1"/>
    <xf numFmtId="167" fontId="325" fillId="0" borderId="2" xfId="3" applyNumberFormat="1" applyFont="1" applyFill="1" applyBorder="1" applyAlignment="1"/>
    <xf numFmtId="167" fontId="325" fillId="0" borderId="2" xfId="4" applyNumberFormat="1" applyFont="1" applyFill="1" applyBorder="1" applyAlignment="1">
      <alignment horizontal="center"/>
    </xf>
    <xf numFmtId="167" fontId="325" fillId="0" borderId="0" xfId="4" applyNumberFormat="1" applyFont="1" applyFill="1" applyBorder="1" applyAlignment="1">
      <alignment horizontal="center"/>
    </xf>
    <xf numFmtId="167" fontId="325" fillId="0" borderId="21" xfId="4" applyNumberFormat="1" applyFont="1" applyFill="1" applyBorder="1" applyAlignment="1">
      <alignment horizontal="center"/>
    </xf>
    <xf numFmtId="167" fontId="325" fillId="0" borderId="21" xfId="3" applyNumberFormat="1" applyFont="1" applyFill="1" applyBorder="1" applyAlignment="1"/>
    <xf numFmtId="0" fontId="13" fillId="104" borderId="0" xfId="8605" applyFont="1" applyFill="1" applyAlignment="1">
      <alignment vertical="top"/>
    </xf>
    <xf numFmtId="0" fontId="13" fillId="104" borderId="0" xfId="4321" applyFill="1" applyAlignment="1">
      <alignment vertical="top"/>
    </xf>
    <xf numFmtId="0" fontId="13" fillId="104" borderId="0" xfId="4321" applyFill="1"/>
    <xf numFmtId="0" fontId="18" fillId="104" borderId="0" xfId="8605" applyFont="1" applyFill="1" applyAlignment="1">
      <alignment horizontal="left" vertical="top"/>
    </xf>
    <xf numFmtId="0" fontId="13" fillId="104" borderId="0" xfId="4321" applyFont="1" applyFill="1" applyAlignment="1">
      <alignment vertical="top"/>
    </xf>
    <xf numFmtId="0" fontId="73" fillId="104" borderId="0" xfId="8605" applyFont="1" applyFill="1" applyAlignment="1">
      <alignment vertical="top"/>
    </xf>
    <xf numFmtId="0" fontId="0" fillId="104" borderId="0" xfId="0" applyFill="1" applyAlignment="1">
      <alignment vertical="top"/>
    </xf>
    <xf numFmtId="0" fontId="326" fillId="104" borderId="0" xfId="0" applyFont="1" applyFill="1" applyAlignment="1">
      <alignment vertical="top"/>
    </xf>
    <xf numFmtId="0" fontId="327" fillId="104" borderId="0" xfId="0" applyFont="1" applyFill="1" applyAlignment="1">
      <alignment vertical="top"/>
    </xf>
    <xf numFmtId="0" fontId="327" fillId="104" borderId="0" xfId="0" applyFont="1" applyFill="1" applyAlignment="1">
      <alignment vertical="top"/>
    </xf>
    <xf numFmtId="0" fontId="326" fillId="104" borderId="0" xfId="0" applyFont="1" applyFill="1" applyAlignment="1">
      <alignment vertical="top"/>
    </xf>
    <xf numFmtId="0" fontId="0" fillId="104" borderId="0" xfId="0" applyFill="1" applyAlignment="1">
      <alignment vertical="top"/>
    </xf>
    <xf numFmtId="0" fontId="0" fillId="104" borderId="64" xfId="0" applyFill="1" applyBorder="1" applyAlignment="1">
      <alignment vertical="top"/>
    </xf>
    <xf numFmtId="0" fontId="326" fillId="104" borderId="60" xfId="0" applyFont="1" applyFill="1" applyBorder="1" applyAlignment="1">
      <alignment vertical="top"/>
    </xf>
    <xf numFmtId="0" fontId="326" fillId="104" borderId="61" xfId="0" applyFont="1" applyFill="1" applyBorder="1" applyAlignment="1">
      <alignment vertical="top"/>
    </xf>
    <xf numFmtId="0" fontId="326" fillId="104" borderId="62" xfId="0" applyFont="1" applyFill="1" applyBorder="1" applyAlignment="1">
      <alignment vertical="top"/>
    </xf>
    <xf numFmtId="0" fontId="326" fillId="104" borderId="63" xfId="0" applyFont="1" applyFill="1" applyBorder="1" applyAlignment="1">
      <alignment vertical="top"/>
    </xf>
    <xf numFmtId="9" fontId="326" fillId="104" borderId="60" xfId="0" applyNumberFormat="1" applyFont="1" applyFill="1" applyBorder="1" applyAlignment="1">
      <alignment vertical="top"/>
    </xf>
    <xf numFmtId="3" fontId="326" fillId="104" borderId="60" xfId="0" applyNumberFormat="1" applyFont="1" applyFill="1" applyBorder="1" applyAlignment="1">
      <alignment vertical="top"/>
    </xf>
    <xf numFmtId="0" fontId="0" fillId="104" borderId="65" xfId="0" applyFill="1" applyBorder="1" applyAlignment="1">
      <alignment vertical="top"/>
    </xf>
    <xf numFmtId="2" fontId="13" fillId="0" borderId="0" xfId="4321" applyNumberFormat="1" applyAlignment="1">
      <alignment horizontal="left"/>
    </xf>
    <xf numFmtId="0" fontId="13" fillId="0" borderId="0" xfId="4321" applyNumberFormat="1" applyAlignment="1">
      <alignment horizontal="left"/>
    </xf>
    <xf numFmtId="1" fontId="13" fillId="0" borderId="0" xfId="4321" applyNumberFormat="1" applyAlignment="1">
      <alignment horizontal="left"/>
    </xf>
    <xf numFmtId="0" fontId="13" fillId="0" borderId="0" xfId="4321" applyFont="1"/>
    <xf numFmtId="286" fontId="13" fillId="0" borderId="0" xfId="4321" applyNumberFormat="1" applyAlignment="1">
      <alignment horizontal="left"/>
    </xf>
    <xf numFmtId="49" fontId="13" fillId="0" borderId="0" xfId="4321" applyNumberFormat="1"/>
  </cellXfs>
  <cellStyles count="8606">
    <cellStyle name="-" xfId="1"/>
    <cellStyle name=" 1" xfId="2"/>
    <cellStyle name=" 1 2" xfId="854"/>
    <cellStyle name=" 1 2 2" xfId="4330"/>
    <cellStyle name=" 1 2 3" xfId="1986"/>
    <cellStyle name="_x000a_386grabber=M" xfId="3"/>
    <cellStyle name="_x000a_386grabber=M 2" xfId="4"/>
    <cellStyle name="_x000a_386grabber=M 2 2" xfId="856"/>
    <cellStyle name="_x000a_386grabber=M 2 2 2" xfId="1987"/>
    <cellStyle name="_x000a_386grabber=M 2 3" xfId="1988"/>
    <cellStyle name="_x000a_386grabber=M 2 3 2" xfId="1989"/>
    <cellStyle name="_x000a_386grabber=M 3" xfId="5"/>
    <cellStyle name="_x000a_386grabber=M 3 2" xfId="857"/>
    <cellStyle name="_x000a_386grabber=M 3 2 2" xfId="1990"/>
    <cellStyle name="_x000a_386grabber=M 3 2 3" xfId="1991"/>
    <cellStyle name="_x000a_386grabber=M 3 3" xfId="1442"/>
    <cellStyle name="_x000a_386grabber=M 4" xfId="855"/>
    <cellStyle name="_x000a_386grabber=M 4 2" xfId="1992"/>
    <cellStyle name="_x000a_386grabber=M 5" xfId="1993"/>
    <cellStyle name="$" xfId="1994"/>
    <cellStyle name="$ &amp; ¢" xfId="1995"/>
    <cellStyle name="$ 1 decimal" xfId="6"/>
    <cellStyle name="$_AA - BenefitsBonus " xfId="1996"/>
    <cellStyle name="%" xfId="7"/>
    <cellStyle name="% 2" xfId="8"/>
    <cellStyle name="% 2 2" xfId="859"/>
    <cellStyle name="% 2 2 2" xfId="1997"/>
    <cellStyle name="% 2 2 2 2" xfId="1998"/>
    <cellStyle name="% 2 2 3" xfId="1999"/>
    <cellStyle name="% 2 3" xfId="2000"/>
    <cellStyle name="% 2 3 2" xfId="2001"/>
    <cellStyle name="% 2 4" xfId="2002"/>
    <cellStyle name="% 3" xfId="9"/>
    <cellStyle name="% 3 2" xfId="10"/>
    <cellStyle name="% 3 2 2" xfId="861"/>
    <cellStyle name="% 3 3" xfId="860"/>
    <cellStyle name="% 4" xfId="11"/>
    <cellStyle name="% 4 2" xfId="12"/>
    <cellStyle name="% 4 2 2" xfId="863"/>
    <cellStyle name="% 4 3" xfId="862"/>
    <cellStyle name="% 5" xfId="13"/>
    <cellStyle name="% 5 2" xfId="14"/>
    <cellStyle name="% 5 2 2" xfId="865"/>
    <cellStyle name="% 5 3" xfId="864"/>
    <cellStyle name="% 6" xfId="15"/>
    <cellStyle name="% 6 2" xfId="866"/>
    <cellStyle name="% 7" xfId="858"/>
    <cellStyle name="% 7 2" xfId="2003"/>
    <cellStyle name="% 8" xfId="2004"/>
    <cellStyle name="% 8 2" xfId="2005"/>
    <cellStyle name="% Growth" xfId="2006"/>
    <cellStyle name="% of Revenues" xfId="2007"/>
    <cellStyle name="%.00" xfId="16"/>
    <cellStyle name="%.00 2" xfId="867"/>
    <cellStyle name="%.00 3" xfId="2008"/>
    <cellStyle name="******************************************" xfId="17"/>
    <cellStyle name="****************************************** 2" xfId="2009"/>
    <cellStyle name="****************************************** 3" xfId="2010"/>
    <cellStyle name="****************************************** 4" xfId="2011"/>
    <cellStyle name="****************************************** 4 2" xfId="4331"/>
    <cellStyle name="??" xfId="2012"/>
    <cellStyle name="?? [0.00]_HELPDESK" xfId="2013"/>
    <cellStyle name="?? [0]_??" xfId="2014"/>
    <cellStyle name="?? 2" xfId="4042"/>
    <cellStyle name="??&amp;O?&amp;H?_x0008_??_x0007__x0001__x0001_" xfId="1443"/>
    <cellStyle name="???? [0.00]_HELPDESK" xfId="2015"/>
    <cellStyle name="?????_VERA" xfId="2016"/>
    <cellStyle name="????_HELPDESK" xfId="2017"/>
    <cellStyle name="???[0]_For vlookup" xfId="4043"/>
    <cellStyle name="???_For vlookup" xfId="4044"/>
    <cellStyle name="??_?.????" xfId="2018"/>
    <cellStyle name="?@疾_2332JT3_2313COP2 " xfId="18"/>
    <cellStyle name="?Q\?1@" xfId="19"/>
    <cellStyle name="?Q\?1@ 2" xfId="868"/>
    <cellStyle name="?Q\?1@ 2 2" xfId="2019"/>
    <cellStyle name="?Q\?1@ 3" xfId="2020"/>
    <cellStyle name="_2003AIMInformation for Reports" xfId="1444"/>
    <cellStyle name="_2345" xfId="4045"/>
    <cellStyle name="_2345_Exhibit NB QoQ" xfId="4046"/>
    <cellStyle name="_2345_Exhibt NB MOM" xfId="4047"/>
    <cellStyle name="_2345_MBNB shipments_20080909" xfId="4048"/>
    <cellStyle name="_2345_MBNB shipments_20090309.wip" xfId="4049"/>
    <cellStyle name="_2345_MBNB shipments_Dec06_wip" xfId="4050"/>
    <cellStyle name="_2345_MBNB shipments_July07.wip" xfId="4051"/>
    <cellStyle name="_2345_NB-Mthly(0)" xfId="4052"/>
    <cellStyle name="_2345_TWN Top 4 MB 5 NB" xfId="4053"/>
    <cellStyle name="_2379-13" xfId="4054"/>
    <cellStyle name="_2379-13_Exhibit NB QoQ" xfId="4055"/>
    <cellStyle name="_2379-13_Exhibt NB MOM" xfId="4056"/>
    <cellStyle name="_2379-13_MBNB shipments_20080909" xfId="4057"/>
    <cellStyle name="_2379-13_MBNB shipments_20090309.wip" xfId="4058"/>
    <cellStyle name="_2379-13_MBNB shipments_Dec06_wip" xfId="4059"/>
    <cellStyle name="_2379-13_MBNB shipments_July07.wip" xfId="4060"/>
    <cellStyle name="_2379-13_NB-Mthly(0)" xfId="4061"/>
    <cellStyle name="_2379-13_TWN Top 4 MB 5 NB" xfId="4062"/>
    <cellStyle name="_2391_050503" xfId="4063"/>
    <cellStyle name="_2391_050503_Exhibit NB QoQ" xfId="4064"/>
    <cellStyle name="_2391_050503_Exhibt NB MOM" xfId="4065"/>
    <cellStyle name="_2391_050503_MBNB shipments_20080909" xfId="4066"/>
    <cellStyle name="_2391_050503_MBNB shipments_20090309.wip" xfId="4067"/>
    <cellStyle name="_2391_050503_MBNB shipments_Dec06_wip" xfId="4068"/>
    <cellStyle name="_2391_050503_MBNB shipments_July07.wip" xfId="4069"/>
    <cellStyle name="_2391_050503_NB-Mthly(0)" xfId="4070"/>
    <cellStyle name="_2391_050503_TWN Top 4 MB 5 NB" xfId="4071"/>
    <cellStyle name="_AA - BenefitsBonus " xfId="2021"/>
    <cellStyle name="_AC_InterContinental" xfId="2022"/>
    <cellStyle name="_AIMP Europe Stats May 2004" xfId="1445"/>
    <cellStyle name="_AIMP Europe Stats May 2004 2" xfId="2023"/>
    <cellStyle name="_AIMP Europe Stats May 2004_Pivot Table Tips" xfId="2024"/>
    <cellStyle name="_All Public cubes and views" xfId="2025"/>
    <cellStyle name="_AMCCmodelware" xfId="2026"/>
    <cellStyle name="_AMCCmodelware 2" xfId="2027"/>
    <cellStyle name="_AMCCmodelware 2 2" xfId="2028"/>
    <cellStyle name="_AMCCmodelware 2 2 2" xfId="2029"/>
    <cellStyle name="_AMCCmodelware 2 2 2 2" xfId="2030"/>
    <cellStyle name="_AMCCmodelware 2 2 3" xfId="2031"/>
    <cellStyle name="_AMCCmodelware 2 3" xfId="2032"/>
    <cellStyle name="_AMCCmodelware 2 3 2" xfId="2033"/>
    <cellStyle name="_AMCCmodelware 2 4" xfId="2034"/>
    <cellStyle name="_AMCCmodelware 3" xfId="2035"/>
    <cellStyle name="_AMCCmodelware 3 2" xfId="2036"/>
    <cellStyle name="_AMCCmodelware 3 2 2" xfId="2037"/>
    <cellStyle name="_AMCCmodelware 3 3" xfId="2038"/>
    <cellStyle name="_AMCCmodelware 4" xfId="2039"/>
    <cellStyle name="_AMCCmodelware 4 2" xfId="2040"/>
    <cellStyle name="_AMCCmodelware 5" xfId="2041"/>
    <cellStyle name="_Analyst_Coverage_Map" xfId="2042"/>
    <cellStyle name="_Annaul model" xfId="4072"/>
    <cellStyle name="_ARX Modelware (12)" xfId="2043"/>
    <cellStyle name="_ARX QoQ Chart" xfId="2044"/>
    <cellStyle name="_asustek0613" xfId="4073"/>
    <cellStyle name="_asustek0613_Exhibit NB QoQ" xfId="4074"/>
    <cellStyle name="_asustek0613_Exhibt NB MOM" xfId="4075"/>
    <cellStyle name="_asustek0613_MBNB shipments_20080909" xfId="4076"/>
    <cellStyle name="_asustek0613_MBNB shipments_20090309.wip" xfId="4077"/>
    <cellStyle name="_asustek0613_MBNB shipments_Dec06_wip" xfId="4078"/>
    <cellStyle name="_asustek0613_MBNB shipments_July07.wip" xfId="4079"/>
    <cellStyle name="_asustek0613_NB-Mthly(0)" xfId="4080"/>
    <cellStyle name="_asustek0613_TWN Top 4 MB 5 NB" xfId="4081"/>
    <cellStyle name="_Book1" xfId="1446"/>
    <cellStyle name="_Book2" xfId="4082"/>
    <cellStyle name="_Book2_Exhibit NB QoQ" xfId="4083"/>
    <cellStyle name="_Book2_Exhibt NB MOM" xfId="4084"/>
    <cellStyle name="_Book2_MBNB shipments_20080909" xfId="4085"/>
    <cellStyle name="_Book2_MBNB shipments_20090309.wip" xfId="4086"/>
    <cellStyle name="_Book2_MBNB shipments_Dec06_wip" xfId="4087"/>
    <cellStyle name="_Book2_MBNB shipments_July07.wip" xfId="4088"/>
    <cellStyle name="_Book2_NB-Mthly(0)" xfId="4089"/>
    <cellStyle name="_Book2_TWN Top 4 MB 5 NB" xfId="4090"/>
    <cellStyle name="_Book7" xfId="4091"/>
    <cellStyle name="_Book7_Exhibit NB QoQ" xfId="4092"/>
    <cellStyle name="_Book7_Exhibt NB MOM" xfId="4093"/>
    <cellStyle name="_Book7_MBNB shipments_20080909" xfId="4094"/>
    <cellStyle name="_Book7_MBNB shipments_20090309.wip" xfId="4095"/>
    <cellStyle name="_Book7_MBNB shipments_Dec06_wip" xfId="4096"/>
    <cellStyle name="_Book7_MBNB shipments_July07.wip" xfId="4097"/>
    <cellStyle name="_Book7_NB-Mthly(0)" xfId="4098"/>
    <cellStyle name="_Book7_TWN Top 4 MB 5 NB" xfId="4099"/>
    <cellStyle name="_Broadcasting&amp;Cable" xfId="2045"/>
    <cellStyle name="_By Technology, Market Share_Copy of Model2018_AAC_(WIP) " xfId="20"/>
    <cellStyle name="_By Technology, Market Share_Copy of Model2018_AAC_(WIP)  2" xfId="869"/>
    <cellStyle name="_CAVM Modelware" xfId="2046"/>
    <cellStyle name="_CAVM WIP" xfId="2047"/>
    <cellStyle name="_CAVM_122910 v.2" xfId="2048"/>
    <cellStyle name="_CFA10" xfId="2049"/>
    <cellStyle name="_CFA4" xfId="2050"/>
    <cellStyle name="_Change since preliminary  - page for decision support workbook" xfId="2051"/>
    <cellStyle name="_Chartered_Copy of Model2018_AAC_(WIP) " xfId="21"/>
    <cellStyle name="_Chartered_Copy of Model2018_AAC_(WIP)  2" xfId="870"/>
    <cellStyle name="_Chartered_Ichia Model2402_Modelware_Copy of Model2018_AAC_(WIP) " xfId="22"/>
    <cellStyle name="_Chartered_Ichia Model2402_Modelware_Copy of Model2018_AAC_(WIP)  2" xfId="871"/>
    <cellStyle name="_Chartered_Model_2402(New)_Modelware_Copy of Model2018_AAC_(WIP) " xfId="23"/>
    <cellStyle name="_Chartered_Model_2402(New)_Modelware_Copy of Model2018_AAC_(WIP)  2" xfId="872"/>
    <cellStyle name="_Chartered_Model_3311(New)_Copy of Model2018_AAC_(WIP) " xfId="24"/>
    <cellStyle name="_Chartered_Model_3311(New)_Copy of Model2018_AAC_(WIP)  2" xfId="873"/>
    <cellStyle name="_Comma_AA - BenefitsBonus " xfId="2052"/>
    <cellStyle name="_Copy of ITGIWWDBDA02_ITGI02" xfId="2053"/>
    <cellStyle name="_Copy of Model2018_AAC_(WIP) " xfId="25"/>
    <cellStyle name="_Copy of Model2018_AAC_(WIP)  2" xfId="874"/>
    <cellStyle name="_Country" xfId="2054"/>
    <cellStyle name="_Country distribution--Reference" xfId="2055"/>
    <cellStyle name="_Currency_AA - BenefitsBonus " xfId="2056"/>
    <cellStyle name="_CurrencySpace_AA - BenefitsBonus " xfId="2057"/>
    <cellStyle name="_DA" xfId="2058"/>
    <cellStyle name="_Data (2)" xfId="1447"/>
    <cellStyle name="_DPA" xfId="2059"/>
    <cellStyle name="_DQDMS-check" xfId="2060"/>
    <cellStyle name="_DQDMS-check 2" xfId="2061"/>
    <cellStyle name="_EBS Template" xfId="4100"/>
    <cellStyle name="_EBS Template_Exhibit NB QoQ" xfId="4101"/>
    <cellStyle name="_EBS Template_Exhibt NB MOM" xfId="4102"/>
    <cellStyle name="_EBS Template_MBNB shipments_20080909" xfId="4103"/>
    <cellStyle name="_EBS Template_MBNB shipments_20090309.wip" xfId="4104"/>
    <cellStyle name="_EBS Template_MBNB shipments_Dec06_wip" xfId="4105"/>
    <cellStyle name="_EBS Template_MBNB shipments_July07.wip" xfId="4106"/>
    <cellStyle name="_EBS Template_NB-Mthly(0)" xfId="4107"/>
    <cellStyle name="_EBS Template_TWN Top 4 MB 5 NB" xfId="4108"/>
    <cellStyle name="_EBS Template1" xfId="4109"/>
    <cellStyle name="_EBS Template1_Exhibit NB QoQ" xfId="4110"/>
    <cellStyle name="_EBS Template1_Exhibt NB MOM" xfId="4111"/>
    <cellStyle name="_EBS Template1_MBNB shipments_20080909" xfId="4112"/>
    <cellStyle name="_EBS Template1_MBNB shipments_20090309.wip" xfId="4113"/>
    <cellStyle name="_EBS Template1_MBNB shipments_Dec06_wip" xfId="4114"/>
    <cellStyle name="_EBS Template1_MBNB shipments_July07.wip" xfId="4115"/>
    <cellStyle name="_EBS Template1_NB-Mthly(0)" xfId="4116"/>
    <cellStyle name="_EBS Template1_TWN Top 4 MB 5 NB" xfId="4117"/>
    <cellStyle name="_EPS" xfId="2062"/>
    <cellStyle name="_EPS1" xfId="2063"/>
    <cellStyle name="_exchange rates" xfId="1448"/>
    <cellStyle name="_exchange rates 2" xfId="2064"/>
    <cellStyle name="_Exhibit NB QoQ" xfId="4118"/>
    <cellStyle name="_Exhibt NB MOM" xfId="4119"/>
    <cellStyle name="_Fall 2002 IT Services Forecast Supplement" xfId="1449"/>
    <cellStyle name="_Fall 2002 IT Services Forecast Supplement 2" xfId="2065"/>
    <cellStyle name="_Fall 2002 IT Services Forecast Supplement_Japan Worstcase" xfId="2066"/>
    <cellStyle name="_Fall 2002 IT Services Forecast Supplement_Japan Worstcase 2" xfId="2067"/>
    <cellStyle name="_Forecast Enterprise Software Markets, Worldwide, 2008-2013, 3Q09 Update 10-sept-09" xfId="2068"/>
    <cellStyle name="_Forecast Review -Fall 2002 IT Services Nov 13" xfId="1450"/>
    <cellStyle name="_Forecast Review -Fall 2002 IT Services Nov 13 2" xfId="2069"/>
    <cellStyle name="_Forecast Review -Fall 2002 IT Services Nov 13_Japan Worstcase" xfId="2070"/>
    <cellStyle name="_Forecast Review -Fall 2002 IT Services Nov 13_Japan Worstcase 2" xfId="2071"/>
    <cellStyle name="_forecast_enterprise_software_166478" xfId="2072"/>
    <cellStyle name="_Forward Looking" xfId="1451"/>
    <cellStyle name="_GMT_070822" xfId="26"/>
    <cellStyle name="_GMT_070822 2" xfId="875"/>
    <cellStyle name="_Google Inc_Draft_112907_OPT for MSFT" xfId="2073"/>
    <cellStyle name="_Growth charts" xfId="1452"/>
    <cellStyle name="_Growth data" xfId="1453"/>
    <cellStyle name="—_GS_Cash " xfId="27"/>
    <cellStyle name="—_GS_Cash  2" xfId="2074"/>
    <cellStyle name="—_GS_Cash  2 2" xfId="4332"/>
    <cellStyle name="_IBMNorth America2005 YR" xfId="2075"/>
    <cellStyle name="_Ichia Model2402_Modelware_Copy of Model2018_AAC_(WIP) " xfId="28"/>
    <cellStyle name="_Ichia Model2402_Modelware_Copy of Model2018_AAC_(WIP)  2" xfId="876"/>
    <cellStyle name="_Info" xfId="1454"/>
    <cellStyle name="_Internal--Forecast Accuracy" xfId="1455"/>
    <cellStyle name="_Internal--Market Share and Service Line Forecast" xfId="1456"/>
    <cellStyle name="_Internal--Market Share and Vertical Forecast" xfId="1457"/>
    <cellStyle name="_IT Databook - Pivot_Sep09" xfId="2076"/>
    <cellStyle name="_IT Services Forecast Decision Support--Sept 2007" xfId="2077"/>
    <cellStyle name="_IT Services Forecast Decision Support--Sept 2007_Japan Worstcase" xfId="2078"/>
    <cellStyle name="_IT Services Forecast Decision Support--Sept 2007_Japan Worstcase 2" xfId="2079"/>
    <cellStyle name="_ITBOWWDBDA01_ITBOWWFC" xfId="2080"/>
    <cellStyle name="_ITDatabook_hardware_Jun09_v1" xfId="2081"/>
    <cellStyle name="_ITGIWW 2008-07" xfId="2082"/>
    <cellStyle name="_ITSTWWDBDA01_ITSTWWFC" xfId="2083"/>
    <cellStyle name="_IV6" xfId="2084"/>
    <cellStyle name="_Japan Worstcase" xfId="2085"/>
    <cellStyle name="_Japan Worstcase 2" xfId="2086"/>
    <cellStyle name="_JapaneseCatalog" xfId="2087"/>
    <cellStyle name="_LLTC WIP_ASR" xfId="1458"/>
    <cellStyle name="_LSI Modelware_021111" xfId="2088"/>
    <cellStyle name="_LSI Modelware_021111 2" xfId="2089"/>
    <cellStyle name="_LSI Modelware_021111 2 2" xfId="2090"/>
    <cellStyle name="_LSI Modelware_021111 2 2 2" xfId="2091"/>
    <cellStyle name="_LSI Modelware_021111 2 2 2 2" xfId="2092"/>
    <cellStyle name="_LSI Modelware_021111 2 2 3" xfId="2093"/>
    <cellStyle name="_LSI Modelware_021111 2 3" xfId="2094"/>
    <cellStyle name="_LSI Modelware_021111 2 3 2" xfId="2095"/>
    <cellStyle name="_LSI Modelware_021111 2 4" xfId="2096"/>
    <cellStyle name="_LSI Modelware_021111 3" xfId="2097"/>
    <cellStyle name="_LSI Modelware_021111 3 2" xfId="2098"/>
    <cellStyle name="_LSI Modelware_021111 3 2 2" xfId="2099"/>
    <cellStyle name="_LSI Modelware_021111 3 3" xfId="2100"/>
    <cellStyle name="_LSI Modelware_021111 4" xfId="2101"/>
    <cellStyle name="_LSI Modelware_021111 4 2" xfId="2102"/>
    <cellStyle name="_LSI Modelware_021111 5" xfId="2103"/>
    <cellStyle name="_LSI Modelware_021611" xfId="2104"/>
    <cellStyle name="_LSI Modelware_021611 2" xfId="2105"/>
    <cellStyle name="_LSI Modelware_021611 2 2" xfId="2106"/>
    <cellStyle name="_LSI Modelware_021611 2 2 2" xfId="2107"/>
    <cellStyle name="_LSI Modelware_021611 2 2 2 2" xfId="2108"/>
    <cellStyle name="_LSI Modelware_021611 2 2 3" xfId="2109"/>
    <cellStyle name="_LSI Modelware_021611 2 3" xfId="2110"/>
    <cellStyle name="_LSI Modelware_021611 2 3 2" xfId="2111"/>
    <cellStyle name="_LSI Modelware_021611 2 4" xfId="2112"/>
    <cellStyle name="_LSI Modelware_021611 3" xfId="2113"/>
    <cellStyle name="_LSI Modelware_021611 3 2" xfId="2114"/>
    <cellStyle name="_LSI Modelware_021611 3 2 2" xfId="2115"/>
    <cellStyle name="_LSI Modelware_021611 3 3" xfId="2116"/>
    <cellStyle name="_LSI Modelware_021611 4" xfId="2117"/>
    <cellStyle name="_LSI Modelware_021611 4 2" xfId="2118"/>
    <cellStyle name="_LSI Modelware_021611 5" xfId="2119"/>
    <cellStyle name="_LSI_012511 (5)" xfId="2120"/>
    <cellStyle name="_LSI_012511 (5) 2" xfId="2121"/>
    <cellStyle name="_LSI_012511 (5) 2 2" xfId="2122"/>
    <cellStyle name="_LSI_012511 (5) 2 2 2" xfId="2123"/>
    <cellStyle name="_LSI_012511 (5) 2 2 2 2" xfId="2124"/>
    <cellStyle name="_LSI_012511 (5) 2 2 3" xfId="2125"/>
    <cellStyle name="_LSI_012511 (5) 2 3" xfId="2126"/>
    <cellStyle name="_LSI_012511 (5) 2 3 2" xfId="2127"/>
    <cellStyle name="_LSI_012511 (5) 2 4" xfId="2128"/>
    <cellStyle name="_LSI_012511 (5) 3" xfId="2129"/>
    <cellStyle name="_LSI_012511 (5) 3 2" xfId="2130"/>
    <cellStyle name="_LSI_012511 (5) 3 2 2" xfId="2131"/>
    <cellStyle name="_LSI_012511 (5) 3 3" xfId="2132"/>
    <cellStyle name="_LSI_012511 (5) 4" xfId="2133"/>
    <cellStyle name="_LSI_012511 (5) 4 2" xfId="2134"/>
    <cellStyle name="_LSI_012511 (5) 5" xfId="2135"/>
    <cellStyle name="_LXK_MS_Model_wip" xfId="2136"/>
    <cellStyle name="_Market sizing Generic" xfId="1459"/>
    <cellStyle name="_MBNB shipments_20080909" xfId="4120"/>
    <cellStyle name="_MBNB shipments_20090309.wip" xfId="4121"/>
    <cellStyle name="_MBNB shipments_Dec06_wip" xfId="4122"/>
    <cellStyle name="_MBNB shipments_July07.wip" xfId="4123"/>
    <cellStyle name="_Metrics1" xfId="2137"/>
    <cellStyle name="_Metrics11" xfId="2138"/>
    <cellStyle name="_Metrics13" xfId="2139"/>
    <cellStyle name="_Metrics3" xfId="2140"/>
    <cellStyle name="_Metrics5" xfId="2141"/>
    <cellStyle name="_Metrics7" xfId="2142"/>
    <cellStyle name="_Metrics9" xfId="2143"/>
    <cellStyle name="_Mkt Seg SRS Shell" xfId="2144"/>
    <cellStyle name="_Mkt Seg SRS Shell 2" xfId="2145"/>
    <cellStyle name="_Model_2402(New)_Modelware_Copy of Model2018_AAC_(WIP) " xfId="29"/>
    <cellStyle name="_Model_2402(New)_Modelware_Copy of Model2018_AAC_(WIP)  2" xfId="877"/>
    <cellStyle name="_Model_3311(New)_Copy of Model2018_AAC_(WIP) " xfId="30"/>
    <cellStyle name="_Model_3311(New)_Copy of Model2018_AAC_(WIP)  2" xfId="878"/>
    <cellStyle name="_Model2394" xfId="4124"/>
    <cellStyle name="_Model2394_Exhibit NB QoQ" xfId="4125"/>
    <cellStyle name="_Model2394_Exhibt NB MOM" xfId="4126"/>
    <cellStyle name="_Model2394_MBNB shipments_20080909" xfId="4127"/>
    <cellStyle name="_Model2394_MBNB shipments_20090309.wip" xfId="4128"/>
    <cellStyle name="_Model2394_MBNB shipments_Dec06_wip" xfId="4129"/>
    <cellStyle name="_Model2394_MBNB shipments_July07.wip" xfId="4130"/>
    <cellStyle name="_Model2394_NB-Mthly(0)" xfId="4131"/>
    <cellStyle name="_Model2394_TWN Top 4 MB 5 NB" xfId="4132"/>
    <cellStyle name="_Model2401_2Q03result" xfId="4133"/>
    <cellStyle name="_Model2401_2Q03result_Exhibit NB QoQ" xfId="4134"/>
    <cellStyle name="_Model2401_2Q03result_Exhibt NB MOM" xfId="4135"/>
    <cellStyle name="_Model2401_2Q03result_MBNB shipments_20080909" xfId="4136"/>
    <cellStyle name="_Model2401_2Q03result_MBNB shipments_20090309.wip" xfId="4137"/>
    <cellStyle name="_Model2401_2Q03result_MBNB shipments_Dec06_wip" xfId="4138"/>
    <cellStyle name="_Model2401_2Q03result_MBNB shipments_July07.wip" xfId="4139"/>
    <cellStyle name="_Model2401_2Q03result_NB-Mthly(0)" xfId="4140"/>
    <cellStyle name="_Model2401_2Q03result_TWN Top 4 MB 5 NB" xfId="4141"/>
    <cellStyle name="_Model3008_08'03" xfId="4142"/>
    <cellStyle name="_Model3008_08'03_Exhibit NB QoQ" xfId="4143"/>
    <cellStyle name="_Model3008_08'03_Exhibt NB MOM" xfId="4144"/>
    <cellStyle name="_Model3008_08'03_MBNB shipments_20080909" xfId="4145"/>
    <cellStyle name="_Model3008_08'03_MBNB shipments_20090309.wip" xfId="4146"/>
    <cellStyle name="_Model3008_08'03_MBNB shipments_Dec06_wip" xfId="4147"/>
    <cellStyle name="_Model3008_08'03_MBNB shipments_July07.wip" xfId="4148"/>
    <cellStyle name="_Model3008_08'03_NB-Mthly(0)" xfId="4149"/>
    <cellStyle name="_Model3008_08'03_TWN Top 4 MB 5 NB" xfId="4150"/>
    <cellStyle name="_Model3019_08'03" xfId="4151"/>
    <cellStyle name="_Model3019_08'03_Exhibit NB QoQ" xfId="4152"/>
    <cellStyle name="_Model3019_08'03_Exhibt NB MOM" xfId="4153"/>
    <cellStyle name="_Model3019_08'03_MBNB shipments_20080909" xfId="4154"/>
    <cellStyle name="_Model3019_08'03_MBNB shipments_20090309.wip" xfId="4155"/>
    <cellStyle name="_Model3019_08'03_MBNB shipments_Dec06_wip" xfId="4156"/>
    <cellStyle name="_Model3019_08'03_MBNB shipments_July07.wip" xfId="4157"/>
    <cellStyle name="_Model3019_08'03_NB-Mthly(0)" xfId="4158"/>
    <cellStyle name="_Model3019_08'03_TWN Top 4 MB 5 NB" xfId="4159"/>
    <cellStyle name="_Model3059" xfId="4160"/>
    <cellStyle name="_Model3059_Exhibit NB QoQ" xfId="4161"/>
    <cellStyle name="_Model3059_Exhibt NB MOM" xfId="4162"/>
    <cellStyle name="_Model3059_MBNB shipments_20080909" xfId="4163"/>
    <cellStyle name="_Model3059_MBNB shipments_20090309.wip" xfId="4164"/>
    <cellStyle name="_Model3059_MBNB shipments_Dec06_wip" xfId="4165"/>
    <cellStyle name="_Model3059_MBNB shipments_July07.wip" xfId="4166"/>
    <cellStyle name="_Model3059_NB-Mthly(0)" xfId="4167"/>
    <cellStyle name="_Model3059_TWN Top 4 MB 5 NB" xfId="4168"/>
    <cellStyle name="_Monthly sales" xfId="4169"/>
    <cellStyle name="_Multiple_AA - BenefitsBonus " xfId="2146"/>
    <cellStyle name="_MultipleSpace_AA - BenefitsBonus " xfId="2147"/>
    <cellStyle name="_MW_CFA" xfId="2148"/>
    <cellStyle name="_MWAnalytics" xfId="2149"/>
    <cellStyle name="_NB-Mthly(0)" xfId="4170"/>
    <cellStyle name="_Percent_AA - BenefitsBonus " xfId="2150"/>
    <cellStyle name="_PercentSpace_AA - BenefitsBonus " xfId="2151"/>
    <cellStyle name="_Pivot AIMP 2003 2 June 2004 for publication" xfId="1460"/>
    <cellStyle name="_Pivot AIMP 2003 2 June 2004 for publication 2" xfId="2152"/>
    <cellStyle name="_Pivot AIMP 2003 2 June 2004 for publication_Pivot Table Tips" xfId="2153"/>
    <cellStyle name="_Pivot_Table_templateApril05" xfId="2154"/>
    <cellStyle name="_prelim vs final" xfId="1461"/>
    <cellStyle name="_Print Generic Charts Library" xfId="1462"/>
    <cellStyle name="_Print Generic Charts Library 2" xfId="2155"/>
    <cellStyle name="_Print Generic Charts Library_Pivot Table Tips" xfId="2156"/>
    <cellStyle name="_Printers WW" xfId="2157"/>
    <cellStyle name="_quaterly model" xfId="4171"/>
    <cellStyle name="_Rama Other Companies" xfId="1463"/>
    <cellStyle name="_Rama Other Companies 2" xfId="2158"/>
    <cellStyle name="_Rama Other Companies_Japan Worstcase" xfId="2159"/>
    <cellStyle name="_Rama Other Companies_Japan Worstcase 2" xfId="2160"/>
    <cellStyle name="_RI valuation" xfId="4172"/>
    <cellStyle name="_ROE2" xfId="2161"/>
    <cellStyle name="_ROE4" xfId="2162"/>
    <cellStyle name="_ROE8" xfId="2163"/>
    <cellStyle name="_RRS1" xfId="31"/>
    <cellStyle name="_RRS1 2" xfId="32"/>
    <cellStyle name="_RRS1 2 2" xfId="880"/>
    <cellStyle name="_RRS1 2 2 2" xfId="2164"/>
    <cellStyle name="_RRS1 2 2 2 2" xfId="2165"/>
    <cellStyle name="_RRS1 2 2 3" xfId="2166"/>
    <cellStyle name="_RRS1 2 3" xfId="2167"/>
    <cellStyle name="_RRS1 2 3 2" xfId="2168"/>
    <cellStyle name="_RRS1 2 4" xfId="2169"/>
    <cellStyle name="_RRS1 3" xfId="33"/>
    <cellStyle name="_RRS1 3 2" xfId="34"/>
    <cellStyle name="_RRS1 3 2 2" xfId="882"/>
    <cellStyle name="_RRS1 3 3" xfId="881"/>
    <cellStyle name="_RRS1 4" xfId="35"/>
    <cellStyle name="_RRS1 4 2" xfId="36"/>
    <cellStyle name="_RRS1 4 2 2" xfId="884"/>
    <cellStyle name="_RRS1 4 3" xfId="883"/>
    <cellStyle name="_RRS1 5" xfId="37"/>
    <cellStyle name="_RRS1 5 2" xfId="38"/>
    <cellStyle name="_RRS1 5 2 2" xfId="886"/>
    <cellStyle name="_RRS1 5 3" xfId="885"/>
    <cellStyle name="_RRS1 6" xfId="39"/>
    <cellStyle name="_RRS1 6 2" xfId="887"/>
    <cellStyle name="_RRS1 7" xfId="879"/>
    <cellStyle name="_RRS1 7 2" xfId="2170"/>
    <cellStyle name="_RRS1 8" xfId="2171"/>
    <cellStyle name="_RRS1 8 2" xfId="2172"/>
    <cellStyle name="_RRS10" xfId="40"/>
    <cellStyle name="_RRS10 2" xfId="888"/>
    <cellStyle name="_RRS10 2 2" xfId="2173"/>
    <cellStyle name="_RRS10 2 2 2" xfId="2174"/>
    <cellStyle name="_RRS10 2 2 2 2" xfId="2175"/>
    <cellStyle name="_RRS10 2 2 3" xfId="2176"/>
    <cellStyle name="_RRS10 2 3" xfId="2177"/>
    <cellStyle name="_RRS10 2 3 2" xfId="2178"/>
    <cellStyle name="_RRS10 2 4" xfId="2179"/>
    <cellStyle name="_RRS10 3" xfId="2180"/>
    <cellStyle name="_RRS10 3 2" xfId="2181"/>
    <cellStyle name="_RRS10 3 2 2" xfId="2182"/>
    <cellStyle name="_RRS10 3 3" xfId="2183"/>
    <cellStyle name="_RRS10 4" xfId="2184"/>
    <cellStyle name="_RRS10 4 2" xfId="2185"/>
    <cellStyle name="_RRS10 5" xfId="2186"/>
    <cellStyle name="_RRS13" xfId="2187"/>
    <cellStyle name="_RRS15" xfId="2188"/>
    <cellStyle name="_RRS16" xfId="2189"/>
    <cellStyle name="_RRS2" xfId="41"/>
    <cellStyle name="_RRS2 2" xfId="889"/>
    <cellStyle name="_RRS20" xfId="2190"/>
    <cellStyle name="_RRS3" xfId="42"/>
    <cellStyle name="_RRS3 2" xfId="43"/>
    <cellStyle name="_RRS3 2 2" xfId="891"/>
    <cellStyle name="_RRS3 2 2 2" xfId="2191"/>
    <cellStyle name="_RRS3 2 2 2 2" xfId="2192"/>
    <cellStyle name="_RRS3 2 2 3" xfId="2193"/>
    <cellStyle name="_RRS3 2 3" xfId="2194"/>
    <cellStyle name="_RRS3 2 3 2" xfId="2195"/>
    <cellStyle name="_RRS3 2 4" xfId="2196"/>
    <cellStyle name="_RRS3 3" xfId="44"/>
    <cellStyle name="_RRS3 3 2" xfId="45"/>
    <cellStyle name="_RRS3 3 2 2" xfId="893"/>
    <cellStyle name="_RRS3 3 3" xfId="892"/>
    <cellStyle name="_RRS3 4" xfId="46"/>
    <cellStyle name="_RRS3 4 2" xfId="47"/>
    <cellStyle name="_RRS3 4 2 2" xfId="895"/>
    <cellStyle name="_RRS3 4 3" xfId="894"/>
    <cellStyle name="_RRS3 5" xfId="48"/>
    <cellStyle name="_RRS3 5 2" xfId="49"/>
    <cellStyle name="_RRS3 5 2 2" xfId="897"/>
    <cellStyle name="_RRS3 5 3" xfId="896"/>
    <cellStyle name="_RRS3 6" xfId="50"/>
    <cellStyle name="_RRS3 6 2" xfId="898"/>
    <cellStyle name="_RRS3 7" xfId="890"/>
    <cellStyle name="_RRS3 7 2" xfId="2197"/>
    <cellStyle name="_RRS3 8" xfId="2198"/>
    <cellStyle name="_RRS3 8 2" xfId="2199"/>
    <cellStyle name="_RRS4" xfId="51"/>
    <cellStyle name="_RRS4 2" xfId="52"/>
    <cellStyle name="_RRS4 2 2" xfId="900"/>
    <cellStyle name="_RRS4 2 2 2" xfId="2200"/>
    <cellStyle name="_RRS4 2 2 2 2" xfId="2201"/>
    <cellStyle name="_RRS4 2 2 3" xfId="2202"/>
    <cellStyle name="_RRS4 2 3" xfId="2203"/>
    <cellStyle name="_RRS4 2 3 2" xfId="2204"/>
    <cellStyle name="_RRS4 2 4" xfId="2205"/>
    <cellStyle name="_RRS4 3" xfId="53"/>
    <cellStyle name="_RRS4 3 2" xfId="54"/>
    <cellStyle name="_RRS4 3 2 2" xfId="902"/>
    <cellStyle name="_RRS4 3 3" xfId="901"/>
    <cellStyle name="_RRS4 4" xfId="55"/>
    <cellStyle name="_RRS4 4 2" xfId="56"/>
    <cellStyle name="_RRS4 4 2 2" xfId="904"/>
    <cellStyle name="_RRS4 4 3" xfId="903"/>
    <cellStyle name="_RRS4 5" xfId="57"/>
    <cellStyle name="_RRS4 5 2" xfId="58"/>
    <cellStyle name="_RRS4 5 2 2" xfId="906"/>
    <cellStyle name="_RRS4 5 3" xfId="905"/>
    <cellStyle name="_RRS4 6" xfId="59"/>
    <cellStyle name="_RRS4 6 2" xfId="907"/>
    <cellStyle name="_RRS4 7" xfId="899"/>
    <cellStyle name="_RRS4 7 2" xfId="2206"/>
    <cellStyle name="_RRS4 8" xfId="2207"/>
    <cellStyle name="_RRS4 8 2" xfId="2208"/>
    <cellStyle name="_RRS6" xfId="2209"/>
    <cellStyle name="_RRS8" xfId="2210"/>
    <cellStyle name="_sftwre_Dec08" xfId="2211"/>
    <cellStyle name="_Sheet1" xfId="2212"/>
    <cellStyle name="_SUMMARY " xfId="60"/>
    <cellStyle name="_SUMMARY  10" xfId="61"/>
    <cellStyle name="_SUMMARY  10 2" xfId="908"/>
    <cellStyle name="_SUMMARY  11" xfId="1464"/>
    <cellStyle name="_SUMMARY  11 2" xfId="2213"/>
    <cellStyle name="_SUMMARY  12" xfId="1465"/>
    <cellStyle name="_SUMMARY  12 2" xfId="2214"/>
    <cellStyle name="_SUMMARY  12 3" xfId="2215"/>
    <cellStyle name="_SUMMARY  13" xfId="1466"/>
    <cellStyle name="_SUMMARY  13 2" xfId="2216"/>
    <cellStyle name="_SUMMARY  13 3" xfId="2217"/>
    <cellStyle name="_SUMMARY  14" xfId="1467"/>
    <cellStyle name="_SUMMARY  14 2" xfId="2218"/>
    <cellStyle name="_SUMMARY  2" xfId="62"/>
    <cellStyle name="_SUMMARY  2 2" xfId="909"/>
    <cellStyle name="_SUMMARY  2 2 2" xfId="2219"/>
    <cellStyle name="_SUMMARY  2 2 2 2" xfId="2220"/>
    <cellStyle name="_SUMMARY  2 2 3" xfId="2221"/>
    <cellStyle name="_SUMMARY  2 3" xfId="2222"/>
    <cellStyle name="_SUMMARY  2 3 2" xfId="2223"/>
    <cellStyle name="_SUMMARY  2 4" xfId="2224"/>
    <cellStyle name="_SUMMARY  3" xfId="63"/>
    <cellStyle name="_SUMMARY  3 2" xfId="64"/>
    <cellStyle name="_SUMMARY  3 2 2" xfId="911"/>
    <cellStyle name="_SUMMARY  3 2 2 2" xfId="1468"/>
    <cellStyle name="_SUMMARY  3 2 3" xfId="1469"/>
    <cellStyle name="_SUMMARY  3 3" xfId="910"/>
    <cellStyle name="_SUMMARY  3 3 2" xfId="1470"/>
    <cellStyle name="_SUMMARY  3 4" xfId="1471"/>
    <cellStyle name="_SUMMARY  4" xfId="65"/>
    <cellStyle name="_SUMMARY  4 2" xfId="66"/>
    <cellStyle name="_SUMMARY  4 2 2" xfId="913"/>
    <cellStyle name="_SUMMARY  4 2 2 2" xfId="2225"/>
    <cellStyle name="_SUMMARY  4 2 3" xfId="2226"/>
    <cellStyle name="_SUMMARY  4 3" xfId="912"/>
    <cellStyle name="_SUMMARY  4 3 2" xfId="2227"/>
    <cellStyle name="_SUMMARY  4 3 2 2" xfId="2228"/>
    <cellStyle name="_SUMMARY  4 3 3" xfId="2229"/>
    <cellStyle name="_SUMMARY  4 4" xfId="2230"/>
    <cellStyle name="_SUMMARY  4 4 2" xfId="2231"/>
    <cellStyle name="_SUMMARY  4 5" xfId="2232"/>
    <cellStyle name="_SUMMARY  4 5 2" xfId="2233"/>
    <cellStyle name="_SUMMARY  4 6" xfId="2234"/>
    <cellStyle name="_SUMMARY  5" xfId="67"/>
    <cellStyle name="_SUMMARY  5 2" xfId="68"/>
    <cellStyle name="_SUMMARY  5 2 2" xfId="915"/>
    <cellStyle name="_SUMMARY  5 2 2 2" xfId="2235"/>
    <cellStyle name="_SUMMARY  5 2 3" xfId="2236"/>
    <cellStyle name="_SUMMARY  5 3" xfId="914"/>
    <cellStyle name="_SUMMARY  5 3 2" xfId="2237"/>
    <cellStyle name="_SUMMARY  5 4" xfId="2238"/>
    <cellStyle name="_SUMMARY  6" xfId="69"/>
    <cellStyle name="_SUMMARY  6 2" xfId="70"/>
    <cellStyle name="_SUMMARY  6 2 2" xfId="71"/>
    <cellStyle name="_SUMMARY  6 2 2 2" xfId="918"/>
    <cellStyle name="_SUMMARY  6 2 3" xfId="917"/>
    <cellStyle name="_SUMMARY  6 3" xfId="72"/>
    <cellStyle name="_SUMMARY  6 3 2" xfId="919"/>
    <cellStyle name="_SUMMARY  6 4" xfId="916"/>
    <cellStyle name="_SUMMARY  7" xfId="73"/>
    <cellStyle name="_SUMMARY  7 2" xfId="74"/>
    <cellStyle name="_SUMMARY  7 2 2" xfId="921"/>
    <cellStyle name="_SUMMARY  7 3" xfId="75"/>
    <cellStyle name="_SUMMARY  7 3 2" xfId="922"/>
    <cellStyle name="_SUMMARY  7 4" xfId="920"/>
    <cellStyle name="_SUMMARY  8" xfId="76"/>
    <cellStyle name="_SUMMARY  8 2" xfId="77"/>
    <cellStyle name="_SUMMARY  8 2 2" xfId="78"/>
    <cellStyle name="_SUMMARY  8 2 2 2" xfId="925"/>
    <cellStyle name="_SUMMARY  8 2 3" xfId="924"/>
    <cellStyle name="_SUMMARY  8 3" xfId="79"/>
    <cellStyle name="_SUMMARY  8 3 2" xfId="926"/>
    <cellStyle name="_SUMMARY  8 4" xfId="923"/>
    <cellStyle name="_SUMMARY  9" xfId="80"/>
    <cellStyle name="_SUMMARY  9 2" xfId="81"/>
    <cellStyle name="_SUMMARY  9 2 2" xfId="928"/>
    <cellStyle name="_SUMMARY  9 3" xfId="927"/>
    <cellStyle name="_SUMMARY _RRST1" xfId="2239"/>
    <cellStyle name="_SUMMARY _RRST6" xfId="2240"/>
    <cellStyle name="_Survey form sample" xfId="2241"/>
    <cellStyle name="_SWKS WIPsls" xfId="2242"/>
    <cellStyle name="_SWKS_113010" xfId="2243"/>
    <cellStyle name="_SWKS_113010 2" xfId="2244"/>
    <cellStyle name="_SWKS_113010 2 2" xfId="2245"/>
    <cellStyle name="_SWKS_113010 2 2 2" xfId="2246"/>
    <cellStyle name="_SWKS_113010 2 2 2 2" xfId="2247"/>
    <cellStyle name="_SWKS_113010 2 2 3" xfId="2248"/>
    <cellStyle name="_SWKS_113010 2 3" xfId="2249"/>
    <cellStyle name="_SWKS_113010 2 3 2" xfId="2250"/>
    <cellStyle name="_SWKS_113010 2 4" xfId="2251"/>
    <cellStyle name="_SWKS_113010 3" xfId="2252"/>
    <cellStyle name="_SWKS_113010 3 2" xfId="2253"/>
    <cellStyle name="_SWKS_113010 3 2 2" xfId="2254"/>
    <cellStyle name="_SWKS_113010 3 3" xfId="2255"/>
    <cellStyle name="_SWKS_113010 4" xfId="2256"/>
    <cellStyle name="_SWKS_113010 4 2" xfId="2257"/>
    <cellStyle name="_SWKS_113010 5" xfId="2258"/>
    <cellStyle name="_SWKS_122210" xfId="2259"/>
    <cellStyle name="_SWKS_122210 2" xfId="2260"/>
    <cellStyle name="_SWKS_122210 2 2" xfId="2261"/>
    <cellStyle name="_SWKS_122210 2 2 2" xfId="2262"/>
    <cellStyle name="_SWKS_122210 2 2 2 2" xfId="2263"/>
    <cellStyle name="_SWKS_122210 2 2 3" xfId="2264"/>
    <cellStyle name="_SWKS_122210 2 3" xfId="2265"/>
    <cellStyle name="_SWKS_122210 2 3 2" xfId="2266"/>
    <cellStyle name="_SWKS_122210 2 4" xfId="2267"/>
    <cellStyle name="_SWKS_122210 3" xfId="2268"/>
    <cellStyle name="_SWKS_122210 3 2" xfId="2269"/>
    <cellStyle name="_SWKS_122210 3 2 2" xfId="2270"/>
    <cellStyle name="_SWKS_122210 3 3" xfId="2271"/>
    <cellStyle name="_SWKS_122210 4" xfId="2272"/>
    <cellStyle name="_SWKS_122210 4 2" xfId="2273"/>
    <cellStyle name="_SWKS_122210 5" xfId="2274"/>
    <cellStyle name="_SY Earnings(Labor cost)" xfId="2275"/>
    <cellStyle name="_Taiwan" xfId="4173"/>
    <cellStyle name="_Telecom Constraint" xfId="2276"/>
    <cellStyle name="_Template Stats" xfId="1472"/>
    <cellStyle name="_TWN Top 4 MB 5 NB" xfId="4174"/>
    <cellStyle name="_TXN modelware NEW" xfId="2277"/>
    <cellStyle name="_US GAAP" xfId="4175"/>
    <cellStyle name="_US GAAP_Copy of Model2018_AAC_(WIP) " xfId="82"/>
    <cellStyle name="_US GAAP_Copy of Model2018_AAC_(WIP)  2" xfId="929"/>
    <cellStyle name="_US GAAP_Exhibit NB QoQ" xfId="4176"/>
    <cellStyle name="_US GAAP_Exhibt NB MOM" xfId="4177"/>
    <cellStyle name="_US GAAP_MBNB shipments_20080909" xfId="4178"/>
    <cellStyle name="_US GAAP_MBNB shipments_20090309.wip" xfId="4179"/>
    <cellStyle name="_US GAAP_MBNB shipments_Dec06_wip" xfId="4180"/>
    <cellStyle name="_US GAAP_MBNB shipments_July07.wip" xfId="4181"/>
    <cellStyle name="_US GAAP_NB-Mthly(0)" xfId="4182"/>
    <cellStyle name="_US GAAP_TWN Top 4 MB 5 NB" xfId="4183"/>
    <cellStyle name="_Valuation_ROC RI" xfId="4184"/>
    <cellStyle name="_WIP_to_published" xfId="2278"/>
    <cellStyle name="_Wireline Tel Forecast " xfId="83"/>
    <cellStyle name="_Wireline Tel Forecast  2" xfId="930"/>
    <cellStyle name="_Wireline Tel Forecast  2 2" xfId="2279"/>
    <cellStyle name="_Wireline Tel Forecast  3" xfId="2280"/>
    <cellStyle name="_Word Charts" xfId="2281"/>
    <cellStyle name="_Word Charts 2" xfId="2282"/>
    <cellStyle name="_Zip Stats_2004" xfId="1473"/>
    <cellStyle name="’Ê‰Ý [0.00]_GE 3 MINIMUM" xfId="84"/>
    <cellStyle name="’Ê‰Ý_GE 3 MINIMUM" xfId="85"/>
    <cellStyle name="“ú–{Œê" xfId="2283"/>
    <cellStyle name="£ BP" xfId="86"/>
    <cellStyle name="£ BP 2" xfId="2284"/>
    <cellStyle name="¤@¯ë_2311" xfId="4185"/>
    <cellStyle name="¤d¤À¦ì[0]_2311" xfId="4186"/>
    <cellStyle name="¤d¤À¦ì_2311" xfId="4187"/>
    <cellStyle name="¥ JY" xfId="87"/>
    <cellStyle name="¥ JY 2" xfId="2285"/>
    <cellStyle name="¥ JY 3" xfId="4188"/>
    <cellStyle name="=C:\WINNT35\SYSTEM32\COMMAND.COM" xfId="88"/>
    <cellStyle name="=C:\WINNT35\SYSTEM32\COMMAND.COM 2" xfId="89"/>
    <cellStyle name="=C:\WINNT35\SYSTEM32\COMMAND.COM 2 2" xfId="932"/>
    <cellStyle name="=C:\WINNT35\SYSTEM32\COMMAND.COM 2 2 2" xfId="2286"/>
    <cellStyle name="=C:\WINNT35\SYSTEM32\COMMAND.COM 2 2 2 2" xfId="2287"/>
    <cellStyle name="=C:\WINNT35\SYSTEM32\COMMAND.COM 2 2 3" xfId="2288"/>
    <cellStyle name="=C:\WINNT35\SYSTEM32\COMMAND.COM 2 3" xfId="2289"/>
    <cellStyle name="=C:\WINNT35\SYSTEM32\COMMAND.COM 2 3 2" xfId="2290"/>
    <cellStyle name="=C:\WINNT35\SYSTEM32\COMMAND.COM 2 4" xfId="2291"/>
    <cellStyle name="=C:\WINNT35\SYSTEM32\COMMAND.COM 3" xfId="90"/>
    <cellStyle name="=C:\WINNT35\SYSTEM32\COMMAND.COM 3 2" xfId="91"/>
    <cellStyle name="=C:\WINNT35\SYSTEM32\COMMAND.COM 3 2 2" xfId="934"/>
    <cellStyle name="=C:\WINNT35\SYSTEM32\COMMAND.COM 3 3" xfId="933"/>
    <cellStyle name="=C:\WINNT35\SYSTEM32\COMMAND.COM 4" xfId="92"/>
    <cellStyle name="=C:\WINNT35\SYSTEM32\COMMAND.COM 4 2" xfId="93"/>
    <cellStyle name="=C:\WINNT35\SYSTEM32\COMMAND.COM 4 2 2" xfId="936"/>
    <cellStyle name="=C:\WINNT35\SYSTEM32\COMMAND.COM 4 3" xfId="935"/>
    <cellStyle name="=C:\WINNT35\SYSTEM32\COMMAND.COM 5" xfId="94"/>
    <cellStyle name="=C:\WINNT35\SYSTEM32\COMMAND.COM 5 2" xfId="95"/>
    <cellStyle name="=C:\WINNT35\SYSTEM32\COMMAND.COM 5 2 2" xfId="938"/>
    <cellStyle name="=C:\WINNT35\SYSTEM32\COMMAND.COM 5 3" xfId="937"/>
    <cellStyle name="=C:\WINNT35\SYSTEM32\COMMAND.COM 6" xfId="96"/>
    <cellStyle name="=C:\WINNT35\SYSTEM32\COMMAND.COM 6 2" xfId="939"/>
    <cellStyle name="=C:\WINNT35\SYSTEM32\COMMAND.COM 7" xfId="931"/>
    <cellStyle name="=C:\WINNT35\SYSTEM32\COMMAND.COM 7 2" xfId="2292"/>
    <cellStyle name="=C:\WINNT35\SYSTEM32\COMMAND.COM 8" xfId="2293"/>
    <cellStyle name="=C:\WINNT35\SYSTEM32\COMMAND.COM 8 2" xfId="2294"/>
    <cellStyle name="§Q\?1@" xfId="97"/>
    <cellStyle name="§Q\?1@ 2" xfId="940"/>
    <cellStyle name="•W€_Comparables" xfId="98"/>
    <cellStyle name="•W_9501sales" xfId="1474"/>
    <cellStyle name="0" xfId="99"/>
    <cellStyle name="0 2" xfId="2295"/>
    <cellStyle name="0%" xfId="100"/>
    <cellStyle name="0% 2" xfId="101"/>
    <cellStyle name="0% 2 2" xfId="942"/>
    <cellStyle name="0% 2 2 2" xfId="2296"/>
    <cellStyle name="0% 2 2 2 2" xfId="2297"/>
    <cellStyle name="0% 2 2 3" xfId="2298"/>
    <cellStyle name="0% 2 3" xfId="2299"/>
    <cellStyle name="0% 2 3 2" xfId="2300"/>
    <cellStyle name="0% 2 4" xfId="2301"/>
    <cellStyle name="0% 3" xfId="102"/>
    <cellStyle name="0% 3 2" xfId="103"/>
    <cellStyle name="0% 3 2 2" xfId="944"/>
    <cellStyle name="0% 3 3" xfId="943"/>
    <cellStyle name="0% 4" xfId="104"/>
    <cellStyle name="0% 4 2" xfId="105"/>
    <cellStyle name="0% 4 2 2" xfId="946"/>
    <cellStyle name="0% 4 3" xfId="945"/>
    <cellStyle name="0% 5" xfId="106"/>
    <cellStyle name="0% 5 2" xfId="107"/>
    <cellStyle name="0% 5 2 2" xfId="948"/>
    <cellStyle name="0% 5 3" xfId="947"/>
    <cellStyle name="0% 6" xfId="108"/>
    <cellStyle name="0% 6 2" xfId="949"/>
    <cellStyle name="0% 7" xfId="941"/>
    <cellStyle name="0% 7 2" xfId="2302"/>
    <cellStyle name="0% 8" xfId="2303"/>
    <cellStyle name="0% 8 2" xfId="2304"/>
    <cellStyle name="0,0_x000d__x000a_NA_x000d__x000a_" xfId="1475"/>
    <cellStyle name="0,0_x000d__x000a_NA_x000d__x000a_ 2" xfId="2305"/>
    <cellStyle name="0,0_x000d__x000a_NA_x000d__x000a__Pivot Table Tips" xfId="2306"/>
    <cellStyle name="0.0" xfId="109"/>
    <cellStyle name="0.0 2" xfId="2307"/>
    <cellStyle name="0.0%" xfId="110"/>
    <cellStyle name="0.0% 2" xfId="2308"/>
    <cellStyle name="0.0_40050504 (pension)" xfId="2309"/>
    <cellStyle name="0.00" xfId="111"/>
    <cellStyle name="0.00 2" xfId="2310"/>
    <cellStyle name="0.00%" xfId="112"/>
    <cellStyle name="0.00% 2" xfId="2311"/>
    <cellStyle name="0.00_40050504 (pension)" xfId="2312"/>
    <cellStyle name="0_40050504 (pension)" xfId="2313"/>
    <cellStyle name="0_Capex &amp; Depreciation " xfId="113"/>
    <cellStyle name="0_Capex &amp; Depreciation  2" xfId="2314"/>
    <cellStyle name="0_Capex &amp; Depreciation  2 2" xfId="2315"/>
    <cellStyle name="0_Capex &amp; Depreciation _RRST1" xfId="114"/>
    <cellStyle name="0_Capex &amp; Depreciation _RRST1 2" xfId="115"/>
    <cellStyle name="0_Capex &amp; Depreciation _RRST12" xfId="116"/>
    <cellStyle name="0_Capex &amp; Depreciation _RRST19" xfId="117"/>
    <cellStyle name="0_Capex &amp; Depreciation _RRST19 2" xfId="118"/>
    <cellStyle name="0_Capex &amp; Depreciation _RRST20" xfId="119"/>
    <cellStyle name="0_Capex &amp; Depreciation _RRST20 2" xfId="120"/>
    <cellStyle name="0_Capex &amp; Depreciation _RRST25" xfId="121"/>
    <cellStyle name="0_Capex &amp; Depreciation _RRST25 2" xfId="122"/>
    <cellStyle name="0_Capex &amp; Depreciation _RRST3" xfId="123"/>
    <cellStyle name="0_Capex &amp; Depreciation _RRST6" xfId="124"/>
    <cellStyle name="0_Capex &amp; Depreciation _RRST6 2" xfId="125"/>
    <cellStyle name="0_Capex &amp; Depreciation _RRST9" xfId="1476"/>
    <cellStyle name="0_Capex &amp; Depreciation _RRST9 2" xfId="1477"/>
    <cellStyle name="0_ConsensusPanel_v20080325 (2)" xfId="2316"/>
    <cellStyle name="0_Copy of Model2018_AAC_(WIP) " xfId="126"/>
    <cellStyle name="0_geconsensusv1" xfId="2317"/>
    <cellStyle name="0_Handset component data_Copy of Model2018_AAC_(WIP) " xfId="127"/>
    <cellStyle name="0_IV2" xfId="2318"/>
    <cellStyle name="0_IV6" xfId="2319"/>
    <cellStyle name="0_Japan Pension Module Sumitomo Chemical" xfId="2320"/>
    <cellStyle name="0_JapaneseCatalog" xfId="2321"/>
    <cellStyle name="0_MB-Mthly(1)" xfId="4189"/>
    <cellStyle name="0_MB-Mthly(1)_Exhibit NB QoQ" xfId="4190"/>
    <cellStyle name="0_MB-Mthly(1)_Exhibt NB MOM" xfId="4191"/>
    <cellStyle name="0_MB-Mthly(1)_MBNB shipments_20080909" xfId="4192"/>
    <cellStyle name="0_MB-Mthly(1)_MBNB shipments_20090309.wip" xfId="4193"/>
    <cellStyle name="0_MB-Mthly(1)_MBNB shipments_Dec06_wip" xfId="4194"/>
    <cellStyle name="0_MB-Mthly(1)_MBNB shipments_July07.wip" xfId="4195"/>
    <cellStyle name="0_MB-Mthly(1)_NB-Mthly(0)" xfId="4196"/>
    <cellStyle name="0_ROE2" xfId="2322"/>
    <cellStyle name="0_ROE4" xfId="2323"/>
    <cellStyle name="0_SmartChart_B1035" xfId="2324"/>
    <cellStyle name="0_SmartChart_B1200" xfId="2325"/>
    <cellStyle name="0_SmartChart_C1035" xfId="2326"/>
    <cellStyle name="0_SmartChart_O1200" xfId="2327"/>
    <cellStyle name="0_TWN Top 4 MB 5 NB" xfId="4197"/>
    <cellStyle name="0_TWN Top 4 MB 5 NB_Exhibit NB QoQ" xfId="4198"/>
    <cellStyle name="0_TWN Top 4 MB 5 NB_Exhibt NB MOM" xfId="4199"/>
    <cellStyle name="0_TWN Top 4 MB 5 NB_MBNB shipments_20080909" xfId="4200"/>
    <cellStyle name="0_TWN Top 4 MB 5 NB_MBNB shipments_20090309.wip" xfId="4201"/>
    <cellStyle name="0_TWN Top 4 MB 5 NB_MBNB shipments_Dec06_wip" xfId="4202"/>
    <cellStyle name="0_TWN Top 4 MB 5 NB_MBNB shipments_July07.wip" xfId="4203"/>
    <cellStyle name="0_Valuing BP " xfId="128"/>
    <cellStyle name="0_Valuing BP  2" xfId="2328"/>
    <cellStyle name="0_Valuing BP  2 2" xfId="2329"/>
    <cellStyle name="0_Valuing BP _RRST1" xfId="129"/>
    <cellStyle name="0_Valuing BP _RRST1 2" xfId="130"/>
    <cellStyle name="0_Valuing BP _RRST12" xfId="131"/>
    <cellStyle name="0_Valuing BP _RRST19" xfId="132"/>
    <cellStyle name="0_Valuing BP _RRST19 2" xfId="133"/>
    <cellStyle name="0_Valuing BP _RRST20" xfId="134"/>
    <cellStyle name="0_Valuing BP _RRST20 2" xfId="135"/>
    <cellStyle name="0_Valuing BP _RRST25" xfId="136"/>
    <cellStyle name="0_Valuing BP _RRST25 2" xfId="137"/>
    <cellStyle name="0_Valuing BP _RRST3" xfId="138"/>
    <cellStyle name="0_Valuing BP _RRST6" xfId="139"/>
    <cellStyle name="0_Valuing BP _RRST6 2" xfId="140"/>
    <cellStyle name="0_Valuing BP _RRST9" xfId="1478"/>
    <cellStyle name="0_Valuing BP _RRST9 2" xfId="1479"/>
    <cellStyle name="0_Vendor revenues_Copy of Model2018_AAC_(WIP) " xfId="141"/>
    <cellStyle name="0_Wireline Tel Forecast " xfId="142"/>
    <cellStyle name="0_Wireline Tel Forecast  2" xfId="2330"/>
    <cellStyle name="0_Wireline Tel Forecast  2 2" xfId="2331"/>
    <cellStyle name="0_WW NB DT PC &amp;TWN NB MB Qly" xfId="4204"/>
    <cellStyle name="0_WW NB DT PC &amp;TWN NB MB Qly_Exhibit NB QoQ" xfId="4205"/>
    <cellStyle name="0_WW NB DT PC &amp;TWN NB MB Qly_Exhibt NB MOM" xfId="4206"/>
    <cellStyle name="0_WW NB DT PC &amp;TWN NB MB Qly_MBNB shipments_20080909" xfId="4207"/>
    <cellStyle name="0_WW NB DT PC &amp;TWN NB MB Qly_MBNB shipments_20090309.wip" xfId="4208"/>
    <cellStyle name="0_WW NB DT PC &amp;TWN NB MB Qly_MBNB shipments_Dec06_wip" xfId="4209"/>
    <cellStyle name="0_WW NB DT PC &amp;TWN NB MB Qly_MBNB shipments_July07.wip" xfId="4210"/>
    <cellStyle name="0_Yardstick2012" xfId="2332"/>
    <cellStyle name="1,comma" xfId="143"/>
    <cellStyle name="1,comma 2" xfId="144"/>
    <cellStyle name="1,comma 2 2" xfId="951"/>
    <cellStyle name="1,comma 2 2 2" xfId="2333"/>
    <cellStyle name="1,comma 2 2 2 2" xfId="2334"/>
    <cellStyle name="1,comma 2 2 3" xfId="2335"/>
    <cellStyle name="1,comma 2 3" xfId="2336"/>
    <cellStyle name="1,comma 2 3 2" xfId="2337"/>
    <cellStyle name="1,comma 2 4" xfId="2338"/>
    <cellStyle name="1,comma 3" xfId="145"/>
    <cellStyle name="1,comma 3 2" xfId="146"/>
    <cellStyle name="1,comma 3 2 2" xfId="953"/>
    <cellStyle name="1,comma 3 3" xfId="952"/>
    <cellStyle name="1,comma 4" xfId="147"/>
    <cellStyle name="1,comma 4 2" xfId="148"/>
    <cellStyle name="1,comma 4 2 2" xfId="955"/>
    <cellStyle name="1,comma 4 3" xfId="954"/>
    <cellStyle name="1,comma 5" xfId="149"/>
    <cellStyle name="1,comma 5 2" xfId="150"/>
    <cellStyle name="1,comma 5 2 2" xfId="957"/>
    <cellStyle name="1,comma 5 3" xfId="956"/>
    <cellStyle name="1,comma 6" xfId="151"/>
    <cellStyle name="1,comma 6 2" xfId="958"/>
    <cellStyle name="1,comma 7" xfId="950"/>
    <cellStyle name="1,comma 7 2" xfId="2339"/>
    <cellStyle name="1,comma 8" xfId="2340"/>
    <cellStyle name="1,comma 8 2" xfId="2341"/>
    <cellStyle name="¹eºÐA²_AIAIC°AuCoE² " xfId="152"/>
    <cellStyle name="20% - Accent1" xfId="1962" builtinId="30" customBuiltin="1"/>
    <cellStyle name="20% - Accent1 2" xfId="153"/>
    <cellStyle name="20% - Accent1 2 2" xfId="1481"/>
    <cellStyle name="20% - Accent1 2 3" xfId="1480"/>
    <cellStyle name="20% - Accent1 3" xfId="1482"/>
    <cellStyle name="20% - Accent1 3 2" xfId="2343"/>
    <cellStyle name="20% - Accent1 3 2 2" xfId="2344"/>
    <cellStyle name="20% - Accent1 3 2 2 2" xfId="4507"/>
    <cellStyle name="20% - Accent1 3 2 2 2 2" xfId="4836"/>
    <cellStyle name="20% - Accent1 3 2 2 2 2 2" xfId="5512"/>
    <cellStyle name="20% - Accent1 3 2 2 2 2 2 2" xfId="7831"/>
    <cellStyle name="20% - Accent1 3 2 2 2 2 3" xfId="6183"/>
    <cellStyle name="20% - Accent1 3 2 2 2 2 3 2" xfId="8502"/>
    <cellStyle name="20% - Accent1 3 2 2 2 2 4" xfId="7157"/>
    <cellStyle name="20% - Accent1 3 2 2 2 3" xfId="5180"/>
    <cellStyle name="20% - Accent1 3 2 2 2 3 2" xfId="7499"/>
    <cellStyle name="20% - Accent1 3 2 2 2 4" xfId="5847"/>
    <cellStyle name="20% - Accent1 3 2 2 2 4 2" xfId="8166"/>
    <cellStyle name="20% - Accent1 3 2 2 2 5" xfId="6828"/>
    <cellStyle name="20% - Accent1 3 2 2 3" xfId="4671"/>
    <cellStyle name="20% - Accent1 3 2 2 3 2" xfId="5346"/>
    <cellStyle name="20% - Accent1 3 2 2 3 2 2" xfId="7665"/>
    <cellStyle name="20% - Accent1 3 2 2 3 3" xfId="6015"/>
    <cellStyle name="20% - Accent1 3 2 2 3 3 2" xfId="8334"/>
    <cellStyle name="20% - Accent1 3 2 2 3 4" xfId="6992"/>
    <cellStyle name="20% - Accent1 3 2 2 4" xfId="5014"/>
    <cellStyle name="20% - Accent1 3 2 2 4 2" xfId="7333"/>
    <cellStyle name="20% - Accent1 3 2 2 5" xfId="5679"/>
    <cellStyle name="20% - Accent1 3 2 2 5 2" xfId="7998"/>
    <cellStyle name="20% - Accent1 3 2 2 6" xfId="6345"/>
    <cellStyle name="20% - Accent1 3 2 3" xfId="2345"/>
    <cellStyle name="20% - Accent1 3 2 3 2" xfId="4467"/>
    <cellStyle name="20% - Accent1 3 2 3 2 2" xfId="4796"/>
    <cellStyle name="20% - Accent1 3 2 3 2 2 2" xfId="5471"/>
    <cellStyle name="20% - Accent1 3 2 3 2 2 2 2" xfId="7790"/>
    <cellStyle name="20% - Accent1 3 2 3 2 2 3" xfId="6141"/>
    <cellStyle name="20% - Accent1 3 2 3 2 2 3 2" xfId="8460"/>
    <cellStyle name="20% - Accent1 3 2 3 2 2 4" xfId="7117"/>
    <cellStyle name="20% - Accent1 3 2 3 2 3" xfId="5139"/>
    <cellStyle name="20% - Accent1 3 2 3 2 3 2" xfId="7458"/>
    <cellStyle name="20% - Accent1 3 2 3 2 4" xfId="5805"/>
    <cellStyle name="20% - Accent1 3 2 3 2 4 2" xfId="8124"/>
    <cellStyle name="20% - Accent1 3 2 3 2 5" xfId="6788"/>
    <cellStyle name="20% - Accent1 3 2 3 3" xfId="4631"/>
    <cellStyle name="20% - Accent1 3 2 3 3 2" xfId="5305"/>
    <cellStyle name="20% - Accent1 3 2 3 3 2 2" xfId="7624"/>
    <cellStyle name="20% - Accent1 3 2 3 3 3" xfId="5973"/>
    <cellStyle name="20% - Accent1 3 2 3 3 3 2" xfId="8292"/>
    <cellStyle name="20% - Accent1 3 2 3 3 4" xfId="6952"/>
    <cellStyle name="20% - Accent1 3 2 3 4" xfId="4973"/>
    <cellStyle name="20% - Accent1 3 2 3 4 2" xfId="7292"/>
    <cellStyle name="20% - Accent1 3 2 3 5" xfId="5637"/>
    <cellStyle name="20% - Accent1 3 2 3 5 2" xfId="7956"/>
    <cellStyle name="20% - Accent1 3 2 3 6" xfId="6346"/>
    <cellStyle name="20% - Accent1 3 2 4" xfId="4395"/>
    <cellStyle name="20% - Accent1 3 2 4 2" xfId="4548"/>
    <cellStyle name="20% - Accent1 3 2 4 2 2" xfId="4877"/>
    <cellStyle name="20% - Accent1 3 2 4 2 2 2" xfId="5553"/>
    <cellStyle name="20% - Accent1 3 2 4 2 2 2 2" xfId="7872"/>
    <cellStyle name="20% - Accent1 3 2 4 2 2 3" xfId="6225"/>
    <cellStyle name="20% - Accent1 3 2 4 2 2 3 2" xfId="8544"/>
    <cellStyle name="20% - Accent1 3 2 4 2 2 4" xfId="7198"/>
    <cellStyle name="20% - Accent1 3 2 4 2 3" xfId="5221"/>
    <cellStyle name="20% - Accent1 3 2 4 2 3 2" xfId="7540"/>
    <cellStyle name="20% - Accent1 3 2 4 2 4" xfId="5889"/>
    <cellStyle name="20% - Accent1 3 2 4 2 4 2" xfId="8208"/>
    <cellStyle name="20% - Accent1 3 2 4 2 5" xfId="6869"/>
    <cellStyle name="20% - Accent1 3 2 4 3" xfId="4712"/>
    <cellStyle name="20% - Accent1 3 2 4 3 2" xfId="5387"/>
    <cellStyle name="20% - Accent1 3 2 4 3 2 2" xfId="7706"/>
    <cellStyle name="20% - Accent1 3 2 4 3 3" xfId="6057"/>
    <cellStyle name="20% - Accent1 3 2 4 3 3 2" xfId="8376"/>
    <cellStyle name="20% - Accent1 3 2 4 3 4" xfId="7033"/>
    <cellStyle name="20% - Accent1 3 2 4 4" xfId="5055"/>
    <cellStyle name="20% - Accent1 3 2 4 4 2" xfId="7374"/>
    <cellStyle name="20% - Accent1 3 2 4 5" xfId="5721"/>
    <cellStyle name="20% - Accent1 3 2 4 5 2" xfId="8040"/>
    <cellStyle name="20% - Accent1 3 2 4 6" xfId="6716"/>
    <cellStyle name="20% - Accent1 3 2 5" xfId="4429"/>
    <cellStyle name="20% - Accent1 3 2 5 2" xfId="4754"/>
    <cellStyle name="20% - Accent1 3 2 5 2 2" xfId="5429"/>
    <cellStyle name="20% - Accent1 3 2 5 2 2 2" xfId="7748"/>
    <cellStyle name="20% - Accent1 3 2 5 2 3" xfId="6099"/>
    <cellStyle name="20% - Accent1 3 2 5 2 3 2" xfId="8418"/>
    <cellStyle name="20% - Accent1 3 2 5 2 4" xfId="7075"/>
    <cellStyle name="20% - Accent1 3 2 5 3" xfId="5097"/>
    <cellStyle name="20% - Accent1 3 2 5 3 2" xfId="7416"/>
    <cellStyle name="20% - Accent1 3 2 5 4" xfId="5763"/>
    <cellStyle name="20% - Accent1 3 2 5 4 2" xfId="8082"/>
    <cellStyle name="20% - Accent1 3 2 5 5" xfId="6750"/>
    <cellStyle name="20% - Accent1 3 2 6" xfId="4589"/>
    <cellStyle name="20% - Accent1 3 2 6 2" xfId="5263"/>
    <cellStyle name="20% - Accent1 3 2 6 2 2" xfId="7582"/>
    <cellStyle name="20% - Accent1 3 2 6 3" xfId="5931"/>
    <cellStyle name="20% - Accent1 3 2 6 3 2" xfId="8250"/>
    <cellStyle name="20% - Accent1 3 2 6 4" xfId="6910"/>
    <cellStyle name="20% - Accent1 3 2 7" xfId="4931"/>
    <cellStyle name="20% - Accent1 3 2 7 2" xfId="7250"/>
    <cellStyle name="20% - Accent1 3 2 8" xfId="5595"/>
    <cellStyle name="20% - Accent1 3 2 8 2" xfId="7914"/>
    <cellStyle name="20% - Accent1 3 2 9" xfId="6344"/>
    <cellStyle name="20% - Accent1 3 3" xfId="2346"/>
    <cellStyle name="20% - Accent1 3 3 2" xfId="4487"/>
    <cellStyle name="20% - Accent1 3 3 2 2" xfId="4816"/>
    <cellStyle name="20% - Accent1 3 3 2 2 2" xfId="5492"/>
    <cellStyle name="20% - Accent1 3 3 2 2 2 2" xfId="7811"/>
    <cellStyle name="20% - Accent1 3 3 2 2 3" xfId="6162"/>
    <cellStyle name="20% - Accent1 3 3 2 2 3 2" xfId="8481"/>
    <cellStyle name="20% - Accent1 3 3 2 2 4" xfId="7137"/>
    <cellStyle name="20% - Accent1 3 3 2 3" xfId="5160"/>
    <cellStyle name="20% - Accent1 3 3 2 3 2" xfId="7479"/>
    <cellStyle name="20% - Accent1 3 3 2 4" xfId="5826"/>
    <cellStyle name="20% - Accent1 3 3 2 4 2" xfId="8145"/>
    <cellStyle name="20% - Accent1 3 3 2 5" xfId="6808"/>
    <cellStyle name="20% - Accent1 3 3 3" xfId="4651"/>
    <cellStyle name="20% - Accent1 3 3 3 2" xfId="5326"/>
    <cellStyle name="20% - Accent1 3 3 3 2 2" xfId="7645"/>
    <cellStyle name="20% - Accent1 3 3 3 3" xfId="5994"/>
    <cellStyle name="20% - Accent1 3 3 3 3 2" xfId="8313"/>
    <cellStyle name="20% - Accent1 3 3 3 4" xfId="6972"/>
    <cellStyle name="20% - Accent1 3 3 4" xfId="4994"/>
    <cellStyle name="20% - Accent1 3 3 4 2" xfId="7313"/>
    <cellStyle name="20% - Accent1 3 3 5" xfId="5658"/>
    <cellStyle name="20% - Accent1 3 3 5 2" xfId="7977"/>
    <cellStyle name="20% - Accent1 3 3 6" xfId="6347"/>
    <cellStyle name="20% - Accent1 3 4" xfId="2347"/>
    <cellStyle name="20% - Accent1 3 4 2" xfId="4447"/>
    <cellStyle name="20% - Accent1 3 4 2 2" xfId="4775"/>
    <cellStyle name="20% - Accent1 3 4 2 2 2" xfId="5450"/>
    <cellStyle name="20% - Accent1 3 4 2 2 2 2" xfId="7769"/>
    <cellStyle name="20% - Accent1 3 4 2 2 3" xfId="6120"/>
    <cellStyle name="20% - Accent1 3 4 2 2 3 2" xfId="8439"/>
    <cellStyle name="20% - Accent1 3 4 2 2 4" xfId="7096"/>
    <cellStyle name="20% - Accent1 3 4 2 3" xfId="5118"/>
    <cellStyle name="20% - Accent1 3 4 2 3 2" xfId="7437"/>
    <cellStyle name="20% - Accent1 3 4 2 4" xfId="5784"/>
    <cellStyle name="20% - Accent1 3 4 2 4 2" xfId="8103"/>
    <cellStyle name="20% - Accent1 3 4 2 5" xfId="6768"/>
    <cellStyle name="20% - Accent1 3 4 3" xfId="4610"/>
    <cellStyle name="20% - Accent1 3 4 3 2" xfId="5284"/>
    <cellStyle name="20% - Accent1 3 4 3 2 2" xfId="7603"/>
    <cellStyle name="20% - Accent1 3 4 3 3" xfId="5952"/>
    <cellStyle name="20% - Accent1 3 4 3 3 2" xfId="8271"/>
    <cellStyle name="20% - Accent1 3 4 3 4" xfId="6931"/>
    <cellStyle name="20% - Accent1 3 4 4" xfId="4952"/>
    <cellStyle name="20% - Accent1 3 4 4 2" xfId="7271"/>
    <cellStyle name="20% - Accent1 3 4 5" xfId="5616"/>
    <cellStyle name="20% - Accent1 3 4 5 2" xfId="7935"/>
    <cellStyle name="20% - Accent1 3 4 6" xfId="6348"/>
    <cellStyle name="20% - Accent1 3 5" xfId="2348"/>
    <cellStyle name="20% - Accent1 3 5 2" xfId="4527"/>
    <cellStyle name="20% - Accent1 3 5 2 2" xfId="4856"/>
    <cellStyle name="20% - Accent1 3 5 2 2 2" xfId="5532"/>
    <cellStyle name="20% - Accent1 3 5 2 2 2 2" xfId="7851"/>
    <cellStyle name="20% - Accent1 3 5 2 2 3" xfId="6204"/>
    <cellStyle name="20% - Accent1 3 5 2 2 3 2" xfId="8523"/>
    <cellStyle name="20% - Accent1 3 5 2 2 4" xfId="7177"/>
    <cellStyle name="20% - Accent1 3 5 2 3" xfId="5200"/>
    <cellStyle name="20% - Accent1 3 5 2 3 2" xfId="7519"/>
    <cellStyle name="20% - Accent1 3 5 2 4" xfId="5868"/>
    <cellStyle name="20% - Accent1 3 5 2 4 2" xfId="8187"/>
    <cellStyle name="20% - Accent1 3 5 2 5" xfId="6848"/>
    <cellStyle name="20% - Accent1 3 5 3" xfId="4691"/>
    <cellStyle name="20% - Accent1 3 5 3 2" xfId="5366"/>
    <cellStyle name="20% - Accent1 3 5 3 2 2" xfId="7685"/>
    <cellStyle name="20% - Accent1 3 5 3 3" xfId="6036"/>
    <cellStyle name="20% - Accent1 3 5 3 3 2" xfId="8355"/>
    <cellStyle name="20% - Accent1 3 5 3 4" xfId="7012"/>
    <cellStyle name="20% - Accent1 3 5 4" xfId="5034"/>
    <cellStyle name="20% - Accent1 3 5 4 2" xfId="7353"/>
    <cellStyle name="20% - Accent1 3 5 5" xfId="5700"/>
    <cellStyle name="20% - Accent1 3 5 5 2" xfId="8019"/>
    <cellStyle name="20% - Accent1 3 5 6" xfId="4382"/>
    <cellStyle name="20% - Accent1 3 5 6 2" xfId="6703"/>
    <cellStyle name="20% - Accent1 3 6" xfId="2342"/>
    <cellStyle name="20% - Accent1 3 6 2" xfId="4733"/>
    <cellStyle name="20% - Accent1 3 6 2 2" xfId="5408"/>
    <cellStyle name="20% - Accent1 3 6 2 2 2" xfId="7727"/>
    <cellStyle name="20% - Accent1 3 6 2 3" xfId="6078"/>
    <cellStyle name="20% - Accent1 3 6 2 3 2" xfId="8397"/>
    <cellStyle name="20% - Accent1 3 6 2 4" xfId="7054"/>
    <cellStyle name="20% - Accent1 3 6 3" xfId="5076"/>
    <cellStyle name="20% - Accent1 3 6 3 2" xfId="7395"/>
    <cellStyle name="20% - Accent1 3 6 4" xfId="5742"/>
    <cellStyle name="20% - Accent1 3 6 4 2" xfId="8061"/>
    <cellStyle name="20% - Accent1 3 6 5" xfId="6343"/>
    <cellStyle name="20% - Accent1 3 7" xfId="4568"/>
    <cellStyle name="20% - Accent1 3 7 2" xfId="5242"/>
    <cellStyle name="20% - Accent1 3 7 2 2" xfId="7561"/>
    <cellStyle name="20% - Accent1 3 7 3" xfId="5910"/>
    <cellStyle name="20% - Accent1 3 7 3 2" xfId="8229"/>
    <cellStyle name="20% - Accent1 3 7 4" xfId="6889"/>
    <cellStyle name="20% - Accent1 3 8" xfId="4910"/>
    <cellStyle name="20% - Accent1 3 8 2" xfId="7229"/>
    <cellStyle name="20% - Accent1 3 9" xfId="5574"/>
    <cellStyle name="20% - Accent1 3 9 2" xfId="7893"/>
    <cellStyle name="20% - Accent1 4" xfId="6331"/>
    <cellStyle name="20% - Accent2" xfId="1966" builtinId="34" customBuiltin="1"/>
    <cellStyle name="20% - Accent2 2" xfId="154"/>
    <cellStyle name="20% - Accent2 2 2" xfId="2349"/>
    <cellStyle name="20% - Accent2 3" xfId="1483"/>
    <cellStyle name="20% - Accent2 3 2" xfId="2351"/>
    <cellStyle name="20% - Accent2 3 2 2" xfId="2352"/>
    <cellStyle name="20% - Accent2 3 2 2 2" xfId="4508"/>
    <cellStyle name="20% - Accent2 3 2 2 2 2" xfId="4837"/>
    <cellStyle name="20% - Accent2 3 2 2 2 2 2" xfId="5513"/>
    <cellStyle name="20% - Accent2 3 2 2 2 2 2 2" xfId="7832"/>
    <cellStyle name="20% - Accent2 3 2 2 2 2 3" xfId="6184"/>
    <cellStyle name="20% - Accent2 3 2 2 2 2 3 2" xfId="8503"/>
    <cellStyle name="20% - Accent2 3 2 2 2 2 4" xfId="7158"/>
    <cellStyle name="20% - Accent2 3 2 2 2 3" xfId="5181"/>
    <cellStyle name="20% - Accent2 3 2 2 2 3 2" xfId="7500"/>
    <cellStyle name="20% - Accent2 3 2 2 2 4" xfId="5848"/>
    <cellStyle name="20% - Accent2 3 2 2 2 4 2" xfId="8167"/>
    <cellStyle name="20% - Accent2 3 2 2 2 5" xfId="6829"/>
    <cellStyle name="20% - Accent2 3 2 2 3" xfId="4672"/>
    <cellStyle name="20% - Accent2 3 2 2 3 2" xfId="5347"/>
    <cellStyle name="20% - Accent2 3 2 2 3 2 2" xfId="7666"/>
    <cellStyle name="20% - Accent2 3 2 2 3 3" xfId="6016"/>
    <cellStyle name="20% - Accent2 3 2 2 3 3 2" xfId="8335"/>
    <cellStyle name="20% - Accent2 3 2 2 3 4" xfId="6993"/>
    <cellStyle name="20% - Accent2 3 2 2 4" xfId="5015"/>
    <cellStyle name="20% - Accent2 3 2 2 4 2" xfId="7334"/>
    <cellStyle name="20% - Accent2 3 2 2 5" xfId="5680"/>
    <cellStyle name="20% - Accent2 3 2 2 5 2" xfId="7999"/>
    <cellStyle name="20% - Accent2 3 2 2 6" xfId="6351"/>
    <cellStyle name="20% - Accent2 3 2 3" xfId="2353"/>
    <cellStyle name="20% - Accent2 3 2 3 2" xfId="4468"/>
    <cellStyle name="20% - Accent2 3 2 3 2 2" xfId="4797"/>
    <cellStyle name="20% - Accent2 3 2 3 2 2 2" xfId="5472"/>
    <cellStyle name="20% - Accent2 3 2 3 2 2 2 2" xfId="7791"/>
    <cellStyle name="20% - Accent2 3 2 3 2 2 3" xfId="6142"/>
    <cellStyle name="20% - Accent2 3 2 3 2 2 3 2" xfId="8461"/>
    <cellStyle name="20% - Accent2 3 2 3 2 2 4" xfId="7118"/>
    <cellStyle name="20% - Accent2 3 2 3 2 3" xfId="5140"/>
    <cellStyle name="20% - Accent2 3 2 3 2 3 2" xfId="7459"/>
    <cellStyle name="20% - Accent2 3 2 3 2 4" xfId="5806"/>
    <cellStyle name="20% - Accent2 3 2 3 2 4 2" xfId="8125"/>
    <cellStyle name="20% - Accent2 3 2 3 2 5" xfId="6789"/>
    <cellStyle name="20% - Accent2 3 2 3 3" xfId="4632"/>
    <cellStyle name="20% - Accent2 3 2 3 3 2" xfId="5306"/>
    <cellStyle name="20% - Accent2 3 2 3 3 2 2" xfId="7625"/>
    <cellStyle name="20% - Accent2 3 2 3 3 3" xfId="5974"/>
    <cellStyle name="20% - Accent2 3 2 3 3 3 2" xfId="8293"/>
    <cellStyle name="20% - Accent2 3 2 3 3 4" xfId="6953"/>
    <cellStyle name="20% - Accent2 3 2 3 4" xfId="4974"/>
    <cellStyle name="20% - Accent2 3 2 3 4 2" xfId="7293"/>
    <cellStyle name="20% - Accent2 3 2 3 5" xfId="5638"/>
    <cellStyle name="20% - Accent2 3 2 3 5 2" xfId="7957"/>
    <cellStyle name="20% - Accent2 3 2 3 6" xfId="6352"/>
    <cellStyle name="20% - Accent2 3 2 4" xfId="4396"/>
    <cellStyle name="20% - Accent2 3 2 4 2" xfId="4549"/>
    <cellStyle name="20% - Accent2 3 2 4 2 2" xfId="4878"/>
    <cellStyle name="20% - Accent2 3 2 4 2 2 2" xfId="5554"/>
    <cellStyle name="20% - Accent2 3 2 4 2 2 2 2" xfId="7873"/>
    <cellStyle name="20% - Accent2 3 2 4 2 2 3" xfId="6226"/>
    <cellStyle name="20% - Accent2 3 2 4 2 2 3 2" xfId="8545"/>
    <cellStyle name="20% - Accent2 3 2 4 2 2 4" xfId="7199"/>
    <cellStyle name="20% - Accent2 3 2 4 2 3" xfId="5222"/>
    <cellStyle name="20% - Accent2 3 2 4 2 3 2" xfId="7541"/>
    <cellStyle name="20% - Accent2 3 2 4 2 4" xfId="5890"/>
    <cellStyle name="20% - Accent2 3 2 4 2 4 2" xfId="8209"/>
    <cellStyle name="20% - Accent2 3 2 4 2 5" xfId="6870"/>
    <cellStyle name="20% - Accent2 3 2 4 3" xfId="4713"/>
    <cellStyle name="20% - Accent2 3 2 4 3 2" xfId="5388"/>
    <cellStyle name="20% - Accent2 3 2 4 3 2 2" xfId="7707"/>
    <cellStyle name="20% - Accent2 3 2 4 3 3" xfId="6058"/>
    <cellStyle name="20% - Accent2 3 2 4 3 3 2" xfId="8377"/>
    <cellStyle name="20% - Accent2 3 2 4 3 4" xfId="7034"/>
    <cellStyle name="20% - Accent2 3 2 4 4" xfId="5056"/>
    <cellStyle name="20% - Accent2 3 2 4 4 2" xfId="7375"/>
    <cellStyle name="20% - Accent2 3 2 4 5" xfId="5722"/>
    <cellStyle name="20% - Accent2 3 2 4 5 2" xfId="8041"/>
    <cellStyle name="20% - Accent2 3 2 4 6" xfId="6717"/>
    <cellStyle name="20% - Accent2 3 2 5" xfId="4430"/>
    <cellStyle name="20% - Accent2 3 2 5 2" xfId="4755"/>
    <cellStyle name="20% - Accent2 3 2 5 2 2" xfId="5430"/>
    <cellStyle name="20% - Accent2 3 2 5 2 2 2" xfId="7749"/>
    <cellStyle name="20% - Accent2 3 2 5 2 3" xfId="6100"/>
    <cellStyle name="20% - Accent2 3 2 5 2 3 2" xfId="8419"/>
    <cellStyle name="20% - Accent2 3 2 5 2 4" xfId="7076"/>
    <cellStyle name="20% - Accent2 3 2 5 3" xfId="5098"/>
    <cellStyle name="20% - Accent2 3 2 5 3 2" xfId="7417"/>
    <cellStyle name="20% - Accent2 3 2 5 4" xfId="5764"/>
    <cellStyle name="20% - Accent2 3 2 5 4 2" xfId="8083"/>
    <cellStyle name="20% - Accent2 3 2 5 5" xfId="6751"/>
    <cellStyle name="20% - Accent2 3 2 6" xfId="4590"/>
    <cellStyle name="20% - Accent2 3 2 6 2" xfId="5264"/>
    <cellStyle name="20% - Accent2 3 2 6 2 2" xfId="7583"/>
    <cellStyle name="20% - Accent2 3 2 6 3" xfId="5932"/>
    <cellStyle name="20% - Accent2 3 2 6 3 2" xfId="8251"/>
    <cellStyle name="20% - Accent2 3 2 6 4" xfId="6911"/>
    <cellStyle name="20% - Accent2 3 2 7" xfId="4932"/>
    <cellStyle name="20% - Accent2 3 2 7 2" xfId="7251"/>
    <cellStyle name="20% - Accent2 3 2 8" xfId="5596"/>
    <cellStyle name="20% - Accent2 3 2 8 2" xfId="7915"/>
    <cellStyle name="20% - Accent2 3 2 9" xfId="6350"/>
    <cellStyle name="20% - Accent2 3 3" xfId="2354"/>
    <cellStyle name="20% - Accent2 3 3 2" xfId="4488"/>
    <cellStyle name="20% - Accent2 3 3 2 2" xfId="4817"/>
    <cellStyle name="20% - Accent2 3 3 2 2 2" xfId="5493"/>
    <cellStyle name="20% - Accent2 3 3 2 2 2 2" xfId="7812"/>
    <cellStyle name="20% - Accent2 3 3 2 2 3" xfId="6163"/>
    <cellStyle name="20% - Accent2 3 3 2 2 3 2" xfId="8482"/>
    <cellStyle name="20% - Accent2 3 3 2 2 4" xfId="7138"/>
    <cellStyle name="20% - Accent2 3 3 2 3" xfId="5161"/>
    <cellStyle name="20% - Accent2 3 3 2 3 2" xfId="7480"/>
    <cellStyle name="20% - Accent2 3 3 2 4" xfId="5827"/>
    <cellStyle name="20% - Accent2 3 3 2 4 2" xfId="8146"/>
    <cellStyle name="20% - Accent2 3 3 2 5" xfId="6809"/>
    <cellStyle name="20% - Accent2 3 3 3" xfId="4652"/>
    <cellStyle name="20% - Accent2 3 3 3 2" xfId="5327"/>
    <cellStyle name="20% - Accent2 3 3 3 2 2" xfId="7646"/>
    <cellStyle name="20% - Accent2 3 3 3 3" xfId="5995"/>
    <cellStyle name="20% - Accent2 3 3 3 3 2" xfId="8314"/>
    <cellStyle name="20% - Accent2 3 3 3 4" xfId="6973"/>
    <cellStyle name="20% - Accent2 3 3 4" xfId="4995"/>
    <cellStyle name="20% - Accent2 3 3 4 2" xfId="7314"/>
    <cellStyle name="20% - Accent2 3 3 5" xfId="5659"/>
    <cellStyle name="20% - Accent2 3 3 5 2" xfId="7978"/>
    <cellStyle name="20% - Accent2 3 3 6" xfId="6353"/>
    <cellStyle name="20% - Accent2 3 4" xfId="2355"/>
    <cellStyle name="20% - Accent2 3 4 2" xfId="4448"/>
    <cellStyle name="20% - Accent2 3 4 2 2" xfId="4776"/>
    <cellStyle name="20% - Accent2 3 4 2 2 2" xfId="5451"/>
    <cellStyle name="20% - Accent2 3 4 2 2 2 2" xfId="7770"/>
    <cellStyle name="20% - Accent2 3 4 2 2 3" xfId="6121"/>
    <cellStyle name="20% - Accent2 3 4 2 2 3 2" xfId="8440"/>
    <cellStyle name="20% - Accent2 3 4 2 2 4" xfId="7097"/>
    <cellStyle name="20% - Accent2 3 4 2 3" xfId="5119"/>
    <cellStyle name="20% - Accent2 3 4 2 3 2" xfId="7438"/>
    <cellStyle name="20% - Accent2 3 4 2 4" xfId="5785"/>
    <cellStyle name="20% - Accent2 3 4 2 4 2" xfId="8104"/>
    <cellStyle name="20% - Accent2 3 4 2 5" xfId="6769"/>
    <cellStyle name="20% - Accent2 3 4 3" xfId="4611"/>
    <cellStyle name="20% - Accent2 3 4 3 2" xfId="5285"/>
    <cellStyle name="20% - Accent2 3 4 3 2 2" xfId="7604"/>
    <cellStyle name="20% - Accent2 3 4 3 3" xfId="5953"/>
    <cellStyle name="20% - Accent2 3 4 3 3 2" xfId="8272"/>
    <cellStyle name="20% - Accent2 3 4 3 4" xfId="6932"/>
    <cellStyle name="20% - Accent2 3 4 4" xfId="4953"/>
    <cellStyle name="20% - Accent2 3 4 4 2" xfId="7272"/>
    <cellStyle name="20% - Accent2 3 4 5" xfId="5617"/>
    <cellStyle name="20% - Accent2 3 4 5 2" xfId="7936"/>
    <cellStyle name="20% - Accent2 3 4 6" xfId="6354"/>
    <cellStyle name="20% - Accent2 3 5" xfId="2356"/>
    <cellStyle name="20% - Accent2 3 5 2" xfId="4528"/>
    <cellStyle name="20% - Accent2 3 5 2 2" xfId="4857"/>
    <cellStyle name="20% - Accent2 3 5 2 2 2" xfId="5533"/>
    <cellStyle name="20% - Accent2 3 5 2 2 2 2" xfId="7852"/>
    <cellStyle name="20% - Accent2 3 5 2 2 3" xfId="6205"/>
    <cellStyle name="20% - Accent2 3 5 2 2 3 2" xfId="8524"/>
    <cellStyle name="20% - Accent2 3 5 2 2 4" xfId="7178"/>
    <cellStyle name="20% - Accent2 3 5 2 3" xfId="5201"/>
    <cellStyle name="20% - Accent2 3 5 2 3 2" xfId="7520"/>
    <cellStyle name="20% - Accent2 3 5 2 4" xfId="5869"/>
    <cellStyle name="20% - Accent2 3 5 2 4 2" xfId="8188"/>
    <cellStyle name="20% - Accent2 3 5 2 5" xfId="6849"/>
    <cellStyle name="20% - Accent2 3 5 3" xfId="4692"/>
    <cellStyle name="20% - Accent2 3 5 3 2" xfId="5367"/>
    <cellStyle name="20% - Accent2 3 5 3 2 2" xfId="7686"/>
    <cellStyle name="20% - Accent2 3 5 3 3" xfId="6037"/>
    <cellStyle name="20% - Accent2 3 5 3 3 2" xfId="8356"/>
    <cellStyle name="20% - Accent2 3 5 3 4" xfId="7013"/>
    <cellStyle name="20% - Accent2 3 5 4" xfId="5035"/>
    <cellStyle name="20% - Accent2 3 5 4 2" xfId="7354"/>
    <cellStyle name="20% - Accent2 3 5 5" xfId="5701"/>
    <cellStyle name="20% - Accent2 3 5 5 2" xfId="8020"/>
    <cellStyle name="20% - Accent2 3 5 6" xfId="4383"/>
    <cellStyle name="20% - Accent2 3 5 6 2" xfId="6704"/>
    <cellStyle name="20% - Accent2 3 6" xfId="2350"/>
    <cellStyle name="20% - Accent2 3 6 2" xfId="4734"/>
    <cellStyle name="20% - Accent2 3 6 2 2" xfId="5409"/>
    <cellStyle name="20% - Accent2 3 6 2 2 2" xfId="7728"/>
    <cellStyle name="20% - Accent2 3 6 2 3" xfId="6079"/>
    <cellStyle name="20% - Accent2 3 6 2 3 2" xfId="8398"/>
    <cellStyle name="20% - Accent2 3 6 2 4" xfId="7055"/>
    <cellStyle name="20% - Accent2 3 6 3" xfId="5077"/>
    <cellStyle name="20% - Accent2 3 6 3 2" xfId="7396"/>
    <cellStyle name="20% - Accent2 3 6 4" xfId="5743"/>
    <cellStyle name="20% - Accent2 3 6 4 2" xfId="8062"/>
    <cellStyle name="20% - Accent2 3 6 5" xfId="6349"/>
    <cellStyle name="20% - Accent2 3 7" xfId="4569"/>
    <cellStyle name="20% - Accent2 3 7 2" xfId="5243"/>
    <cellStyle name="20% - Accent2 3 7 2 2" xfId="7562"/>
    <cellStyle name="20% - Accent2 3 7 3" xfId="5911"/>
    <cellStyle name="20% - Accent2 3 7 3 2" xfId="8230"/>
    <cellStyle name="20% - Accent2 3 7 4" xfId="6890"/>
    <cellStyle name="20% - Accent2 3 8" xfId="4911"/>
    <cellStyle name="20% - Accent2 3 8 2" xfId="7230"/>
    <cellStyle name="20% - Accent2 3 9" xfId="5575"/>
    <cellStyle name="20% - Accent2 3 9 2" xfId="7894"/>
    <cellStyle name="20% - Accent2 4" xfId="6333"/>
    <cellStyle name="20% - Accent3" xfId="1970" builtinId="38" customBuiltin="1"/>
    <cellStyle name="20% - Accent3 10" xfId="4912"/>
    <cellStyle name="20% - Accent3 10 2" xfId="7231"/>
    <cellStyle name="20% - Accent3 11" xfId="5576"/>
    <cellStyle name="20% - Accent3 11 2" xfId="7895"/>
    <cellStyle name="20% - Accent3 12" xfId="6335"/>
    <cellStyle name="20% - Accent3 2" xfId="155"/>
    <cellStyle name="20% - Accent3 2 2" xfId="1485"/>
    <cellStyle name="20% - Accent3 2 3" xfId="1484"/>
    <cellStyle name="20% - Accent3 3" xfId="1486"/>
    <cellStyle name="20% - Accent3 3 2" xfId="2358"/>
    <cellStyle name="20% - Accent3 3 2 2" xfId="4509"/>
    <cellStyle name="20% - Accent3 3 2 2 2" xfId="4838"/>
    <cellStyle name="20% - Accent3 3 2 2 2 2" xfId="5514"/>
    <cellStyle name="20% - Accent3 3 2 2 2 2 2" xfId="7833"/>
    <cellStyle name="20% - Accent3 3 2 2 2 3" xfId="6185"/>
    <cellStyle name="20% - Accent3 3 2 2 2 3 2" xfId="8504"/>
    <cellStyle name="20% - Accent3 3 2 2 2 4" xfId="7159"/>
    <cellStyle name="20% - Accent3 3 2 2 3" xfId="5182"/>
    <cellStyle name="20% - Accent3 3 2 2 3 2" xfId="7501"/>
    <cellStyle name="20% - Accent3 3 2 2 4" xfId="5849"/>
    <cellStyle name="20% - Accent3 3 2 2 4 2" xfId="8168"/>
    <cellStyle name="20% - Accent3 3 2 2 5" xfId="6830"/>
    <cellStyle name="20% - Accent3 3 2 3" xfId="4673"/>
    <cellStyle name="20% - Accent3 3 2 3 2" xfId="5348"/>
    <cellStyle name="20% - Accent3 3 2 3 2 2" xfId="7667"/>
    <cellStyle name="20% - Accent3 3 2 3 3" xfId="6017"/>
    <cellStyle name="20% - Accent3 3 2 3 3 2" xfId="8336"/>
    <cellStyle name="20% - Accent3 3 2 3 4" xfId="6994"/>
    <cellStyle name="20% - Accent3 3 2 4" xfId="5016"/>
    <cellStyle name="20% - Accent3 3 2 4 2" xfId="7335"/>
    <cellStyle name="20% - Accent3 3 2 5" xfId="5681"/>
    <cellStyle name="20% - Accent3 3 2 5 2" xfId="8000"/>
    <cellStyle name="20% - Accent3 3 2 6" xfId="6356"/>
    <cellStyle name="20% - Accent3 3 3" xfId="2359"/>
    <cellStyle name="20% - Accent3 3 3 2" xfId="4469"/>
    <cellStyle name="20% - Accent3 3 3 2 2" xfId="4798"/>
    <cellStyle name="20% - Accent3 3 3 2 2 2" xfId="5473"/>
    <cellStyle name="20% - Accent3 3 3 2 2 2 2" xfId="7792"/>
    <cellStyle name="20% - Accent3 3 3 2 2 3" xfId="6143"/>
    <cellStyle name="20% - Accent3 3 3 2 2 3 2" xfId="8462"/>
    <cellStyle name="20% - Accent3 3 3 2 2 4" xfId="7119"/>
    <cellStyle name="20% - Accent3 3 3 2 3" xfId="5141"/>
    <cellStyle name="20% - Accent3 3 3 2 3 2" xfId="7460"/>
    <cellStyle name="20% - Accent3 3 3 2 4" xfId="5807"/>
    <cellStyle name="20% - Accent3 3 3 2 4 2" xfId="8126"/>
    <cellStyle name="20% - Accent3 3 3 2 5" xfId="6790"/>
    <cellStyle name="20% - Accent3 3 3 3" xfId="4633"/>
    <cellStyle name="20% - Accent3 3 3 3 2" xfId="5307"/>
    <cellStyle name="20% - Accent3 3 3 3 2 2" xfId="7626"/>
    <cellStyle name="20% - Accent3 3 3 3 3" xfId="5975"/>
    <cellStyle name="20% - Accent3 3 3 3 3 2" xfId="8294"/>
    <cellStyle name="20% - Accent3 3 3 3 4" xfId="6954"/>
    <cellStyle name="20% - Accent3 3 3 4" xfId="4975"/>
    <cellStyle name="20% - Accent3 3 3 4 2" xfId="7294"/>
    <cellStyle name="20% - Accent3 3 3 5" xfId="5639"/>
    <cellStyle name="20% - Accent3 3 3 5 2" xfId="7958"/>
    <cellStyle name="20% - Accent3 3 3 6" xfId="6357"/>
    <cellStyle name="20% - Accent3 3 4" xfId="2360"/>
    <cellStyle name="20% - Accent3 3 4 2" xfId="4550"/>
    <cellStyle name="20% - Accent3 3 4 2 2" xfId="4879"/>
    <cellStyle name="20% - Accent3 3 4 2 2 2" xfId="5555"/>
    <cellStyle name="20% - Accent3 3 4 2 2 2 2" xfId="7874"/>
    <cellStyle name="20% - Accent3 3 4 2 2 3" xfId="6227"/>
    <cellStyle name="20% - Accent3 3 4 2 2 3 2" xfId="8546"/>
    <cellStyle name="20% - Accent3 3 4 2 2 4" xfId="7200"/>
    <cellStyle name="20% - Accent3 3 4 2 3" xfId="5223"/>
    <cellStyle name="20% - Accent3 3 4 2 3 2" xfId="7542"/>
    <cellStyle name="20% - Accent3 3 4 2 4" xfId="5891"/>
    <cellStyle name="20% - Accent3 3 4 2 4 2" xfId="8210"/>
    <cellStyle name="20% - Accent3 3 4 2 5" xfId="6871"/>
    <cellStyle name="20% - Accent3 3 4 3" xfId="4714"/>
    <cellStyle name="20% - Accent3 3 4 3 2" xfId="5389"/>
    <cellStyle name="20% - Accent3 3 4 3 2 2" xfId="7708"/>
    <cellStyle name="20% - Accent3 3 4 3 3" xfId="6059"/>
    <cellStyle name="20% - Accent3 3 4 3 3 2" xfId="8378"/>
    <cellStyle name="20% - Accent3 3 4 3 4" xfId="7035"/>
    <cellStyle name="20% - Accent3 3 4 4" xfId="5057"/>
    <cellStyle name="20% - Accent3 3 4 4 2" xfId="7376"/>
    <cellStyle name="20% - Accent3 3 4 5" xfId="5723"/>
    <cellStyle name="20% - Accent3 3 4 5 2" xfId="8042"/>
    <cellStyle name="20% - Accent3 3 4 6" xfId="4397"/>
    <cellStyle name="20% - Accent3 3 4 6 2" xfId="6718"/>
    <cellStyle name="20% - Accent3 3 5" xfId="2357"/>
    <cellStyle name="20% - Accent3 3 5 2" xfId="4756"/>
    <cellStyle name="20% - Accent3 3 5 2 2" xfId="5431"/>
    <cellStyle name="20% - Accent3 3 5 2 2 2" xfId="7750"/>
    <cellStyle name="20% - Accent3 3 5 2 3" xfId="6101"/>
    <cellStyle name="20% - Accent3 3 5 2 3 2" xfId="8420"/>
    <cellStyle name="20% - Accent3 3 5 2 4" xfId="7077"/>
    <cellStyle name="20% - Accent3 3 5 3" xfId="5099"/>
    <cellStyle name="20% - Accent3 3 5 3 2" xfId="7418"/>
    <cellStyle name="20% - Accent3 3 5 4" xfId="5765"/>
    <cellStyle name="20% - Accent3 3 5 4 2" xfId="8084"/>
    <cellStyle name="20% - Accent3 3 5 5" xfId="6355"/>
    <cellStyle name="20% - Accent3 3 6" xfId="4591"/>
    <cellStyle name="20% - Accent3 3 6 2" xfId="5265"/>
    <cellStyle name="20% - Accent3 3 6 2 2" xfId="7584"/>
    <cellStyle name="20% - Accent3 3 6 3" xfId="5933"/>
    <cellStyle name="20% - Accent3 3 6 3 2" xfId="8252"/>
    <cellStyle name="20% - Accent3 3 6 4" xfId="6912"/>
    <cellStyle name="20% - Accent3 3 7" xfId="4933"/>
    <cellStyle name="20% - Accent3 3 7 2" xfId="7252"/>
    <cellStyle name="20% - Accent3 3 8" xfId="5597"/>
    <cellStyle name="20% - Accent3 3 8 2" xfId="7916"/>
    <cellStyle name="20% - Accent3 4" xfId="2361"/>
    <cellStyle name="20% - Accent3 4 2" xfId="4489"/>
    <cellStyle name="20% - Accent3 4 2 2" xfId="4818"/>
    <cellStyle name="20% - Accent3 4 2 2 2" xfId="5494"/>
    <cellStyle name="20% - Accent3 4 2 2 2 2" xfId="7813"/>
    <cellStyle name="20% - Accent3 4 2 2 3" xfId="6164"/>
    <cellStyle name="20% - Accent3 4 2 2 3 2" xfId="8483"/>
    <cellStyle name="20% - Accent3 4 2 2 4" xfId="7139"/>
    <cellStyle name="20% - Accent3 4 2 3" xfId="5162"/>
    <cellStyle name="20% - Accent3 4 2 3 2" xfId="7481"/>
    <cellStyle name="20% - Accent3 4 2 4" xfId="5828"/>
    <cellStyle name="20% - Accent3 4 2 4 2" xfId="8147"/>
    <cellStyle name="20% - Accent3 4 2 5" xfId="6810"/>
    <cellStyle name="20% - Accent3 4 3" xfId="4653"/>
    <cellStyle name="20% - Accent3 4 3 2" xfId="5328"/>
    <cellStyle name="20% - Accent3 4 3 2 2" xfId="7647"/>
    <cellStyle name="20% - Accent3 4 3 3" xfId="5996"/>
    <cellStyle name="20% - Accent3 4 3 3 2" xfId="8315"/>
    <cellStyle name="20% - Accent3 4 3 4" xfId="6974"/>
    <cellStyle name="20% - Accent3 4 4" xfId="4996"/>
    <cellStyle name="20% - Accent3 4 4 2" xfId="7315"/>
    <cellStyle name="20% - Accent3 4 5" xfId="5660"/>
    <cellStyle name="20% - Accent3 4 5 2" xfId="7979"/>
    <cellStyle name="20% - Accent3 4 6" xfId="6358"/>
    <cellStyle name="20% - Accent3 5" xfId="2362"/>
    <cellStyle name="20% - Accent3 5 2" xfId="4449"/>
    <cellStyle name="20% - Accent3 5 2 2" xfId="4777"/>
    <cellStyle name="20% - Accent3 5 2 2 2" xfId="5452"/>
    <cellStyle name="20% - Accent3 5 2 2 2 2" xfId="7771"/>
    <cellStyle name="20% - Accent3 5 2 2 3" xfId="6122"/>
    <cellStyle name="20% - Accent3 5 2 2 3 2" xfId="8441"/>
    <cellStyle name="20% - Accent3 5 2 2 4" xfId="7098"/>
    <cellStyle name="20% - Accent3 5 2 3" xfId="5120"/>
    <cellStyle name="20% - Accent3 5 2 3 2" xfId="7439"/>
    <cellStyle name="20% - Accent3 5 2 4" xfId="5786"/>
    <cellStyle name="20% - Accent3 5 2 4 2" xfId="8105"/>
    <cellStyle name="20% - Accent3 5 2 5" xfId="6770"/>
    <cellStyle name="20% - Accent3 5 3" xfId="4612"/>
    <cellStyle name="20% - Accent3 5 3 2" xfId="5286"/>
    <cellStyle name="20% - Accent3 5 3 2 2" xfId="7605"/>
    <cellStyle name="20% - Accent3 5 3 3" xfId="5954"/>
    <cellStyle name="20% - Accent3 5 3 3 2" xfId="8273"/>
    <cellStyle name="20% - Accent3 5 3 4" xfId="6933"/>
    <cellStyle name="20% - Accent3 5 4" xfId="4954"/>
    <cellStyle name="20% - Accent3 5 4 2" xfId="7273"/>
    <cellStyle name="20% - Accent3 5 5" xfId="5618"/>
    <cellStyle name="20% - Accent3 5 5 2" xfId="7937"/>
    <cellStyle name="20% - Accent3 5 6" xfId="6359"/>
    <cellStyle name="20% - Accent3 6" xfId="2363"/>
    <cellStyle name="20% - Accent3 6 2" xfId="4529"/>
    <cellStyle name="20% - Accent3 6 2 2" xfId="4858"/>
    <cellStyle name="20% - Accent3 6 2 2 2" xfId="5534"/>
    <cellStyle name="20% - Accent3 6 2 2 2 2" xfId="7853"/>
    <cellStyle name="20% - Accent3 6 2 2 3" xfId="6206"/>
    <cellStyle name="20% - Accent3 6 2 2 3 2" xfId="8525"/>
    <cellStyle name="20% - Accent3 6 2 2 4" xfId="7179"/>
    <cellStyle name="20% - Accent3 6 2 3" xfId="5202"/>
    <cellStyle name="20% - Accent3 6 2 3 2" xfId="7521"/>
    <cellStyle name="20% - Accent3 6 2 4" xfId="5870"/>
    <cellStyle name="20% - Accent3 6 2 4 2" xfId="8189"/>
    <cellStyle name="20% - Accent3 6 2 5" xfId="6850"/>
    <cellStyle name="20% - Accent3 6 3" xfId="4693"/>
    <cellStyle name="20% - Accent3 6 3 2" xfId="5368"/>
    <cellStyle name="20% - Accent3 6 3 2 2" xfId="7687"/>
    <cellStyle name="20% - Accent3 6 3 3" xfId="6038"/>
    <cellStyle name="20% - Accent3 6 3 3 2" xfId="8357"/>
    <cellStyle name="20% - Accent3 6 3 4" xfId="7014"/>
    <cellStyle name="20% - Accent3 6 4" xfId="5036"/>
    <cellStyle name="20% - Accent3 6 4 2" xfId="7355"/>
    <cellStyle name="20% - Accent3 6 5" xfId="5702"/>
    <cellStyle name="20% - Accent3 6 5 2" xfId="8021"/>
    <cellStyle name="20% - Accent3 6 6" xfId="6360"/>
    <cellStyle name="20% - Accent3 7" xfId="4415"/>
    <cellStyle name="20% - Accent3 7 2" xfId="4735"/>
    <cellStyle name="20% - Accent3 7 2 2" xfId="5410"/>
    <cellStyle name="20% - Accent3 7 2 2 2" xfId="7729"/>
    <cellStyle name="20% - Accent3 7 2 3" xfId="6080"/>
    <cellStyle name="20% - Accent3 7 2 3 2" xfId="8399"/>
    <cellStyle name="20% - Accent3 7 2 4" xfId="7056"/>
    <cellStyle name="20% - Accent3 7 3" xfId="5078"/>
    <cellStyle name="20% - Accent3 7 3 2" xfId="7397"/>
    <cellStyle name="20% - Accent3 7 4" xfId="5744"/>
    <cellStyle name="20% - Accent3 7 4 2" xfId="8063"/>
    <cellStyle name="20% - Accent3 7 5" xfId="6736"/>
    <cellStyle name="20% - Accent3 8" xfId="4570"/>
    <cellStyle name="20% - Accent3 8 2" xfId="5244"/>
    <cellStyle name="20% - Accent3 8 2 2" xfId="7563"/>
    <cellStyle name="20% - Accent3 8 3" xfId="5912"/>
    <cellStyle name="20% - Accent3 8 3 2" xfId="8231"/>
    <cellStyle name="20% - Accent3 8 4" xfId="6891"/>
    <cellStyle name="20% - Accent3 9" xfId="4902"/>
    <cellStyle name="20% - Accent3 9 2" xfId="7222"/>
    <cellStyle name="20% - Accent4" xfId="1974" builtinId="42" customBuiltin="1"/>
    <cellStyle name="20% - Accent4 2" xfId="156"/>
    <cellStyle name="20% - Accent4 2 2" xfId="2364"/>
    <cellStyle name="20% - Accent4 3" xfId="1487"/>
    <cellStyle name="20% - Accent4 3 2" xfId="2366"/>
    <cellStyle name="20% - Accent4 3 2 2" xfId="2367"/>
    <cellStyle name="20% - Accent4 3 2 2 2" xfId="4510"/>
    <cellStyle name="20% - Accent4 3 2 2 2 2" xfId="4839"/>
    <cellStyle name="20% - Accent4 3 2 2 2 2 2" xfId="5515"/>
    <cellStyle name="20% - Accent4 3 2 2 2 2 2 2" xfId="7834"/>
    <cellStyle name="20% - Accent4 3 2 2 2 2 3" xfId="6186"/>
    <cellStyle name="20% - Accent4 3 2 2 2 2 3 2" xfId="8505"/>
    <cellStyle name="20% - Accent4 3 2 2 2 2 4" xfId="7160"/>
    <cellStyle name="20% - Accent4 3 2 2 2 3" xfId="5183"/>
    <cellStyle name="20% - Accent4 3 2 2 2 3 2" xfId="7502"/>
    <cellStyle name="20% - Accent4 3 2 2 2 4" xfId="5850"/>
    <cellStyle name="20% - Accent4 3 2 2 2 4 2" xfId="8169"/>
    <cellStyle name="20% - Accent4 3 2 2 2 5" xfId="6831"/>
    <cellStyle name="20% - Accent4 3 2 2 3" xfId="4674"/>
    <cellStyle name="20% - Accent4 3 2 2 3 2" xfId="5349"/>
    <cellStyle name="20% - Accent4 3 2 2 3 2 2" xfId="7668"/>
    <cellStyle name="20% - Accent4 3 2 2 3 3" xfId="6018"/>
    <cellStyle name="20% - Accent4 3 2 2 3 3 2" xfId="8337"/>
    <cellStyle name="20% - Accent4 3 2 2 3 4" xfId="6995"/>
    <cellStyle name="20% - Accent4 3 2 2 4" xfId="5017"/>
    <cellStyle name="20% - Accent4 3 2 2 4 2" xfId="7336"/>
    <cellStyle name="20% - Accent4 3 2 2 5" xfId="5682"/>
    <cellStyle name="20% - Accent4 3 2 2 5 2" xfId="8001"/>
    <cellStyle name="20% - Accent4 3 2 2 6" xfId="6363"/>
    <cellStyle name="20% - Accent4 3 2 3" xfId="2368"/>
    <cellStyle name="20% - Accent4 3 2 3 2" xfId="4470"/>
    <cellStyle name="20% - Accent4 3 2 3 2 2" xfId="4799"/>
    <cellStyle name="20% - Accent4 3 2 3 2 2 2" xfId="5474"/>
    <cellStyle name="20% - Accent4 3 2 3 2 2 2 2" xfId="7793"/>
    <cellStyle name="20% - Accent4 3 2 3 2 2 3" xfId="6144"/>
    <cellStyle name="20% - Accent4 3 2 3 2 2 3 2" xfId="8463"/>
    <cellStyle name="20% - Accent4 3 2 3 2 2 4" xfId="7120"/>
    <cellStyle name="20% - Accent4 3 2 3 2 3" xfId="5142"/>
    <cellStyle name="20% - Accent4 3 2 3 2 3 2" xfId="7461"/>
    <cellStyle name="20% - Accent4 3 2 3 2 4" xfId="5808"/>
    <cellStyle name="20% - Accent4 3 2 3 2 4 2" xfId="8127"/>
    <cellStyle name="20% - Accent4 3 2 3 2 5" xfId="6791"/>
    <cellStyle name="20% - Accent4 3 2 3 3" xfId="4634"/>
    <cellStyle name="20% - Accent4 3 2 3 3 2" xfId="5308"/>
    <cellStyle name="20% - Accent4 3 2 3 3 2 2" xfId="7627"/>
    <cellStyle name="20% - Accent4 3 2 3 3 3" xfId="5976"/>
    <cellStyle name="20% - Accent4 3 2 3 3 3 2" xfId="8295"/>
    <cellStyle name="20% - Accent4 3 2 3 3 4" xfId="6955"/>
    <cellStyle name="20% - Accent4 3 2 3 4" xfId="4976"/>
    <cellStyle name="20% - Accent4 3 2 3 4 2" xfId="7295"/>
    <cellStyle name="20% - Accent4 3 2 3 5" xfId="5640"/>
    <cellStyle name="20% - Accent4 3 2 3 5 2" xfId="7959"/>
    <cellStyle name="20% - Accent4 3 2 3 6" xfId="6364"/>
    <cellStyle name="20% - Accent4 3 2 4" xfId="4398"/>
    <cellStyle name="20% - Accent4 3 2 4 2" xfId="4551"/>
    <cellStyle name="20% - Accent4 3 2 4 2 2" xfId="4880"/>
    <cellStyle name="20% - Accent4 3 2 4 2 2 2" xfId="5556"/>
    <cellStyle name="20% - Accent4 3 2 4 2 2 2 2" xfId="7875"/>
    <cellStyle name="20% - Accent4 3 2 4 2 2 3" xfId="6228"/>
    <cellStyle name="20% - Accent4 3 2 4 2 2 3 2" xfId="8547"/>
    <cellStyle name="20% - Accent4 3 2 4 2 2 4" xfId="7201"/>
    <cellStyle name="20% - Accent4 3 2 4 2 3" xfId="5224"/>
    <cellStyle name="20% - Accent4 3 2 4 2 3 2" xfId="7543"/>
    <cellStyle name="20% - Accent4 3 2 4 2 4" xfId="5892"/>
    <cellStyle name="20% - Accent4 3 2 4 2 4 2" xfId="8211"/>
    <cellStyle name="20% - Accent4 3 2 4 2 5" xfId="6872"/>
    <cellStyle name="20% - Accent4 3 2 4 3" xfId="4715"/>
    <cellStyle name="20% - Accent4 3 2 4 3 2" xfId="5390"/>
    <cellStyle name="20% - Accent4 3 2 4 3 2 2" xfId="7709"/>
    <cellStyle name="20% - Accent4 3 2 4 3 3" xfId="6060"/>
    <cellStyle name="20% - Accent4 3 2 4 3 3 2" xfId="8379"/>
    <cellStyle name="20% - Accent4 3 2 4 3 4" xfId="7036"/>
    <cellStyle name="20% - Accent4 3 2 4 4" xfId="5058"/>
    <cellStyle name="20% - Accent4 3 2 4 4 2" xfId="7377"/>
    <cellStyle name="20% - Accent4 3 2 4 5" xfId="5724"/>
    <cellStyle name="20% - Accent4 3 2 4 5 2" xfId="8043"/>
    <cellStyle name="20% - Accent4 3 2 4 6" xfId="6719"/>
    <cellStyle name="20% - Accent4 3 2 5" xfId="4431"/>
    <cellStyle name="20% - Accent4 3 2 5 2" xfId="4757"/>
    <cellStyle name="20% - Accent4 3 2 5 2 2" xfId="5432"/>
    <cellStyle name="20% - Accent4 3 2 5 2 2 2" xfId="7751"/>
    <cellStyle name="20% - Accent4 3 2 5 2 3" xfId="6102"/>
    <cellStyle name="20% - Accent4 3 2 5 2 3 2" xfId="8421"/>
    <cellStyle name="20% - Accent4 3 2 5 2 4" xfId="7078"/>
    <cellStyle name="20% - Accent4 3 2 5 3" xfId="5100"/>
    <cellStyle name="20% - Accent4 3 2 5 3 2" xfId="7419"/>
    <cellStyle name="20% - Accent4 3 2 5 4" xfId="5766"/>
    <cellStyle name="20% - Accent4 3 2 5 4 2" xfId="8085"/>
    <cellStyle name="20% - Accent4 3 2 5 5" xfId="6752"/>
    <cellStyle name="20% - Accent4 3 2 6" xfId="4592"/>
    <cellStyle name="20% - Accent4 3 2 6 2" xfId="5266"/>
    <cellStyle name="20% - Accent4 3 2 6 2 2" xfId="7585"/>
    <cellStyle name="20% - Accent4 3 2 6 3" xfId="5934"/>
    <cellStyle name="20% - Accent4 3 2 6 3 2" xfId="8253"/>
    <cellStyle name="20% - Accent4 3 2 6 4" xfId="6913"/>
    <cellStyle name="20% - Accent4 3 2 7" xfId="4934"/>
    <cellStyle name="20% - Accent4 3 2 7 2" xfId="7253"/>
    <cellStyle name="20% - Accent4 3 2 8" xfId="5598"/>
    <cellStyle name="20% - Accent4 3 2 8 2" xfId="7917"/>
    <cellStyle name="20% - Accent4 3 2 9" xfId="6362"/>
    <cellStyle name="20% - Accent4 3 3" xfId="2369"/>
    <cellStyle name="20% - Accent4 3 3 2" xfId="4490"/>
    <cellStyle name="20% - Accent4 3 3 2 2" xfId="4819"/>
    <cellStyle name="20% - Accent4 3 3 2 2 2" xfId="5495"/>
    <cellStyle name="20% - Accent4 3 3 2 2 2 2" xfId="7814"/>
    <cellStyle name="20% - Accent4 3 3 2 2 3" xfId="6165"/>
    <cellStyle name="20% - Accent4 3 3 2 2 3 2" xfId="8484"/>
    <cellStyle name="20% - Accent4 3 3 2 2 4" xfId="7140"/>
    <cellStyle name="20% - Accent4 3 3 2 3" xfId="5163"/>
    <cellStyle name="20% - Accent4 3 3 2 3 2" xfId="7482"/>
    <cellStyle name="20% - Accent4 3 3 2 4" xfId="5829"/>
    <cellStyle name="20% - Accent4 3 3 2 4 2" xfId="8148"/>
    <cellStyle name="20% - Accent4 3 3 2 5" xfId="6811"/>
    <cellStyle name="20% - Accent4 3 3 3" xfId="4654"/>
    <cellStyle name="20% - Accent4 3 3 3 2" xfId="5329"/>
    <cellStyle name="20% - Accent4 3 3 3 2 2" xfId="7648"/>
    <cellStyle name="20% - Accent4 3 3 3 3" xfId="5997"/>
    <cellStyle name="20% - Accent4 3 3 3 3 2" xfId="8316"/>
    <cellStyle name="20% - Accent4 3 3 3 4" xfId="6975"/>
    <cellStyle name="20% - Accent4 3 3 4" xfId="4997"/>
    <cellStyle name="20% - Accent4 3 3 4 2" xfId="7316"/>
    <cellStyle name="20% - Accent4 3 3 5" xfId="5661"/>
    <cellStyle name="20% - Accent4 3 3 5 2" xfId="7980"/>
    <cellStyle name="20% - Accent4 3 3 6" xfId="6365"/>
    <cellStyle name="20% - Accent4 3 4" xfId="2370"/>
    <cellStyle name="20% - Accent4 3 4 2" xfId="4450"/>
    <cellStyle name="20% - Accent4 3 4 2 2" xfId="4778"/>
    <cellStyle name="20% - Accent4 3 4 2 2 2" xfId="5453"/>
    <cellStyle name="20% - Accent4 3 4 2 2 2 2" xfId="7772"/>
    <cellStyle name="20% - Accent4 3 4 2 2 3" xfId="6123"/>
    <cellStyle name="20% - Accent4 3 4 2 2 3 2" xfId="8442"/>
    <cellStyle name="20% - Accent4 3 4 2 2 4" xfId="7099"/>
    <cellStyle name="20% - Accent4 3 4 2 3" xfId="5121"/>
    <cellStyle name="20% - Accent4 3 4 2 3 2" xfId="7440"/>
    <cellStyle name="20% - Accent4 3 4 2 4" xfId="5787"/>
    <cellStyle name="20% - Accent4 3 4 2 4 2" xfId="8106"/>
    <cellStyle name="20% - Accent4 3 4 2 5" xfId="6771"/>
    <cellStyle name="20% - Accent4 3 4 3" xfId="4613"/>
    <cellStyle name="20% - Accent4 3 4 3 2" xfId="5287"/>
    <cellStyle name="20% - Accent4 3 4 3 2 2" xfId="7606"/>
    <cellStyle name="20% - Accent4 3 4 3 3" xfId="5955"/>
    <cellStyle name="20% - Accent4 3 4 3 3 2" xfId="8274"/>
    <cellStyle name="20% - Accent4 3 4 3 4" xfId="6934"/>
    <cellStyle name="20% - Accent4 3 4 4" xfId="4955"/>
    <cellStyle name="20% - Accent4 3 4 4 2" xfId="7274"/>
    <cellStyle name="20% - Accent4 3 4 5" xfId="5619"/>
    <cellStyle name="20% - Accent4 3 4 5 2" xfId="7938"/>
    <cellStyle name="20% - Accent4 3 4 6" xfId="6366"/>
    <cellStyle name="20% - Accent4 3 5" xfId="2371"/>
    <cellStyle name="20% - Accent4 3 5 2" xfId="4530"/>
    <cellStyle name="20% - Accent4 3 5 2 2" xfId="4859"/>
    <cellStyle name="20% - Accent4 3 5 2 2 2" xfId="5535"/>
    <cellStyle name="20% - Accent4 3 5 2 2 2 2" xfId="7854"/>
    <cellStyle name="20% - Accent4 3 5 2 2 3" xfId="6207"/>
    <cellStyle name="20% - Accent4 3 5 2 2 3 2" xfId="8526"/>
    <cellStyle name="20% - Accent4 3 5 2 2 4" xfId="7180"/>
    <cellStyle name="20% - Accent4 3 5 2 3" xfId="5203"/>
    <cellStyle name="20% - Accent4 3 5 2 3 2" xfId="7522"/>
    <cellStyle name="20% - Accent4 3 5 2 4" xfId="5871"/>
    <cellStyle name="20% - Accent4 3 5 2 4 2" xfId="8190"/>
    <cellStyle name="20% - Accent4 3 5 2 5" xfId="6851"/>
    <cellStyle name="20% - Accent4 3 5 3" xfId="4694"/>
    <cellStyle name="20% - Accent4 3 5 3 2" xfId="5369"/>
    <cellStyle name="20% - Accent4 3 5 3 2 2" xfId="7688"/>
    <cellStyle name="20% - Accent4 3 5 3 3" xfId="6039"/>
    <cellStyle name="20% - Accent4 3 5 3 3 2" xfId="8358"/>
    <cellStyle name="20% - Accent4 3 5 3 4" xfId="7015"/>
    <cellStyle name="20% - Accent4 3 5 4" xfId="5037"/>
    <cellStyle name="20% - Accent4 3 5 4 2" xfId="7356"/>
    <cellStyle name="20% - Accent4 3 5 5" xfId="5703"/>
    <cellStyle name="20% - Accent4 3 5 5 2" xfId="8022"/>
    <cellStyle name="20% - Accent4 3 5 6" xfId="4384"/>
    <cellStyle name="20% - Accent4 3 5 6 2" xfId="6705"/>
    <cellStyle name="20% - Accent4 3 6" xfId="2365"/>
    <cellStyle name="20% - Accent4 3 6 2" xfId="4736"/>
    <cellStyle name="20% - Accent4 3 6 2 2" xfId="5411"/>
    <cellStyle name="20% - Accent4 3 6 2 2 2" xfId="7730"/>
    <cellStyle name="20% - Accent4 3 6 2 3" xfId="6081"/>
    <cellStyle name="20% - Accent4 3 6 2 3 2" xfId="8400"/>
    <cellStyle name="20% - Accent4 3 6 2 4" xfId="7057"/>
    <cellStyle name="20% - Accent4 3 6 3" xfId="5079"/>
    <cellStyle name="20% - Accent4 3 6 3 2" xfId="7398"/>
    <cellStyle name="20% - Accent4 3 6 4" xfId="5745"/>
    <cellStyle name="20% - Accent4 3 6 4 2" xfId="8064"/>
    <cellStyle name="20% - Accent4 3 6 5" xfId="6361"/>
    <cellStyle name="20% - Accent4 3 7" xfId="4571"/>
    <cellStyle name="20% - Accent4 3 7 2" xfId="5245"/>
    <cellStyle name="20% - Accent4 3 7 2 2" xfId="7564"/>
    <cellStyle name="20% - Accent4 3 7 3" xfId="5913"/>
    <cellStyle name="20% - Accent4 3 7 3 2" xfId="8232"/>
    <cellStyle name="20% - Accent4 3 7 4" xfId="6892"/>
    <cellStyle name="20% - Accent4 3 8" xfId="4913"/>
    <cellStyle name="20% - Accent4 3 8 2" xfId="7232"/>
    <cellStyle name="20% - Accent4 3 9" xfId="5577"/>
    <cellStyle name="20% - Accent4 3 9 2" xfId="7896"/>
    <cellStyle name="20% - Accent4 4" xfId="6337"/>
    <cellStyle name="20% - Accent5" xfId="1978" builtinId="46" customBuiltin="1"/>
    <cellStyle name="20% - Accent5 2" xfId="157"/>
    <cellStyle name="20% - Accent5 2 2" xfId="2372"/>
    <cellStyle name="20% - Accent5 3" xfId="2373"/>
    <cellStyle name="20% - Accent5 3 10" xfId="6367"/>
    <cellStyle name="20% - Accent5 3 2" xfId="2374"/>
    <cellStyle name="20% - Accent5 3 2 2" xfId="2375"/>
    <cellStyle name="20% - Accent5 3 2 2 2" xfId="4511"/>
    <cellStyle name="20% - Accent5 3 2 2 2 2" xfId="4840"/>
    <cellStyle name="20% - Accent5 3 2 2 2 2 2" xfId="5516"/>
    <cellStyle name="20% - Accent5 3 2 2 2 2 2 2" xfId="7835"/>
    <cellStyle name="20% - Accent5 3 2 2 2 2 3" xfId="6187"/>
    <cellStyle name="20% - Accent5 3 2 2 2 2 3 2" xfId="8506"/>
    <cellStyle name="20% - Accent5 3 2 2 2 2 4" xfId="7161"/>
    <cellStyle name="20% - Accent5 3 2 2 2 3" xfId="5184"/>
    <cellStyle name="20% - Accent5 3 2 2 2 3 2" xfId="7503"/>
    <cellStyle name="20% - Accent5 3 2 2 2 4" xfId="5851"/>
    <cellStyle name="20% - Accent5 3 2 2 2 4 2" xfId="8170"/>
    <cellStyle name="20% - Accent5 3 2 2 2 5" xfId="6832"/>
    <cellStyle name="20% - Accent5 3 2 2 3" xfId="4675"/>
    <cellStyle name="20% - Accent5 3 2 2 3 2" xfId="5350"/>
    <cellStyle name="20% - Accent5 3 2 2 3 2 2" xfId="7669"/>
    <cellStyle name="20% - Accent5 3 2 2 3 3" xfId="6019"/>
    <cellStyle name="20% - Accent5 3 2 2 3 3 2" xfId="8338"/>
    <cellStyle name="20% - Accent5 3 2 2 3 4" xfId="6996"/>
    <cellStyle name="20% - Accent5 3 2 2 4" xfId="5018"/>
    <cellStyle name="20% - Accent5 3 2 2 4 2" xfId="7337"/>
    <cellStyle name="20% - Accent5 3 2 2 5" xfId="5683"/>
    <cellStyle name="20% - Accent5 3 2 2 5 2" xfId="8002"/>
    <cellStyle name="20% - Accent5 3 2 2 6" xfId="6369"/>
    <cellStyle name="20% - Accent5 3 2 3" xfId="2376"/>
    <cellStyle name="20% - Accent5 3 2 3 2" xfId="4471"/>
    <cellStyle name="20% - Accent5 3 2 3 2 2" xfId="4800"/>
    <cellStyle name="20% - Accent5 3 2 3 2 2 2" xfId="5475"/>
    <cellStyle name="20% - Accent5 3 2 3 2 2 2 2" xfId="7794"/>
    <cellStyle name="20% - Accent5 3 2 3 2 2 3" xfId="6145"/>
    <cellStyle name="20% - Accent5 3 2 3 2 2 3 2" xfId="8464"/>
    <cellStyle name="20% - Accent5 3 2 3 2 2 4" xfId="7121"/>
    <cellStyle name="20% - Accent5 3 2 3 2 3" xfId="5143"/>
    <cellStyle name="20% - Accent5 3 2 3 2 3 2" xfId="7462"/>
    <cellStyle name="20% - Accent5 3 2 3 2 4" xfId="5809"/>
    <cellStyle name="20% - Accent5 3 2 3 2 4 2" xfId="8128"/>
    <cellStyle name="20% - Accent5 3 2 3 2 5" xfId="6792"/>
    <cellStyle name="20% - Accent5 3 2 3 3" xfId="4635"/>
    <cellStyle name="20% - Accent5 3 2 3 3 2" xfId="5309"/>
    <cellStyle name="20% - Accent5 3 2 3 3 2 2" xfId="7628"/>
    <cellStyle name="20% - Accent5 3 2 3 3 3" xfId="5977"/>
    <cellStyle name="20% - Accent5 3 2 3 3 3 2" xfId="8296"/>
    <cellStyle name="20% - Accent5 3 2 3 3 4" xfId="6956"/>
    <cellStyle name="20% - Accent5 3 2 3 4" xfId="4977"/>
    <cellStyle name="20% - Accent5 3 2 3 4 2" xfId="7296"/>
    <cellStyle name="20% - Accent5 3 2 3 5" xfId="5641"/>
    <cellStyle name="20% - Accent5 3 2 3 5 2" xfId="7960"/>
    <cellStyle name="20% - Accent5 3 2 3 6" xfId="6370"/>
    <cellStyle name="20% - Accent5 3 2 4" xfId="4399"/>
    <cellStyle name="20% - Accent5 3 2 4 2" xfId="4552"/>
    <cellStyle name="20% - Accent5 3 2 4 2 2" xfId="4881"/>
    <cellStyle name="20% - Accent5 3 2 4 2 2 2" xfId="5557"/>
    <cellStyle name="20% - Accent5 3 2 4 2 2 2 2" xfId="7876"/>
    <cellStyle name="20% - Accent5 3 2 4 2 2 3" xfId="6229"/>
    <cellStyle name="20% - Accent5 3 2 4 2 2 3 2" xfId="8548"/>
    <cellStyle name="20% - Accent5 3 2 4 2 2 4" xfId="7202"/>
    <cellStyle name="20% - Accent5 3 2 4 2 3" xfId="5225"/>
    <cellStyle name="20% - Accent5 3 2 4 2 3 2" xfId="7544"/>
    <cellStyle name="20% - Accent5 3 2 4 2 4" xfId="5893"/>
    <cellStyle name="20% - Accent5 3 2 4 2 4 2" xfId="8212"/>
    <cellStyle name="20% - Accent5 3 2 4 2 5" xfId="6873"/>
    <cellStyle name="20% - Accent5 3 2 4 3" xfId="4716"/>
    <cellStyle name="20% - Accent5 3 2 4 3 2" xfId="5391"/>
    <cellStyle name="20% - Accent5 3 2 4 3 2 2" xfId="7710"/>
    <cellStyle name="20% - Accent5 3 2 4 3 3" xfId="6061"/>
    <cellStyle name="20% - Accent5 3 2 4 3 3 2" xfId="8380"/>
    <cellStyle name="20% - Accent5 3 2 4 3 4" xfId="7037"/>
    <cellStyle name="20% - Accent5 3 2 4 4" xfId="5059"/>
    <cellStyle name="20% - Accent5 3 2 4 4 2" xfId="7378"/>
    <cellStyle name="20% - Accent5 3 2 4 5" xfId="5725"/>
    <cellStyle name="20% - Accent5 3 2 4 5 2" xfId="8044"/>
    <cellStyle name="20% - Accent5 3 2 4 6" xfId="6720"/>
    <cellStyle name="20% - Accent5 3 2 5" xfId="4432"/>
    <cellStyle name="20% - Accent5 3 2 5 2" xfId="4758"/>
    <cellStyle name="20% - Accent5 3 2 5 2 2" xfId="5433"/>
    <cellStyle name="20% - Accent5 3 2 5 2 2 2" xfId="7752"/>
    <cellStyle name="20% - Accent5 3 2 5 2 3" xfId="6103"/>
    <cellStyle name="20% - Accent5 3 2 5 2 3 2" xfId="8422"/>
    <cellStyle name="20% - Accent5 3 2 5 2 4" xfId="7079"/>
    <cellStyle name="20% - Accent5 3 2 5 3" xfId="5101"/>
    <cellStyle name="20% - Accent5 3 2 5 3 2" xfId="7420"/>
    <cellStyle name="20% - Accent5 3 2 5 4" xfId="5767"/>
    <cellStyle name="20% - Accent5 3 2 5 4 2" xfId="8086"/>
    <cellStyle name="20% - Accent5 3 2 5 5" xfId="6753"/>
    <cellStyle name="20% - Accent5 3 2 6" xfId="4593"/>
    <cellStyle name="20% - Accent5 3 2 6 2" xfId="5267"/>
    <cellStyle name="20% - Accent5 3 2 6 2 2" xfId="7586"/>
    <cellStyle name="20% - Accent5 3 2 6 3" xfId="5935"/>
    <cellStyle name="20% - Accent5 3 2 6 3 2" xfId="8254"/>
    <cellStyle name="20% - Accent5 3 2 6 4" xfId="6914"/>
    <cellStyle name="20% - Accent5 3 2 7" xfId="4935"/>
    <cellStyle name="20% - Accent5 3 2 7 2" xfId="7254"/>
    <cellStyle name="20% - Accent5 3 2 8" xfId="5599"/>
    <cellStyle name="20% - Accent5 3 2 8 2" xfId="7918"/>
    <cellStyle name="20% - Accent5 3 2 9" xfId="6368"/>
    <cellStyle name="20% - Accent5 3 3" xfId="2377"/>
    <cellStyle name="20% - Accent5 3 3 2" xfId="4491"/>
    <cellStyle name="20% - Accent5 3 3 2 2" xfId="4820"/>
    <cellStyle name="20% - Accent5 3 3 2 2 2" xfId="5496"/>
    <cellStyle name="20% - Accent5 3 3 2 2 2 2" xfId="7815"/>
    <cellStyle name="20% - Accent5 3 3 2 2 3" xfId="6166"/>
    <cellStyle name="20% - Accent5 3 3 2 2 3 2" xfId="8485"/>
    <cellStyle name="20% - Accent5 3 3 2 2 4" xfId="7141"/>
    <cellStyle name="20% - Accent5 3 3 2 3" xfId="5164"/>
    <cellStyle name="20% - Accent5 3 3 2 3 2" xfId="7483"/>
    <cellStyle name="20% - Accent5 3 3 2 4" xfId="5830"/>
    <cellStyle name="20% - Accent5 3 3 2 4 2" xfId="8149"/>
    <cellStyle name="20% - Accent5 3 3 2 5" xfId="6812"/>
    <cellStyle name="20% - Accent5 3 3 3" xfId="4655"/>
    <cellStyle name="20% - Accent5 3 3 3 2" xfId="5330"/>
    <cellStyle name="20% - Accent5 3 3 3 2 2" xfId="7649"/>
    <cellStyle name="20% - Accent5 3 3 3 3" xfId="5998"/>
    <cellStyle name="20% - Accent5 3 3 3 3 2" xfId="8317"/>
    <cellStyle name="20% - Accent5 3 3 3 4" xfId="6976"/>
    <cellStyle name="20% - Accent5 3 3 4" xfId="4998"/>
    <cellStyle name="20% - Accent5 3 3 4 2" xfId="7317"/>
    <cellStyle name="20% - Accent5 3 3 5" xfId="5662"/>
    <cellStyle name="20% - Accent5 3 3 5 2" xfId="7981"/>
    <cellStyle name="20% - Accent5 3 3 6" xfId="6371"/>
    <cellStyle name="20% - Accent5 3 4" xfId="2378"/>
    <cellStyle name="20% - Accent5 3 4 2" xfId="4451"/>
    <cellStyle name="20% - Accent5 3 4 2 2" xfId="4779"/>
    <cellStyle name="20% - Accent5 3 4 2 2 2" xfId="5454"/>
    <cellStyle name="20% - Accent5 3 4 2 2 2 2" xfId="7773"/>
    <cellStyle name="20% - Accent5 3 4 2 2 3" xfId="6124"/>
    <cellStyle name="20% - Accent5 3 4 2 2 3 2" xfId="8443"/>
    <cellStyle name="20% - Accent5 3 4 2 2 4" xfId="7100"/>
    <cellStyle name="20% - Accent5 3 4 2 3" xfId="5122"/>
    <cellStyle name="20% - Accent5 3 4 2 3 2" xfId="7441"/>
    <cellStyle name="20% - Accent5 3 4 2 4" xfId="5788"/>
    <cellStyle name="20% - Accent5 3 4 2 4 2" xfId="8107"/>
    <cellStyle name="20% - Accent5 3 4 2 5" xfId="6772"/>
    <cellStyle name="20% - Accent5 3 4 3" xfId="4614"/>
    <cellStyle name="20% - Accent5 3 4 3 2" xfId="5288"/>
    <cellStyle name="20% - Accent5 3 4 3 2 2" xfId="7607"/>
    <cellStyle name="20% - Accent5 3 4 3 3" xfId="5956"/>
    <cellStyle name="20% - Accent5 3 4 3 3 2" xfId="8275"/>
    <cellStyle name="20% - Accent5 3 4 3 4" xfId="6935"/>
    <cellStyle name="20% - Accent5 3 4 4" xfId="4956"/>
    <cellStyle name="20% - Accent5 3 4 4 2" xfId="7275"/>
    <cellStyle name="20% - Accent5 3 4 5" xfId="5620"/>
    <cellStyle name="20% - Accent5 3 4 5 2" xfId="7939"/>
    <cellStyle name="20% - Accent5 3 4 6" xfId="6372"/>
    <cellStyle name="20% - Accent5 3 5" xfId="2379"/>
    <cellStyle name="20% - Accent5 3 5 2" xfId="4531"/>
    <cellStyle name="20% - Accent5 3 5 2 2" xfId="4860"/>
    <cellStyle name="20% - Accent5 3 5 2 2 2" xfId="5536"/>
    <cellStyle name="20% - Accent5 3 5 2 2 2 2" xfId="7855"/>
    <cellStyle name="20% - Accent5 3 5 2 2 3" xfId="6208"/>
    <cellStyle name="20% - Accent5 3 5 2 2 3 2" xfId="8527"/>
    <cellStyle name="20% - Accent5 3 5 2 2 4" xfId="7181"/>
    <cellStyle name="20% - Accent5 3 5 2 3" xfId="5204"/>
    <cellStyle name="20% - Accent5 3 5 2 3 2" xfId="7523"/>
    <cellStyle name="20% - Accent5 3 5 2 4" xfId="5872"/>
    <cellStyle name="20% - Accent5 3 5 2 4 2" xfId="8191"/>
    <cellStyle name="20% - Accent5 3 5 2 5" xfId="6852"/>
    <cellStyle name="20% - Accent5 3 5 3" xfId="4695"/>
    <cellStyle name="20% - Accent5 3 5 3 2" xfId="5370"/>
    <cellStyle name="20% - Accent5 3 5 3 2 2" xfId="7689"/>
    <cellStyle name="20% - Accent5 3 5 3 3" xfId="6040"/>
    <cellStyle name="20% - Accent5 3 5 3 3 2" xfId="8359"/>
    <cellStyle name="20% - Accent5 3 5 3 4" xfId="7016"/>
    <cellStyle name="20% - Accent5 3 5 4" xfId="5038"/>
    <cellStyle name="20% - Accent5 3 5 4 2" xfId="7357"/>
    <cellStyle name="20% - Accent5 3 5 5" xfId="5704"/>
    <cellStyle name="20% - Accent5 3 5 5 2" xfId="8023"/>
    <cellStyle name="20% - Accent5 3 5 6" xfId="4385"/>
    <cellStyle name="20% - Accent5 3 5 6 2" xfId="6706"/>
    <cellStyle name="20% - Accent5 3 6" xfId="4416"/>
    <cellStyle name="20% - Accent5 3 6 2" xfId="4737"/>
    <cellStyle name="20% - Accent5 3 6 2 2" xfId="5412"/>
    <cellStyle name="20% - Accent5 3 6 2 2 2" xfId="7731"/>
    <cellStyle name="20% - Accent5 3 6 2 3" xfId="6082"/>
    <cellStyle name="20% - Accent5 3 6 2 3 2" xfId="8401"/>
    <cellStyle name="20% - Accent5 3 6 2 4" xfId="7058"/>
    <cellStyle name="20% - Accent5 3 6 3" xfId="5080"/>
    <cellStyle name="20% - Accent5 3 6 3 2" xfId="7399"/>
    <cellStyle name="20% - Accent5 3 6 4" xfId="5746"/>
    <cellStyle name="20% - Accent5 3 6 4 2" xfId="8065"/>
    <cellStyle name="20% - Accent5 3 6 5" xfId="6737"/>
    <cellStyle name="20% - Accent5 3 7" xfId="4572"/>
    <cellStyle name="20% - Accent5 3 7 2" xfId="5246"/>
    <cellStyle name="20% - Accent5 3 7 2 2" xfId="7565"/>
    <cellStyle name="20% - Accent5 3 7 3" xfId="5914"/>
    <cellStyle name="20% - Accent5 3 7 3 2" xfId="8233"/>
    <cellStyle name="20% - Accent5 3 7 4" xfId="6893"/>
    <cellStyle name="20% - Accent5 3 8" xfId="4914"/>
    <cellStyle name="20% - Accent5 3 8 2" xfId="7233"/>
    <cellStyle name="20% - Accent5 3 9" xfId="5578"/>
    <cellStyle name="20% - Accent5 3 9 2" xfId="7897"/>
    <cellStyle name="20% - Accent5 4" xfId="6339"/>
    <cellStyle name="20% - Accent6" xfId="1982" builtinId="50" customBuiltin="1"/>
    <cellStyle name="20% - Accent6 10" xfId="4915"/>
    <cellStyle name="20% - Accent6 10 2" xfId="7234"/>
    <cellStyle name="20% - Accent6 11" xfId="5579"/>
    <cellStyle name="20% - Accent6 11 2" xfId="7898"/>
    <cellStyle name="20% - Accent6 12" xfId="6341"/>
    <cellStyle name="20% - Accent6 2" xfId="158"/>
    <cellStyle name="20% - Accent6 2 2" xfId="1489"/>
    <cellStyle name="20% - Accent6 2 3" xfId="1488"/>
    <cellStyle name="20% - Accent6 3" xfId="1490"/>
    <cellStyle name="20% - Accent6 3 2" xfId="2381"/>
    <cellStyle name="20% - Accent6 3 2 2" xfId="4512"/>
    <cellStyle name="20% - Accent6 3 2 2 2" xfId="4841"/>
    <cellStyle name="20% - Accent6 3 2 2 2 2" xfId="5517"/>
    <cellStyle name="20% - Accent6 3 2 2 2 2 2" xfId="7836"/>
    <cellStyle name="20% - Accent6 3 2 2 2 3" xfId="6188"/>
    <cellStyle name="20% - Accent6 3 2 2 2 3 2" xfId="8507"/>
    <cellStyle name="20% - Accent6 3 2 2 2 4" xfId="7162"/>
    <cellStyle name="20% - Accent6 3 2 2 3" xfId="5185"/>
    <cellStyle name="20% - Accent6 3 2 2 3 2" xfId="7504"/>
    <cellStyle name="20% - Accent6 3 2 2 4" xfId="5852"/>
    <cellStyle name="20% - Accent6 3 2 2 4 2" xfId="8171"/>
    <cellStyle name="20% - Accent6 3 2 2 5" xfId="6833"/>
    <cellStyle name="20% - Accent6 3 2 3" xfId="4676"/>
    <cellStyle name="20% - Accent6 3 2 3 2" xfId="5351"/>
    <cellStyle name="20% - Accent6 3 2 3 2 2" xfId="7670"/>
    <cellStyle name="20% - Accent6 3 2 3 3" xfId="6020"/>
    <cellStyle name="20% - Accent6 3 2 3 3 2" xfId="8339"/>
    <cellStyle name="20% - Accent6 3 2 3 4" xfId="6997"/>
    <cellStyle name="20% - Accent6 3 2 4" xfId="5019"/>
    <cellStyle name="20% - Accent6 3 2 4 2" xfId="7338"/>
    <cellStyle name="20% - Accent6 3 2 5" xfId="5684"/>
    <cellStyle name="20% - Accent6 3 2 5 2" xfId="8003"/>
    <cellStyle name="20% - Accent6 3 2 6" xfId="6374"/>
    <cellStyle name="20% - Accent6 3 3" xfId="2382"/>
    <cellStyle name="20% - Accent6 3 3 2" xfId="4472"/>
    <cellStyle name="20% - Accent6 3 3 2 2" xfId="4801"/>
    <cellStyle name="20% - Accent6 3 3 2 2 2" xfId="5476"/>
    <cellStyle name="20% - Accent6 3 3 2 2 2 2" xfId="7795"/>
    <cellStyle name="20% - Accent6 3 3 2 2 3" xfId="6146"/>
    <cellStyle name="20% - Accent6 3 3 2 2 3 2" xfId="8465"/>
    <cellStyle name="20% - Accent6 3 3 2 2 4" xfId="7122"/>
    <cellStyle name="20% - Accent6 3 3 2 3" xfId="5144"/>
    <cellStyle name="20% - Accent6 3 3 2 3 2" xfId="7463"/>
    <cellStyle name="20% - Accent6 3 3 2 4" xfId="5810"/>
    <cellStyle name="20% - Accent6 3 3 2 4 2" xfId="8129"/>
    <cellStyle name="20% - Accent6 3 3 2 5" xfId="6793"/>
    <cellStyle name="20% - Accent6 3 3 3" xfId="4636"/>
    <cellStyle name="20% - Accent6 3 3 3 2" xfId="5310"/>
    <cellStyle name="20% - Accent6 3 3 3 2 2" xfId="7629"/>
    <cellStyle name="20% - Accent6 3 3 3 3" xfId="5978"/>
    <cellStyle name="20% - Accent6 3 3 3 3 2" xfId="8297"/>
    <cellStyle name="20% - Accent6 3 3 3 4" xfId="6957"/>
    <cellStyle name="20% - Accent6 3 3 4" xfId="4978"/>
    <cellStyle name="20% - Accent6 3 3 4 2" xfId="7297"/>
    <cellStyle name="20% - Accent6 3 3 5" xfId="5642"/>
    <cellStyle name="20% - Accent6 3 3 5 2" xfId="7961"/>
    <cellStyle name="20% - Accent6 3 3 6" xfId="6375"/>
    <cellStyle name="20% - Accent6 3 4" xfId="2383"/>
    <cellStyle name="20% - Accent6 3 4 2" xfId="4553"/>
    <cellStyle name="20% - Accent6 3 4 2 2" xfId="4882"/>
    <cellStyle name="20% - Accent6 3 4 2 2 2" xfId="5558"/>
    <cellStyle name="20% - Accent6 3 4 2 2 2 2" xfId="7877"/>
    <cellStyle name="20% - Accent6 3 4 2 2 3" xfId="6230"/>
    <cellStyle name="20% - Accent6 3 4 2 2 3 2" xfId="8549"/>
    <cellStyle name="20% - Accent6 3 4 2 2 4" xfId="7203"/>
    <cellStyle name="20% - Accent6 3 4 2 3" xfId="5226"/>
    <cellStyle name="20% - Accent6 3 4 2 3 2" xfId="7545"/>
    <cellStyle name="20% - Accent6 3 4 2 4" xfId="5894"/>
    <cellStyle name="20% - Accent6 3 4 2 4 2" xfId="8213"/>
    <cellStyle name="20% - Accent6 3 4 2 5" xfId="6874"/>
    <cellStyle name="20% - Accent6 3 4 3" xfId="4717"/>
    <cellStyle name="20% - Accent6 3 4 3 2" xfId="5392"/>
    <cellStyle name="20% - Accent6 3 4 3 2 2" xfId="7711"/>
    <cellStyle name="20% - Accent6 3 4 3 3" xfId="6062"/>
    <cellStyle name="20% - Accent6 3 4 3 3 2" xfId="8381"/>
    <cellStyle name="20% - Accent6 3 4 3 4" xfId="7038"/>
    <cellStyle name="20% - Accent6 3 4 4" xfId="5060"/>
    <cellStyle name="20% - Accent6 3 4 4 2" xfId="7379"/>
    <cellStyle name="20% - Accent6 3 4 5" xfId="5726"/>
    <cellStyle name="20% - Accent6 3 4 5 2" xfId="8045"/>
    <cellStyle name="20% - Accent6 3 4 6" xfId="4400"/>
    <cellStyle name="20% - Accent6 3 4 6 2" xfId="6721"/>
    <cellStyle name="20% - Accent6 3 5" xfId="2380"/>
    <cellStyle name="20% - Accent6 3 5 2" xfId="4759"/>
    <cellStyle name="20% - Accent6 3 5 2 2" xfId="5434"/>
    <cellStyle name="20% - Accent6 3 5 2 2 2" xfId="7753"/>
    <cellStyle name="20% - Accent6 3 5 2 3" xfId="6104"/>
    <cellStyle name="20% - Accent6 3 5 2 3 2" xfId="8423"/>
    <cellStyle name="20% - Accent6 3 5 2 4" xfId="7080"/>
    <cellStyle name="20% - Accent6 3 5 3" xfId="5102"/>
    <cellStyle name="20% - Accent6 3 5 3 2" xfId="7421"/>
    <cellStyle name="20% - Accent6 3 5 4" xfId="5768"/>
    <cellStyle name="20% - Accent6 3 5 4 2" xfId="8087"/>
    <cellStyle name="20% - Accent6 3 5 5" xfId="6373"/>
    <cellStyle name="20% - Accent6 3 6" xfId="4594"/>
    <cellStyle name="20% - Accent6 3 6 2" xfId="5268"/>
    <cellStyle name="20% - Accent6 3 6 2 2" xfId="7587"/>
    <cellStyle name="20% - Accent6 3 6 3" xfId="5936"/>
    <cellStyle name="20% - Accent6 3 6 3 2" xfId="8255"/>
    <cellStyle name="20% - Accent6 3 6 4" xfId="6915"/>
    <cellStyle name="20% - Accent6 3 7" xfId="4936"/>
    <cellStyle name="20% - Accent6 3 7 2" xfId="7255"/>
    <cellStyle name="20% - Accent6 3 8" xfId="5600"/>
    <cellStyle name="20% - Accent6 3 8 2" xfId="7919"/>
    <cellStyle name="20% - Accent6 4" xfId="2384"/>
    <cellStyle name="20% - Accent6 4 2" xfId="4492"/>
    <cellStyle name="20% - Accent6 4 2 2" xfId="4821"/>
    <cellStyle name="20% - Accent6 4 2 2 2" xfId="5497"/>
    <cellStyle name="20% - Accent6 4 2 2 2 2" xfId="7816"/>
    <cellStyle name="20% - Accent6 4 2 2 3" xfId="6167"/>
    <cellStyle name="20% - Accent6 4 2 2 3 2" xfId="8486"/>
    <cellStyle name="20% - Accent6 4 2 2 4" xfId="7142"/>
    <cellStyle name="20% - Accent6 4 2 3" xfId="5165"/>
    <cellStyle name="20% - Accent6 4 2 3 2" xfId="7484"/>
    <cellStyle name="20% - Accent6 4 2 4" xfId="5831"/>
    <cellStyle name="20% - Accent6 4 2 4 2" xfId="8150"/>
    <cellStyle name="20% - Accent6 4 2 5" xfId="6813"/>
    <cellStyle name="20% - Accent6 4 3" xfId="4656"/>
    <cellStyle name="20% - Accent6 4 3 2" xfId="5331"/>
    <cellStyle name="20% - Accent6 4 3 2 2" xfId="7650"/>
    <cellStyle name="20% - Accent6 4 3 3" xfId="5999"/>
    <cellStyle name="20% - Accent6 4 3 3 2" xfId="8318"/>
    <cellStyle name="20% - Accent6 4 3 4" xfId="6977"/>
    <cellStyle name="20% - Accent6 4 4" xfId="4999"/>
    <cellStyle name="20% - Accent6 4 4 2" xfId="7318"/>
    <cellStyle name="20% - Accent6 4 5" xfId="5663"/>
    <cellStyle name="20% - Accent6 4 5 2" xfId="7982"/>
    <cellStyle name="20% - Accent6 4 6" xfId="6376"/>
    <cellStyle name="20% - Accent6 5" xfId="2385"/>
    <cellStyle name="20% - Accent6 5 2" xfId="4452"/>
    <cellStyle name="20% - Accent6 5 2 2" xfId="4780"/>
    <cellStyle name="20% - Accent6 5 2 2 2" xfId="5455"/>
    <cellStyle name="20% - Accent6 5 2 2 2 2" xfId="7774"/>
    <cellStyle name="20% - Accent6 5 2 2 3" xfId="6125"/>
    <cellStyle name="20% - Accent6 5 2 2 3 2" xfId="8444"/>
    <cellStyle name="20% - Accent6 5 2 2 4" xfId="7101"/>
    <cellStyle name="20% - Accent6 5 2 3" xfId="5123"/>
    <cellStyle name="20% - Accent6 5 2 3 2" xfId="7442"/>
    <cellStyle name="20% - Accent6 5 2 4" xfId="5789"/>
    <cellStyle name="20% - Accent6 5 2 4 2" xfId="8108"/>
    <cellStyle name="20% - Accent6 5 2 5" xfId="6773"/>
    <cellStyle name="20% - Accent6 5 3" xfId="4615"/>
    <cellStyle name="20% - Accent6 5 3 2" xfId="5289"/>
    <cellStyle name="20% - Accent6 5 3 2 2" xfId="7608"/>
    <cellStyle name="20% - Accent6 5 3 3" xfId="5957"/>
    <cellStyle name="20% - Accent6 5 3 3 2" xfId="8276"/>
    <cellStyle name="20% - Accent6 5 3 4" xfId="6936"/>
    <cellStyle name="20% - Accent6 5 4" xfId="4957"/>
    <cellStyle name="20% - Accent6 5 4 2" xfId="7276"/>
    <cellStyle name="20% - Accent6 5 5" xfId="5621"/>
    <cellStyle name="20% - Accent6 5 5 2" xfId="7940"/>
    <cellStyle name="20% - Accent6 5 6" xfId="6377"/>
    <cellStyle name="20% - Accent6 6" xfId="2386"/>
    <cellStyle name="20% - Accent6 6 2" xfId="4532"/>
    <cellStyle name="20% - Accent6 6 2 2" xfId="4861"/>
    <cellStyle name="20% - Accent6 6 2 2 2" xfId="5537"/>
    <cellStyle name="20% - Accent6 6 2 2 2 2" xfId="7856"/>
    <cellStyle name="20% - Accent6 6 2 2 3" xfId="6209"/>
    <cellStyle name="20% - Accent6 6 2 2 3 2" xfId="8528"/>
    <cellStyle name="20% - Accent6 6 2 2 4" xfId="7182"/>
    <cellStyle name="20% - Accent6 6 2 3" xfId="5205"/>
    <cellStyle name="20% - Accent6 6 2 3 2" xfId="7524"/>
    <cellStyle name="20% - Accent6 6 2 4" xfId="5873"/>
    <cellStyle name="20% - Accent6 6 2 4 2" xfId="8192"/>
    <cellStyle name="20% - Accent6 6 2 5" xfId="6853"/>
    <cellStyle name="20% - Accent6 6 3" xfId="4696"/>
    <cellStyle name="20% - Accent6 6 3 2" xfId="5371"/>
    <cellStyle name="20% - Accent6 6 3 2 2" xfId="7690"/>
    <cellStyle name="20% - Accent6 6 3 3" xfId="6041"/>
    <cellStyle name="20% - Accent6 6 3 3 2" xfId="8360"/>
    <cellStyle name="20% - Accent6 6 3 4" xfId="7017"/>
    <cellStyle name="20% - Accent6 6 4" xfId="5039"/>
    <cellStyle name="20% - Accent6 6 4 2" xfId="7358"/>
    <cellStyle name="20% - Accent6 6 5" xfId="5705"/>
    <cellStyle name="20% - Accent6 6 5 2" xfId="8024"/>
    <cellStyle name="20% - Accent6 6 6" xfId="6378"/>
    <cellStyle name="20% - Accent6 7" xfId="4417"/>
    <cellStyle name="20% - Accent6 7 2" xfId="4738"/>
    <cellStyle name="20% - Accent6 7 2 2" xfId="5413"/>
    <cellStyle name="20% - Accent6 7 2 2 2" xfId="7732"/>
    <cellStyle name="20% - Accent6 7 2 3" xfId="6083"/>
    <cellStyle name="20% - Accent6 7 2 3 2" xfId="8402"/>
    <cellStyle name="20% - Accent6 7 2 4" xfId="7059"/>
    <cellStyle name="20% - Accent6 7 3" xfId="5081"/>
    <cellStyle name="20% - Accent6 7 3 2" xfId="7400"/>
    <cellStyle name="20% - Accent6 7 4" xfId="5747"/>
    <cellStyle name="20% - Accent6 7 4 2" xfId="8066"/>
    <cellStyle name="20% - Accent6 7 5" xfId="6738"/>
    <cellStyle name="20% - Accent6 8" xfId="4573"/>
    <cellStyle name="20% - Accent6 8 2" xfId="5247"/>
    <cellStyle name="20% - Accent6 8 2 2" xfId="7566"/>
    <cellStyle name="20% - Accent6 8 3" xfId="5915"/>
    <cellStyle name="20% - Accent6 8 3 2" xfId="8234"/>
    <cellStyle name="20% - Accent6 8 4" xfId="6894"/>
    <cellStyle name="20% - Accent6 9" xfId="4903"/>
    <cellStyle name="20% - Accent6 9 2" xfId="7223"/>
    <cellStyle name="³f¹ô [0]_2311" xfId="4211"/>
    <cellStyle name="³f¹ô_2311" xfId="4212"/>
    <cellStyle name="40% - Accent1" xfId="1963" builtinId="31" customBuiltin="1"/>
    <cellStyle name="40% - Accent1 2" xfId="159"/>
    <cellStyle name="40% - Accent1 2 2" xfId="1492"/>
    <cellStyle name="40% - Accent1 2 3" xfId="1491"/>
    <cellStyle name="40% - Accent1 3" xfId="1493"/>
    <cellStyle name="40% - Accent1 3 2" xfId="2388"/>
    <cellStyle name="40% - Accent1 3 2 2" xfId="2389"/>
    <cellStyle name="40% - Accent1 3 2 2 2" xfId="4513"/>
    <cellStyle name="40% - Accent1 3 2 2 2 2" xfId="4842"/>
    <cellStyle name="40% - Accent1 3 2 2 2 2 2" xfId="5518"/>
    <cellStyle name="40% - Accent1 3 2 2 2 2 2 2" xfId="7837"/>
    <cellStyle name="40% - Accent1 3 2 2 2 2 3" xfId="6189"/>
    <cellStyle name="40% - Accent1 3 2 2 2 2 3 2" xfId="8508"/>
    <cellStyle name="40% - Accent1 3 2 2 2 2 4" xfId="7163"/>
    <cellStyle name="40% - Accent1 3 2 2 2 3" xfId="5186"/>
    <cellStyle name="40% - Accent1 3 2 2 2 3 2" xfId="7505"/>
    <cellStyle name="40% - Accent1 3 2 2 2 4" xfId="5853"/>
    <cellStyle name="40% - Accent1 3 2 2 2 4 2" xfId="8172"/>
    <cellStyle name="40% - Accent1 3 2 2 2 5" xfId="6834"/>
    <cellStyle name="40% - Accent1 3 2 2 3" xfId="4677"/>
    <cellStyle name="40% - Accent1 3 2 2 3 2" xfId="5352"/>
    <cellStyle name="40% - Accent1 3 2 2 3 2 2" xfId="7671"/>
    <cellStyle name="40% - Accent1 3 2 2 3 3" xfId="6021"/>
    <cellStyle name="40% - Accent1 3 2 2 3 3 2" xfId="8340"/>
    <cellStyle name="40% - Accent1 3 2 2 3 4" xfId="6998"/>
    <cellStyle name="40% - Accent1 3 2 2 4" xfId="5020"/>
    <cellStyle name="40% - Accent1 3 2 2 4 2" xfId="7339"/>
    <cellStyle name="40% - Accent1 3 2 2 5" xfId="5685"/>
    <cellStyle name="40% - Accent1 3 2 2 5 2" xfId="8004"/>
    <cellStyle name="40% - Accent1 3 2 2 6" xfId="6381"/>
    <cellStyle name="40% - Accent1 3 2 3" xfId="2390"/>
    <cellStyle name="40% - Accent1 3 2 3 2" xfId="4473"/>
    <cellStyle name="40% - Accent1 3 2 3 2 2" xfId="4802"/>
    <cellStyle name="40% - Accent1 3 2 3 2 2 2" xfId="5477"/>
    <cellStyle name="40% - Accent1 3 2 3 2 2 2 2" xfId="7796"/>
    <cellStyle name="40% - Accent1 3 2 3 2 2 3" xfId="6147"/>
    <cellStyle name="40% - Accent1 3 2 3 2 2 3 2" xfId="8466"/>
    <cellStyle name="40% - Accent1 3 2 3 2 2 4" xfId="7123"/>
    <cellStyle name="40% - Accent1 3 2 3 2 3" xfId="5145"/>
    <cellStyle name="40% - Accent1 3 2 3 2 3 2" xfId="7464"/>
    <cellStyle name="40% - Accent1 3 2 3 2 4" xfId="5811"/>
    <cellStyle name="40% - Accent1 3 2 3 2 4 2" xfId="8130"/>
    <cellStyle name="40% - Accent1 3 2 3 2 5" xfId="6794"/>
    <cellStyle name="40% - Accent1 3 2 3 3" xfId="4637"/>
    <cellStyle name="40% - Accent1 3 2 3 3 2" xfId="5311"/>
    <cellStyle name="40% - Accent1 3 2 3 3 2 2" xfId="7630"/>
    <cellStyle name="40% - Accent1 3 2 3 3 3" xfId="5979"/>
    <cellStyle name="40% - Accent1 3 2 3 3 3 2" xfId="8298"/>
    <cellStyle name="40% - Accent1 3 2 3 3 4" xfId="6958"/>
    <cellStyle name="40% - Accent1 3 2 3 4" xfId="4979"/>
    <cellStyle name="40% - Accent1 3 2 3 4 2" xfId="7298"/>
    <cellStyle name="40% - Accent1 3 2 3 5" xfId="5643"/>
    <cellStyle name="40% - Accent1 3 2 3 5 2" xfId="7962"/>
    <cellStyle name="40% - Accent1 3 2 3 6" xfId="6382"/>
    <cellStyle name="40% - Accent1 3 2 4" xfId="4401"/>
    <cellStyle name="40% - Accent1 3 2 4 2" xfId="4554"/>
    <cellStyle name="40% - Accent1 3 2 4 2 2" xfId="4883"/>
    <cellStyle name="40% - Accent1 3 2 4 2 2 2" xfId="5559"/>
    <cellStyle name="40% - Accent1 3 2 4 2 2 2 2" xfId="7878"/>
    <cellStyle name="40% - Accent1 3 2 4 2 2 3" xfId="6231"/>
    <cellStyle name="40% - Accent1 3 2 4 2 2 3 2" xfId="8550"/>
    <cellStyle name="40% - Accent1 3 2 4 2 2 4" xfId="7204"/>
    <cellStyle name="40% - Accent1 3 2 4 2 3" xfId="5227"/>
    <cellStyle name="40% - Accent1 3 2 4 2 3 2" xfId="7546"/>
    <cellStyle name="40% - Accent1 3 2 4 2 4" xfId="5895"/>
    <cellStyle name="40% - Accent1 3 2 4 2 4 2" xfId="8214"/>
    <cellStyle name="40% - Accent1 3 2 4 2 5" xfId="6875"/>
    <cellStyle name="40% - Accent1 3 2 4 3" xfId="4718"/>
    <cellStyle name="40% - Accent1 3 2 4 3 2" xfId="5393"/>
    <cellStyle name="40% - Accent1 3 2 4 3 2 2" xfId="7712"/>
    <cellStyle name="40% - Accent1 3 2 4 3 3" xfId="6063"/>
    <cellStyle name="40% - Accent1 3 2 4 3 3 2" xfId="8382"/>
    <cellStyle name="40% - Accent1 3 2 4 3 4" xfId="7039"/>
    <cellStyle name="40% - Accent1 3 2 4 4" xfId="5061"/>
    <cellStyle name="40% - Accent1 3 2 4 4 2" xfId="7380"/>
    <cellStyle name="40% - Accent1 3 2 4 5" xfId="5727"/>
    <cellStyle name="40% - Accent1 3 2 4 5 2" xfId="8046"/>
    <cellStyle name="40% - Accent1 3 2 4 6" xfId="6722"/>
    <cellStyle name="40% - Accent1 3 2 5" xfId="4433"/>
    <cellStyle name="40% - Accent1 3 2 5 2" xfId="4760"/>
    <cellStyle name="40% - Accent1 3 2 5 2 2" xfId="5435"/>
    <cellStyle name="40% - Accent1 3 2 5 2 2 2" xfId="7754"/>
    <cellStyle name="40% - Accent1 3 2 5 2 3" xfId="6105"/>
    <cellStyle name="40% - Accent1 3 2 5 2 3 2" xfId="8424"/>
    <cellStyle name="40% - Accent1 3 2 5 2 4" xfId="7081"/>
    <cellStyle name="40% - Accent1 3 2 5 3" xfId="5103"/>
    <cellStyle name="40% - Accent1 3 2 5 3 2" xfId="7422"/>
    <cellStyle name="40% - Accent1 3 2 5 4" xfId="5769"/>
    <cellStyle name="40% - Accent1 3 2 5 4 2" xfId="8088"/>
    <cellStyle name="40% - Accent1 3 2 5 5" xfId="6754"/>
    <cellStyle name="40% - Accent1 3 2 6" xfId="4595"/>
    <cellStyle name="40% - Accent1 3 2 6 2" xfId="5269"/>
    <cellStyle name="40% - Accent1 3 2 6 2 2" xfId="7588"/>
    <cellStyle name="40% - Accent1 3 2 6 3" xfId="5937"/>
    <cellStyle name="40% - Accent1 3 2 6 3 2" xfId="8256"/>
    <cellStyle name="40% - Accent1 3 2 6 4" xfId="6916"/>
    <cellStyle name="40% - Accent1 3 2 7" xfId="4937"/>
    <cellStyle name="40% - Accent1 3 2 7 2" xfId="7256"/>
    <cellStyle name="40% - Accent1 3 2 8" xfId="5601"/>
    <cellStyle name="40% - Accent1 3 2 8 2" xfId="7920"/>
    <cellStyle name="40% - Accent1 3 2 9" xfId="6380"/>
    <cellStyle name="40% - Accent1 3 3" xfId="2391"/>
    <cellStyle name="40% - Accent1 3 3 2" xfId="4493"/>
    <cellStyle name="40% - Accent1 3 3 2 2" xfId="4822"/>
    <cellStyle name="40% - Accent1 3 3 2 2 2" xfId="5498"/>
    <cellStyle name="40% - Accent1 3 3 2 2 2 2" xfId="7817"/>
    <cellStyle name="40% - Accent1 3 3 2 2 3" xfId="6168"/>
    <cellStyle name="40% - Accent1 3 3 2 2 3 2" xfId="8487"/>
    <cellStyle name="40% - Accent1 3 3 2 2 4" xfId="7143"/>
    <cellStyle name="40% - Accent1 3 3 2 3" xfId="5166"/>
    <cellStyle name="40% - Accent1 3 3 2 3 2" xfId="7485"/>
    <cellStyle name="40% - Accent1 3 3 2 4" xfId="5832"/>
    <cellStyle name="40% - Accent1 3 3 2 4 2" xfId="8151"/>
    <cellStyle name="40% - Accent1 3 3 2 5" xfId="6814"/>
    <cellStyle name="40% - Accent1 3 3 3" xfId="4657"/>
    <cellStyle name="40% - Accent1 3 3 3 2" xfId="5332"/>
    <cellStyle name="40% - Accent1 3 3 3 2 2" xfId="7651"/>
    <cellStyle name="40% - Accent1 3 3 3 3" xfId="6000"/>
    <cellStyle name="40% - Accent1 3 3 3 3 2" xfId="8319"/>
    <cellStyle name="40% - Accent1 3 3 3 4" xfId="6978"/>
    <cellStyle name="40% - Accent1 3 3 4" xfId="5000"/>
    <cellStyle name="40% - Accent1 3 3 4 2" xfId="7319"/>
    <cellStyle name="40% - Accent1 3 3 5" xfId="5664"/>
    <cellStyle name="40% - Accent1 3 3 5 2" xfId="7983"/>
    <cellStyle name="40% - Accent1 3 3 6" xfId="6383"/>
    <cellStyle name="40% - Accent1 3 4" xfId="2392"/>
    <cellStyle name="40% - Accent1 3 4 2" xfId="4453"/>
    <cellStyle name="40% - Accent1 3 4 2 2" xfId="4781"/>
    <cellStyle name="40% - Accent1 3 4 2 2 2" xfId="5456"/>
    <cellStyle name="40% - Accent1 3 4 2 2 2 2" xfId="7775"/>
    <cellStyle name="40% - Accent1 3 4 2 2 3" xfId="6126"/>
    <cellStyle name="40% - Accent1 3 4 2 2 3 2" xfId="8445"/>
    <cellStyle name="40% - Accent1 3 4 2 2 4" xfId="7102"/>
    <cellStyle name="40% - Accent1 3 4 2 3" xfId="5124"/>
    <cellStyle name="40% - Accent1 3 4 2 3 2" xfId="7443"/>
    <cellStyle name="40% - Accent1 3 4 2 4" xfId="5790"/>
    <cellStyle name="40% - Accent1 3 4 2 4 2" xfId="8109"/>
    <cellStyle name="40% - Accent1 3 4 2 5" xfId="6774"/>
    <cellStyle name="40% - Accent1 3 4 3" xfId="4616"/>
    <cellStyle name="40% - Accent1 3 4 3 2" xfId="5290"/>
    <cellStyle name="40% - Accent1 3 4 3 2 2" xfId="7609"/>
    <cellStyle name="40% - Accent1 3 4 3 3" xfId="5958"/>
    <cellStyle name="40% - Accent1 3 4 3 3 2" xfId="8277"/>
    <cellStyle name="40% - Accent1 3 4 3 4" xfId="6937"/>
    <cellStyle name="40% - Accent1 3 4 4" xfId="4958"/>
    <cellStyle name="40% - Accent1 3 4 4 2" xfId="7277"/>
    <cellStyle name="40% - Accent1 3 4 5" xfId="5622"/>
    <cellStyle name="40% - Accent1 3 4 5 2" xfId="7941"/>
    <cellStyle name="40% - Accent1 3 4 6" xfId="6384"/>
    <cellStyle name="40% - Accent1 3 5" xfId="2393"/>
    <cellStyle name="40% - Accent1 3 5 2" xfId="4533"/>
    <cellStyle name="40% - Accent1 3 5 2 2" xfId="4862"/>
    <cellStyle name="40% - Accent1 3 5 2 2 2" xfId="5538"/>
    <cellStyle name="40% - Accent1 3 5 2 2 2 2" xfId="7857"/>
    <cellStyle name="40% - Accent1 3 5 2 2 3" xfId="6210"/>
    <cellStyle name="40% - Accent1 3 5 2 2 3 2" xfId="8529"/>
    <cellStyle name="40% - Accent1 3 5 2 2 4" xfId="7183"/>
    <cellStyle name="40% - Accent1 3 5 2 3" xfId="5206"/>
    <cellStyle name="40% - Accent1 3 5 2 3 2" xfId="7525"/>
    <cellStyle name="40% - Accent1 3 5 2 4" xfId="5874"/>
    <cellStyle name="40% - Accent1 3 5 2 4 2" xfId="8193"/>
    <cellStyle name="40% - Accent1 3 5 2 5" xfId="6854"/>
    <cellStyle name="40% - Accent1 3 5 3" xfId="4697"/>
    <cellStyle name="40% - Accent1 3 5 3 2" xfId="5372"/>
    <cellStyle name="40% - Accent1 3 5 3 2 2" xfId="7691"/>
    <cellStyle name="40% - Accent1 3 5 3 3" xfId="6042"/>
    <cellStyle name="40% - Accent1 3 5 3 3 2" xfId="8361"/>
    <cellStyle name="40% - Accent1 3 5 3 4" xfId="7018"/>
    <cellStyle name="40% - Accent1 3 5 4" xfId="5040"/>
    <cellStyle name="40% - Accent1 3 5 4 2" xfId="7359"/>
    <cellStyle name="40% - Accent1 3 5 5" xfId="5706"/>
    <cellStyle name="40% - Accent1 3 5 5 2" xfId="8025"/>
    <cellStyle name="40% - Accent1 3 5 6" xfId="4386"/>
    <cellStyle name="40% - Accent1 3 5 6 2" xfId="6707"/>
    <cellStyle name="40% - Accent1 3 6" xfId="2387"/>
    <cellStyle name="40% - Accent1 3 6 2" xfId="4739"/>
    <cellStyle name="40% - Accent1 3 6 2 2" xfId="5414"/>
    <cellStyle name="40% - Accent1 3 6 2 2 2" xfId="7733"/>
    <cellStyle name="40% - Accent1 3 6 2 3" xfId="6084"/>
    <cellStyle name="40% - Accent1 3 6 2 3 2" xfId="8403"/>
    <cellStyle name="40% - Accent1 3 6 2 4" xfId="7060"/>
    <cellStyle name="40% - Accent1 3 6 3" xfId="5082"/>
    <cellStyle name="40% - Accent1 3 6 3 2" xfId="7401"/>
    <cellStyle name="40% - Accent1 3 6 4" xfId="5748"/>
    <cellStyle name="40% - Accent1 3 6 4 2" xfId="8067"/>
    <cellStyle name="40% - Accent1 3 6 5" xfId="6379"/>
    <cellStyle name="40% - Accent1 3 7" xfId="4574"/>
    <cellStyle name="40% - Accent1 3 7 2" xfId="5248"/>
    <cellStyle name="40% - Accent1 3 7 2 2" xfId="7567"/>
    <cellStyle name="40% - Accent1 3 7 3" xfId="5916"/>
    <cellStyle name="40% - Accent1 3 7 3 2" xfId="8235"/>
    <cellStyle name="40% - Accent1 3 7 4" xfId="6895"/>
    <cellStyle name="40% - Accent1 3 8" xfId="4916"/>
    <cellStyle name="40% - Accent1 3 8 2" xfId="7235"/>
    <cellStyle name="40% - Accent1 3 9" xfId="5580"/>
    <cellStyle name="40% - Accent1 3 9 2" xfId="7899"/>
    <cellStyle name="40% - Accent1 4" xfId="6332"/>
    <cellStyle name="40% - Accent2" xfId="1967" builtinId="35" customBuiltin="1"/>
    <cellStyle name="40% - Accent2 2" xfId="160"/>
    <cellStyle name="40% - Accent2 2 2" xfId="2394"/>
    <cellStyle name="40% - Accent2 3" xfId="2395"/>
    <cellStyle name="40% - Accent2 3 10" xfId="6385"/>
    <cellStyle name="40% - Accent2 3 2" xfId="2396"/>
    <cellStyle name="40% - Accent2 3 2 2" xfId="2397"/>
    <cellStyle name="40% - Accent2 3 2 2 2" xfId="4514"/>
    <cellStyle name="40% - Accent2 3 2 2 2 2" xfId="4843"/>
    <cellStyle name="40% - Accent2 3 2 2 2 2 2" xfId="5519"/>
    <cellStyle name="40% - Accent2 3 2 2 2 2 2 2" xfId="7838"/>
    <cellStyle name="40% - Accent2 3 2 2 2 2 3" xfId="6190"/>
    <cellStyle name="40% - Accent2 3 2 2 2 2 3 2" xfId="8509"/>
    <cellStyle name="40% - Accent2 3 2 2 2 2 4" xfId="7164"/>
    <cellStyle name="40% - Accent2 3 2 2 2 3" xfId="5187"/>
    <cellStyle name="40% - Accent2 3 2 2 2 3 2" xfId="7506"/>
    <cellStyle name="40% - Accent2 3 2 2 2 4" xfId="5854"/>
    <cellStyle name="40% - Accent2 3 2 2 2 4 2" xfId="8173"/>
    <cellStyle name="40% - Accent2 3 2 2 2 5" xfId="6835"/>
    <cellStyle name="40% - Accent2 3 2 2 3" xfId="4678"/>
    <cellStyle name="40% - Accent2 3 2 2 3 2" xfId="5353"/>
    <cellStyle name="40% - Accent2 3 2 2 3 2 2" xfId="7672"/>
    <cellStyle name="40% - Accent2 3 2 2 3 3" xfId="6022"/>
    <cellStyle name="40% - Accent2 3 2 2 3 3 2" xfId="8341"/>
    <cellStyle name="40% - Accent2 3 2 2 3 4" xfId="6999"/>
    <cellStyle name="40% - Accent2 3 2 2 4" xfId="5021"/>
    <cellStyle name="40% - Accent2 3 2 2 4 2" xfId="7340"/>
    <cellStyle name="40% - Accent2 3 2 2 5" xfId="5686"/>
    <cellStyle name="40% - Accent2 3 2 2 5 2" xfId="8005"/>
    <cellStyle name="40% - Accent2 3 2 2 6" xfId="6387"/>
    <cellStyle name="40% - Accent2 3 2 3" xfId="2398"/>
    <cellStyle name="40% - Accent2 3 2 3 2" xfId="4474"/>
    <cellStyle name="40% - Accent2 3 2 3 2 2" xfId="4803"/>
    <cellStyle name="40% - Accent2 3 2 3 2 2 2" xfId="5478"/>
    <cellStyle name="40% - Accent2 3 2 3 2 2 2 2" xfId="7797"/>
    <cellStyle name="40% - Accent2 3 2 3 2 2 3" xfId="6148"/>
    <cellStyle name="40% - Accent2 3 2 3 2 2 3 2" xfId="8467"/>
    <cellStyle name="40% - Accent2 3 2 3 2 2 4" xfId="7124"/>
    <cellStyle name="40% - Accent2 3 2 3 2 3" xfId="5146"/>
    <cellStyle name="40% - Accent2 3 2 3 2 3 2" xfId="7465"/>
    <cellStyle name="40% - Accent2 3 2 3 2 4" xfId="5812"/>
    <cellStyle name="40% - Accent2 3 2 3 2 4 2" xfId="8131"/>
    <cellStyle name="40% - Accent2 3 2 3 2 5" xfId="6795"/>
    <cellStyle name="40% - Accent2 3 2 3 3" xfId="4638"/>
    <cellStyle name="40% - Accent2 3 2 3 3 2" xfId="5312"/>
    <cellStyle name="40% - Accent2 3 2 3 3 2 2" xfId="7631"/>
    <cellStyle name="40% - Accent2 3 2 3 3 3" xfId="5980"/>
    <cellStyle name="40% - Accent2 3 2 3 3 3 2" xfId="8299"/>
    <cellStyle name="40% - Accent2 3 2 3 3 4" xfId="6959"/>
    <cellStyle name="40% - Accent2 3 2 3 4" xfId="4980"/>
    <cellStyle name="40% - Accent2 3 2 3 4 2" xfId="7299"/>
    <cellStyle name="40% - Accent2 3 2 3 5" xfId="5644"/>
    <cellStyle name="40% - Accent2 3 2 3 5 2" xfId="7963"/>
    <cellStyle name="40% - Accent2 3 2 3 6" xfId="6388"/>
    <cellStyle name="40% - Accent2 3 2 4" xfId="4402"/>
    <cellStyle name="40% - Accent2 3 2 4 2" xfId="4555"/>
    <cellStyle name="40% - Accent2 3 2 4 2 2" xfId="4884"/>
    <cellStyle name="40% - Accent2 3 2 4 2 2 2" xfId="5560"/>
    <cellStyle name="40% - Accent2 3 2 4 2 2 2 2" xfId="7879"/>
    <cellStyle name="40% - Accent2 3 2 4 2 2 3" xfId="6232"/>
    <cellStyle name="40% - Accent2 3 2 4 2 2 3 2" xfId="8551"/>
    <cellStyle name="40% - Accent2 3 2 4 2 2 4" xfId="7205"/>
    <cellStyle name="40% - Accent2 3 2 4 2 3" xfId="5228"/>
    <cellStyle name="40% - Accent2 3 2 4 2 3 2" xfId="7547"/>
    <cellStyle name="40% - Accent2 3 2 4 2 4" xfId="5896"/>
    <cellStyle name="40% - Accent2 3 2 4 2 4 2" xfId="8215"/>
    <cellStyle name="40% - Accent2 3 2 4 2 5" xfId="6876"/>
    <cellStyle name="40% - Accent2 3 2 4 3" xfId="4719"/>
    <cellStyle name="40% - Accent2 3 2 4 3 2" xfId="5394"/>
    <cellStyle name="40% - Accent2 3 2 4 3 2 2" xfId="7713"/>
    <cellStyle name="40% - Accent2 3 2 4 3 3" xfId="6064"/>
    <cellStyle name="40% - Accent2 3 2 4 3 3 2" xfId="8383"/>
    <cellStyle name="40% - Accent2 3 2 4 3 4" xfId="7040"/>
    <cellStyle name="40% - Accent2 3 2 4 4" xfId="5062"/>
    <cellStyle name="40% - Accent2 3 2 4 4 2" xfId="7381"/>
    <cellStyle name="40% - Accent2 3 2 4 5" xfId="5728"/>
    <cellStyle name="40% - Accent2 3 2 4 5 2" xfId="8047"/>
    <cellStyle name="40% - Accent2 3 2 4 6" xfId="6723"/>
    <cellStyle name="40% - Accent2 3 2 5" xfId="4434"/>
    <cellStyle name="40% - Accent2 3 2 5 2" xfId="4761"/>
    <cellStyle name="40% - Accent2 3 2 5 2 2" xfId="5436"/>
    <cellStyle name="40% - Accent2 3 2 5 2 2 2" xfId="7755"/>
    <cellStyle name="40% - Accent2 3 2 5 2 3" xfId="6106"/>
    <cellStyle name="40% - Accent2 3 2 5 2 3 2" xfId="8425"/>
    <cellStyle name="40% - Accent2 3 2 5 2 4" xfId="7082"/>
    <cellStyle name="40% - Accent2 3 2 5 3" xfId="5104"/>
    <cellStyle name="40% - Accent2 3 2 5 3 2" xfId="7423"/>
    <cellStyle name="40% - Accent2 3 2 5 4" xfId="5770"/>
    <cellStyle name="40% - Accent2 3 2 5 4 2" xfId="8089"/>
    <cellStyle name="40% - Accent2 3 2 5 5" xfId="6755"/>
    <cellStyle name="40% - Accent2 3 2 6" xfId="4596"/>
    <cellStyle name="40% - Accent2 3 2 6 2" xfId="5270"/>
    <cellStyle name="40% - Accent2 3 2 6 2 2" xfId="7589"/>
    <cellStyle name="40% - Accent2 3 2 6 3" xfId="5938"/>
    <cellStyle name="40% - Accent2 3 2 6 3 2" xfId="8257"/>
    <cellStyle name="40% - Accent2 3 2 6 4" xfId="6917"/>
    <cellStyle name="40% - Accent2 3 2 7" xfId="4938"/>
    <cellStyle name="40% - Accent2 3 2 7 2" xfId="7257"/>
    <cellStyle name="40% - Accent2 3 2 8" xfId="5602"/>
    <cellStyle name="40% - Accent2 3 2 8 2" xfId="7921"/>
    <cellStyle name="40% - Accent2 3 2 9" xfId="6386"/>
    <cellStyle name="40% - Accent2 3 3" xfId="2399"/>
    <cellStyle name="40% - Accent2 3 3 2" xfId="4494"/>
    <cellStyle name="40% - Accent2 3 3 2 2" xfId="4823"/>
    <cellStyle name="40% - Accent2 3 3 2 2 2" xfId="5499"/>
    <cellStyle name="40% - Accent2 3 3 2 2 2 2" xfId="7818"/>
    <cellStyle name="40% - Accent2 3 3 2 2 3" xfId="6169"/>
    <cellStyle name="40% - Accent2 3 3 2 2 3 2" xfId="8488"/>
    <cellStyle name="40% - Accent2 3 3 2 2 4" xfId="7144"/>
    <cellStyle name="40% - Accent2 3 3 2 3" xfId="5167"/>
    <cellStyle name="40% - Accent2 3 3 2 3 2" xfId="7486"/>
    <cellStyle name="40% - Accent2 3 3 2 4" xfId="5833"/>
    <cellStyle name="40% - Accent2 3 3 2 4 2" xfId="8152"/>
    <cellStyle name="40% - Accent2 3 3 2 5" xfId="6815"/>
    <cellStyle name="40% - Accent2 3 3 3" xfId="4658"/>
    <cellStyle name="40% - Accent2 3 3 3 2" xfId="5333"/>
    <cellStyle name="40% - Accent2 3 3 3 2 2" xfId="7652"/>
    <cellStyle name="40% - Accent2 3 3 3 3" xfId="6001"/>
    <cellStyle name="40% - Accent2 3 3 3 3 2" xfId="8320"/>
    <cellStyle name="40% - Accent2 3 3 3 4" xfId="6979"/>
    <cellStyle name="40% - Accent2 3 3 4" xfId="5001"/>
    <cellStyle name="40% - Accent2 3 3 4 2" xfId="7320"/>
    <cellStyle name="40% - Accent2 3 3 5" xfId="5665"/>
    <cellStyle name="40% - Accent2 3 3 5 2" xfId="7984"/>
    <cellStyle name="40% - Accent2 3 3 6" xfId="6389"/>
    <cellStyle name="40% - Accent2 3 4" xfId="2400"/>
    <cellStyle name="40% - Accent2 3 4 2" xfId="4454"/>
    <cellStyle name="40% - Accent2 3 4 2 2" xfId="4782"/>
    <cellStyle name="40% - Accent2 3 4 2 2 2" xfId="5457"/>
    <cellStyle name="40% - Accent2 3 4 2 2 2 2" xfId="7776"/>
    <cellStyle name="40% - Accent2 3 4 2 2 3" xfId="6127"/>
    <cellStyle name="40% - Accent2 3 4 2 2 3 2" xfId="8446"/>
    <cellStyle name="40% - Accent2 3 4 2 2 4" xfId="7103"/>
    <cellStyle name="40% - Accent2 3 4 2 3" xfId="5125"/>
    <cellStyle name="40% - Accent2 3 4 2 3 2" xfId="7444"/>
    <cellStyle name="40% - Accent2 3 4 2 4" xfId="5791"/>
    <cellStyle name="40% - Accent2 3 4 2 4 2" xfId="8110"/>
    <cellStyle name="40% - Accent2 3 4 2 5" xfId="6775"/>
    <cellStyle name="40% - Accent2 3 4 3" xfId="4617"/>
    <cellStyle name="40% - Accent2 3 4 3 2" xfId="5291"/>
    <cellStyle name="40% - Accent2 3 4 3 2 2" xfId="7610"/>
    <cellStyle name="40% - Accent2 3 4 3 3" xfId="5959"/>
    <cellStyle name="40% - Accent2 3 4 3 3 2" xfId="8278"/>
    <cellStyle name="40% - Accent2 3 4 3 4" xfId="6938"/>
    <cellStyle name="40% - Accent2 3 4 4" xfId="4959"/>
    <cellStyle name="40% - Accent2 3 4 4 2" xfId="7278"/>
    <cellStyle name="40% - Accent2 3 4 5" xfId="5623"/>
    <cellStyle name="40% - Accent2 3 4 5 2" xfId="7942"/>
    <cellStyle name="40% - Accent2 3 4 6" xfId="6390"/>
    <cellStyle name="40% - Accent2 3 5" xfId="2401"/>
    <cellStyle name="40% - Accent2 3 5 2" xfId="4534"/>
    <cellStyle name="40% - Accent2 3 5 2 2" xfId="4863"/>
    <cellStyle name="40% - Accent2 3 5 2 2 2" xfId="5539"/>
    <cellStyle name="40% - Accent2 3 5 2 2 2 2" xfId="7858"/>
    <cellStyle name="40% - Accent2 3 5 2 2 3" xfId="6211"/>
    <cellStyle name="40% - Accent2 3 5 2 2 3 2" xfId="8530"/>
    <cellStyle name="40% - Accent2 3 5 2 2 4" xfId="7184"/>
    <cellStyle name="40% - Accent2 3 5 2 3" xfId="5207"/>
    <cellStyle name="40% - Accent2 3 5 2 3 2" xfId="7526"/>
    <cellStyle name="40% - Accent2 3 5 2 4" xfId="5875"/>
    <cellStyle name="40% - Accent2 3 5 2 4 2" xfId="8194"/>
    <cellStyle name="40% - Accent2 3 5 2 5" xfId="6855"/>
    <cellStyle name="40% - Accent2 3 5 3" xfId="4698"/>
    <cellStyle name="40% - Accent2 3 5 3 2" xfId="5373"/>
    <cellStyle name="40% - Accent2 3 5 3 2 2" xfId="7692"/>
    <cellStyle name="40% - Accent2 3 5 3 3" xfId="6043"/>
    <cellStyle name="40% - Accent2 3 5 3 3 2" xfId="8362"/>
    <cellStyle name="40% - Accent2 3 5 3 4" xfId="7019"/>
    <cellStyle name="40% - Accent2 3 5 4" xfId="5041"/>
    <cellStyle name="40% - Accent2 3 5 4 2" xfId="7360"/>
    <cellStyle name="40% - Accent2 3 5 5" xfId="5707"/>
    <cellStyle name="40% - Accent2 3 5 5 2" xfId="8026"/>
    <cellStyle name="40% - Accent2 3 5 6" xfId="4387"/>
    <cellStyle name="40% - Accent2 3 5 6 2" xfId="6708"/>
    <cellStyle name="40% - Accent2 3 6" xfId="4418"/>
    <cellStyle name="40% - Accent2 3 6 2" xfId="4740"/>
    <cellStyle name="40% - Accent2 3 6 2 2" xfId="5415"/>
    <cellStyle name="40% - Accent2 3 6 2 2 2" xfId="7734"/>
    <cellStyle name="40% - Accent2 3 6 2 3" xfId="6085"/>
    <cellStyle name="40% - Accent2 3 6 2 3 2" xfId="8404"/>
    <cellStyle name="40% - Accent2 3 6 2 4" xfId="7061"/>
    <cellStyle name="40% - Accent2 3 6 3" xfId="5083"/>
    <cellStyle name="40% - Accent2 3 6 3 2" xfId="7402"/>
    <cellStyle name="40% - Accent2 3 6 4" xfId="5749"/>
    <cellStyle name="40% - Accent2 3 6 4 2" xfId="8068"/>
    <cellStyle name="40% - Accent2 3 6 5" xfId="6739"/>
    <cellStyle name="40% - Accent2 3 7" xfId="4575"/>
    <cellStyle name="40% - Accent2 3 7 2" xfId="5249"/>
    <cellStyle name="40% - Accent2 3 7 2 2" xfId="7568"/>
    <cellStyle name="40% - Accent2 3 7 3" xfId="5917"/>
    <cellStyle name="40% - Accent2 3 7 3 2" xfId="8236"/>
    <cellStyle name="40% - Accent2 3 7 4" xfId="6896"/>
    <cellStyle name="40% - Accent2 3 8" xfId="4917"/>
    <cellStyle name="40% - Accent2 3 8 2" xfId="7236"/>
    <cellStyle name="40% - Accent2 3 9" xfId="5581"/>
    <cellStyle name="40% - Accent2 3 9 2" xfId="7900"/>
    <cellStyle name="40% - Accent2 4" xfId="6334"/>
    <cellStyle name="40% - Accent3" xfId="1971" builtinId="39" customBuiltin="1"/>
    <cellStyle name="40% - Accent3 2" xfId="161"/>
    <cellStyle name="40% - Accent3 2 2" xfId="2402"/>
    <cellStyle name="40% - Accent3 3" xfId="1494"/>
    <cellStyle name="40% - Accent3 3 2" xfId="2404"/>
    <cellStyle name="40% - Accent3 3 2 2" xfId="2405"/>
    <cellStyle name="40% - Accent3 3 2 2 2" xfId="4515"/>
    <cellStyle name="40% - Accent3 3 2 2 2 2" xfId="4844"/>
    <cellStyle name="40% - Accent3 3 2 2 2 2 2" xfId="5520"/>
    <cellStyle name="40% - Accent3 3 2 2 2 2 2 2" xfId="7839"/>
    <cellStyle name="40% - Accent3 3 2 2 2 2 3" xfId="6191"/>
    <cellStyle name="40% - Accent3 3 2 2 2 2 3 2" xfId="8510"/>
    <cellStyle name="40% - Accent3 3 2 2 2 2 4" xfId="7165"/>
    <cellStyle name="40% - Accent3 3 2 2 2 3" xfId="5188"/>
    <cellStyle name="40% - Accent3 3 2 2 2 3 2" xfId="7507"/>
    <cellStyle name="40% - Accent3 3 2 2 2 4" xfId="5855"/>
    <cellStyle name="40% - Accent3 3 2 2 2 4 2" xfId="8174"/>
    <cellStyle name="40% - Accent3 3 2 2 2 5" xfId="6836"/>
    <cellStyle name="40% - Accent3 3 2 2 3" xfId="4679"/>
    <cellStyle name="40% - Accent3 3 2 2 3 2" xfId="5354"/>
    <cellStyle name="40% - Accent3 3 2 2 3 2 2" xfId="7673"/>
    <cellStyle name="40% - Accent3 3 2 2 3 3" xfId="6023"/>
    <cellStyle name="40% - Accent3 3 2 2 3 3 2" xfId="8342"/>
    <cellStyle name="40% - Accent3 3 2 2 3 4" xfId="7000"/>
    <cellStyle name="40% - Accent3 3 2 2 4" xfId="5022"/>
    <cellStyle name="40% - Accent3 3 2 2 4 2" xfId="7341"/>
    <cellStyle name="40% - Accent3 3 2 2 5" xfId="5687"/>
    <cellStyle name="40% - Accent3 3 2 2 5 2" xfId="8006"/>
    <cellStyle name="40% - Accent3 3 2 2 6" xfId="6393"/>
    <cellStyle name="40% - Accent3 3 2 3" xfId="2406"/>
    <cellStyle name="40% - Accent3 3 2 3 2" xfId="4475"/>
    <cellStyle name="40% - Accent3 3 2 3 2 2" xfId="4804"/>
    <cellStyle name="40% - Accent3 3 2 3 2 2 2" xfId="5479"/>
    <cellStyle name="40% - Accent3 3 2 3 2 2 2 2" xfId="7798"/>
    <cellStyle name="40% - Accent3 3 2 3 2 2 3" xfId="6149"/>
    <cellStyle name="40% - Accent3 3 2 3 2 2 3 2" xfId="8468"/>
    <cellStyle name="40% - Accent3 3 2 3 2 2 4" xfId="7125"/>
    <cellStyle name="40% - Accent3 3 2 3 2 3" xfId="5147"/>
    <cellStyle name="40% - Accent3 3 2 3 2 3 2" xfId="7466"/>
    <cellStyle name="40% - Accent3 3 2 3 2 4" xfId="5813"/>
    <cellStyle name="40% - Accent3 3 2 3 2 4 2" xfId="8132"/>
    <cellStyle name="40% - Accent3 3 2 3 2 5" xfId="6796"/>
    <cellStyle name="40% - Accent3 3 2 3 3" xfId="4639"/>
    <cellStyle name="40% - Accent3 3 2 3 3 2" xfId="5313"/>
    <cellStyle name="40% - Accent3 3 2 3 3 2 2" xfId="7632"/>
    <cellStyle name="40% - Accent3 3 2 3 3 3" xfId="5981"/>
    <cellStyle name="40% - Accent3 3 2 3 3 3 2" xfId="8300"/>
    <cellStyle name="40% - Accent3 3 2 3 3 4" xfId="6960"/>
    <cellStyle name="40% - Accent3 3 2 3 4" xfId="4981"/>
    <cellStyle name="40% - Accent3 3 2 3 4 2" xfId="7300"/>
    <cellStyle name="40% - Accent3 3 2 3 5" xfId="5645"/>
    <cellStyle name="40% - Accent3 3 2 3 5 2" xfId="7964"/>
    <cellStyle name="40% - Accent3 3 2 3 6" xfId="6394"/>
    <cellStyle name="40% - Accent3 3 2 4" xfId="4403"/>
    <cellStyle name="40% - Accent3 3 2 4 2" xfId="4556"/>
    <cellStyle name="40% - Accent3 3 2 4 2 2" xfId="4885"/>
    <cellStyle name="40% - Accent3 3 2 4 2 2 2" xfId="5561"/>
    <cellStyle name="40% - Accent3 3 2 4 2 2 2 2" xfId="7880"/>
    <cellStyle name="40% - Accent3 3 2 4 2 2 3" xfId="6233"/>
    <cellStyle name="40% - Accent3 3 2 4 2 2 3 2" xfId="8552"/>
    <cellStyle name="40% - Accent3 3 2 4 2 2 4" xfId="7206"/>
    <cellStyle name="40% - Accent3 3 2 4 2 3" xfId="5229"/>
    <cellStyle name="40% - Accent3 3 2 4 2 3 2" xfId="7548"/>
    <cellStyle name="40% - Accent3 3 2 4 2 4" xfId="5897"/>
    <cellStyle name="40% - Accent3 3 2 4 2 4 2" xfId="8216"/>
    <cellStyle name="40% - Accent3 3 2 4 2 5" xfId="6877"/>
    <cellStyle name="40% - Accent3 3 2 4 3" xfId="4720"/>
    <cellStyle name="40% - Accent3 3 2 4 3 2" xfId="5395"/>
    <cellStyle name="40% - Accent3 3 2 4 3 2 2" xfId="7714"/>
    <cellStyle name="40% - Accent3 3 2 4 3 3" xfId="6065"/>
    <cellStyle name="40% - Accent3 3 2 4 3 3 2" xfId="8384"/>
    <cellStyle name="40% - Accent3 3 2 4 3 4" xfId="7041"/>
    <cellStyle name="40% - Accent3 3 2 4 4" xfId="5063"/>
    <cellStyle name="40% - Accent3 3 2 4 4 2" xfId="7382"/>
    <cellStyle name="40% - Accent3 3 2 4 5" xfId="5729"/>
    <cellStyle name="40% - Accent3 3 2 4 5 2" xfId="8048"/>
    <cellStyle name="40% - Accent3 3 2 4 6" xfId="6724"/>
    <cellStyle name="40% - Accent3 3 2 5" xfId="4435"/>
    <cellStyle name="40% - Accent3 3 2 5 2" xfId="4762"/>
    <cellStyle name="40% - Accent3 3 2 5 2 2" xfId="5437"/>
    <cellStyle name="40% - Accent3 3 2 5 2 2 2" xfId="7756"/>
    <cellStyle name="40% - Accent3 3 2 5 2 3" xfId="6107"/>
    <cellStyle name="40% - Accent3 3 2 5 2 3 2" xfId="8426"/>
    <cellStyle name="40% - Accent3 3 2 5 2 4" xfId="7083"/>
    <cellStyle name="40% - Accent3 3 2 5 3" xfId="5105"/>
    <cellStyle name="40% - Accent3 3 2 5 3 2" xfId="7424"/>
    <cellStyle name="40% - Accent3 3 2 5 4" xfId="5771"/>
    <cellStyle name="40% - Accent3 3 2 5 4 2" xfId="8090"/>
    <cellStyle name="40% - Accent3 3 2 5 5" xfId="6756"/>
    <cellStyle name="40% - Accent3 3 2 6" xfId="4597"/>
    <cellStyle name="40% - Accent3 3 2 6 2" xfId="5271"/>
    <cellStyle name="40% - Accent3 3 2 6 2 2" xfId="7590"/>
    <cellStyle name="40% - Accent3 3 2 6 3" xfId="5939"/>
    <cellStyle name="40% - Accent3 3 2 6 3 2" xfId="8258"/>
    <cellStyle name="40% - Accent3 3 2 6 4" xfId="6918"/>
    <cellStyle name="40% - Accent3 3 2 7" xfId="4939"/>
    <cellStyle name="40% - Accent3 3 2 7 2" xfId="7258"/>
    <cellStyle name="40% - Accent3 3 2 8" xfId="5603"/>
    <cellStyle name="40% - Accent3 3 2 8 2" xfId="7922"/>
    <cellStyle name="40% - Accent3 3 2 9" xfId="6392"/>
    <cellStyle name="40% - Accent3 3 3" xfId="2407"/>
    <cellStyle name="40% - Accent3 3 3 2" xfId="4495"/>
    <cellStyle name="40% - Accent3 3 3 2 2" xfId="4824"/>
    <cellStyle name="40% - Accent3 3 3 2 2 2" xfId="5500"/>
    <cellStyle name="40% - Accent3 3 3 2 2 2 2" xfId="7819"/>
    <cellStyle name="40% - Accent3 3 3 2 2 3" xfId="6170"/>
    <cellStyle name="40% - Accent3 3 3 2 2 3 2" xfId="8489"/>
    <cellStyle name="40% - Accent3 3 3 2 2 4" xfId="7145"/>
    <cellStyle name="40% - Accent3 3 3 2 3" xfId="5168"/>
    <cellStyle name="40% - Accent3 3 3 2 3 2" xfId="7487"/>
    <cellStyle name="40% - Accent3 3 3 2 4" xfId="5834"/>
    <cellStyle name="40% - Accent3 3 3 2 4 2" xfId="8153"/>
    <cellStyle name="40% - Accent3 3 3 2 5" xfId="6816"/>
    <cellStyle name="40% - Accent3 3 3 3" xfId="4659"/>
    <cellStyle name="40% - Accent3 3 3 3 2" xfId="5334"/>
    <cellStyle name="40% - Accent3 3 3 3 2 2" xfId="7653"/>
    <cellStyle name="40% - Accent3 3 3 3 3" xfId="6002"/>
    <cellStyle name="40% - Accent3 3 3 3 3 2" xfId="8321"/>
    <cellStyle name="40% - Accent3 3 3 3 4" xfId="6980"/>
    <cellStyle name="40% - Accent3 3 3 4" xfId="5002"/>
    <cellStyle name="40% - Accent3 3 3 4 2" xfId="7321"/>
    <cellStyle name="40% - Accent3 3 3 5" xfId="5666"/>
    <cellStyle name="40% - Accent3 3 3 5 2" xfId="7985"/>
    <cellStyle name="40% - Accent3 3 3 6" xfId="6395"/>
    <cellStyle name="40% - Accent3 3 4" xfId="2408"/>
    <cellStyle name="40% - Accent3 3 4 2" xfId="4455"/>
    <cellStyle name="40% - Accent3 3 4 2 2" xfId="4783"/>
    <cellStyle name="40% - Accent3 3 4 2 2 2" xfId="5458"/>
    <cellStyle name="40% - Accent3 3 4 2 2 2 2" xfId="7777"/>
    <cellStyle name="40% - Accent3 3 4 2 2 3" xfId="6128"/>
    <cellStyle name="40% - Accent3 3 4 2 2 3 2" xfId="8447"/>
    <cellStyle name="40% - Accent3 3 4 2 2 4" xfId="7104"/>
    <cellStyle name="40% - Accent3 3 4 2 3" xfId="5126"/>
    <cellStyle name="40% - Accent3 3 4 2 3 2" xfId="7445"/>
    <cellStyle name="40% - Accent3 3 4 2 4" xfId="5792"/>
    <cellStyle name="40% - Accent3 3 4 2 4 2" xfId="8111"/>
    <cellStyle name="40% - Accent3 3 4 2 5" xfId="6776"/>
    <cellStyle name="40% - Accent3 3 4 3" xfId="4618"/>
    <cellStyle name="40% - Accent3 3 4 3 2" xfId="5292"/>
    <cellStyle name="40% - Accent3 3 4 3 2 2" xfId="7611"/>
    <cellStyle name="40% - Accent3 3 4 3 3" xfId="5960"/>
    <cellStyle name="40% - Accent3 3 4 3 3 2" xfId="8279"/>
    <cellStyle name="40% - Accent3 3 4 3 4" xfId="6939"/>
    <cellStyle name="40% - Accent3 3 4 4" xfId="4960"/>
    <cellStyle name="40% - Accent3 3 4 4 2" xfId="7279"/>
    <cellStyle name="40% - Accent3 3 4 5" xfId="5624"/>
    <cellStyle name="40% - Accent3 3 4 5 2" xfId="7943"/>
    <cellStyle name="40% - Accent3 3 4 6" xfId="6396"/>
    <cellStyle name="40% - Accent3 3 5" xfId="2409"/>
    <cellStyle name="40% - Accent3 3 5 2" xfId="4535"/>
    <cellStyle name="40% - Accent3 3 5 2 2" xfId="4864"/>
    <cellStyle name="40% - Accent3 3 5 2 2 2" xfId="5540"/>
    <cellStyle name="40% - Accent3 3 5 2 2 2 2" xfId="7859"/>
    <cellStyle name="40% - Accent3 3 5 2 2 3" xfId="6212"/>
    <cellStyle name="40% - Accent3 3 5 2 2 3 2" xfId="8531"/>
    <cellStyle name="40% - Accent3 3 5 2 2 4" xfId="7185"/>
    <cellStyle name="40% - Accent3 3 5 2 3" xfId="5208"/>
    <cellStyle name="40% - Accent3 3 5 2 3 2" xfId="7527"/>
    <cellStyle name="40% - Accent3 3 5 2 4" xfId="5876"/>
    <cellStyle name="40% - Accent3 3 5 2 4 2" xfId="8195"/>
    <cellStyle name="40% - Accent3 3 5 2 5" xfId="6856"/>
    <cellStyle name="40% - Accent3 3 5 3" xfId="4699"/>
    <cellStyle name="40% - Accent3 3 5 3 2" xfId="5374"/>
    <cellStyle name="40% - Accent3 3 5 3 2 2" xfId="7693"/>
    <cellStyle name="40% - Accent3 3 5 3 3" xfId="6044"/>
    <cellStyle name="40% - Accent3 3 5 3 3 2" xfId="8363"/>
    <cellStyle name="40% - Accent3 3 5 3 4" xfId="7020"/>
    <cellStyle name="40% - Accent3 3 5 4" xfId="5042"/>
    <cellStyle name="40% - Accent3 3 5 4 2" xfId="7361"/>
    <cellStyle name="40% - Accent3 3 5 5" xfId="5708"/>
    <cellStyle name="40% - Accent3 3 5 5 2" xfId="8027"/>
    <cellStyle name="40% - Accent3 3 5 6" xfId="4388"/>
    <cellStyle name="40% - Accent3 3 5 6 2" xfId="6709"/>
    <cellStyle name="40% - Accent3 3 6" xfId="2403"/>
    <cellStyle name="40% - Accent3 3 6 2" xfId="4741"/>
    <cellStyle name="40% - Accent3 3 6 2 2" xfId="5416"/>
    <cellStyle name="40% - Accent3 3 6 2 2 2" xfId="7735"/>
    <cellStyle name="40% - Accent3 3 6 2 3" xfId="6086"/>
    <cellStyle name="40% - Accent3 3 6 2 3 2" xfId="8405"/>
    <cellStyle name="40% - Accent3 3 6 2 4" xfId="7062"/>
    <cellStyle name="40% - Accent3 3 6 3" xfId="5084"/>
    <cellStyle name="40% - Accent3 3 6 3 2" xfId="7403"/>
    <cellStyle name="40% - Accent3 3 6 4" xfId="5750"/>
    <cellStyle name="40% - Accent3 3 6 4 2" xfId="8069"/>
    <cellStyle name="40% - Accent3 3 6 5" xfId="6391"/>
    <cellStyle name="40% - Accent3 3 7" xfId="4576"/>
    <cellStyle name="40% - Accent3 3 7 2" xfId="5250"/>
    <cellStyle name="40% - Accent3 3 7 2 2" xfId="7569"/>
    <cellStyle name="40% - Accent3 3 7 3" xfId="5918"/>
    <cellStyle name="40% - Accent3 3 7 3 2" xfId="8237"/>
    <cellStyle name="40% - Accent3 3 7 4" xfId="6897"/>
    <cellStyle name="40% - Accent3 3 8" xfId="4918"/>
    <cellStyle name="40% - Accent3 3 8 2" xfId="7237"/>
    <cellStyle name="40% - Accent3 3 9" xfId="5582"/>
    <cellStyle name="40% - Accent3 3 9 2" xfId="7901"/>
    <cellStyle name="40% - Accent3 4" xfId="6336"/>
    <cellStyle name="40% - Accent4" xfId="1975" builtinId="43" customBuiltin="1"/>
    <cellStyle name="40% - Accent4 2" xfId="162"/>
    <cellStyle name="40% - Accent4 2 2" xfId="1496"/>
    <cellStyle name="40% - Accent4 2 3" xfId="1495"/>
    <cellStyle name="40% - Accent4 3" xfId="1497"/>
    <cellStyle name="40% - Accent4 3 2" xfId="2411"/>
    <cellStyle name="40% - Accent4 3 2 2" xfId="2412"/>
    <cellStyle name="40% - Accent4 3 2 2 2" xfId="4516"/>
    <cellStyle name="40% - Accent4 3 2 2 2 2" xfId="4845"/>
    <cellStyle name="40% - Accent4 3 2 2 2 2 2" xfId="5521"/>
    <cellStyle name="40% - Accent4 3 2 2 2 2 2 2" xfId="7840"/>
    <cellStyle name="40% - Accent4 3 2 2 2 2 3" xfId="6192"/>
    <cellStyle name="40% - Accent4 3 2 2 2 2 3 2" xfId="8511"/>
    <cellStyle name="40% - Accent4 3 2 2 2 2 4" xfId="7166"/>
    <cellStyle name="40% - Accent4 3 2 2 2 3" xfId="5189"/>
    <cellStyle name="40% - Accent4 3 2 2 2 3 2" xfId="7508"/>
    <cellStyle name="40% - Accent4 3 2 2 2 4" xfId="5856"/>
    <cellStyle name="40% - Accent4 3 2 2 2 4 2" xfId="8175"/>
    <cellStyle name="40% - Accent4 3 2 2 2 5" xfId="6837"/>
    <cellStyle name="40% - Accent4 3 2 2 3" xfId="4680"/>
    <cellStyle name="40% - Accent4 3 2 2 3 2" xfId="5355"/>
    <cellStyle name="40% - Accent4 3 2 2 3 2 2" xfId="7674"/>
    <cellStyle name="40% - Accent4 3 2 2 3 3" xfId="6024"/>
    <cellStyle name="40% - Accent4 3 2 2 3 3 2" xfId="8343"/>
    <cellStyle name="40% - Accent4 3 2 2 3 4" xfId="7001"/>
    <cellStyle name="40% - Accent4 3 2 2 4" xfId="5023"/>
    <cellStyle name="40% - Accent4 3 2 2 4 2" xfId="7342"/>
    <cellStyle name="40% - Accent4 3 2 2 5" xfId="5688"/>
    <cellStyle name="40% - Accent4 3 2 2 5 2" xfId="8007"/>
    <cellStyle name="40% - Accent4 3 2 2 6" xfId="6399"/>
    <cellStyle name="40% - Accent4 3 2 3" xfId="2413"/>
    <cellStyle name="40% - Accent4 3 2 3 2" xfId="4476"/>
    <cellStyle name="40% - Accent4 3 2 3 2 2" xfId="4805"/>
    <cellStyle name="40% - Accent4 3 2 3 2 2 2" xfId="5480"/>
    <cellStyle name="40% - Accent4 3 2 3 2 2 2 2" xfId="7799"/>
    <cellStyle name="40% - Accent4 3 2 3 2 2 3" xfId="6150"/>
    <cellStyle name="40% - Accent4 3 2 3 2 2 3 2" xfId="8469"/>
    <cellStyle name="40% - Accent4 3 2 3 2 2 4" xfId="7126"/>
    <cellStyle name="40% - Accent4 3 2 3 2 3" xfId="5148"/>
    <cellStyle name="40% - Accent4 3 2 3 2 3 2" xfId="7467"/>
    <cellStyle name="40% - Accent4 3 2 3 2 4" xfId="5814"/>
    <cellStyle name="40% - Accent4 3 2 3 2 4 2" xfId="8133"/>
    <cellStyle name="40% - Accent4 3 2 3 2 5" xfId="6797"/>
    <cellStyle name="40% - Accent4 3 2 3 3" xfId="4640"/>
    <cellStyle name="40% - Accent4 3 2 3 3 2" xfId="5314"/>
    <cellStyle name="40% - Accent4 3 2 3 3 2 2" xfId="7633"/>
    <cellStyle name="40% - Accent4 3 2 3 3 3" xfId="5982"/>
    <cellStyle name="40% - Accent4 3 2 3 3 3 2" xfId="8301"/>
    <cellStyle name="40% - Accent4 3 2 3 3 4" xfId="6961"/>
    <cellStyle name="40% - Accent4 3 2 3 4" xfId="4982"/>
    <cellStyle name="40% - Accent4 3 2 3 4 2" xfId="7301"/>
    <cellStyle name="40% - Accent4 3 2 3 5" xfId="5646"/>
    <cellStyle name="40% - Accent4 3 2 3 5 2" xfId="7965"/>
    <cellStyle name="40% - Accent4 3 2 3 6" xfId="6400"/>
    <cellStyle name="40% - Accent4 3 2 4" xfId="4404"/>
    <cellStyle name="40% - Accent4 3 2 4 2" xfId="4557"/>
    <cellStyle name="40% - Accent4 3 2 4 2 2" xfId="4886"/>
    <cellStyle name="40% - Accent4 3 2 4 2 2 2" xfId="5562"/>
    <cellStyle name="40% - Accent4 3 2 4 2 2 2 2" xfId="7881"/>
    <cellStyle name="40% - Accent4 3 2 4 2 2 3" xfId="6234"/>
    <cellStyle name="40% - Accent4 3 2 4 2 2 3 2" xfId="8553"/>
    <cellStyle name="40% - Accent4 3 2 4 2 2 4" xfId="7207"/>
    <cellStyle name="40% - Accent4 3 2 4 2 3" xfId="5230"/>
    <cellStyle name="40% - Accent4 3 2 4 2 3 2" xfId="7549"/>
    <cellStyle name="40% - Accent4 3 2 4 2 4" xfId="5898"/>
    <cellStyle name="40% - Accent4 3 2 4 2 4 2" xfId="8217"/>
    <cellStyle name="40% - Accent4 3 2 4 2 5" xfId="6878"/>
    <cellStyle name="40% - Accent4 3 2 4 3" xfId="4721"/>
    <cellStyle name="40% - Accent4 3 2 4 3 2" xfId="5396"/>
    <cellStyle name="40% - Accent4 3 2 4 3 2 2" xfId="7715"/>
    <cellStyle name="40% - Accent4 3 2 4 3 3" xfId="6066"/>
    <cellStyle name="40% - Accent4 3 2 4 3 3 2" xfId="8385"/>
    <cellStyle name="40% - Accent4 3 2 4 3 4" xfId="7042"/>
    <cellStyle name="40% - Accent4 3 2 4 4" xfId="5064"/>
    <cellStyle name="40% - Accent4 3 2 4 4 2" xfId="7383"/>
    <cellStyle name="40% - Accent4 3 2 4 5" xfId="5730"/>
    <cellStyle name="40% - Accent4 3 2 4 5 2" xfId="8049"/>
    <cellStyle name="40% - Accent4 3 2 4 6" xfId="6725"/>
    <cellStyle name="40% - Accent4 3 2 5" xfId="4436"/>
    <cellStyle name="40% - Accent4 3 2 5 2" xfId="4763"/>
    <cellStyle name="40% - Accent4 3 2 5 2 2" xfId="5438"/>
    <cellStyle name="40% - Accent4 3 2 5 2 2 2" xfId="7757"/>
    <cellStyle name="40% - Accent4 3 2 5 2 3" xfId="6108"/>
    <cellStyle name="40% - Accent4 3 2 5 2 3 2" xfId="8427"/>
    <cellStyle name="40% - Accent4 3 2 5 2 4" xfId="7084"/>
    <cellStyle name="40% - Accent4 3 2 5 3" xfId="5106"/>
    <cellStyle name="40% - Accent4 3 2 5 3 2" xfId="7425"/>
    <cellStyle name="40% - Accent4 3 2 5 4" xfId="5772"/>
    <cellStyle name="40% - Accent4 3 2 5 4 2" xfId="8091"/>
    <cellStyle name="40% - Accent4 3 2 5 5" xfId="6757"/>
    <cellStyle name="40% - Accent4 3 2 6" xfId="4598"/>
    <cellStyle name="40% - Accent4 3 2 6 2" xfId="5272"/>
    <cellStyle name="40% - Accent4 3 2 6 2 2" xfId="7591"/>
    <cellStyle name="40% - Accent4 3 2 6 3" xfId="5940"/>
    <cellStyle name="40% - Accent4 3 2 6 3 2" xfId="8259"/>
    <cellStyle name="40% - Accent4 3 2 6 4" xfId="6919"/>
    <cellStyle name="40% - Accent4 3 2 7" xfId="4940"/>
    <cellStyle name="40% - Accent4 3 2 7 2" xfId="7259"/>
    <cellStyle name="40% - Accent4 3 2 8" xfId="5604"/>
    <cellStyle name="40% - Accent4 3 2 8 2" xfId="7923"/>
    <cellStyle name="40% - Accent4 3 2 9" xfId="6398"/>
    <cellStyle name="40% - Accent4 3 3" xfId="2414"/>
    <cellStyle name="40% - Accent4 3 3 2" xfId="4496"/>
    <cellStyle name="40% - Accent4 3 3 2 2" xfId="4825"/>
    <cellStyle name="40% - Accent4 3 3 2 2 2" xfId="5501"/>
    <cellStyle name="40% - Accent4 3 3 2 2 2 2" xfId="7820"/>
    <cellStyle name="40% - Accent4 3 3 2 2 3" xfId="6171"/>
    <cellStyle name="40% - Accent4 3 3 2 2 3 2" xfId="8490"/>
    <cellStyle name="40% - Accent4 3 3 2 2 4" xfId="7146"/>
    <cellStyle name="40% - Accent4 3 3 2 3" xfId="5169"/>
    <cellStyle name="40% - Accent4 3 3 2 3 2" xfId="7488"/>
    <cellStyle name="40% - Accent4 3 3 2 4" xfId="5835"/>
    <cellStyle name="40% - Accent4 3 3 2 4 2" xfId="8154"/>
    <cellStyle name="40% - Accent4 3 3 2 5" xfId="6817"/>
    <cellStyle name="40% - Accent4 3 3 3" xfId="4660"/>
    <cellStyle name="40% - Accent4 3 3 3 2" xfId="5335"/>
    <cellStyle name="40% - Accent4 3 3 3 2 2" xfId="7654"/>
    <cellStyle name="40% - Accent4 3 3 3 3" xfId="6003"/>
    <cellStyle name="40% - Accent4 3 3 3 3 2" xfId="8322"/>
    <cellStyle name="40% - Accent4 3 3 3 4" xfId="6981"/>
    <cellStyle name="40% - Accent4 3 3 4" xfId="5003"/>
    <cellStyle name="40% - Accent4 3 3 4 2" xfId="7322"/>
    <cellStyle name="40% - Accent4 3 3 5" xfId="5667"/>
    <cellStyle name="40% - Accent4 3 3 5 2" xfId="7986"/>
    <cellStyle name="40% - Accent4 3 3 6" xfId="6401"/>
    <cellStyle name="40% - Accent4 3 4" xfId="2415"/>
    <cellStyle name="40% - Accent4 3 4 2" xfId="4456"/>
    <cellStyle name="40% - Accent4 3 4 2 2" xfId="4784"/>
    <cellStyle name="40% - Accent4 3 4 2 2 2" xfId="5459"/>
    <cellStyle name="40% - Accent4 3 4 2 2 2 2" xfId="7778"/>
    <cellStyle name="40% - Accent4 3 4 2 2 3" xfId="6129"/>
    <cellStyle name="40% - Accent4 3 4 2 2 3 2" xfId="8448"/>
    <cellStyle name="40% - Accent4 3 4 2 2 4" xfId="7105"/>
    <cellStyle name="40% - Accent4 3 4 2 3" xfId="5127"/>
    <cellStyle name="40% - Accent4 3 4 2 3 2" xfId="7446"/>
    <cellStyle name="40% - Accent4 3 4 2 4" xfId="5793"/>
    <cellStyle name="40% - Accent4 3 4 2 4 2" xfId="8112"/>
    <cellStyle name="40% - Accent4 3 4 2 5" xfId="6777"/>
    <cellStyle name="40% - Accent4 3 4 3" xfId="4619"/>
    <cellStyle name="40% - Accent4 3 4 3 2" xfId="5293"/>
    <cellStyle name="40% - Accent4 3 4 3 2 2" xfId="7612"/>
    <cellStyle name="40% - Accent4 3 4 3 3" xfId="5961"/>
    <cellStyle name="40% - Accent4 3 4 3 3 2" xfId="8280"/>
    <cellStyle name="40% - Accent4 3 4 3 4" xfId="6940"/>
    <cellStyle name="40% - Accent4 3 4 4" xfId="4961"/>
    <cellStyle name="40% - Accent4 3 4 4 2" xfId="7280"/>
    <cellStyle name="40% - Accent4 3 4 5" xfId="5625"/>
    <cellStyle name="40% - Accent4 3 4 5 2" xfId="7944"/>
    <cellStyle name="40% - Accent4 3 4 6" xfId="6402"/>
    <cellStyle name="40% - Accent4 3 5" xfId="2416"/>
    <cellStyle name="40% - Accent4 3 5 2" xfId="4536"/>
    <cellStyle name="40% - Accent4 3 5 2 2" xfId="4865"/>
    <cellStyle name="40% - Accent4 3 5 2 2 2" xfId="5541"/>
    <cellStyle name="40% - Accent4 3 5 2 2 2 2" xfId="7860"/>
    <cellStyle name="40% - Accent4 3 5 2 2 3" xfId="6213"/>
    <cellStyle name="40% - Accent4 3 5 2 2 3 2" xfId="8532"/>
    <cellStyle name="40% - Accent4 3 5 2 2 4" xfId="7186"/>
    <cellStyle name="40% - Accent4 3 5 2 3" xfId="5209"/>
    <cellStyle name="40% - Accent4 3 5 2 3 2" xfId="7528"/>
    <cellStyle name="40% - Accent4 3 5 2 4" xfId="5877"/>
    <cellStyle name="40% - Accent4 3 5 2 4 2" xfId="8196"/>
    <cellStyle name="40% - Accent4 3 5 2 5" xfId="6857"/>
    <cellStyle name="40% - Accent4 3 5 3" xfId="4700"/>
    <cellStyle name="40% - Accent4 3 5 3 2" xfId="5375"/>
    <cellStyle name="40% - Accent4 3 5 3 2 2" xfId="7694"/>
    <cellStyle name="40% - Accent4 3 5 3 3" xfId="6045"/>
    <cellStyle name="40% - Accent4 3 5 3 3 2" xfId="8364"/>
    <cellStyle name="40% - Accent4 3 5 3 4" xfId="7021"/>
    <cellStyle name="40% - Accent4 3 5 4" xfId="5043"/>
    <cellStyle name="40% - Accent4 3 5 4 2" xfId="7362"/>
    <cellStyle name="40% - Accent4 3 5 5" xfId="5709"/>
    <cellStyle name="40% - Accent4 3 5 5 2" xfId="8028"/>
    <cellStyle name="40% - Accent4 3 5 6" xfId="4389"/>
    <cellStyle name="40% - Accent4 3 5 6 2" xfId="6710"/>
    <cellStyle name="40% - Accent4 3 6" xfId="2410"/>
    <cellStyle name="40% - Accent4 3 6 2" xfId="4742"/>
    <cellStyle name="40% - Accent4 3 6 2 2" xfId="5417"/>
    <cellStyle name="40% - Accent4 3 6 2 2 2" xfId="7736"/>
    <cellStyle name="40% - Accent4 3 6 2 3" xfId="6087"/>
    <cellStyle name="40% - Accent4 3 6 2 3 2" xfId="8406"/>
    <cellStyle name="40% - Accent4 3 6 2 4" xfId="7063"/>
    <cellStyle name="40% - Accent4 3 6 3" xfId="5085"/>
    <cellStyle name="40% - Accent4 3 6 3 2" xfId="7404"/>
    <cellStyle name="40% - Accent4 3 6 4" xfId="5751"/>
    <cellStyle name="40% - Accent4 3 6 4 2" xfId="8070"/>
    <cellStyle name="40% - Accent4 3 6 5" xfId="6397"/>
    <cellStyle name="40% - Accent4 3 7" xfId="4577"/>
    <cellStyle name="40% - Accent4 3 7 2" xfId="5251"/>
    <cellStyle name="40% - Accent4 3 7 2 2" xfId="7570"/>
    <cellStyle name="40% - Accent4 3 7 3" xfId="5919"/>
    <cellStyle name="40% - Accent4 3 7 3 2" xfId="8238"/>
    <cellStyle name="40% - Accent4 3 7 4" xfId="6898"/>
    <cellStyle name="40% - Accent4 3 8" xfId="4919"/>
    <cellStyle name="40% - Accent4 3 8 2" xfId="7238"/>
    <cellStyle name="40% - Accent4 3 9" xfId="5583"/>
    <cellStyle name="40% - Accent4 3 9 2" xfId="7902"/>
    <cellStyle name="40% - Accent4 4" xfId="6338"/>
    <cellStyle name="40% - Accent5" xfId="1979" builtinId="47" customBuiltin="1"/>
    <cellStyle name="40% - Accent5 2" xfId="163"/>
    <cellStyle name="40% - Accent5 2 2" xfId="1499"/>
    <cellStyle name="40% - Accent5 2 3" xfId="1498"/>
    <cellStyle name="40% - Accent5 3" xfId="2417"/>
    <cellStyle name="40% - Accent5 3 10" xfId="6403"/>
    <cellStyle name="40% - Accent5 3 2" xfId="2418"/>
    <cellStyle name="40% - Accent5 3 2 2" xfId="2419"/>
    <cellStyle name="40% - Accent5 3 2 2 2" xfId="4517"/>
    <cellStyle name="40% - Accent5 3 2 2 2 2" xfId="4846"/>
    <cellStyle name="40% - Accent5 3 2 2 2 2 2" xfId="5522"/>
    <cellStyle name="40% - Accent5 3 2 2 2 2 2 2" xfId="7841"/>
    <cellStyle name="40% - Accent5 3 2 2 2 2 3" xfId="6193"/>
    <cellStyle name="40% - Accent5 3 2 2 2 2 3 2" xfId="8512"/>
    <cellStyle name="40% - Accent5 3 2 2 2 2 4" xfId="7167"/>
    <cellStyle name="40% - Accent5 3 2 2 2 3" xfId="5190"/>
    <cellStyle name="40% - Accent5 3 2 2 2 3 2" xfId="7509"/>
    <cellStyle name="40% - Accent5 3 2 2 2 4" xfId="5857"/>
    <cellStyle name="40% - Accent5 3 2 2 2 4 2" xfId="8176"/>
    <cellStyle name="40% - Accent5 3 2 2 2 5" xfId="6838"/>
    <cellStyle name="40% - Accent5 3 2 2 3" xfId="4681"/>
    <cellStyle name="40% - Accent5 3 2 2 3 2" xfId="5356"/>
    <cellStyle name="40% - Accent5 3 2 2 3 2 2" xfId="7675"/>
    <cellStyle name="40% - Accent5 3 2 2 3 3" xfId="6025"/>
    <cellStyle name="40% - Accent5 3 2 2 3 3 2" xfId="8344"/>
    <cellStyle name="40% - Accent5 3 2 2 3 4" xfId="7002"/>
    <cellStyle name="40% - Accent5 3 2 2 4" xfId="5024"/>
    <cellStyle name="40% - Accent5 3 2 2 4 2" xfId="7343"/>
    <cellStyle name="40% - Accent5 3 2 2 5" xfId="5689"/>
    <cellStyle name="40% - Accent5 3 2 2 5 2" xfId="8008"/>
    <cellStyle name="40% - Accent5 3 2 2 6" xfId="6405"/>
    <cellStyle name="40% - Accent5 3 2 3" xfId="2420"/>
    <cellStyle name="40% - Accent5 3 2 3 2" xfId="4477"/>
    <cellStyle name="40% - Accent5 3 2 3 2 2" xfId="4806"/>
    <cellStyle name="40% - Accent5 3 2 3 2 2 2" xfId="5481"/>
    <cellStyle name="40% - Accent5 3 2 3 2 2 2 2" xfId="7800"/>
    <cellStyle name="40% - Accent5 3 2 3 2 2 3" xfId="6151"/>
    <cellStyle name="40% - Accent5 3 2 3 2 2 3 2" xfId="8470"/>
    <cellStyle name="40% - Accent5 3 2 3 2 2 4" xfId="7127"/>
    <cellStyle name="40% - Accent5 3 2 3 2 3" xfId="5149"/>
    <cellStyle name="40% - Accent5 3 2 3 2 3 2" xfId="7468"/>
    <cellStyle name="40% - Accent5 3 2 3 2 4" xfId="5815"/>
    <cellStyle name="40% - Accent5 3 2 3 2 4 2" xfId="8134"/>
    <cellStyle name="40% - Accent5 3 2 3 2 5" xfId="6798"/>
    <cellStyle name="40% - Accent5 3 2 3 3" xfId="4641"/>
    <cellStyle name="40% - Accent5 3 2 3 3 2" xfId="5315"/>
    <cellStyle name="40% - Accent5 3 2 3 3 2 2" xfId="7634"/>
    <cellStyle name="40% - Accent5 3 2 3 3 3" xfId="5983"/>
    <cellStyle name="40% - Accent5 3 2 3 3 3 2" xfId="8302"/>
    <cellStyle name="40% - Accent5 3 2 3 3 4" xfId="6962"/>
    <cellStyle name="40% - Accent5 3 2 3 4" xfId="4983"/>
    <cellStyle name="40% - Accent5 3 2 3 4 2" xfId="7302"/>
    <cellStyle name="40% - Accent5 3 2 3 5" xfId="5647"/>
    <cellStyle name="40% - Accent5 3 2 3 5 2" xfId="7966"/>
    <cellStyle name="40% - Accent5 3 2 3 6" xfId="6406"/>
    <cellStyle name="40% - Accent5 3 2 4" xfId="4405"/>
    <cellStyle name="40% - Accent5 3 2 4 2" xfId="4558"/>
    <cellStyle name="40% - Accent5 3 2 4 2 2" xfId="4887"/>
    <cellStyle name="40% - Accent5 3 2 4 2 2 2" xfId="5563"/>
    <cellStyle name="40% - Accent5 3 2 4 2 2 2 2" xfId="7882"/>
    <cellStyle name="40% - Accent5 3 2 4 2 2 3" xfId="6235"/>
    <cellStyle name="40% - Accent5 3 2 4 2 2 3 2" xfId="8554"/>
    <cellStyle name="40% - Accent5 3 2 4 2 2 4" xfId="7208"/>
    <cellStyle name="40% - Accent5 3 2 4 2 3" xfId="5231"/>
    <cellStyle name="40% - Accent5 3 2 4 2 3 2" xfId="7550"/>
    <cellStyle name="40% - Accent5 3 2 4 2 4" xfId="5899"/>
    <cellStyle name="40% - Accent5 3 2 4 2 4 2" xfId="8218"/>
    <cellStyle name="40% - Accent5 3 2 4 2 5" xfId="6879"/>
    <cellStyle name="40% - Accent5 3 2 4 3" xfId="4722"/>
    <cellStyle name="40% - Accent5 3 2 4 3 2" xfId="5397"/>
    <cellStyle name="40% - Accent5 3 2 4 3 2 2" xfId="7716"/>
    <cellStyle name="40% - Accent5 3 2 4 3 3" xfId="6067"/>
    <cellStyle name="40% - Accent5 3 2 4 3 3 2" xfId="8386"/>
    <cellStyle name="40% - Accent5 3 2 4 3 4" xfId="7043"/>
    <cellStyle name="40% - Accent5 3 2 4 4" xfId="5065"/>
    <cellStyle name="40% - Accent5 3 2 4 4 2" xfId="7384"/>
    <cellStyle name="40% - Accent5 3 2 4 5" xfId="5731"/>
    <cellStyle name="40% - Accent5 3 2 4 5 2" xfId="8050"/>
    <cellStyle name="40% - Accent5 3 2 4 6" xfId="6726"/>
    <cellStyle name="40% - Accent5 3 2 5" xfId="4437"/>
    <cellStyle name="40% - Accent5 3 2 5 2" xfId="4764"/>
    <cellStyle name="40% - Accent5 3 2 5 2 2" xfId="5439"/>
    <cellStyle name="40% - Accent5 3 2 5 2 2 2" xfId="7758"/>
    <cellStyle name="40% - Accent5 3 2 5 2 3" xfId="6109"/>
    <cellStyle name="40% - Accent5 3 2 5 2 3 2" xfId="8428"/>
    <cellStyle name="40% - Accent5 3 2 5 2 4" xfId="7085"/>
    <cellStyle name="40% - Accent5 3 2 5 3" xfId="5107"/>
    <cellStyle name="40% - Accent5 3 2 5 3 2" xfId="7426"/>
    <cellStyle name="40% - Accent5 3 2 5 4" xfId="5773"/>
    <cellStyle name="40% - Accent5 3 2 5 4 2" xfId="8092"/>
    <cellStyle name="40% - Accent5 3 2 5 5" xfId="6758"/>
    <cellStyle name="40% - Accent5 3 2 6" xfId="4599"/>
    <cellStyle name="40% - Accent5 3 2 6 2" xfId="5273"/>
    <cellStyle name="40% - Accent5 3 2 6 2 2" xfId="7592"/>
    <cellStyle name="40% - Accent5 3 2 6 3" xfId="5941"/>
    <cellStyle name="40% - Accent5 3 2 6 3 2" xfId="8260"/>
    <cellStyle name="40% - Accent5 3 2 6 4" xfId="6920"/>
    <cellStyle name="40% - Accent5 3 2 7" xfId="4941"/>
    <cellStyle name="40% - Accent5 3 2 7 2" xfId="7260"/>
    <cellStyle name="40% - Accent5 3 2 8" xfId="5605"/>
    <cellStyle name="40% - Accent5 3 2 8 2" xfId="7924"/>
    <cellStyle name="40% - Accent5 3 2 9" xfId="6404"/>
    <cellStyle name="40% - Accent5 3 3" xfId="2421"/>
    <cellStyle name="40% - Accent5 3 3 2" xfId="4497"/>
    <cellStyle name="40% - Accent5 3 3 2 2" xfId="4826"/>
    <cellStyle name="40% - Accent5 3 3 2 2 2" xfId="5502"/>
    <cellStyle name="40% - Accent5 3 3 2 2 2 2" xfId="7821"/>
    <cellStyle name="40% - Accent5 3 3 2 2 3" xfId="6172"/>
    <cellStyle name="40% - Accent5 3 3 2 2 3 2" xfId="8491"/>
    <cellStyle name="40% - Accent5 3 3 2 2 4" xfId="7147"/>
    <cellStyle name="40% - Accent5 3 3 2 3" xfId="5170"/>
    <cellStyle name="40% - Accent5 3 3 2 3 2" xfId="7489"/>
    <cellStyle name="40% - Accent5 3 3 2 4" xfId="5836"/>
    <cellStyle name="40% - Accent5 3 3 2 4 2" xfId="8155"/>
    <cellStyle name="40% - Accent5 3 3 2 5" xfId="6818"/>
    <cellStyle name="40% - Accent5 3 3 3" xfId="4661"/>
    <cellStyle name="40% - Accent5 3 3 3 2" xfId="5336"/>
    <cellStyle name="40% - Accent5 3 3 3 2 2" xfId="7655"/>
    <cellStyle name="40% - Accent5 3 3 3 3" xfId="6004"/>
    <cellStyle name="40% - Accent5 3 3 3 3 2" xfId="8323"/>
    <cellStyle name="40% - Accent5 3 3 3 4" xfId="6982"/>
    <cellStyle name="40% - Accent5 3 3 4" xfId="5004"/>
    <cellStyle name="40% - Accent5 3 3 4 2" xfId="7323"/>
    <cellStyle name="40% - Accent5 3 3 5" xfId="5668"/>
    <cellStyle name="40% - Accent5 3 3 5 2" xfId="7987"/>
    <cellStyle name="40% - Accent5 3 3 6" xfId="6407"/>
    <cellStyle name="40% - Accent5 3 4" xfId="2422"/>
    <cellStyle name="40% - Accent5 3 4 2" xfId="4457"/>
    <cellStyle name="40% - Accent5 3 4 2 2" xfId="4785"/>
    <cellStyle name="40% - Accent5 3 4 2 2 2" xfId="5460"/>
    <cellStyle name="40% - Accent5 3 4 2 2 2 2" xfId="7779"/>
    <cellStyle name="40% - Accent5 3 4 2 2 3" xfId="6130"/>
    <cellStyle name="40% - Accent5 3 4 2 2 3 2" xfId="8449"/>
    <cellStyle name="40% - Accent5 3 4 2 2 4" xfId="7106"/>
    <cellStyle name="40% - Accent5 3 4 2 3" xfId="5128"/>
    <cellStyle name="40% - Accent5 3 4 2 3 2" xfId="7447"/>
    <cellStyle name="40% - Accent5 3 4 2 4" xfId="5794"/>
    <cellStyle name="40% - Accent5 3 4 2 4 2" xfId="8113"/>
    <cellStyle name="40% - Accent5 3 4 2 5" xfId="6778"/>
    <cellStyle name="40% - Accent5 3 4 3" xfId="4620"/>
    <cellStyle name="40% - Accent5 3 4 3 2" xfId="5294"/>
    <cellStyle name="40% - Accent5 3 4 3 2 2" xfId="7613"/>
    <cellStyle name="40% - Accent5 3 4 3 3" xfId="5962"/>
    <cellStyle name="40% - Accent5 3 4 3 3 2" xfId="8281"/>
    <cellStyle name="40% - Accent5 3 4 3 4" xfId="6941"/>
    <cellStyle name="40% - Accent5 3 4 4" xfId="4962"/>
    <cellStyle name="40% - Accent5 3 4 4 2" xfId="7281"/>
    <cellStyle name="40% - Accent5 3 4 5" xfId="5626"/>
    <cellStyle name="40% - Accent5 3 4 5 2" xfId="7945"/>
    <cellStyle name="40% - Accent5 3 4 6" xfId="6408"/>
    <cellStyle name="40% - Accent5 3 5" xfId="2423"/>
    <cellStyle name="40% - Accent5 3 5 2" xfId="4537"/>
    <cellStyle name="40% - Accent5 3 5 2 2" xfId="4866"/>
    <cellStyle name="40% - Accent5 3 5 2 2 2" xfId="5542"/>
    <cellStyle name="40% - Accent5 3 5 2 2 2 2" xfId="7861"/>
    <cellStyle name="40% - Accent5 3 5 2 2 3" xfId="6214"/>
    <cellStyle name="40% - Accent5 3 5 2 2 3 2" xfId="8533"/>
    <cellStyle name="40% - Accent5 3 5 2 2 4" xfId="7187"/>
    <cellStyle name="40% - Accent5 3 5 2 3" xfId="5210"/>
    <cellStyle name="40% - Accent5 3 5 2 3 2" xfId="7529"/>
    <cellStyle name="40% - Accent5 3 5 2 4" xfId="5878"/>
    <cellStyle name="40% - Accent5 3 5 2 4 2" xfId="8197"/>
    <cellStyle name="40% - Accent5 3 5 2 5" xfId="6858"/>
    <cellStyle name="40% - Accent5 3 5 3" xfId="4701"/>
    <cellStyle name="40% - Accent5 3 5 3 2" xfId="5376"/>
    <cellStyle name="40% - Accent5 3 5 3 2 2" xfId="7695"/>
    <cellStyle name="40% - Accent5 3 5 3 3" xfId="6046"/>
    <cellStyle name="40% - Accent5 3 5 3 3 2" xfId="8365"/>
    <cellStyle name="40% - Accent5 3 5 3 4" xfId="7022"/>
    <cellStyle name="40% - Accent5 3 5 4" xfId="5044"/>
    <cellStyle name="40% - Accent5 3 5 4 2" xfId="7363"/>
    <cellStyle name="40% - Accent5 3 5 5" xfId="5710"/>
    <cellStyle name="40% - Accent5 3 5 5 2" xfId="8029"/>
    <cellStyle name="40% - Accent5 3 5 6" xfId="4390"/>
    <cellStyle name="40% - Accent5 3 5 6 2" xfId="6711"/>
    <cellStyle name="40% - Accent5 3 6" xfId="4419"/>
    <cellStyle name="40% - Accent5 3 6 2" xfId="4743"/>
    <cellStyle name="40% - Accent5 3 6 2 2" xfId="5418"/>
    <cellStyle name="40% - Accent5 3 6 2 2 2" xfId="7737"/>
    <cellStyle name="40% - Accent5 3 6 2 3" xfId="6088"/>
    <cellStyle name="40% - Accent5 3 6 2 3 2" xfId="8407"/>
    <cellStyle name="40% - Accent5 3 6 2 4" xfId="7064"/>
    <cellStyle name="40% - Accent5 3 6 3" xfId="5086"/>
    <cellStyle name="40% - Accent5 3 6 3 2" xfId="7405"/>
    <cellStyle name="40% - Accent5 3 6 4" xfId="5752"/>
    <cellStyle name="40% - Accent5 3 6 4 2" xfId="8071"/>
    <cellStyle name="40% - Accent5 3 6 5" xfId="6740"/>
    <cellStyle name="40% - Accent5 3 7" xfId="4578"/>
    <cellStyle name="40% - Accent5 3 7 2" xfId="5252"/>
    <cellStyle name="40% - Accent5 3 7 2 2" xfId="7571"/>
    <cellStyle name="40% - Accent5 3 7 3" xfId="5920"/>
    <cellStyle name="40% - Accent5 3 7 3 2" xfId="8239"/>
    <cellStyle name="40% - Accent5 3 7 4" xfId="6899"/>
    <cellStyle name="40% - Accent5 3 8" xfId="4920"/>
    <cellStyle name="40% - Accent5 3 8 2" xfId="7239"/>
    <cellStyle name="40% - Accent5 3 9" xfId="5584"/>
    <cellStyle name="40% - Accent5 3 9 2" xfId="7903"/>
    <cellStyle name="40% - Accent5 4" xfId="6340"/>
    <cellStyle name="40% - Accent6" xfId="1983" builtinId="51" customBuiltin="1"/>
    <cellStyle name="40% - Accent6 2" xfId="164"/>
    <cellStyle name="40% - Accent6 2 2" xfId="1501"/>
    <cellStyle name="40% - Accent6 2 3" xfId="1500"/>
    <cellStyle name="40% - Accent6 3" xfId="1502"/>
    <cellStyle name="40% - Accent6 3 2" xfId="2425"/>
    <cellStyle name="40% - Accent6 3 2 2" xfId="2426"/>
    <cellStyle name="40% - Accent6 3 2 2 2" xfId="4518"/>
    <cellStyle name="40% - Accent6 3 2 2 2 2" xfId="4847"/>
    <cellStyle name="40% - Accent6 3 2 2 2 2 2" xfId="5523"/>
    <cellStyle name="40% - Accent6 3 2 2 2 2 2 2" xfId="7842"/>
    <cellStyle name="40% - Accent6 3 2 2 2 2 3" xfId="6194"/>
    <cellStyle name="40% - Accent6 3 2 2 2 2 3 2" xfId="8513"/>
    <cellStyle name="40% - Accent6 3 2 2 2 2 4" xfId="7168"/>
    <cellStyle name="40% - Accent6 3 2 2 2 3" xfId="5191"/>
    <cellStyle name="40% - Accent6 3 2 2 2 3 2" xfId="7510"/>
    <cellStyle name="40% - Accent6 3 2 2 2 4" xfId="5858"/>
    <cellStyle name="40% - Accent6 3 2 2 2 4 2" xfId="8177"/>
    <cellStyle name="40% - Accent6 3 2 2 2 5" xfId="6839"/>
    <cellStyle name="40% - Accent6 3 2 2 3" xfId="4682"/>
    <cellStyle name="40% - Accent6 3 2 2 3 2" xfId="5357"/>
    <cellStyle name="40% - Accent6 3 2 2 3 2 2" xfId="7676"/>
    <cellStyle name="40% - Accent6 3 2 2 3 3" xfId="6026"/>
    <cellStyle name="40% - Accent6 3 2 2 3 3 2" xfId="8345"/>
    <cellStyle name="40% - Accent6 3 2 2 3 4" xfId="7003"/>
    <cellStyle name="40% - Accent6 3 2 2 4" xfId="5025"/>
    <cellStyle name="40% - Accent6 3 2 2 4 2" xfId="7344"/>
    <cellStyle name="40% - Accent6 3 2 2 5" xfId="5690"/>
    <cellStyle name="40% - Accent6 3 2 2 5 2" xfId="8009"/>
    <cellStyle name="40% - Accent6 3 2 2 6" xfId="6411"/>
    <cellStyle name="40% - Accent6 3 2 3" xfId="2427"/>
    <cellStyle name="40% - Accent6 3 2 3 2" xfId="4478"/>
    <cellStyle name="40% - Accent6 3 2 3 2 2" xfId="4807"/>
    <cellStyle name="40% - Accent6 3 2 3 2 2 2" xfId="5482"/>
    <cellStyle name="40% - Accent6 3 2 3 2 2 2 2" xfId="7801"/>
    <cellStyle name="40% - Accent6 3 2 3 2 2 3" xfId="6152"/>
    <cellStyle name="40% - Accent6 3 2 3 2 2 3 2" xfId="8471"/>
    <cellStyle name="40% - Accent6 3 2 3 2 2 4" xfId="7128"/>
    <cellStyle name="40% - Accent6 3 2 3 2 3" xfId="5150"/>
    <cellStyle name="40% - Accent6 3 2 3 2 3 2" xfId="7469"/>
    <cellStyle name="40% - Accent6 3 2 3 2 4" xfId="5816"/>
    <cellStyle name="40% - Accent6 3 2 3 2 4 2" xfId="8135"/>
    <cellStyle name="40% - Accent6 3 2 3 2 5" xfId="6799"/>
    <cellStyle name="40% - Accent6 3 2 3 3" xfId="4642"/>
    <cellStyle name="40% - Accent6 3 2 3 3 2" xfId="5316"/>
    <cellStyle name="40% - Accent6 3 2 3 3 2 2" xfId="7635"/>
    <cellStyle name="40% - Accent6 3 2 3 3 3" xfId="5984"/>
    <cellStyle name="40% - Accent6 3 2 3 3 3 2" xfId="8303"/>
    <cellStyle name="40% - Accent6 3 2 3 3 4" xfId="6963"/>
    <cellStyle name="40% - Accent6 3 2 3 4" xfId="4984"/>
    <cellStyle name="40% - Accent6 3 2 3 4 2" xfId="7303"/>
    <cellStyle name="40% - Accent6 3 2 3 5" xfId="5648"/>
    <cellStyle name="40% - Accent6 3 2 3 5 2" xfId="7967"/>
    <cellStyle name="40% - Accent6 3 2 3 6" xfId="6412"/>
    <cellStyle name="40% - Accent6 3 2 4" xfId="4406"/>
    <cellStyle name="40% - Accent6 3 2 4 2" xfId="4559"/>
    <cellStyle name="40% - Accent6 3 2 4 2 2" xfId="4888"/>
    <cellStyle name="40% - Accent6 3 2 4 2 2 2" xfId="5564"/>
    <cellStyle name="40% - Accent6 3 2 4 2 2 2 2" xfId="7883"/>
    <cellStyle name="40% - Accent6 3 2 4 2 2 3" xfId="6236"/>
    <cellStyle name="40% - Accent6 3 2 4 2 2 3 2" xfId="8555"/>
    <cellStyle name="40% - Accent6 3 2 4 2 2 4" xfId="7209"/>
    <cellStyle name="40% - Accent6 3 2 4 2 3" xfId="5232"/>
    <cellStyle name="40% - Accent6 3 2 4 2 3 2" xfId="7551"/>
    <cellStyle name="40% - Accent6 3 2 4 2 4" xfId="5900"/>
    <cellStyle name="40% - Accent6 3 2 4 2 4 2" xfId="8219"/>
    <cellStyle name="40% - Accent6 3 2 4 2 5" xfId="6880"/>
    <cellStyle name="40% - Accent6 3 2 4 3" xfId="4723"/>
    <cellStyle name="40% - Accent6 3 2 4 3 2" xfId="5398"/>
    <cellStyle name="40% - Accent6 3 2 4 3 2 2" xfId="7717"/>
    <cellStyle name="40% - Accent6 3 2 4 3 3" xfId="6068"/>
    <cellStyle name="40% - Accent6 3 2 4 3 3 2" xfId="8387"/>
    <cellStyle name="40% - Accent6 3 2 4 3 4" xfId="7044"/>
    <cellStyle name="40% - Accent6 3 2 4 4" xfId="5066"/>
    <cellStyle name="40% - Accent6 3 2 4 4 2" xfId="7385"/>
    <cellStyle name="40% - Accent6 3 2 4 5" xfId="5732"/>
    <cellStyle name="40% - Accent6 3 2 4 5 2" xfId="8051"/>
    <cellStyle name="40% - Accent6 3 2 4 6" xfId="6727"/>
    <cellStyle name="40% - Accent6 3 2 5" xfId="4438"/>
    <cellStyle name="40% - Accent6 3 2 5 2" xfId="4765"/>
    <cellStyle name="40% - Accent6 3 2 5 2 2" xfId="5440"/>
    <cellStyle name="40% - Accent6 3 2 5 2 2 2" xfId="7759"/>
    <cellStyle name="40% - Accent6 3 2 5 2 3" xfId="6110"/>
    <cellStyle name="40% - Accent6 3 2 5 2 3 2" xfId="8429"/>
    <cellStyle name="40% - Accent6 3 2 5 2 4" xfId="7086"/>
    <cellStyle name="40% - Accent6 3 2 5 3" xfId="5108"/>
    <cellStyle name="40% - Accent6 3 2 5 3 2" xfId="7427"/>
    <cellStyle name="40% - Accent6 3 2 5 4" xfId="5774"/>
    <cellStyle name="40% - Accent6 3 2 5 4 2" xfId="8093"/>
    <cellStyle name="40% - Accent6 3 2 5 5" xfId="6759"/>
    <cellStyle name="40% - Accent6 3 2 6" xfId="4600"/>
    <cellStyle name="40% - Accent6 3 2 6 2" xfId="5274"/>
    <cellStyle name="40% - Accent6 3 2 6 2 2" xfId="7593"/>
    <cellStyle name="40% - Accent6 3 2 6 3" xfId="5942"/>
    <cellStyle name="40% - Accent6 3 2 6 3 2" xfId="8261"/>
    <cellStyle name="40% - Accent6 3 2 6 4" xfId="6921"/>
    <cellStyle name="40% - Accent6 3 2 7" xfId="4942"/>
    <cellStyle name="40% - Accent6 3 2 7 2" xfId="7261"/>
    <cellStyle name="40% - Accent6 3 2 8" xfId="5606"/>
    <cellStyle name="40% - Accent6 3 2 8 2" xfId="7925"/>
    <cellStyle name="40% - Accent6 3 2 9" xfId="6410"/>
    <cellStyle name="40% - Accent6 3 3" xfId="2428"/>
    <cellStyle name="40% - Accent6 3 3 2" xfId="4498"/>
    <cellStyle name="40% - Accent6 3 3 2 2" xfId="4827"/>
    <cellStyle name="40% - Accent6 3 3 2 2 2" xfId="5503"/>
    <cellStyle name="40% - Accent6 3 3 2 2 2 2" xfId="7822"/>
    <cellStyle name="40% - Accent6 3 3 2 2 3" xfId="6173"/>
    <cellStyle name="40% - Accent6 3 3 2 2 3 2" xfId="8492"/>
    <cellStyle name="40% - Accent6 3 3 2 2 4" xfId="7148"/>
    <cellStyle name="40% - Accent6 3 3 2 3" xfId="5171"/>
    <cellStyle name="40% - Accent6 3 3 2 3 2" xfId="7490"/>
    <cellStyle name="40% - Accent6 3 3 2 4" xfId="5837"/>
    <cellStyle name="40% - Accent6 3 3 2 4 2" xfId="8156"/>
    <cellStyle name="40% - Accent6 3 3 2 5" xfId="6819"/>
    <cellStyle name="40% - Accent6 3 3 3" xfId="4662"/>
    <cellStyle name="40% - Accent6 3 3 3 2" xfId="5337"/>
    <cellStyle name="40% - Accent6 3 3 3 2 2" xfId="7656"/>
    <cellStyle name="40% - Accent6 3 3 3 3" xfId="6005"/>
    <cellStyle name="40% - Accent6 3 3 3 3 2" xfId="8324"/>
    <cellStyle name="40% - Accent6 3 3 3 4" xfId="6983"/>
    <cellStyle name="40% - Accent6 3 3 4" xfId="5005"/>
    <cellStyle name="40% - Accent6 3 3 4 2" xfId="7324"/>
    <cellStyle name="40% - Accent6 3 3 5" xfId="5669"/>
    <cellStyle name="40% - Accent6 3 3 5 2" xfId="7988"/>
    <cellStyle name="40% - Accent6 3 3 6" xfId="6413"/>
    <cellStyle name="40% - Accent6 3 4" xfId="2429"/>
    <cellStyle name="40% - Accent6 3 4 2" xfId="4458"/>
    <cellStyle name="40% - Accent6 3 4 2 2" xfId="4786"/>
    <cellStyle name="40% - Accent6 3 4 2 2 2" xfId="5461"/>
    <cellStyle name="40% - Accent6 3 4 2 2 2 2" xfId="7780"/>
    <cellStyle name="40% - Accent6 3 4 2 2 3" xfId="6131"/>
    <cellStyle name="40% - Accent6 3 4 2 2 3 2" xfId="8450"/>
    <cellStyle name="40% - Accent6 3 4 2 2 4" xfId="7107"/>
    <cellStyle name="40% - Accent6 3 4 2 3" xfId="5129"/>
    <cellStyle name="40% - Accent6 3 4 2 3 2" xfId="7448"/>
    <cellStyle name="40% - Accent6 3 4 2 4" xfId="5795"/>
    <cellStyle name="40% - Accent6 3 4 2 4 2" xfId="8114"/>
    <cellStyle name="40% - Accent6 3 4 2 5" xfId="6779"/>
    <cellStyle name="40% - Accent6 3 4 3" xfId="4621"/>
    <cellStyle name="40% - Accent6 3 4 3 2" xfId="5295"/>
    <cellStyle name="40% - Accent6 3 4 3 2 2" xfId="7614"/>
    <cellStyle name="40% - Accent6 3 4 3 3" xfId="5963"/>
    <cellStyle name="40% - Accent6 3 4 3 3 2" xfId="8282"/>
    <cellStyle name="40% - Accent6 3 4 3 4" xfId="6942"/>
    <cellStyle name="40% - Accent6 3 4 4" xfId="4963"/>
    <cellStyle name="40% - Accent6 3 4 4 2" xfId="7282"/>
    <cellStyle name="40% - Accent6 3 4 5" xfId="5627"/>
    <cellStyle name="40% - Accent6 3 4 5 2" xfId="7946"/>
    <cellStyle name="40% - Accent6 3 4 6" xfId="6414"/>
    <cellStyle name="40% - Accent6 3 5" xfId="2430"/>
    <cellStyle name="40% - Accent6 3 5 2" xfId="4538"/>
    <cellStyle name="40% - Accent6 3 5 2 2" xfId="4867"/>
    <cellStyle name="40% - Accent6 3 5 2 2 2" xfId="5543"/>
    <cellStyle name="40% - Accent6 3 5 2 2 2 2" xfId="7862"/>
    <cellStyle name="40% - Accent6 3 5 2 2 3" xfId="6215"/>
    <cellStyle name="40% - Accent6 3 5 2 2 3 2" xfId="8534"/>
    <cellStyle name="40% - Accent6 3 5 2 2 4" xfId="7188"/>
    <cellStyle name="40% - Accent6 3 5 2 3" xfId="5211"/>
    <cellStyle name="40% - Accent6 3 5 2 3 2" xfId="7530"/>
    <cellStyle name="40% - Accent6 3 5 2 4" xfId="5879"/>
    <cellStyle name="40% - Accent6 3 5 2 4 2" xfId="8198"/>
    <cellStyle name="40% - Accent6 3 5 2 5" xfId="6859"/>
    <cellStyle name="40% - Accent6 3 5 3" xfId="4702"/>
    <cellStyle name="40% - Accent6 3 5 3 2" xfId="5377"/>
    <cellStyle name="40% - Accent6 3 5 3 2 2" xfId="7696"/>
    <cellStyle name="40% - Accent6 3 5 3 3" xfId="6047"/>
    <cellStyle name="40% - Accent6 3 5 3 3 2" xfId="8366"/>
    <cellStyle name="40% - Accent6 3 5 3 4" xfId="7023"/>
    <cellStyle name="40% - Accent6 3 5 4" xfId="5045"/>
    <cellStyle name="40% - Accent6 3 5 4 2" xfId="7364"/>
    <cellStyle name="40% - Accent6 3 5 5" xfId="5711"/>
    <cellStyle name="40% - Accent6 3 5 5 2" xfId="8030"/>
    <cellStyle name="40% - Accent6 3 5 6" xfId="4391"/>
    <cellStyle name="40% - Accent6 3 5 6 2" xfId="6712"/>
    <cellStyle name="40% - Accent6 3 6" xfId="2424"/>
    <cellStyle name="40% - Accent6 3 6 2" xfId="4744"/>
    <cellStyle name="40% - Accent6 3 6 2 2" xfId="5419"/>
    <cellStyle name="40% - Accent6 3 6 2 2 2" xfId="7738"/>
    <cellStyle name="40% - Accent6 3 6 2 3" xfId="6089"/>
    <cellStyle name="40% - Accent6 3 6 2 3 2" xfId="8408"/>
    <cellStyle name="40% - Accent6 3 6 2 4" xfId="7065"/>
    <cellStyle name="40% - Accent6 3 6 3" xfId="5087"/>
    <cellStyle name="40% - Accent6 3 6 3 2" xfId="7406"/>
    <cellStyle name="40% - Accent6 3 6 4" xfId="5753"/>
    <cellStyle name="40% - Accent6 3 6 4 2" xfId="8072"/>
    <cellStyle name="40% - Accent6 3 6 5" xfId="6409"/>
    <cellStyle name="40% - Accent6 3 7" xfId="4579"/>
    <cellStyle name="40% - Accent6 3 7 2" xfId="5253"/>
    <cellStyle name="40% - Accent6 3 7 2 2" xfId="7572"/>
    <cellStyle name="40% - Accent6 3 7 3" xfId="5921"/>
    <cellStyle name="40% - Accent6 3 7 3 2" xfId="8240"/>
    <cellStyle name="40% - Accent6 3 7 4" xfId="6900"/>
    <cellStyle name="40% - Accent6 3 8" xfId="4921"/>
    <cellStyle name="40% - Accent6 3 8 2" xfId="7240"/>
    <cellStyle name="40% - Accent6 3 9" xfId="5585"/>
    <cellStyle name="40% - Accent6 3 9 2" xfId="7904"/>
    <cellStyle name="40% - Accent6 4" xfId="6342"/>
    <cellStyle name="60% - Accent1" xfId="1964" builtinId="32" customBuiltin="1"/>
    <cellStyle name="60% - Accent1 2" xfId="165"/>
    <cellStyle name="60% - Accent1 2 2" xfId="1504"/>
    <cellStyle name="60% - Accent1 2 3" xfId="1503"/>
    <cellStyle name="60% - Accent1 3" xfId="1505"/>
    <cellStyle name="60% - Accent1 3 2" xfId="2432"/>
    <cellStyle name="60% - Accent1 3 3" xfId="2431"/>
    <cellStyle name="60% - Accent2" xfId="1968" builtinId="36" customBuiltin="1"/>
    <cellStyle name="60% - Accent2 2" xfId="166"/>
    <cellStyle name="60% - Accent2 2 2" xfId="1507"/>
    <cellStyle name="60% - Accent2 2 3" xfId="1506"/>
    <cellStyle name="60% - Accent2 3" xfId="2433"/>
    <cellStyle name="60% - Accent2 3 2" xfId="2434"/>
    <cellStyle name="60% - Accent3" xfId="1972" builtinId="40" customBuiltin="1"/>
    <cellStyle name="60% - Accent3 2" xfId="167"/>
    <cellStyle name="60% - Accent3 2 2" xfId="1509"/>
    <cellStyle name="60% - Accent3 2 3" xfId="1508"/>
    <cellStyle name="60% - Accent3 3" xfId="1510"/>
    <cellStyle name="60% - Accent3 3 2" xfId="2436"/>
    <cellStyle name="60% - Accent3 3 3" xfId="2435"/>
    <cellStyle name="60% - Accent4" xfId="1976" builtinId="44" customBuiltin="1"/>
    <cellStyle name="60% - Accent4 2" xfId="168"/>
    <cellStyle name="60% - Accent4 2 2" xfId="1512"/>
    <cellStyle name="60% - Accent4 2 3" xfId="1511"/>
    <cellStyle name="60% - Accent4 3" xfId="1513"/>
    <cellStyle name="60% - Accent4 3 2" xfId="2438"/>
    <cellStyle name="60% - Accent4 3 3" xfId="2437"/>
    <cellStyle name="60% - Accent5" xfId="1980" builtinId="48" customBuiltin="1"/>
    <cellStyle name="60% - Accent5 2" xfId="169"/>
    <cellStyle name="60% - Accent5 2 2" xfId="1515"/>
    <cellStyle name="60% - Accent5 2 3" xfId="1514"/>
    <cellStyle name="60% - Accent5 3" xfId="2439"/>
    <cellStyle name="60% - Accent5 3 2" xfId="2440"/>
    <cellStyle name="60% - Accent6" xfId="1984" builtinId="52" customBuiltin="1"/>
    <cellStyle name="60% - Accent6 2" xfId="170"/>
    <cellStyle name="60% - Accent6 2 2" xfId="1517"/>
    <cellStyle name="60% - Accent6 2 3" xfId="1516"/>
    <cellStyle name="60% - Accent6 3" xfId="1518"/>
    <cellStyle name="60% - Accent6 3 2" xfId="2442"/>
    <cellStyle name="60% - Accent6 3 3" xfId="2441"/>
    <cellStyle name="752131" xfId="171"/>
    <cellStyle name="752131 2" xfId="2443"/>
    <cellStyle name="A¨­￠￢￠O [0]_¨oCAuCoEⓒ÷ " xfId="172"/>
    <cellStyle name="A¨­￠￢￠O_¨oCAuCoEⓒ÷ " xfId="173"/>
    <cellStyle name="Accent1" xfId="1961" builtinId="29" customBuiltin="1"/>
    <cellStyle name="Accent1 2" xfId="174"/>
    <cellStyle name="Accent1 2 2" xfId="1520"/>
    <cellStyle name="Accent1 2 3" xfId="1519"/>
    <cellStyle name="Accent1 3" xfId="1521"/>
    <cellStyle name="Accent1 3 2" xfId="2445"/>
    <cellStyle name="Accent1 3 3" xfId="2444"/>
    <cellStyle name="Accent2" xfId="1965" builtinId="33" customBuiltin="1"/>
    <cellStyle name="Accent2 2" xfId="175"/>
    <cellStyle name="Accent2 2 2" xfId="1523"/>
    <cellStyle name="Accent2 2 3" xfId="1522"/>
    <cellStyle name="Accent2 3" xfId="1524"/>
    <cellStyle name="Accent2 3 2" xfId="2447"/>
    <cellStyle name="Accent2 3 3" xfId="2446"/>
    <cellStyle name="Accent3" xfId="1969" builtinId="37" customBuiltin="1"/>
    <cellStyle name="Accent3 2" xfId="176"/>
    <cellStyle name="Accent3 2 2" xfId="1526"/>
    <cellStyle name="Accent3 2 3" xfId="1525"/>
    <cellStyle name="Accent3 3" xfId="1527"/>
    <cellStyle name="Accent3 3 2" xfId="2449"/>
    <cellStyle name="Accent3 3 3" xfId="2448"/>
    <cellStyle name="Accent4" xfId="1973" builtinId="41" customBuiltin="1"/>
    <cellStyle name="Accent4 2" xfId="177"/>
    <cellStyle name="Accent4 3" xfId="1528"/>
    <cellStyle name="Accent4 3 2" xfId="2451"/>
    <cellStyle name="Accent4 3 3" xfId="2450"/>
    <cellStyle name="Accent5" xfId="1977" builtinId="45" customBuiltin="1"/>
    <cellStyle name="Accent5 2" xfId="178"/>
    <cellStyle name="Accent5 3" xfId="2452"/>
    <cellStyle name="Accent5 3 2" xfId="2453"/>
    <cellStyle name="Accent6" xfId="1981" builtinId="49" customBuiltin="1"/>
    <cellStyle name="Accent6 2" xfId="179"/>
    <cellStyle name="Accent6 2 2" xfId="1530"/>
    <cellStyle name="Accent6 2 3" xfId="1529"/>
    <cellStyle name="Accent6 3" xfId="1531"/>
    <cellStyle name="Accent6 3 2" xfId="2455"/>
    <cellStyle name="Accent6 3 3" xfId="2454"/>
    <cellStyle name="Acctg" xfId="180"/>
    <cellStyle name="ActgNumber" xfId="181"/>
    <cellStyle name="ActgNumber 2" xfId="2456"/>
    <cellStyle name="AeE­ [0]_¼oAa½CAu " xfId="182"/>
    <cellStyle name="ÅëÈ­ [0]_cover " xfId="183"/>
    <cellStyle name="AeE­ [0]_INQUIRY ¿μ¾÷AßAø " xfId="184"/>
    <cellStyle name="AeE­_¼oAa½CAu " xfId="185"/>
    <cellStyle name="ÅëÈ­_cover " xfId="186"/>
    <cellStyle name="AeE­_INQUIRY ¿μ¾÷AßAø " xfId="187"/>
    <cellStyle name="AeE¡ⓒ [0]_¨oCAuCoEⓒ÷ " xfId="188"/>
    <cellStyle name="AeE¡ⓒ_¨oCAuCoEⓒ÷ " xfId="189"/>
    <cellStyle name="AFE" xfId="2457"/>
    <cellStyle name="ales" xfId="190"/>
    <cellStyle name="Analyst Name" xfId="4213"/>
    <cellStyle name="AÞ¸¶ [0]_¼oAa½CAu " xfId="191"/>
    <cellStyle name="ÄÞ¸¶ [0]_cover " xfId="192"/>
    <cellStyle name="AÞ¸¶ [0]_INQUIRY ¿μ¾÷AßAø " xfId="193"/>
    <cellStyle name="AÞ¸¶_¼oAa½CAu " xfId="194"/>
    <cellStyle name="ÄÞ¸¶_cover " xfId="195"/>
    <cellStyle name="AÞ¸¶_INQUIRY ¿μ¾÷AßAø " xfId="196"/>
    <cellStyle name="AttributeFloatStyle" xfId="1533"/>
    <cellStyle name="Availability" xfId="4214"/>
    <cellStyle name="_x0001_b" xfId="1534"/>
    <cellStyle name="Background" xfId="4215"/>
    <cellStyle name="Bad" xfId="1951" builtinId="27" customBuiltin="1"/>
    <cellStyle name="Bad 2" xfId="197"/>
    <cellStyle name="Bad 2 2" xfId="1536"/>
    <cellStyle name="Bad 2 3" xfId="1535"/>
    <cellStyle name="Bad 3" xfId="2458"/>
    <cellStyle name="Bad 3 2" xfId="2459"/>
    <cellStyle name="Bad 3 3" xfId="2460"/>
    <cellStyle name="Balance Sheet" xfId="2461"/>
    <cellStyle name="BalanceSheet" xfId="2462"/>
    <cellStyle name="Band 2" xfId="198"/>
    <cellStyle name="Band 2 2" xfId="2463"/>
    <cellStyle name="Band 2 3" xfId="4034"/>
    <cellStyle name="big-font" xfId="2464"/>
    <cellStyle name="Blue" xfId="199"/>
    <cellStyle name="Blue 2" xfId="2465"/>
    <cellStyle name="BLuedashZero" xfId="4216"/>
    <cellStyle name="Body" xfId="2466"/>
    <cellStyle name="Bold/Border" xfId="200"/>
    <cellStyle name="Border, Bottom" xfId="2467"/>
    <cellStyle name="Border, Left" xfId="2468"/>
    <cellStyle name="Border, Left 2" xfId="2469"/>
    <cellStyle name="Border, Left 3" xfId="4370"/>
    <cellStyle name="Border, Right" xfId="2470"/>
    <cellStyle name="Border, Top" xfId="2471"/>
    <cellStyle name="bottom-title" xfId="2472"/>
    <cellStyle name="Bullet" xfId="201"/>
    <cellStyle name="Bullet 2" xfId="2473"/>
    <cellStyle name="C?AØ_laroux_1ON" xfId="4217"/>
    <cellStyle name="c_HardInc" xfId="2474"/>
    <cellStyle name="c_HardInc " xfId="202"/>
    <cellStyle name="c_HardInc  2" xfId="2475"/>
    <cellStyle name="c_HardInc  2 2" xfId="2476"/>
    <cellStyle name="c_HardInc _Catalog" xfId="2477"/>
    <cellStyle name="c_HardInc _JapaneseCatalog" xfId="2478"/>
    <cellStyle name="c_HardInc _RRST1" xfId="203"/>
    <cellStyle name="c_HardInc _RRST1 2" xfId="204"/>
    <cellStyle name="c_HardInc _RRST12" xfId="205"/>
    <cellStyle name="c_HardInc _RRST19" xfId="206"/>
    <cellStyle name="c_HardInc _RRST19 2" xfId="207"/>
    <cellStyle name="c_HardInc _RRST20" xfId="208"/>
    <cellStyle name="c_HardInc _RRST20 2" xfId="209"/>
    <cellStyle name="c_HardInc _RRST25" xfId="210"/>
    <cellStyle name="c_HardInc _RRST25 2" xfId="211"/>
    <cellStyle name="c_HardInc _RRST3" xfId="212"/>
    <cellStyle name="c_HardInc _RRST6" xfId="213"/>
    <cellStyle name="c_HardInc _RRST6 2" xfId="214"/>
    <cellStyle name="c_HardInc _RRST9" xfId="1537"/>
    <cellStyle name="c_HardInc _RRST9 2" xfId="1538"/>
    <cellStyle name="C¡IA¨ª_¡ic¨u¡A¨￢I¨￢¡Æ AN¡Æe " xfId="215"/>
    <cellStyle name="C￥AØ_  FAB AIA¤  " xfId="216"/>
    <cellStyle name="Ç¥ÁØ_»ç¾÷ºÎº° ÃÑ°è " xfId="217"/>
    <cellStyle name="C￥AØ_≫c¾÷ºIº° AN°e " xfId="218"/>
    <cellStyle name="Ç¥ÁØ_0N-HANDLING " xfId="219"/>
    <cellStyle name="C￥AØ_¼±AoAc°i_1_³≫ºI°eE¹´e AßA¤A÷AI " xfId="220"/>
    <cellStyle name="Ç¥ÁØ_5-1±¤°í " xfId="221"/>
    <cellStyle name="C￥AØ_5-1±¤°i _6RCB1 " xfId="222"/>
    <cellStyle name="Ç¥ÁØ_Áý°èÇ¥(2¿ù) " xfId="223"/>
    <cellStyle name="C￥AØ_CoAo¹yAI °A¾×¿ⓒ½A " xfId="224"/>
    <cellStyle name="Ç¥ÁØ_cover " xfId="225"/>
    <cellStyle name="C05_Style E Text" xfId="226"/>
    <cellStyle name="Calc Currency (0)" xfId="2479"/>
    <cellStyle name="Calculation" xfId="1955" builtinId="22" customBuiltin="1"/>
    <cellStyle name="Calculation 2" xfId="227"/>
    <cellStyle name="Calculation 2 2" xfId="1541"/>
    <cellStyle name="Calculation 2 3" xfId="1540"/>
    <cellStyle name="Calculation 3" xfId="1542"/>
    <cellStyle name="Calculation 3 2" xfId="2481"/>
    <cellStyle name="Calculation 3 3" xfId="2480"/>
    <cellStyle name="CashFlow" xfId="2482"/>
    <cellStyle name="Cents" xfId="228"/>
    <cellStyle name="Cents 2" xfId="2483"/>
    <cellStyle name="Cents 3" xfId="4218"/>
    <cellStyle name="Change" xfId="2484"/>
    <cellStyle name="Changeable" xfId="229"/>
    <cellStyle name="ChartingText" xfId="2485"/>
    <cellStyle name="Check Cell" xfId="1957" builtinId="23" customBuiltin="1"/>
    <cellStyle name="Check Cell 2" xfId="230"/>
    <cellStyle name="Check Cell 3" xfId="2486"/>
    <cellStyle name="Check Cell 3 2" xfId="2487"/>
    <cellStyle name="CHPAboveAverage" xfId="2488"/>
    <cellStyle name="CHPBelowAverage" xfId="2489"/>
    <cellStyle name="CHPBottom" xfId="2490"/>
    <cellStyle name="CHPTop" xfId="2491"/>
    <cellStyle name="Colhead_left" xfId="231"/>
    <cellStyle name="ColHeading" xfId="4219"/>
    <cellStyle name="ColumnHeaderNormal" xfId="2492"/>
    <cellStyle name="ColumnHeadings" xfId="232"/>
    <cellStyle name="ColumnHeadings2" xfId="233"/>
    <cellStyle name="Comma" xfId="234" builtinId="3"/>
    <cellStyle name="Comma  - Style1" xfId="235"/>
    <cellStyle name="Comma  - Style1 2" xfId="4220"/>
    <cellStyle name="Comma  - Style2" xfId="236"/>
    <cellStyle name="Comma  - Style2 2" xfId="2493"/>
    <cellStyle name="Comma  - Style2 3" xfId="4221"/>
    <cellStyle name="Comma  - Style3" xfId="237"/>
    <cellStyle name="Comma  - Style3 2" xfId="2494"/>
    <cellStyle name="Comma  - Style3 3" xfId="4222"/>
    <cellStyle name="Comma  - Style4" xfId="238"/>
    <cellStyle name="Comma  - Style4 2" xfId="2495"/>
    <cellStyle name="Comma  - Style4 3" xfId="4223"/>
    <cellStyle name="Comma  - Style5" xfId="239"/>
    <cellStyle name="Comma  - Style5 2" xfId="2496"/>
    <cellStyle name="Comma  - Style5 3" xfId="4224"/>
    <cellStyle name="Comma  - Style6" xfId="240"/>
    <cellStyle name="Comma  - Style6 2" xfId="2497"/>
    <cellStyle name="Comma  - Style6 3" xfId="4225"/>
    <cellStyle name="Comma  - Style7" xfId="241"/>
    <cellStyle name="Comma  - Style7 2" xfId="2498"/>
    <cellStyle name="Comma  - Style7 3" xfId="4226"/>
    <cellStyle name="Comma  - Style8" xfId="242"/>
    <cellStyle name="Comma  - Style8 2" xfId="2499"/>
    <cellStyle name="Comma  - Style8 3" xfId="4227"/>
    <cellStyle name="Comma (1)" xfId="2500"/>
    <cellStyle name="Comma [0] 2" xfId="1545"/>
    <cellStyle name="Comma [0] 3" xfId="1546"/>
    <cellStyle name="Comma [1]" xfId="2501"/>
    <cellStyle name="Comma [2]" xfId="2502"/>
    <cellStyle name="Comma 10" xfId="243"/>
    <cellStyle name="Comma 10 2" xfId="244"/>
    <cellStyle name="Comma 10 2 2" xfId="245"/>
    <cellStyle name="Comma 10 2 2 2" xfId="959"/>
    <cellStyle name="Comma 10 2 3" xfId="1549"/>
    <cellStyle name="Comma 10 2 3 2" xfId="2503"/>
    <cellStyle name="Comma 10 3" xfId="246"/>
    <cellStyle name="Comma 10 3 2" xfId="960"/>
    <cellStyle name="Comma 10 3 2 2" xfId="2504"/>
    <cellStyle name="Comma 10 3 3" xfId="2505"/>
    <cellStyle name="Comma 10 4" xfId="1551"/>
    <cellStyle name="Comma 10 4 2" xfId="2506"/>
    <cellStyle name="Comma 10 4 3" xfId="2507"/>
    <cellStyle name="Comma 10 5" xfId="2508"/>
    <cellStyle name="Comma 10 5 2" xfId="2509"/>
    <cellStyle name="Comma 10 5 3" xfId="2510"/>
    <cellStyle name="Comma 10 5 4" xfId="2511"/>
    <cellStyle name="Comma 10 5 5" xfId="4334"/>
    <cellStyle name="Comma 10 5 5 2" xfId="6692"/>
    <cellStyle name="Comma 100" xfId="2512"/>
    <cellStyle name="Comma 101" xfId="2513"/>
    <cellStyle name="Comma 102" xfId="2514"/>
    <cellStyle name="Comma 103" xfId="2515"/>
    <cellStyle name="Comma 104" xfId="2516"/>
    <cellStyle name="Comma 105" xfId="2517"/>
    <cellStyle name="Comma 106" xfId="2518"/>
    <cellStyle name="Comma 107" xfId="2519"/>
    <cellStyle name="Comma 108" xfId="2520"/>
    <cellStyle name="Comma 109" xfId="2521"/>
    <cellStyle name="Comma 11" xfId="247"/>
    <cellStyle name="Comma 11 2" xfId="248"/>
    <cellStyle name="Comma 11 2 2" xfId="962"/>
    <cellStyle name="Comma 11 2 2 2" xfId="2522"/>
    <cellStyle name="Comma 11 2 3" xfId="2523"/>
    <cellStyle name="Comma 11 3" xfId="961"/>
    <cellStyle name="Comma 11 3 2" xfId="2524"/>
    <cellStyle name="Comma 11 3 2 2" xfId="2525"/>
    <cellStyle name="Comma 11 3 3" xfId="2526"/>
    <cellStyle name="Comma 11 4" xfId="2527"/>
    <cellStyle name="Comma 11 4 2" xfId="2528"/>
    <cellStyle name="Comma 11 5" xfId="2529"/>
    <cellStyle name="Comma 110" xfId="2530"/>
    <cellStyle name="Comma 111" xfId="2531"/>
    <cellStyle name="Comma 112" xfId="2532"/>
    <cellStyle name="Comma 113" xfId="2533"/>
    <cellStyle name="Comma 114" xfId="2534"/>
    <cellStyle name="Comma 115" xfId="2535"/>
    <cellStyle name="Comma 116" xfId="2536"/>
    <cellStyle name="Comma 117" xfId="2537"/>
    <cellStyle name="Comma 118" xfId="2538"/>
    <cellStyle name="Comma 119" xfId="2539"/>
    <cellStyle name="Comma 12" xfId="249"/>
    <cellStyle name="Comma 12 2" xfId="250"/>
    <cellStyle name="Comma 12 2 2" xfId="964"/>
    <cellStyle name="Comma 12 3" xfId="963"/>
    <cellStyle name="Comma 120" xfId="2540"/>
    <cellStyle name="Comma 121" xfId="2541"/>
    <cellStyle name="Comma 122" xfId="2542"/>
    <cellStyle name="Comma 123" xfId="4023"/>
    <cellStyle name="Comma 124" xfId="4379"/>
    <cellStyle name="Comma 13" xfId="251"/>
    <cellStyle name="Comma 13 2" xfId="252"/>
    <cellStyle name="Comma 13 2 2" xfId="966"/>
    <cellStyle name="Comma 13 3" xfId="965"/>
    <cellStyle name="Comma 14" xfId="253"/>
    <cellStyle name="Comma 14 2" xfId="254"/>
    <cellStyle name="Comma 14 2 2" xfId="968"/>
    <cellStyle name="Comma 14 3" xfId="967"/>
    <cellStyle name="Comma 15" xfId="255"/>
    <cellStyle name="Comma 15 2" xfId="256"/>
    <cellStyle name="Comma 15 2 2" xfId="970"/>
    <cellStyle name="Comma 15 3" xfId="969"/>
    <cellStyle name="Comma 16" xfId="257"/>
    <cellStyle name="Comma 16 2" xfId="258"/>
    <cellStyle name="Comma 16 2 2" xfId="972"/>
    <cellStyle name="Comma 16 3" xfId="971"/>
    <cellStyle name="Comma 17" xfId="259"/>
    <cellStyle name="Comma 17 2" xfId="260"/>
    <cellStyle name="Comma 17 2 2" xfId="261"/>
    <cellStyle name="Comma 17 2 2 2" xfId="975"/>
    <cellStyle name="Comma 17 2 3" xfId="974"/>
    <cellStyle name="Comma 17 3" xfId="262"/>
    <cellStyle name="Comma 17 3 2" xfId="976"/>
    <cellStyle name="Comma 17 4" xfId="973"/>
    <cellStyle name="Comma 18" xfId="263"/>
    <cellStyle name="Comma 18 2" xfId="264"/>
    <cellStyle name="Comma 18 2 2" xfId="265"/>
    <cellStyle name="Comma 18 2 2 2" xfId="979"/>
    <cellStyle name="Comma 18 2 3" xfId="978"/>
    <cellStyle name="Comma 18 3" xfId="266"/>
    <cellStyle name="Comma 18 3 2" xfId="980"/>
    <cellStyle name="Comma 18 4" xfId="977"/>
    <cellStyle name="Comma 19" xfId="267"/>
    <cellStyle name="Comma 19 2" xfId="268"/>
    <cellStyle name="Comma 19 2 2" xfId="269"/>
    <cellStyle name="Comma 19 2 2 2" xfId="983"/>
    <cellStyle name="Comma 19 2 3" xfId="982"/>
    <cellStyle name="Comma 19 3" xfId="270"/>
    <cellStyle name="Comma 19 3 2" xfId="984"/>
    <cellStyle name="Comma 19 4" xfId="981"/>
    <cellStyle name="Comma 19 4 2" xfId="2543"/>
    <cellStyle name="Comma 19 4 2 2" xfId="2544"/>
    <cellStyle name="Comma 19 4 2 2 2" xfId="2545"/>
    <cellStyle name="Comma 19 4 2 2 3" xfId="2546"/>
    <cellStyle name="Comma 19 4 2 3" xfId="2547"/>
    <cellStyle name="Comma 19 4 2 4" xfId="2548"/>
    <cellStyle name="Comma 19 4 3" xfId="2549"/>
    <cellStyle name="Comma 19 4 3 2" xfId="2550"/>
    <cellStyle name="Comma 19 4 3 3" xfId="2551"/>
    <cellStyle name="Comma 19 4 4" xfId="2552"/>
    <cellStyle name="Comma 19 4 5" xfId="2553"/>
    <cellStyle name="Comma 19 4 6" xfId="2554"/>
    <cellStyle name="Comma 19 5" xfId="2555"/>
    <cellStyle name="Comma 19 5 2" xfId="2556"/>
    <cellStyle name="Comma 19 5 2 2" xfId="2557"/>
    <cellStyle name="Comma 19 5 2 3" xfId="2558"/>
    <cellStyle name="Comma 19 5 3" xfId="2559"/>
    <cellStyle name="Comma 19 5 4" xfId="2560"/>
    <cellStyle name="Comma 19 6" xfId="2561"/>
    <cellStyle name="Comma 19 6 2" xfId="2562"/>
    <cellStyle name="Comma 19 6 3" xfId="2563"/>
    <cellStyle name="Comma 19 7" xfId="2564"/>
    <cellStyle name="Comma 19 7 2" xfId="2565"/>
    <cellStyle name="Comma 2" xfId="271"/>
    <cellStyle name="Comma 2 2" xfId="272"/>
    <cellStyle name="Comma 2 2 2" xfId="986"/>
    <cellStyle name="Comma 2 2 3" xfId="2566"/>
    <cellStyle name="Comma 2 2 3 2" xfId="4335"/>
    <cellStyle name="Comma 2 2 4" xfId="4026"/>
    <cellStyle name="Comma 2 2 4 2" xfId="6672"/>
    <cellStyle name="Comma 2 3" xfId="985"/>
    <cellStyle name="Comma 2 3 2" xfId="2567"/>
    <cellStyle name="Comma 2 3 2 2" xfId="2568"/>
    <cellStyle name="Comma 2 3 3" xfId="2569"/>
    <cellStyle name="Comma 2 3 4" xfId="4311"/>
    <cellStyle name="Comma 2 3 4 2" xfId="6682"/>
    <cellStyle name="Comma 2 4" xfId="2570"/>
    <cellStyle name="Comma 2 4 2" xfId="2571"/>
    <cellStyle name="Comma 2_Exhibits" xfId="1562"/>
    <cellStyle name="Comma 20" xfId="273"/>
    <cellStyle name="Comma 20 2" xfId="274"/>
    <cellStyle name="Comma 20 2 2" xfId="275"/>
    <cellStyle name="Comma 20 2 2 2" xfId="989"/>
    <cellStyle name="Comma 20 2 3" xfId="988"/>
    <cellStyle name="Comma 20 3" xfId="276"/>
    <cellStyle name="Comma 20 3 2" xfId="990"/>
    <cellStyle name="Comma 20 4" xfId="987"/>
    <cellStyle name="Comma 21" xfId="277"/>
    <cellStyle name="Comma 21 2" xfId="278"/>
    <cellStyle name="Comma 21 2 2" xfId="279"/>
    <cellStyle name="Comma 21 2 2 2" xfId="993"/>
    <cellStyle name="Comma 21 2 3" xfId="992"/>
    <cellStyle name="Comma 21 3" xfId="280"/>
    <cellStyle name="Comma 21 3 2" xfId="994"/>
    <cellStyle name="Comma 21 4" xfId="991"/>
    <cellStyle name="Comma 22" xfId="281"/>
    <cellStyle name="Comma 22 2" xfId="282"/>
    <cellStyle name="Comma 22 2 2" xfId="996"/>
    <cellStyle name="Comma 22 3" xfId="995"/>
    <cellStyle name="Comma 23" xfId="283"/>
    <cellStyle name="Comma 23 2" xfId="284"/>
    <cellStyle name="Comma 23 2 2" xfId="998"/>
    <cellStyle name="Comma 23 3" xfId="997"/>
    <cellStyle name="Comma 24" xfId="285"/>
    <cellStyle name="Comma 24 2" xfId="286"/>
    <cellStyle name="Comma 24 2 2" xfId="1000"/>
    <cellStyle name="Comma 24 3" xfId="999"/>
    <cellStyle name="Comma 24 4" xfId="4309"/>
    <cellStyle name="Comma 25" xfId="287"/>
    <cellStyle name="Comma 25 2" xfId="288"/>
    <cellStyle name="Comma 25 2 2" xfId="1002"/>
    <cellStyle name="Comma 25 3" xfId="1001"/>
    <cellStyle name="Comma 25 4" xfId="4317"/>
    <cellStyle name="Comma 26" xfId="289"/>
    <cellStyle name="Comma 26 2" xfId="290"/>
    <cellStyle name="Comma 26 2 2" xfId="1004"/>
    <cellStyle name="Comma 26 3" xfId="1003"/>
    <cellStyle name="Comma 26 4" xfId="4308"/>
    <cellStyle name="Comma 27" xfId="291"/>
    <cellStyle name="Comma 27 2" xfId="292"/>
    <cellStyle name="Comma 27 2 2" xfId="1006"/>
    <cellStyle name="Comma 27 3" xfId="1005"/>
    <cellStyle name="Comma 27 4" xfId="4318"/>
    <cellStyle name="Comma 27 4 2" xfId="6686"/>
    <cellStyle name="Comma 28" xfId="293"/>
    <cellStyle name="Comma 28 2" xfId="294"/>
    <cellStyle name="Comma 28 2 2" xfId="1008"/>
    <cellStyle name="Comma 28 3" xfId="1007"/>
    <cellStyle name="Comma 28 4" xfId="4315"/>
    <cellStyle name="Comma 28 4 2" xfId="6684"/>
    <cellStyle name="Comma 29" xfId="295"/>
    <cellStyle name="Comma 29 2" xfId="296"/>
    <cellStyle name="Comma 29 2 2" xfId="1010"/>
    <cellStyle name="Comma 29 3" xfId="1009"/>
    <cellStyle name="Comma 29 4" xfId="4313"/>
    <cellStyle name="Comma 29 4 2" xfId="6683"/>
    <cellStyle name="Comma 3" xfId="297"/>
    <cellStyle name="Comma 3 2" xfId="298"/>
    <cellStyle name="Comma 3 2 2" xfId="1012"/>
    <cellStyle name="Comma 3 2 2 2" xfId="1568"/>
    <cellStyle name="Comma 3 2 3" xfId="1569"/>
    <cellStyle name="Comma 3 2 4" xfId="2572"/>
    <cellStyle name="Comma 3 2 4 2" xfId="4336"/>
    <cellStyle name="Comma 3 3" xfId="1011"/>
    <cellStyle name="Comma 3 3 2" xfId="1570"/>
    <cellStyle name="Comma 3 4" xfId="1571"/>
    <cellStyle name="Comma 3 4 2" xfId="2573"/>
    <cellStyle name="Comma 3 4 3" xfId="2574"/>
    <cellStyle name="Comma 3 5" xfId="2575"/>
    <cellStyle name="Comma 3 5 2" xfId="2576"/>
    <cellStyle name="Comma 3 5 3" xfId="2577"/>
    <cellStyle name="Comma 3 6" xfId="4027"/>
    <cellStyle name="Comma 3 6 2" xfId="4908"/>
    <cellStyle name="Comma 3 6 2 2" xfId="7228"/>
    <cellStyle name="Comma 30" xfId="299"/>
    <cellStyle name="Comma 30 2" xfId="300"/>
    <cellStyle name="Comma 30 2 2" xfId="1014"/>
    <cellStyle name="Comma 30 3" xfId="1013"/>
    <cellStyle name="Comma 31" xfId="301"/>
    <cellStyle name="Comma 31 2" xfId="302"/>
    <cellStyle name="Comma 31 2 2" xfId="1016"/>
    <cellStyle name="Comma 31 3" xfId="1015"/>
    <cellStyle name="Comma 32" xfId="303"/>
    <cellStyle name="Comma 32 2" xfId="304"/>
    <cellStyle name="Comma 32 2 2" xfId="1018"/>
    <cellStyle name="Comma 32 3" xfId="1017"/>
    <cellStyle name="Comma 33" xfId="305"/>
    <cellStyle name="Comma 33 2" xfId="306"/>
    <cellStyle name="Comma 33 2 2" xfId="1020"/>
    <cellStyle name="Comma 33 3" xfId="1019"/>
    <cellStyle name="Comma 34" xfId="307"/>
    <cellStyle name="Comma 34 2" xfId="308"/>
    <cellStyle name="Comma 34 2 2" xfId="1022"/>
    <cellStyle name="Comma 34 3" xfId="1021"/>
    <cellStyle name="Comma 35" xfId="309"/>
    <cellStyle name="Comma 35 2" xfId="310"/>
    <cellStyle name="Comma 35 2 2" xfId="1024"/>
    <cellStyle name="Comma 35 3" xfId="1023"/>
    <cellStyle name="Comma 36" xfId="311"/>
    <cellStyle name="Comma 36 2" xfId="312"/>
    <cellStyle name="Comma 36 2 2" xfId="1026"/>
    <cellStyle name="Comma 36 3" xfId="1025"/>
    <cellStyle name="Comma 37" xfId="313"/>
    <cellStyle name="Comma 37 2" xfId="314"/>
    <cellStyle name="Comma 37 2 2" xfId="1028"/>
    <cellStyle name="Comma 37 3" xfId="1027"/>
    <cellStyle name="Comma 38" xfId="315"/>
    <cellStyle name="Comma 38 2" xfId="316"/>
    <cellStyle name="Comma 38 2 2" xfId="1030"/>
    <cellStyle name="Comma 38 3" xfId="1029"/>
    <cellStyle name="Comma 39" xfId="317"/>
    <cellStyle name="Comma 39 2" xfId="318"/>
    <cellStyle name="Comma 39 2 2" xfId="1032"/>
    <cellStyle name="Comma 39 3" xfId="1031"/>
    <cellStyle name="Comma 4" xfId="319"/>
    <cellStyle name="Comma 4 2" xfId="320"/>
    <cellStyle name="Comma 4 2 2" xfId="1034"/>
    <cellStyle name="Comma 4 2 2 2" xfId="2578"/>
    <cellStyle name="Comma 4 2 3" xfId="2579"/>
    <cellStyle name="Comma 4 2 4" xfId="2580"/>
    <cellStyle name="Comma 4 3" xfId="1033"/>
    <cellStyle name="Comma 4 3 2" xfId="2581"/>
    <cellStyle name="Comma 4 4" xfId="2582"/>
    <cellStyle name="Comma 4 4 2" xfId="2583"/>
    <cellStyle name="Comma 4 5" xfId="4028"/>
    <cellStyle name="Comma 40" xfId="321"/>
    <cellStyle name="Comma 40 2" xfId="322"/>
    <cellStyle name="Comma 40 2 2" xfId="1036"/>
    <cellStyle name="Comma 40 3" xfId="1035"/>
    <cellStyle name="Comma 41" xfId="323"/>
    <cellStyle name="Comma 41 2" xfId="324"/>
    <cellStyle name="Comma 41 2 2" xfId="1038"/>
    <cellStyle name="Comma 41 3" xfId="1037"/>
    <cellStyle name="Comma 42" xfId="325"/>
    <cellStyle name="Comma 42 2" xfId="326"/>
    <cellStyle name="Comma 42 2 2" xfId="1040"/>
    <cellStyle name="Comma 42 3" xfId="1039"/>
    <cellStyle name="Comma 42 4" xfId="2584"/>
    <cellStyle name="Comma 42 4 2" xfId="2585"/>
    <cellStyle name="Comma 42 4 3" xfId="2586"/>
    <cellStyle name="Comma 42 5" xfId="2587"/>
    <cellStyle name="Comma 42 6" xfId="2588"/>
    <cellStyle name="Comma 42 7" xfId="2589"/>
    <cellStyle name="Comma 43" xfId="327"/>
    <cellStyle name="Comma 43 2" xfId="328"/>
    <cellStyle name="Comma 43 2 2" xfId="1042"/>
    <cellStyle name="Comma 43 3" xfId="1041"/>
    <cellStyle name="Comma 43 4" xfId="2590"/>
    <cellStyle name="Comma 43 4 2" xfId="2591"/>
    <cellStyle name="Comma 43 4 3" xfId="2592"/>
    <cellStyle name="Comma 43 5" xfId="2593"/>
    <cellStyle name="Comma 43 6" xfId="2594"/>
    <cellStyle name="Comma 43 7" xfId="2595"/>
    <cellStyle name="Comma 44" xfId="329"/>
    <cellStyle name="Comma 44 2" xfId="1043"/>
    <cellStyle name="Comma 45" xfId="330"/>
    <cellStyle name="Comma 45 2" xfId="1044"/>
    <cellStyle name="Comma 46" xfId="331"/>
    <cellStyle name="Comma 46 2" xfId="1045"/>
    <cellStyle name="Comma 47" xfId="332"/>
    <cellStyle name="Comma 47 2" xfId="1046"/>
    <cellStyle name="Comma 48" xfId="333"/>
    <cellStyle name="Comma 48 2" xfId="1047"/>
    <cellStyle name="Comma 49" xfId="334"/>
    <cellStyle name="Comma 49 2" xfId="1048"/>
    <cellStyle name="Comma 5" xfId="335"/>
    <cellStyle name="Comma 5 2" xfId="336"/>
    <cellStyle name="Comma 5 2 2" xfId="1050"/>
    <cellStyle name="Comma 5 2 2 2" xfId="2596"/>
    <cellStyle name="Comma 5 2 3" xfId="2597"/>
    <cellStyle name="Comma 5 3" xfId="1049"/>
    <cellStyle name="Comma 5 3 2" xfId="2598"/>
    <cellStyle name="Comma 5 4" xfId="2599"/>
    <cellStyle name="Comma 5 4 2" xfId="2600"/>
    <cellStyle name="Comma 50" xfId="337"/>
    <cellStyle name="Comma 50 2" xfId="1051"/>
    <cellStyle name="Comma 51" xfId="338"/>
    <cellStyle name="Comma 51 2" xfId="1052"/>
    <cellStyle name="Comma 52" xfId="339"/>
    <cellStyle name="Comma 52 2" xfId="340"/>
    <cellStyle name="Comma 52 2 2" xfId="341"/>
    <cellStyle name="Comma 52 2 2 2" xfId="1055"/>
    <cellStyle name="Comma 52 2 3" xfId="1054"/>
    <cellStyle name="Comma 52 3" xfId="342"/>
    <cellStyle name="Comma 52 3 2" xfId="1056"/>
    <cellStyle name="Comma 52 4" xfId="1053"/>
    <cellStyle name="Comma 53" xfId="343"/>
    <cellStyle name="Comma 53 2" xfId="344"/>
    <cellStyle name="Comma 53 2 2" xfId="345"/>
    <cellStyle name="Comma 53 2 2 2" xfId="1059"/>
    <cellStyle name="Comma 53 2 3" xfId="1058"/>
    <cellStyle name="Comma 53 3" xfId="346"/>
    <cellStyle name="Comma 53 3 2" xfId="1060"/>
    <cellStyle name="Comma 53 4" xfId="1057"/>
    <cellStyle name="Comma 54" xfId="347"/>
    <cellStyle name="Comma 54 2" xfId="348"/>
    <cellStyle name="Comma 54 2 2" xfId="349"/>
    <cellStyle name="Comma 54 2 2 2" xfId="1063"/>
    <cellStyle name="Comma 54 2 3" xfId="1062"/>
    <cellStyle name="Comma 54 3" xfId="350"/>
    <cellStyle name="Comma 54 3 2" xfId="1064"/>
    <cellStyle name="Comma 54 4" xfId="1061"/>
    <cellStyle name="Comma 55" xfId="351"/>
    <cellStyle name="Comma 55 2" xfId="352"/>
    <cellStyle name="Comma 55 2 2" xfId="353"/>
    <cellStyle name="Comma 55 2 2 2" xfId="1067"/>
    <cellStyle name="Comma 55 2 3" xfId="1066"/>
    <cellStyle name="Comma 55 3" xfId="354"/>
    <cellStyle name="Comma 55 3 2" xfId="1068"/>
    <cellStyle name="Comma 55 4" xfId="1065"/>
    <cellStyle name="Comma 56" xfId="355"/>
    <cellStyle name="Comma 56 2" xfId="356"/>
    <cellStyle name="Comma 56 2 2" xfId="357"/>
    <cellStyle name="Comma 56 2 2 2" xfId="1071"/>
    <cellStyle name="Comma 56 2 3" xfId="1070"/>
    <cellStyle name="Comma 56 3" xfId="358"/>
    <cellStyle name="Comma 56 3 2" xfId="1072"/>
    <cellStyle name="Comma 56 4" xfId="1069"/>
    <cellStyle name="Comma 57" xfId="359"/>
    <cellStyle name="Comma 57 2" xfId="360"/>
    <cellStyle name="Comma 57 2 2" xfId="361"/>
    <cellStyle name="Comma 57 2 2 2" xfId="1075"/>
    <cellStyle name="Comma 57 2 3" xfId="1074"/>
    <cellStyle name="Comma 57 3" xfId="362"/>
    <cellStyle name="Comma 57 3 2" xfId="1076"/>
    <cellStyle name="Comma 57 4" xfId="1073"/>
    <cellStyle name="Comma 58" xfId="363"/>
    <cellStyle name="Comma 58 2" xfId="364"/>
    <cellStyle name="Comma 58 2 2" xfId="365"/>
    <cellStyle name="Comma 58 2 2 2" xfId="1079"/>
    <cellStyle name="Comma 58 2 3" xfId="1078"/>
    <cellStyle name="Comma 58 3" xfId="366"/>
    <cellStyle name="Comma 58 3 2" xfId="1080"/>
    <cellStyle name="Comma 58 4" xfId="1077"/>
    <cellStyle name="Comma 59" xfId="367"/>
    <cellStyle name="Comma 59 2" xfId="368"/>
    <cellStyle name="Comma 59 2 2" xfId="1082"/>
    <cellStyle name="Comma 59 3" xfId="1081"/>
    <cellStyle name="Comma 6" xfId="369"/>
    <cellStyle name="Comma 6 2" xfId="370"/>
    <cellStyle name="Comma 6 2 2" xfId="1084"/>
    <cellStyle name="Comma 6 2 2 2" xfId="2601"/>
    <cellStyle name="Comma 6 2 3" xfId="2602"/>
    <cellStyle name="Comma 6 3" xfId="1083"/>
    <cellStyle name="Comma 6 3 2" xfId="2603"/>
    <cellStyle name="Comma 6 4" xfId="2604"/>
    <cellStyle name="Comma 6 4 2" xfId="2605"/>
    <cellStyle name="Comma 6 4 3" xfId="2606"/>
    <cellStyle name="Comma 6 5" xfId="2607"/>
    <cellStyle name="Comma 60" xfId="371"/>
    <cellStyle name="Comma 60 2" xfId="372"/>
    <cellStyle name="Comma 60 2 2" xfId="1086"/>
    <cellStyle name="Comma 60 3" xfId="1085"/>
    <cellStyle name="Comma 61" xfId="373"/>
    <cellStyle name="Comma 61 2" xfId="374"/>
    <cellStyle name="Comma 61 2 2" xfId="1088"/>
    <cellStyle name="Comma 61 3" xfId="1087"/>
    <cellStyle name="Comma 61 3 2" xfId="2608"/>
    <cellStyle name="Comma 62" xfId="375"/>
    <cellStyle name="Comma 62 2" xfId="376"/>
    <cellStyle name="Comma 62 2 2" xfId="1090"/>
    <cellStyle name="Comma 62 3" xfId="1089"/>
    <cellStyle name="Comma 63" xfId="377"/>
    <cellStyle name="Comma 63 2" xfId="378"/>
    <cellStyle name="Comma 63 2 2" xfId="1092"/>
    <cellStyle name="Comma 63 3" xfId="1091"/>
    <cellStyle name="Comma 64" xfId="379"/>
    <cellStyle name="Comma 64 2" xfId="1093"/>
    <cellStyle name="Comma 65" xfId="380"/>
    <cellStyle name="Comma 65 2" xfId="1094"/>
    <cellStyle name="Comma 65 2 2" xfId="2609"/>
    <cellStyle name="Comma 65 2 3" xfId="2610"/>
    <cellStyle name="Comma 65 2 4" xfId="2611"/>
    <cellStyle name="Comma 65 3" xfId="2612"/>
    <cellStyle name="Comma 65 4" xfId="2613"/>
    <cellStyle name="Comma 65 5" xfId="2614"/>
    <cellStyle name="Comma 66" xfId="381"/>
    <cellStyle name="Comma 66 2" xfId="1095"/>
    <cellStyle name="Comma 66 3" xfId="2615"/>
    <cellStyle name="Comma 67" xfId="382"/>
    <cellStyle name="Comma 67 2" xfId="1096"/>
    <cellStyle name="Comma 67 2 2" xfId="2616"/>
    <cellStyle name="Comma 67 3" xfId="2617"/>
    <cellStyle name="Comma 68" xfId="383"/>
    <cellStyle name="Comma 68 2" xfId="1097"/>
    <cellStyle name="Comma 68 2 2" xfId="2618"/>
    <cellStyle name="Comma 68 3" xfId="2619"/>
    <cellStyle name="Comma 69" xfId="384"/>
    <cellStyle name="Comma 69 2" xfId="1098"/>
    <cellStyle name="Comma 7" xfId="385"/>
    <cellStyle name="Comma 7 2" xfId="386"/>
    <cellStyle name="Comma 7 2 2" xfId="1100"/>
    <cellStyle name="Comma 7 3" xfId="1099"/>
    <cellStyle name="Comma 7 3 2" xfId="2621"/>
    <cellStyle name="Comma 7 3 3" xfId="2620"/>
    <cellStyle name="Comma 70" xfId="387"/>
    <cellStyle name="Comma 70 2" xfId="1101"/>
    <cellStyle name="Comma 71" xfId="1572"/>
    <cellStyle name="Comma 71 2" xfId="2622"/>
    <cellStyle name="Comma 71 2 2" xfId="2623"/>
    <cellStyle name="Comma 71 2 3" xfId="2624"/>
    <cellStyle name="Comma 71 3" xfId="2625"/>
    <cellStyle name="Comma 72" xfId="1573"/>
    <cellStyle name="Comma 72 2" xfId="2626"/>
    <cellStyle name="Comma 72 2 2" xfId="2627"/>
    <cellStyle name="Comma 72 2 3" xfId="2628"/>
    <cellStyle name="Comma 72 3" xfId="2629"/>
    <cellStyle name="Comma 73" xfId="1574"/>
    <cellStyle name="Comma 73 2" xfId="2630"/>
    <cellStyle name="Comma 73 2 2" xfId="2631"/>
    <cellStyle name="Comma 73 2 3" xfId="2632"/>
    <cellStyle name="Comma 73 3" xfId="2633"/>
    <cellStyle name="Comma 74" xfId="1575"/>
    <cellStyle name="Comma 74 2" xfId="2634"/>
    <cellStyle name="Comma 74 2 2" xfId="2635"/>
    <cellStyle name="Comma 74 2 3" xfId="2636"/>
    <cellStyle name="Comma 74 3" xfId="2637"/>
    <cellStyle name="Comma 75" xfId="1576"/>
    <cellStyle name="Comma 75 2" xfId="2638"/>
    <cellStyle name="Comma 75 2 2" xfId="2639"/>
    <cellStyle name="Comma 75 2 3" xfId="2640"/>
    <cellStyle name="Comma 75 2 4" xfId="2641"/>
    <cellStyle name="Comma 75 3" xfId="2642"/>
    <cellStyle name="Comma 75 4" xfId="2643"/>
    <cellStyle name="Comma 76" xfId="1577"/>
    <cellStyle name="Comma 76 2" xfId="2644"/>
    <cellStyle name="Comma 76 2 2" xfId="2645"/>
    <cellStyle name="Comma 76 2 3" xfId="2646"/>
    <cellStyle name="Comma 76 2 4" xfId="2647"/>
    <cellStyle name="Comma 76 3" xfId="2648"/>
    <cellStyle name="Comma 76 4" xfId="2649"/>
    <cellStyle name="Comma 77" xfId="1578"/>
    <cellStyle name="Comma 77 2" xfId="2650"/>
    <cellStyle name="Comma 77 2 2" xfId="2651"/>
    <cellStyle name="Comma 77 2 3" xfId="2652"/>
    <cellStyle name="Comma 77 3" xfId="2653"/>
    <cellStyle name="Comma 78" xfId="1579"/>
    <cellStyle name="Comma 78 2" xfId="2654"/>
    <cellStyle name="Comma 78 2 2" xfId="2655"/>
    <cellStyle name="Comma 78 2 3" xfId="2656"/>
    <cellStyle name="Comma 78 3" xfId="2657"/>
    <cellStyle name="Comma 79" xfId="1580"/>
    <cellStyle name="Comma 79 2" xfId="2658"/>
    <cellStyle name="Comma 79 2 2" xfId="2659"/>
    <cellStyle name="Comma 79 2 3" xfId="2660"/>
    <cellStyle name="Comma 79 3" xfId="2661"/>
    <cellStyle name="Comma 8" xfId="388"/>
    <cellStyle name="Comma 8 2" xfId="1102"/>
    <cellStyle name="Comma 8 2 2" xfId="2662"/>
    <cellStyle name="Comma 8 3" xfId="2663"/>
    <cellStyle name="Comma 8 3 2" xfId="2664"/>
    <cellStyle name="Comma 8 3 3" xfId="2665"/>
    <cellStyle name="Comma 8 3 4" xfId="4338"/>
    <cellStyle name="Comma 8 3 4 2" xfId="6693"/>
    <cellStyle name="Comma 8 4" xfId="2666"/>
    <cellStyle name="Comma 8 4 2" xfId="4337"/>
    <cellStyle name="Comma 80" xfId="1581"/>
    <cellStyle name="Comma 80 2" xfId="2667"/>
    <cellStyle name="Comma 80 2 2" xfId="2668"/>
    <cellStyle name="Comma 80 2 3" xfId="2669"/>
    <cellStyle name="Comma 80 3" xfId="2670"/>
    <cellStyle name="Comma 80 4" xfId="2671"/>
    <cellStyle name="Comma 81" xfId="1582"/>
    <cellStyle name="Comma 81 2" xfId="2672"/>
    <cellStyle name="Comma 81 2 2" xfId="2673"/>
    <cellStyle name="Comma 81 2 3" xfId="2674"/>
    <cellStyle name="Comma 81 3" xfId="2675"/>
    <cellStyle name="Comma 81 4" xfId="2676"/>
    <cellStyle name="Comma 82" xfId="1583"/>
    <cellStyle name="Comma 82 2" xfId="2677"/>
    <cellStyle name="Comma 82 3" xfId="2678"/>
    <cellStyle name="Comma 82 4" xfId="2679"/>
    <cellStyle name="Comma 83" xfId="1584"/>
    <cellStyle name="Comma 83 2" xfId="2680"/>
    <cellStyle name="Comma 83 3" xfId="2681"/>
    <cellStyle name="Comma 83 4" xfId="2682"/>
    <cellStyle name="Comma 84" xfId="1585"/>
    <cellStyle name="Comma 84 2" xfId="2683"/>
    <cellStyle name="Comma 84 3" xfId="2684"/>
    <cellStyle name="Comma 85" xfId="1586"/>
    <cellStyle name="Comma 85 2" xfId="2685"/>
    <cellStyle name="Comma 85 3" xfId="2686"/>
    <cellStyle name="Comma 86" xfId="1587"/>
    <cellStyle name="Comma 86 2" xfId="2687"/>
    <cellStyle name="Comma 86 3" xfId="2688"/>
    <cellStyle name="Comma 87" xfId="1588"/>
    <cellStyle name="Comma 87 2" xfId="2689"/>
    <cellStyle name="Comma 87 3" xfId="2690"/>
    <cellStyle name="Comma 88" xfId="2691"/>
    <cellStyle name="Comma 88 2" xfId="2692"/>
    <cellStyle name="Comma 88 3" xfId="2693"/>
    <cellStyle name="Comma 89" xfId="2694"/>
    <cellStyle name="Comma 89 2" xfId="2695"/>
    <cellStyle name="Comma 89 3" xfId="2696"/>
    <cellStyle name="Comma 9" xfId="389"/>
    <cellStyle name="Comma 9 2" xfId="390"/>
    <cellStyle name="Comma 9 2 2" xfId="1589"/>
    <cellStyle name="Comma 9 2 2 2" xfId="2697"/>
    <cellStyle name="Comma 9 2 3" xfId="2698"/>
    <cellStyle name="Comma 9 2 3 2" xfId="2699"/>
    <cellStyle name="Comma 9 3" xfId="391"/>
    <cellStyle name="Comma 9 3 2" xfId="1103"/>
    <cellStyle name="Comma 9 3 2 2" xfId="2700"/>
    <cellStyle name="Comma 9 3 3" xfId="2701"/>
    <cellStyle name="Comma 9 4" xfId="1590"/>
    <cellStyle name="Comma 9 4 2" xfId="2702"/>
    <cellStyle name="Comma 9 4 2 2" xfId="2703"/>
    <cellStyle name="Comma 9 4 3" xfId="2704"/>
    <cellStyle name="Comma 9 5" xfId="2705"/>
    <cellStyle name="Comma 9 5 2" xfId="2706"/>
    <cellStyle name="Comma 9 5 3" xfId="2707"/>
    <cellStyle name="Comma 9 5 4" xfId="4339"/>
    <cellStyle name="Comma 9 5 4 2" xfId="6694"/>
    <cellStyle name="Comma 90" xfId="2708"/>
    <cellStyle name="Comma 90 2" xfId="2709"/>
    <cellStyle name="Comma 90 3" xfId="2710"/>
    <cellStyle name="Comma 91" xfId="2711"/>
    <cellStyle name="Comma 91 2" xfId="2712"/>
    <cellStyle name="Comma 91 3" xfId="2713"/>
    <cellStyle name="Comma 92" xfId="2714"/>
    <cellStyle name="Comma 92 2" xfId="2715"/>
    <cellStyle name="Comma 92 3" xfId="2716"/>
    <cellStyle name="Comma 93" xfId="2717"/>
    <cellStyle name="Comma 93 2" xfId="4905"/>
    <cellStyle name="Comma 93 2 2" xfId="7225"/>
    <cellStyle name="Comma 94" xfId="2718"/>
    <cellStyle name="Comma 95" xfId="2719"/>
    <cellStyle name="Comma 96" xfId="2720"/>
    <cellStyle name="Comma 97" xfId="2721"/>
    <cellStyle name="Comma 98" xfId="2722"/>
    <cellStyle name="Comma 99" xfId="2723"/>
    <cellStyle name="Comma0" xfId="4228"/>
    <cellStyle name="CommaU [0]" xfId="2724"/>
    <cellStyle name="CommaU [1]" xfId="2725"/>
    <cellStyle name="CommaU [2]" xfId="2726"/>
    <cellStyle name="Comment" xfId="392"/>
    <cellStyle name="Comment 2" xfId="4229"/>
    <cellStyle name="Company" xfId="4230"/>
    <cellStyle name="CompanyName" xfId="393"/>
    <cellStyle name="CompanyName 2" xfId="2727"/>
    <cellStyle name="Copied" xfId="2728"/>
    <cellStyle name="CurRatio" xfId="4231"/>
    <cellStyle name="Curren - Style7" xfId="4232"/>
    <cellStyle name="Curren - Style8" xfId="4233"/>
    <cellStyle name="Currency" xfId="394" builtinId="4"/>
    <cellStyle name="Currency (1)" xfId="2729"/>
    <cellStyle name="Currency [1]" xfId="2730"/>
    <cellStyle name="Currency [2]" xfId="2731"/>
    <cellStyle name="Currency 10" xfId="395"/>
    <cellStyle name="Currency 10 2" xfId="396"/>
    <cellStyle name="Currency 10 2 2" xfId="1105"/>
    <cellStyle name="Currency 10 3" xfId="1104"/>
    <cellStyle name="Currency 11" xfId="397"/>
    <cellStyle name="Currency 11 2" xfId="398"/>
    <cellStyle name="Currency 11 2 2" xfId="399"/>
    <cellStyle name="Currency 11 2 2 2" xfId="1108"/>
    <cellStyle name="Currency 11 2 3" xfId="1107"/>
    <cellStyle name="Currency 11 3" xfId="400"/>
    <cellStyle name="Currency 11 3 2" xfId="1109"/>
    <cellStyle name="Currency 11 4" xfId="1106"/>
    <cellStyle name="Currency 12" xfId="401"/>
    <cellStyle name="Currency 12 2" xfId="402"/>
    <cellStyle name="Currency 12 2 2" xfId="1111"/>
    <cellStyle name="Currency 12 3" xfId="1110"/>
    <cellStyle name="Currency 13" xfId="403"/>
    <cellStyle name="Currency 13 2" xfId="1112"/>
    <cellStyle name="Currency 13 3" xfId="2732"/>
    <cellStyle name="Currency 14" xfId="1591"/>
    <cellStyle name="Currency 14 2" xfId="2733"/>
    <cellStyle name="Currency 15" xfId="1592"/>
    <cellStyle name="Currency 15 2" xfId="2734"/>
    <cellStyle name="Currency 16" xfId="1593"/>
    <cellStyle name="Currency 16 2" xfId="2735"/>
    <cellStyle name="Currency 17" xfId="1594"/>
    <cellStyle name="Currency 17 2" xfId="2736"/>
    <cellStyle name="Currency 18" xfId="2737"/>
    <cellStyle name="Currency 19" xfId="2738"/>
    <cellStyle name="Currency 2" xfId="404"/>
    <cellStyle name="Currency 2 2" xfId="405"/>
    <cellStyle name="Currency 2 2 2" xfId="1114"/>
    <cellStyle name="Currency 2 2 2 2" xfId="2739"/>
    <cellStyle name="Currency 2 2 3" xfId="2740"/>
    <cellStyle name="Currency 2 2 4" xfId="4234"/>
    <cellStyle name="Currency 2 3" xfId="1113"/>
    <cellStyle name="Currency 2 3 2" xfId="2741"/>
    <cellStyle name="Currency 2 4" xfId="2742"/>
    <cellStyle name="Currency 20" xfId="2743"/>
    <cellStyle name="Currency 21" xfId="2744"/>
    <cellStyle name="Currency 22" xfId="2745"/>
    <cellStyle name="Currency 23" xfId="2746"/>
    <cellStyle name="Currency 24" xfId="2747"/>
    <cellStyle name="Currency 25" xfId="2748"/>
    <cellStyle name="Currency 26" xfId="2749"/>
    <cellStyle name="Currency 27" xfId="2750"/>
    <cellStyle name="Currency 28" xfId="2751"/>
    <cellStyle name="Currency 29" xfId="2752"/>
    <cellStyle name="Currency 3" xfId="406"/>
    <cellStyle name="Currency 3 2" xfId="407"/>
    <cellStyle name="Currency 3 2 2" xfId="1116"/>
    <cellStyle name="Currency 3 2 2 2" xfId="1595"/>
    <cellStyle name="Currency 3 2 3" xfId="1596"/>
    <cellStyle name="Currency 3 3" xfId="1115"/>
    <cellStyle name="Currency 3 3 2" xfId="1597"/>
    <cellStyle name="Currency 3 4" xfId="1598"/>
    <cellStyle name="Currency 3 5" xfId="2753"/>
    <cellStyle name="Currency 30" xfId="2754"/>
    <cellStyle name="Currency 31" xfId="2755"/>
    <cellStyle name="Currency 32" xfId="2756"/>
    <cellStyle name="Currency 33" xfId="2757"/>
    <cellStyle name="Currency 34" xfId="2758"/>
    <cellStyle name="Currency 35" xfId="2759"/>
    <cellStyle name="Currency 36" xfId="2760"/>
    <cellStyle name="Currency 37" xfId="2761"/>
    <cellStyle name="Currency 38" xfId="2762"/>
    <cellStyle name="Currency 39" xfId="2763"/>
    <cellStyle name="Currency 4" xfId="408"/>
    <cellStyle name="Currency 4 2" xfId="409"/>
    <cellStyle name="Currency 4 2 2" xfId="1118"/>
    <cellStyle name="Currency 4 2 2 2" xfId="2764"/>
    <cellStyle name="Currency 4 2 3" xfId="2765"/>
    <cellStyle name="Currency 4 3" xfId="1117"/>
    <cellStyle name="Currency 4 3 2" xfId="2766"/>
    <cellStyle name="Currency 4 3 2 2" xfId="2767"/>
    <cellStyle name="Currency 4 3 3" xfId="2768"/>
    <cellStyle name="Currency 4 4" xfId="2769"/>
    <cellStyle name="Currency 4 4 2" xfId="2770"/>
    <cellStyle name="Currency 4 4 3" xfId="2771"/>
    <cellStyle name="Currency 4 5" xfId="2772"/>
    <cellStyle name="Currency 4 5 2" xfId="2773"/>
    <cellStyle name="Currency 4 6" xfId="2774"/>
    <cellStyle name="Currency 40" xfId="2775"/>
    <cellStyle name="Currency 41" xfId="2776"/>
    <cellStyle name="Currency 42" xfId="2777"/>
    <cellStyle name="Currency 43" xfId="2778"/>
    <cellStyle name="Currency 44" xfId="2779"/>
    <cellStyle name="Currency 45" xfId="2780"/>
    <cellStyle name="Currency 46" xfId="4024"/>
    <cellStyle name="Currency 47" xfId="4378"/>
    <cellStyle name="Currency 5" xfId="410"/>
    <cellStyle name="Currency 5 2" xfId="411"/>
    <cellStyle name="Currency 5 2 2" xfId="1120"/>
    <cellStyle name="Currency 5 2 2 2" xfId="2781"/>
    <cellStyle name="Currency 5 2 3" xfId="2782"/>
    <cellStyle name="Currency 5 3" xfId="1119"/>
    <cellStyle name="Currency 5 3 2" xfId="2783"/>
    <cellStyle name="Currency 5 4" xfId="1599"/>
    <cellStyle name="Currency 5 4 2" xfId="2784"/>
    <cellStyle name="Currency 6" xfId="412"/>
    <cellStyle name="Currency 6 2" xfId="413"/>
    <cellStyle name="Currency 6 2 2" xfId="1122"/>
    <cellStyle name="Currency 6 3" xfId="1121"/>
    <cellStyle name="Currency 7" xfId="414"/>
    <cellStyle name="Currency 7 2" xfId="415"/>
    <cellStyle name="Currency 7 2 2" xfId="416"/>
    <cellStyle name="Currency 7 2 2 2" xfId="1125"/>
    <cellStyle name="Currency 7 2 3" xfId="1124"/>
    <cellStyle name="Currency 7 3" xfId="417"/>
    <cellStyle name="Currency 7 3 2" xfId="1126"/>
    <cellStyle name="Currency 7 4" xfId="1123"/>
    <cellStyle name="Currency 8" xfId="418"/>
    <cellStyle name="Currency 8 2" xfId="419"/>
    <cellStyle name="Currency 8 2 2" xfId="1128"/>
    <cellStyle name="Currency 8 3" xfId="420"/>
    <cellStyle name="Currency 8 3 2" xfId="1129"/>
    <cellStyle name="Currency 8 4" xfId="1127"/>
    <cellStyle name="Currency 9" xfId="421"/>
    <cellStyle name="Currency 9 2" xfId="422"/>
    <cellStyle name="Currency 9 2 2" xfId="1131"/>
    <cellStyle name="Currency 9 3" xfId="1130"/>
    <cellStyle name="Currency(1)" xfId="2785"/>
    <cellStyle name="Currency(1) 2" xfId="4235"/>
    <cellStyle name="Currency0" xfId="4236"/>
    <cellStyle name="CUS.Work.Area" xfId="4237"/>
    <cellStyle name="C㯵rrency_㳔PC Data" xfId="4238"/>
    <cellStyle name="d_yield_AA - BenefitsBonus " xfId="2786"/>
    <cellStyle name="d_yield_AA - BenefitsBonus  2" xfId="4310"/>
    <cellStyle name="Dash" xfId="423"/>
    <cellStyle name="Dash 2" xfId="2787"/>
    <cellStyle name="Data_0dp" xfId="4239"/>
    <cellStyle name="DataEntry" xfId="4240"/>
    <cellStyle name="DataEntry%" xfId="4241"/>
    <cellStyle name="DataEntry_Model2401" xfId="4242"/>
    <cellStyle name="DataPercentStyle" xfId="1600"/>
    <cellStyle name="DataStyle" xfId="1601"/>
    <cellStyle name="DataStyleForecast" xfId="1602"/>
    <cellStyle name="Date" xfId="424"/>
    <cellStyle name="Date m-yy" xfId="1603"/>
    <cellStyle name="Date m-yy 2" xfId="2788"/>
    <cellStyle name="Date2" xfId="425"/>
    <cellStyle name="Dates" xfId="2789"/>
    <cellStyle name="DateYear" xfId="2790"/>
    <cellStyle name="Decimal" xfId="426"/>
    <cellStyle name="decimal 1" xfId="427"/>
    <cellStyle name="Decimal 2" xfId="4243"/>
    <cellStyle name="Decimal_ConsensusPanel_v20080325 (2)" xfId="2791"/>
    <cellStyle name="Derive" xfId="4244"/>
    <cellStyle name="Detail ligne" xfId="1604"/>
    <cellStyle name="Dezimal_ACEA" xfId="1605"/>
    <cellStyle name="Dollar" xfId="428"/>
    <cellStyle name="Dollar 2" xfId="2792"/>
    <cellStyle name="Dollars" xfId="429"/>
    <cellStyle name="Dollars 2" xfId="2793"/>
    <cellStyle name="DollarWhole" xfId="2794"/>
    <cellStyle name="Entered" xfId="2795"/>
    <cellStyle name="Euro" xfId="2796"/>
    <cellStyle name="Explanatory Text" xfId="1959" builtinId="53" customBuiltin="1"/>
    <cellStyle name="Explanatory Text 2" xfId="430"/>
    <cellStyle name="Explanatory Text 3" xfId="2797"/>
    <cellStyle name="Explanatory Text 3 2" xfId="2798"/>
    <cellStyle name="f‰H_x0010_‹Ëf‰h,ÿt$_x0018_è¸Wÿÿé&gt;Ëÿÿ÷Ç_x0001_" xfId="2799"/>
    <cellStyle name="Fail" xfId="431"/>
    <cellStyle name="Fail 2" xfId="2800"/>
    <cellStyle name="Fail 2 2" xfId="2801"/>
    <cellStyle name="Fail 2 3" xfId="2802"/>
    <cellStyle name="FieldName" xfId="432"/>
    <cellStyle name="FiscalPeriod" xfId="433"/>
    <cellStyle name="FiscalPeriod 2" xfId="2803"/>
    <cellStyle name="FiscalPeriod 2 2" xfId="2804"/>
    <cellStyle name="FiscalPeriod 2 3" xfId="2805"/>
    <cellStyle name="Fixed" xfId="434"/>
    <cellStyle name="Fixed (1)" xfId="4245"/>
    <cellStyle name="Fixed [2]" xfId="4246"/>
    <cellStyle name="Fixed 2" xfId="2806"/>
    <cellStyle name="Fixed 3" xfId="4247"/>
    <cellStyle name="Fixed_1" xfId="4248"/>
    <cellStyle name="FooterStyle" xfId="1606"/>
    <cellStyle name="Footnote" xfId="435"/>
    <cellStyle name="g_rate_AA - BenefitsBonus " xfId="2807"/>
    <cellStyle name="g_rate_AA - BenefitsBonus  2" xfId="4312"/>
    <cellStyle name="G02 Table Text" xfId="436"/>
    <cellStyle name="G02 Table Text 2" xfId="2808"/>
    <cellStyle name="G04_Main head" xfId="437"/>
    <cellStyle name="G05 Tab Head Bold" xfId="438"/>
    <cellStyle name="G05 Tab Head Bold 2" xfId="439"/>
    <cellStyle name="G05 Tab Head Bold 2 2" xfId="1133"/>
    <cellStyle name="G05 Tab Head Bold 2 2 2" xfId="2809"/>
    <cellStyle name="G05 Tab Head Bold 2 2 2 2" xfId="2810"/>
    <cellStyle name="G05 Tab Head Bold 2 2 3" xfId="2811"/>
    <cellStyle name="G05 Tab Head Bold 2 3" xfId="2812"/>
    <cellStyle name="G05 Tab Head Bold 2 3 2" xfId="2813"/>
    <cellStyle name="G05 Tab Head Bold 2 4" xfId="2814"/>
    <cellStyle name="G05 Tab Head Bold 3" xfId="440"/>
    <cellStyle name="G05 Tab Head Bold 3 2" xfId="441"/>
    <cellStyle name="G05 Tab Head Bold 3 2 2" xfId="1135"/>
    <cellStyle name="G05 Tab Head Bold 3 3" xfId="1134"/>
    <cellStyle name="G05 Tab Head Bold 4" xfId="442"/>
    <cellStyle name="G05 Tab Head Bold 4 2" xfId="443"/>
    <cellStyle name="G05 Tab Head Bold 4 2 2" xfId="1137"/>
    <cellStyle name="G05 Tab Head Bold 4 3" xfId="1136"/>
    <cellStyle name="G05 Tab Head Bold 5" xfId="444"/>
    <cellStyle name="G05 Tab Head Bold 5 2" xfId="445"/>
    <cellStyle name="G05 Tab Head Bold 5 2 2" xfId="1139"/>
    <cellStyle name="G05 Tab Head Bold 5 3" xfId="1138"/>
    <cellStyle name="G05 Tab Head Bold 6" xfId="446"/>
    <cellStyle name="G05 Tab Head Bold 6 2" xfId="1140"/>
    <cellStyle name="G05 Tab Head Bold 7" xfId="1132"/>
    <cellStyle name="G05 Tab Head Bold 7 2" xfId="2815"/>
    <cellStyle name="G05 Tab Head Bold 8" xfId="2816"/>
    <cellStyle name="G05 Tab Head Bold 8 2" xfId="2817"/>
    <cellStyle name="G05 Tab Head Light" xfId="447"/>
    <cellStyle name="G05 Tab Head Light 2" xfId="448"/>
    <cellStyle name="G05 Tab Head Light 2 2" xfId="1142"/>
    <cellStyle name="G05 Tab Head Light 2 2 2" xfId="2818"/>
    <cellStyle name="G05 Tab Head Light 2 2 2 2" xfId="2819"/>
    <cellStyle name="G05 Tab Head Light 2 2 3" xfId="2820"/>
    <cellStyle name="G05 Tab Head Light 2 3" xfId="2821"/>
    <cellStyle name="G05 Tab Head Light 2 3 2" xfId="2822"/>
    <cellStyle name="G05 Tab Head Light 2 4" xfId="2823"/>
    <cellStyle name="G05 Tab Head Light 3" xfId="449"/>
    <cellStyle name="G05 Tab Head Light 3 2" xfId="450"/>
    <cellStyle name="G05 Tab Head Light 3 2 2" xfId="1144"/>
    <cellStyle name="G05 Tab Head Light 3 3" xfId="1143"/>
    <cellStyle name="G05 Tab Head Light 4" xfId="451"/>
    <cellStyle name="G05 Tab Head Light 4 2" xfId="452"/>
    <cellStyle name="G05 Tab Head Light 4 2 2" xfId="1146"/>
    <cellStyle name="G05 Tab Head Light 4 3" xfId="1145"/>
    <cellStyle name="G05 Tab Head Light 5" xfId="453"/>
    <cellStyle name="G05 Tab Head Light 5 2" xfId="454"/>
    <cellStyle name="G05 Tab Head Light 5 2 2" xfId="1148"/>
    <cellStyle name="G05 Tab Head Light 5 3" xfId="1147"/>
    <cellStyle name="G05 Tab Head Light 6" xfId="455"/>
    <cellStyle name="G05 Tab Head Light 6 2" xfId="1149"/>
    <cellStyle name="G05 Tab Head Light 7" xfId="1141"/>
    <cellStyle name="G05 Tab Head Light 7 2" xfId="2824"/>
    <cellStyle name="G05 Tab Head Light 8" xfId="2825"/>
    <cellStyle name="G05 Tab Head Light 8 2" xfId="2826"/>
    <cellStyle name="Good" xfId="1950" builtinId="26" customBuiltin="1"/>
    <cellStyle name="Good 2" xfId="456"/>
    <cellStyle name="Good 2 2" xfId="1608"/>
    <cellStyle name="Good 2 3" xfId="1607"/>
    <cellStyle name="Good 3" xfId="2827"/>
    <cellStyle name="Good 3 2" xfId="2828"/>
    <cellStyle name="Good 3 3" xfId="2829"/>
    <cellStyle name="Green" xfId="457"/>
    <cellStyle name="Green 2" xfId="1609"/>
    <cellStyle name="Green 2 2" xfId="1610"/>
    <cellStyle name="Green 2 3" xfId="1611"/>
    <cellStyle name="Green 3" xfId="1612"/>
    <cellStyle name="Green 3 2" xfId="2830"/>
    <cellStyle name="Green 3 3" xfId="4314"/>
    <cellStyle name="Green 4" xfId="2831"/>
    <cellStyle name="Green 4 2" xfId="2832"/>
    <cellStyle name="Green 4 2 2" xfId="2833"/>
    <cellStyle name="Green 4 2 3" xfId="2834"/>
    <cellStyle name="Green 4 3" xfId="2835"/>
    <cellStyle name="Grey" xfId="458"/>
    <cellStyle name="Grey 2" xfId="459"/>
    <cellStyle name="Grey 3" xfId="2836"/>
    <cellStyle name="Growth%" xfId="2837"/>
    <cellStyle name="GrowthRate" xfId="2838"/>
    <cellStyle name="hard no" xfId="460"/>
    <cellStyle name="hard no 2" xfId="1150"/>
    <cellStyle name="hard no 2 2" xfId="2839"/>
    <cellStyle name="hard no 3" xfId="2840"/>
    <cellStyle name="hardno" xfId="461"/>
    <cellStyle name="HEADER" xfId="2841"/>
    <cellStyle name="Header1" xfId="462"/>
    <cellStyle name="Header1 2" xfId="2842"/>
    <cellStyle name="Header2" xfId="463"/>
    <cellStyle name="Header2 2" xfId="2843"/>
    <cellStyle name="HeaderStyle" xfId="1613"/>
    <cellStyle name="Heading 1" xfId="1946" builtinId="16" customBuiltin="1"/>
    <cellStyle name="Heading 1 2" xfId="464"/>
    <cellStyle name="Heading 1 2 2" xfId="1615"/>
    <cellStyle name="Heading 1 2 3" xfId="1614"/>
    <cellStyle name="Heading 1 3" xfId="1616"/>
    <cellStyle name="Heading 1 3 2" xfId="2845"/>
    <cellStyle name="Heading 1 3 3" xfId="2846"/>
    <cellStyle name="Heading 1 3 4" xfId="2844"/>
    <cellStyle name="Heading 2" xfId="1947" builtinId="17" customBuiltin="1"/>
    <cellStyle name="Heading 2 2" xfId="465"/>
    <cellStyle name="Heading 2 2 2" xfId="1618"/>
    <cellStyle name="Heading 2 2 3" xfId="1617"/>
    <cellStyle name="Heading 2 3" xfId="1619"/>
    <cellStyle name="Heading 2 3 2" xfId="2848"/>
    <cellStyle name="Heading 2 3 3" xfId="2849"/>
    <cellStyle name="Heading 2 3 4" xfId="2847"/>
    <cellStyle name="Heading 3" xfId="1948" builtinId="18" customBuiltin="1"/>
    <cellStyle name="Heading 3 2" xfId="466"/>
    <cellStyle name="Heading 3 2 2" xfId="1621"/>
    <cellStyle name="Heading 3 2 3" xfId="1620"/>
    <cellStyle name="Heading 3 3" xfId="1622"/>
    <cellStyle name="Heading 3 3 2" xfId="2851"/>
    <cellStyle name="Heading 3 3 3" xfId="2852"/>
    <cellStyle name="Heading 3 3 4" xfId="2850"/>
    <cellStyle name="Heading 4" xfId="1949" builtinId="19" customBuiltin="1"/>
    <cellStyle name="Heading 4 2" xfId="467"/>
    <cellStyle name="Heading 4 3" xfId="1623"/>
    <cellStyle name="Heading 4 3 2" xfId="2854"/>
    <cellStyle name="Heading 4 3 3" xfId="2855"/>
    <cellStyle name="Heading 4 3 4" xfId="2853"/>
    <cellStyle name="Heading1" xfId="2856"/>
    <cellStyle name="Heading2" xfId="2857"/>
    <cellStyle name="Hidden" xfId="468"/>
    <cellStyle name="Hidden 2" xfId="2858"/>
    <cellStyle name="Hidden 2 2" xfId="2859"/>
    <cellStyle name="Hidden 2 3" xfId="2860"/>
    <cellStyle name="HIGHLIGHT" xfId="2861"/>
    <cellStyle name="Hyperlink 2" xfId="469"/>
    <cellStyle name="Hyperlink 2 2" xfId="1625"/>
    <cellStyle name="Hyperlink 2 2 2" xfId="2863"/>
    <cellStyle name="Hyperlink 2 2 3" xfId="2864"/>
    <cellStyle name="Hyperlink 2 2 4" xfId="2865"/>
    <cellStyle name="Hyperlink 2 2 5" xfId="2862"/>
    <cellStyle name="Hyperlink 2 3" xfId="1624"/>
    <cellStyle name="Hyperlink 2 3 2" xfId="2867"/>
    <cellStyle name="Hyperlink 2 3 3" xfId="4341"/>
    <cellStyle name="Hyperlink 2 3 4" xfId="2866"/>
    <cellStyle name="Hyperlink 3" xfId="2868"/>
    <cellStyle name="Hyperlink 3 2" xfId="2869"/>
    <cellStyle name="Hyperlink 3 3" xfId="2870"/>
    <cellStyle name="Hyperlink 3 4" xfId="2871"/>
    <cellStyle name="Hyperlink 4" xfId="1626"/>
    <cellStyle name="Hyperlink 4 2" xfId="1627"/>
    <cellStyle name="Hyperlink 4 2 2" xfId="2872"/>
    <cellStyle name="Hyperlink 4 2 3" xfId="2873"/>
    <cellStyle name="Hyperlink 4 3" xfId="2874"/>
    <cellStyle name="Hyperlink 4 3 2" xfId="2875"/>
    <cellStyle name="Hyperlink 4 3 3" xfId="2876"/>
    <cellStyle name="Hyperlink 4 3 4" xfId="4342"/>
    <cellStyle name="Hyperlink 5" xfId="2877"/>
    <cellStyle name="Income Statement" xfId="2878"/>
    <cellStyle name="IncomeStatement" xfId="2879"/>
    <cellStyle name="Info_Main" xfId="4249"/>
    <cellStyle name="Input" xfId="1953" builtinId="20" customBuiltin="1"/>
    <cellStyle name="Input [yellow]" xfId="470"/>
    <cellStyle name="Input [yellow] 2" xfId="471"/>
    <cellStyle name="Input [yellow] 3" xfId="2881"/>
    <cellStyle name="Input 10" xfId="472"/>
    <cellStyle name="Input 11" xfId="473"/>
    <cellStyle name="Input 12" xfId="474"/>
    <cellStyle name="Input 13" xfId="475"/>
    <cellStyle name="Input 13 2" xfId="1629"/>
    <cellStyle name="Input 14" xfId="1630"/>
    <cellStyle name="Input 14 2" xfId="2882"/>
    <cellStyle name="Input 15" xfId="1631"/>
    <cellStyle name="Input 15 2" xfId="2883"/>
    <cellStyle name="Input 16" xfId="1632"/>
    <cellStyle name="Input 16 2" xfId="2884"/>
    <cellStyle name="Input 17" xfId="1633"/>
    <cellStyle name="Input 17 2" xfId="2885"/>
    <cellStyle name="Input 18" xfId="1634"/>
    <cellStyle name="Input 18 2" xfId="2886"/>
    <cellStyle name="Input 19" xfId="1628"/>
    <cellStyle name="Input 2" xfId="476"/>
    <cellStyle name="Input 20" xfId="1543"/>
    <cellStyle name="Input 21" xfId="1557"/>
    <cellStyle name="Input 22" xfId="1548"/>
    <cellStyle name="Input 23" xfId="1558"/>
    <cellStyle name="Input 23 2" xfId="2888"/>
    <cellStyle name="Input 23 3" xfId="2887"/>
    <cellStyle name="Input 24" xfId="1547"/>
    <cellStyle name="Input 24 2" xfId="2890"/>
    <cellStyle name="Input 24 3" xfId="2889"/>
    <cellStyle name="Input 25" xfId="1559"/>
    <cellStyle name="Input 26" xfId="1539"/>
    <cellStyle name="Input 27" xfId="1550"/>
    <cellStyle name="Input 28" xfId="1532"/>
    <cellStyle name="Input 29" xfId="1560"/>
    <cellStyle name="Input 3" xfId="477"/>
    <cellStyle name="Input 30" xfId="1544"/>
    <cellStyle name="Input 31" xfId="1561"/>
    <cellStyle name="Input 32" xfId="1556"/>
    <cellStyle name="Input 33" xfId="1563"/>
    <cellStyle name="Input 34" xfId="1555"/>
    <cellStyle name="Input 35" xfId="1564"/>
    <cellStyle name="Input 36" xfId="1554"/>
    <cellStyle name="Input 37" xfId="1565"/>
    <cellStyle name="Input 38" xfId="1553"/>
    <cellStyle name="Input 39" xfId="1566"/>
    <cellStyle name="Input 4" xfId="478"/>
    <cellStyle name="Input 40" xfId="1552"/>
    <cellStyle name="Input 41" xfId="1567"/>
    <cellStyle name="Input 42" xfId="1895"/>
    <cellStyle name="Input 43" xfId="1893"/>
    <cellStyle name="Input 44" xfId="1894"/>
    <cellStyle name="Input 45" xfId="1904"/>
    <cellStyle name="Input 46" xfId="1902"/>
    <cellStyle name="Input 47" xfId="1903"/>
    <cellStyle name="Input 48" xfId="1901"/>
    <cellStyle name="Input 49" xfId="1943"/>
    <cellStyle name="Input 5" xfId="479"/>
    <cellStyle name="Input 50" xfId="2891"/>
    <cellStyle name="Input 51" xfId="2892"/>
    <cellStyle name="Input 52" xfId="2893"/>
    <cellStyle name="Input 53" xfId="2894"/>
    <cellStyle name="Input 54" xfId="2895"/>
    <cellStyle name="Input 55" xfId="2896"/>
    <cellStyle name="Input 56" xfId="2897"/>
    <cellStyle name="Input 57" xfId="2898"/>
    <cellStyle name="Input 58" xfId="2899"/>
    <cellStyle name="Input 59" xfId="2900"/>
    <cellStyle name="Input 6" xfId="480"/>
    <cellStyle name="Input 60" xfId="2901"/>
    <cellStyle name="Input 61" xfId="2902"/>
    <cellStyle name="Input 62" xfId="2903"/>
    <cellStyle name="Input 63" xfId="2904"/>
    <cellStyle name="Input 64" xfId="2905"/>
    <cellStyle name="Input 65" xfId="2880"/>
    <cellStyle name="Input 66" xfId="3190"/>
    <cellStyle name="Input 7" xfId="481"/>
    <cellStyle name="Input 8" xfId="482"/>
    <cellStyle name="Input 9" xfId="483"/>
    <cellStyle name="Input Titles" xfId="4250"/>
    <cellStyle name="Input%" xfId="4251"/>
    <cellStyle name="InputBlueFont" xfId="484"/>
    <cellStyle name="InputDate" xfId="4252"/>
    <cellStyle name="InputDecimal" xfId="4253"/>
    <cellStyle name="InputDescriptions" xfId="4254"/>
    <cellStyle name="InputHeading1" xfId="4255"/>
    <cellStyle name="InputValue" xfId="4256"/>
    <cellStyle name="Integer" xfId="485"/>
    <cellStyle name="Integer 2" xfId="2906"/>
    <cellStyle name="Invisible" xfId="2907"/>
    <cellStyle name="Italic" xfId="2908"/>
    <cellStyle name="Item" xfId="4257"/>
    <cellStyle name="ItemTypeClass" xfId="4258"/>
    <cellStyle name="KP_Normal" xfId="486"/>
    <cellStyle name="KPMG Heading 1" xfId="2909"/>
    <cellStyle name="KPMG Heading 2" xfId="2910"/>
    <cellStyle name="KPMG Heading 3" xfId="2911"/>
    <cellStyle name="KPMG Heading 4" xfId="2912"/>
    <cellStyle name="KPMG Normal" xfId="2913"/>
    <cellStyle name="KPMG Normal Text" xfId="2914"/>
    <cellStyle name="l]_x000d__x000a_Path=M:\RIOCEN01_x000d__x000a_Name=Carlos Emilio Brousse_x000d__x000a_DDEApps=nsf,nsg,nsh,ntf,ns2,ors,org_x000d__x000a_SmartIcons=Todos_x000d__x000a_" xfId="2915"/>
    <cellStyle name="Ligne détail" xfId="1635"/>
    <cellStyle name="Linked Cell" xfId="1956" builtinId="24" customBuiltin="1"/>
    <cellStyle name="Linked Cell 2" xfId="487"/>
    <cellStyle name="Linked Cell 2 2" xfId="1637"/>
    <cellStyle name="Linked Cell 2 3" xfId="1636"/>
    <cellStyle name="Linked Cell 3" xfId="2916"/>
    <cellStyle name="Linked Cell 3 2" xfId="2917"/>
    <cellStyle name="Linked Cell 3 3" xfId="2918"/>
    <cellStyle name="m_AA - BenefitsBonus " xfId="2919"/>
    <cellStyle name="Margins" xfId="2920"/>
    <cellStyle name="MetricLabel" xfId="488"/>
    <cellStyle name="MetricLabel 2" xfId="2921"/>
    <cellStyle name="MetricLabel 2 2" xfId="2922"/>
    <cellStyle name="MetricLabel 2 3" xfId="2923"/>
    <cellStyle name="MetricLabelBlue" xfId="489"/>
    <cellStyle name="MetricLabelBlue 2" xfId="2924"/>
    <cellStyle name="MetricLabelBlue 2 2" xfId="2925"/>
    <cellStyle name="MetricLabelBlue 2 3" xfId="2926"/>
    <cellStyle name="MetricValue" xfId="490"/>
    <cellStyle name="MetricValue 2" xfId="2927"/>
    <cellStyle name="MetricValue 2 2" xfId="2928"/>
    <cellStyle name="MetricValue 2 3" xfId="2929"/>
    <cellStyle name="MEV2" xfId="1638"/>
    <cellStyle name="middle" xfId="2930"/>
    <cellStyle name="middle-title" xfId="2931"/>
    <cellStyle name="mm/dd/yy" xfId="2932"/>
    <cellStyle name="MonthYears" xfId="491"/>
    <cellStyle name="MonthYears 2" xfId="492"/>
    <cellStyle name="MonthYears 3" xfId="2933"/>
    <cellStyle name="Multiple" xfId="2934"/>
    <cellStyle name="Multiple 2" xfId="4259"/>
    <cellStyle name="MW" xfId="2935"/>
    <cellStyle name="Neutral" xfId="1952" builtinId="28" customBuiltin="1"/>
    <cellStyle name="Neutral 2" xfId="493"/>
    <cellStyle name="Neutral 2 2" xfId="1640"/>
    <cellStyle name="Neutral 2 3" xfId="1639"/>
    <cellStyle name="Neutral 3" xfId="2936"/>
    <cellStyle name="Neutral 3 2" xfId="2937"/>
    <cellStyle name="NewColumnHeaderNormal" xfId="2938"/>
    <cellStyle name="NewSectionHeaderNormal" xfId="2939"/>
    <cellStyle name="NewTitleNormal" xfId="2940"/>
    <cellStyle name="No Commas" xfId="2941"/>
    <cellStyle name="no dec" xfId="494"/>
    <cellStyle name="Normal" xfId="0" builtinId="0"/>
    <cellStyle name="Normal - Style1" xfId="495"/>
    <cellStyle name="Normal - Style1 2" xfId="2942"/>
    <cellStyle name="Normal - Style1 3" xfId="4260"/>
    <cellStyle name="Normal 1" xfId="2943"/>
    <cellStyle name="Normal 1 2" xfId="2944"/>
    <cellStyle name="Normal 10" xfId="496"/>
    <cellStyle name="Normal 10 2" xfId="497"/>
    <cellStyle name="Normal 10 2 10" xfId="5586"/>
    <cellStyle name="Normal 10 2 10 2" xfId="7905"/>
    <cellStyle name="Normal 10 2 2" xfId="1152"/>
    <cellStyle name="Normal 10 2 2 2" xfId="2946"/>
    <cellStyle name="Normal 10 2 2 3" xfId="2947"/>
    <cellStyle name="Normal 10 2 2 4" xfId="4344"/>
    <cellStyle name="Normal 10 2 2 4 2" xfId="6695"/>
    <cellStyle name="Normal 10 2 2 5" xfId="2945"/>
    <cellStyle name="Normal 10 2 2 5 2" xfId="6415"/>
    <cellStyle name="Normal 10 2 3" xfId="2948"/>
    <cellStyle name="Normal 10 2 3 2" xfId="2949"/>
    <cellStyle name="Normal 10 2 3 2 2" xfId="2950"/>
    <cellStyle name="Normal 10 2 3 2 2 2" xfId="2951"/>
    <cellStyle name="Normal 10 2 3 2 2 2 2" xfId="2952"/>
    <cellStyle name="Normal 10 2 3 2 2 2 2 2" xfId="6420"/>
    <cellStyle name="Normal 10 2 3 2 2 2 3" xfId="6195"/>
    <cellStyle name="Normal 10 2 3 2 2 2 3 2" xfId="8514"/>
    <cellStyle name="Normal 10 2 3 2 2 2 4" xfId="6419"/>
    <cellStyle name="Normal 10 2 3 2 2 3" xfId="2953"/>
    <cellStyle name="Normal 10 2 3 2 2 3 2" xfId="6421"/>
    <cellStyle name="Normal 10 2 3 2 2 4" xfId="5859"/>
    <cellStyle name="Normal 10 2 3 2 2 4 2" xfId="8178"/>
    <cellStyle name="Normal 10 2 3 2 2 5" xfId="6418"/>
    <cellStyle name="Normal 10 2 3 2 3" xfId="2954"/>
    <cellStyle name="Normal 10 2 3 2 3 2" xfId="2955"/>
    <cellStyle name="Normal 10 2 3 2 3 2 2" xfId="6423"/>
    <cellStyle name="Normal 10 2 3 2 3 3" xfId="6027"/>
    <cellStyle name="Normal 10 2 3 2 3 3 2" xfId="8346"/>
    <cellStyle name="Normal 10 2 3 2 3 4" xfId="6422"/>
    <cellStyle name="Normal 10 2 3 2 4" xfId="2956"/>
    <cellStyle name="Normal 10 2 3 2 4 2" xfId="6424"/>
    <cellStyle name="Normal 10 2 3 2 5" xfId="5691"/>
    <cellStyle name="Normal 10 2 3 2 5 2" xfId="8010"/>
    <cellStyle name="Normal 10 2 3 2 6" xfId="6417"/>
    <cellStyle name="Normal 10 2 3 3" xfId="2957"/>
    <cellStyle name="Normal 10 2 3 3 2" xfId="2958"/>
    <cellStyle name="Normal 10 2 3 3 2 2" xfId="2959"/>
    <cellStyle name="Normal 10 2 3 3 2 2 2" xfId="5483"/>
    <cellStyle name="Normal 10 2 3 3 2 2 2 2" xfId="7802"/>
    <cellStyle name="Normal 10 2 3 3 2 2 3" xfId="6153"/>
    <cellStyle name="Normal 10 2 3 3 2 2 3 2" xfId="8472"/>
    <cellStyle name="Normal 10 2 3 3 2 2 4" xfId="6427"/>
    <cellStyle name="Normal 10 2 3 3 2 3" xfId="5151"/>
    <cellStyle name="Normal 10 2 3 3 2 3 2" xfId="7470"/>
    <cellStyle name="Normal 10 2 3 3 2 4" xfId="5817"/>
    <cellStyle name="Normal 10 2 3 3 2 4 2" xfId="8136"/>
    <cellStyle name="Normal 10 2 3 3 2 5" xfId="6426"/>
    <cellStyle name="Normal 10 2 3 3 3" xfId="2960"/>
    <cellStyle name="Normal 10 2 3 3 3 2" xfId="5317"/>
    <cellStyle name="Normal 10 2 3 3 3 2 2" xfId="7636"/>
    <cellStyle name="Normal 10 2 3 3 3 3" xfId="5985"/>
    <cellStyle name="Normal 10 2 3 3 3 3 2" xfId="8304"/>
    <cellStyle name="Normal 10 2 3 3 3 4" xfId="6428"/>
    <cellStyle name="Normal 10 2 3 3 4" xfId="4985"/>
    <cellStyle name="Normal 10 2 3 3 4 2" xfId="7304"/>
    <cellStyle name="Normal 10 2 3 3 5" xfId="5649"/>
    <cellStyle name="Normal 10 2 3 3 5 2" xfId="7968"/>
    <cellStyle name="Normal 10 2 3 3 6" xfId="6425"/>
    <cellStyle name="Normal 10 2 3 4" xfId="2961"/>
    <cellStyle name="Normal 10 2 3 4 2" xfId="2962"/>
    <cellStyle name="Normal 10 2 3 4 2 2" xfId="4889"/>
    <cellStyle name="Normal 10 2 3 4 2 2 2" xfId="5565"/>
    <cellStyle name="Normal 10 2 3 4 2 2 2 2" xfId="7884"/>
    <cellStyle name="Normal 10 2 3 4 2 2 3" xfId="6237"/>
    <cellStyle name="Normal 10 2 3 4 2 2 3 2" xfId="8556"/>
    <cellStyle name="Normal 10 2 3 4 2 2 4" xfId="7210"/>
    <cellStyle name="Normal 10 2 3 4 2 3" xfId="5233"/>
    <cellStyle name="Normal 10 2 3 4 2 3 2" xfId="7552"/>
    <cellStyle name="Normal 10 2 3 4 2 4" xfId="5901"/>
    <cellStyle name="Normal 10 2 3 4 2 4 2" xfId="8220"/>
    <cellStyle name="Normal 10 2 3 4 2 5" xfId="6430"/>
    <cellStyle name="Normal 10 2 3 4 3" xfId="4724"/>
    <cellStyle name="Normal 10 2 3 4 3 2" xfId="5399"/>
    <cellStyle name="Normal 10 2 3 4 3 2 2" xfId="7718"/>
    <cellStyle name="Normal 10 2 3 4 3 3" xfId="6069"/>
    <cellStyle name="Normal 10 2 3 4 3 3 2" xfId="8388"/>
    <cellStyle name="Normal 10 2 3 4 3 4" xfId="7045"/>
    <cellStyle name="Normal 10 2 3 4 4" xfId="5067"/>
    <cellStyle name="Normal 10 2 3 4 4 2" xfId="7386"/>
    <cellStyle name="Normal 10 2 3 4 5" xfId="5733"/>
    <cellStyle name="Normal 10 2 3 4 5 2" xfId="8052"/>
    <cellStyle name="Normal 10 2 3 4 6" xfId="6429"/>
    <cellStyle name="Normal 10 2 3 5" xfId="2963"/>
    <cellStyle name="Normal 10 2 3 5 2" xfId="4766"/>
    <cellStyle name="Normal 10 2 3 5 2 2" xfId="5441"/>
    <cellStyle name="Normal 10 2 3 5 2 2 2" xfId="7760"/>
    <cellStyle name="Normal 10 2 3 5 2 3" xfId="6111"/>
    <cellStyle name="Normal 10 2 3 5 2 3 2" xfId="8430"/>
    <cellStyle name="Normal 10 2 3 5 2 4" xfId="7087"/>
    <cellStyle name="Normal 10 2 3 5 3" xfId="5109"/>
    <cellStyle name="Normal 10 2 3 5 3 2" xfId="7428"/>
    <cellStyle name="Normal 10 2 3 5 4" xfId="5775"/>
    <cellStyle name="Normal 10 2 3 5 4 2" xfId="8094"/>
    <cellStyle name="Normal 10 2 3 5 5" xfId="6431"/>
    <cellStyle name="Normal 10 2 3 6" xfId="4343"/>
    <cellStyle name="Normal 10 2 3 6 2" xfId="5275"/>
    <cellStyle name="Normal 10 2 3 6 2 2" xfId="7594"/>
    <cellStyle name="Normal 10 2 3 6 3" xfId="5943"/>
    <cellStyle name="Normal 10 2 3 6 3 2" xfId="8262"/>
    <cellStyle name="Normal 10 2 3 6 4" xfId="4601"/>
    <cellStyle name="Normal 10 2 3 6 4 2" xfId="6922"/>
    <cellStyle name="Normal 10 2 3 7" xfId="4943"/>
    <cellStyle name="Normal 10 2 3 7 2" xfId="7262"/>
    <cellStyle name="Normal 10 2 3 8" xfId="5607"/>
    <cellStyle name="Normal 10 2 3 8 2" xfId="7926"/>
    <cellStyle name="Normal 10 2 3 9" xfId="6416"/>
    <cellStyle name="Normal 10 2 4" xfId="2964"/>
    <cellStyle name="Normal 10 2 4 2" xfId="2965"/>
    <cellStyle name="Normal 10 2 4 2 2" xfId="2966"/>
    <cellStyle name="Normal 10 2 4 2 2 2" xfId="2967"/>
    <cellStyle name="Normal 10 2 4 2 2 2 2" xfId="6435"/>
    <cellStyle name="Normal 10 2 4 2 2 3" xfId="6174"/>
    <cellStyle name="Normal 10 2 4 2 2 3 2" xfId="8493"/>
    <cellStyle name="Normal 10 2 4 2 2 4" xfId="6434"/>
    <cellStyle name="Normal 10 2 4 2 3" xfId="2968"/>
    <cellStyle name="Normal 10 2 4 2 3 2" xfId="6436"/>
    <cellStyle name="Normal 10 2 4 2 4" xfId="5838"/>
    <cellStyle name="Normal 10 2 4 2 4 2" xfId="8157"/>
    <cellStyle name="Normal 10 2 4 2 5" xfId="6433"/>
    <cellStyle name="Normal 10 2 4 3" xfId="2969"/>
    <cellStyle name="Normal 10 2 4 3 2" xfId="2970"/>
    <cellStyle name="Normal 10 2 4 3 2 2" xfId="6438"/>
    <cellStyle name="Normal 10 2 4 3 3" xfId="6006"/>
    <cellStyle name="Normal 10 2 4 3 3 2" xfId="8325"/>
    <cellStyle name="Normal 10 2 4 3 4" xfId="6437"/>
    <cellStyle name="Normal 10 2 4 4" xfId="2971"/>
    <cellStyle name="Normal 10 2 4 4 2" xfId="6439"/>
    <cellStyle name="Normal 10 2 4 5" xfId="5670"/>
    <cellStyle name="Normal 10 2 4 5 2" xfId="7989"/>
    <cellStyle name="Normal 10 2 4 6" xfId="6432"/>
    <cellStyle name="Normal 10 2 5" xfId="2972"/>
    <cellStyle name="Normal 10 2 5 2" xfId="2973"/>
    <cellStyle name="Normal 10 2 5 2 2" xfId="4787"/>
    <cellStyle name="Normal 10 2 5 2 2 2" xfId="5462"/>
    <cellStyle name="Normal 10 2 5 2 2 2 2" xfId="7781"/>
    <cellStyle name="Normal 10 2 5 2 2 3" xfId="6132"/>
    <cellStyle name="Normal 10 2 5 2 2 3 2" xfId="8451"/>
    <cellStyle name="Normal 10 2 5 2 2 4" xfId="7108"/>
    <cellStyle name="Normal 10 2 5 2 3" xfId="5130"/>
    <cellStyle name="Normal 10 2 5 2 3 2" xfId="7449"/>
    <cellStyle name="Normal 10 2 5 2 4" xfId="5796"/>
    <cellStyle name="Normal 10 2 5 2 4 2" xfId="8115"/>
    <cellStyle name="Normal 10 2 5 2 5" xfId="6441"/>
    <cellStyle name="Normal 10 2 5 3" xfId="4622"/>
    <cellStyle name="Normal 10 2 5 3 2" xfId="5296"/>
    <cellStyle name="Normal 10 2 5 3 2 2" xfId="7615"/>
    <cellStyle name="Normal 10 2 5 3 3" xfId="5964"/>
    <cellStyle name="Normal 10 2 5 3 3 2" xfId="8283"/>
    <cellStyle name="Normal 10 2 5 3 4" xfId="6943"/>
    <cellStyle name="Normal 10 2 5 4" xfId="4964"/>
    <cellStyle name="Normal 10 2 5 4 2" xfId="7283"/>
    <cellStyle name="Normal 10 2 5 5" xfId="5628"/>
    <cellStyle name="Normal 10 2 5 5 2" xfId="7947"/>
    <cellStyle name="Normal 10 2 5 6" xfId="6440"/>
    <cellStyle name="Normal 10 2 6" xfId="4321"/>
    <cellStyle name="Normal 10 2 6 2" xfId="4539"/>
    <cellStyle name="Normal 10 2 6 2 2" xfId="4868"/>
    <cellStyle name="Normal 10 2 6 2 2 2" xfId="5544"/>
    <cellStyle name="Normal 10 2 6 2 2 2 2" xfId="7863"/>
    <cellStyle name="Normal 10 2 6 2 2 3" xfId="6216"/>
    <cellStyle name="Normal 10 2 6 2 2 3 2" xfId="8535"/>
    <cellStyle name="Normal 10 2 6 2 2 4" xfId="7189"/>
    <cellStyle name="Normal 10 2 6 2 3" xfId="5212"/>
    <cellStyle name="Normal 10 2 6 2 3 2" xfId="7531"/>
    <cellStyle name="Normal 10 2 6 2 4" xfId="5880"/>
    <cellStyle name="Normal 10 2 6 2 4 2" xfId="8199"/>
    <cellStyle name="Normal 10 2 6 2 5" xfId="6860"/>
    <cellStyle name="Normal 10 2 6 3" xfId="4703"/>
    <cellStyle name="Normal 10 2 6 3 2" xfId="5378"/>
    <cellStyle name="Normal 10 2 6 3 2 2" xfId="7697"/>
    <cellStyle name="Normal 10 2 6 3 3" xfId="6048"/>
    <cellStyle name="Normal 10 2 6 3 3 2" xfId="8367"/>
    <cellStyle name="Normal 10 2 6 3 4" xfId="7024"/>
    <cellStyle name="Normal 10 2 6 4" xfId="5046"/>
    <cellStyle name="Normal 10 2 6 4 2" xfId="7365"/>
    <cellStyle name="Normal 10 2 6 5" xfId="5712"/>
    <cellStyle name="Normal 10 2 6 5 2" xfId="8031"/>
    <cellStyle name="Normal 10 2 6 6" xfId="4392"/>
    <cellStyle name="Normal 10 2 6 6 2" xfId="6713"/>
    <cellStyle name="Normal 10 2 7" xfId="4420"/>
    <cellStyle name="Normal 10 2 7 2" xfId="4745"/>
    <cellStyle name="Normal 10 2 7 2 2" xfId="5420"/>
    <cellStyle name="Normal 10 2 7 2 2 2" xfId="7739"/>
    <cellStyle name="Normal 10 2 7 2 3" xfId="6090"/>
    <cellStyle name="Normal 10 2 7 2 3 2" xfId="8409"/>
    <cellStyle name="Normal 10 2 7 2 4" xfId="7066"/>
    <cellStyle name="Normal 10 2 7 3" xfId="5088"/>
    <cellStyle name="Normal 10 2 7 3 2" xfId="7407"/>
    <cellStyle name="Normal 10 2 7 4" xfId="5754"/>
    <cellStyle name="Normal 10 2 7 4 2" xfId="8073"/>
    <cellStyle name="Normal 10 2 7 5" xfId="6741"/>
    <cellStyle name="Normal 10 2 8" xfId="4580"/>
    <cellStyle name="Normal 10 2 8 2" xfId="5254"/>
    <cellStyle name="Normal 10 2 8 2 2" xfId="7573"/>
    <cellStyle name="Normal 10 2 8 3" xfId="5922"/>
    <cellStyle name="Normal 10 2 8 3 2" xfId="8241"/>
    <cellStyle name="Normal 10 2 8 4" xfId="6901"/>
    <cellStyle name="Normal 10 2 9" xfId="4922"/>
    <cellStyle name="Normal 10 2 9 2" xfId="7241"/>
    <cellStyle name="Normal 10 3" xfId="1151"/>
    <cellStyle name="Normal 10 3 2" xfId="1641"/>
    <cellStyle name="Normal 10 3 2 2" xfId="1926"/>
    <cellStyle name="Normal 10 3 2 2 2" xfId="2977"/>
    <cellStyle name="Normal 10 3 2 2 2 2" xfId="6444"/>
    <cellStyle name="Normal 10 3 2 2 3" xfId="2976"/>
    <cellStyle name="Normal 10 3 2 2 3 2" xfId="6443"/>
    <cellStyle name="Normal 10 3 2 2 4" xfId="6279"/>
    <cellStyle name="Normal 10 3 2 2 4 2" xfId="8590"/>
    <cellStyle name="Normal 10 3 2 2 5" xfId="6318"/>
    <cellStyle name="Normal 10 3 2 3" xfId="2978"/>
    <cellStyle name="Normal 10 3 2 3 2" xfId="6445"/>
    <cellStyle name="Normal 10 3 2 4" xfId="2979"/>
    <cellStyle name="Normal 10 3 2 4 2" xfId="6446"/>
    <cellStyle name="Normal 10 3 2 5" xfId="2975"/>
    <cellStyle name="Normal 10 3 2 6" xfId="6258"/>
    <cellStyle name="Normal 10 3 2 6 2" xfId="8571"/>
    <cellStyle name="Normal 10 3 2 7" xfId="6299"/>
    <cellStyle name="Normal 10 3 3" xfId="1888"/>
    <cellStyle name="Normal 10 3 3 2" xfId="1932"/>
    <cellStyle name="Normal 10 3 3 2 2" xfId="2981"/>
    <cellStyle name="Normal 10 3 3 2 2 2" xfId="6448"/>
    <cellStyle name="Normal 10 3 3 2 3" xfId="6283"/>
    <cellStyle name="Normal 10 3 3 2 3 2" xfId="8594"/>
    <cellStyle name="Normal 10 3 3 2 4" xfId="6322"/>
    <cellStyle name="Normal 10 3 3 3" xfId="2980"/>
    <cellStyle name="Normal 10 3 3 3 2" xfId="6447"/>
    <cellStyle name="Normal 10 3 3 4" xfId="6264"/>
    <cellStyle name="Normal 10 3 3 4 2" xfId="8575"/>
    <cellStyle name="Normal 10 3 3 5" xfId="6303"/>
    <cellStyle name="Normal 10 3 4" xfId="1896"/>
    <cellStyle name="Normal 10 3 4 2" xfId="1936"/>
    <cellStyle name="Normal 10 3 4 2 2" xfId="6287"/>
    <cellStyle name="Normal 10 3 4 2 2 2" xfId="8598"/>
    <cellStyle name="Normal 10 3 4 2 3" xfId="6326"/>
    <cellStyle name="Normal 10 3 4 3" xfId="2982"/>
    <cellStyle name="Normal 10 3 4 3 2" xfId="6449"/>
    <cellStyle name="Normal 10 3 4 4" xfId="6268"/>
    <cellStyle name="Normal 10 3 4 4 2" xfId="8579"/>
    <cellStyle name="Normal 10 3 4 5" xfId="6307"/>
    <cellStyle name="Normal 10 3 5" xfId="1905"/>
    <cellStyle name="Normal 10 3 5 2" xfId="1938"/>
    <cellStyle name="Normal 10 3 5 2 2" xfId="6289"/>
    <cellStyle name="Normal 10 3 5 2 2 2" xfId="8600"/>
    <cellStyle name="Normal 10 3 5 2 3" xfId="6328"/>
    <cellStyle name="Normal 10 3 5 3" xfId="4345"/>
    <cellStyle name="Normal 10 3 5 3 2" xfId="6696"/>
    <cellStyle name="Normal 10 3 5 4" xfId="6270"/>
    <cellStyle name="Normal 10 3 5 4 2" xfId="8581"/>
    <cellStyle name="Normal 10 3 5 5" xfId="6309"/>
    <cellStyle name="Normal 10 3 6" xfId="1921"/>
    <cellStyle name="Normal 10 3 6 2" xfId="6275"/>
    <cellStyle name="Normal 10 3 6 2 2" xfId="8586"/>
    <cellStyle name="Normal 10 3 6 3" xfId="6314"/>
    <cellStyle name="Normal 10 3 7" xfId="2974"/>
    <cellStyle name="Normal 10 3 7 2" xfId="6442"/>
    <cellStyle name="Normal 10 3 8" xfId="6253"/>
    <cellStyle name="Normal 10 3 8 2" xfId="8567"/>
    <cellStyle name="Normal 10 3 9" xfId="6295"/>
    <cellStyle name="Normal 10 4" xfId="1438"/>
    <cellStyle name="Normal 10 4 2" xfId="1642"/>
    <cellStyle name="Normal 10 4 2 2" xfId="2983"/>
    <cellStyle name="Normal 10 4 3" xfId="1890"/>
    <cellStyle name="Normal 10 4 3 2" xfId="1934"/>
    <cellStyle name="Normal 10 4 3 2 2" xfId="6285"/>
    <cellStyle name="Normal 10 4 3 2 2 2" xfId="8596"/>
    <cellStyle name="Normal 10 4 3 2 3" xfId="6324"/>
    <cellStyle name="Normal 10 4 3 3" xfId="6266"/>
    <cellStyle name="Normal 10 4 3 3 2" xfId="8577"/>
    <cellStyle name="Normal 10 4 3 4" xfId="6305"/>
    <cellStyle name="Normal 10 4 4" xfId="1924"/>
    <cellStyle name="Normal 10 4 4 2" xfId="6277"/>
    <cellStyle name="Normal 10 4 4 2 2" xfId="8588"/>
    <cellStyle name="Normal 10 4 4 3" xfId="6316"/>
    <cellStyle name="Normal 10 4 5" xfId="4906"/>
    <cellStyle name="Normal 10 4 5 2" xfId="7226"/>
    <cellStyle name="Normal 10 4 6" xfId="6256"/>
    <cellStyle name="Normal 10 4 6 2" xfId="8569"/>
    <cellStyle name="Normal 10 4 7" xfId="6297"/>
    <cellStyle name="Normal 10 5" xfId="1886"/>
    <cellStyle name="Normal 10 5 2" xfId="1930"/>
    <cellStyle name="Normal 10 5 2 2" xfId="2985"/>
    <cellStyle name="Normal 10 5 2 3" xfId="6281"/>
    <cellStyle name="Normal 10 5 2 3 2" xfId="8592"/>
    <cellStyle name="Normal 10 5 2 4" xfId="6320"/>
    <cellStyle name="Normal 10 5 3" xfId="2984"/>
    <cellStyle name="Normal 10 5 4" xfId="6262"/>
    <cellStyle name="Normal 10 5 4 2" xfId="8573"/>
    <cellStyle name="Normal 10 5 5" xfId="6301"/>
    <cellStyle name="Normal 10 6" xfId="1914"/>
    <cellStyle name="Normal 10 6 2" xfId="6273"/>
    <cellStyle name="Normal 10 6 2 2" xfId="8584"/>
    <cellStyle name="Normal 10 6 3" xfId="6312"/>
    <cellStyle name="Normal 10 7" xfId="6251"/>
    <cellStyle name="Normal 10 7 2" xfId="8565"/>
    <cellStyle name="Normal 10 8" xfId="6293"/>
    <cellStyle name="Normal 10_Exhibits" xfId="1643"/>
    <cellStyle name="Normal 100" xfId="1871"/>
    <cellStyle name="Normal 100 2" xfId="2986"/>
    <cellStyle name="Normal 101" xfId="1860"/>
    <cellStyle name="Normal 101 2" xfId="2987"/>
    <cellStyle name="Normal 102" xfId="1873"/>
    <cellStyle name="Normal 102 2" xfId="2988"/>
    <cellStyle name="Normal 103" xfId="1836"/>
    <cellStyle name="Normal 103 2" xfId="2989"/>
    <cellStyle name="Normal 104" xfId="1872"/>
    <cellStyle name="Normal 104 2" xfId="2990"/>
    <cellStyle name="Normal 105" xfId="1874"/>
    <cellStyle name="Normal 105 2" xfId="2991"/>
    <cellStyle name="Normal 106" xfId="1866"/>
    <cellStyle name="Normal 106 2" xfId="2992"/>
    <cellStyle name="Normal 107" xfId="1875"/>
    <cellStyle name="Normal 107 2" xfId="2993"/>
    <cellStyle name="Normal 108" xfId="1876"/>
    <cellStyle name="Normal 108 2" xfId="2994"/>
    <cellStyle name="Normal 109" xfId="1877"/>
    <cellStyle name="Normal 109 2" xfId="2995"/>
    <cellStyle name="Normal 11" xfId="498"/>
    <cellStyle name="Normal 11 10" xfId="6294"/>
    <cellStyle name="Normal 11 2" xfId="499"/>
    <cellStyle name="Normal 11 2 2" xfId="1154"/>
    <cellStyle name="Normal 11 3" xfId="1153"/>
    <cellStyle name="Normal 11 3 2" xfId="1644"/>
    <cellStyle name="Normal 11 3 2 2" xfId="1927"/>
    <cellStyle name="Normal 11 3 2 2 2" xfId="6280"/>
    <cellStyle name="Normal 11 3 2 2 2 2" xfId="8591"/>
    <cellStyle name="Normal 11 3 2 2 3" xfId="6319"/>
    <cellStyle name="Normal 11 3 2 3" xfId="2997"/>
    <cellStyle name="Normal 11 3 2 4" xfId="6259"/>
    <cellStyle name="Normal 11 3 2 4 2" xfId="8572"/>
    <cellStyle name="Normal 11 3 2 5" xfId="6300"/>
    <cellStyle name="Normal 11 3 3" xfId="1889"/>
    <cellStyle name="Normal 11 3 3 2" xfId="1933"/>
    <cellStyle name="Normal 11 3 3 2 2" xfId="6284"/>
    <cellStyle name="Normal 11 3 3 2 2 2" xfId="8595"/>
    <cellStyle name="Normal 11 3 3 2 3" xfId="6323"/>
    <cellStyle name="Normal 11 3 3 3" xfId="4347"/>
    <cellStyle name="Normal 11 3 3 3 2" xfId="6697"/>
    <cellStyle name="Normal 11 3 3 4" xfId="6265"/>
    <cellStyle name="Normal 11 3 3 4 2" xfId="8576"/>
    <cellStyle name="Normal 11 3 3 5" xfId="6304"/>
    <cellStyle name="Normal 11 3 4" xfId="1897"/>
    <cellStyle name="Normal 11 3 4 2" xfId="1937"/>
    <cellStyle name="Normal 11 3 4 2 2" xfId="6288"/>
    <cellStyle name="Normal 11 3 4 2 2 2" xfId="8599"/>
    <cellStyle name="Normal 11 3 4 2 3" xfId="6327"/>
    <cellStyle name="Normal 11 3 4 3" xfId="6269"/>
    <cellStyle name="Normal 11 3 4 3 2" xfId="8580"/>
    <cellStyle name="Normal 11 3 4 4" xfId="6308"/>
    <cellStyle name="Normal 11 3 5" xfId="1906"/>
    <cellStyle name="Normal 11 3 5 2" xfId="1939"/>
    <cellStyle name="Normal 11 3 5 2 2" xfId="6290"/>
    <cellStyle name="Normal 11 3 5 2 2 2" xfId="8601"/>
    <cellStyle name="Normal 11 3 5 2 3" xfId="6329"/>
    <cellStyle name="Normal 11 3 5 3" xfId="6271"/>
    <cellStyle name="Normal 11 3 5 3 2" xfId="8582"/>
    <cellStyle name="Normal 11 3 5 4" xfId="6310"/>
    <cellStyle name="Normal 11 3 6" xfId="1922"/>
    <cellStyle name="Normal 11 3 6 2" xfId="6276"/>
    <cellStyle name="Normal 11 3 6 2 2" xfId="8587"/>
    <cellStyle name="Normal 11 3 6 3" xfId="6315"/>
    <cellStyle name="Normal 11 3 7" xfId="2996"/>
    <cellStyle name="Normal 11 3 7 2" xfId="6450"/>
    <cellStyle name="Normal 11 3 8" xfId="6254"/>
    <cellStyle name="Normal 11 3 8 2" xfId="8568"/>
    <cellStyle name="Normal 11 3 9" xfId="6296"/>
    <cellStyle name="Normal 11 4" xfId="1439"/>
    <cellStyle name="Normal 11 4 2" xfId="1645"/>
    <cellStyle name="Normal 11 4 2 2" xfId="2998"/>
    <cellStyle name="Normal 11 4 2 2 2" xfId="2999"/>
    <cellStyle name="Normal 11 4 2 2 2 2" xfId="3000"/>
    <cellStyle name="Normal 11 4 2 2 2 2 2" xfId="6453"/>
    <cellStyle name="Normal 11 4 2 2 2 3" xfId="6452"/>
    <cellStyle name="Normal 11 4 2 2 3" xfId="3001"/>
    <cellStyle name="Normal 11 4 2 2 3 2" xfId="6454"/>
    <cellStyle name="Normal 11 4 2 2 4" xfId="6451"/>
    <cellStyle name="Normal 11 4 2 3" xfId="3002"/>
    <cellStyle name="Normal 11 4 2 3 2" xfId="3003"/>
    <cellStyle name="Normal 11 4 2 3 2 2" xfId="6456"/>
    <cellStyle name="Normal 11 4 2 3 3" xfId="6455"/>
    <cellStyle name="Normal 11 4 2 4" xfId="3004"/>
    <cellStyle name="Normal 11 4 2 4 2" xfId="6457"/>
    <cellStyle name="Normal 11 4 2 5" xfId="3005"/>
    <cellStyle name="Normal 11 4 2 5 2" xfId="6458"/>
    <cellStyle name="Normal 11 4 3" xfId="1891"/>
    <cellStyle name="Normal 11 4 3 2" xfId="1935"/>
    <cellStyle name="Normal 11 4 3 2 2" xfId="3008"/>
    <cellStyle name="Normal 11 4 3 2 2 2" xfId="6461"/>
    <cellStyle name="Normal 11 4 3 2 3" xfId="3007"/>
    <cellStyle name="Normal 11 4 3 2 3 2" xfId="6460"/>
    <cellStyle name="Normal 11 4 3 2 4" xfId="6286"/>
    <cellStyle name="Normal 11 4 3 2 4 2" xfId="8597"/>
    <cellStyle name="Normal 11 4 3 2 5" xfId="6325"/>
    <cellStyle name="Normal 11 4 3 3" xfId="3009"/>
    <cellStyle name="Normal 11 4 3 3 2" xfId="6462"/>
    <cellStyle name="Normal 11 4 3 4" xfId="3006"/>
    <cellStyle name="Normal 11 4 3 4 2" xfId="6459"/>
    <cellStyle name="Normal 11 4 3 5" xfId="6267"/>
    <cellStyle name="Normal 11 4 3 5 2" xfId="8578"/>
    <cellStyle name="Normal 11 4 3 6" xfId="6306"/>
    <cellStyle name="Normal 11 4 4" xfId="1925"/>
    <cellStyle name="Normal 11 4 4 2" xfId="3011"/>
    <cellStyle name="Normal 11 4 4 2 2" xfId="6464"/>
    <cellStyle name="Normal 11 4 4 3" xfId="3010"/>
    <cellStyle name="Normal 11 4 4 3 2" xfId="6463"/>
    <cellStyle name="Normal 11 4 4 4" xfId="6278"/>
    <cellStyle name="Normal 11 4 4 4 2" xfId="8589"/>
    <cellStyle name="Normal 11 4 4 5" xfId="6317"/>
    <cellStyle name="Normal 11 4 5" xfId="3012"/>
    <cellStyle name="Normal 11 4 5 2" xfId="6465"/>
    <cellStyle name="Normal 11 4 6" xfId="3013"/>
    <cellStyle name="Normal 11 4 6 2" xfId="6466"/>
    <cellStyle name="Normal 11 4 7" xfId="6257"/>
    <cellStyle name="Normal 11 4 7 2" xfId="8570"/>
    <cellStyle name="Normal 11 4 8" xfId="6298"/>
    <cellStyle name="Normal 11 5" xfId="1887"/>
    <cellStyle name="Normal 11 5 2" xfId="1931"/>
    <cellStyle name="Normal 11 5 2 2" xfId="3016"/>
    <cellStyle name="Normal 11 5 2 2 2" xfId="3017"/>
    <cellStyle name="Normal 11 5 2 2 2 2" xfId="6469"/>
    <cellStyle name="Normal 11 5 2 2 3" xfId="6468"/>
    <cellStyle name="Normal 11 5 2 3" xfId="3018"/>
    <cellStyle name="Normal 11 5 2 3 2" xfId="6470"/>
    <cellStyle name="Normal 11 5 2 4" xfId="3015"/>
    <cellStyle name="Normal 11 5 2 4 2" xfId="6467"/>
    <cellStyle name="Normal 11 5 2 5" xfId="6282"/>
    <cellStyle name="Normal 11 5 2 5 2" xfId="8593"/>
    <cellStyle name="Normal 11 5 2 6" xfId="6321"/>
    <cellStyle name="Normal 11 5 3" xfId="3019"/>
    <cellStyle name="Normal 11 5 3 2" xfId="3020"/>
    <cellStyle name="Normal 11 5 3 2 2" xfId="6472"/>
    <cellStyle name="Normal 11 5 3 3" xfId="6471"/>
    <cellStyle name="Normal 11 5 4" xfId="3021"/>
    <cellStyle name="Normal 11 5 4 2" xfId="6473"/>
    <cellStyle name="Normal 11 5 5" xfId="3022"/>
    <cellStyle name="Normal 11 5 5 2" xfId="6474"/>
    <cellStyle name="Normal 11 5 6" xfId="4346"/>
    <cellStyle name="Normal 11 5 7" xfId="3014"/>
    <cellStyle name="Normal 11 5 8" xfId="6263"/>
    <cellStyle name="Normal 11 5 8 2" xfId="8574"/>
    <cellStyle name="Normal 11 5 9" xfId="6302"/>
    <cellStyle name="Normal 11 6" xfId="1910"/>
    <cellStyle name="Normal 11 6 2" xfId="1940"/>
    <cellStyle name="Normal 11 6 2 2" xfId="3025"/>
    <cellStyle name="Normal 11 6 2 2 2" xfId="3026"/>
    <cellStyle name="Normal 11 6 2 2 2 2" xfId="6478"/>
    <cellStyle name="Normal 11 6 2 2 3" xfId="6477"/>
    <cellStyle name="Normal 11 6 2 3" xfId="3027"/>
    <cellStyle name="Normal 11 6 2 3 2" xfId="6479"/>
    <cellStyle name="Normal 11 6 2 4" xfId="3024"/>
    <cellStyle name="Normal 11 6 2 4 2" xfId="6476"/>
    <cellStyle name="Normal 11 6 2 5" xfId="6291"/>
    <cellStyle name="Normal 11 6 2 5 2" xfId="8602"/>
    <cellStyle name="Normal 11 6 2 6" xfId="6330"/>
    <cellStyle name="Normal 11 6 3" xfId="3028"/>
    <cellStyle name="Normal 11 6 3 2" xfId="3029"/>
    <cellStyle name="Normal 11 6 3 2 2" xfId="6481"/>
    <cellStyle name="Normal 11 6 3 3" xfId="6480"/>
    <cellStyle name="Normal 11 6 4" xfId="3030"/>
    <cellStyle name="Normal 11 6 4 2" xfId="6482"/>
    <cellStyle name="Normal 11 6 5" xfId="3023"/>
    <cellStyle name="Normal 11 6 5 2" xfId="6475"/>
    <cellStyle name="Normal 11 6 6" xfId="6272"/>
    <cellStyle name="Normal 11 6 6 2" xfId="8583"/>
    <cellStyle name="Normal 11 6 7" xfId="6311"/>
    <cellStyle name="Normal 11 7" xfId="1915"/>
    <cellStyle name="Normal 11 7 2" xfId="3032"/>
    <cellStyle name="Normal 11 7 3" xfId="3033"/>
    <cellStyle name="Normal 11 7 3 2" xfId="6484"/>
    <cellStyle name="Normal 11 7 4" xfId="3031"/>
    <cellStyle name="Normal 11 7 4 2" xfId="6483"/>
    <cellStyle name="Normal 11 7 5" xfId="6274"/>
    <cellStyle name="Normal 11 7 5 2" xfId="8585"/>
    <cellStyle name="Normal 11 7 6" xfId="6313"/>
    <cellStyle name="Normal 11 8" xfId="3034"/>
    <cellStyle name="Normal 11 9" xfId="6252"/>
    <cellStyle name="Normal 11 9 2" xfId="8566"/>
    <cellStyle name="Normal 110" xfId="1878"/>
    <cellStyle name="Normal 110 2" xfId="3035"/>
    <cellStyle name="Normal 111" xfId="1879"/>
    <cellStyle name="Normal 111 2" xfId="3036"/>
    <cellStyle name="Normal 112" xfId="1880"/>
    <cellStyle name="Normal 112 2" xfId="3037"/>
    <cellStyle name="Normal 113" xfId="1881"/>
    <cellStyle name="Normal 113 2" xfId="3038"/>
    <cellStyle name="Normal 114" xfId="1882"/>
    <cellStyle name="Normal 114 2" xfId="3039"/>
    <cellStyle name="Normal 115" xfId="1883"/>
    <cellStyle name="Normal 115 2" xfId="3040"/>
    <cellStyle name="Normal 116" xfId="1884"/>
    <cellStyle name="Normal 116 2" xfId="3041"/>
    <cellStyle name="Normal 117" xfId="1885"/>
    <cellStyle name="Normal 117 2" xfId="3042"/>
    <cellStyle name="Normal 118" xfId="1892"/>
    <cellStyle name="Normal 118 2" xfId="3043"/>
    <cellStyle name="Normal 119" xfId="1898"/>
    <cellStyle name="Normal 119 2" xfId="3044"/>
    <cellStyle name="Normal 12" xfId="500"/>
    <cellStyle name="Normal 12 2" xfId="501"/>
    <cellStyle name="Normal 12 2 2" xfId="1156"/>
    <cellStyle name="Normal 12 2 2 2" xfId="1647"/>
    <cellStyle name="Normal 12 2 3" xfId="3045"/>
    <cellStyle name="Normal 12 3" xfId="1155"/>
    <cellStyle name="Normal 12 3 2" xfId="3046"/>
    <cellStyle name="Normal 12 3 3" xfId="3047"/>
    <cellStyle name="Normal 12 4" xfId="1648"/>
    <cellStyle name="Normal 12 4 2" xfId="3048"/>
    <cellStyle name="Normal 12 5" xfId="1646"/>
    <cellStyle name="Normal 12 5 2" xfId="3050"/>
    <cellStyle name="Normal 12 5 3" xfId="4349"/>
    <cellStyle name="Normal 12 5 3 2" xfId="6698"/>
    <cellStyle name="Normal 12 5 4" xfId="3049"/>
    <cellStyle name="Normal 12 5 4 2" xfId="6485"/>
    <cellStyle name="Normal 12 6" xfId="3051"/>
    <cellStyle name="Normal 12 6 2" xfId="4348"/>
    <cellStyle name="Normal 120" xfId="1899"/>
    <cellStyle name="Normal 120 2" xfId="3052"/>
    <cellStyle name="Normal 121" xfId="1900"/>
    <cellStyle name="Normal 121 2" xfId="3053"/>
    <cellStyle name="Normal 122" xfId="1907"/>
    <cellStyle name="Normal 123" xfId="1908"/>
    <cellStyle name="Normal 124" xfId="1909"/>
    <cellStyle name="Normal 125" xfId="1911"/>
    <cellStyle name="Normal 126" xfId="1929"/>
    <cellStyle name="Normal 127" xfId="1912"/>
    <cellStyle name="Normal 128" xfId="1917"/>
    <cellStyle name="Normal 129" xfId="1916"/>
    <cellStyle name="Normal 129 2" xfId="3055"/>
    <cellStyle name="Normal 129 2 2" xfId="3056"/>
    <cellStyle name="Normal 129 2 2 2" xfId="3057"/>
    <cellStyle name="Normal 129 2 2 2 2" xfId="6489"/>
    <cellStyle name="Normal 129 2 2 3" xfId="6488"/>
    <cellStyle name="Normal 129 2 3" xfId="3058"/>
    <cellStyle name="Normal 129 2 3 2" xfId="6490"/>
    <cellStyle name="Normal 129 2 4" xfId="6487"/>
    <cellStyle name="Normal 129 3" xfId="3059"/>
    <cellStyle name="Normal 129 3 2" xfId="3060"/>
    <cellStyle name="Normal 129 3 2 2" xfId="6492"/>
    <cellStyle name="Normal 129 3 3" xfId="6491"/>
    <cellStyle name="Normal 129 4" xfId="3061"/>
    <cellStyle name="Normal 129 4 2" xfId="6493"/>
    <cellStyle name="Normal 129 5" xfId="3054"/>
    <cellStyle name="Normal 129 5 2" xfId="6486"/>
    <cellStyle name="Normal 13" xfId="502"/>
    <cellStyle name="Normal 13 2" xfId="503"/>
    <cellStyle name="Normal 13 2 2" xfId="1157"/>
    <cellStyle name="Normal 13 2 2 2" xfId="3062"/>
    <cellStyle name="Normal 13 2 3" xfId="3063"/>
    <cellStyle name="Normal 13 2 3 2" xfId="3064"/>
    <cellStyle name="Normal 13 2 4" xfId="3065"/>
    <cellStyle name="Normal 13 3" xfId="1649"/>
    <cellStyle name="Normal 13 3 2" xfId="3066"/>
    <cellStyle name="Normal 13 3 3" xfId="3067"/>
    <cellStyle name="Normal 13 4" xfId="3068"/>
    <cellStyle name="Normal 13 4 2" xfId="3069"/>
    <cellStyle name="Normal 13 4 3" xfId="3070"/>
    <cellStyle name="Normal 13 4 4" xfId="4351"/>
    <cellStyle name="Normal 13 4 4 2" xfId="6699"/>
    <cellStyle name="Normal 13 4 5" xfId="6494"/>
    <cellStyle name="Normal 13 5" xfId="3071"/>
    <cellStyle name="Normal 13 5 2" xfId="4350"/>
    <cellStyle name="Normal 130" xfId="1918"/>
    <cellStyle name="Normal 130 2" xfId="3073"/>
    <cellStyle name="Normal 130 2 2" xfId="3074"/>
    <cellStyle name="Normal 130 2 2 2" xfId="3075"/>
    <cellStyle name="Normal 130 2 2 2 2" xfId="6498"/>
    <cellStyle name="Normal 130 2 2 3" xfId="6497"/>
    <cellStyle name="Normal 130 2 3" xfId="3076"/>
    <cellStyle name="Normal 130 2 3 2" xfId="6499"/>
    <cellStyle name="Normal 130 2 4" xfId="6496"/>
    <cellStyle name="Normal 130 3" xfId="3077"/>
    <cellStyle name="Normal 130 3 2" xfId="3078"/>
    <cellStyle name="Normal 130 3 2 2" xfId="6501"/>
    <cellStyle name="Normal 130 3 3" xfId="6500"/>
    <cellStyle name="Normal 130 4" xfId="3079"/>
    <cellStyle name="Normal 130 4 2" xfId="6502"/>
    <cellStyle name="Normal 130 5" xfId="3072"/>
    <cellStyle name="Normal 130 5 2" xfId="6495"/>
    <cellStyle name="Normal 131" xfId="1920"/>
    <cellStyle name="Normal 132" xfId="1942"/>
    <cellStyle name="Normal 132 2" xfId="3080"/>
    <cellStyle name="Normal 133" xfId="1928"/>
    <cellStyle name="Normal 133 2" xfId="3082"/>
    <cellStyle name="Normal 133 2 2" xfId="3083"/>
    <cellStyle name="Normal 133 2 2 2" xfId="3084"/>
    <cellStyle name="Normal 133 2 2 2 2" xfId="6506"/>
    <cellStyle name="Normal 133 2 2 3" xfId="6505"/>
    <cellStyle name="Normal 133 2 3" xfId="3085"/>
    <cellStyle name="Normal 133 2 3 2" xfId="6507"/>
    <cellStyle name="Normal 133 2 4" xfId="6504"/>
    <cellStyle name="Normal 133 3" xfId="3086"/>
    <cellStyle name="Normal 133 3 2" xfId="3087"/>
    <cellStyle name="Normal 133 3 2 2" xfId="6509"/>
    <cellStyle name="Normal 133 3 3" xfId="6508"/>
    <cellStyle name="Normal 133 4" xfId="3088"/>
    <cellStyle name="Normal 133 4 2" xfId="6510"/>
    <cellStyle name="Normal 133 5" xfId="3081"/>
    <cellStyle name="Normal 133 5 2" xfId="6503"/>
    <cellStyle name="Normal 134" xfId="1913"/>
    <cellStyle name="Normal 135" xfId="1919"/>
    <cellStyle name="Normal 136" xfId="1941"/>
    <cellStyle name="Normal 137" xfId="1923"/>
    <cellStyle name="Normal 138" xfId="1944"/>
    <cellStyle name="Normal 138 2" xfId="3089"/>
    <cellStyle name="Normal 139" xfId="3090"/>
    <cellStyle name="Normal 14" xfId="504"/>
    <cellStyle name="Normal 14 2" xfId="1158"/>
    <cellStyle name="Normal 14 2 2" xfId="3091"/>
    <cellStyle name="Normal 14 3" xfId="1650"/>
    <cellStyle name="Normal 14 3 2" xfId="3092"/>
    <cellStyle name="Normal 14 4" xfId="1651"/>
    <cellStyle name="Normal 14 4 2" xfId="3093"/>
    <cellStyle name="Normal 140" xfId="3094"/>
    <cellStyle name="Normal 141" xfId="3095"/>
    <cellStyle name="Normal 142" xfId="3096"/>
    <cellStyle name="Normal 142 2" xfId="3097"/>
    <cellStyle name="Normal 142 3" xfId="3098"/>
    <cellStyle name="Normal 142 3 2" xfId="6512"/>
    <cellStyle name="Normal 142 4" xfId="6511"/>
    <cellStyle name="Normal 143" xfId="3099"/>
    <cellStyle name="Normal 144" xfId="3100"/>
    <cellStyle name="Normal 145" xfId="3101"/>
    <cellStyle name="Normal 146" xfId="3102"/>
    <cellStyle name="Normal 147" xfId="3103"/>
    <cellStyle name="Normal 148" xfId="3104"/>
    <cellStyle name="Normal 149" xfId="3105"/>
    <cellStyle name="Normal 15" xfId="505"/>
    <cellStyle name="Normal 15 2" xfId="1159"/>
    <cellStyle name="Normal 15 2 2" xfId="3106"/>
    <cellStyle name="Normal 15 3" xfId="3107"/>
    <cellStyle name="Normal 15 3 2" xfId="3108"/>
    <cellStyle name="Normal 15 4" xfId="3109"/>
    <cellStyle name="Normal 150" xfId="3110"/>
    <cellStyle name="Normal 151" xfId="3111"/>
    <cellStyle name="Normal 152" xfId="3112"/>
    <cellStyle name="Normal 153" xfId="3113"/>
    <cellStyle name="Normal 154" xfId="3114"/>
    <cellStyle name="Normal 155" xfId="3115"/>
    <cellStyle name="Normal 156" xfId="3116"/>
    <cellStyle name="Normal 157" xfId="3117"/>
    <cellStyle name="Normal 158" xfId="3118"/>
    <cellStyle name="Normal 159" xfId="3119"/>
    <cellStyle name="Normal 16" xfId="506"/>
    <cellStyle name="Normal 16 2" xfId="1160"/>
    <cellStyle name="Normal 16 2 2" xfId="1654"/>
    <cellStyle name="Normal 16 2 2 2" xfId="1655"/>
    <cellStyle name="Normal 16 2 2 3" xfId="3120"/>
    <cellStyle name="Normal 16 2 3" xfId="1653"/>
    <cellStyle name="Normal 16 2 3 2" xfId="3121"/>
    <cellStyle name="Normal 16 2 4" xfId="3122"/>
    <cellStyle name="Normal 16 3" xfId="1656"/>
    <cellStyle name="Normal 16 4" xfId="1657"/>
    <cellStyle name="Normal 16 5" xfId="1652"/>
    <cellStyle name="Normal 16 5 2" xfId="4352"/>
    <cellStyle name="Normal 160" xfId="3123"/>
    <cellStyle name="Normal 161" xfId="3124"/>
    <cellStyle name="Normal 162" xfId="3125"/>
    <cellStyle name="Normal 163" xfId="3126"/>
    <cellStyle name="Normal 164" xfId="3127"/>
    <cellStyle name="Normal 165" xfId="3128"/>
    <cellStyle name="Normal 166" xfId="3129"/>
    <cellStyle name="Normal 167" xfId="3130"/>
    <cellStyle name="Normal 168" xfId="3131"/>
    <cellStyle name="Normal 169" xfId="3132"/>
    <cellStyle name="Normal 17" xfId="507"/>
    <cellStyle name="Normal 17 2" xfId="1161"/>
    <cellStyle name="Normal 17 2 2" xfId="3133"/>
    <cellStyle name="Normal 17 3" xfId="1659"/>
    <cellStyle name="Normal 17 3 2" xfId="3134"/>
    <cellStyle name="Normal 17 4" xfId="1658"/>
    <cellStyle name="Normal 170" xfId="3135"/>
    <cellStyle name="Normal 171" xfId="3136"/>
    <cellStyle name="Normal 172" xfId="3137"/>
    <cellStyle name="Normal 173" xfId="3138"/>
    <cellStyle name="Normal 174" xfId="3139"/>
    <cellStyle name="Normal 175" xfId="3140"/>
    <cellStyle name="Normal 176" xfId="3141"/>
    <cellStyle name="Normal 177" xfId="4022"/>
    <cellStyle name="Normal 178" xfId="4035"/>
    <cellStyle name="Normal 179" xfId="4380"/>
    <cellStyle name="Normal 18" xfId="508"/>
    <cellStyle name="Normal 18 2" xfId="1162"/>
    <cellStyle name="Normal 18 2 2" xfId="3142"/>
    <cellStyle name="Normal 18 3" xfId="3143"/>
    <cellStyle name="Normal 180" xfId="4381"/>
    <cellStyle name="Normal 181" xfId="1985"/>
    <cellStyle name="Normal 182" xfId="4020"/>
    <cellStyle name="Normal 183" xfId="4333"/>
    <cellStyle name="Normal 184" xfId="6246"/>
    <cellStyle name="Normal 185" xfId="6261"/>
    <cellStyle name="Normal 186" xfId="6247"/>
    <cellStyle name="Normal 187" xfId="6255"/>
    <cellStyle name="Normal 188" xfId="6250"/>
    <cellStyle name="Normal 189" xfId="6260"/>
    <cellStyle name="Normal 19" xfId="509"/>
    <cellStyle name="Normal 19 2" xfId="1163"/>
    <cellStyle name="Normal 19 2 2" xfId="3144"/>
    <cellStyle name="Normal 19 2 3" xfId="3145"/>
    <cellStyle name="Normal 19 3" xfId="3146"/>
    <cellStyle name="Normal 19 4" xfId="3147"/>
    <cellStyle name="Normal 190" xfId="6249"/>
    <cellStyle name="Normal 191" xfId="6248"/>
    <cellStyle name="Normal 192" xfId="6292"/>
    <cellStyle name="Normal 193" xfId="8603"/>
    <cellStyle name="Normal 2" xfId="510"/>
    <cellStyle name="Normal 2 2" xfId="511"/>
    <cellStyle name="Normal 2 2 2" xfId="1165"/>
    <cellStyle name="Normal 2 2 2 2" xfId="3148"/>
    <cellStyle name="Normal 2 2 3" xfId="3149"/>
    <cellStyle name="Normal 2 2 3 2" xfId="3150"/>
    <cellStyle name="Normal 2 2 3 3" xfId="3151"/>
    <cellStyle name="Normal 2 2 4" xfId="3152"/>
    <cellStyle name="Normal 2 2 4 2" xfId="3153"/>
    <cellStyle name="Normal 2 2 4 2 2" xfId="6513"/>
    <cellStyle name="Normal 2 2 4 3" xfId="3154"/>
    <cellStyle name="Normal 2 2 4 3 2" xfId="6514"/>
    <cellStyle name="Normal 2 2 5" xfId="4262"/>
    <cellStyle name="Normal 2 2_Pivot Table Tips" xfId="3155"/>
    <cellStyle name="Normal 2 3" xfId="1164"/>
    <cellStyle name="Normal 2 3 2" xfId="1660"/>
    <cellStyle name="Normal 2 3 2 2" xfId="3157"/>
    <cellStyle name="Normal 2 3 2 3" xfId="3158"/>
    <cellStyle name="Normal 2 3 2 4" xfId="3156"/>
    <cellStyle name="Normal 2 3 3" xfId="3159"/>
    <cellStyle name="Normal 2 3 3 2" xfId="3160"/>
    <cellStyle name="Normal 2 3 3 3" xfId="4353"/>
    <cellStyle name="Normal 2 3 4" xfId="3161"/>
    <cellStyle name="Normal 2 3 4 2" xfId="3162"/>
    <cellStyle name="Normal 2 3 5" xfId="3163"/>
    <cellStyle name="Normal 2 4" xfId="1661"/>
    <cellStyle name="Normal 2 4 2" xfId="3164"/>
    <cellStyle name="Normal 2 4 2 2" xfId="3165"/>
    <cellStyle name="Normal 2 4 2 3" xfId="3166"/>
    <cellStyle name="Normal 2 4 3" xfId="3167"/>
    <cellStyle name="Normal 2 4 3 2" xfId="3168"/>
    <cellStyle name="Normal 2 4 4" xfId="3169"/>
    <cellStyle name="Normal 2 4 5" xfId="3170"/>
    <cellStyle name="Normal 2 4 6" xfId="4261"/>
    <cellStyle name="Normal 2 5" xfId="1662"/>
    <cellStyle name="Normal 2 5 2" xfId="3171"/>
    <cellStyle name="Normal 2 5 3" xfId="3172"/>
    <cellStyle name="Normal 2 6" xfId="1663"/>
    <cellStyle name="Normal 2 6 2" xfId="3173"/>
    <cellStyle name="Normal 2 6 2 2" xfId="3174"/>
    <cellStyle name="Normal 2 6 3" xfId="3175"/>
    <cellStyle name="Normal 2 6 3 2" xfId="3176"/>
    <cellStyle name="Normal 2 6 4" xfId="3177"/>
    <cellStyle name="Normal 2 7" xfId="3178"/>
    <cellStyle name="Normal 2 7 2" xfId="3179"/>
    <cellStyle name="Normal 2 7 2 2" xfId="3180"/>
    <cellStyle name="Normal 2 7 2 2 2" xfId="3181"/>
    <cellStyle name="Normal 2 7 2 2 2 2" xfId="6517"/>
    <cellStyle name="Normal 2 7 2 2 3" xfId="6516"/>
    <cellStyle name="Normal 2 7 2 3" xfId="3182"/>
    <cellStyle name="Normal 2 7 2 3 2" xfId="6518"/>
    <cellStyle name="Normal 2 7 2 4" xfId="6515"/>
    <cellStyle name="Normal 2 7 3" xfId="3183"/>
    <cellStyle name="Normal 2 7 3 2" xfId="3184"/>
    <cellStyle name="Normal 2 7 3 2 2" xfId="6520"/>
    <cellStyle name="Normal 2 7 3 3" xfId="6519"/>
    <cellStyle name="Normal 2 7 4" xfId="3185"/>
    <cellStyle name="Normal 2 7 5" xfId="3186"/>
    <cellStyle name="Normal 2 7 5 2" xfId="6521"/>
    <cellStyle name="Normal 2 7 6" xfId="3187"/>
    <cellStyle name="Normal 2 7 6 2" xfId="6522"/>
    <cellStyle name="Normal 2 8" xfId="3188"/>
    <cellStyle name="Normal 2 9" xfId="3189"/>
    <cellStyle name="Normal 2_Exhibits" xfId="1664"/>
    <cellStyle name="Normal 20" xfId="512"/>
    <cellStyle name="Normal 20 2" xfId="1166"/>
    <cellStyle name="Normal 20 2 2" xfId="1665"/>
    <cellStyle name="Normal 20 3" xfId="1666"/>
    <cellStyle name="Normal 20 3 2" xfId="3191"/>
    <cellStyle name="Normal 20 3 3" xfId="3192"/>
    <cellStyle name="Normal 20 4" xfId="3193"/>
    <cellStyle name="Normal 20 4 2" xfId="3194"/>
    <cellStyle name="Normal 21" xfId="513"/>
    <cellStyle name="Normal 21 2" xfId="1167"/>
    <cellStyle name="Normal 21 2 2" xfId="3195"/>
    <cellStyle name="Normal 21 3" xfId="3196"/>
    <cellStyle name="Normal 21 4" xfId="3197"/>
    <cellStyle name="Normal 22" xfId="514"/>
    <cellStyle name="Normal 22 2" xfId="1168"/>
    <cellStyle name="Normal 22 2 2" xfId="3198"/>
    <cellStyle name="Normal 22 2 2 2" xfId="3199"/>
    <cellStyle name="Normal 22 2 3" xfId="3200"/>
    <cellStyle name="Normal 22 3" xfId="1667"/>
    <cellStyle name="Normal 23" xfId="515"/>
    <cellStyle name="Normal 23 2" xfId="1169"/>
    <cellStyle name="Normal 24" xfId="516"/>
    <cellStyle name="Normal 24 2" xfId="1170"/>
    <cellStyle name="Normal 25" xfId="517"/>
    <cellStyle name="Normal 25 2" xfId="518"/>
    <cellStyle name="Normal 25 2 2" xfId="1172"/>
    <cellStyle name="Normal 25 2 3" xfId="1668"/>
    <cellStyle name="Normal 25 3" xfId="1171"/>
    <cellStyle name="Normal 25 3 2" xfId="1669"/>
    <cellStyle name="Normal 26" xfId="519"/>
    <cellStyle name="Normal 26 2" xfId="1173"/>
    <cellStyle name="Normal 27" xfId="520"/>
    <cellStyle name="Normal 27 2" xfId="1174"/>
    <cellStyle name="Normal 27 2 2" xfId="3202"/>
    <cellStyle name="Normal 27 2 3" xfId="3201"/>
    <cellStyle name="Normal 27 2 3 2" xfId="6523"/>
    <cellStyle name="Normal 27 3" xfId="4040"/>
    <cellStyle name="Normal 27 3 2" xfId="6679"/>
    <cellStyle name="Normal 28" xfId="521"/>
    <cellStyle name="Normal 28 2" xfId="1175"/>
    <cellStyle name="Normal 28 2 2" xfId="3204"/>
    <cellStyle name="Normal 28 2 3" xfId="3203"/>
    <cellStyle name="Normal 28 2 3 2" xfId="6524"/>
    <cellStyle name="Normal 28 3" xfId="4039"/>
    <cellStyle name="Normal 28 3 2" xfId="6678"/>
    <cellStyle name="Normal 29" xfId="522"/>
    <cellStyle name="Normal 29 2" xfId="1176"/>
    <cellStyle name="Normal 3" xfId="523"/>
    <cellStyle name="Normal 3 2" xfId="524"/>
    <cellStyle name="Normal 3 2 2" xfId="525"/>
    <cellStyle name="Normal 3 2 2 2" xfId="1179"/>
    <cellStyle name="Normal 3 2 2 2 2" xfId="3205"/>
    <cellStyle name="Normal 3 2 2 3" xfId="3206"/>
    <cellStyle name="Normal 3 2 2 3 2" xfId="3207"/>
    <cellStyle name="Normal 3 2 2 4" xfId="3208"/>
    <cellStyle name="Normal 3 2 3" xfId="1178"/>
    <cellStyle name="Normal 3 2 3 2" xfId="1670"/>
    <cellStyle name="Normal 3 2 3 2 2" xfId="3209"/>
    <cellStyle name="Normal 3 2 4" xfId="3210"/>
    <cellStyle name="Normal 3 2 4 2" xfId="3211"/>
    <cellStyle name="Normal 3 2 5" xfId="3212"/>
    <cellStyle name="Normal 3 2 5 2" xfId="3213"/>
    <cellStyle name="Normal 3 2 5 2 2" xfId="3214"/>
    <cellStyle name="Normal 3 2 5 2 2 2" xfId="3215"/>
    <cellStyle name="Normal 3 2 5 2 2 2 2" xfId="3216"/>
    <cellStyle name="Normal 3 2 5 2 2 2 2 2" xfId="6529"/>
    <cellStyle name="Normal 3 2 5 2 2 2 3" xfId="6528"/>
    <cellStyle name="Normal 3 2 5 2 2 3" xfId="3217"/>
    <cellStyle name="Normal 3 2 5 2 2 3 2" xfId="6530"/>
    <cellStyle name="Normal 3 2 5 2 2 4" xfId="6527"/>
    <cellStyle name="Normal 3 2 5 2 3" xfId="3218"/>
    <cellStyle name="Normal 3 2 5 2 3 2" xfId="3219"/>
    <cellStyle name="Normal 3 2 5 2 3 2 2" xfId="6532"/>
    <cellStyle name="Normal 3 2 5 2 3 3" xfId="6531"/>
    <cellStyle name="Normal 3 2 5 2 4" xfId="3220"/>
    <cellStyle name="Normal 3 2 5 2 4 2" xfId="6533"/>
    <cellStyle name="Normal 3 2 5 2 5" xfId="6526"/>
    <cellStyle name="Normal 3 2 5 3" xfId="3221"/>
    <cellStyle name="Normal 3 2 5 3 2" xfId="3222"/>
    <cellStyle name="Normal 3 2 5 3 2 2" xfId="3223"/>
    <cellStyle name="Normal 3 2 5 3 2 2 2" xfId="6536"/>
    <cellStyle name="Normal 3 2 5 3 2 3" xfId="6535"/>
    <cellStyle name="Normal 3 2 5 3 3" xfId="3224"/>
    <cellStyle name="Normal 3 2 5 3 3 2" xfId="6537"/>
    <cellStyle name="Normal 3 2 5 3 4" xfId="6534"/>
    <cellStyle name="Normal 3 2 5 4" xfId="3225"/>
    <cellStyle name="Normal 3 2 5 4 2" xfId="3226"/>
    <cellStyle name="Normal 3 2 5 4 2 2" xfId="6539"/>
    <cellStyle name="Normal 3 2 5 4 3" xfId="6538"/>
    <cellStyle name="Normal 3 2 5 5" xfId="3227"/>
    <cellStyle name="Normal 3 2 5 5 2" xfId="6540"/>
    <cellStyle name="Normal 3 2 5 6" xfId="6525"/>
    <cellStyle name="Normal 3 2 6" xfId="3228"/>
    <cellStyle name="Normal 3 2 6 2" xfId="3229"/>
    <cellStyle name="Normal 3 2 6 2 2" xfId="3230"/>
    <cellStyle name="Normal 3 2 6 2 2 2" xfId="3231"/>
    <cellStyle name="Normal 3 2 6 2 2 2 2" xfId="6544"/>
    <cellStyle name="Normal 3 2 6 2 2 3" xfId="6543"/>
    <cellStyle name="Normal 3 2 6 2 3" xfId="3232"/>
    <cellStyle name="Normal 3 2 6 2 3 2" xfId="6545"/>
    <cellStyle name="Normal 3 2 6 2 4" xfId="6542"/>
    <cellStyle name="Normal 3 2 6 3" xfId="3233"/>
    <cellStyle name="Normal 3 2 6 3 2" xfId="3234"/>
    <cellStyle name="Normal 3 2 6 3 2 2" xfId="6547"/>
    <cellStyle name="Normal 3 2 6 3 3" xfId="6546"/>
    <cellStyle name="Normal 3 2 6 4" xfId="3235"/>
    <cellStyle name="Normal 3 2 6 4 2" xfId="6548"/>
    <cellStyle name="Normal 3 2 6 5" xfId="6541"/>
    <cellStyle name="Normal 3 2 7" xfId="3236"/>
    <cellStyle name="Normal 3 2 7 2" xfId="3237"/>
    <cellStyle name="Normal 3 2 7 3" xfId="3238"/>
    <cellStyle name="Normal 3 2 7 3 2" xfId="6550"/>
    <cellStyle name="Normal 3 2 7 4" xfId="6549"/>
    <cellStyle name="Normal 3 2 8" xfId="3239"/>
    <cellStyle name="Normal 3 3" xfId="1177"/>
    <cellStyle name="Normal 3 3 2" xfId="1671"/>
    <cellStyle name="Normal 3 3 2 2" xfId="3240"/>
    <cellStyle name="Normal 3 3 3" xfId="1672"/>
    <cellStyle name="Normal 3 3 4" xfId="1673"/>
    <cellStyle name="Normal 3 4" xfId="1674"/>
    <cellStyle name="Normal 3 4 2" xfId="3241"/>
    <cellStyle name="Normal 3 4 2 2" xfId="3242"/>
    <cellStyle name="Normal 3 5" xfId="3243"/>
    <cellStyle name="Normal 3 5 10" xfId="6551"/>
    <cellStyle name="Normal 3 5 2" xfId="3244"/>
    <cellStyle name="Normal 3 5 2 2" xfId="3245"/>
    <cellStyle name="Normal 3 5 2 2 2" xfId="4519"/>
    <cellStyle name="Normal 3 5 2 2 2 2" xfId="4848"/>
    <cellStyle name="Normal 3 5 2 2 2 2 2" xfId="5524"/>
    <cellStyle name="Normal 3 5 2 2 2 2 2 2" xfId="7843"/>
    <cellStyle name="Normal 3 5 2 2 2 2 3" xfId="6196"/>
    <cellStyle name="Normal 3 5 2 2 2 2 3 2" xfId="8515"/>
    <cellStyle name="Normal 3 5 2 2 2 2 4" xfId="7169"/>
    <cellStyle name="Normal 3 5 2 2 2 3" xfId="5192"/>
    <cellStyle name="Normal 3 5 2 2 2 3 2" xfId="7511"/>
    <cellStyle name="Normal 3 5 2 2 2 4" xfId="5860"/>
    <cellStyle name="Normal 3 5 2 2 2 4 2" xfId="8179"/>
    <cellStyle name="Normal 3 5 2 2 2 5" xfId="6840"/>
    <cellStyle name="Normal 3 5 2 2 3" xfId="4683"/>
    <cellStyle name="Normal 3 5 2 2 3 2" xfId="5358"/>
    <cellStyle name="Normal 3 5 2 2 3 2 2" xfId="7677"/>
    <cellStyle name="Normal 3 5 2 2 3 3" xfId="6028"/>
    <cellStyle name="Normal 3 5 2 2 3 3 2" xfId="8347"/>
    <cellStyle name="Normal 3 5 2 2 3 4" xfId="7004"/>
    <cellStyle name="Normal 3 5 2 2 4" xfId="5026"/>
    <cellStyle name="Normal 3 5 2 2 4 2" xfId="7345"/>
    <cellStyle name="Normal 3 5 2 2 5" xfId="5692"/>
    <cellStyle name="Normal 3 5 2 2 5 2" xfId="8011"/>
    <cellStyle name="Normal 3 5 2 2 6" xfId="6553"/>
    <cellStyle name="Normal 3 5 2 3" xfId="3246"/>
    <cellStyle name="Normal 3 5 2 3 2" xfId="4479"/>
    <cellStyle name="Normal 3 5 2 3 2 2" xfId="4808"/>
    <cellStyle name="Normal 3 5 2 3 2 2 2" xfId="5484"/>
    <cellStyle name="Normal 3 5 2 3 2 2 2 2" xfId="7803"/>
    <cellStyle name="Normal 3 5 2 3 2 2 3" xfId="6154"/>
    <cellStyle name="Normal 3 5 2 3 2 2 3 2" xfId="8473"/>
    <cellStyle name="Normal 3 5 2 3 2 2 4" xfId="7129"/>
    <cellStyle name="Normal 3 5 2 3 2 3" xfId="5152"/>
    <cellStyle name="Normal 3 5 2 3 2 3 2" xfId="7471"/>
    <cellStyle name="Normal 3 5 2 3 2 4" xfId="5818"/>
    <cellStyle name="Normal 3 5 2 3 2 4 2" xfId="8137"/>
    <cellStyle name="Normal 3 5 2 3 2 5" xfId="6800"/>
    <cellStyle name="Normal 3 5 2 3 3" xfId="4643"/>
    <cellStyle name="Normal 3 5 2 3 3 2" xfId="5318"/>
    <cellStyle name="Normal 3 5 2 3 3 2 2" xfId="7637"/>
    <cellStyle name="Normal 3 5 2 3 3 3" xfId="5986"/>
    <cellStyle name="Normal 3 5 2 3 3 3 2" xfId="8305"/>
    <cellStyle name="Normal 3 5 2 3 3 4" xfId="6964"/>
    <cellStyle name="Normal 3 5 2 3 4" xfId="4986"/>
    <cellStyle name="Normal 3 5 2 3 4 2" xfId="7305"/>
    <cellStyle name="Normal 3 5 2 3 5" xfId="5650"/>
    <cellStyle name="Normal 3 5 2 3 5 2" xfId="7969"/>
    <cellStyle name="Normal 3 5 2 3 6" xfId="6554"/>
    <cellStyle name="Normal 3 5 2 4" xfId="4407"/>
    <cellStyle name="Normal 3 5 2 4 2" xfId="4560"/>
    <cellStyle name="Normal 3 5 2 4 2 2" xfId="4890"/>
    <cellStyle name="Normal 3 5 2 4 2 2 2" xfId="5566"/>
    <cellStyle name="Normal 3 5 2 4 2 2 2 2" xfId="7885"/>
    <cellStyle name="Normal 3 5 2 4 2 2 3" xfId="6238"/>
    <cellStyle name="Normal 3 5 2 4 2 2 3 2" xfId="8557"/>
    <cellStyle name="Normal 3 5 2 4 2 2 4" xfId="7211"/>
    <cellStyle name="Normal 3 5 2 4 2 3" xfId="5234"/>
    <cellStyle name="Normal 3 5 2 4 2 3 2" xfId="7553"/>
    <cellStyle name="Normal 3 5 2 4 2 4" xfId="5902"/>
    <cellStyle name="Normal 3 5 2 4 2 4 2" xfId="8221"/>
    <cellStyle name="Normal 3 5 2 4 2 5" xfId="6881"/>
    <cellStyle name="Normal 3 5 2 4 3" xfId="4725"/>
    <cellStyle name="Normal 3 5 2 4 3 2" xfId="5400"/>
    <cellStyle name="Normal 3 5 2 4 3 2 2" xfId="7719"/>
    <cellStyle name="Normal 3 5 2 4 3 3" xfId="6070"/>
    <cellStyle name="Normal 3 5 2 4 3 3 2" xfId="8389"/>
    <cellStyle name="Normal 3 5 2 4 3 4" xfId="7046"/>
    <cellStyle name="Normal 3 5 2 4 4" xfId="5068"/>
    <cellStyle name="Normal 3 5 2 4 4 2" xfId="7387"/>
    <cellStyle name="Normal 3 5 2 4 5" xfId="5734"/>
    <cellStyle name="Normal 3 5 2 4 5 2" xfId="8053"/>
    <cellStyle name="Normal 3 5 2 4 6" xfId="6728"/>
    <cellStyle name="Normal 3 5 2 5" xfId="4439"/>
    <cellStyle name="Normal 3 5 2 5 2" xfId="4767"/>
    <cellStyle name="Normal 3 5 2 5 2 2" xfId="5442"/>
    <cellStyle name="Normal 3 5 2 5 2 2 2" xfId="7761"/>
    <cellStyle name="Normal 3 5 2 5 2 3" xfId="6112"/>
    <cellStyle name="Normal 3 5 2 5 2 3 2" xfId="8431"/>
    <cellStyle name="Normal 3 5 2 5 2 4" xfId="7088"/>
    <cellStyle name="Normal 3 5 2 5 3" xfId="5110"/>
    <cellStyle name="Normal 3 5 2 5 3 2" xfId="7429"/>
    <cellStyle name="Normal 3 5 2 5 4" xfId="5776"/>
    <cellStyle name="Normal 3 5 2 5 4 2" xfId="8095"/>
    <cellStyle name="Normal 3 5 2 5 5" xfId="6760"/>
    <cellStyle name="Normal 3 5 2 6" xfId="4602"/>
    <cellStyle name="Normal 3 5 2 6 2" xfId="5276"/>
    <cellStyle name="Normal 3 5 2 6 2 2" xfId="7595"/>
    <cellStyle name="Normal 3 5 2 6 3" xfId="5944"/>
    <cellStyle name="Normal 3 5 2 6 3 2" xfId="8263"/>
    <cellStyle name="Normal 3 5 2 6 4" xfId="6923"/>
    <cellStyle name="Normal 3 5 2 7" xfId="4944"/>
    <cellStyle name="Normal 3 5 2 7 2" xfId="7263"/>
    <cellStyle name="Normal 3 5 2 8" xfId="5608"/>
    <cellStyle name="Normal 3 5 2 8 2" xfId="7927"/>
    <cellStyle name="Normal 3 5 2 9" xfId="6552"/>
    <cellStyle name="Normal 3 5 3" xfId="3247"/>
    <cellStyle name="Normal 3 5 3 2" xfId="4499"/>
    <cellStyle name="Normal 3 5 3 2 2" xfId="4828"/>
    <cellStyle name="Normal 3 5 3 2 2 2" xfId="5504"/>
    <cellStyle name="Normal 3 5 3 2 2 2 2" xfId="7823"/>
    <cellStyle name="Normal 3 5 3 2 2 3" xfId="6175"/>
    <cellStyle name="Normal 3 5 3 2 2 3 2" xfId="8494"/>
    <cellStyle name="Normal 3 5 3 2 2 4" xfId="7149"/>
    <cellStyle name="Normal 3 5 3 2 3" xfId="5172"/>
    <cellStyle name="Normal 3 5 3 2 3 2" xfId="7491"/>
    <cellStyle name="Normal 3 5 3 2 4" xfId="5839"/>
    <cellStyle name="Normal 3 5 3 2 4 2" xfId="8158"/>
    <cellStyle name="Normal 3 5 3 2 5" xfId="6820"/>
    <cellStyle name="Normal 3 5 3 3" xfId="4663"/>
    <cellStyle name="Normal 3 5 3 3 2" xfId="5338"/>
    <cellStyle name="Normal 3 5 3 3 2 2" xfId="7657"/>
    <cellStyle name="Normal 3 5 3 3 3" xfId="6007"/>
    <cellStyle name="Normal 3 5 3 3 3 2" xfId="8326"/>
    <cellStyle name="Normal 3 5 3 3 4" xfId="6984"/>
    <cellStyle name="Normal 3 5 3 4" xfId="5006"/>
    <cellStyle name="Normal 3 5 3 4 2" xfId="7325"/>
    <cellStyle name="Normal 3 5 3 5" xfId="5671"/>
    <cellStyle name="Normal 3 5 3 5 2" xfId="7990"/>
    <cellStyle name="Normal 3 5 3 6" xfId="6555"/>
    <cellStyle name="Normal 3 5 4" xfId="3248"/>
    <cellStyle name="Normal 3 5 4 2" xfId="4459"/>
    <cellStyle name="Normal 3 5 4 2 2" xfId="4788"/>
    <cellStyle name="Normal 3 5 4 2 2 2" xfId="5463"/>
    <cellStyle name="Normal 3 5 4 2 2 2 2" xfId="7782"/>
    <cellStyle name="Normal 3 5 4 2 2 3" xfId="6133"/>
    <cellStyle name="Normal 3 5 4 2 2 3 2" xfId="8452"/>
    <cellStyle name="Normal 3 5 4 2 2 4" xfId="7109"/>
    <cellStyle name="Normal 3 5 4 2 3" xfId="5131"/>
    <cellStyle name="Normal 3 5 4 2 3 2" xfId="7450"/>
    <cellStyle name="Normal 3 5 4 2 4" xfId="5797"/>
    <cellStyle name="Normal 3 5 4 2 4 2" xfId="8116"/>
    <cellStyle name="Normal 3 5 4 2 5" xfId="6780"/>
    <cellStyle name="Normal 3 5 4 3" xfId="4623"/>
    <cellStyle name="Normal 3 5 4 3 2" xfId="5297"/>
    <cellStyle name="Normal 3 5 4 3 2 2" xfId="7616"/>
    <cellStyle name="Normal 3 5 4 3 3" xfId="5965"/>
    <cellStyle name="Normal 3 5 4 3 3 2" xfId="8284"/>
    <cellStyle name="Normal 3 5 4 3 4" xfId="6944"/>
    <cellStyle name="Normal 3 5 4 4" xfId="4965"/>
    <cellStyle name="Normal 3 5 4 4 2" xfId="7284"/>
    <cellStyle name="Normal 3 5 4 5" xfId="5629"/>
    <cellStyle name="Normal 3 5 4 5 2" xfId="7948"/>
    <cellStyle name="Normal 3 5 4 6" xfId="6556"/>
    <cellStyle name="Normal 3 5 5" xfId="4263"/>
    <cellStyle name="Normal 3 5 5 2" xfId="4540"/>
    <cellStyle name="Normal 3 5 5 2 2" xfId="4869"/>
    <cellStyle name="Normal 3 5 5 2 2 2" xfId="5545"/>
    <cellStyle name="Normal 3 5 5 2 2 2 2" xfId="7864"/>
    <cellStyle name="Normal 3 5 5 2 2 3" xfId="6217"/>
    <cellStyle name="Normal 3 5 5 2 2 3 2" xfId="8536"/>
    <cellStyle name="Normal 3 5 5 2 2 4" xfId="7190"/>
    <cellStyle name="Normal 3 5 5 2 3" xfId="5213"/>
    <cellStyle name="Normal 3 5 5 2 3 2" xfId="7532"/>
    <cellStyle name="Normal 3 5 5 2 4" xfId="5881"/>
    <cellStyle name="Normal 3 5 5 2 4 2" xfId="8200"/>
    <cellStyle name="Normal 3 5 5 2 5" xfId="6861"/>
    <cellStyle name="Normal 3 5 5 3" xfId="4704"/>
    <cellStyle name="Normal 3 5 5 3 2" xfId="5379"/>
    <cellStyle name="Normal 3 5 5 3 2 2" xfId="7698"/>
    <cellStyle name="Normal 3 5 5 3 3" xfId="6049"/>
    <cellStyle name="Normal 3 5 5 3 3 2" xfId="8368"/>
    <cellStyle name="Normal 3 5 5 3 4" xfId="7025"/>
    <cellStyle name="Normal 3 5 5 4" xfId="5047"/>
    <cellStyle name="Normal 3 5 5 4 2" xfId="7366"/>
    <cellStyle name="Normal 3 5 5 5" xfId="5713"/>
    <cellStyle name="Normal 3 5 5 5 2" xfId="8032"/>
    <cellStyle name="Normal 3 5 5 6" xfId="4393"/>
    <cellStyle name="Normal 3 5 5 6 2" xfId="6714"/>
    <cellStyle name="Normal 3 5 6" xfId="4421"/>
    <cellStyle name="Normal 3 5 6 2" xfId="4746"/>
    <cellStyle name="Normal 3 5 6 2 2" xfId="5421"/>
    <cellStyle name="Normal 3 5 6 2 2 2" xfId="7740"/>
    <cellStyle name="Normal 3 5 6 2 3" xfId="6091"/>
    <cellStyle name="Normal 3 5 6 2 3 2" xfId="8410"/>
    <cellStyle name="Normal 3 5 6 2 4" xfId="7067"/>
    <cellStyle name="Normal 3 5 6 3" xfId="5089"/>
    <cellStyle name="Normal 3 5 6 3 2" xfId="7408"/>
    <cellStyle name="Normal 3 5 6 4" xfId="5755"/>
    <cellStyle name="Normal 3 5 6 4 2" xfId="8074"/>
    <cellStyle name="Normal 3 5 6 5" xfId="6742"/>
    <cellStyle name="Normal 3 5 7" xfId="4581"/>
    <cellStyle name="Normal 3 5 7 2" xfId="5255"/>
    <cellStyle name="Normal 3 5 7 2 2" xfId="7574"/>
    <cellStyle name="Normal 3 5 7 3" xfId="5923"/>
    <cellStyle name="Normal 3 5 7 3 2" xfId="8242"/>
    <cellStyle name="Normal 3 5 7 4" xfId="6902"/>
    <cellStyle name="Normal 3 5 8" xfId="4923"/>
    <cellStyle name="Normal 3 5 8 2" xfId="7242"/>
    <cellStyle name="Normal 3 5 9" xfId="5587"/>
    <cellStyle name="Normal 3 5 9 2" xfId="7906"/>
    <cellStyle name="Normal 3 6" xfId="3249"/>
    <cellStyle name="Normal 3 7" xfId="4898"/>
    <cellStyle name="Normal 3 7 2" xfId="7219"/>
    <cellStyle name="Normal 30" xfId="526"/>
    <cellStyle name="Normal 30 2" xfId="1180"/>
    <cellStyle name="Normal 30 3" xfId="4041"/>
    <cellStyle name="Normal 31" xfId="527"/>
    <cellStyle name="Normal 31 2" xfId="1181"/>
    <cellStyle name="Normal 31 3" xfId="4306"/>
    <cellStyle name="Normal 32" xfId="528"/>
    <cellStyle name="Normal 32 2" xfId="1182"/>
    <cellStyle name="Normal 32 3" xfId="4328"/>
    <cellStyle name="Normal 33" xfId="529"/>
    <cellStyle name="Normal 33 2" xfId="1183"/>
    <cellStyle name="Normal 33 3" xfId="4329"/>
    <cellStyle name="Normal 34" xfId="530"/>
    <cellStyle name="Normal 34 2" xfId="1184"/>
    <cellStyle name="Normal 34 2 2" xfId="3251"/>
    <cellStyle name="Normal 34 2 3" xfId="4354"/>
    <cellStyle name="Normal 34 2 4" xfId="3250"/>
    <cellStyle name="Normal 34 3" xfId="3252"/>
    <cellStyle name="Normal 34 4" xfId="4320"/>
    <cellStyle name="Normal 34 4 2" xfId="6688"/>
    <cellStyle name="Normal 35" xfId="531"/>
    <cellStyle name="Normal 35 2" xfId="1185"/>
    <cellStyle name="Normal 35 2 2" xfId="3254"/>
    <cellStyle name="Normal 35 2 3" xfId="4355"/>
    <cellStyle name="Normal 35 2 4" xfId="3253"/>
    <cellStyle name="Normal 35 3" xfId="3255"/>
    <cellStyle name="Normal 35 4" xfId="4319"/>
    <cellStyle name="Normal 35 4 2" xfId="6687"/>
    <cellStyle name="Normal 36" xfId="532"/>
    <cellStyle name="Normal 36 2" xfId="1186"/>
    <cellStyle name="Normal 36 2 2" xfId="1676"/>
    <cellStyle name="Normal 36 2 2 2" xfId="3256"/>
    <cellStyle name="Normal 36 2 3" xfId="3257"/>
    <cellStyle name="Normal 36 3" xfId="1675"/>
    <cellStyle name="Normal 36 3 2" xfId="3258"/>
    <cellStyle name="Normal 36 3 3" xfId="4356"/>
    <cellStyle name="Normal 36 4" xfId="3259"/>
    <cellStyle name="Normal 36 5" xfId="4316"/>
    <cellStyle name="Normal 36 5 2" xfId="6685"/>
    <cellStyle name="Normal 37" xfId="533"/>
    <cellStyle name="Normal 37 2" xfId="534"/>
    <cellStyle name="Normal 37 2 2" xfId="1188"/>
    <cellStyle name="Normal 37 2 3" xfId="3260"/>
    <cellStyle name="Normal 37 3" xfId="1187"/>
    <cellStyle name="Normal 37 4" xfId="1677"/>
    <cellStyle name="Normal 38" xfId="535"/>
    <cellStyle name="Normal 38 2" xfId="1678"/>
    <cellStyle name="Normal 38 2 2" xfId="3261"/>
    <cellStyle name="Normal 39" xfId="853"/>
    <cellStyle name="Normal 39 2" xfId="1679"/>
    <cellStyle name="Normal 39 2 2" xfId="3263"/>
    <cellStyle name="Normal 39 2 3" xfId="3262"/>
    <cellStyle name="Normal 39 3" xfId="3264"/>
    <cellStyle name="Normal 4" xfId="536"/>
    <cellStyle name="Normal 4 10" xfId="3265"/>
    <cellStyle name="Normal 4 10 2" xfId="3266"/>
    <cellStyle name="Normal 4 10 2 2" xfId="6558"/>
    <cellStyle name="Normal 4 10 3" xfId="6557"/>
    <cellStyle name="Normal 4 2" xfId="537"/>
    <cellStyle name="Normal 4 2 2" xfId="1190"/>
    <cellStyle name="Normal 4 2 2 2" xfId="3268"/>
    <cellStyle name="Normal 4 2 2 3" xfId="3267"/>
    <cellStyle name="Normal 4 2 2 3 2" xfId="6559"/>
    <cellStyle name="Normal 4 2 3" xfId="3269"/>
    <cellStyle name="Normal 4 2 4" xfId="4029"/>
    <cellStyle name="Normal 4 2 4 2" xfId="6673"/>
    <cellStyle name="Normal 4 3" xfId="1189"/>
    <cellStyle name="Normal 4 3 2" xfId="1680"/>
    <cellStyle name="Normal 4 3 2 2" xfId="3270"/>
    <cellStyle name="Normal 4 3 3" xfId="4357"/>
    <cellStyle name="Normal 4 3 4" xfId="4264"/>
    <cellStyle name="Normal 4 3 4 2" xfId="6680"/>
    <cellStyle name="Normal 4 4" xfId="1681"/>
    <cellStyle name="Normal 4 4 2" xfId="3271"/>
    <cellStyle name="Normal 4 4 2 2" xfId="4358"/>
    <cellStyle name="Normal 4 4 3" xfId="3272"/>
    <cellStyle name="Normal 4 4 4" xfId="4322"/>
    <cellStyle name="Normal 4 4 4 2" xfId="6689"/>
    <cellStyle name="Normal 4 5" xfId="3273"/>
    <cellStyle name="Normal 4 5 10" xfId="6560"/>
    <cellStyle name="Normal 4 5 2" xfId="3274"/>
    <cellStyle name="Normal 4 5 2 2" xfId="3275"/>
    <cellStyle name="Normal 4 5 2 2 2" xfId="4520"/>
    <cellStyle name="Normal 4 5 2 2 2 2" xfId="4849"/>
    <cellStyle name="Normal 4 5 2 2 2 2 2" xfId="5525"/>
    <cellStyle name="Normal 4 5 2 2 2 2 2 2" xfId="7844"/>
    <cellStyle name="Normal 4 5 2 2 2 2 3" xfId="6197"/>
    <cellStyle name="Normal 4 5 2 2 2 2 3 2" xfId="8516"/>
    <cellStyle name="Normal 4 5 2 2 2 2 4" xfId="7170"/>
    <cellStyle name="Normal 4 5 2 2 2 3" xfId="5193"/>
    <cellStyle name="Normal 4 5 2 2 2 3 2" xfId="7512"/>
    <cellStyle name="Normal 4 5 2 2 2 4" xfId="5861"/>
    <cellStyle name="Normal 4 5 2 2 2 4 2" xfId="8180"/>
    <cellStyle name="Normal 4 5 2 2 2 5" xfId="6841"/>
    <cellStyle name="Normal 4 5 2 2 3" xfId="4684"/>
    <cellStyle name="Normal 4 5 2 2 3 2" xfId="5359"/>
    <cellStyle name="Normal 4 5 2 2 3 2 2" xfId="7678"/>
    <cellStyle name="Normal 4 5 2 2 3 3" xfId="6029"/>
    <cellStyle name="Normal 4 5 2 2 3 3 2" xfId="8348"/>
    <cellStyle name="Normal 4 5 2 2 3 4" xfId="7005"/>
    <cellStyle name="Normal 4 5 2 2 4" xfId="5027"/>
    <cellStyle name="Normal 4 5 2 2 4 2" xfId="7346"/>
    <cellStyle name="Normal 4 5 2 2 5" xfId="5693"/>
    <cellStyle name="Normal 4 5 2 2 5 2" xfId="8012"/>
    <cellStyle name="Normal 4 5 2 2 6" xfId="6562"/>
    <cellStyle name="Normal 4 5 2 3" xfId="3276"/>
    <cellStyle name="Normal 4 5 2 3 2" xfId="4480"/>
    <cellStyle name="Normal 4 5 2 3 2 2" xfId="4809"/>
    <cellStyle name="Normal 4 5 2 3 2 2 2" xfId="5485"/>
    <cellStyle name="Normal 4 5 2 3 2 2 2 2" xfId="7804"/>
    <cellStyle name="Normal 4 5 2 3 2 2 3" xfId="6155"/>
    <cellStyle name="Normal 4 5 2 3 2 2 3 2" xfId="8474"/>
    <cellStyle name="Normal 4 5 2 3 2 2 4" xfId="7130"/>
    <cellStyle name="Normal 4 5 2 3 2 3" xfId="5153"/>
    <cellStyle name="Normal 4 5 2 3 2 3 2" xfId="7472"/>
    <cellStyle name="Normal 4 5 2 3 2 4" xfId="5819"/>
    <cellStyle name="Normal 4 5 2 3 2 4 2" xfId="8138"/>
    <cellStyle name="Normal 4 5 2 3 2 5" xfId="6801"/>
    <cellStyle name="Normal 4 5 2 3 3" xfId="4644"/>
    <cellStyle name="Normal 4 5 2 3 3 2" xfId="5319"/>
    <cellStyle name="Normal 4 5 2 3 3 2 2" xfId="7638"/>
    <cellStyle name="Normal 4 5 2 3 3 3" xfId="5987"/>
    <cellStyle name="Normal 4 5 2 3 3 3 2" xfId="8306"/>
    <cellStyle name="Normal 4 5 2 3 3 4" xfId="6965"/>
    <cellStyle name="Normal 4 5 2 3 4" xfId="4987"/>
    <cellStyle name="Normal 4 5 2 3 4 2" xfId="7306"/>
    <cellStyle name="Normal 4 5 2 3 5" xfId="5651"/>
    <cellStyle name="Normal 4 5 2 3 5 2" xfId="7970"/>
    <cellStyle name="Normal 4 5 2 3 6" xfId="6563"/>
    <cellStyle name="Normal 4 5 2 4" xfId="4408"/>
    <cellStyle name="Normal 4 5 2 4 2" xfId="4561"/>
    <cellStyle name="Normal 4 5 2 4 2 2" xfId="4891"/>
    <cellStyle name="Normal 4 5 2 4 2 2 2" xfId="5567"/>
    <cellStyle name="Normal 4 5 2 4 2 2 2 2" xfId="7886"/>
    <cellStyle name="Normal 4 5 2 4 2 2 3" xfId="6239"/>
    <cellStyle name="Normal 4 5 2 4 2 2 3 2" xfId="8558"/>
    <cellStyle name="Normal 4 5 2 4 2 2 4" xfId="7212"/>
    <cellStyle name="Normal 4 5 2 4 2 3" xfId="5235"/>
    <cellStyle name="Normal 4 5 2 4 2 3 2" xfId="7554"/>
    <cellStyle name="Normal 4 5 2 4 2 4" xfId="5903"/>
    <cellStyle name="Normal 4 5 2 4 2 4 2" xfId="8222"/>
    <cellStyle name="Normal 4 5 2 4 2 5" xfId="6882"/>
    <cellStyle name="Normal 4 5 2 4 3" xfId="4726"/>
    <cellStyle name="Normal 4 5 2 4 3 2" xfId="5401"/>
    <cellStyle name="Normal 4 5 2 4 3 2 2" xfId="7720"/>
    <cellStyle name="Normal 4 5 2 4 3 3" xfId="6071"/>
    <cellStyle name="Normal 4 5 2 4 3 3 2" xfId="8390"/>
    <cellStyle name="Normal 4 5 2 4 3 4" xfId="7047"/>
    <cellStyle name="Normal 4 5 2 4 4" xfId="5069"/>
    <cellStyle name="Normal 4 5 2 4 4 2" xfId="7388"/>
    <cellStyle name="Normal 4 5 2 4 5" xfId="5735"/>
    <cellStyle name="Normal 4 5 2 4 5 2" xfId="8054"/>
    <cellStyle name="Normal 4 5 2 4 6" xfId="6729"/>
    <cellStyle name="Normal 4 5 2 5" xfId="4440"/>
    <cellStyle name="Normal 4 5 2 5 2" xfId="4768"/>
    <cellStyle name="Normal 4 5 2 5 2 2" xfId="5443"/>
    <cellStyle name="Normal 4 5 2 5 2 2 2" xfId="7762"/>
    <cellStyle name="Normal 4 5 2 5 2 3" xfId="6113"/>
    <cellStyle name="Normal 4 5 2 5 2 3 2" xfId="8432"/>
    <cellStyle name="Normal 4 5 2 5 2 4" xfId="7089"/>
    <cellStyle name="Normal 4 5 2 5 3" xfId="5111"/>
    <cellStyle name="Normal 4 5 2 5 3 2" xfId="7430"/>
    <cellStyle name="Normal 4 5 2 5 4" xfId="5777"/>
    <cellStyle name="Normal 4 5 2 5 4 2" xfId="8096"/>
    <cellStyle name="Normal 4 5 2 5 5" xfId="6761"/>
    <cellStyle name="Normal 4 5 2 6" xfId="4603"/>
    <cellStyle name="Normal 4 5 2 6 2" xfId="5277"/>
    <cellStyle name="Normal 4 5 2 6 2 2" xfId="7596"/>
    <cellStyle name="Normal 4 5 2 6 3" xfId="5945"/>
    <cellStyle name="Normal 4 5 2 6 3 2" xfId="8264"/>
    <cellStyle name="Normal 4 5 2 6 4" xfId="6924"/>
    <cellStyle name="Normal 4 5 2 7" xfId="4945"/>
    <cellStyle name="Normal 4 5 2 7 2" xfId="7264"/>
    <cellStyle name="Normal 4 5 2 8" xfId="5609"/>
    <cellStyle name="Normal 4 5 2 8 2" xfId="7928"/>
    <cellStyle name="Normal 4 5 2 9" xfId="6561"/>
    <cellStyle name="Normal 4 5 3" xfId="3277"/>
    <cellStyle name="Normal 4 5 3 2" xfId="4500"/>
    <cellStyle name="Normal 4 5 3 2 2" xfId="4829"/>
    <cellStyle name="Normal 4 5 3 2 2 2" xfId="5505"/>
    <cellStyle name="Normal 4 5 3 2 2 2 2" xfId="7824"/>
    <cellStyle name="Normal 4 5 3 2 2 3" xfId="6176"/>
    <cellStyle name="Normal 4 5 3 2 2 3 2" xfId="8495"/>
    <cellStyle name="Normal 4 5 3 2 2 4" xfId="7150"/>
    <cellStyle name="Normal 4 5 3 2 3" xfId="5173"/>
    <cellStyle name="Normal 4 5 3 2 3 2" xfId="7492"/>
    <cellStyle name="Normal 4 5 3 2 4" xfId="5840"/>
    <cellStyle name="Normal 4 5 3 2 4 2" xfId="8159"/>
    <cellStyle name="Normal 4 5 3 2 5" xfId="6821"/>
    <cellStyle name="Normal 4 5 3 3" xfId="4664"/>
    <cellStyle name="Normal 4 5 3 3 2" xfId="5339"/>
    <cellStyle name="Normal 4 5 3 3 2 2" xfId="7658"/>
    <cellStyle name="Normal 4 5 3 3 3" xfId="6008"/>
    <cellStyle name="Normal 4 5 3 3 3 2" xfId="8327"/>
    <cellStyle name="Normal 4 5 3 3 4" xfId="6985"/>
    <cellStyle name="Normal 4 5 3 4" xfId="5007"/>
    <cellStyle name="Normal 4 5 3 4 2" xfId="7326"/>
    <cellStyle name="Normal 4 5 3 5" xfId="5672"/>
    <cellStyle name="Normal 4 5 3 5 2" xfId="7991"/>
    <cellStyle name="Normal 4 5 3 6" xfId="6564"/>
    <cellStyle name="Normal 4 5 4" xfId="3278"/>
    <cellStyle name="Normal 4 5 4 2" xfId="4460"/>
    <cellStyle name="Normal 4 5 4 2 2" xfId="4789"/>
    <cellStyle name="Normal 4 5 4 2 2 2" xfId="5464"/>
    <cellStyle name="Normal 4 5 4 2 2 2 2" xfId="7783"/>
    <cellStyle name="Normal 4 5 4 2 2 3" xfId="6134"/>
    <cellStyle name="Normal 4 5 4 2 2 3 2" xfId="8453"/>
    <cellStyle name="Normal 4 5 4 2 2 4" xfId="7110"/>
    <cellStyle name="Normal 4 5 4 2 3" xfId="5132"/>
    <cellStyle name="Normal 4 5 4 2 3 2" xfId="7451"/>
    <cellStyle name="Normal 4 5 4 2 4" xfId="5798"/>
    <cellStyle name="Normal 4 5 4 2 4 2" xfId="8117"/>
    <cellStyle name="Normal 4 5 4 2 5" xfId="6781"/>
    <cellStyle name="Normal 4 5 4 3" xfId="4624"/>
    <cellStyle name="Normal 4 5 4 3 2" xfId="5298"/>
    <cellStyle name="Normal 4 5 4 3 2 2" xfId="7617"/>
    <cellStyle name="Normal 4 5 4 3 3" xfId="5966"/>
    <cellStyle name="Normal 4 5 4 3 3 2" xfId="8285"/>
    <cellStyle name="Normal 4 5 4 3 4" xfId="6945"/>
    <cellStyle name="Normal 4 5 4 4" xfId="4966"/>
    <cellStyle name="Normal 4 5 4 4 2" xfId="7285"/>
    <cellStyle name="Normal 4 5 4 5" xfId="5630"/>
    <cellStyle name="Normal 4 5 4 5 2" xfId="7949"/>
    <cellStyle name="Normal 4 5 4 6" xfId="6565"/>
    <cellStyle name="Normal 4 5 5" xfId="3279"/>
    <cellStyle name="Normal 4 5 5 2" xfId="4541"/>
    <cellStyle name="Normal 4 5 5 2 2" xfId="4870"/>
    <cellStyle name="Normal 4 5 5 2 2 2" xfId="5546"/>
    <cellStyle name="Normal 4 5 5 2 2 2 2" xfId="7865"/>
    <cellStyle name="Normal 4 5 5 2 2 3" xfId="6218"/>
    <cellStyle name="Normal 4 5 5 2 2 3 2" xfId="8537"/>
    <cellStyle name="Normal 4 5 5 2 2 4" xfId="7191"/>
    <cellStyle name="Normal 4 5 5 2 3" xfId="5214"/>
    <cellStyle name="Normal 4 5 5 2 3 2" xfId="7533"/>
    <cellStyle name="Normal 4 5 5 2 4" xfId="5882"/>
    <cellStyle name="Normal 4 5 5 2 4 2" xfId="8201"/>
    <cellStyle name="Normal 4 5 5 2 5" xfId="6862"/>
    <cellStyle name="Normal 4 5 5 3" xfId="4705"/>
    <cellStyle name="Normal 4 5 5 3 2" xfId="5380"/>
    <cellStyle name="Normal 4 5 5 3 2 2" xfId="7699"/>
    <cellStyle name="Normal 4 5 5 3 3" xfId="6050"/>
    <cellStyle name="Normal 4 5 5 3 3 2" xfId="8369"/>
    <cellStyle name="Normal 4 5 5 3 4" xfId="7026"/>
    <cellStyle name="Normal 4 5 5 4" xfId="5048"/>
    <cellStyle name="Normal 4 5 5 4 2" xfId="7367"/>
    <cellStyle name="Normal 4 5 5 5" xfId="5714"/>
    <cellStyle name="Normal 4 5 5 5 2" xfId="8033"/>
    <cellStyle name="Normal 4 5 5 6" xfId="4394"/>
    <cellStyle name="Normal 4 5 5 6 2" xfId="6715"/>
    <cellStyle name="Normal 4 5 6" xfId="4422"/>
    <cellStyle name="Normal 4 5 6 2" xfId="4747"/>
    <cellStyle name="Normal 4 5 6 2 2" xfId="5422"/>
    <cellStyle name="Normal 4 5 6 2 2 2" xfId="7741"/>
    <cellStyle name="Normal 4 5 6 2 3" xfId="6092"/>
    <cellStyle name="Normal 4 5 6 2 3 2" xfId="8411"/>
    <cellStyle name="Normal 4 5 6 2 4" xfId="7068"/>
    <cellStyle name="Normal 4 5 6 3" xfId="5090"/>
    <cellStyle name="Normal 4 5 6 3 2" xfId="7409"/>
    <cellStyle name="Normal 4 5 6 4" xfId="5756"/>
    <cellStyle name="Normal 4 5 6 4 2" xfId="8075"/>
    <cellStyle name="Normal 4 5 6 5" xfId="6743"/>
    <cellStyle name="Normal 4 5 7" xfId="4582"/>
    <cellStyle name="Normal 4 5 7 2" xfId="5256"/>
    <cellStyle name="Normal 4 5 7 2 2" xfId="7575"/>
    <cellStyle name="Normal 4 5 7 3" xfId="5924"/>
    <cellStyle name="Normal 4 5 7 3 2" xfId="8243"/>
    <cellStyle name="Normal 4 5 7 4" xfId="6903"/>
    <cellStyle name="Normal 4 5 8" xfId="4924"/>
    <cellStyle name="Normal 4 5 8 2" xfId="7243"/>
    <cellStyle name="Normal 4 5 9" xfId="5588"/>
    <cellStyle name="Normal 4 5 9 2" xfId="7907"/>
    <cellStyle name="Normal 4 6" xfId="3280"/>
    <cellStyle name="Normal 4 6 2" xfId="3281"/>
    <cellStyle name="Normal 4 6 2 2" xfId="3282"/>
    <cellStyle name="Normal 4 6 2 2 2" xfId="3283"/>
    <cellStyle name="Normal 4 6 2 2 2 2" xfId="3284"/>
    <cellStyle name="Normal 4 6 2 2 2 2 2" xfId="6569"/>
    <cellStyle name="Normal 4 6 2 2 2 3" xfId="6568"/>
    <cellStyle name="Normal 4 6 2 2 3" xfId="3285"/>
    <cellStyle name="Normal 4 6 2 2 3 2" xfId="6570"/>
    <cellStyle name="Normal 4 6 2 2 4" xfId="6567"/>
    <cellStyle name="Normal 4 6 2 3" xfId="3286"/>
    <cellStyle name="Normal 4 6 2 3 2" xfId="3287"/>
    <cellStyle name="Normal 4 6 2 3 2 2" xfId="6572"/>
    <cellStyle name="Normal 4 6 2 3 3" xfId="6571"/>
    <cellStyle name="Normal 4 6 2 4" xfId="3288"/>
    <cellStyle name="Normal 4 6 2 4 2" xfId="6573"/>
    <cellStyle name="Normal 4 6 2 5" xfId="6566"/>
    <cellStyle name="Normal 4 6 3" xfId="3289"/>
    <cellStyle name="Normal 4 6 3 2" xfId="3290"/>
    <cellStyle name="Normal 4 6 3 2 2" xfId="3291"/>
    <cellStyle name="Normal 4 6 3 2 2 2" xfId="6576"/>
    <cellStyle name="Normal 4 6 3 2 3" xfId="6575"/>
    <cellStyle name="Normal 4 6 3 3" xfId="3292"/>
    <cellStyle name="Normal 4 6 3 3 2" xfId="6577"/>
    <cellStyle name="Normal 4 6 3 4" xfId="6574"/>
    <cellStyle name="Normal 4 6 4" xfId="3293"/>
    <cellStyle name="Normal 4 6 4 2" xfId="3294"/>
    <cellStyle name="Normal 4 6 4 2 2" xfId="6579"/>
    <cellStyle name="Normal 4 6 4 3" xfId="6578"/>
    <cellStyle name="Normal 4 6 5" xfId="3295"/>
    <cellStyle name="Normal 4 6 5 2" xfId="6580"/>
    <cellStyle name="Normal 4 6 6" xfId="3296"/>
    <cellStyle name="Normal 4 6 6 2" xfId="6581"/>
    <cellStyle name="Normal 4 7" xfId="3297"/>
    <cellStyle name="Normal 4 7 2" xfId="4907"/>
    <cellStyle name="Normal 4 7 2 2" xfId="7227"/>
    <cellStyle name="Normal 4 8" xfId="3298"/>
    <cellStyle name="Normal 4 8 2" xfId="3299"/>
    <cellStyle name="Normal 4 8 2 2" xfId="3300"/>
    <cellStyle name="Normal 4 8 2 2 2" xfId="3301"/>
    <cellStyle name="Normal 4 8 2 2 2 2" xfId="6585"/>
    <cellStyle name="Normal 4 8 2 2 3" xfId="6584"/>
    <cellStyle name="Normal 4 8 2 3" xfId="3302"/>
    <cellStyle name="Normal 4 8 2 3 2" xfId="6586"/>
    <cellStyle name="Normal 4 8 2 4" xfId="6583"/>
    <cellStyle name="Normal 4 8 3" xfId="3303"/>
    <cellStyle name="Normal 4 8 3 2" xfId="3304"/>
    <cellStyle name="Normal 4 8 3 2 2" xfId="6588"/>
    <cellStyle name="Normal 4 8 3 3" xfId="6587"/>
    <cellStyle name="Normal 4 8 4" xfId="3305"/>
    <cellStyle name="Normal 4 8 4 2" xfId="6589"/>
    <cellStyle name="Normal 4 8 5" xfId="6582"/>
    <cellStyle name="Normal 4 9" xfId="3306"/>
    <cellStyle name="Normal 4 9 2" xfId="3307"/>
    <cellStyle name="Normal 4 9 2 2" xfId="6591"/>
    <cellStyle name="Normal 4 9 3" xfId="6590"/>
    <cellStyle name="Normal 40" xfId="1434"/>
    <cellStyle name="Normal 40 2" xfId="1682"/>
    <cellStyle name="Normal 40 2 2" xfId="3309"/>
    <cellStyle name="Normal 40 2 3" xfId="3308"/>
    <cellStyle name="Normal 40 3" xfId="3310"/>
    <cellStyle name="Normal 41" xfId="1435"/>
    <cellStyle name="Normal 41 2" xfId="3311"/>
    <cellStyle name="Normal 42" xfId="1436"/>
    <cellStyle name="Normal 42 2" xfId="3312"/>
    <cellStyle name="Normal 43" xfId="1437"/>
    <cellStyle name="Normal 43 2" xfId="3313"/>
    <cellStyle name="Normal 44" xfId="1440"/>
    <cellStyle name="Normal 44 2" xfId="3314"/>
    <cellStyle name="Normal 45" xfId="1683"/>
    <cellStyle name="Normal 45 2" xfId="3315"/>
    <cellStyle name="Normal 45 3" xfId="3316"/>
    <cellStyle name="Normal 46" xfId="1684"/>
    <cellStyle name="Normal 46 2" xfId="3317"/>
    <cellStyle name="Normal 46 2 2" xfId="3318"/>
    <cellStyle name="Normal 46 3" xfId="3319"/>
    <cellStyle name="Normal 46 4" xfId="3320"/>
    <cellStyle name="Normal 47" xfId="1685"/>
    <cellStyle name="Normal 47 2" xfId="3321"/>
    <cellStyle name="Normal 47 2 2" xfId="3322"/>
    <cellStyle name="Normal 47 3" xfId="3323"/>
    <cellStyle name="Normal 47 4" xfId="3324"/>
    <cellStyle name="Normal 48" xfId="1686"/>
    <cellStyle name="Normal 48 2" xfId="3325"/>
    <cellStyle name="Normal 48 2 2" xfId="3326"/>
    <cellStyle name="Normal 48 3" xfId="3327"/>
    <cellStyle name="Normal 48 4" xfId="3328"/>
    <cellStyle name="Normal 49" xfId="1687"/>
    <cellStyle name="Normal 49 2" xfId="3329"/>
    <cellStyle name="Normal 49 2 2" xfId="3330"/>
    <cellStyle name="Normal 49 3" xfId="3331"/>
    <cellStyle name="Normal 49 4" xfId="3332"/>
    <cellStyle name="Normal 5" xfId="538"/>
    <cellStyle name="Normal 5 2" xfId="539"/>
    <cellStyle name="Normal 5 2 2" xfId="1192"/>
    <cellStyle name="Normal 5 2 2 2" xfId="3334"/>
    <cellStyle name="Normal 5 2 2 3" xfId="3333"/>
    <cellStyle name="Normal 5 2 3" xfId="3335"/>
    <cellStyle name="Normal 5 2 4" xfId="3336"/>
    <cellStyle name="Normal 5 2 5" xfId="3337"/>
    <cellStyle name="Normal 5 2 5 2" xfId="3338"/>
    <cellStyle name="Normal 5 2 5 2 2" xfId="6593"/>
    <cellStyle name="Normal 5 2 5 3" xfId="6592"/>
    <cellStyle name="Normal 5 3" xfId="540"/>
    <cellStyle name="Normal 5 3 2" xfId="1193"/>
    <cellStyle name="Normal 5 3 2 2" xfId="3340"/>
    <cellStyle name="Normal 5 3 2 3" xfId="3339"/>
    <cellStyle name="Normal 5 3 3" xfId="3341"/>
    <cellStyle name="Normal 5 3 4" xfId="4265"/>
    <cellStyle name="Normal 5 3 4 2" xfId="6681"/>
    <cellStyle name="Normal 5 4" xfId="1191"/>
    <cellStyle name="Normal 5 4 2" xfId="3342"/>
    <cellStyle name="Normal 5 4 3" xfId="3343"/>
    <cellStyle name="Normal 5 5" xfId="3344"/>
    <cellStyle name="Normal 5 5 2" xfId="3345"/>
    <cellStyle name="Normal 5 5 2 2" xfId="3346"/>
    <cellStyle name="Normal 5 5 2 2 2" xfId="4521"/>
    <cellStyle name="Normal 5 5 2 2 2 2" xfId="4850"/>
    <cellStyle name="Normal 5 5 2 2 2 2 2" xfId="5526"/>
    <cellStyle name="Normal 5 5 2 2 2 2 2 2" xfId="7845"/>
    <cellStyle name="Normal 5 5 2 2 2 2 3" xfId="6198"/>
    <cellStyle name="Normal 5 5 2 2 2 2 3 2" xfId="8517"/>
    <cellStyle name="Normal 5 5 2 2 2 2 4" xfId="7171"/>
    <cellStyle name="Normal 5 5 2 2 2 3" xfId="5194"/>
    <cellStyle name="Normal 5 5 2 2 2 3 2" xfId="7513"/>
    <cellStyle name="Normal 5 5 2 2 2 4" xfId="5862"/>
    <cellStyle name="Normal 5 5 2 2 2 4 2" xfId="8181"/>
    <cellStyle name="Normal 5 5 2 2 2 5" xfId="6842"/>
    <cellStyle name="Normal 5 5 2 2 3" xfId="4685"/>
    <cellStyle name="Normal 5 5 2 2 3 2" xfId="5360"/>
    <cellStyle name="Normal 5 5 2 2 3 2 2" xfId="7679"/>
    <cellStyle name="Normal 5 5 2 2 3 3" xfId="6030"/>
    <cellStyle name="Normal 5 5 2 2 3 3 2" xfId="8349"/>
    <cellStyle name="Normal 5 5 2 2 3 4" xfId="7006"/>
    <cellStyle name="Normal 5 5 2 2 4" xfId="5028"/>
    <cellStyle name="Normal 5 5 2 2 4 2" xfId="7347"/>
    <cellStyle name="Normal 5 5 2 2 5" xfId="5694"/>
    <cellStyle name="Normal 5 5 2 2 5 2" xfId="8013"/>
    <cellStyle name="Normal 5 5 2 2 6" xfId="6595"/>
    <cellStyle name="Normal 5 5 2 3" xfId="3347"/>
    <cellStyle name="Normal 5 5 2 3 2" xfId="4481"/>
    <cellStyle name="Normal 5 5 2 3 2 2" xfId="4810"/>
    <cellStyle name="Normal 5 5 2 3 2 2 2" xfId="5486"/>
    <cellStyle name="Normal 5 5 2 3 2 2 2 2" xfId="7805"/>
    <cellStyle name="Normal 5 5 2 3 2 2 3" xfId="6156"/>
    <cellStyle name="Normal 5 5 2 3 2 2 3 2" xfId="8475"/>
    <cellStyle name="Normal 5 5 2 3 2 2 4" xfId="7131"/>
    <cellStyle name="Normal 5 5 2 3 2 3" xfId="5154"/>
    <cellStyle name="Normal 5 5 2 3 2 3 2" xfId="7473"/>
    <cellStyle name="Normal 5 5 2 3 2 4" xfId="5820"/>
    <cellStyle name="Normal 5 5 2 3 2 4 2" xfId="8139"/>
    <cellStyle name="Normal 5 5 2 3 2 5" xfId="6802"/>
    <cellStyle name="Normal 5 5 2 3 3" xfId="4645"/>
    <cellStyle name="Normal 5 5 2 3 3 2" xfId="5320"/>
    <cellStyle name="Normal 5 5 2 3 3 2 2" xfId="7639"/>
    <cellStyle name="Normal 5 5 2 3 3 3" xfId="5988"/>
    <cellStyle name="Normal 5 5 2 3 3 3 2" xfId="8307"/>
    <cellStyle name="Normal 5 5 2 3 3 4" xfId="6966"/>
    <cellStyle name="Normal 5 5 2 3 4" xfId="4988"/>
    <cellStyle name="Normal 5 5 2 3 4 2" xfId="7307"/>
    <cellStyle name="Normal 5 5 2 3 5" xfId="5652"/>
    <cellStyle name="Normal 5 5 2 3 5 2" xfId="7971"/>
    <cellStyle name="Normal 5 5 2 3 6" xfId="6596"/>
    <cellStyle name="Normal 5 5 2 4" xfId="4409"/>
    <cellStyle name="Normal 5 5 2 4 2" xfId="4562"/>
    <cellStyle name="Normal 5 5 2 4 2 2" xfId="4892"/>
    <cellStyle name="Normal 5 5 2 4 2 2 2" xfId="5568"/>
    <cellStyle name="Normal 5 5 2 4 2 2 2 2" xfId="7887"/>
    <cellStyle name="Normal 5 5 2 4 2 2 3" xfId="6240"/>
    <cellStyle name="Normal 5 5 2 4 2 2 3 2" xfId="8559"/>
    <cellStyle name="Normal 5 5 2 4 2 2 4" xfId="7213"/>
    <cellStyle name="Normal 5 5 2 4 2 3" xfId="5236"/>
    <cellStyle name="Normal 5 5 2 4 2 3 2" xfId="7555"/>
    <cellStyle name="Normal 5 5 2 4 2 4" xfId="5904"/>
    <cellStyle name="Normal 5 5 2 4 2 4 2" xfId="8223"/>
    <cellStyle name="Normal 5 5 2 4 2 5" xfId="6883"/>
    <cellStyle name="Normal 5 5 2 4 3" xfId="4727"/>
    <cellStyle name="Normal 5 5 2 4 3 2" xfId="5402"/>
    <cellStyle name="Normal 5 5 2 4 3 2 2" xfId="7721"/>
    <cellStyle name="Normal 5 5 2 4 3 3" xfId="6072"/>
    <cellStyle name="Normal 5 5 2 4 3 3 2" xfId="8391"/>
    <cellStyle name="Normal 5 5 2 4 3 4" xfId="7048"/>
    <cellStyle name="Normal 5 5 2 4 4" xfId="5070"/>
    <cellStyle name="Normal 5 5 2 4 4 2" xfId="7389"/>
    <cellStyle name="Normal 5 5 2 4 5" xfId="5736"/>
    <cellStyle name="Normal 5 5 2 4 5 2" xfId="8055"/>
    <cellStyle name="Normal 5 5 2 4 6" xfId="6730"/>
    <cellStyle name="Normal 5 5 2 5" xfId="4441"/>
    <cellStyle name="Normal 5 5 2 5 2" xfId="4769"/>
    <cellStyle name="Normal 5 5 2 5 2 2" xfId="5444"/>
    <cellStyle name="Normal 5 5 2 5 2 2 2" xfId="7763"/>
    <cellStyle name="Normal 5 5 2 5 2 3" xfId="6114"/>
    <cellStyle name="Normal 5 5 2 5 2 3 2" xfId="8433"/>
    <cellStyle name="Normal 5 5 2 5 2 4" xfId="7090"/>
    <cellStyle name="Normal 5 5 2 5 3" xfId="5112"/>
    <cellStyle name="Normal 5 5 2 5 3 2" xfId="7431"/>
    <cellStyle name="Normal 5 5 2 5 4" xfId="5778"/>
    <cellStyle name="Normal 5 5 2 5 4 2" xfId="8097"/>
    <cellStyle name="Normal 5 5 2 5 5" xfId="6762"/>
    <cellStyle name="Normal 5 5 2 6" xfId="4604"/>
    <cellStyle name="Normal 5 5 2 6 2" xfId="5278"/>
    <cellStyle name="Normal 5 5 2 6 2 2" xfId="7597"/>
    <cellStyle name="Normal 5 5 2 6 3" xfId="5946"/>
    <cellStyle name="Normal 5 5 2 6 3 2" xfId="8265"/>
    <cellStyle name="Normal 5 5 2 6 4" xfId="6925"/>
    <cellStyle name="Normal 5 5 2 7" xfId="4946"/>
    <cellStyle name="Normal 5 5 2 7 2" xfId="7265"/>
    <cellStyle name="Normal 5 5 2 8" xfId="5610"/>
    <cellStyle name="Normal 5 5 2 8 2" xfId="7929"/>
    <cellStyle name="Normal 5 5 2 9" xfId="6594"/>
    <cellStyle name="Normal 5 5 3" xfId="3348"/>
    <cellStyle name="Normal 5 5 3 2" xfId="4501"/>
    <cellStyle name="Normal 5 5 3 2 2" xfId="4830"/>
    <cellStyle name="Normal 5 5 3 2 2 2" xfId="5506"/>
    <cellStyle name="Normal 5 5 3 2 2 2 2" xfId="7825"/>
    <cellStyle name="Normal 5 5 3 2 2 3" xfId="6177"/>
    <cellStyle name="Normal 5 5 3 2 2 3 2" xfId="8496"/>
    <cellStyle name="Normal 5 5 3 2 2 4" xfId="7151"/>
    <cellStyle name="Normal 5 5 3 2 3" xfId="5174"/>
    <cellStyle name="Normal 5 5 3 2 3 2" xfId="7493"/>
    <cellStyle name="Normal 5 5 3 2 4" xfId="5841"/>
    <cellStyle name="Normal 5 5 3 2 4 2" xfId="8160"/>
    <cellStyle name="Normal 5 5 3 2 5" xfId="6822"/>
    <cellStyle name="Normal 5 5 3 3" xfId="4665"/>
    <cellStyle name="Normal 5 5 3 3 2" xfId="5340"/>
    <cellStyle name="Normal 5 5 3 3 2 2" xfId="7659"/>
    <cellStyle name="Normal 5 5 3 3 3" xfId="6009"/>
    <cellStyle name="Normal 5 5 3 3 3 2" xfId="8328"/>
    <cellStyle name="Normal 5 5 3 3 4" xfId="6986"/>
    <cellStyle name="Normal 5 5 3 4" xfId="5008"/>
    <cellStyle name="Normal 5 5 3 4 2" xfId="7327"/>
    <cellStyle name="Normal 5 5 3 5" xfId="5673"/>
    <cellStyle name="Normal 5 5 3 5 2" xfId="7992"/>
    <cellStyle name="Normal 5 5 3 6" xfId="6597"/>
    <cellStyle name="Normal 5 5 4" xfId="3349"/>
    <cellStyle name="Normal 5 5 4 2" xfId="4461"/>
    <cellStyle name="Normal 5 5 4 2 2" xfId="4790"/>
    <cellStyle name="Normal 5 5 4 2 2 2" xfId="5465"/>
    <cellStyle name="Normal 5 5 4 2 2 2 2" xfId="7784"/>
    <cellStyle name="Normal 5 5 4 2 2 3" xfId="6135"/>
    <cellStyle name="Normal 5 5 4 2 2 3 2" xfId="8454"/>
    <cellStyle name="Normal 5 5 4 2 2 4" xfId="7111"/>
    <cellStyle name="Normal 5 5 4 2 3" xfId="5133"/>
    <cellStyle name="Normal 5 5 4 2 3 2" xfId="7452"/>
    <cellStyle name="Normal 5 5 4 2 4" xfId="5799"/>
    <cellStyle name="Normal 5 5 4 2 4 2" xfId="8118"/>
    <cellStyle name="Normal 5 5 4 2 5" xfId="6782"/>
    <cellStyle name="Normal 5 5 4 3" xfId="4625"/>
    <cellStyle name="Normal 5 5 4 3 2" xfId="5299"/>
    <cellStyle name="Normal 5 5 4 3 2 2" xfId="7618"/>
    <cellStyle name="Normal 5 5 4 3 3" xfId="5967"/>
    <cellStyle name="Normal 5 5 4 3 3 2" xfId="8286"/>
    <cellStyle name="Normal 5 5 4 3 4" xfId="6946"/>
    <cellStyle name="Normal 5 5 4 4" xfId="4967"/>
    <cellStyle name="Normal 5 5 4 4 2" xfId="7286"/>
    <cellStyle name="Normal 5 5 4 5" xfId="5631"/>
    <cellStyle name="Normal 5 5 4 5 2" xfId="7950"/>
    <cellStyle name="Normal 5 5 4 6" xfId="6598"/>
    <cellStyle name="Normal 5 5 5" xfId="3350"/>
    <cellStyle name="Normal 5 5 5 2" xfId="4542"/>
    <cellStyle name="Normal 5 5 5 2 2" xfId="4871"/>
    <cellStyle name="Normal 5 5 5 2 2 2" xfId="5547"/>
    <cellStyle name="Normal 5 5 5 2 2 2 2" xfId="7866"/>
    <cellStyle name="Normal 5 5 5 2 2 3" xfId="6219"/>
    <cellStyle name="Normal 5 5 5 2 2 3 2" xfId="8538"/>
    <cellStyle name="Normal 5 5 5 2 2 4" xfId="7192"/>
    <cellStyle name="Normal 5 5 5 2 3" xfId="5215"/>
    <cellStyle name="Normal 5 5 5 2 3 2" xfId="7534"/>
    <cellStyle name="Normal 5 5 5 2 4" xfId="5883"/>
    <cellStyle name="Normal 5 5 5 2 4 2" xfId="8202"/>
    <cellStyle name="Normal 5 5 5 2 5" xfId="6863"/>
    <cellStyle name="Normal 5 5 5 3" xfId="4706"/>
    <cellStyle name="Normal 5 5 5 3 2" xfId="5381"/>
    <cellStyle name="Normal 5 5 5 3 2 2" xfId="7700"/>
    <cellStyle name="Normal 5 5 5 3 3" xfId="6051"/>
    <cellStyle name="Normal 5 5 5 3 3 2" xfId="8370"/>
    <cellStyle name="Normal 5 5 5 3 4" xfId="7027"/>
    <cellStyle name="Normal 5 5 5 4" xfId="5049"/>
    <cellStyle name="Normal 5 5 5 4 2" xfId="7368"/>
    <cellStyle name="Normal 5 5 5 5" xfId="5715"/>
    <cellStyle name="Normal 5 5 5 5 2" xfId="8034"/>
    <cellStyle name="Normal 5 5 5 6" xfId="6599"/>
    <cellStyle name="Normal 5 5 6" xfId="3351"/>
    <cellStyle name="Normal 5 5 6 2" xfId="4748"/>
    <cellStyle name="Normal 5 5 6 2 2" xfId="5423"/>
    <cellStyle name="Normal 5 5 6 2 2 2" xfId="7742"/>
    <cellStyle name="Normal 5 5 6 2 3" xfId="6093"/>
    <cellStyle name="Normal 5 5 6 2 3 2" xfId="8412"/>
    <cellStyle name="Normal 5 5 6 2 4" xfId="7069"/>
    <cellStyle name="Normal 5 5 6 3" xfId="5091"/>
    <cellStyle name="Normal 5 5 6 3 2" xfId="7410"/>
    <cellStyle name="Normal 5 5 6 4" xfId="5757"/>
    <cellStyle name="Normal 5 5 6 4 2" xfId="8076"/>
    <cellStyle name="Normal 5 5 6 5" xfId="4423"/>
    <cellStyle name="Normal 5 5 6 5 2" xfId="6744"/>
    <cellStyle name="Normal 5 5 7" xfId="4359"/>
    <cellStyle name="Normal 5 5 7 2" xfId="5257"/>
    <cellStyle name="Normal 5 5 7 2 2" xfId="7576"/>
    <cellStyle name="Normal 5 5 7 3" xfId="5925"/>
    <cellStyle name="Normal 5 5 7 3 2" xfId="8244"/>
    <cellStyle name="Normal 5 5 7 4" xfId="4583"/>
    <cellStyle name="Normal 5 5 7 4 2" xfId="6904"/>
    <cellStyle name="Normal 5 5 8" xfId="4925"/>
    <cellStyle name="Normal 5 5 8 2" xfId="7244"/>
    <cellStyle name="Normal 5 5 9" xfId="5589"/>
    <cellStyle name="Normal 5 5 9 2" xfId="7908"/>
    <cellStyle name="Normal 5 6" xfId="3352"/>
    <cellStyle name="Normal 5 6 2" xfId="3353"/>
    <cellStyle name="Normal 5 6 2 2" xfId="3354"/>
    <cellStyle name="Normal 5 6 2 2 2" xfId="3355"/>
    <cellStyle name="Normal 5 6 2 2 2 2" xfId="3356"/>
    <cellStyle name="Normal 5 6 2 2 2 2 2" xfId="6603"/>
    <cellStyle name="Normal 5 6 2 2 2 3" xfId="6602"/>
    <cellStyle name="Normal 5 6 2 2 3" xfId="3357"/>
    <cellStyle name="Normal 5 6 2 2 3 2" xfId="6604"/>
    <cellStyle name="Normal 5 6 2 2 4" xfId="6601"/>
    <cellStyle name="Normal 5 6 2 3" xfId="3358"/>
    <cellStyle name="Normal 5 6 2 3 2" xfId="3359"/>
    <cellStyle name="Normal 5 6 2 3 2 2" xfId="6606"/>
    <cellStyle name="Normal 5 6 2 3 3" xfId="6605"/>
    <cellStyle name="Normal 5 6 2 4" xfId="3360"/>
    <cellStyle name="Normal 5 6 2 4 2" xfId="6607"/>
    <cellStyle name="Normal 5 6 2 5" xfId="6600"/>
    <cellStyle name="Normal 5 6 3" xfId="3361"/>
    <cellStyle name="Normal 5 6 3 2" xfId="3362"/>
    <cellStyle name="Normal 5 6 3 2 2" xfId="3363"/>
    <cellStyle name="Normal 5 6 3 2 2 2" xfId="6610"/>
    <cellStyle name="Normal 5 6 3 2 3" xfId="6609"/>
    <cellStyle name="Normal 5 6 3 3" xfId="3364"/>
    <cellStyle name="Normal 5 6 3 3 2" xfId="6611"/>
    <cellStyle name="Normal 5 6 3 4" xfId="6608"/>
    <cellStyle name="Normal 5 6 4" xfId="3365"/>
    <cellStyle name="Normal 5 6 4 2" xfId="3366"/>
    <cellStyle name="Normal 5 6 4 2 2" xfId="6613"/>
    <cellStyle name="Normal 5 6 4 3" xfId="6612"/>
    <cellStyle name="Normal 5 6 5" xfId="3367"/>
    <cellStyle name="Normal 5 6 5 2" xfId="6614"/>
    <cellStyle name="Normal 5 6 6" xfId="3368"/>
    <cellStyle name="Normal 5 6 6 2" xfId="6615"/>
    <cellStyle name="Normal 5 7" xfId="3369"/>
    <cellStyle name="Normal 5 7 2" xfId="3370"/>
    <cellStyle name="Normal 5 7 2 2" xfId="3371"/>
    <cellStyle name="Normal 5 7 2 2 2" xfId="3372"/>
    <cellStyle name="Normal 5 7 2 2 2 2" xfId="6619"/>
    <cellStyle name="Normal 5 7 2 2 3" xfId="6618"/>
    <cellStyle name="Normal 5 7 2 3" xfId="3373"/>
    <cellStyle name="Normal 5 7 2 3 2" xfId="6620"/>
    <cellStyle name="Normal 5 7 2 4" xfId="6617"/>
    <cellStyle name="Normal 5 7 3" xfId="3374"/>
    <cellStyle name="Normal 5 7 3 2" xfId="3375"/>
    <cellStyle name="Normal 5 7 3 2 2" xfId="6622"/>
    <cellStyle name="Normal 5 7 3 3" xfId="6621"/>
    <cellStyle name="Normal 5 7 4" xfId="3376"/>
    <cellStyle name="Normal 5 7 4 2" xfId="6623"/>
    <cellStyle name="Normal 5 7 5" xfId="6616"/>
    <cellStyle name="Normal 5 8" xfId="3377"/>
    <cellStyle name="Normal 5 8 2" xfId="3378"/>
    <cellStyle name="Normal 5 8 2 2" xfId="6625"/>
    <cellStyle name="Normal 5 8 3" xfId="6624"/>
    <cellStyle name="Normal 50" xfId="1688"/>
    <cellStyle name="Normal 50 2" xfId="3379"/>
    <cellStyle name="Normal 50 2 2" xfId="3380"/>
    <cellStyle name="Normal 50 3" xfId="3381"/>
    <cellStyle name="Normal 50 4" xfId="3382"/>
    <cellStyle name="Normal 51" xfId="1689"/>
    <cellStyle name="Normal 51 2" xfId="3383"/>
    <cellStyle name="Normal 51 2 2" xfId="3384"/>
    <cellStyle name="Normal 51 3" xfId="3385"/>
    <cellStyle name="Normal 51 4" xfId="3386"/>
    <cellStyle name="Normal 52" xfId="1690"/>
    <cellStyle name="Normal 52 2" xfId="3387"/>
    <cellStyle name="Normal 52 2 2" xfId="3388"/>
    <cellStyle name="Normal 52 3" xfId="3389"/>
    <cellStyle name="Normal 52 4" xfId="3390"/>
    <cellStyle name="Normal 53" xfId="1691"/>
    <cellStyle name="Normal 53 2" xfId="3391"/>
    <cellStyle name="Normal 53 2 2" xfId="3392"/>
    <cellStyle name="Normal 53 3" xfId="3393"/>
    <cellStyle name="Normal 53 4" xfId="3394"/>
    <cellStyle name="Normal 54" xfId="1692"/>
    <cellStyle name="Normal 54 2" xfId="3395"/>
    <cellStyle name="Normal 54 2 2" xfId="3396"/>
    <cellStyle name="Normal 54 3" xfId="3397"/>
    <cellStyle name="Normal 54 4" xfId="3398"/>
    <cellStyle name="Normal 55" xfId="1693"/>
    <cellStyle name="Normal 55 2" xfId="3399"/>
    <cellStyle name="Normal 55 2 2" xfId="3400"/>
    <cellStyle name="Normal 55 3" xfId="3401"/>
    <cellStyle name="Normal 55 4" xfId="3402"/>
    <cellStyle name="Normal 56" xfId="1694"/>
    <cellStyle name="Normal 56 2" xfId="3403"/>
    <cellStyle name="Normal 56 2 2" xfId="3404"/>
    <cellStyle name="Normal 56 3" xfId="3405"/>
    <cellStyle name="Normal 56 4" xfId="3406"/>
    <cellStyle name="Normal 57" xfId="1695"/>
    <cellStyle name="Normal 57 2" xfId="3407"/>
    <cellStyle name="Normal 57 2 2" xfId="3408"/>
    <cellStyle name="Normal 57 3" xfId="3409"/>
    <cellStyle name="Normal 57 4" xfId="3410"/>
    <cellStyle name="Normal 58" xfId="1696"/>
    <cellStyle name="Normal 58 2" xfId="3411"/>
    <cellStyle name="Normal 58 2 2" xfId="3412"/>
    <cellStyle name="Normal 58 3" xfId="3413"/>
    <cellStyle name="Normal 58 4" xfId="3414"/>
    <cellStyle name="Normal 59" xfId="1697"/>
    <cellStyle name="Normal 59 2" xfId="3415"/>
    <cellStyle name="Normal 6" xfId="541"/>
    <cellStyle name="Normal 6 2" xfId="1194"/>
    <cellStyle name="Normal 6 2 2" xfId="1699"/>
    <cellStyle name="Normal 6 2 2 2" xfId="1700"/>
    <cellStyle name="Normal 6 2 3" xfId="1701"/>
    <cellStyle name="Normal 6 2 4" xfId="1698"/>
    <cellStyle name="Normal 6 3" xfId="1702"/>
    <cellStyle name="Normal 6 3 2" xfId="3416"/>
    <cellStyle name="Normal 6 3 2 2" xfId="3417"/>
    <cellStyle name="Normal 6 3 3" xfId="3418"/>
    <cellStyle name="Normal 6 4" xfId="1703"/>
    <cellStyle name="Normal 6 4 2" xfId="3419"/>
    <cellStyle name="Normal 6 5" xfId="1704"/>
    <cellStyle name="Normal 6 6" xfId="1705"/>
    <cellStyle name="Normal 6 7" xfId="3420"/>
    <cellStyle name="Normal 6 7 2" xfId="4360"/>
    <cellStyle name="Normal 6 8" xfId="3421"/>
    <cellStyle name="Normal 60" xfId="1706"/>
    <cellStyle name="Normal 60 2" xfId="3422"/>
    <cellStyle name="Normal 61" xfId="1707"/>
    <cellStyle name="Normal 61 2" xfId="3423"/>
    <cellStyle name="Normal 62" xfId="1708"/>
    <cellStyle name="Normal 62 2" xfId="3424"/>
    <cellStyle name="Normal 63" xfId="1709"/>
    <cellStyle name="Normal 63 2" xfId="3425"/>
    <cellStyle name="Normal 64" xfId="1710"/>
    <cellStyle name="Normal 64 2" xfId="3426"/>
    <cellStyle name="Normal 64 2 2" xfId="3427"/>
    <cellStyle name="Normal 64 2 2 2" xfId="4522"/>
    <cellStyle name="Normal 64 2 2 2 2" xfId="4851"/>
    <cellStyle name="Normal 64 2 2 2 2 2" xfId="5527"/>
    <cellStyle name="Normal 64 2 2 2 2 2 2" xfId="7846"/>
    <cellStyle name="Normal 64 2 2 2 2 3" xfId="6199"/>
    <cellStyle name="Normal 64 2 2 2 2 3 2" xfId="8518"/>
    <cellStyle name="Normal 64 2 2 2 2 4" xfId="7172"/>
    <cellStyle name="Normal 64 2 2 2 3" xfId="5195"/>
    <cellStyle name="Normal 64 2 2 2 3 2" xfId="7514"/>
    <cellStyle name="Normal 64 2 2 2 4" xfId="5863"/>
    <cellStyle name="Normal 64 2 2 2 4 2" xfId="8182"/>
    <cellStyle name="Normal 64 2 2 2 5" xfId="6843"/>
    <cellStyle name="Normal 64 2 2 3" xfId="4686"/>
    <cellStyle name="Normal 64 2 2 3 2" xfId="5361"/>
    <cellStyle name="Normal 64 2 2 3 2 2" xfId="7680"/>
    <cellStyle name="Normal 64 2 2 3 3" xfId="6031"/>
    <cellStyle name="Normal 64 2 2 3 3 2" xfId="8350"/>
    <cellStyle name="Normal 64 2 2 3 4" xfId="7007"/>
    <cellStyle name="Normal 64 2 2 4" xfId="5029"/>
    <cellStyle name="Normal 64 2 2 4 2" xfId="7348"/>
    <cellStyle name="Normal 64 2 2 5" xfId="5695"/>
    <cellStyle name="Normal 64 2 2 5 2" xfId="8014"/>
    <cellStyle name="Normal 64 2 2 6" xfId="6627"/>
    <cellStyle name="Normal 64 2 3" xfId="3428"/>
    <cellStyle name="Normal 64 2 3 2" xfId="4482"/>
    <cellStyle name="Normal 64 2 3 2 2" xfId="4811"/>
    <cellStyle name="Normal 64 2 3 2 2 2" xfId="5487"/>
    <cellStyle name="Normal 64 2 3 2 2 2 2" xfId="7806"/>
    <cellStyle name="Normal 64 2 3 2 2 3" xfId="6157"/>
    <cellStyle name="Normal 64 2 3 2 2 3 2" xfId="8476"/>
    <cellStyle name="Normal 64 2 3 2 2 4" xfId="7132"/>
    <cellStyle name="Normal 64 2 3 2 3" xfId="5155"/>
    <cellStyle name="Normal 64 2 3 2 3 2" xfId="7474"/>
    <cellStyle name="Normal 64 2 3 2 4" xfId="5821"/>
    <cellStyle name="Normal 64 2 3 2 4 2" xfId="8140"/>
    <cellStyle name="Normal 64 2 3 2 5" xfId="6803"/>
    <cellStyle name="Normal 64 2 3 3" xfId="4646"/>
    <cellStyle name="Normal 64 2 3 3 2" xfId="5321"/>
    <cellStyle name="Normal 64 2 3 3 2 2" xfId="7640"/>
    <cellStyle name="Normal 64 2 3 3 3" xfId="5989"/>
    <cellStyle name="Normal 64 2 3 3 3 2" xfId="8308"/>
    <cellStyle name="Normal 64 2 3 3 4" xfId="6967"/>
    <cellStyle name="Normal 64 2 3 4" xfId="4989"/>
    <cellStyle name="Normal 64 2 3 4 2" xfId="7308"/>
    <cellStyle name="Normal 64 2 3 5" xfId="5653"/>
    <cellStyle name="Normal 64 2 3 5 2" xfId="7972"/>
    <cellStyle name="Normal 64 2 3 6" xfId="6628"/>
    <cellStyle name="Normal 64 2 4" xfId="4410"/>
    <cellStyle name="Normal 64 2 4 2" xfId="4563"/>
    <cellStyle name="Normal 64 2 4 2 2" xfId="4893"/>
    <cellStyle name="Normal 64 2 4 2 2 2" xfId="5569"/>
    <cellStyle name="Normal 64 2 4 2 2 2 2" xfId="7888"/>
    <cellStyle name="Normal 64 2 4 2 2 3" xfId="6241"/>
    <cellStyle name="Normal 64 2 4 2 2 3 2" xfId="8560"/>
    <cellStyle name="Normal 64 2 4 2 2 4" xfId="7214"/>
    <cellStyle name="Normal 64 2 4 2 3" xfId="5237"/>
    <cellStyle name="Normal 64 2 4 2 3 2" xfId="7556"/>
    <cellStyle name="Normal 64 2 4 2 4" xfId="5905"/>
    <cellStyle name="Normal 64 2 4 2 4 2" xfId="8224"/>
    <cellStyle name="Normal 64 2 4 2 5" xfId="6884"/>
    <cellStyle name="Normal 64 2 4 3" xfId="4728"/>
    <cellStyle name="Normal 64 2 4 3 2" xfId="5403"/>
    <cellStyle name="Normal 64 2 4 3 2 2" xfId="7722"/>
    <cellStyle name="Normal 64 2 4 3 3" xfId="6073"/>
    <cellStyle name="Normal 64 2 4 3 3 2" xfId="8392"/>
    <cellStyle name="Normal 64 2 4 3 4" xfId="7049"/>
    <cellStyle name="Normal 64 2 4 4" xfId="5071"/>
    <cellStyle name="Normal 64 2 4 4 2" xfId="7390"/>
    <cellStyle name="Normal 64 2 4 5" xfId="5737"/>
    <cellStyle name="Normal 64 2 4 5 2" xfId="8056"/>
    <cellStyle name="Normal 64 2 4 6" xfId="6731"/>
    <cellStyle name="Normal 64 2 5" xfId="4442"/>
    <cellStyle name="Normal 64 2 5 2" xfId="4770"/>
    <cellStyle name="Normal 64 2 5 2 2" xfId="5445"/>
    <cellStyle name="Normal 64 2 5 2 2 2" xfId="7764"/>
    <cellStyle name="Normal 64 2 5 2 3" xfId="6115"/>
    <cellStyle name="Normal 64 2 5 2 3 2" xfId="8434"/>
    <cellStyle name="Normal 64 2 5 2 4" xfId="7091"/>
    <cellStyle name="Normal 64 2 5 3" xfId="5113"/>
    <cellStyle name="Normal 64 2 5 3 2" xfId="7432"/>
    <cellStyle name="Normal 64 2 5 4" xfId="5779"/>
    <cellStyle name="Normal 64 2 5 4 2" xfId="8098"/>
    <cellStyle name="Normal 64 2 5 5" xfId="6763"/>
    <cellStyle name="Normal 64 2 6" xfId="4605"/>
    <cellStyle name="Normal 64 2 6 2" xfId="5279"/>
    <cellStyle name="Normal 64 2 6 2 2" xfId="7598"/>
    <cellStyle name="Normal 64 2 6 3" xfId="5947"/>
    <cellStyle name="Normal 64 2 6 3 2" xfId="8266"/>
    <cellStyle name="Normal 64 2 6 4" xfId="6926"/>
    <cellStyle name="Normal 64 2 7" xfId="4947"/>
    <cellStyle name="Normal 64 2 7 2" xfId="7266"/>
    <cellStyle name="Normal 64 2 8" xfId="5611"/>
    <cellStyle name="Normal 64 2 8 2" xfId="7930"/>
    <cellStyle name="Normal 64 2 9" xfId="6626"/>
    <cellStyle name="Normal 64 3" xfId="3429"/>
    <cellStyle name="Normal 64 3 2" xfId="4502"/>
    <cellStyle name="Normal 64 3 2 2" xfId="4831"/>
    <cellStyle name="Normal 64 3 2 2 2" xfId="5507"/>
    <cellStyle name="Normal 64 3 2 2 2 2" xfId="7826"/>
    <cellStyle name="Normal 64 3 2 2 3" xfId="6178"/>
    <cellStyle name="Normal 64 3 2 2 3 2" xfId="8497"/>
    <cellStyle name="Normal 64 3 2 2 4" xfId="7152"/>
    <cellStyle name="Normal 64 3 2 3" xfId="5175"/>
    <cellStyle name="Normal 64 3 2 3 2" xfId="7494"/>
    <cellStyle name="Normal 64 3 2 4" xfId="5842"/>
    <cellStyle name="Normal 64 3 2 4 2" xfId="8161"/>
    <cellStyle name="Normal 64 3 2 5" xfId="6823"/>
    <cellStyle name="Normal 64 3 3" xfId="4666"/>
    <cellStyle name="Normal 64 3 3 2" xfId="5341"/>
    <cellStyle name="Normal 64 3 3 2 2" xfId="7660"/>
    <cellStyle name="Normal 64 3 3 3" xfId="6010"/>
    <cellStyle name="Normal 64 3 3 3 2" xfId="8329"/>
    <cellStyle name="Normal 64 3 3 4" xfId="6987"/>
    <cellStyle name="Normal 64 3 4" xfId="5009"/>
    <cellStyle name="Normal 64 3 4 2" xfId="7328"/>
    <cellStyle name="Normal 64 3 5" xfId="5674"/>
    <cellStyle name="Normal 64 3 5 2" xfId="7993"/>
    <cellStyle name="Normal 64 3 6" xfId="6629"/>
    <cellStyle name="Normal 64 4" xfId="3430"/>
    <cellStyle name="Normal 64 4 2" xfId="4462"/>
    <cellStyle name="Normal 64 4 2 2" xfId="4791"/>
    <cellStyle name="Normal 64 4 2 2 2" xfId="5466"/>
    <cellStyle name="Normal 64 4 2 2 2 2" xfId="7785"/>
    <cellStyle name="Normal 64 4 2 2 3" xfId="6136"/>
    <cellStyle name="Normal 64 4 2 2 3 2" xfId="8455"/>
    <cellStyle name="Normal 64 4 2 2 4" xfId="7112"/>
    <cellStyle name="Normal 64 4 2 3" xfId="5134"/>
    <cellStyle name="Normal 64 4 2 3 2" xfId="7453"/>
    <cellStyle name="Normal 64 4 2 4" xfId="5800"/>
    <cellStyle name="Normal 64 4 2 4 2" xfId="8119"/>
    <cellStyle name="Normal 64 4 2 5" xfId="6783"/>
    <cellStyle name="Normal 64 4 3" xfId="4626"/>
    <cellStyle name="Normal 64 4 3 2" xfId="5300"/>
    <cellStyle name="Normal 64 4 3 2 2" xfId="7619"/>
    <cellStyle name="Normal 64 4 3 3" xfId="5968"/>
    <cellStyle name="Normal 64 4 3 3 2" xfId="8287"/>
    <cellStyle name="Normal 64 4 3 4" xfId="6947"/>
    <cellStyle name="Normal 64 4 4" xfId="4968"/>
    <cellStyle name="Normal 64 4 4 2" xfId="7287"/>
    <cellStyle name="Normal 64 4 5" xfId="5632"/>
    <cellStyle name="Normal 64 4 5 2" xfId="7951"/>
    <cellStyle name="Normal 64 4 6" xfId="6630"/>
    <cellStyle name="Normal 64 5" xfId="3431"/>
    <cellStyle name="Normal 64 5 2" xfId="4543"/>
    <cellStyle name="Normal 64 5 2 2" xfId="4872"/>
    <cellStyle name="Normal 64 5 2 2 2" xfId="5548"/>
    <cellStyle name="Normal 64 5 2 2 2 2" xfId="7867"/>
    <cellStyle name="Normal 64 5 2 2 3" xfId="6220"/>
    <cellStyle name="Normal 64 5 2 2 3 2" xfId="8539"/>
    <cellStyle name="Normal 64 5 2 2 4" xfId="7193"/>
    <cellStyle name="Normal 64 5 2 3" xfId="5216"/>
    <cellStyle name="Normal 64 5 2 3 2" xfId="7535"/>
    <cellStyle name="Normal 64 5 2 4" xfId="5884"/>
    <cellStyle name="Normal 64 5 2 4 2" xfId="8203"/>
    <cellStyle name="Normal 64 5 2 5" xfId="6864"/>
    <cellStyle name="Normal 64 5 3" xfId="4707"/>
    <cellStyle name="Normal 64 5 3 2" xfId="5382"/>
    <cellStyle name="Normal 64 5 3 2 2" xfId="7701"/>
    <cellStyle name="Normal 64 5 3 3" xfId="6052"/>
    <cellStyle name="Normal 64 5 3 3 2" xfId="8371"/>
    <cellStyle name="Normal 64 5 3 4" xfId="7028"/>
    <cellStyle name="Normal 64 5 4" xfId="5050"/>
    <cellStyle name="Normal 64 5 4 2" xfId="7369"/>
    <cellStyle name="Normal 64 5 5" xfId="5716"/>
    <cellStyle name="Normal 64 5 5 2" xfId="8035"/>
    <cellStyle name="Normal 64 5 6" xfId="6631"/>
    <cellStyle name="Normal 64 6" xfId="4424"/>
    <cellStyle name="Normal 64 6 2" xfId="4749"/>
    <cellStyle name="Normal 64 6 2 2" xfId="5424"/>
    <cellStyle name="Normal 64 6 2 2 2" xfId="7743"/>
    <cellStyle name="Normal 64 6 2 3" xfId="6094"/>
    <cellStyle name="Normal 64 6 2 3 2" xfId="8413"/>
    <cellStyle name="Normal 64 6 2 4" xfId="7070"/>
    <cellStyle name="Normal 64 6 3" xfId="5092"/>
    <cellStyle name="Normal 64 6 3 2" xfId="7411"/>
    <cellStyle name="Normal 64 6 4" xfId="5758"/>
    <cellStyle name="Normal 64 6 4 2" xfId="8077"/>
    <cellStyle name="Normal 64 6 5" xfId="6745"/>
    <cellStyle name="Normal 64 7" xfId="4584"/>
    <cellStyle name="Normal 64 7 2" xfId="5258"/>
    <cellStyle name="Normal 64 7 2 2" xfId="7577"/>
    <cellStyle name="Normal 64 7 3" xfId="5926"/>
    <cellStyle name="Normal 64 7 3 2" xfId="8245"/>
    <cellStyle name="Normal 64 7 4" xfId="6905"/>
    <cellStyle name="Normal 64 8" xfId="4926"/>
    <cellStyle name="Normal 64 8 2" xfId="7245"/>
    <cellStyle name="Normal 64 9" xfId="5590"/>
    <cellStyle name="Normal 64 9 2" xfId="7909"/>
    <cellStyle name="Normal 65" xfId="1711"/>
    <cellStyle name="Normal 65 2" xfId="3432"/>
    <cellStyle name="Normal 65 2 2" xfId="3433"/>
    <cellStyle name="Normal 65 2 2 2" xfId="4523"/>
    <cellStyle name="Normal 65 2 2 2 2" xfId="4852"/>
    <cellStyle name="Normal 65 2 2 2 2 2" xfId="5528"/>
    <cellStyle name="Normal 65 2 2 2 2 2 2" xfId="7847"/>
    <cellStyle name="Normal 65 2 2 2 2 3" xfId="6200"/>
    <cellStyle name="Normal 65 2 2 2 2 3 2" xfId="8519"/>
    <cellStyle name="Normal 65 2 2 2 2 4" xfId="7173"/>
    <cellStyle name="Normal 65 2 2 2 3" xfId="5196"/>
    <cellStyle name="Normal 65 2 2 2 3 2" xfId="7515"/>
    <cellStyle name="Normal 65 2 2 2 4" xfId="5864"/>
    <cellStyle name="Normal 65 2 2 2 4 2" xfId="8183"/>
    <cellStyle name="Normal 65 2 2 2 5" xfId="6844"/>
    <cellStyle name="Normal 65 2 2 3" xfId="4687"/>
    <cellStyle name="Normal 65 2 2 3 2" xfId="5362"/>
    <cellStyle name="Normal 65 2 2 3 2 2" xfId="7681"/>
    <cellStyle name="Normal 65 2 2 3 3" xfId="6032"/>
    <cellStyle name="Normal 65 2 2 3 3 2" xfId="8351"/>
    <cellStyle name="Normal 65 2 2 3 4" xfId="7008"/>
    <cellStyle name="Normal 65 2 2 4" xfId="5030"/>
    <cellStyle name="Normal 65 2 2 4 2" xfId="7349"/>
    <cellStyle name="Normal 65 2 2 5" xfId="5696"/>
    <cellStyle name="Normal 65 2 2 5 2" xfId="8015"/>
    <cellStyle name="Normal 65 2 2 6" xfId="6633"/>
    <cellStyle name="Normal 65 2 3" xfId="3434"/>
    <cellStyle name="Normal 65 2 3 2" xfId="4483"/>
    <cellStyle name="Normal 65 2 3 2 2" xfId="4812"/>
    <cellStyle name="Normal 65 2 3 2 2 2" xfId="5488"/>
    <cellStyle name="Normal 65 2 3 2 2 2 2" xfId="7807"/>
    <cellStyle name="Normal 65 2 3 2 2 3" xfId="6158"/>
    <cellStyle name="Normal 65 2 3 2 2 3 2" xfId="8477"/>
    <cellStyle name="Normal 65 2 3 2 2 4" xfId="7133"/>
    <cellStyle name="Normal 65 2 3 2 3" xfId="5156"/>
    <cellStyle name="Normal 65 2 3 2 3 2" xfId="7475"/>
    <cellStyle name="Normal 65 2 3 2 4" xfId="5822"/>
    <cellStyle name="Normal 65 2 3 2 4 2" xfId="8141"/>
    <cellStyle name="Normal 65 2 3 2 5" xfId="6804"/>
    <cellStyle name="Normal 65 2 3 3" xfId="4647"/>
    <cellStyle name="Normal 65 2 3 3 2" xfId="5322"/>
    <cellStyle name="Normal 65 2 3 3 2 2" xfId="7641"/>
    <cellStyle name="Normal 65 2 3 3 3" xfId="5990"/>
    <cellStyle name="Normal 65 2 3 3 3 2" xfId="8309"/>
    <cellStyle name="Normal 65 2 3 3 4" xfId="6968"/>
    <cellStyle name="Normal 65 2 3 4" xfId="4990"/>
    <cellStyle name="Normal 65 2 3 4 2" xfId="7309"/>
    <cellStyle name="Normal 65 2 3 5" xfId="5654"/>
    <cellStyle name="Normal 65 2 3 5 2" xfId="7973"/>
    <cellStyle name="Normal 65 2 3 6" xfId="6634"/>
    <cellStyle name="Normal 65 2 4" xfId="4411"/>
    <cellStyle name="Normal 65 2 4 2" xfId="4564"/>
    <cellStyle name="Normal 65 2 4 2 2" xfId="4894"/>
    <cellStyle name="Normal 65 2 4 2 2 2" xfId="5570"/>
    <cellStyle name="Normal 65 2 4 2 2 2 2" xfId="7889"/>
    <cellStyle name="Normal 65 2 4 2 2 3" xfId="6242"/>
    <cellStyle name="Normal 65 2 4 2 2 3 2" xfId="8561"/>
    <cellStyle name="Normal 65 2 4 2 2 4" xfId="7215"/>
    <cellStyle name="Normal 65 2 4 2 3" xfId="5238"/>
    <cellStyle name="Normal 65 2 4 2 3 2" xfId="7557"/>
    <cellStyle name="Normal 65 2 4 2 4" xfId="5906"/>
    <cellStyle name="Normal 65 2 4 2 4 2" xfId="8225"/>
    <cellStyle name="Normal 65 2 4 2 5" xfId="6885"/>
    <cellStyle name="Normal 65 2 4 3" xfId="4729"/>
    <cellStyle name="Normal 65 2 4 3 2" xfId="5404"/>
    <cellStyle name="Normal 65 2 4 3 2 2" xfId="7723"/>
    <cellStyle name="Normal 65 2 4 3 3" xfId="6074"/>
    <cellStyle name="Normal 65 2 4 3 3 2" xfId="8393"/>
    <cellStyle name="Normal 65 2 4 3 4" xfId="7050"/>
    <cellStyle name="Normal 65 2 4 4" xfId="5072"/>
    <cellStyle name="Normal 65 2 4 4 2" xfId="7391"/>
    <cellStyle name="Normal 65 2 4 5" xfId="5738"/>
    <cellStyle name="Normal 65 2 4 5 2" xfId="8057"/>
    <cellStyle name="Normal 65 2 4 6" xfId="6732"/>
    <cellStyle name="Normal 65 2 5" xfId="4443"/>
    <cellStyle name="Normal 65 2 5 2" xfId="4771"/>
    <cellStyle name="Normal 65 2 5 2 2" xfId="5446"/>
    <cellStyle name="Normal 65 2 5 2 2 2" xfId="7765"/>
    <cellStyle name="Normal 65 2 5 2 3" xfId="6116"/>
    <cellStyle name="Normal 65 2 5 2 3 2" xfId="8435"/>
    <cellStyle name="Normal 65 2 5 2 4" xfId="7092"/>
    <cellStyle name="Normal 65 2 5 3" xfId="5114"/>
    <cellStyle name="Normal 65 2 5 3 2" xfId="7433"/>
    <cellStyle name="Normal 65 2 5 4" xfId="5780"/>
    <cellStyle name="Normal 65 2 5 4 2" xfId="8099"/>
    <cellStyle name="Normal 65 2 5 5" xfId="6764"/>
    <cellStyle name="Normal 65 2 6" xfId="4606"/>
    <cellStyle name="Normal 65 2 6 2" xfId="5280"/>
    <cellStyle name="Normal 65 2 6 2 2" xfId="7599"/>
    <cellStyle name="Normal 65 2 6 3" xfId="5948"/>
    <cellStyle name="Normal 65 2 6 3 2" xfId="8267"/>
    <cellStyle name="Normal 65 2 6 4" xfId="6927"/>
    <cellStyle name="Normal 65 2 7" xfId="4948"/>
    <cellStyle name="Normal 65 2 7 2" xfId="7267"/>
    <cellStyle name="Normal 65 2 8" xfId="5612"/>
    <cellStyle name="Normal 65 2 8 2" xfId="7931"/>
    <cellStyle name="Normal 65 2 9" xfId="6632"/>
    <cellStyle name="Normal 65 3" xfId="3435"/>
    <cellStyle name="Normal 65 3 2" xfId="4503"/>
    <cellStyle name="Normal 65 3 2 2" xfId="4832"/>
    <cellStyle name="Normal 65 3 2 2 2" xfId="5508"/>
    <cellStyle name="Normal 65 3 2 2 2 2" xfId="7827"/>
    <cellStyle name="Normal 65 3 2 2 3" xfId="6179"/>
    <cellStyle name="Normal 65 3 2 2 3 2" xfId="8498"/>
    <cellStyle name="Normal 65 3 2 2 4" xfId="7153"/>
    <cellStyle name="Normal 65 3 2 3" xfId="5176"/>
    <cellStyle name="Normal 65 3 2 3 2" xfId="7495"/>
    <cellStyle name="Normal 65 3 2 4" xfId="5843"/>
    <cellStyle name="Normal 65 3 2 4 2" xfId="8162"/>
    <cellStyle name="Normal 65 3 2 5" xfId="6824"/>
    <cellStyle name="Normal 65 3 3" xfId="4667"/>
    <cellStyle name="Normal 65 3 3 2" xfId="5342"/>
    <cellStyle name="Normal 65 3 3 2 2" xfId="7661"/>
    <cellStyle name="Normal 65 3 3 3" xfId="6011"/>
    <cellStyle name="Normal 65 3 3 3 2" xfId="8330"/>
    <cellStyle name="Normal 65 3 3 4" xfId="6988"/>
    <cellStyle name="Normal 65 3 4" xfId="5010"/>
    <cellStyle name="Normal 65 3 4 2" xfId="7329"/>
    <cellStyle name="Normal 65 3 5" xfId="5675"/>
    <cellStyle name="Normal 65 3 5 2" xfId="7994"/>
    <cellStyle name="Normal 65 3 6" xfId="6635"/>
    <cellStyle name="Normal 65 4" xfId="3436"/>
    <cellStyle name="Normal 65 4 2" xfId="4463"/>
    <cellStyle name="Normal 65 4 2 2" xfId="4792"/>
    <cellStyle name="Normal 65 4 2 2 2" xfId="5467"/>
    <cellStyle name="Normal 65 4 2 2 2 2" xfId="7786"/>
    <cellStyle name="Normal 65 4 2 2 3" xfId="6137"/>
    <cellStyle name="Normal 65 4 2 2 3 2" xfId="8456"/>
    <cellStyle name="Normal 65 4 2 2 4" xfId="7113"/>
    <cellStyle name="Normal 65 4 2 3" xfId="5135"/>
    <cellStyle name="Normal 65 4 2 3 2" xfId="7454"/>
    <cellStyle name="Normal 65 4 2 4" xfId="5801"/>
    <cellStyle name="Normal 65 4 2 4 2" xfId="8120"/>
    <cellStyle name="Normal 65 4 2 5" xfId="6784"/>
    <cellStyle name="Normal 65 4 3" xfId="4627"/>
    <cellStyle name="Normal 65 4 3 2" xfId="5301"/>
    <cellStyle name="Normal 65 4 3 2 2" xfId="7620"/>
    <cellStyle name="Normal 65 4 3 3" xfId="5969"/>
    <cellStyle name="Normal 65 4 3 3 2" xfId="8288"/>
    <cellStyle name="Normal 65 4 3 4" xfId="6948"/>
    <cellStyle name="Normal 65 4 4" xfId="4969"/>
    <cellStyle name="Normal 65 4 4 2" xfId="7288"/>
    <cellStyle name="Normal 65 4 5" xfId="5633"/>
    <cellStyle name="Normal 65 4 5 2" xfId="7952"/>
    <cellStyle name="Normal 65 4 6" xfId="6636"/>
    <cellStyle name="Normal 65 5" xfId="3437"/>
    <cellStyle name="Normal 65 5 2" xfId="4544"/>
    <cellStyle name="Normal 65 5 2 2" xfId="4873"/>
    <cellStyle name="Normal 65 5 2 2 2" xfId="5549"/>
    <cellStyle name="Normal 65 5 2 2 2 2" xfId="7868"/>
    <cellStyle name="Normal 65 5 2 2 3" xfId="6221"/>
    <cellStyle name="Normal 65 5 2 2 3 2" xfId="8540"/>
    <cellStyle name="Normal 65 5 2 2 4" xfId="7194"/>
    <cellStyle name="Normal 65 5 2 3" xfId="5217"/>
    <cellStyle name="Normal 65 5 2 3 2" xfId="7536"/>
    <cellStyle name="Normal 65 5 2 4" xfId="5885"/>
    <cellStyle name="Normal 65 5 2 4 2" xfId="8204"/>
    <cellStyle name="Normal 65 5 2 5" xfId="6865"/>
    <cellStyle name="Normal 65 5 3" xfId="4708"/>
    <cellStyle name="Normal 65 5 3 2" xfId="5383"/>
    <cellStyle name="Normal 65 5 3 2 2" xfId="7702"/>
    <cellStyle name="Normal 65 5 3 3" xfId="6053"/>
    <cellStyle name="Normal 65 5 3 3 2" xfId="8372"/>
    <cellStyle name="Normal 65 5 3 4" xfId="7029"/>
    <cellStyle name="Normal 65 5 4" xfId="5051"/>
    <cellStyle name="Normal 65 5 4 2" xfId="7370"/>
    <cellStyle name="Normal 65 5 5" xfId="5717"/>
    <cellStyle name="Normal 65 5 5 2" xfId="8036"/>
    <cellStyle name="Normal 65 5 6" xfId="6637"/>
    <cellStyle name="Normal 65 6" xfId="4425"/>
    <cellStyle name="Normal 65 6 2" xfId="4750"/>
    <cellStyle name="Normal 65 6 2 2" xfId="5425"/>
    <cellStyle name="Normal 65 6 2 2 2" xfId="7744"/>
    <cellStyle name="Normal 65 6 2 3" xfId="6095"/>
    <cellStyle name="Normal 65 6 2 3 2" xfId="8414"/>
    <cellStyle name="Normal 65 6 2 4" xfId="7071"/>
    <cellStyle name="Normal 65 6 3" xfId="5093"/>
    <cellStyle name="Normal 65 6 3 2" xfId="7412"/>
    <cellStyle name="Normal 65 6 4" xfId="5759"/>
    <cellStyle name="Normal 65 6 4 2" xfId="8078"/>
    <cellStyle name="Normal 65 6 5" xfId="6746"/>
    <cellStyle name="Normal 65 7" xfId="4585"/>
    <cellStyle name="Normal 65 7 2" xfId="5259"/>
    <cellStyle name="Normal 65 7 2 2" xfId="7578"/>
    <cellStyle name="Normal 65 7 3" xfId="5927"/>
    <cellStyle name="Normal 65 7 3 2" xfId="8246"/>
    <cellStyle name="Normal 65 7 4" xfId="6906"/>
    <cellStyle name="Normal 65 8" xfId="4927"/>
    <cellStyle name="Normal 65 8 2" xfId="7246"/>
    <cellStyle name="Normal 65 9" xfId="5591"/>
    <cellStyle name="Normal 65 9 2" xfId="7910"/>
    <cellStyle name="Normal 66" xfId="1712"/>
    <cellStyle name="Normal 66 2" xfId="3438"/>
    <cellStyle name="Normal 66 2 2" xfId="3439"/>
    <cellStyle name="Normal 66 2 2 2" xfId="4524"/>
    <cellStyle name="Normal 66 2 2 2 2" xfId="4853"/>
    <cellStyle name="Normal 66 2 2 2 2 2" xfId="5529"/>
    <cellStyle name="Normal 66 2 2 2 2 2 2" xfId="7848"/>
    <cellStyle name="Normal 66 2 2 2 2 3" xfId="6201"/>
    <cellStyle name="Normal 66 2 2 2 2 3 2" xfId="8520"/>
    <cellStyle name="Normal 66 2 2 2 2 4" xfId="7174"/>
    <cellStyle name="Normal 66 2 2 2 3" xfId="5197"/>
    <cellStyle name="Normal 66 2 2 2 3 2" xfId="7516"/>
    <cellStyle name="Normal 66 2 2 2 4" xfId="5865"/>
    <cellStyle name="Normal 66 2 2 2 4 2" xfId="8184"/>
    <cellStyle name="Normal 66 2 2 2 5" xfId="6845"/>
    <cellStyle name="Normal 66 2 2 3" xfId="4688"/>
    <cellStyle name="Normal 66 2 2 3 2" xfId="5363"/>
    <cellStyle name="Normal 66 2 2 3 2 2" xfId="7682"/>
    <cellStyle name="Normal 66 2 2 3 3" xfId="6033"/>
    <cellStyle name="Normal 66 2 2 3 3 2" xfId="8352"/>
    <cellStyle name="Normal 66 2 2 3 4" xfId="7009"/>
    <cellStyle name="Normal 66 2 2 4" xfId="5031"/>
    <cellStyle name="Normal 66 2 2 4 2" xfId="7350"/>
    <cellStyle name="Normal 66 2 2 5" xfId="5697"/>
    <cellStyle name="Normal 66 2 2 5 2" xfId="8016"/>
    <cellStyle name="Normal 66 2 2 6" xfId="6639"/>
    <cellStyle name="Normal 66 2 3" xfId="3440"/>
    <cellStyle name="Normal 66 2 3 2" xfId="4484"/>
    <cellStyle name="Normal 66 2 3 2 2" xfId="4813"/>
    <cellStyle name="Normal 66 2 3 2 2 2" xfId="5489"/>
    <cellStyle name="Normal 66 2 3 2 2 2 2" xfId="7808"/>
    <cellStyle name="Normal 66 2 3 2 2 3" xfId="6159"/>
    <cellStyle name="Normal 66 2 3 2 2 3 2" xfId="8478"/>
    <cellStyle name="Normal 66 2 3 2 2 4" xfId="7134"/>
    <cellStyle name="Normal 66 2 3 2 3" xfId="5157"/>
    <cellStyle name="Normal 66 2 3 2 3 2" xfId="7476"/>
    <cellStyle name="Normal 66 2 3 2 4" xfId="5823"/>
    <cellStyle name="Normal 66 2 3 2 4 2" xfId="8142"/>
    <cellStyle name="Normal 66 2 3 2 5" xfId="6805"/>
    <cellStyle name="Normal 66 2 3 3" xfId="4648"/>
    <cellStyle name="Normal 66 2 3 3 2" xfId="5323"/>
    <cellStyle name="Normal 66 2 3 3 2 2" xfId="7642"/>
    <cellStyle name="Normal 66 2 3 3 3" xfId="5991"/>
    <cellStyle name="Normal 66 2 3 3 3 2" xfId="8310"/>
    <cellStyle name="Normal 66 2 3 3 4" xfId="6969"/>
    <cellStyle name="Normal 66 2 3 4" xfId="4991"/>
    <cellStyle name="Normal 66 2 3 4 2" xfId="7310"/>
    <cellStyle name="Normal 66 2 3 5" xfId="5655"/>
    <cellStyle name="Normal 66 2 3 5 2" xfId="7974"/>
    <cellStyle name="Normal 66 2 3 6" xfId="6640"/>
    <cellStyle name="Normal 66 2 4" xfId="4412"/>
    <cellStyle name="Normal 66 2 4 2" xfId="4565"/>
    <cellStyle name="Normal 66 2 4 2 2" xfId="4895"/>
    <cellStyle name="Normal 66 2 4 2 2 2" xfId="5571"/>
    <cellStyle name="Normal 66 2 4 2 2 2 2" xfId="7890"/>
    <cellStyle name="Normal 66 2 4 2 2 3" xfId="6243"/>
    <cellStyle name="Normal 66 2 4 2 2 3 2" xfId="8562"/>
    <cellStyle name="Normal 66 2 4 2 2 4" xfId="7216"/>
    <cellStyle name="Normal 66 2 4 2 3" xfId="5239"/>
    <cellStyle name="Normal 66 2 4 2 3 2" xfId="7558"/>
    <cellStyle name="Normal 66 2 4 2 4" xfId="5907"/>
    <cellStyle name="Normal 66 2 4 2 4 2" xfId="8226"/>
    <cellStyle name="Normal 66 2 4 2 5" xfId="6886"/>
    <cellStyle name="Normal 66 2 4 3" xfId="4730"/>
    <cellStyle name="Normal 66 2 4 3 2" xfId="5405"/>
    <cellStyle name="Normal 66 2 4 3 2 2" xfId="7724"/>
    <cellStyle name="Normal 66 2 4 3 3" xfId="6075"/>
    <cellStyle name="Normal 66 2 4 3 3 2" xfId="8394"/>
    <cellStyle name="Normal 66 2 4 3 4" xfId="7051"/>
    <cellStyle name="Normal 66 2 4 4" xfId="5073"/>
    <cellStyle name="Normal 66 2 4 4 2" xfId="7392"/>
    <cellStyle name="Normal 66 2 4 5" xfId="5739"/>
    <cellStyle name="Normal 66 2 4 5 2" xfId="8058"/>
    <cellStyle name="Normal 66 2 4 6" xfId="6733"/>
    <cellStyle name="Normal 66 2 5" xfId="4444"/>
    <cellStyle name="Normal 66 2 5 2" xfId="4772"/>
    <cellStyle name="Normal 66 2 5 2 2" xfId="5447"/>
    <cellStyle name="Normal 66 2 5 2 2 2" xfId="7766"/>
    <cellStyle name="Normal 66 2 5 2 3" xfId="6117"/>
    <cellStyle name="Normal 66 2 5 2 3 2" xfId="8436"/>
    <cellStyle name="Normal 66 2 5 2 4" xfId="7093"/>
    <cellStyle name="Normal 66 2 5 3" xfId="5115"/>
    <cellStyle name="Normal 66 2 5 3 2" xfId="7434"/>
    <cellStyle name="Normal 66 2 5 4" xfId="5781"/>
    <cellStyle name="Normal 66 2 5 4 2" xfId="8100"/>
    <cellStyle name="Normal 66 2 5 5" xfId="6765"/>
    <cellStyle name="Normal 66 2 6" xfId="4607"/>
    <cellStyle name="Normal 66 2 6 2" xfId="5281"/>
    <cellStyle name="Normal 66 2 6 2 2" xfId="7600"/>
    <cellStyle name="Normal 66 2 6 3" xfId="5949"/>
    <cellStyle name="Normal 66 2 6 3 2" xfId="8268"/>
    <cellStyle name="Normal 66 2 6 4" xfId="6928"/>
    <cellStyle name="Normal 66 2 7" xfId="4949"/>
    <cellStyle name="Normal 66 2 7 2" xfId="7268"/>
    <cellStyle name="Normal 66 2 8" xfId="5613"/>
    <cellStyle name="Normal 66 2 8 2" xfId="7932"/>
    <cellStyle name="Normal 66 2 9" xfId="6638"/>
    <cellStyle name="Normal 66 3" xfId="3441"/>
    <cellStyle name="Normal 66 3 2" xfId="4504"/>
    <cellStyle name="Normal 66 3 2 2" xfId="4833"/>
    <cellStyle name="Normal 66 3 2 2 2" xfId="5509"/>
    <cellStyle name="Normal 66 3 2 2 2 2" xfId="7828"/>
    <cellStyle name="Normal 66 3 2 2 3" xfId="6180"/>
    <cellStyle name="Normal 66 3 2 2 3 2" xfId="8499"/>
    <cellStyle name="Normal 66 3 2 2 4" xfId="7154"/>
    <cellStyle name="Normal 66 3 2 3" xfId="5177"/>
    <cellStyle name="Normal 66 3 2 3 2" xfId="7496"/>
    <cellStyle name="Normal 66 3 2 4" xfId="5844"/>
    <cellStyle name="Normal 66 3 2 4 2" xfId="8163"/>
    <cellStyle name="Normal 66 3 2 5" xfId="6825"/>
    <cellStyle name="Normal 66 3 3" xfId="4668"/>
    <cellStyle name="Normal 66 3 3 2" xfId="5343"/>
    <cellStyle name="Normal 66 3 3 2 2" xfId="7662"/>
    <cellStyle name="Normal 66 3 3 3" xfId="6012"/>
    <cellStyle name="Normal 66 3 3 3 2" xfId="8331"/>
    <cellStyle name="Normal 66 3 3 4" xfId="6989"/>
    <cellStyle name="Normal 66 3 4" xfId="5011"/>
    <cellStyle name="Normal 66 3 4 2" xfId="7330"/>
    <cellStyle name="Normal 66 3 5" xfId="5676"/>
    <cellStyle name="Normal 66 3 5 2" xfId="7995"/>
    <cellStyle name="Normal 66 3 6" xfId="6641"/>
    <cellStyle name="Normal 66 4" xfId="3442"/>
    <cellStyle name="Normal 66 4 2" xfId="4464"/>
    <cellStyle name="Normal 66 4 2 2" xfId="4793"/>
    <cellStyle name="Normal 66 4 2 2 2" xfId="5468"/>
    <cellStyle name="Normal 66 4 2 2 2 2" xfId="7787"/>
    <cellStyle name="Normal 66 4 2 2 3" xfId="6138"/>
    <cellStyle name="Normal 66 4 2 2 3 2" xfId="8457"/>
    <cellStyle name="Normal 66 4 2 2 4" xfId="7114"/>
    <cellStyle name="Normal 66 4 2 3" xfId="5136"/>
    <cellStyle name="Normal 66 4 2 3 2" xfId="7455"/>
    <cellStyle name="Normal 66 4 2 4" xfId="5802"/>
    <cellStyle name="Normal 66 4 2 4 2" xfId="8121"/>
    <cellStyle name="Normal 66 4 2 5" xfId="6785"/>
    <cellStyle name="Normal 66 4 3" xfId="4628"/>
    <cellStyle name="Normal 66 4 3 2" xfId="5302"/>
    <cellStyle name="Normal 66 4 3 2 2" xfId="7621"/>
    <cellStyle name="Normal 66 4 3 3" xfId="5970"/>
    <cellStyle name="Normal 66 4 3 3 2" xfId="8289"/>
    <cellStyle name="Normal 66 4 3 4" xfId="6949"/>
    <cellStyle name="Normal 66 4 4" xfId="4970"/>
    <cellStyle name="Normal 66 4 4 2" xfId="7289"/>
    <cellStyle name="Normal 66 4 5" xfId="5634"/>
    <cellStyle name="Normal 66 4 5 2" xfId="7953"/>
    <cellStyle name="Normal 66 4 6" xfId="6642"/>
    <cellStyle name="Normal 66 5" xfId="3443"/>
    <cellStyle name="Normal 66 5 2" xfId="4545"/>
    <cellStyle name="Normal 66 5 2 2" xfId="4874"/>
    <cellStyle name="Normal 66 5 2 2 2" xfId="5550"/>
    <cellStyle name="Normal 66 5 2 2 2 2" xfId="7869"/>
    <cellStyle name="Normal 66 5 2 2 3" xfId="6222"/>
    <cellStyle name="Normal 66 5 2 2 3 2" xfId="8541"/>
    <cellStyle name="Normal 66 5 2 2 4" xfId="7195"/>
    <cellStyle name="Normal 66 5 2 3" xfId="5218"/>
    <cellStyle name="Normal 66 5 2 3 2" xfId="7537"/>
    <cellStyle name="Normal 66 5 2 4" xfId="5886"/>
    <cellStyle name="Normal 66 5 2 4 2" xfId="8205"/>
    <cellStyle name="Normal 66 5 2 5" xfId="6866"/>
    <cellStyle name="Normal 66 5 3" xfId="4709"/>
    <cellStyle name="Normal 66 5 3 2" xfId="5384"/>
    <cellStyle name="Normal 66 5 3 2 2" xfId="7703"/>
    <cellStyle name="Normal 66 5 3 3" xfId="6054"/>
    <cellStyle name="Normal 66 5 3 3 2" xfId="8373"/>
    <cellStyle name="Normal 66 5 3 4" xfId="7030"/>
    <cellStyle name="Normal 66 5 4" xfId="5052"/>
    <cellStyle name="Normal 66 5 4 2" xfId="7371"/>
    <cellStyle name="Normal 66 5 5" xfId="5718"/>
    <cellStyle name="Normal 66 5 5 2" xfId="8037"/>
    <cellStyle name="Normal 66 5 6" xfId="6643"/>
    <cellStyle name="Normal 66 6" xfId="4426"/>
    <cellStyle name="Normal 66 6 2" xfId="4751"/>
    <cellStyle name="Normal 66 6 2 2" xfId="5426"/>
    <cellStyle name="Normal 66 6 2 2 2" xfId="7745"/>
    <cellStyle name="Normal 66 6 2 3" xfId="6096"/>
    <cellStyle name="Normal 66 6 2 3 2" xfId="8415"/>
    <cellStyle name="Normal 66 6 2 4" xfId="7072"/>
    <cellStyle name="Normal 66 6 3" xfId="5094"/>
    <cellStyle name="Normal 66 6 3 2" xfId="7413"/>
    <cellStyle name="Normal 66 6 4" xfId="5760"/>
    <cellStyle name="Normal 66 6 4 2" xfId="8079"/>
    <cellStyle name="Normal 66 6 5" xfId="6747"/>
    <cellStyle name="Normal 66 7" xfId="4586"/>
    <cellStyle name="Normal 66 7 2" xfId="5260"/>
    <cellStyle name="Normal 66 7 2 2" xfId="7579"/>
    <cellStyle name="Normal 66 7 3" xfId="5928"/>
    <cellStyle name="Normal 66 7 3 2" xfId="8247"/>
    <cellStyle name="Normal 66 7 4" xfId="6907"/>
    <cellStyle name="Normal 66 8" xfId="4928"/>
    <cellStyle name="Normal 66 8 2" xfId="7247"/>
    <cellStyle name="Normal 66 9" xfId="5592"/>
    <cellStyle name="Normal 66 9 2" xfId="7911"/>
    <cellStyle name="Normal 67" xfId="1713"/>
    <cellStyle name="Normal 67 2" xfId="3444"/>
    <cellStyle name="Normal 67 2 2" xfId="3445"/>
    <cellStyle name="Normal 67 2 2 2" xfId="4525"/>
    <cellStyle name="Normal 67 2 2 2 2" xfId="4854"/>
    <cellStyle name="Normal 67 2 2 2 2 2" xfId="5530"/>
    <cellStyle name="Normal 67 2 2 2 2 2 2" xfId="7849"/>
    <cellStyle name="Normal 67 2 2 2 2 3" xfId="6202"/>
    <cellStyle name="Normal 67 2 2 2 2 3 2" xfId="8521"/>
    <cellStyle name="Normal 67 2 2 2 2 4" xfId="7175"/>
    <cellStyle name="Normal 67 2 2 2 3" xfId="5198"/>
    <cellStyle name="Normal 67 2 2 2 3 2" xfId="7517"/>
    <cellStyle name="Normal 67 2 2 2 4" xfId="5866"/>
    <cellStyle name="Normal 67 2 2 2 4 2" xfId="8185"/>
    <cellStyle name="Normal 67 2 2 2 5" xfId="6846"/>
    <cellStyle name="Normal 67 2 2 3" xfId="4689"/>
    <cellStyle name="Normal 67 2 2 3 2" xfId="5364"/>
    <cellStyle name="Normal 67 2 2 3 2 2" xfId="7683"/>
    <cellStyle name="Normal 67 2 2 3 3" xfId="6034"/>
    <cellStyle name="Normal 67 2 2 3 3 2" xfId="8353"/>
    <cellStyle name="Normal 67 2 2 3 4" xfId="7010"/>
    <cellStyle name="Normal 67 2 2 4" xfId="5032"/>
    <cellStyle name="Normal 67 2 2 4 2" xfId="7351"/>
    <cellStyle name="Normal 67 2 2 5" xfId="5698"/>
    <cellStyle name="Normal 67 2 2 5 2" xfId="8017"/>
    <cellStyle name="Normal 67 2 2 6" xfId="6645"/>
    <cellStyle name="Normal 67 2 3" xfId="3446"/>
    <cellStyle name="Normal 67 2 3 2" xfId="4485"/>
    <cellStyle name="Normal 67 2 3 2 2" xfId="4814"/>
    <cellStyle name="Normal 67 2 3 2 2 2" xfId="5490"/>
    <cellStyle name="Normal 67 2 3 2 2 2 2" xfId="7809"/>
    <cellStyle name="Normal 67 2 3 2 2 3" xfId="6160"/>
    <cellStyle name="Normal 67 2 3 2 2 3 2" xfId="8479"/>
    <cellStyle name="Normal 67 2 3 2 2 4" xfId="7135"/>
    <cellStyle name="Normal 67 2 3 2 3" xfId="5158"/>
    <cellStyle name="Normal 67 2 3 2 3 2" xfId="7477"/>
    <cellStyle name="Normal 67 2 3 2 4" xfId="5824"/>
    <cellStyle name="Normal 67 2 3 2 4 2" xfId="8143"/>
    <cellStyle name="Normal 67 2 3 2 5" xfId="6806"/>
    <cellStyle name="Normal 67 2 3 3" xfId="4649"/>
    <cellStyle name="Normal 67 2 3 3 2" xfId="5324"/>
    <cellStyle name="Normal 67 2 3 3 2 2" xfId="7643"/>
    <cellStyle name="Normal 67 2 3 3 3" xfId="5992"/>
    <cellStyle name="Normal 67 2 3 3 3 2" xfId="8311"/>
    <cellStyle name="Normal 67 2 3 3 4" xfId="6970"/>
    <cellStyle name="Normal 67 2 3 4" xfId="4992"/>
    <cellStyle name="Normal 67 2 3 4 2" xfId="7311"/>
    <cellStyle name="Normal 67 2 3 5" xfId="5656"/>
    <cellStyle name="Normal 67 2 3 5 2" xfId="7975"/>
    <cellStyle name="Normal 67 2 3 6" xfId="6646"/>
    <cellStyle name="Normal 67 2 4" xfId="4413"/>
    <cellStyle name="Normal 67 2 4 2" xfId="4566"/>
    <cellStyle name="Normal 67 2 4 2 2" xfId="4896"/>
    <cellStyle name="Normal 67 2 4 2 2 2" xfId="5572"/>
    <cellStyle name="Normal 67 2 4 2 2 2 2" xfId="7891"/>
    <cellStyle name="Normal 67 2 4 2 2 3" xfId="6244"/>
    <cellStyle name="Normal 67 2 4 2 2 3 2" xfId="8563"/>
    <cellStyle name="Normal 67 2 4 2 2 4" xfId="7217"/>
    <cellStyle name="Normal 67 2 4 2 3" xfId="5240"/>
    <cellStyle name="Normal 67 2 4 2 3 2" xfId="7559"/>
    <cellStyle name="Normal 67 2 4 2 4" xfId="5908"/>
    <cellStyle name="Normal 67 2 4 2 4 2" xfId="8227"/>
    <cellStyle name="Normal 67 2 4 2 5" xfId="6887"/>
    <cellStyle name="Normal 67 2 4 3" xfId="4731"/>
    <cellStyle name="Normal 67 2 4 3 2" xfId="5406"/>
    <cellStyle name="Normal 67 2 4 3 2 2" xfId="7725"/>
    <cellStyle name="Normal 67 2 4 3 3" xfId="6076"/>
    <cellStyle name="Normal 67 2 4 3 3 2" xfId="8395"/>
    <cellStyle name="Normal 67 2 4 3 4" xfId="7052"/>
    <cellStyle name="Normal 67 2 4 4" xfId="5074"/>
    <cellStyle name="Normal 67 2 4 4 2" xfId="7393"/>
    <cellStyle name="Normal 67 2 4 5" xfId="5740"/>
    <cellStyle name="Normal 67 2 4 5 2" xfId="8059"/>
    <cellStyle name="Normal 67 2 4 6" xfId="6734"/>
    <cellStyle name="Normal 67 2 5" xfId="4445"/>
    <cellStyle name="Normal 67 2 5 2" xfId="4773"/>
    <cellStyle name="Normal 67 2 5 2 2" xfId="5448"/>
    <cellStyle name="Normal 67 2 5 2 2 2" xfId="7767"/>
    <cellStyle name="Normal 67 2 5 2 3" xfId="6118"/>
    <cellStyle name="Normal 67 2 5 2 3 2" xfId="8437"/>
    <cellStyle name="Normal 67 2 5 2 4" xfId="7094"/>
    <cellStyle name="Normal 67 2 5 3" xfId="5116"/>
    <cellStyle name="Normal 67 2 5 3 2" xfId="7435"/>
    <cellStyle name="Normal 67 2 5 4" xfId="5782"/>
    <cellStyle name="Normal 67 2 5 4 2" xfId="8101"/>
    <cellStyle name="Normal 67 2 5 5" xfId="6766"/>
    <cellStyle name="Normal 67 2 6" xfId="4608"/>
    <cellStyle name="Normal 67 2 6 2" xfId="5282"/>
    <cellStyle name="Normal 67 2 6 2 2" xfId="7601"/>
    <cellStyle name="Normal 67 2 6 3" xfId="5950"/>
    <cellStyle name="Normal 67 2 6 3 2" xfId="8269"/>
    <cellStyle name="Normal 67 2 6 4" xfId="6929"/>
    <cellStyle name="Normal 67 2 7" xfId="4950"/>
    <cellStyle name="Normal 67 2 7 2" xfId="7269"/>
    <cellStyle name="Normal 67 2 8" xfId="5614"/>
    <cellStyle name="Normal 67 2 8 2" xfId="7933"/>
    <cellStyle name="Normal 67 2 9" xfId="6644"/>
    <cellStyle name="Normal 67 3" xfId="3447"/>
    <cellStyle name="Normal 67 3 2" xfId="4505"/>
    <cellStyle name="Normal 67 3 2 2" xfId="4834"/>
    <cellStyle name="Normal 67 3 2 2 2" xfId="5510"/>
    <cellStyle name="Normal 67 3 2 2 2 2" xfId="7829"/>
    <cellStyle name="Normal 67 3 2 2 3" xfId="6181"/>
    <cellStyle name="Normal 67 3 2 2 3 2" xfId="8500"/>
    <cellStyle name="Normal 67 3 2 2 4" xfId="7155"/>
    <cellStyle name="Normal 67 3 2 3" xfId="5178"/>
    <cellStyle name="Normal 67 3 2 3 2" xfId="7497"/>
    <cellStyle name="Normal 67 3 2 4" xfId="5845"/>
    <cellStyle name="Normal 67 3 2 4 2" xfId="8164"/>
    <cellStyle name="Normal 67 3 2 5" xfId="6826"/>
    <cellStyle name="Normal 67 3 3" xfId="4669"/>
    <cellStyle name="Normal 67 3 3 2" xfId="5344"/>
    <cellStyle name="Normal 67 3 3 2 2" xfId="7663"/>
    <cellStyle name="Normal 67 3 3 3" xfId="6013"/>
    <cellStyle name="Normal 67 3 3 3 2" xfId="8332"/>
    <cellStyle name="Normal 67 3 3 4" xfId="6990"/>
    <cellStyle name="Normal 67 3 4" xfId="5012"/>
    <cellStyle name="Normal 67 3 4 2" xfId="7331"/>
    <cellStyle name="Normal 67 3 5" xfId="5677"/>
    <cellStyle name="Normal 67 3 5 2" xfId="7996"/>
    <cellStyle name="Normal 67 3 6" xfId="6647"/>
    <cellStyle name="Normal 67 4" xfId="3448"/>
    <cellStyle name="Normal 67 4 2" xfId="4465"/>
    <cellStyle name="Normal 67 4 2 2" xfId="4794"/>
    <cellStyle name="Normal 67 4 2 2 2" xfId="5469"/>
    <cellStyle name="Normal 67 4 2 2 2 2" xfId="7788"/>
    <cellStyle name="Normal 67 4 2 2 3" xfId="6139"/>
    <cellStyle name="Normal 67 4 2 2 3 2" xfId="8458"/>
    <cellStyle name="Normal 67 4 2 2 4" xfId="7115"/>
    <cellStyle name="Normal 67 4 2 3" xfId="5137"/>
    <cellStyle name="Normal 67 4 2 3 2" xfId="7456"/>
    <cellStyle name="Normal 67 4 2 4" xfId="5803"/>
    <cellStyle name="Normal 67 4 2 4 2" xfId="8122"/>
    <cellStyle name="Normal 67 4 2 5" xfId="6786"/>
    <cellStyle name="Normal 67 4 3" xfId="4629"/>
    <cellStyle name="Normal 67 4 3 2" xfId="5303"/>
    <cellStyle name="Normal 67 4 3 2 2" xfId="7622"/>
    <cellStyle name="Normal 67 4 3 3" xfId="5971"/>
    <cellStyle name="Normal 67 4 3 3 2" xfId="8290"/>
    <cellStyle name="Normal 67 4 3 4" xfId="6950"/>
    <cellStyle name="Normal 67 4 4" xfId="4971"/>
    <cellStyle name="Normal 67 4 4 2" xfId="7290"/>
    <cellStyle name="Normal 67 4 5" xfId="5635"/>
    <cellStyle name="Normal 67 4 5 2" xfId="7954"/>
    <cellStyle name="Normal 67 4 6" xfId="6648"/>
    <cellStyle name="Normal 67 5" xfId="3449"/>
    <cellStyle name="Normal 67 5 2" xfId="4546"/>
    <cellStyle name="Normal 67 5 2 2" xfId="4875"/>
    <cellStyle name="Normal 67 5 2 2 2" xfId="5551"/>
    <cellStyle name="Normal 67 5 2 2 2 2" xfId="7870"/>
    <cellStyle name="Normal 67 5 2 2 3" xfId="6223"/>
    <cellStyle name="Normal 67 5 2 2 3 2" xfId="8542"/>
    <cellStyle name="Normal 67 5 2 2 4" xfId="7196"/>
    <cellStyle name="Normal 67 5 2 3" xfId="5219"/>
    <cellStyle name="Normal 67 5 2 3 2" xfId="7538"/>
    <cellStyle name="Normal 67 5 2 4" xfId="5887"/>
    <cellStyle name="Normal 67 5 2 4 2" xfId="8206"/>
    <cellStyle name="Normal 67 5 2 5" xfId="6867"/>
    <cellStyle name="Normal 67 5 3" xfId="4710"/>
    <cellStyle name="Normal 67 5 3 2" xfId="5385"/>
    <cellStyle name="Normal 67 5 3 2 2" xfId="7704"/>
    <cellStyle name="Normal 67 5 3 3" xfId="6055"/>
    <cellStyle name="Normal 67 5 3 3 2" xfId="8374"/>
    <cellStyle name="Normal 67 5 3 4" xfId="7031"/>
    <cellStyle name="Normal 67 5 4" xfId="5053"/>
    <cellStyle name="Normal 67 5 4 2" xfId="7372"/>
    <cellStyle name="Normal 67 5 5" xfId="5719"/>
    <cellStyle name="Normal 67 5 5 2" xfId="8038"/>
    <cellStyle name="Normal 67 5 6" xfId="6649"/>
    <cellStyle name="Normal 67 6" xfId="4427"/>
    <cellStyle name="Normal 67 6 2" xfId="4752"/>
    <cellStyle name="Normal 67 6 2 2" xfId="5427"/>
    <cellStyle name="Normal 67 6 2 2 2" xfId="7746"/>
    <cellStyle name="Normal 67 6 2 3" xfId="6097"/>
    <cellStyle name="Normal 67 6 2 3 2" xfId="8416"/>
    <cellStyle name="Normal 67 6 2 4" xfId="7073"/>
    <cellStyle name="Normal 67 6 3" xfId="5095"/>
    <cellStyle name="Normal 67 6 3 2" xfId="7414"/>
    <cellStyle name="Normal 67 6 4" xfId="5761"/>
    <cellStyle name="Normal 67 6 4 2" xfId="8080"/>
    <cellStyle name="Normal 67 6 5" xfId="6748"/>
    <cellStyle name="Normal 67 7" xfId="4587"/>
    <cellStyle name="Normal 67 7 2" xfId="5261"/>
    <cellStyle name="Normal 67 7 2 2" xfId="7580"/>
    <cellStyle name="Normal 67 7 3" xfId="5929"/>
    <cellStyle name="Normal 67 7 3 2" xfId="8248"/>
    <cellStyle name="Normal 67 7 4" xfId="6908"/>
    <cellStyle name="Normal 67 8" xfId="4929"/>
    <cellStyle name="Normal 67 8 2" xfId="7248"/>
    <cellStyle name="Normal 67 9" xfId="5593"/>
    <cellStyle name="Normal 67 9 2" xfId="7912"/>
    <cellStyle name="Normal 68" xfId="1714"/>
    <cellStyle name="Normal 68 2" xfId="3450"/>
    <cellStyle name="Normal 68 2 2" xfId="3451"/>
    <cellStyle name="Normal 68 2 2 2" xfId="4526"/>
    <cellStyle name="Normal 68 2 2 2 2" xfId="4855"/>
    <cellStyle name="Normal 68 2 2 2 2 2" xfId="5531"/>
    <cellStyle name="Normal 68 2 2 2 2 2 2" xfId="7850"/>
    <cellStyle name="Normal 68 2 2 2 2 3" xfId="6203"/>
    <cellStyle name="Normal 68 2 2 2 2 3 2" xfId="8522"/>
    <cellStyle name="Normal 68 2 2 2 2 4" xfId="7176"/>
    <cellStyle name="Normal 68 2 2 2 3" xfId="5199"/>
    <cellStyle name="Normal 68 2 2 2 3 2" xfId="7518"/>
    <cellStyle name="Normal 68 2 2 2 4" xfId="5867"/>
    <cellStyle name="Normal 68 2 2 2 4 2" xfId="8186"/>
    <cellStyle name="Normal 68 2 2 2 5" xfId="6847"/>
    <cellStyle name="Normal 68 2 2 3" xfId="4690"/>
    <cellStyle name="Normal 68 2 2 3 2" xfId="5365"/>
    <cellStyle name="Normal 68 2 2 3 2 2" xfId="7684"/>
    <cellStyle name="Normal 68 2 2 3 3" xfId="6035"/>
    <cellStyle name="Normal 68 2 2 3 3 2" xfId="8354"/>
    <cellStyle name="Normal 68 2 2 3 4" xfId="7011"/>
    <cellStyle name="Normal 68 2 2 4" xfId="5033"/>
    <cellStyle name="Normal 68 2 2 4 2" xfId="7352"/>
    <cellStyle name="Normal 68 2 2 5" xfId="5699"/>
    <cellStyle name="Normal 68 2 2 5 2" xfId="8018"/>
    <cellStyle name="Normal 68 2 2 6" xfId="6651"/>
    <cellStyle name="Normal 68 2 3" xfId="3452"/>
    <cellStyle name="Normal 68 2 3 2" xfId="4486"/>
    <cellStyle name="Normal 68 2 3 2 2" xfId="4815"/>
    <cellStyle name="Normal 68 2 3 2 2 2" xfId="5491"/>
    <cellStyle name="Normal 68 2 3 2 2 2 2" xfId="7810"/>
    <cellStyle name="Normal 68 2 3 2 2 3" xfId="6161"/>
    <cellStyle name="Normal 68 2 3 2 2 3 2" xfId="8480"/>
    <cellStyle name="Normal 68 2 3 2 2 4" xfId="7136"/>
    <cellStyle name="Normal 68 2 3 2 3" xfId="5159"/>
    <cellStyle name="Normal 68 2 3 2 3 2" xfId="7478"/>
    <cellStyle name="Normal 68 2 3 2 4" xfId="5825"/>
    <cellStyle name="Normal 68 2 3 2 4 2" xfId="8144"/>
    <cellStyle name="Normal 68 2 3 2 5" xfId="6807"/>
    <cellStyle name="Normal 68 2 3 3" xfId="4650"/>
    <cellStyle name="Normal 68 2 3 3 2" xfId="5325"/>
    <cellStyle name="Normal 68 2 3 3 2 2" xfId="7644"/>
    <cellStyle name="Normal 68 2 3 3 3" xfId="5993"/>
    <cellStyle name="Normal 68 2 3 3 3 2" xfId="8312"/>
    <cellStyle name="Normal 68 2 3 3 4" xfId="6971"/>
    <cellStyle name="Normal 68 2 3 4" xfId="4993"/>
    <cellStyle name="Normal 68 2 3 4 2" xfId="7312"/>
    <cellStyle name="Normal 68 2 3 5" xfId="5657"/>
    <cellStyle name="Normal 68 2 3 5 2" xfId="7976"/>
    <cellStyle name="Normal 68 2 3 6" xfId="6652"/>
    <cellStyle name="Normal 68 2 4" xfId="4414"/>
    <cellStyle name="Normal 68 2 4 2" xfId="4567"/>
    <cellStyle name="Normal 68 2 4 2 2" xfId="4897"/>
    <cellStyle name="Normal 68 2 4 2 2 2" xfId="5573"/>
    <cellStyle name="Normal 68 2 4 2 2 2 2" xfId="7892"/>
    <cellStyle name="Normal 68 2 4 2 2 3" xfId="6245"/>
    <cellStyle name="Normal 68 2 4 2 2 3 2" xfId="8564"/>
    <cellStyle name="Normal 68 2 4 2 2 4" xfId="7218"/>
    <cellStyle name="Normal 68 2 4 2 3" xfId="5241"/>
    <cellStyle name="Normal 68 2 4 2 3 2" xfId="7560"/>
    <cellStyle name="Normal 68 2 4 2 4" xfId="5909"/>
    <cellStyle name="Normal 68 2 4 2 4 2" xfId="8228"/>
    <cellStyle name="Normal 68 2 4 2 5" xfId="6888"/>
    <cellStyle name="Normal 68 2 4 3" xfId="4732"/>
    <cellStyle name="Normal 68 2 4 3 2" xfId="5407"/>
    <cellStyle name="Normal 68 2 4 3 2 2" xfId="7726"/>
    <cellStyle name="Normal 68 2 4 3 3" xfId="6077"/>
    <cellStyle name="Normal 68 2 4 3 3 2" xfId="8396"/>
    <cellStyle name="Normal 68 2 4 3 4" xfId="7053"/>
    <cellStyle name="Normal 68 2 4 4" xfId="5075"/>
    <cellStyle name="Normal 68 2 4 4 2" xfId="7394"/>
    <cellStyle name="Normal 68 2 4 5" xfId="5741"/>
    <cellStyle name="Normal 68 2 4 5 2" xfId="8060"/>
    <cellStyle name="Normal 68 2 4 6" xfId="6735"/>
    <cellStyle name="Normal 68 2 5" xfId="4446"/>
    <cellStyle name="Normal 68 2 5 2" xfId="4774"/>
    <cellStyle name="Normal 68 2 5 2 2" xfId="5449"/>
    <cellStyle name="Normal 68 2 5 2 2 2" xfId="7768"/>
    <cellStyle name="Normal 68 2 5 2 3" xfId="6119"/>
    <cellStyle name="Normal 68 2 5 2 3 2" xfId="8438"/>
    <cellStyle name="Normal 68 2 5 2 4" xfId="7095"/>
    <cellStyle name="Normal 68 2 5 3" xfId="5117"/>
    <cellStyle name="Normal 68 2 5 3 2" xfId="7436"/>
    <cellStyle name="Normal 68 2 5 4" xfId="5783"/>
    <cellStyle name="Normal 68 2 5 4 2" xfId="8102"/>
    <cellStyle name="Normal 68 2 5 5" xfId="6767"/>
    <cellStyle name="Normal 68 2 6" xfId="4609"/>
    <cellStyle name="Normal 68 2 6 2" xfId="5283"/>
    <cellStyle name="Normal 68 2 6 2 2" xfId="7602"/>
    <cellStyle name="Normal 68 2 6 3" xfId="5951"/>
    <cellStyle name="Normal 68 2 6 3 2" xfId="8270"/>
    <cellStyle name="Normal 68 2 6 4" xfId="6930"/>
    <cellStyle name="Normal 68 2 7" xfId="4951"/>
    <cellStyle name="Normal 68 2 7 2" xfId="7270"/>
    <cellStyle name="Normal 68 2 8" xfId="5615"/>
    <cellStyle name="Normal 68 2 8 2" xfId="7934"/>
    <cellStyle name="Normal 68 2 9" xfId="6650"/>
    <cellStyle name="Normal 68 3" xfId="3453"/>
    <cellStyle name="Normal 68 3 2" xfId="4506"/>
    <cellStyle name="Normal 68 3 2 2" xfId="4835"/>
    <cellStyle name="Normal 68 3 2 2 2" xfId="5511"/>
    <cellStyle name="Normal 68 3 2 2 2 2" xfId="7830"/>
    <cellStyle name="Normal 68 3 2 2 3" xfId="6182"/>
    <cellStyle name="Normal 68 3 2 2 3 2" xfId="8501"/>
    <cellStyle name="Normal 68 3 2 2 4" xfId="7156"/>
    <cellStyle name="Normal 68 3 2 3" xfId="5179"/>
    <cellStyle name="Normal 68 3 2 3 2" xfId="7498"/>
    <cellStyle name="Normal 68 3 2 4" xfId="5846"/>
    <cellStyle name="Normal 68 3 2 4 2" xfId="8165"/>
    <cellStyle name="Normal 68 3 2 5" xfId="6827"/>
    <cellStyle name="Normal 68 3 3" xfId="4670"/>
    <cellStyle name="Normal 68 3 3 2" xfId="5345"/>
    <cellStyle name="Normal 68 3 3 2 2" xfId="7664"/>
    <cellStyle name="Normal 68 3 3 3" xfId="6014"/>
    <cellStyle name="Normal 68 3 3 3 2" xfId="8333"/>
    <cellStyle name="Normal 68 3 3 4" xfId="6991"/>
    <cellStyle name="Normal 68 3 4" xfId="5013"/>
    <cellStyle name="Normal 68 3 4 2" xfId="7332"/>
    <cellStyle name="Normal 68 3 5" xfId="5678"/>
    <cellStyle name="Normal 68 3 5 2" xfId="7997"/>
    <cellStyle name="Normal 68 3 6" xfId="6653"/>
    <cellStyle name="Normal 68 4" xfId="3454"/>
    <cellStyle name="Normal 68 4 2" xfId="4466"/>
    <cellStyle name="Normal 68 4 2 2" xfId="4795"/>
    <cellStyle name="Normal 68 4 2 2 2" xfId="5470"/>
    <cellStyle name="Normal 68 4 2 2 2 2" xfId="7789"/>
    <cellStyle name="Normal 68 4 2 2 3" xfId="6140"/>
    <cellStyle name="Normal 68 4 2 2 3 2" xfId="8459"/>
    <cellStyle name="Normal 68 4 2 2 4" xfId="7116"/>
    <cellStyle name="Normal 68 4 2 3" xfId="5138"/>
    <cellStyle name="Normal 68 4 2 3 2" xfId="7457"/>
    <cellStyle name="Normal 68 4 2 4" xfId="5804"/>
    <cellStyle name="Normal 68 4 2 4 2" xfId="8123"/>
    <cellStyle name="Normal 68 4 2 5" xfId="6787"/>
    <cellStyle name="Normal 68 4 3" xfId="4630"/>
    <cellStyle name="Normal 68 4 3 2" xfId="5304"/>
    <cellStyle name="Normal 68 4 3 2 2" xfId="7623"/>
    <cellStyle name="Normal 68 4 3 3" xfId="5972"/>
    <cellStyle name="Normal 68 4 3 3 2" xfId="8291"/>
    <cellStyle name="Normal 68 4 3 4" xfId="6951"/>
    <cellStyle name="Normal 68 4 4" xfId="4972"/>
    <cellStyle name="Normal 68 4 4 2" xfId="7291"/>
    <cellStyle name="Normal 68 4 5" xfId="5636"/>
    <cellStyle name="Normal 68 4 5 2" xfId="7955"/>
    <cellStyle name="Normal 68 4 6" xfId="6654"/>
    <cellStyle name="Normal 68 5" xfId="3455"/>
    <cellStyle name="Normal 68 5 2" xfId="4547"/>
    <cellStyle name="Normal 68 5 2 2" xfId="4876"/>
    <cellStyle name="Normal 68 5 2 2 2" xfId="5552"/>
    <cellStyle name="Normal 68 5 2 2 2 2" xfId="7871"/>
    <cellStyle name="Normal 68 5 2 2 3" xfId="6224"/>
    <cellStyle name="Normal 68 5 2 2 3 2" xfId="8543"/>
    <cellStyle name="Normal 68 5 2 2 4" xfId="7197"/>
    <cellStyle name="Normal 68 5 2 3" xfId="5220"/>
    <cellStyle name="Normal 68 5 2 3 2" xfId="7539"/>
    <cellStyle name="Normal 68 5 2 4" xfId="5888"/>
    <cellStyle name="Normal 68 5 2 4 2" xfId="8207"/>
    <cellStyle name="Normal 68 5 2 5" xfId="6868"/>
    <cellStyle name="Normal 68 5 3" xfId="4711"/>
    <cellStyle name="Normal 68 5 3 2" xfId="5386"/>
    <cellStyle name="Normal 68 5 3 2 2" xfId="7705"/>
    <cellStyle name="Normal 68 5 3 3" xfId="6056"/>
    <cellStyle name="Normal 68 5 3 3 2" xfId="8375"/>
    <cellStyle name="Normal 68 5 3 4" xfId="7032"/>
    <cellStyle name="Normal 68 5 4" xfId="5054"/>
    <cellStyle name="Normal 68 5 4 2" xfId="7373"/>
    <cellStyle name="Normal 68 5 5" xfId="5720"/>
    <cellStyle name="Normal 68 5 5 2" xfId="8039"/>
    <cellStyle name="Normal 68 5 6" xfId="6655"/>
    <cellStyle name="Normal 68 6" xfId="4428"/>
    <cellStyle name="Normal 68 6 2" xfId="4753"/>
    <cellStyle name="Normal 68 6 2 2" xfId="5428"/>
    <cellStyle name="Normal 68 6 2 2 2" xfId="7747"/>
    <cellStyle name="Normal 68 6 2 3" xfId="6098"/>
    <cellStyle name="Normal 68 6 2 3 2" xfId="8417"/>
    <cellStyle name="Normal 68 6 2 4" xfId="7074"/>
    <cellStyle name="Normal 68 6 3" xfId="5096"/>
    <cellStyle name="Normal 68 6 3 2" xfId="7415"/>
    <cellStyle name="Normal 68 6 4" xfId="5762"/>
    <cellStyle name="Normal 68 6 4 2" xfId="8081"/>
    <cellStyle name="Normal 68 6 5" xfId="6749"/>
    <cellStyle name="Normal 68 7" xfId="4588"/>
    <cellStyle name="Normal 68 7 2" xfId="5262"/>
    <cellStyle name="Normal 68 7 2 2" xfId="7581"/>
    <cellStyle name="Normal 68 7 3" xfId="5930"/>
    <cellStyle name="Normal 68 7 3 2" xfId="8249"/>
    <cellStyle name="Normal 68 7 4" xfId="6909"/>
    <cellStyle name="Normal 68 8" xfId="4930"/>
    <cellStyle name="Normal 68 8 2" xfId="7249"/>
    <cellStyle name="Normal 68 9" xfId="5594"/>
    <cellStyle name="Normal 68 9 2" xfId="7913"/>
    <cellStyle name="Normal 69" xfId="1715"/>
    <cellStyle name="Normal 69 2" xfId="3456"/>
    <cellStyle name="Normal 69 3" xfId="3457"/>
    <cellStyle name="Normal 69 4" xfId="3458"/>
    <cellStyle name="Normal 7" xfId="542"/>
    <cellStyle name="Normal 7 2" xfId="1195"/>
    <cellStyle name="Normal 7 2 2" xfId="3459"/>
    <cellStyle name="Normal 7 2 2 2" xfId="3460"/>
    <cellStyle name="Normal 7 2 2 3" xfId="3461"/>
    <cellStyle name="Normal 7 2 3" xfId="3462"/>
    <cellStyle name="Normal 7 3" xfId="1716"/>
    <cellStyle name="Normal 7 3 2" xfId="3464"/>
    <cellStyle name="Normal 7 3 3" xfId="3465"/>
    <cellStyle name="Normal 7 3 4" xfId="3463"/>
    <cellStyle name="Normal 7 4" xfId="3466"/>
    <cellStyle name="Normal 7 4 2" xfId="3467"/>
    <cellStyle name="Normal 7 5" xfId="3468"/>
    <cellStyle name="Normal 70" xfId="1717"/>
    <cellStyle name="Normal 70 2" xfId="3469"/>
    <cellStyle name="Normal 70 3" xfId="3470"/>
    <cellStyle name="Normal 71" xfId="1718"/>
    <cellStyle name="Normal 71 2" xfId="3471"/>
    <cellStyle name="Normal 71 3" xfId="3472"/>
    <cellStyle name="Normal 72" xfId="1719"/>
    <cellStyle name="Normal 72 2" xfId="3473"/>
    <cellStyle name="Normal 72 2 2" xfId="3474"/>
    <cellStyle name="Normal 72 3" xfId="3475"/>
    <cellStyle name="Normal 72 4" xfId="3476"/>
    <cellStyle name="Normal 73" xfId="1720"/>
    <cellStyle name="Normal 73 2" xfId="3477"/>
    <cellStyle name="Normal 73 2 2" xfId="3478"/>
    <cellStyle name="Normal 73 3" xfId="3479"/>
    <cellStyle name="Normal 73 4" xfId="3480"/>
    <cellStyle name="Normal 74" xfId="1721"/>
    <cellStyle name="Normal 74 2" xfId="3481"/>
    <cellStyle name="Normal 74 2 2" xfId="3482"/>
    <cellStyle name="Normal 74 2 3" xfId="3483"/>
    <cellStyle name="Normal 74 3" xfId="3484"/>
    <cellStyle name="Normal 74 3 2" xfId="3485"/>
    <cellStyle name="Normal 74 3 3" xfId="4361"/>
    <cellStyle name="Normal 74 4" xfId="3486"/>
    <cellStyle name="Normal 75" xfId="1722"/>
    <cellStyle name="Normal 75 2" xfId="3487"/>
    <cellStyle name="Normal 75 2 2" xfId="3488"/>
    <cellStyle name="Normal 76" xfId="1723"/>
    <cellStyle name="Normal 76 2" xfId="3489"/>
    <cellStyle name="Normal 76 2 2" xfId="3490"/>
    <cellStyle name="Normal 77" xfId="1724"/>
    <cellStyle name="Normal 78" xfId="1725"/>
    <cellStyle name="Normal 79" xfId="1726"/>
    <cellStyle name="Normal 8" xfId="543"/>
    <cellStyle name="Normal 8 2" xfId="1196"/>
    <cellStyle name="Normal 8 2 2" xfId="1728"/>
    <cellStyle name="Normal 8 2 2 2" xfId="3491"/>
    <cellStyle name="Normal 8 2 3" xfId="1727"/>
    <cellStyle name="Normal 8 3" xfId="3492"/>
    <cellStyle name="Normal 8 3 2" xfId="3493"/>
    <cellStyle name="Normal 8 3 3" xfId="3494"/>
    <cellStyle name="Normal 8 3 4" xfId="4362"/>
    <cellStyle name="Normal 8 4" xfId="3495"/>
    <cellStyle name="Normal 8 4 2" xfId="3496"/>
    <cellStyle name="Normal 8 5" xfId="3497"/>
    <cellStyle name="Normal 80" xfId="1729"/>
    <cellStyle name="Normal 81" xfId="1730"/>
    <cellStyle name="Normal 82" xfId="1731"/>
    <cellStyle name="Normal 83" xfId="1732"/>
    <cellStyle name="Normal 84" xfId="1733"/>
    <cellStyle name="Normal 85" xfId="1734"/>
    <cellStyle name="Normal 86" xfId="1735"/>
    <cellStyle name="Normal 86 2" xfId="3498"/>
    <cellStyle name="Normal 86 3" xfId="3499"/>
    <cellStyle name="Normal 86 3 2" xfId="3500"/>
    <cellStyle name="Normal 86 3 2 2" xfId="3501"/>
    <cellStyle name="Normal 86 3 2 2 2" xfId="3502"/>
    <cellStyle name="Normal 86 3 2 2 2 2" xfId="6659"/>
    <cellStyle name="Normal 86 3 2 2 3" xfId="6658"/>
    <cellStyle name="Normal 86 3 2 3" xfId="3503"/>
    <cellStyle name="Normal 86 3 2 3 2" xfId="6660"/>
    <cellStyle name="Normal 86 3 2 4" xfId="6657"/>
    <cellStyle name="Normal 86 3 3" xfId="3504"/>
    <cellStyle name="Normal 86 3 3 2" xfId="3505"/>
    <cellStyle name="Normal 86 3 3 2 2" xfId="6662"/>
    <cellStyle name="Normal 86 3 3 3" xfId="6661"/>
    <cellStyle name="Normal 86 3 4" xfId="3506"/>
    <cellStyle name="Normal 86 3 4 2" xfId="6663"/>
    <cellStyle name="Normal 86 3 5" xfId="6656"/>
    <cellStyle name="Normal 86 4" xfId="3507"/>
    <cellStyle name="Normal 86 4 2" xfId="3508"/>
    <cellStyle name="Normal 86 4 2 2" xfId="3509"/>
    <cellStyle name="Normal 86 4 2 2 2" xfId="6666"/>
    <cellStyle name="Normal 86 4 2 3" xfId="6665"/>
    <cellStyle name="Normal 86 4 3" xfId="3510"/>
    <cellStyle name="Normal 86 4 3 2" xfId="6667"/>
    <cellStyle name="Normal 86 4 4" xfId="6664"/>
    <cellStyle name="Normal 86 5" xfId="3511"/>
    <cellStyle name="Normal 86 5 2" xfId="3512"/>
    <cellStyle name="Normal 86 5 2 2" xfId="6669"/>
    <cellStyle name="Normal 86 5 3" xfId="6668"/>
    <cellStyle name="Normal 86 6" xfId="3513"/>
    <cellStyle name="Normal 86 6 2" xfId="6670"/>
    <cellStyle name="Normal 86 7" xfId="3514"/>
    <cellStyle name="Normal 86 7 2" xfId="6671"/>
    <cellStyle name="Normal 87" xfId="1736"/>
    <cellStyle name="Normal 88" xfId="1737"/>
    <cellStyle name="Normal 88 2" xfId="3515"/>
    <cellStyle name="Normal 89" xfId="1738"/>
    <cellStyle name="Normal 89 2" xfId="3516"/>
    <cellStyle name="Normal 9" xfId="544"/>
    <cellStyle name="Normal 9 2" xfId="1197"/>
    <cellStyle name="Normal 9 2 2" xfId="3517"/>
    <cellStyle name="Normal 9 3" xfId="3518"/>
    <cellStyle name="Normal 9 3 2" xfId="3519"/>
    <cellStyle name="Normal 9 3 3" xfId="3520"/>
    <cellStyle name="Normal 9 3 4" xfId="3521"/>
    <cellStyle name="Normal 9 4" xfId="3522"/>
    <cellStyle name="Normal 9 4 2" xfId="3523"/>
    <cellStyle name="Normal 90" xfId="1739"/>
    <cellStyle name="Normal 90 2" xfId="3524"/>
    <cellStyle name="Normal 91" xfId="1740"/>
    <cellStyle name="Normal 91 2" xfId="3525"/>
    <cellStyle name="Normal 92" xfId="1741"/>
    <cellStyle name="Normal 92 2" xfId="3526"/>
    <cellStyle name="Normal 93" xfId="1742"/>
    <cellStyle name="Normal 93 2" xfId="4900"/>
    <cellStyle name="Normal 94" xfId="1441"/>
    <cellStyle name="Normal 94 2" xfId="4901"/>
    <cellStyle name="Normal 94 2 2" xfId="7221"/>
    <cellStyle name="Normal 95" xfId="1862"/>
    <cellStyle name="Normal 96" xfId="1867"/>
    <cellStyle name="Normal 97" xfId="1868"/>
    <cellStyle name="Normal 98" xfId="1869"/>
    <cellStyle name="Normal 99" xfId="1870"/>
    <cellStyle name="Normal Bold" xfId="545"/>
    <cellStyle name="Normal Bold 2" xfId="3527"/>
    <cellStyle name="Normal Bold 3" xfId="4266"/>
    <cellStyle name="Normal_AMCCBLSH" xfId="546"/>
    <cellStyle name="Normal_Book3" xfId="547"/>
    <cellStyle name="Normal_DisclaimerSheet Samples" xfId="8605"/>
    <cellStyle name="Normal_intc(1).o" xfId="548"/>
    <cellStyle name="Normale_Immat gennaio 1996" xfId="1743"/>
    <cellStyle name="NormalItalic" xfId="3528"/>
    <cellStyle name="Note 10" xfId="1744"/>
    <cellStyle name="Note 10 2" xfId="3529"/>
    <cellStyle name="Note 11" xfId="1745"/>
    <cellStyle name="Note 11 2" xfId="3530"/>
    <cellStyle name="Note 12" xfId="1746"/>
    <cellStyle name="Note 12 2" xfId="3531"/>
    <cellStyle name="Note 13" xfId="3532"/>
    <cellStyle name="Note 13 2" xfId="3533"/>
    <cellStyle name="Note 2" xfId="549"/>
    <cellStyle name="Note 2 2" xfId="1198"/>
    <cellStyle name="Note 2 2 2" xfId="3534"/>
    <cellStyle name="Note 2 2 2 2" xfId="3535"/>
    <cellStyle name="Note 2 2 3" xfId="3536"/>
    <cellStyle name="Note 2 2 4" xfId="3537"/>
    <cellStyle name="Note 2 3" xfId="1748"/>
    <cellStyle name="Note 2 3 2" xfId="3538"/>
    <cellStyle name="Note 2 3 3" xfId="3539"/>
    <cellStyle name="Note 2 4" xfId="1747"/>
    <cellStyle name="Note 2 4 2" xfId="3540"/>
    <cellStyle name="Note 3" xfId="550"/>
    <cellStyle name="Note 3 2" xfId="551"/>
    <cellStyle name="Note 3 2 2" xfId="1200"/>
    <cellStyle name="Note 3 3" xfId="1199"/>
    <cellStyle name="Note 4" xfId="552"/>
    <cellStyle name="Note 4 2" xfId="553"/>
    <cellStyle name="Note 4 2 2" xfId="1202"/>
    <cellStyle name="Note 4 2 2 2" xfId="3541"/>
    <cellStyle name="Note 4 3" xfId="1201"/>
    <cellStyle name="Note 4 3 2" xfId="3542"/>
    <cellStyle name="Note 5" xfId="554"/>
    <cellStyle name="Note 5 2" xfId="555"/>
    <cellStyle name="Note 5 2 2" xfId="1204"/>
    <cellStyle name="Note 5 3" xfId="1203"/>
    <cellStyle name="Note 5 4" xfId="4899"/>
    <cellStyle name="Note 5 4 2" xfId="7220"/>
    <cellStyle name="Note 6" xfId="556"/>
    <cellStyle name="Note 6 2" xfId="557"/>
    <cellStyle name="Note 6 2 2" xfId="1206"/>
    <cellStyle name="Note 6 3" xfId="1205"/>
    <cellStyle name="Note 7" xfId="558"/>
    <cellStyle name="Note 7 2" xfId="559"/>
    <cellStyle name="Note 7 2 2" xfId="1208"/>
    <cellStyle name="Note 7 3" xfId="1207"/>
    <cellStyle name="Note 8" xfId="1749"/>
    <cellStyle name="Note 8 2" xfId="1750"/>
    <cellStyle name="Note 9" xfId="1751"/>
    <cellStyle name="Note 9 2" xfId="1752"/>
    <cellStyle name="Notes" xfId="4267"/>
    <cellStyle name="num,nodecpts" xfId="4268"/>
    <cellStyle name="number" xfId="560"/>
    <cellStyle name="Number 2" xfId="3543"/>
    <cellStyle name="number 2 2" xfId="3544"/>
    <cellStyle name="Number 2 2 2" xfId="4363"/>
    <cellStyle name="Number 2 3" xfId="3545"/>
    <cellStyle name="Number 2 4" xfId="3546"/>
    <cellStyle name="Number 2 5" xfId="3547"/>
    <cellStyle name="number 2 6" xfId="3548"/>
    <cellStyle name="Number 2 7" xfId="4269"/>
    <cellStyle name="Number 2 8" xfId="4033"/>
    <cellStyle name="Number 3" xfId="3549"/>
    <cellStyle name="Number 4" xfId="3550"/>
    <cellStyle name="Number 5" xfId="3551"/>
    <cellStyle name="Number 6" xfId="3552"/>
    <cellStyle name="Number 7" xfId="3553"/>
    <cellStyle name="Number 8" xfId="3554"/>
    <cellStyle name="Numbers" xfId="4270"/>
    <cellStyle name="Numbers [0]" xfId="4271"/>
    <cellStyle name="Œ…‹æØ‚è [0.00]_GE 3 MINIMUM" xfId="561"/>
    <cellStyle name="Œ…‹æØ‚è_GE 3 MINIMUM" xfId="562"/>
    <cellStyle name="Onedec_FT Valuation " xfId="563"/>
    <cellStyle name="OneDecimal" xfId="3555"/>
    <cellStyle name="Other%" xfId="3556"/>
    <cellStyle name="outh America" xfId="564"/>
    <cellStyle name="Output" xfId="1954" builtinId="21" customBuiltin="1"/>
    <cellStyle name="Output 2" xfId="565"/>
    <cellStyle name="Output 3" xfId="1753"/>
    <cellStyle name="Output 3 2" xfId="3558"/>
    <cellStyle name="Output 3 3" xfId="3557"/>
    <cellStyle name="Override" xfId="4272"/>
    <cellStyle name="p " xfId="566"/>
    <cellStyle name="Pass" xfId="567"/>
    <cellStyle name="Pass 2" xfId="3559"/>
    <cellStyle name="Pass 2 2" xfId="3560"/>
    <cellStyle name="Pass 2 3" xfId="3561"/>
    <cellStyle name="Pec (2dec,fs)" xfId="4273"/>
    <cellStyle name="Percent" xfId="568" builtinId="5"/>
    <cellStyle name="Percent (1)" xfId="3562"/>
    <cellStyle name="Percent [2]" xfId="569"/>
    <cellStyle name="Percent [2] 2" xfId="570"/>
    <cellStyle name="Percent [2] 2 2" xfId="1210"/>
    <cellStyle name="Percent [2] 2 2 2" xfId="3563"/>
    <cellStyle name="Percent [2] 2 2 2 2" xfId="3564"/>
    <cellStyle name="Percent [2] 2 2 3" xfId="3565"/>
    <cellStyle name="Percent [2] 2 3" xfId="3566"/>
    <cellStyle name="Percent [2] 2 3 2" xfId="3567"/>
    <cellStyle name="Percent [2] 2 4" xfId="3568"/>
    <cellStyle name="Percent [2] 3" xfId="571"/>
    <cellStyle name="Percent [2] 3 2" xfId="572"/>
    <cellStyle name="Percent [2] 3 2 2" xfId="1212"/>
    <cellStyle name="Percent [2] 3 3" xfId="1211"/>
    <cellStyle name="Percent [2] 4" xfId="573"/>
    <cellStyle name="Percent [2] 4 2" xfId="574"/>
    <cellStyle name="Percent [2] 4 2 2" xfId="1214"/>
    <cellStyle name="Percent [2] 4 3" xfId="1213"/>
    <cellStyle name="Percent [2] 5" xfId="575"/>
    <cellStyle name="Percent [2] 5 2" xfId="576"/>
    <cellStyle name="Percent [2] 5 2 2" xfId="1216"/>
    <cellStyle name="Percent [2] 5 3" xfId="1215"/>
    <cellStyle name="Percent [2] 6" xfId="577"/>
    <cellStyle name="Percent [2] 6 2" xfId="1217"/>
    <cellStyle name="Percent [2] 7" xfId="1209"/>
    <cellStyle name="Percent [2] 7 2" xfId="3569"/>
    <cellStyle name="Percent [2] 8" xfId="3570"/>
    <cellStyle name="Percent [2] 8 2" xfId="3571"/>
    <cellStyle name="Percent 10" xfId="578"/>
    <cellStyle name="Percent 10 2" xfId="579"/>
    <cellStyle name="Percent 10 2 2" xfId="1755"/>
    <cellStyle name="Percent 10 2 2 2" xfId="1756"/>
    <cellStyle name="Percent 10 2 3" xfId="1754"/>
    <cellStyle name="Percent 10 2 4" xfId="3572"/>
    <cellStyle name="Percent 10 3" xfId="580"/>
    <cellStyle name="Percent 10 3 2" xfId="1218"/>
    <cellStyle name="Percent 10 3 2 2" xfId="3573"/>
    <cellStyle name="Percent 10 3 3" xfId="3574"/>
    <cellStyle name="Percent 10 4" xfId="1757"/>
    <cellStyle name="Percent 10 4 2" xfId="3575"/>
    <cellStyle name="Percent 10 4 3" xfId="3576"/>
    <cellStyle name="Percent 10 5" xfId="3577"/>
    <cellStyle name="Percent 10 5 2" xfId="3578"/>
    <cellStyle name="Percent 10 5 3" xfId="3579"/>
    <cellStyle name="Percent 10 5 4" xfId="3580"/>
    <cellStyle name="Percent 10 5 5" xfId="4365"/>
    <cellStyle name="Percent 10 5 5 2" xfId="6700"/>
    <cellStyle name="Percent 100" xfId="1758"/>
    <cellStyle name="Percent 101" xfId="1759"/>
    <cellStyle name="Percent 102" xfId="1760"/>
    <cellStyle name="Percent 103" xfId="3581"/>
    <cellStyle name="Percent 104" xfId="3582"/>
    <cellStyle name="Percent 105" xfId="3583"/>
    <cellStyle name="Percent 106" xfId="3584"/>
    <cellStyle name="Percent 107" xfId="3585"/>
    <cellStyle name="Percent 108" xfId="3586"/>
    <cellStyle name="Percent 109" xfId="3587"/>
    <cellStyle name="Percent 11" xfId="581"/>
    <cellStyle name="Percent 11 2" xfId="582"/>
    <cellStyle name="Percent 11 2 2" xfId="1220"/>
    <cellStyle name="Percent 11 2 2 2" xfId="3588"/>
    <cellStyle name="Percent 11 2 3" xfId="3589"/>
    <cellStyle name="Percent 11 3" xfId="1219"/>
    <cellStyle name="Percent 11 3 2" xfId="3590"/>
    <cellStyle name="Percent 11 3 2 2" xfId="3591"/>
    <cellStyle name="Percent 11 3 3" xfId="3592"/>
    <cellStyle name="Percent 11 4" xfId="3593"/>
    <cellStyle name="Percent 11 4 2" xfId="3594"/>
    <cellStyle name="Percent 11 5" xfId="3595"/>
    <cellStyle name="Percent 11 5 2" xfId="3596"/>
    <cellStyle name="Percent 11 6" xfId="3597"/>
    <cellStyle name="Percent 110" xfId="3598"/>
    <cellStyle name="Percent 111" xfId="3599"/>
    <cellStyle name="Percent 112" xfId="3600"/>
    <cellStyle name="Percent 113" xfId="3601"/>
    <cellStyle name="Percent 114" xfId="3602"/>
    <cellStyle name="Percent 115" xfId="3603"/>
    <cellStyle name="Percent 116" xfId="3604"/>
    <cellStyle name="Percent 117" xfId="3605"/>
    <cellStyle name="Percent 118" xfId="3606"/>
    <cellStyle name="Percent 119" xfId="3607"/>
    <cellStyle name="Percent 12" xfId="583"/>
    <cellStyle name="Percent 12 2" xfId="584"/>
    <cellStyle name="Percent 12 2 2" xfId="1222"/>
    <cellStyle name="Percent 12 2 2 2" xfId="3608"/>
    <cellStyle name="Percent 12 2 3" xfId="3609"/>
    <cellStyle name="Percent 12 3" xfId="1221"/>
    <cellStyle name="Percent 12 3 2" xfId="3610"/>
    <cellStyle name="Percent 12 3 2 2" xfId="3611"/>
    <cellStyle name="Percent 12 3 3" xfId="3612"/>
    <cellStyle name="Percent 12 4" xfId="3613"/>
    <cellStyle name="Percent 12 4 2" xfId="3614"/>
    <cellStyle name="Percent 12 5" xfId="3615"/>
    <cellStyle name="Percent 120" xfId="3616"/>
    <cellStyle name="Percent 121" xfId="3617"/>
    <cellStyle name="Percent 122" xfId="3618"/>
    <cellStyle name="Percent 123" xfId="3619"/>
    <cellStyle name="Percent 124" xfId="3620"/>
    <cellStyle name="Percent 125" xfId="3621"/>
    <cellStyle name="Percent 126" xfId="3622"/>
    <cellStyle name="Percent 127" xfId="3623"/>
    <cellStyle name="Percent 128" xfId="3624"/>
    <cellStyle name="Percent 129" xfId="3625"/>
    <cellStyle name="Percent 13" xfId="585"/>
    <cellStyle name="Percent 13 2" xfId="586"/>
    <cellStyle name="Percent 13 2 2" xfId="1224"/>
    <cellStyle name="Percent 13 3" xfId="1223"/>
    <cellStyle name="Percent 130" xfId="3626"/>
    <cellStyle name="Percent 131" xfId="3627"/>
    <cellStyle name="Percent 132" xfId="3628"/>
    <cellStyle name="Percent 133" xfId="3629"/>
    <cellStyle name="Percent 134" xfId="3630"/>
    <cellStyle name="Percent 135" xfId="4025"/>
    <cellStyle name="Percent 136" xfId="4375"/>
    <cellStyle name="Percent 137" xfId="8604"/>
    <cellStyle name="Percent 14" xfId="587"/>
    <cellStyle name="Percent 14 2" xfId="588"/>
    <cellStyle name="Percent 14 2 2" xfId="1226"/>
    <cellStyle name="Percent 14 3" xfId="1225"/>
    <cellStyle name="Percent 15" xfId="589"/>
    <cellStyle name="Percent 15 2" xfId="590"/>
    <cellStyle name="Percent 15 2 2" xfId="1228"/>
    <cellStyle name="Percent 15 3" xfId="1227"/>
    <cellStyle name="Percent 16" xfId="591"/>
    <cellStyle name="Percent 16 2" xfId="592"/>
    <cellStyle name="Percent 16 2 2" xfId="1230"/>
    <cellStyle name="Percent 16 3" xfId="1229"/>
    <cellStyle name="Percent 17" xfId="593"/>
    <cellStyle name="Percent 17 2" xfId="594"/>
    <cellStyle name="Percent 17 2 2" xfId="595"/>
    <cellStyle name="Percent 17 2 2 2" xfId="1233"/>
    <cellStyle name="Percent 17 2 3" xfId="1232"/>
    <cellStyle name="Percent 17 3" xfId="596"/>
    <cellStyle name="Percent 17 3 2" xfId="1234"/>
    <cellStyle name="Percent 17 4" xfId="1231"/>
    <cellStyle name="Percent 18" xfId="597"/>
    <cellStyle name="Percent 18 2" xfId="1235"/>
    <cellStyle name="Percent 18 2 2" xfId="3631"/>
    <cellStyle name="Percent 18 2 2 2" xfId="3632"/>
    <cellStyle name="Percent 18 2 3" xfId="3633"/>
    <cellStyle name="Percent 18 3" xfId="3634"/>
    <cellStyle name="Percent 18 3 2" xfId="3635"/>
    <cellStyle name="Percent 18 4" xfId="3636"/>
    <cellStyle name="Percent 19" xfId="598"/>
    <cellStyle name="Percent 19 2" xfId="1236"/>
    <cellStyle name="Percent 19 2 2" xfId="3637"/>
    <cellStyle name="Percent 19 2 2 2" xfId="3638"/>
    <cellStyle name="Percent 19 2 3" xfId="3639"/>
    <cellStyle name="Percent 19 3" xfId="3640"/>
    <cellStyle name="Percent 19 3 2" xfId="3641"/>
    <cellStyle name="Percent 19 4" xfId="3642"/>
    <cellStyle name="Percent 2" xfId="599"/>
    <cellStyle name="Percent 2 2" xfId="600"/>
    <cellStyle name="Percent 2 2 2" xfId="1238"/>
    <cellStyle name="Percent 2 2 2 2" xfId="4367"/>
    <cellStyle name="Percent 2 2 2 3" xfId="4325"/>
    <cellStyle name="Percent 2 2 2 3 2" xfId="6690"/>
    <cellStyle name="Percent 2 2 3" xfId="3643"/>
    <cellStyle name="Percent 2 2 3 2" xfId="3644"/>
    <cellStyle name="Percent 2 2 3 3" xfId="4366"/>
    <cellStyle name="Percent 2 2 4" xfId="4030"/>
    <cellStyle name="Percent 2 2 4 2" xfId="6674"/>
    <cellStyle name="Percent 2 3" xfId="601"/>
    <cellStyle name="Percent 2 3 2" xfId="1761"/>
    <cellStyle name="Percent 2 3 2 2" xfId="4368"/>
    <cellStyle name="Percent 2 3 2 3" xfId="4326"/>
    <cellStyle name="Percent 2 3 2 3 2" xfId="6691"/>
    <cellStyle name="Percent 2 3 3" xfId="3645"/>
    <cellStyle name="Percent 2 3 3 2" xfId="3646"/>
    <cellStyle name="Percent 2 3 4" xfId="4031"/>
    <cellStyle name="Percent 2 3 4 2" xfId="6675"/>
    <cellStyle name="Percent 2 4" xfId="1237"/>
    <cellStyle name="Percent 2 5" xfId="3647"/>
    <cellStyle name="Percent 2 5 2" xfId="4274"/>
    <cellStyle name="Percent 2_Pivot Table Tips" xfId="3648"/>
    <cellStyle name="Percent 20" xfId="602"/>
    <cellStyle name="Percent 20 2" xfId="603"/>
    <cellStyle name="Percent 20 2 2" xfId="604"/>
    <cellStyle name="Percent 20 2 2 2" xfId="1241"/>
    <cellStyle name="Percent 20 2 3" xfId="1240"/>
    <cellStyle name="Percent 20 3" xfId="605"/>
    <cellStyle name="Percent 20 3 2" xfId="1242"/>
    <cellStyle name="Percent 20 4" xfId="1239"/>
    <cellStyle name="Percent 21" xfId="606"/>
    <cellStyle name="Percent 21 2" xfId="607"/>
    <cellStyle name="Percent 21 2 2" xfId="608"/>
    <cellStyle name="Percent 21 2 2 2" xfId="1245"/>
    <cellStyle name="Percent 21 2 3" xfId="1244"/>
    <cellStyle name="Percent 21 3" xfId="609"/>
    <cellStyle name="Percent 21 3 2" xfId="1246"/>
    <cellStyle name="Percent 21 4" xfId="1243"/>
    <cellStyle name="Percent 21 4 2" xfId="3649"/>
    <cellStyle name="Percent 21 4 2 2" xfId="3650"/>
    <cellStyle name="Percent 21 4 2 2 2" xfId="3651"/>
    <cellStyle name="Percent 21 4 2 2 3" xfId="3652"/>
    <cellStyle name="Percent 21 4 2 3" xfId="3653"/>
    <cellStyle name="Percent 21 4 2 4" xfId="3654"/>
    <cellStyle name="Percent 21 4 3" xfId="3655"/>
    <cellStyle name="Percent 21 4 3 2" xfId="3656"/>
    <cellStyle name="Percent 21 4 3 3" xfId="3657"/>
    <cellStyle name="Percent 21 4 4" xfId="3658"/>
    <cellStyle name="Percent 21 4 5" xfId="3659"/>
    <cellStyle name="Percent 21 4 6" xfId="3660"/>
    <cellStyle name="Percent 21 5" xfId="3661"/>
    <cellStyle name="Percent 21 5 2" xfId="3662"/>
    <cellStyle name="Percent 21 5 2 2" xfId="3663"/>
    <cellStyle name="Percent 21 5 2 3" xfId="3664"/>
    <cellStyle name="Percent 21 5 3" xfId="3665"/>
    <cellStyle name="Percent 21 5 4" xfId="3666"/>
    <cellStyle name="Percent 21 6" xfId="3667"/>
    <cellStyle name="Percent 21 6 2" xfId="3668"/>
    <cellStyle name="Percent 21 7" xfId="3669"/>
    <cellStyle name="Percent 21 7 2" xfId="3670"/>
    <cellStyle name="Percent 22" xfId="610"/>
    <cellStyle name="Percent 22 2" xfId="1247"/>
    <cellStyle name="Percent 22 2 2" xfId="3671"/>
    <cellStyle name="Percent 22 3" xfId="3672"/>
    <cellStyle name="Percent 22 3 2" xfId="3673"/>
    <cellStyle name="Percent 22 4" xfId="4038"/>
    <cellStyle name="Percent 22 4 2" xfId="6677"/>
    <cellStyle name="Percent 23" xfId="611"/>
    <cellStyle name="Percent 23 2" xfId="612"/>
    <cellStyle name="Percent 23 2 2" xfId="613"/>
    <cellStyle name="Percent 23 2 2 2" xfId="1250"/>
    <cellStyle name="Percent 23 2 3" xfId="1249"/>
    <cellStyle name="Percent 23 3" xfId="614"/>
    <cellStyle name="Percent 23 3 2" xfId="1251"/>
    <cellStyle name="Percent 23 4" xfId="1248"/>
    <cellStyle name="Percent 23 4 2" xfId="4369"/>
    <cellStyle name="Percent 23 4 3" xfId="3674"/>
    <cellStyle name="Percent 23 5" xfId="4037"/>
    <cellStyle name="Percent 23 5 2" xfId="6676"/>
    <cellStyle name="Percent 24" xfId="615"/>
    <cellStyle name="Percent 24 2" xfId="616"/>
    <cellStyle name="Percent 24 2 2" xfId="1253"/>
    <cellStyle name="Percent 24 3" xfId="1252"/>
    <cellStyle name="Percent 25" xfId="617"/>
    <cellStyle name="Percent 25 2" xfId="618"/>
    <cellStyle name="Percent 25 2 2" xfId="619"/>
    <cellStyle name="Percent 25 2 2 2" xfId="1256"/>
    <cellStyle name="Percent 25 2 3" xfId="1255"/>
    <cellStyle name="Percent 25 3" xfId="620"/>
    <cellStyle name="Percent 25 3 2" xfId="1257"/>
    <cellStyle name="Percent 25 4" xfId="1254"/>
    <cellStyle name="Percent 26" xfId="621"/>
    <cellStyle name="Percent 26 2" xfId="622"/>
    <cellStyle name="Percent 26 2 2" xfId="1259"/>
    <cellStyle name="Percent 26 3" xfId="1258"/>
    <cellStyle name="Percent 26 4" xfId="4324"/>
    <cellStyle name="Percent 27" xfId="623"/>
    <cellStyle name="Percent 27 2" xfId="1260"/>
    <cellStyle name="Percent 27 2 2" xfId="3675"/>
    <cellStyle name="Percent 27 3" xfId="3676"/>
    <cellStyle name="Percent 27 4" xfId="4307"/>
    <cellStyle name="Percent 28" xfId="624"/>
    <cellStyle name="Percent 28 2" xfId="625"/>
    <cellStyle name="Percent 28 2 2" xfId="1262"/>
    <cellStyle name="Percent 28 3" xfId="1261"/>
    <cellStyle name="Percent 28 4" xfId="4323"/>
    <cellStyle name="Percent 29" xfId="626"/>
    <cellStyle name="Percent 29 2" xfId="627"/>
    <cellStyle name="Percent 29 2 2" xfId="1264"/>
    <cellStyle name="Percent 29 3" xfId="1263"/>
    <cellStyle name="Percent 3" xfId="628"/>
    <cellStyle name="Percent 3 2" xfId="629"/>
    <cellStyle name="Percent 3 2 2" xfId="1266"/>
    <cellStyle name="Percent 3 2 2 2" xfId="1762"/>
    <cellStyle name="Percent 3 2 3" xfId="1763"/>
    <cellStyle name="Percent 3 2 4" xfId="3677"/>
    <cellStyle name="Percent 3 2 5" xfId="3678"/>
    <cellStyle name="Percent 3 3" xfId="1265"/>
    <cellStyle name="Percent 3 3 2" xfId="1764"/>
    <cellStyle name="Percent 3 4" xfId="1765"/>
    <cellStyle name="Percent 3 5" xfId="3679"/>
    <cellStyle name="Percent 3 5 2" xfId="3680"/>
    <cellStyle name="Percent 3 5 2 2" xfId="3681"/>
    <cellStyle name="Percent 3 5 2 3" xfId="3682"/>
    <cellStyle name="Percent 3 5 3" xfId="3683"/>
    <cellStyle name="Percent 3 5 4" xfId="3684"/>
    <cellStyle name="Percent 3 5 5" xfId="3685"/>
    <cellStyle name="Percent 3 6" xfId="3686"/>
    <cellStyle name="Percent 3 7" xfId="4032"/>
    <cellStyle name="Percent 30" xfId="630"/>
    <cellStyle name="Percent 30 2" xfId="1267"/>
    <cellStyle name="Percent 31" xfId="631"/>
    <cellStyle name="Percent 31 2" xfId="1268"/>
    <cellStyle name="Percent 32" xfId="632"/>
    <cellStyle name="Percent 32 2" xfId="633"/>
    <cellStyle name="Percent 32 2 2" xfId="1270"/>
    <cellStyle name="Percent 32 3" xfId="1269"/>
    <cellStyle name="Percent 33" xfId="634"/>
    <cellStyle name="Percent 33 2" xfId="635"/>
    <cellStyle name="Percent 33 2 2" xfId="1272"/>
    <cellStyle name="Percent 33 3" xfId="1271"/>
    <cellStyle name="Percent 34" xfId="636"/>
    <cellStyle name="Percent 34 2" xfId="1273"/>
    <cellStyle name="Percent 35" xfId="637"/>
    <cellStyle name="Percent 35 2" xfId="1274"/>
    <cellStyle name="Percent 36" xfId="638"/>
    <cellStyle name="Percent 36 2" xfId="639"/>
    <cellStyle name="Percent 36 2 2" xfId="1276"/>
    <cellStyle name="Percent 36 3" xfId="1275"/>
    <cellStyle name="Percent 37" xfId="640"/>
    <cellStyle name="Percent 37 2" xfId="641"/>
    <cellStyle name="Percent 37 2 2" xfId="1278"/>
    <cellStyle name="Percent 37 3" xfId="1277"/>
    <cellStyle name="Percent 38" xfId="642"/>
    <cellStyle name="Percent 38 2" xfId="643"/>
    <cellStyle name="Percent 38 2 2" xfId="1280"/>
    <cellStyle name="Percent 38 3" xfId="1279"/>
    <cellStyle name="Percent 39" xfId="644"/>
    <cellStyle name="Percent 39 2" xfId="645"/>
    <cellStyle name="Percent 39 2 2" xfId="1282"/>
    <cellStyle name="Percent 39 3" xfId="1281"/>
    <cellStyle name="Percent 4" xfId="646"/>
    <cellStyle name="Percent 4 2" xfId="647"/>
    <cellStyle name="Percent 4 2 2" xfId="1284"/>
    <cellStyle name="Percent 4 2 2 2" xfId="3687"/>
    <cellStyle name="Percent 4 2 3" xfId="3688"/>
    <cellStyle name="Percent 4 2 3 2" xfId="3689"/>
    <cellStyle name="Percent 4 3" xfId="1283"/>
    <cellStyle name="Percent 4 3 2" xfId="3690"/>
    <cellStyle name="Percent 4 3 2 2" xfId="3691"/>
    <cellStyle name="Percent 4 3 3" xfId="4036"/>
    <cellStyle name="Percent 4 4" xfId="3692"/>
    <cellStyle name="Percent 4 4 2" xfId="3693"/>
    <cellStyle name="Percent 4 4 3" xfId="3694"/>
    <cellStyle name="Percent 4 5" xfId="3695"/>
    <cellStyle name="Percent 40" xfId="648"/>
    <cellStyle name="Percent 40 2" xfId="1285"/>
    <cellStyle name="Percent 40 2 2" xfId="3696"/>
    <cellStyle name="Percent 40 3" xfId="3697"/>
    <cellStyle name="Percent 41" xfId="649"/>
    <cellStyle name="Percent 41 2" xfId="1286"/>
    <cellStyle name="Percent 42" xfId="650"/>
    <cellStyle name="Percent 42 2" xfId="651"/>
    <cellStyle name="Percent 42 2 2" xfId="1288"/>
    <cellStyle name="Percent 42 3" xfId="1287"/>
    <cellStyle name="Percent 43" xfId="652"/>
    <cellStyle name="Percent 43 2" xfId="653"/>
    <cellStyle name="Percent 43 2 2" xfId="1290"/>
    <cellStyle name="Percent 43 3" xfId="1289"/>
    <cellStyle name="Percent 44" xfId="654"/>
    <cellStyle name="Percent 44 2" xfId="655"/>
    <cellStyle name="Percent 44 2 2" xfId="1292"/>
    <cellStyle name="Percent 44 2 3" xfId="1766"/>
    <cellStyle name="Percent 44 3" xfId="1291"/>
    <cellStyle name="Percent 45" xfId="656"/>
    <cellStyle name="Percent 45 2" xfId="657"/>
    <cellStyle name="Percent 45 2 2" xfId="1294"/>
    <cellStyle name="Percent 45 2 3" xfId="1767"/>
    <cellStyle name="Percent 45 3" xfId="1293"/>
    <cellStyle name="Percent 46" xfId="658"/>
    <cellStyle name="Percent 46 2" xfId="659"/>
    <cellStyle name="Percent 46 2 2" xfId="1296"/>
    <cellStyle name="Percent 46 2 3" xfId="1768"/>
    <cellStyle name="Percent 46 3" xfId="1295"/>
    <cellStyle name="Percent 47" xfId="660"/>
    <cellStyle name="Percent 47 2" xfId="661"/>
    <cellStyle name="Percent 47 2 2" xfId="1298"/>
    <cellStyle name="Percent 47 2 3" xfId="1769"/>
    <cellStyle name="Percent 47 3" xfId="1297"/>
    <cellStyle name="Percent 48" xfId="662"/>
    <cellStyle name="Percent 48 2" xfId="663"/>
    <cellStyle name="Percent 48 2 2" xfId="1300"/>
    <cellStyle name="Percent 48 2 3" xfId="1770"/>
    <cellStyle name="Percent 48 3" xfId="1299"/>
    <cellStyle name="Percent 49" xfId="664"/>
    <cellStyle name="Percent 49 2" xfId="665"/>
    <cellStyle name="Percent 49 2 2" xfId="1302"/>
    <cellStyle name="Percent 49 3" xfId="1301"/>
    <cellStyle name="Percent 5" xfId="666"/>
    <cellStyle name="Percent 5 2" xfId="667"/>
    <cellStyle name="Percent 5 2 2" xfId="1304"/>
    <cellStyle name="Percent 5 2 2 2" xfId="3698"/>
    <cellStyle name="Percent 5 2 3" xfId="3699"/>
    <cellStyle name="Percent 5 3" xfId="1303"/>
    <cellStyle name="Percent 5 3 2" xfId="3700"/>
    <cellStyle name="Percent 5 4" xfId="3701"/>
    <cellStyle name="Percent 5 4 2" xfId="3702"/>
    <cellStyle name="Percent 50" xfId="668"/>
    <cellStyle name="Percent 50 2" xfId="669"/>
    <cellStyle name="Percent 50 2 2" xfId="1306"/>
    <cellStyle name="Percent 50 3" xfId="1305"/>
    <cellStyle name="Percent 51" xfId="670"/>
    <cellStyle name="Percent 51 2" xfId="671"/>
    <cellStyle name="Percent 51 2 2" xfId="1308"/>
    <cellStyle name="Percent 51 3" xfId="1307"/>
    <cellStyle name="Percent 52" xfId="672"/>
    <cellStyle name="Percent 52 2" xfId="673"/>
    <cellStyle name="Percent 52 2 2" xfId="1310"/>
    <cellStyle name="Percent 52 3" xfId="1309"/>
    <cellStyle name="Percent 52 4" xfId="3703"/>
    <cellStyle name="Percent 52 4 2" xfId="3704"/>
    <cellStyle name="Percent 52 4 3" xfId="3705"/>
    <cellStyle name="Percent 52 5" xfId="3706"/>
    <cellStyle name="Percent 52 6" xfId="3707"/>
    <cellStyle name="Percent 52 7" xfId="3708"/>
    <cellStyle name="Percent 53" xfId="674"/>
    <cellStyle name="Percent 53 2" xfId="675"/>
    <cellStyle name="Percent 53 2 2" xfId="1312"/>
    <cellStyle name="Percent 53 3" xfId="1311"/>
    <cellStyle name="Percent 53 4" xfId="3709"/>
    <cellStyle name="Percent 53 4 2" xfId="3710"/>
    <cellStyle name="Percent 53 4 3" xfId="3711"/>
    <cellStyle name="Percent 53 5" xfId="3712"/>
    <cellStyle name="Percent 53 6" xfId="3713"/>
    <cellStyle name="Percent 53 7" xfId="3714"/>
    <cellStyle name="Percent 54" xfId="676"/>
    <cellStyle name="Percent 54 2" xfId="677"/>
    <cellStyle name="Percent 54 2 2" xfId="1314"/>
    <cellStyle name="Percent 54 3" xfId="1313"/>
    <cellStyle name="Percent 55" xfId="678"/>
    <cellStyle name="Percent 55 2" xfId="679"/>
    <cellStyle name="Percent 55 2 2" xfId="1316"/>
    <cellStyle name="Percent 55 3" xfId="1315"/>
    <cellStyle name="Percent 56" xfId="680"/>
    <cellStyle name="Percent 56 2" xfId="1317"/>
    <cellStyle name="Percent 57" xfId="681"/>
    <cellStyle name="Percent 57 2" xfId="1318"/>
    <cellStyle name="Percent 58" xfId="682"/>
    <cellStyle name="Percent 58 2" xfId="1319"/>
    <cellStyle name="Percent 59" xfId="683"/>
    <cellStyle name="Percent 59 2" xfId="1320"/>
    <cellStyle name="Percent 6" xfId="684"/>
    <cellStyle name="Percent 6 2" xfId="685"/>
    <cellStyle name="Percent 6 2 2" xfId="1322"/>
    <cellStyle name="Percent 6 2 2 2" xfId="3715"/>
    <cellStyle name="Percent 6 2 3" xfId="3716"/>
    <cellStyle name="Percent 6 3" xfId="1321"/>
    <cellStyle name="Percent 6 3 2" xfId="3717"/>
    <cellStyle name="Percent 6 4" xfId="3718"/>
    <cellStyle name="Percent 6 4 2" xfId="3719"/>
    <cellStyle name="Percent 6 4 3" xfId="3720"/>
    <cellStyle name="Percent 6 5" xfId="3721"/>
    <cellStyle name="Percent 60" xfId="686"/>
    <cellStyle name="Percent 60 2" xfId="1323"/>
    <cellStyle name="Percent 61" xfId="687"/>
    <cellStyle name="Percent 61 2" xfId="1324"/>
    <cellStyle name="Percent 61 2 2" xfId="3722"/>
    <cellStyle name="Percent 61 3" xfId="3723"/>
    <cellStyle name="Percent 62" xfId="688"/>
    <cellStyle name="Percent 62 2" xfId="1325"/>
    <cellStyle name="Percent 63" xfId="689"/>
    <cellStyle name="Percent 63 2" xfId="1326"/>
    <cellStyle name="Percent 64" xfId="690"/>
    <cellStyle name="Percent 64 2" xfId="691"/>
    <cellStyle name="Percent 64 2 2" xfId="692"/>
    <cellStyle name="Percent 64 2 2 2" xfId="1329"/>
    <cellStyle name="Percent 64 2 3" xfId="1328"/>
    <cellStyle name="Percent 64 3" xfId="693"/>
    <cellStyle name="Percent 64 3 2" xfId="1330"/>
    <cellStyle name="Percent 64 4" xfId="1327"/>
    <cellStyle name="Percent 65" xfId="694"/>
    <cellStyle name="Percent 65 2" xfId="695"/>
    <cellStyle name="Percent 65 2 2" xfId="696"/>
    <cellStyle name="Percent 65 2 2 2" xfId="1333"/>
    <cellStyle name="Percent 65 2 3" xfId="1332"/>
    <cellStyle name="Percent 65 3" xfId="697"/>
    <cellStyle name="Percent 65 3 2" xfId="1334"/>
    <cellStyle name="Percent 65 4" xfId="1331"/>
    <cellStyle name="Percent 66" xfId="698"/>
    <cellStyle name="Percent 66 2" xfId="699"/>
    <cellStyle name="Percent 66 2 2" xfId="700"/>
    <cellStyle name="Percent 66 2 2 2" xfId="1337"/>
    <cellStyle name="Percent 66 2 3" xfId="1336"/>
    <cellStyle name="Percent 66 3" xfId="701"/>
    <cellStyle name="Percent 66 3 2" xfId="1338"/>
    <cellStyle name="Percent 66 4" xfId="1335"/>
    <cellStyle name="Percent 67" xfId="702"/>
    <cellStyle name="Percent 67 2" xfId="703"/>
    <cellStyle name="Percent 67 2 2" xfId="704"/>
    <cellStyle name="Percent 67 2 2 2" xfId="1341"/>
    <cellStyle name="Percent 67 2 3" xfId="1340"/>
    <cellStyle name="Percent 67 3" xfId="705"/>
    <cellStyle name="Percent 67 3 2" xfId="1342"/>
    <cellStyle name="Percent 67 4" xfId="1339"/>
    <cellStyle name="Percent 68" xfId="706"/>
    <cellStyle name="Percent 68 2" xfId="707"/>
    <cellStyle name="Percent 68 2 2" xfId="708"/>
    <cellStyle name="Percent 68 2 2 2" xfId="1345"/>
    <cellStyle name="Percent 68 2 3" xfId="1344"/>
    <cellStyle name="Percent 68 3" xfId="709"/>
    <cellStyle name="Percent 68 3 2" xfId="1346"/>
    <cellStyle name="Percent 68 4" xfId="1343"/>
    <cellStyle name="Percent 69" xfId="710"/>
    <cellStyle name="Percent 69 2" xfId="711"/>
    <cellStyle name="Percent 69 2 2" xfId="712"/>
    <cellStyle name="Percent 69 2 2 2" xfId="1349"/>
    <cellStyle name="Percent 69 2 3" xfId="1348"/>
    <cellStyle name="Percent 69 3" xfId="713"/>
    <cellStyle name="Percent 69 3 2" xfId="1350"/>
    <cellStyle name="Percent 69 4" xfId="1347"/>
    <cellStyle name="Percent 7" xfId="714"/>
    <cellStyle name="Percent 7 2" xfId="715"/>
    <cellStyle name="Percent 7 2 2" xfId="1352"/>
    <cellStyle name="Percent 7 2 2 2" xfId="3724"/>
    <cellStyle name="Percent 7 2 3" xfId="3725"/>
    <cellStyle name="Percent 7 3" xfId="1351"/>
    <cellStyle name="Percent 7 3 2" xfId="3727"/>
    <cellStyle name="Percent 7 3 3" xfId="3728"/>
    <cellStyle name="Percent 7 3 4" xfId="3726"/>
    <cellStyle name="Percent 7 4" xfId="3729"/>
    <cellStyle name="Percent 70" xfId="716"/>
    <cellStyle name="Percent 70 2" xfId="717"/>
    <cellStyle name="Percent 70 2 2" xfId="718"/>
    <cellStyle name="Percent 70 2 2 2" xfId="1355"/>
    <cellStyle name="Percent 70 2 3" xfId="1354"/>
    <cellStyle name="Percent 70 3" xfId="719"/>
    <cellStyle name="Percent 70 3 2" xfId="1356"/>
    <cellStyle name="Percent 70 4" xfId="1353"/>
    <cellStyle name="Percent 71" xfId="720"/>
    <cellStyle name="Percent 71 2" xfId="721"/>
    <cellStyle name="Percent 71 2 2" xfId="1358"/>
    <cellStyle name="Percent 71 2 3" xfId="3730"/>
    <cellStyle name="Percent 71 3" xfId="1357"/>
    <cellStyle name="Percent 72" xfId="722"/>
    <cellStyle name="Percent 72 2" xfId="723"/>
    <cellStyle name="Percent 72 2 2" xfId="1360"/>
    <cellStyle name="Percent 72 2 3" xfId="3731"/>
    <cellStyle name="Percent 72 3" xfId="1359"/>
    <cellStyle name="Percent 73" xfId="724"/>
    <cellStyle name="Percent 73 2" xfId="725"/>
    <cellStyle name="Percent 73 2 2" xfId="1362"/>
    <cellStyle name="Percent 73 2 3" xfId="3732"/>
    <cellStyle name="Percent 73 3" xfId="1361"/>
    <cellStyle name="Percent 74" xfId="726"/>
    <cellStyle name="Percent 74 2" xfId="727"/>
    <cellStyle name="Percent 74 2 2" xfId="1364"/>
    <cellStyle name="Percent 74 2 3" xfId="3733"/>
    <cellStyle name="Percent 74 3" xfId="1363"/>
    <cellStyle name="Percent 75" xfId="728"/>
    <cellStyle name="Percent 75 2" xfId="729"/>
    <cellStyle name="Percent 75 2 2" xfId="1366"/>
    <cellStyle name="Percent 75 2 3" xfId="3734"/>
    <cellStyle name="Percent 75 3" xfId="1365"/>
    <cellStyle name="Percent 76" xfId="730"/>
    <cellStyle name="Percent 76 2" xfId="1367"/>
    <cellStyle name="Percent 76 2 2" xfId="3735"/>
    <cellStyle name="Percent 76 2 3" xfId="3736"/>
    <cellStyle name="Percent 76 3" xfId="3737"/>
    <cellStyle name="Percent 77" xfId="731"/>
    <cellStyle name="Percent 77 2" xfId="1368"/>
    <cellStyle name="Percent 77 2 2" xfId="3738"/>
    <cellStyle name="Percent 77 2 2 2" xfId="3739"/>
    <cellStyle name="Percent 77 2 3" xfId="3740"/>
    <cellStyle name="Percent 77 2 3 2" xfId="3741"/>
    <cellStyle name="Percent 77 2 4" xfId="3742"/>
    <cellStyle name="Percent 77 3" xfId="3743"/>
    <cellStyle name="Percent 77 3 2" xfId="3744"/>
    <cellStyle name="Percent 77 4" xfId="3745"/>
    <cellStyle name="Percent 77 5" xfId="3746"/>
    <cellStyle name="Percent 78" xfId="732"/>
    <cellStyle name="Percent 78 2" xfId="1369"/>
    <cellStyle name="Percent 78 2 2" xfId="3747"/>
    <cellStyle name="Percent 78 2 3" xfId="3748"/>
    <cellStyle name="Percent 78 3" xfId="3749"/>
    <cellStyle name="Percent 78 4" xfId="3750"/>
    <cellStyle name="Percent 79" xfId="733"/>
    <cellStyle name="Percent 79 2" xfId="1370"/>
    <cellStyle name="Percent 79 2 2" xfId="3751"/>
    <cellStyle name="Percent 79 2 3" xfId="3752"/>
    <cellStyle name="Percent 79 3" xfId="3753"/>
    <cellStyle name="Percent 8" xfId="734"/>
    <cellStyle name="Percent 8 2" xfId="1371"/>
    <cellStyle name="Percent 8 2 2" xfId="3754"/>
    <cellStyle name="Percent 8 3" xfId="1771"/>
    <cellStyle name="Percent 8 4" xfId="3755"/>
    <cellStyle name="Percent 8 4 2" xfId="3756"/>
    <cellStyle name="Percent 8 4 3" xfId="4372"/>
    <cellStyle name="Percent 8 4 3 2" xfId="6701"/>
    <cellStyle name="Percent 8 5" xfId="3757"/>
    <cellStyle name="Percent 8 5 2" xfId="4371"/>
    <cellStyle name="Percent 80" xfId="735"/>
    <cellStyle name="Percent 80 2" xfId="1372"/>
    <cellStyle name="Percent 80 2 2" xfId="3758"/>
    <cellStyle name="Percent 80 2 3" xfId="3759"/>
    <cellStyle name="Percent 80 3" xfId="3760"/>
    <cellStyle name="Percent 81" xfId="736"/>
    <cellStyle name="Percent 81 2" xfId="1373"/>
    <cellStyle name="Percent 81 2 2" xfId="3761"/>
    <cellStyle name="Percent 81 2 3" xfId="3762"/>
    <cellStyle name="Percent 81 3" xfId="3763"/>
    <cellStyle name="Percent 82" xfId="737"/>
    <cellStyle name="Percent 82 2" xfId="1374"/>
    <cellStyle name="Percent 82 2 2" xfId="3764"/>
    <cellStyle name="Percent 82 3" xfId="3765"/>
    <cellStyle name="Percent 83" xfId="1772"/>
    <cellStyle name="Percent 83 2" xfId="3766"/>
    <cellStyle name="Percent 83 2 2" xfId="3767"/>
    <cellStyle name="Percent 83 3" xfId="3768"/>
    <cellStyle name="Percent 84" xfId="1773"/>
    <cellStyle name="Percent 84 2" xfId="3769"/>
    <cellStyle name="Percent 84 2 2" xfId="3770"/>
    <cellStyle name="Percent 84 3" xfId="3771"/>
    <cellStyle name="Percent 85" xfId="1774"/>
    <cellStyle name="Percent 85 2" xfId="3772"/>
    <cellStyle name="Percent 85 3" xfId="3773"/>
    <cellStyle name="Percent 86" xfId="1775"/>
    <cellStyle name="Percent 86 2" xfId="3774"/>
    <cellStyle name="Percent 86 3" xfId="3775"/>
    <cellStyle name="Percent 87" xfId="1776"/>
    <cellStyle name="Percent 87 2" xfId="3776"/>
    <cellStyle name="Percent 87 3" xfId="3777"/>
    <cellStyle name="Percent 88" xfId="1777"/>
    <cellStyle name="Percent 88 2" xfId="3778"/>
    <cellStyle name="Percent 88 3" xfId="3779"/>
    <cellStyle name="Percent 89" xfId="1778"/>
    <cellStyle name="Percent 89 2" xfId="3780"/>
    <cellStyle name="Percent 89 3" xfId="3781"/>
    <cellStyle name="Percent 9" xfId="738"/>
    <cellStyle name="Percent 9 2" xfId="739"/>
    <cellStyle name="Percent 9 2 2" xfId="1780"/>
    <cellStyle name="Percent 9 2 2 2" xfId="3782"/>
    <cellStyle name="Percent 9 2 3" xfId="1779"/>
    <cellStyle name="Percent 9 2 3 2" xfId="3783"/>
    <cellStyle name="Percent 9 3" xfId="740"/>
    <cellStyle name="Percent 9 3 2" xfId="1375"/>
    <cellStyle name="Percent 9 4" xfId="1781"/>
    <cellStyle name="Percent 9 4 2" xfId="1782"/>
    <cellStyle name="Percent 9 5" xfId="3784"/>
    <cellStyle name="Percent 9 5 2" xfId="3785"/>
    <cellStyle name="Percent 9 5 3" xfId="3786"/>
    <cellStyle name="Percent 9 5 4" xfId="4373"/>
    <cellStyle name="Percent 9 5 4 2" xfId="6702"/>
    <cellStyle name="Percent 9 6" xfId="3787"/>
    <cellStyle name="Percent 90" xfId="1783"/>
    <cellStyle name="Percent 90 2" xfId="3788"/>
    <cellStyle name="Percent 90 3" xfId="3789"/>
    <cellStyle name="Percent 91" xfId="1784"/>
    <cellStyle name="Percent 91 2" xfId="3790"/>
    <cellStyle name="Percent 91 3" xfId="3791"/>
    <cellStyle name="Percent 92" xfId="1785"/>
    <cellStyle name="Percent 92 2" xfId="3792"/>
    <cellStyle name="Percent 92 3" xfId="3793"/>
    <cellStyle name="Percent 92 4" xfId="3794"/>
    <cellStyle name="Percent 93" xfId="1786"/>
    <cellStyle name="Percent 93 2" xfId="3795"/>
    <cellStyle name="Percent 93 3" xfId="3796"/>
    <cellStyle name="Percent 93 4" xfId="3797"/>
    <cellStyle name="Percent 94" xfId="1787"/>
    <cellStyle name="Percent 94 2" xfId="3798"/>
    <cellStyle name="Percent 94 3" xfId="3799"/>
    <cellStyle name="Percent 94 4" xfId="3800"/>
    <cellStyle name="Percent 95" xfId="1788"/>
    <cellStyle name="Percent 95 2" xfId="3801"/>
    <cellStyle name="Percent 95 3" xfId="3802"/>
    <cellStyle name="Percent 95 4" xfId="3803"/>
    <cellStyle name="Percent 96" xfId="1789"/>
    <cellStyle name="Percent 96 2" xfId="3804"/>
    <cellStyle name="Percent 96 3" xfId="3805"/>
    <cellStyle name="Percent 97" xfId="1790"/>
    <cellStyle name="Percent 97 2" xfId="3806"/>
    <cellStyle name="Percent 97 3" xfId="3807"/>
    <cellStyle name="Percent 98" xfId="1791"/>
    <cellStyle name="Percent 98 2" xfId="4904"/>
    <cellStyle name="Percent 98 2 2" xfId="7224"/>
    <cellStyle name="Percent 99" xfId="1792"/>
    <cellStyle name="Percent.0" xfId="1793"/>
    <cellStyle name="Percent.0 2" xfId="3808"/>
    <cellStyle name="Percent[1]" xfId="3809"/>
    <cellStyle name="Percent0" xfId="3810"/>
    <cellStyle name="Percent1" xfId="3811"/>
    <cellStyle name="Percent1 2" xfId="4275"/>
    <cellStyle name="Percent2" xfId="3812"/>
    <cellStyle name="Percent2 2" xfId="4276"/>
    <cellStyle name="percentage" xfId="3813"/>
    <cellStyle name="Percentage[1]" xfId="4277"/>
    <cellStyle name="PercentChange" xfId="4278"/>
    <cellStyle name="Percent-Input" xfId="3814"/>
    <cellStyle name="PercentPresentation" xfId="3815"/>
    <cellStyle name="POPS" xfId="3816"/>
    <cellStyle name="PresentationZero" xfId="3817"/>
    <cellStyle name="price" xfId="3818"/>
    <cellStyle name="ProgramVariable" xfId="4279"/>
    <cellStyle name="ProtectedDates" xfId="741"/>
    <cellStyle name="q_AA - BenefitsBonus " xfId="3819"/>
    <cellStyle name="Ratio" xfId="4280"/>
    <cellStyle name="Ratios" xfId="4281"/>
    <cellStyle name="RatioX" xfId="4282"/>
    <cellStyle name="RED" xfId="742"/>
    <cellStyle name="RED 2" xfId="3820"/>
    <cellStyle name="Ref Numbers" xfId="1794"/>
    <cellStyle name="Ref Numbers 2" xfId="3821"/>
    <cellStyle name="Report" xfId="4283"/>
    <cellStyle name="Restruct" xfId="743"/>
    <cellStyle name="Restruct 2" xfId="1795"/>
    <cellStyle name="Restruct 2 2" xfId="1796"/>
    <cellStyle name="Restruct 2 3" xfId="1797"/>
    <cellStyle name="Restruct 3" xfId="1798"/>
    <cellStyle name="Restruct 3 2" xfId="3822"/>
    <cellStyle name="Restruct 3 3" xfId="4327"/>
    <cellStyle name="Restruct 4" xfId="3823"/>
    <cellStyle name="Restruct 4 2" xfId="3824"/>
    <cellStyle name="Restruct 4 2 2" xfId="3825"/>
    <cellStyle name="Restruct 4 2 3" xfId="3826"/>
    <cellStyle name="Restruct 4 3" xfId="3827"/>
    <cellStyle name="RevList" xfId="3828"/>
    <cellStyle name="Right" xfId="744"/>
    <cellStyle name="Role" xfId="4284"/>
    <cellStyle name="RRSInstruction" xfId="745"/>
    <cellStyle name="RRSInstruction 2" xfId="746"/>
    <cellStyle name="RRSInstruction 2 2" xfId="1377"/>
    <cellStyle name="RRSInstruction 3" xfId="1376"/>
    <cellStyle name="s_DCFLBO Code_Wireline Tel Forecast " xfId="747"/>
    <cellStyle name="s_DCFLBO Code_Wireline Tel Forecast  2" xfId="3829"/>
    <cellStyle name="s_DCFLBO Code_Wireline Tel Forecast  2 2" xfId="3830"/>
    <cellStyle name="s_HardInc " xfId="748"/>
    <cellStyle name="s_HardInc  2" xfId="3831"/>
    <cellStyle name="s_HardInc  2 2" xfId="3832"/>
    <cellStyle name="s_HardInc _Catalog" xfId="3833"/>
    <cellStyle name="s_HardInc _JapaneseCatalog" xfId="3834"/>
    <cellStyle name="s_HardInc _RRST1" xfId="749"/>
    <cellStyle name="s_HardInc _RRST1 2" xfId="750"/>
    <cellStyle name="s_HardInc _RRST12" xfId="751"/>
    <cellStyle name="s_HardInc _RRST19" xfId="752"/>
    <cellStyle name="s_HardInc _RRST19 2" xfId="753"/>
    <cellStyle name="s_HardInc _RRST20" xfId="754"/>
    <cellStyle name="s_HardInc _RRST20 2" xfId="755"/>
    <cellStyle name="s_HardInc _RRST25" xfId="756"/>
    <cellStyle name="s_HardInc _RRST25 2" xfId="757"/>
    <cellStyle name="s_HardInc _RRST3" xfId="758"/>
    <cellStyle name="s_HardInc _RRST6" xfId="759"/>
    <cellStyle name="s_HardInc _RRST6 2" xfId="760"/>
    <cellStyle name="s_HardInc _RRST9" xfId="1799"/>
    <cellStyle name="s_HardInc _RRST9 2" xfId="1800"/>
    <cellStyle name="s_Valuation " xfId="761"/>
    <cellStyle name="s_Valuation  2" xfId="3835"/>
    <cellStyle name="s_Valuation  2 2" xfId="3836"/>
    <cellStyle name="s_Valuation _Catalog" xfId="3837"/>
    <cellStyle name="s_Valuation _JapaneseCatalog" xfId="3838"/>
    <cellStyle name="s_Valuation _RRST1" xfId="762"/>
    <cellStyle name="s_Valuation _RRST1 2" xfId="763"/>
    <cellStyle name="s_Valuation _RRST12" xfId="764"/>
    <cellStyle name="s_Valuation _RRST19" xfId="765"/>
    <cellStyle name="s_Valuation _RRST19 2" xfId="766"/>
    <cellStyle name="s_Valuation _RRST20" xfId="767"/>
    <cellStyle name="s_Valuation _RRST20 2" xfId="768"/>
    <cellStyle name="s_Valuation _RRST25" xfId="769"/>
    <cellStyle name="s_Valuation _RRST25 2" xfId="770"/>
    <cellStyle name="s_Valuation _RRST3" xfId="771"/>
    <cellStyle name="s_Valuation _RRST6" xfId="772"/>
    <cellStyle name="s_Valuation _RRST6 2" xfId="773"/>
    <cellStyle name="s_Valuation _RRST9" xfId="1801"/>
    <cellStyle name="s_Valuation _RRST9 2" xfId="1802"/>
    <cellStyle name="ScripFactor" xfId="4285"/>
    <cellStyle name="SectionHeaderNormal" xfId="3839"/>
    <cellStyle name="SectionHeading" xfId="4286"/>
    <cellStyle name="Shade" xfId="4287"/>
    <cellStyle name="Shaded" xfId="3840"/>
    <cellStyle name="Shares" xfId="3841"/>
    <cellStyle name="Source Line" xfId="1803"/>
    <cellStyle name="Source Line 2" xfId="3842"/>
    <cellStyle name="SPEC" xfId="4288"/>
    <cellStyle name="ssp " xfId="774"/>
    <cellStyle name="Standard" xfId="4289"/>
    <cellStyle name="Style 1" xfId="775"/>
    <cellStyle name="Style 1 10" xfId="776"/>
    <cellStyle name="Style 1 10 2" xfId="1378"/>
    <cellStyle name="Style 1 11" xfId="1804"/>
    <cellStyle name="Style 1 11 2" xfId="1805"/>
    <cellStyle name="Style 1 11 2 2" xfId="3843"/>
    <cellStyle name="Style 1 11 3" xfId="3844"/>
    <cellStyle name="Style 1 11 4" xfId="3845"/>
    <cellStyle name="Style 1 12" xfId="1806"/>
    <cellStyle name="Style 1 12 2" xfId="3846"/>
    <cellStyle name="Style 1 13" xfId="1807"/>
    <cellStyle name="Style 1 13 2" xfId="3847"/>
    <cellStyle name="Style 1 13 2 2" xfId="3848"/>
    <cellStyle name="Style 1 13 3" xfId="3849"/>
    <cellStyle name="Style 1 13 4" xfId="3850"/>
    <cellStyle name="Style 1 14" xfId="1808"/>
    <cellStyle name="Style 1 14 2" xfId="3851"/>
    <cellStyle name="Style 1 14 3" xfId="3852"/>
    <cellStyle name="Style 1 15" xfId="1809"/>
    <cellStyle name="Style 1 15 2" xfId="3853"/>
    <cellStyle name="Style 1 16" xfId="1810"/>
    <cellStyle name="Style 1 16 2" xfId="3854"/>
    <cellStyle name="Style 1 2" xfId="777"/>
    <cellStyle name="Style 1 2 2" xfId="778"/>
    <cellStyle name="Style 1 2 2 2" xfId="1380"/>
    <cellStyle name="Style 1 2 2 2 2" xfId="1811"/>
    <cellStyle name="Style 1 2 2 2 2 2" xfId="3856"/>
    <cellStyle name="Style 1 2 2 2 2 3" xfId="3855"/>
    <cellStyle name="Style 1 2 2 2 3" xfId="3857"/>
    <cellStyle name="Style 1 2 2 3" xfId="3858"/>
    <cellStyle name="Style 1 2 2 3 2" xfId="3859"/>
    <cellStyle name="Style 1 2 2 3 3" xfId="3860"/>
    <cellStyle name="Style 1 2 2 4" xfId="3861"/>
    <cellStyle name="Style 1 2 2 4 2" xfId="3862"/>
    <cellStyle name="Style 1 2 2 5" xfId="3863"/>
    <cellStyle name="Style 1 2 3" xfId="1379"/>
    <cellStyle name="Style 1 2 3 2" xfId="3864"/>
    <cellStyle name="Style 1 2 3 2 2" xfId="3865"/>
    <cellStyle name="Style 1 2 3 3" xfId="3866"/>
    <cellStyle name="Style 1 2 4" xfId="1812"/>
    <cellStyle name="Style 1 2 4 2" xfId="3867"/>
    <cellStyle name="Style 1 2 5" xfId="3868"/>
    <cellStyle name="Style 1 2 5 2" xfId="3869"/>
    <cellStyle name="Style 1 2 5 3" xfId="3870"/>
    <cellStyle name="Style 1 2 6" xfId="3871"/>
    <cellStyle name="Style 1 2 7" xfId="3872"/>
    <cellStyle name="Style 1 3" xfId="779"/>
    <cellStyle name="Style 1 3 2" xfId="780"/>
    <cellStyle name="Style 1 3 2 2" xfId="1382"/>
    <cellStyle name="Style 1 3 2 2 2" xfId="1814"/>
    <cellStyle name="Style 1 3 2 2 3" xfId="1813"/>
    <cellStyle name="Style 1 3 2 2 3 2" xfId="3873"/>
    <cellStyle name="Style 1 3 2 3" xfId="1815"/>
    <cellStyle name="Style 1 3 2 4" xfId="1816"/>
    <cellStyle name="Style 1 3 2 5" xfId="1817"/>
    <cellStyle name="Style 1 3 2 6" xfId="1818"/>
    <cellStyle name="Style 1 3 3" xfId="1381"/>
    <cellStyle name="Style 1 3 3 2" xfId="1820"/>
    <cellStyle name="Style 1 3 3 2 2" xfId="3874"/>
    <cellStyle name="Style 1 3 3 3" xfId="1819"/>
    <cellStyle name="Style 1 3 3 3 2" xfId="3875"/>
    <cellStyle name="Style 1 3 4" xfId="1821"/>
    <cellStyle name="Style 1 3 4 2" xfId="3876"/>
    <cellStyle name="Style 1 3 5" xfId="1822"/>
    <cellStyle name="Style 1 3 6" xfId="1823"/>
    <cellStyle name="Style 1 3 7" xfId="1824"/>
    <cellStyle name="Style 1 3 8" xfId="3877"/>
    <cellStyle name="Style 1 4" xfId="781"/>
    <cellStyle name="Style 1 4 2" xfId="782"/>
    <cellStyle name="Style 1 4 2 2" xfId="783"/>
    <cellStyle name="Style 1 4 2 2 2" xfId="1385"/>
    <cellStyle name="Style 1 4 2 2 2 2" xfId="1825"/>
    <cellStyle name="Style 1 4 2 2 2 2 2" xfId="3878"/>
    <cellStyle name="Style 1 4 2 3" xfId="1384"/>
    <cellStyle name="Style 1 4 2 3 2" xfId="3879"/>
    <cellStyle name="Style 1 4 2 3 3" xfId="3880"/>
    <cellStyle name="Style 1 4 2 4" xfId="1826"/>
    <cellStyle name="Style 1 4 2 5" xfId="3881"/>
    <cellStyle name="Style 1 4 3" xfId="784"/>
    <cellStyle name="Style 1 4 3 2" xfId="1386"/>
    <cellStyle name="Style 1 4 3 2 2" xfId="1827"/>
    <cellStyle name="Style 1 4 3 2 2 2" xfId="3882"/>
    <cellStyle name="Style 1 4 3 2 3" xfId="3883"/>
    <cellStyle name="Style 1 4 3 3" xfId="3884"/>
    <cellStyle name="Style 1 4 3 3 2" xfId="3885"/>
    <cellStyle name="Style 1 4 4" xfId="1383"/>
    <cellStyle name="Style 1 4 4 2" xfId="3886"/>
    <cellStyle name="Style 1 4 4 2 2" xfId="3887"/>
    <cellStyle name="Style 1 4 4 3" xfId="3888"/>
    <cellStyle name="Style 1 4 5" xfId="1828"/>
    <cellStyle name="Style 1 4 5 2" xfId="3889"/>
    <cellStyle name="Style 1 4 6" xfId="3890"/>
    <cellStyle name="Style 1 4 6 2" xfId="3891"/>
    <cellStyle name="Style 1 4 6 3" xfId="3892"/>
    <cellStyle name="Style 1 4 7" xfId="3893"/>
    <cellStyle name="Style 1 5" xfId="785"/>
    <cellStyle name="Style 1 5 2" xfId="786"/>
    <cellStyle name="Style 1 5 2 2" xfId="787"/>
    <cellStyle name="Style 1 5 2 2 2" xfId="1389"/>
    <cellStyle name="Style 1 5 2 2 2 2" xfId="1829"/>
    <cellStyle name="Style 1 5 2 2 2 2 2" xfId="3894"/>
    <cellStyle name="Style 1 5 2 3" xfId="1388"/>
    <cellStyle name="Style 1 5 2 3 2" xfId="3895"/>
    <cellStyle name="Style 1 5 2 3 3" xfId="3896"/>
    <cellStyle name="Style 1 5 2 4" xfId="3897"/>
    <cellStyle name="Style 1 5 3" xfId="788"/>
    <cellStyle name="Style 1 5 3 2" xfId="1390"/>
    <cellStyle name="Style 1 5 4" xfId="1387"/>
    <cellStyle name="Style 1 5 4 2" xfId="3898"/>
    <cellStyle name="Style 1 5 4 3" xfId="3899"/>
    <cellStyle name="Style 1 5 5" xfId="1830"/>
    <cellStyle name="Style 1 5 5 2" xfId="3900"/>
    <cellStyle name="Style 1 5 6" xfId="3901"/>
    <cellStyle name="Style 1 5 6 2" xfId="3902"/>
    <cellStyle name="Style 1 6" xfId="789"/>
    <cellStyle name="Style 1 6 2" xfId="790"/>
    <cellStyle name="Style 1 6 2 2" xfId="791"/>
    <cellStyle name="Style 1 6 2 2 2" xfId="1393"/>
    <cellStyle name="Style 1 6 2 2 3" xfId="3903"/>
    <cellStyle name="Style 1 6 2 3" xfId="792"/>
    <cellStyle name="Style 1 6 2 3 2" xfId="1394"/>
    <cellStyle name="Style 1 6 2 3 3" xfId="3904"/>
    <cellStyle name="Style 1 6 2 4" xfId="1392"/>
    <cellStyle name="Style 1 6 3" xfId="793"/>
    <cellStyle name="Style 1 6 3 2" xfId="1395"/>
    <cellStyle name="Style 1 6 3 3" xfId="3905"/>
    <cellStyle name="Style 1 6 4" xfId="794"/>
    <cellStyle name="Style 1 6 4 2" xfId="1396"/>
    <cellStyle name="Style 1 6 4 3" xfId="3906"/>
    <cellStyle name="Style 1 6 5" xfId="1391"/>
    <cellStyle name="Style 1 7" xfId="795"/>
    <cellStyle name="Style 1 7 2" xfId="796"/>
    <cellStyle name="Style 1 7 2 2" xfId="1398"/>
    <cellStyle name="Style 1 7 3" xfId="797"/>
    <cellStyle name="Style 1 7 3 2" xfId="1399"/>
    <cellStyle name="Style 1 7 3 3" xfId="3907"/>
    <cellStyle name="Style 1 7 4" xfId="798"/>
    <cellStyle name="Style 1 7 4 2" xfId="1400"/>
    <cellStyle name="Style 1 7 4 3" xfId="3908"/>
    <cellStyle name="Style 1 7 5" xfId="1397"/>
    <cellStyle name="Style 1 8" xfId="799"/>
    <cellStyle name="Style 1 8 2" xfId="800"/>
    <cellStyle name="Style 1 8 2 2" xfId="801"/>
    <cellStyle name="Style 1 8 2 2 2" xfId="1403"/>
    <cellStyle name="Style 1 8 2 2 3" xfId="3909"/>
    <cellStyle name="Style 1 8 2 3" xfId="1402"/>
    <cellStyle name="Style 1 8 3" xfId="802"/>
    <cellStyle name="Style 1 8 3 2" xfId="1404"/>
    <cellStyle name="Style 1 8 3 3" xfId="3910"/>
    <cellStyle name="Style 1 8 4" xfId="1401"/>
    <cellStyle name="Style 1 8 4 2" xfId="3911"/>
    <cellStyle name="Style 1 9" xfId="803"/>
    <cellStyle name="Style 1 9 2" xfId="804"/>
    <cellStyle name="Style 1 9 2 2" xfId="1406"/>
    <cellStyle name="Style 1 9 2 3" xfId="1832"/>
    <cellStyle name="Style 1 9 2 3 2" xfId="3912"/>
    <cellStyle name="Style 1 9 3" xfId="1405"/>
    <cellStyle name="Style 1 9 4" xfId="1831"/>
    <cellStyle name="Style 1 9 4 2" xfId="3913"/>
    <cellStyle name="Style 1_Exhibits" xfId="1833"/>
    <cellStyle name="Style 2" xfId="805"/>
    <cellStyle name="Style 2 2" xfId="806"/>
    <cellStyle name="Style 2 2 2" xfId="1408"/>
    <cellStyle name="Style 2 2 2 2" xfId="3914"/>
    <cellStyle name="Style 2 2 3" xfId="3915"/>
    <cellStyle name="Style 2 3" xfId="807"/>
    <cellStyle name="Style 2 3 2" xfId="808"/>
    <cellStyle name="Style 2 3 2 2" xfId="1410"/>
    <cellStyle name="Style 2 3 2 2 2" xfId="3916"/>
    <cellStyle name="Style 2 3 3" xfId="1409"/>
    <cellStyle name="Style 2 3 4" xfId="1834"/>
    <cellStyle name="Style 2 4" xfId="809"/>
    <cellStyle name="Style 2 4 2" xfId="810"/>
    <cellStyle name="Style 2 4 2 2" xfId="1412"/>
    <cellStyle name="Style 2 4 2 2 2" xfId="3917"/>
    <cellStyle name="Style 2 4 3" xfId="1411"/>
    <cellStyle name="Style 2 4 3 2" xfId="3918"/>
    <cellStyle name="Style 2 5" xfId="811"/>
    <cellStyle name="Style 2 5 2" xfId="812"/>
    <cellStyle name="Style 2 5 2 2" xfId="1414"/>
    <cellStyle name="Style 2 5 3" xfId="1413"/>
    <cellStyle name="Style 2 5 3 2" xfId="3919"/>
    <cellStyle name="Style 2 6" xfId="813"/>
    <cellStyle name="Style 2 6 2" xfId="1415"/>
    <cellStyle name="Style 2 7" xfId="1407"/>
    <cellStyle name="Style 2 7 2" xfId="1835"/>
    <cellStyle name="Style 21" xfId="3920"/>
    <cellStyle name="Style 22" xfId="3921"/>
    <cellStyle name="Style 23" xfId="3922"/>
    <cellStyle name="Style 24" xfId="3923"/>
    <cellStyle name="Style 24 2" xfId="3924"/>
    <cellStyle name="Style 25" xfId="3925"/>
    <cellStyle name="Style 26" xfId="3926"/>
    <cellStyle name="Style 26 2" xfId="3927"/>
    <cellStyle name="Style 27" xfId="3928"/>
    <cellStyle name="Style 3" xfId="814"/>
    <cellStyle name="Style 3 2" xfId="815"/>
    <cellStyle name="Style 3 2 2" xfId="3929"/>
    <cellStyle name="Style 3 2 2 2" xfId="4376"/>
    <cellStyle name="Style 32" xfId="3930"/>
    <cellStyle name="Style 4" xfId="816"/>
    <cellStyle name="Style 4 2" xfId="817"/>
    <cellStyle name="Style 4 2 2" xfId="3931"/>
    <cellStyle name="Style 4 2 2 2" xfId="4377"/>
    <cellStyle name="Style 5" xfId="818"/>
    <cellStyle name="Style 5 2" xfId="819"/>
    <cellStyle name="Style 5 2 2" xfId="1417"/>
    <cellStyle name="Style 5 2 2 2" xfId="3932"/>
    <cellStyle name="Style 5 2 2 2 2" xfId="3933"/>
    <cellStyle name="Style 5 2 2 3" xfId="3934"/>
    <cellStyle name="Style 5 2 3" xfId="3935"/>
    <cellStyle name="Style 5 2 3 2" xfId="3936"/>
    <cellStyle name="Style 5 2 3 3" xfId="3937"/>
    <cellStyle name="Style 5 2 4" xfId="3938"/>
    <cellStyle name="Style 5 3" xfId="820"/>
    <cellStyle name="Style 5 3 2" xfId="821"/>
    <cellStyle name="Style 5 3 2 2" xfId="1419"/>
    <cellStyle name="Style 5 3 3" xfId="1418"/>
    <cellStyle name="Style 5 4" xfId="822"/>
    <cellStyle name="Style 5 4 2" xfId="823"/>
    <cellStyle name="Style 5 4 2 2" xfId="1421"/>
    <cellStyle name="Style 5 4 3" xfId="1420"/>
    <cellStyle name="Style 5 5" xfId="824"/>
    <cellStyle name="Style 5 5 2" xfId="825"/>
    <cellStyle name="Style 5 5 2 2" xfId="1423"/>
    <cellStyle name="Style 5 5 3" xfId="1422"/>
    <cellStyle name="Style 5 6" xfId="826"/>
    <cellStyle name="Style 5 6 2" xfId="1424"/>
    <cellStyle name="Style 5 7" xfId="1416"/>
    <cellStyle name="Style 5 7 2" xfId="3939"/>
    <cellStyle name="Style 5 8" xfId="3940"/>
    <cellStyle name="Style 5 8 2" xfId="3941"/>
    <cellStyle name="Style 6" xfId="3942"/>
    <cellStyle name="Style 7" xfId="3943"/>
    <cellStyle name="Style 8" xfId="3944"/>
    <cellStyle name="STYLE1" xfId="3945"/>
    <cellStyle name="STYLE2" xfId="3946"/>
    <cellStyle name="styleColumnTitles" xfId="3947"/>
    <cellStyle name="styleSeriesAttributes" xfId="3948"/>
    <cellStyle name="styleSeriesData" xfId="3949"/>
    <cellStyle name="styleSeriesDataForecast" xfId="3950"/>
    <cellStyle name="SubDollar" xfId="3951"/>
    <cellStyle name="SubGrowthRate" xfId="3952"/>
    <cellStyle name="Subhead" xfId="3953"/>
    <cellStyle name="Subscribers" xfId="3954"/>
    <cellStyle name="SubScript" xfId="3955"/>
    <cellStyle name="Subtotal" xfId="3956"/>
    <cellStyle name="SubVariable" xfId="3957"/>
    <cellStyle name="SuperScript" xfId="3958"/>
    <cellStyle name="Synopsis" xfId="4290"/>
    <cellStyle name="Synopsis 2" xfId="4340"/>
    <cellStyle name="Table Heading" xfId="1837"/>
    <cellStyle name="Table Title" xfId="3959"/>
    <cellStyle name="Table Units" xfId="3960"/>
    <cellStyle name="Table Units 2" xfId="3961"/>
    <cellStyle name="Table Units 3" xfId="4364"/>
    <cellStyle name="TableName" xfId="3962"/>
    <cellStyle name="TableName 2" xfId="4291"/>
    <cellStyle name="Text Wrap" xfId="3963"/>
    <cellStyle name="textbold" xfId="827"/>
    <cellStyle name="textbold 2" xfId="828"/>
    <cellStyle name="textbold 3" xfId="3964"/>
    <cellStyle name="TextBold 4" xfId="3965"/>
    <cellStyle name="TextBold 5" xfId="3966"/>
    <cellStyle name="TextBold 6" xfId="4909"/>
    <cellStyle name="Text-fin statements" xfId="4292"/>
    <cellStyle name="TextItalic" xfId="3967"/>
    <cellStyle name="TextNormal" xfId="3968"/>
    <cellStyle name="Title" xfId="1945" builtinId="15" customBuiltin="1"/>
    <cellStyle name="Title 2" xfId="829"/>
    <cellStyle name="Title 3" xfId="1838"/>
    <cellStyle name="Title 3 2" xfId="3970"/>
    <cellStyle name="Title 3 3" xfId="3971"/>
    <cellStyle name="Title 3 4" xfId="3969"/>
    <cellStyle name="Title Line" xfId="1839"/>
    <cellStyle name="title1" xfId="830"/>
    <cellStyle name="title2" xfId="831"/>
    <cellStyle name="TitleBar" xfId="4293"/>
    <cellStyle name="TitleII" xfId="3972"/>
    <cellStyle name="TitleNormal" xfId="3973"/>
    <cellStyle name="Titles" xfId="832"/>
    <cellStyle name="Titles 2" xfId="4294"/>
    <cellStyle name="Titre colonne" xfId="1840"/>
    <cellStyle name="Titre colonnes" xfId="1841"/>
    <cellStyle name="Titre general" xfId="1842"/>
    <cellStyle name="Titre général" xfId="1843"/>
    <cellStyle name="Titre ligne" xfId="1844"/>
    <cellStyle name="Titre lignes" xfId="1845"/>
    <cellStyle name="Titre tableau" xfId="1846"/>
    <cellStyle name="top" xfId="3974"/>
    <cellStyle name="Top Line" xfId="833"/>
    <cellStyle name="Top Row" xfId="1847"/>
    <cellStyle name="Top Row 10" xfId="3975"/>
    <cellStyle name="Top Row 11" xfId="3976"/>
    <cellStyle name="Top Row 2" xfId="1848"/>
    <cellStyle name="Top Row 3" xfId="3977"/>
    <cellStyle name="Top Row 4" xfId="3978"/>
    <cellStyle name="Top Row 5" xfId="3979"/>
    <cellStyle name="Top Row 6" xfId="3980"/>
    <cellStyle name="Top Row 7" xfId="3981"/>
    <cellStyle name="Top Row 8" xfId="3982"/>
    <cellStyle name="Top Row 9" xfId="3983"/>
    <cellStyle name="Top Row_10794" xfId="3984"/>
    <cellStyle name="top-title" xfId="3985"/>
    <cellStyle name="Total" xfId="1960" builtinId="25" customBuiltin="1"/>
    <cellStyle name="Total 10" xfId="3986"/>
    <cellStyle name="Total 2" xfId="834"/>
    <cellStyle name="Total 2 2" xfId="1850"/>
    <cellStyle name="Total 2 2 2" xfId="3987"/>
    <cellStyle name="Total 2 3" xfId="1849"/>
    <cellStyle name="Total 3" xfId="1851"/>
    <cellStyle name="Total 3 2" xfId="3989"/>
    <cellStyle name="Total 3 3" xfId="3988"/>
    <cellStyle name="Total 4" xfId="3990"/>
    <cellStyle name="Total 5" xfId="3991"/>
    <cellStyle name="Total 6" xfId="3992"/>
    <cellStyle name="Total 7" xfId="3993"/>
    <cellStyle name="Total 8" xfId="3994"/>
    <cellStyle name="Total 9" xfId="3995"/>
    <cellStyle name="Total intermediaire" xfId="1852"/>
    <cellStyle name="Total intermediaire 0" xfId="1853"/>
    <cellStyle name="Total intermediaire 1" xfId="1854"/>
    <cellStyle name="Total intermediaire_Sheet1" xfId="1855"/>
    <cellStyle name="Total Row" xfId="1856"/>
    <cellStyle name="Total tableau" xfId="1857"/>
    <cellStyle name="Totals" xfId="835"/>
    <cellStyle name="TRHyperlink" xfId="1858"/>
    <cellStyle name="underline 1 decimal" xfId="836"/>
    <cellStyle name="UnderlineNormal" xfId="3996"/>
    <cellStyle name="UnderlineNormal 2" xfId="4295"/>
    <cellStyle name="Unprot" xfId="3997"/>
    <cellStyle name="Unprot$" xfId="3998"/>
    <cellStyle name="Unprotect" xfId="3999"/>
    <cellStyle name="Unprotected" xfId="4000"/>
    <cellStyle name="UnProtectedCalc" xfId="837"/>
    <cellStyle name="UnProtectedCalc 2" xfId="4001"/>
    <cellStyle name="UnProtectedCalc 3" xfId="4374"/>
    <cellStyle name="Upload Only" xfId="838"/>
    <cellStyle name="Upload Only 2" xfId="4002"/>
    <cellStyle name="Use_1dp" xfId="4296"/>
    <cellStyle name="UseB_1dp" xfId="4297"/>
    <cellStyle name="Währung_ACEA" xfId="1859"/>
    <cellStyle name="Warning Text" xfId="1958" builtinId="11" customBuiltin="1"/>
    <cellStyle name="Warning Text 2" xfId="839"/>
    <cellStyle name="Warning Text 3" xfId="4003"/>
    <cellStyle name="Warning Text 3 2" xfId="4004"/>
    <cellStyle name="WholeNumber" xfId="4005"/>
    <cellStyle name="Year" xfId="840"/>
    <cellStyle name="Year 2" xfId="841"/>
    <cellStyle name="Year 2 2" xfId="1426"/>
    <cellStyle name="Year 2 2 2" xfId="4006"/>
    <cellStyle name="Year 2 2 2 2" xfId="4007"/>
    <cellStyle name="Year 2 2 3" xfId="4008"/>
    <cellStyle name="Year 2 3" xfId="4009"/>
    <cellStyle name="Year 2 3 2" xfId="4010"/>
    <cellStyle name="Year 2 4" xfId="4011"/>
    <cellStyle name="Year 3" xfId="842"/>
    <cellStyle name="Year 3 2" xfId="843"/>
    <cellStyle name="Year 3 2 2" xfId="1428"/>
    <cellStyle name="Year 3 3" xfId="1427"/>
    <cellStyle name="Year 4" xfId="844"/>
    <cellStyle name="Year 4 2" xfId="845"/>
    <cellStyle name="Year 4 2 2" xfId="1430"/>
    <cellStyle name="Year 4 3" xfId="1429"/>
    <cellStyle name="Year 5" xfId="846"/>
    <cellStyle name="Year 5 2" xfId="847"/>
    <cellStyle name="Year 5 2 2" xfId="1432"/>
    <cellStyle name="Year 5 3" xfId="1431"/>
    <cellStyle name="Year 6" xfId="848"/>
    <cellStyle name="Year 6 2" xfId="1433"/>
    <cellStyle name="Year 7" xfId="1425"/>
    <cellStyle name="Year 7 2" xfId="4012"/>
    <cellStyle name="Year 8" xfId="4013"/>
    <cellStyle name="Year 8 2" xfId="4014"/>
    <cellStyle name="Year_FT Valuation " xfId="4298"/>
    <cellStyle name="Years" xfId="4015"/>
    <cellStyle name="パーセント_QTBLNEW" xfId="1861"/>
    <cellStyle name="뷭?_BOOKSHIP_실적현황 " xfId="849"/>
    <cellStyle name="쉼표_매출총괄(02)" xfId="4016"/>
    <cellStyle name="쬞\?1@" xfId="4017"/>
    <cellStyle name="콤마 [0]_   " xfId="850"/>
    <cellStyle name="콤마_   " xfId="851"/>
    <cellStyle name="통화 [0]_AP02MSEst" xfId="1863"/>
    <cellStyle name="통화_AP02MSEst" xfId="1864"/>
    <cellStyle name="표준_0N-HANDLING " xfId="4018"/>
    <cellStyle name="하이퍼링크_000727 IMT-2000 시설투자물량(4210) 4FA고려 필요 " xfId="852"/>
    <cellStyle name="一般_Book2" xfId="4299"/>
    <cellStyle name="千分位[0]_Book2" xfId="4300"/>
    <cellStyle name="千分位_Book2" xfId="4301"/>
    <cellStyle name="未定義" xfId="4019"/>
    <cellStyle name="桁区切り [0.00]_new dif survey sheet" xfId="1865"/>
    <cellStyle name="標準_5401a" xfId="4021"/>
    <cellStyle name="百分比_Comp1-QSI,Liteon" xfId="4302"/>
    <cellStyle name="貨幣 [0]_Book2" xfId="4303"/>
    <cellStyle name="貨幣_Book2" xfId="4304"/>
    <cellStyle name="超連結_Comp-Global" xfId="4305"/>
  </cellStyles>
  <dxfs count="97"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  <color indexed="9"/>
      </font>
      <fill>
        <patternFill>
          <bgColor indexed="23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  <color indexed="9"/>
      </font>
      <fill>
        <patternFill>
          <bgColor indexed="23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  <color indexed="9"/>
      </font>
      <fill>
        <patternFill>
          <bgColor indexed="23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  <color indexed="9"/>
      </font>
      <fill>
        <patternFill>
          <bgColor indexed="23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74BE74"/>
      <rgbColor rgb="002270AB"/>
      <rgbColor rgb="00F8CD14"/>
      <rgbColor rgb="00F26163"/>
      <rgbColor rgb="00A8D7E2"/>
      <rgbColor rgb="00B2122B"/>
      <rgbColor rgb="00238B45"/>
      <rgbColor rgb="001B4694"/>
      <rgbColor rgb="0041A95C"/>
      <rgbColor rgb="00800080"/>
      <rgbColor rgb="00238B45"/>
      <rgbColor rgb="00C0C0C0"/>
      <rgbColor rgb="00808080"/>
      <rgbColor rgb="00137CB1"/>
      <rgbColor rgb="00EACC80"/>
      <rgbColor rgb="004AAC6B"/>
      <rgbColor rgb="00A8D7E2"/>
      <rgbColor rgb="00E58061"/>
      <rgbColor rgb="00BCE3A1"/>
      <rgbColor rgb="008E466A"/>
      <rgbColor rgb="00F3A7A9"/>
      <rgbColor rgb="001275A6"/>
      <rgbColor rgb="00E5BF61"/>
      <rgbColor rgb="004AAC6B"/>
      <rgbColor rgb="0097D0DD"/>
      <rgbColor rgb="00763A58"/>
      <rgbColor rgb="00EF8D8F"/>
      <rgbColor rgb="00E2704C"/>
      <rgbColor rgb="00A5D981"/>
      <rgbColor rgb="0069ADCA"/>
      <rgbColor rgb="00C6D9E2"/>
      <rgbColor rgb="00E3EEDE"/>
      <rgbColor rgb="00F3EEA1"/>
      <rgbColor rgb="009DC9DC"/>
      <rgbColor rgb="00EFC1D2"/>
      <rgbColor rgb="009DC9DC"/>
      <rgbColor rgb="00EFC49F"/>
      <rgbColor rgb="004091BF"/>
      <rgbColor rgb="0097D0DD"/>
      <rgbColor rgb="00A5D981"/>
      <rgbColor rgb="00F8CD14"/>
      <rgbColor rgb="00EACC80"/>
      <rgbColor rgb="00FC7114"/>
      <rgbColor rgb="004091BF"/>
      <rgbColor rgb="00969696"/>
      <rgbColor rgb="00003366"/>
      <rgbColor rgb="0041A95C"/>
      <rgbColor rgb="00125A31"/>
      <rgbColor rgb="00125A31"/>
      <rgbColor rgb="00DDDDDD"/>
      <rgbColor rgb="008E466A"/>
      <rgbColor rgb="001B4694"/>
      <rgbColor rgb="00333333"/>
    </indexedColors>
    <mruColors>
      <color rgb="FF2270AB"/>
      <color rgb="FFEACC80"/>
      <color rgb="FFF3EEA1"/>
      <color rgb="FF0066CC"/>
      <color rgb="FF4AAC6B"/>
      <color rgb="FF009900"/>
      <color rgb="FFA8D7E2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
<Relationships xmlns="http://schemas.openxmlformats.org/package/2006/relationships">
<Relationship Id="rId1" Target="worksheets/sheet1.xml" Type="http://schemas.openxmlformats.org/officeDocument/2006/relationships/worksheet"/>
<Relationship Id="rId10" Target="externalLinks/externalLink1.xml" Type="http://schemas.openxmlformats.org/officeDocument/2006/relationships/externalLink"/>
<Relationship Id="rId11" Target="externalLinks/externalLink2.xml" Type="http://schemas.openxmlformats.org/officeDocument/2006/relationships/externalLink"/>
<Relationship Id="rId12" Target="theme/theme1.xml" Type="http://schemas.openxmlformats.org/officeDocument/2006/relationships/theme"/>
<Relationship Id="rId13" Target="styles.xml" Type="http://schemas.openxmlformats.org/officeDocument/2006/relationships/styles"/>
<Relationship Id="rId14" Target="sharedStrings.xml" Type="http://schemas.openxmlformats.org/officeDocument/2006/relationships/sharedStrings"/>
<Relationship Id="rId15" Target="calcChain.xml" Type="http://schemas.openxmlformats.org/officeDocument/2006/relationships/calcChain"/>
<Relationship Id="rId16" Target="../customXml/item1.xml" Type="http://schemas.openxmlformats.org/officeDocument/2006/relationships/customXml"/>
<Relationship Id="rId17" Target="../customXml/item2.xml" Type="http://schemas.openxmlformats.org/officeDocument/2006/relationships/customXml"/>
<Relationship Id="rId18" Target="vbaProject.bin" Type="http://schemas.microsoft.com/office/2006/relationships/vbaProject"/>
<Relationship Id="rId2" Target="worksheets/sheet2.xml" Type="http://schemas.openxmlformats.org/officeDocument/2006/relationships/worksheet"/>
<Relationship Id="rId3" Target="worksheets/sheet3.xml" Type="http://schemas.openxmlformats.org/officeDocument/2006/relationships/worksheet"/>
<Relationship Id="rId4" Target="worksheets/sheet4.xml" Type="http://schemas.openxmlformats.org/officeDocument/2006/relationships/worksheet"/>
<Relationship Id="rId5" Target="worksheets/sheet5.xml" Type="http://schemas.openxmlformats.org/officeDocument/2006/relationships/worksheet"/>
<Relationship Id="rId6" Target="worksheets/sheet6.xml" Type="http://schemas.openxmlformats.org/officeDocument/2006/relationships/worksheet"/>
<Relationship Id="rId7" Target="worksheets/sheet7.xml" Type="http://schemas.openxmlformats.org/officeDocument/2006/relationships/worksheet"/>
<Relationship Id="rId8" Target="worksheets/sheet8.xml" Type="http://schemas.openxmlformats.org/officeDocument/2006/relationships/worksheet"/>
<Relationship Id="rId9" Target="worksheets/sheet9.xml" Type="http://schemas.openxmlformats.org/officeDocument/2006/relationships/worksheet"/>
</Relationships>
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433070866141732"/>
          <c:y val="9.0686491571144418E-2"/>
          <c:w val="0.77322834645669292"/>
          <c:h val="0.62500149596329269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'BU-Segment'!$B$273</c:f>
              <c:strCache>
                <c:ptCount val="1"/>
                <c:pt idx="0">
                  <c:v>United States</c:v>
                </c:pt>
              </c:strCache>
            </c:strRef>
          </c:tx>
          <c:spPr>
            <a:solidFill>
              <a:srgbClr val="137CB1"/>
            </a:solidFill>
            <a:ln w="25400">
              <a:noFill/>
            </a:ln>
          </c:spPr>
          <c:invertIfNegative val="0"/>
          <c:cat>
            <c:strRef>
              <c:f>'BU-Segment'!$L$272:$AI$272</c:f>
              <c:strCache>
                <c:ptCount val="24"/>
                <c:pt idx="0">
                  <c:v>F1Q07A</c:v>
                </c:pt>
                <c:pt idx="1">
                  <c:v>F2Q07A</c:v>
                </c:pt>
                <c:pt idx="2">
                  <c:v>F3Q07A</c:v>
                </c:pt>
                <c:pt idx="3">
                  <c:v>F4Q07A</c:v>
                </c:pt>
                <c:pt idx="4">
                  <c:v>F1Q08A</c:v>
                </c:pt>
                <c:pt idx="5">
                  <c:v>F2Q08A</c:v>
                </c:pt>
                <c:pt idx="6">
                  <c:v>F3Q08A</c:v>
                </c:pt>
                <c:pt idx="7">
                  <c:v>F4Q08A</c:v>
                </c:pt>
                <c:pt idx="8">
                  <c:v>F1Q09A</c:v>
                </c:pt>
                <c:pt idx="9">
                  <c:v>F2Q09A</c:v>
                </c:pt>
                <c:pt idx="10">
                  <c:v>F3Q09A</c:v>
                </c:pt>
                <c:pt idx="11">
                  <c:v>F4Q09A</c:v>
                </c:pt>
                <c:pt idx="12">
                  <c:v>F1Q10A</c:v>
                </c:pt>
                <c:pt idx="13">
                  <c:v>F2Q10A</c:v>
                </c:pt>
                <c:pt idx="14">
                  <c:v>F3Q10A</c:v>
                </c:pt>
                <c:pt idx="15">
                  <c:v>F4Q10A</c:v>
                </c:pt>
                <c:pt idx="16">
                  <c:v>F1Q11A</c:v>
                </c:pt>
                <c:pt idx="17">
                  <c:v>F2Q11A</c:v>
                </c:pt>
                <c:pt idx="18">
                  <c:v>F3Q11A</c:v>
                </c:pt>
                <c:pt idx="19">
                  <c:v>F4Q11A</c:v>
                </c:pt>
                <c:pt idx="20">
                  <c:v>F1Q12A</c:v>
                </c:pt>
                <c:pt idx="21">
                  <c:v>F2Q12A</c:v>
                </c:pt>
                <c:pt idx="22">
                  <c:v>F3Q12A</c:v>
                </c:pt>
                <c:pt idx="23">
                  <c:v>F4Q12A</c:v>
                </c:pt>
              </c:strCache>
            </c:strRef>
          </c:cat>
          <c:val>
            <c:numRef>
              <c:f>'BU-Segment'!$L$273:$AI$273</c:f>
              <c:numCache>
                <c:formatCode>0.0%</c:formatCode>
                <c:ptCount val="24"/>
                <c:pt idx="0">
                  <c:v>0.26063727016518567</c:v>
                </c:pt>
                <c:pt idx="1">
                  <c:v>0.2215527471074491</c:v>
                </c:pt>
                <c:pt idx="2">
                  <c:v>0.2139121618448053</c:v>
                </c:pt>
                <c:pt idx="3">
                  <c:v>0.19806043538366294</c:v>
                </c:pt>
                <c:pt idx="4">
                  <c:v>0.21446338138062807</c:v>
                </c:pt>
                <c:pt idx="5">
                  <c:v>0.20175562879231221</c:v>
                </c:pt>
                <c:pt idx="6">
                  <c:v>0.19904519974627688</c:v>
                </c:pt>
                <c:pt idx="7">
                  <c:v>0.1973070822284379</c:v>
                </c:pt>
                <c:pt idx="8">
                  <c:v>0.22514683078420963</c:v>
                </c:pt>
                <c:pt idx="9">
                  <c:v>0.20443477381684602</c:v>
                </c:pt>
                <c:pt idx="10">
                  <c:v>0.1917230193235242</c:v>
                </c:pt>
                <c:pt idx="11">
                  <c:v>0.18007172848145561</c:v>
                </c:pt>
                <c:pt idx="12">
                  <c:v>0.19397395946486054</c:v>
                </c:pt>
                <c:pt idx="13">
                  <c:v>0.19208667544594757</c:v>
                </c:pt>
                <c:pt idx="14">
                  <c:v>0.18038984297991087</c:v>
                </c:pt>
                <c:pt idx="15">
                  <c:v>0.17263990441434304</c:v>
                </c:pt>
                <c:pt idx="16">
                  <c:v>0.17899284012167399</c:v>
                </c:pt>
                <c:pt idx="17">
                  <c:v>0.18487948607703789</c:v>
                </c:pt>
                <c:pt idx="18">
                  <c:v>0.17432860712862611</c:v>
                </c:pt>
                <c:pt idx="19">
                  <c:v>0.17216191383176882</c:v>
                </c:pt>
                <c:pt idx="20">
                  <c:v>0.18763598319903466</c:v>
                </c:pt>
                <c:pt idx="21">
                  <c:v>0.28373530204682607</c:v>
                </c:pt>
                <c:pt idx="22">
                  <c:v>0.29585989405966978</c:v>
                </c:pt>
                <c:pt idx="23">
                  <c:v>0.43660678826529137</c:v>
                </c:pt>
              </c:numCache>
            </c:numRef>
          </c:val>
        </c:ser>
        <c:ser>
          <c:idx val="1"/>
          <c:order val="1"/>
          <c:tx>
            <c:strRef>
              <c:f>'BU-Segment'!$B$274</c:f>
              <c:strCache>
                <c:ptCount val="1"/>
                <c:pt idx="0">
                  <c:v>Rest of North and South America</c:v>
                </c:pt>
              </c:strCache>
            </c:strRef>
          </c:tx>
          <c:spPr>
            <a:solidFill>
              <a:srgbClr val="EACC80"/>
            </a:solidFill>
            <a:ln w="25400">
              <a:noFill/>
            </a:ln>
          </c:spPr>
          <c:invertIfNegative val="0"/>
          <c:cat>
            <c:strRef>
              <c:f>'BU-Segment'!$L$272:$AI$272</c:f>
              <c:strCache>
                <c:ptCount val="24"/>
                <c:pt idx="0">
                  <c:v>F1Q07A</c:v>
                </c:pt>
                <c:pt idx="1">
                  <c:v>F2Q07A</c:v>
                </c:pt>
                <c:pt idx="2">
                  <c:v>F3Q07A</c:v>
                </c:pt>
                <c:pt idx="3">
                  <c:v>F4Q07A</c:v>
                </c:pt>
                <c:pt idx="4">
                  <c:v>F1Q08A</c:v>
                </c:pt>
                <c:pt idx="5">
                  <c:v>F2Q08A</c:v>
                </c:pt>
                <c:pt idx="6">
                  <c:v>F3Q08A</c:v>
                </c:pt>
                <c:pt idx="7">
                  <c:v>F4Q08A</c:v>
                </c:pt>
                <c:pt idx="8">
                  <c:v>F1Q09A</c:v>
                </c:pt>
                <c:pt idx="9">
                  <c:v>F2Q09A</c:v>
                </c:pt>
                <c:pt idx="10">
                  <c:v>F3Q09A</c:v>
                </c:pt>
                <c:pt idx="11">
                  <c:v>F4Q09A</c:v>
                </c:pt>
                <c:pt idx="12">
                  <c:v>F1Q10A</c:v>
                </c:pt>
                <c:pt idx="13">
                  <c:v>F2Q10A</c:v>
                </c:pt>
                <c:pt idx="14">
                  <c:v>F3Q10A</c:v>
                </c:pt>
                <c:pt idx="15">
                  <c:v>F4Q10A</c:v>
                </c:pt>
                <c:pt idx="16">
                  <c:v>F1Q11A</c:v>
                </c:pt>
                <c:pt idx="17">
                  <c:v>F2Q11A</c:v>
                </c:pt>
                <c:pt idx="18">
                  <c:v>F3Q11A</c:v>
                </c:pt>
                <c:pt idx="19">
                  <c:v>F4Q11A</c:v>
                </c:pt>
                <c:pt idx="20">
                  <c:v>F1Q12A</c:v>
                </c:pt>
                <c:pt idx="21">
                  <c:v>F2Q12A</c:v>
                </c:pt>
                <c:pt idx="22">
                  <c:v>F3Q12A</c:v>
                </c:pt>
                <c:pt idx="23">
                  <c:v>F4Q12A</c:v>
                </c:pt>
              </c:strCache>
            </c:strRef>
          </c:cat>
          <c:val>
            <c:numRef>
              <c:f>'BU-Segment'!$L$274:$AI$274</c:f>
              <c:numCache>
                <c:formatCode>0.0%</c:formatCode>
                <c:ptCount val="24"/>
                <c:pt idx="0">
                  <c:v>0</c:v>
                </c:pt>
                <c:pt idx="1">
                  <c:v>4.3755219813785502E-2</c:v>
                </c:pt>
                <c:pt idx="2">
                  <c:v>3.32393417240145E-2</c:v>
                </c:pt>
                <c:pt idx="3">
                  <c:v>5.7887038884309315E-2</c:v>
                </c:pt>
                <c:pt idx="4">
                  <c:v>3.4374801477091883E-2</c:v>
                </c:pt>
                <c:pt idx="5">
                  <c:v>3.7156189361505526E-2</c:v>
                </c:pt>
                <c:pt idx="6">
                  <c:v>3.8594143122919151E-2</c:v>
                </c:pt>
                <c:pt idx="7">
                  <c:v>4.0542095002845474E-2</c:v>
                </c:pt>
                <c:pt idx="8">
                  <c:v>4.0564954917336207E-2</c:v>
                </c:pt>
                <c:pt idx="9">
                  <c:v>4.3088122540800591E-2</c:v>
                </c:pt>
                <c:pt idx="10">
                  <c:v>4.8702110404458619E-2</c:v>
                </c:pt>
                <c:pt idx="11">
                  <c:v>5.1093421973407972E-2</c:v>
                </c:pt>
                <c:pt idx="12">
                  <c:v>4.9551977418932212E-2</c:v>
                </c:pt>
                <c:pt idx="13">
                  <c:v>5.6841853226385734E-2</c:v>
                </c:pt>
                <c:pt idx="14">
                  <c:v>5.5795582334892894E-2</c:v>
                </c:pt>
                <c:pt idx="15">
                  <c:v>5.9624150962999514E-2</c:v>
                </c:pt>
                <c:pt idx="16">
                  <c:v>5.7505518157758916E-2</c:v>
                </c:pt>
                <c:pt idx="17">
                  <c:v>5.5437669136801641E-2</c:v>
                </c:pt>
                <c:pt idx="18">
                  <c:v>5.2505469044810536E-2</c:v>
                </c:pt>
                <c:pt idx="19">
                  <c:v>5.3834896820986029E-2</c:v>
                </c:pt>
                <c:pt idx="20">
                  <c:v>6.5364519842359789E-2</c:v>
                </c:pt>
                <c:pt idx="21">
                  <c:v>4.5018915884306475E-2</c:v>
                </c:pt>
                <c:pt idx="22">
                  <c:v>3.6994199342338364E-2</c:v>
                </c:pt>
                <c:pt idx="23">
                  <c:v>2.3185373630864332E-2</c:v>
                </c:pt>
              </c:numCache>
            </c:numRef>
          </c:val>
        </c:ser>
        <c:ser>
          <c:idx val="2"/>
          <c:order val="2"/>
          <c:tx>
            <c:strRef>
              <c:f>'BU-Segment'!$B$275</c:f>
              <c:strCache>
                <c:ptCount val="1"/>
                <c:pt idx="0">
                  <c:v>Europe</c:v>
                </c:pt>
              </c:strCache>
            </c:strRef>
          </c:tx>
          <c:spPr>
            <a:solidFill>
              <a:srgbClr val="4AAC6B"/>
            </a:solidFill>
            <a:ln w="25400">
              <a:noFill/>
            </a:ln>
          </c:spPr>
          <c:invertIfNegative val="0"/>
          <c:cat>
            <c:strRef>
              <c:f>'BU-Segment'!$L$272:$AI$272</c:f>
              <c:strCache>
                <c:ptCount val="24"/>
                <c:pt idx="0">
                  <c:v>F1Q07A</c:v>
                </c:pt>
                <c:pt idx="1">
                  <c:v>F2Q07A</c:v>
                </c:pt>
                <c:pt idx="2">
                  <c:v>F3Q07A</c:v>
                </c:pt>
                <c:pt idx="3">
                  <c:v>F4Q07A</c:v>
                </c:pt>
                <c:pt idx="4">
                  <c:v>F1Q08A</c:v>
                </c:pt>
                <c:pt idx="5">
                  <c:v>F2Q08A</c:v>
                </c:pt>
                <c:pt idx="6">
                  <c:v>F3Q08A</c:v>
                </c:pt>
                <c:pt idx="7">
                  <c:v>F4Q08A</c:v>
                </c:pt>
                <c:pt idx="8">
                  <c:v>F1Q09A</c:v>
                </c:pt>
                <c:pt idx="9">
                  <c:v>F2Q09A</c:v>
                </c:pt>
                <c:pt idx="10">
                  <c:v>F3Q09A</c:v>
                </c:pt>
                <c:pt idx="11">
                  <c:v>F4Q09A</c:v>
                </c:pt>
                <c:pt idx="12">
                  <c:v>F1Q10A</c:v>
                </c:pt>
                <c:pt idx="13">
                  <c:v>F2Q10A</c:v>
                </c:pt>
                <c:pt idx="14">
                  <c:v>F3Q10A</c:v>
                </c:pt>
                <c:pt idx="15">
                  <c:v>F4Q10A</c:v>
                </c:pt>
                <c:pt idx="16">
                  <c:v>F1Q11A</c:v>
                </c:pt>
                <c:pt idx="17">
                  <c:v>F2Q11A</c:v>
                </c:pt>
                <c:pt idx="18">
                  <c:v>F3Q11A</c:v>
                </c:pt>
                <c:pt idx="19">
                  <c:v>F4Q11A</c:v>
                </c:pt>
                <c:pt idx="20">
                  <c:v>F1Q12A</c:v>
                </c:pt>
                <c:pt idx="21">
                  <c:v>F2Q12A</c:v>
                </c:pt>
                <c:pt idx="22">
                  <c:v>F3Q12A</c:v>
                </c:pt>
                <c:pt idx="23">
                  <c:v>F4Q12A</c:v>
                </c:pt>
              </c:strCache>
            </c:strRef>
          </c:cat>
          <c:val>
            <c:numRef>
              <c:f>'BU-Segment'!$L$275:$AI$275</c:f>
              <c:numCache>
                <c:formatCode>0.0%</c:formatCode>
                <c:ptCount val="24"/>
                <c:pt idx="0">
                  <c:v>0.23184115350530524</c:v>
                </c:pt>
                <c:pt idx="1">
                  <c:v>0.24201860136606401</c:v>
                </c:pt>
                <c:pt idx="2">
                  <c:v>0.24016286840148937</c:v>
                </c:pt>
                <c:pt idx="3">
                  <c:v>0.2570059434649149</c:v>
                </c:pt>
                <c:pt idx="4">
                  <c:v>0.25525932996584183</c:v>
                </c:pt>
                <c:pt idx="5">
                  <c:v>0.26913327378569007</c:v>
                </c:pt>
                <c:pt idx="6">
                  <c:v>0.26993137942232459</c:v>
                </c:pt>
                <c:pt idx="7">
                  <c:v>0.25795827430467272</c:v>
                </c:pt>
                <c:pt idx="8">
                  <c:v>0.26805142592153497</c:v>
                </c:pt>
                <c:pt idx="9">
                  <c:v>0.25456663324542705</c:v>
                </c:pt>
                <c:pt idx="10">
                  <c:v>0.24573416993400288</c:v>
                </c:pt>
                <c:pt idx="11">
                  <c:v>0.23286039188243518</c:v>
                </c:pt>
                <c:pt idx="12">
                  <c:v>0.2356053155727442</c:v>
                </c:pt>
                <c:pt idx="13">
                  <c:v>0.26327367412905545</c:v>
                </c:pt>
                <c:pt idx="14">
                  <c:v>0.25827791583945359</c:v>
                </c:pt>
                <c:pt idx="15">
                  <c:v>0.25933583553033157</c:v>
                </c:pt>
                <c:pt idx="16">
                  <c:v>0.26257783073256974</c:v>
                </c:pt>
                <c:pt idx="17">
                  <c:v>0.29253521839196744</c:v>
                </c:pt>
                <c:pt idx="18">
                  <c:v>0.28466873025800166</c:v>
                </c:pt>
                <c:pt idx="19">
                  <c:v>0.2797632845249633</c:v>
                </c:pt>
                <c:pt idx="20">
                  <c:v>0.27233982143573565</c:v>
                </c:pt>
                <c:pt idx="21">
                  <c:v>0.32172556710621036</c:v>
                </c:pt>
                <c:pt idx="22">
                  <c:v>0.31742422689619432</c:v>
                </c:pt>
                <c:pt idx="23">
                  <c:v>0.34846697095101337</c:v>
                </c:pt>
              </c:numCache>
            </c:numRef>
          </c:val>
        </c:ser>
        <c:ser>
          <c:idx val="3"/>
          <c:order val="3"/>
          <c:tx>
            <c:strRef>
              <c:f>'BU-Segment'!$B$276</c:f>
              <c:strCache>
                <c:ptCount val="1"/>
                <c:pt idx="0">
                  <c:v>Japan</c:v>
                </c:pt>
              </c:strCache>
            </c:strRef>
          </c:tx>
          <c:spPr>
            <a:solidFill>
              <a:srgbClr val="A8D7E2"/>
            </a:solidFill>
            <a:ln w="25400">
              <a:noFill/>
            </a:ln>
          </c:spPr>
          <c:invertIfNegative val="0"/>
          <c:cat>
            <c:strRef>
              <c:f>'BU-Segment'!$L$272:$AI$272</c:f>
              <c:strCache>
                <c:ptCount val="24"/>
                <c:pt idx="0">
                  <c:v>F1Q07A</c:v>
                </c:pt>
                <c:pt idx="1">
                  <c:v>F2Q07A</c:v>
                </c:pt>
                <c:pt idx="2">
                  <c:v>F3Q07A</c:v>
                </c:pt>
                <c:pt idx="3">
                  <c:v>F4Q07A</c:v>
                </c:pt>
                <c:pt idx="4">
                  <c:v>F1Q08A</c:v>
                </c:pt>
                <c:pt idx="5">
                  <c:v>F2Q08A</c:v>
                </c:pt>
                <c:pt idx="6">
                  <c:v>F3Q08A</c:v>
                </c:pt>
                <c:pt idx="7">
                  <c:v>F4Q08A</c:v>
                </c:pt>
                <c:pt idx="8">
                  <c:v>F1Q09A</c:v>
                </c:pt>
                <c:pt idx="9">
                  <c:v>F2Q09A</c:v>
                </c:pt>
                <c:pt idx="10">
                  <c:v>F3Q09A</c:v>
                </c:pt>
                <c:pt idx="11">
                  <c:v>F4Q09A</c:v>
                </c:pt>
                <c:pt idx="12">
                  <c:v>F1Q10A</c:v>
                </c:pt>
                <c:pt idx="13">
                  <c:v>F2Q10A</c:v>
                </c:pt>
                <c:pt idx="14">
                  <c:v>F3Q10A</c:v>
                </c:pt>
                <c:pt idx="15">
                  <c:v>F4Q10A</c:v>
                </c:pt>
                <c:pt idx="16">
                  <c:v>F1Q11A</c:v>
                </c:pt>
                <c:pt idx="17">
                  <c:v>F2Q11A</c:v>
                </c:pt>
                <c:pt idx="18">
                  <c:v>F3Q11A</c:v>
                </c:pt>
                <c:pt idx="19">
                  <c:v>F4Q11A</c:v>
                </c:pt>
                <c:pt idx="20">
                  <c:v>F1Q12A</c:v>
                </c:pt>
                <c:pt idx="21">
                  <c:v>F2Q12A</c:v>
                </c:pt>
                <c:pt idx="22">
                  <c:v>F3Q12A</c:v>
                </c:pt>
                <c:pt idx="23">
                  <c:v>F4Q12A</c:v>
                </c:pt>
              </c:strCache>
            </c:strRef>
          </c:cat>
          <c:val>
            <c:numRef>
              <c:f>'BU-Segment'!$L$276:$AI$276</c:f>
              <c:numCache>
                <c:formatCode>0.0%</c:formatCode>
                <c:ptCount val="24"/>
                <c:pt idx="0">
                  <c:v>0.18907810591363081</c:v>
                </c:pt>
                <c:pt idx="1">
                  <c:v>0.21332657163467414</c:v>
                </c:pt>
                <c:pt idx="2">
                  <c:v>0.20575578485693138</c:v>
                </c:pt>
                <c:pt idx="3">
                  <c:v>0.21426303280292261</c:v>
                </c:pt>
                <c:pt idx="4">
                  <c:v>0.2023687549783437</c:v>
                </c:pt>
                <c:pt idx="5">
                  <c:v>0.1975036190593526</c:v>
                </c:pt>
                <c:pt idx="6">
                  <c:v>0.19493130354817856</c:v>
                </c:pt>
                <c:pt idx="7">
                  <c:v>0.18483387215905653</c:v>
                </c:pt>
                <c:pt idx="8">
                  <c:v>0.15261798396454659</c:v>
                </c:pt>
                <c:pt idx="9">
                  <c:v>0.15067993967325824</c:v>
                </c:pt>
                <c:pt idx="10">
                  <c:v>0.18593836066106903</c:v>
                </c:pt>
                <c:pt idx="11">
                  <c:v>0.19971833449965004</c:v>
                </c:pt>
                <c:pt idx="12">
                  <c:v>0.18300681777098193</c:v>
                </c:pt>
                <c:pt idx="13">
                  <c:v>0.15843259906620374</c:v>
                </c:pt>
                <c:pt idx="14">
                  <c:v>0.15206375209984868</c:v>
                </c:pt>
                <c:pt idx="15">
                  <c:v>0.15074871102222107</c:v>
                </c:pt>
                <c:pt idx="16">
                  <c:v>0.14298754708278882</c:v>
                </c:pt>
                <c:pt idx="17">
                  <c:v>0.11732719593312932</c:v>
                </c:pt>
                <c:pt idx="18">
                  <c:v>0.12824349322207884</c:v>
                </c:pt>
                <c:pt idx="19">
                  <c:v>0.14845406027363592</c:v>
                </c:pt>
                <c:pt idx="20">
                  <c:v>0.12553197398998239</c:v>
                </c:pt>
                <c:pt idx="21">
                  <c:v>0.12840730327924701</c:v>
                </c:pt>
                <c:pt idx="22">
                  <c:v>0.1276217889216516</c:v>
                </c:pt>
                <c:pt idx="23">
                  <c:v>0.11273965270143488</c:v>
                </c:pt>
              </c:numCache>
            </c:numRef>
          </c:val>
        </c:ser>
        <c:ser>
          <c:idx val="4"/>
          <c:order val="4"/>
          <c:tx>
            <c:strRef>
              <c:f>'BU-Segment'!$B$277</c:f>
              <c:strCache>
                <c:ptCount val="1"/>
                <c:pt idx="0">
                  <c:v>China</c:v>
                </c:pt>
              </c:strCache>
            </c:strRef>
          </c:tx>
          <c:spPr>
            <a:solidFill>
              <a:srgbClr val="E58061"/>
            </a:solidFill>
            <a:ln w="25400">
              <a:noFill/>
            </a:ln>
          </c:spPr>
          <c:invertIfNegative val="0"/>
          <c:cat>
            <c:strRef>
              <c:f>'BU-Segment'!$L$272:$AI$272</c:f>
              <c:strCache>
                <c:ptCount val="24"/>
                <c:pt idx="0">
                  <c:v>F1Q07A</c:v>
                </c:pt>
                <c:pt idx="1">
                  <c:v>F2Q07A</c:v>
                </c:pt>
                <c:pt idx="2">
                  <c:v>F3Q07A</c:v>
                </c:pt>
                <c:pt idx="3">
                  <c:v>F4Q07A</c:v>
                </c:pt>
                <c:pt idx="4">
                  <c:v>F1Q08A</c:v>
                </c:pt>
                <c:pt idx="5">
                  <c:v>F2Q08A</c:v>
                </c:pt>
                <c:pt idx="6">
                  <c:v>F3Q08A</c:v>
                </c:pt>
                <c:pt idx="7">
                  <c:v>F4Q08A</c:v>
                </c:pt>
                <c:pt idx="8">
                  <c:v>F1Q09A</c:v>
                </c:pt>
                <c:pt idx="9">
                  <c:v>F2Q09A</c:v>
                </c:pt>
                <c:pt idx="10">
                  <c:v>F3Q09A</c:v>
                </c:pt>
                <c:pt idx="11">
                  <c:v>F4Q09A</c:v>
                </c:pt>
                <c:pt idx="12">
                  <c:v>F1Q10A</c:v>
                </c:pt>
                <c:pt idx="13">
                  <c:v>F2Q10A</c:v>
                </c:pt>
                <c:pt idx="14">
                  <c:v>F3Q10A</c:v>
                </c:pt>
                <c:pt idx="15">
                  <c:v>F4Q10A</c:v>
                </c:pt>
                <c:pt idx="16">
                  <c:v>F1Q11A</c:v>
                </c:pt>
                <c:pt idx="17">
                  <c:v>F2Q11A</c:v>
                </c:pt>
                <c:pt idx="18">
                  <c:v>F3Q11A</c:v>
                </c:pt>
                <c:pt idx="19">
                  <c:v>F4Q11A</c:v>
                </c:pt>
                <c:pt idx="20">
                  <c:v>F1Q12A</c:v>
                </c:pt>
                <c:pt idx="21">
                  <c:v>F2Q12A</c:v>
                </c:pt>
                <c:pt idx="22">
                  <c:v>F3Q12A</c:v>
                </c:pt>
                <c:pt idx="23">
                  <c:v>F4Q12A</c:v>
                </c:pt>
              </c:strCache>
            </c:strRef>
          </c:cat>
          <c:val>
            <c:numRef>
              <c:f>'BU-Segment'!$L$277:$AI$277</c:f>
              <c:numCache>
                <c:formatCode>0.0%</c:formatCode>
                <c:ptCount val="24"/>
                <c:pt idx="0">
                  <c:v>0.11143525504379137</c:v>
                </c:pt>
                <c:pt idx="1">
                  <c:v>0.12772246239641966</c:v>
                </c:pt>
                <c:pt idx="2">
                  <c:v>0.14578147193775498</c:v>
                </c:pt>
                <c:pt idx="3">
                  <c:v>0.1188388272161298</c:v>
                </c:pt>
                <c:pt idx="4">
                  <c:v>0.13242190617827723</c:v>
                </c:pt>
                <c:pt idx="5">
                  <c:v>0.15312625127052082</c:v>
                </c:pt>
                <c:pt idx="6">
                  <c:v>0.15725979004106311</c:v>
                </c:pt>
                <c:pt idx="7">
                  <c:v>0.17663494254543693</c:v>
                </c:pt>
                <c:pt idx="8">
                  <c:v>0.18824556360149317</c:v>
                </c:pt>
                <c:pt idx="9">
                  <c:v>0.20925838550136072</c:v>
                </c:pt>
                <c:pt idx="10">
                  <c:v>0.17341170875076983</c:v>
                </c:pt>
                <c:pt idx="11">
                  <c:v>0.17793212036389078</c:v>
                </c:pt>
                <c:pt idx="12">
                  <c:v>0.17665838008700083</c:v>
                </c:pt>
                <c:pt idx="13">
                  <c:v>0.16311654495390879</c:v>
                </c:pt>
                <c:pt idx="14">
                  <c:v>0.18342473170528539</c:v>
                </c:pt>
                <c:pt idx="15">
                  <c:v>0.20889492071325605</c:v>
                </c:pt>
                <c:pt idx="16">
                  <c:v>0.20332215059903583</c:v>
                </c:pt>
                <c:pt idx="17">
                  <c:v>0.19546650142896888</c:v>
                </c:pt>
                <c:pt idx="18">
                  <c:v>0.20830793427118546</c:v>
                </c:pt>
                <c:pt idx="19">
                  <c:v>0.18971868393345379</c:v>
                </c:pt>
                <c:pt idx="20">
                  <c:v>0.18713448487635367</c:v>
                </c:pt>
                <c:pt idx="21">
                  <c:v>0.13243340927337527</c:v>
                </c:pt>
                <c:pt idx="22">
                  <c:v>0.13120437582171104</c:v>
                </c:pt>
                <c:pt idx="23">
                  <c:v>5.8853408234095628E-2</c:v>
                </c:pt>
              </c:numCache>
            </c:numRef>
          </c:val>
        </c:ser>
        <c:ser>
          <c:idx val="5"/>
          <c:order val="5"/>
          <c:tx>
            <c:strRef>
              <c:f>'BU-Segment'!$B$278</c:f>
              <c:strCache>
                <c:ptCount val="1"/>
                <c:pt idx="0">
                  <c:v>Rest of Asia</c:v>
                </c:pt>
              </c:strCache>
            </c:strRef>
          </c:tx>
          <c:spPr>
            <a:solidFill>
              <a:srgbClr val="BCE3A1"/>
            </a:solidFill>
            <a:ln w="25400">
              <a:noFill/>
            </a:ln>
          </c:spPr>
          <c:invertIfNegative val="0"/>
          <c:cat>
            <c:strRef>
              <c:f>'BU-Segment'!$L$272:$AI$272</c:f>
              <c:strCache>
                <c:ptCount val="24"/>
                <c:pt idx="0">
                  <c:v>F1Q07A</c:v>
                </c:pt>
                <c:pt idx="1">
                  <c:v>F2Q07A</c:v>
                </c:pt>
                <c:pt idx="2">
                  <c:v>F3Q07A</c:v>
                </c:pt>
                <c:pt idx="3">
                  <c:v>F4Q07A</c:v>
                </c:pt>
                <c:pt idx="4">
                  <c:v>F1Q08A</c:v>
                </c:pt>
                <c:pt idx="5">
                  <c:v>F2Q08A</c:v>
                </c:pt>
                <c:pt idx="6">
                  <c:v>F3Q08A</c:v>
                </c:pt>
                <c:pt idx="7">
                  <c:v>F4Q08A</c:v>
                </c:pt>
                <c:pt idx="8">
                  <c:v>F1Q09A</c:v>
                </c:pt>
                <c:pt idx="9">
                  <c:v>F2Q09A</c:v>
                </c:pt>
                <c:pt idx="10">
                  <c:v>F3Q09A</c:v>
                </c:pt>
                <c:pt idx="11">
                  <c:v>F4Q09A</c:v>
                </c:pt>
                <c:pt idx="12">
                  <c:v>F1Q10A</c:v>
                </c:pt>
                <c:pt idx="13">
                  <c:v>F2Q10A</c:v>
                </c:pt>
                <c:pt idx="14">
                  <c:v>F3Q10A</c:v>
                </c:pt>
                <c:pt idx="15">
                  <c:v>F4Q10A</c:v>
                </c:pt>
                <c:pt idx="16">
                  <c:v>F1Q11A</c:v>
                </c:pt>
                <c:pt idx="17">
                  <c:v>F2Q11A</c:v>
                </c:pt>
                <c:pt idx="18">
                  <c:v>F3Q11A</c:v>
                </c:pt>
                <c:pt idx="19">
                  <c:v>F4Q11A</c:v>
                </c:pt>
                <c:pt idx="20">
                  <c:v>F1Q12A</c:v>
                </c:pt>
                <c:pt idx="21">
                  <c:v>F2Q12A</c:v>
                </c:pt>
                <c:pt idx="22">
                  <c:v>F3Q12A</c:v>
                </c:pt>
                <c:pt idx="23">
                  <c:v>F4Q12A</c:v>
                </c:pt>
              </c:strCache>
            </c:strRef>
          </c:cat>
          <c:val>
            <c:numRef>
              <c:f>'BU-Segment'!$L$278:$AI$278</c:f>
              <c:numCache>
                <c:formatCode>0.0%</c:formatCode>
                <c:ptCount val="24"/>
                <c:pt idx="0">
                  <c:v>0.15112133042721532</c:v>
                </c:pt>
                <c:pt idx="1">
                  <c:v>0.15162439768160771</c:v>
                </c:pt>
                <c:pt idx="2">
                  <c:v>0.16114837123500439</c:v>
                </c:pt>
                <c:pt idx="3">
                  <c:v>0.15394472224806025</c:v>
                </c:pt>
                <c:pt idx="4">
                  <c:v>0.16111182601981727</c:v>
                </c:pt>
                <c:pt idx="5">
                  <c:v>0.14132503773061877</c:v>
                </c:pt>
                <c:pt idx="6">
                  <c:v>0.14023818411923775</c:v>
                </c:pt>
                <c:pt idx="7">
                  <c:v>0.14272373375955047</c:v>
                </c:pt>
                <c:pt idx="8">
                  <c:v>0.12537324081087944</c:v>
                </c:pt>
                <c:pt idx="9">
                  <c:v>0.13797214522230741</c:v>
                </c:pt>
                <c:pt idx="10">
                  <c:v>0.15449063092617549</c:v>
                </c:pt>
                <c:pt idx="11">
                  <c:v>0.15832400279916028</c:v>
                </c:pt>
                <c:pt idx="12">
                  <c:v>0.16120354968548037</c:v>
                </c:pt>
                <c:pt idx="13">
                  <c:v>0.16624865317849874</c:v>
                </c:pt>
                <c:pt idx="14">
                  <c:v>0.17004817504060865</c:v>
                </c:pt>
                <c:pt idx="15">
                  <c:v>0.14875647735684883</c:v>
                </c:pt>
                <c:pt idx="16">
                  <c:v>0.15461411330617264</c:v>
                </c:pt>
                <c:pt idx="17">
                  <c:v>0.15435392903209491</c:v>
                </c:pt>
                <c:pt idx="18">
                  <c:v>0.15194576607529733</c:v>
                </c:pt>
                <c:pt idx="19">
                  <c:v>0.15606716061519213</c:v>
                </c:pt>
                <c:pt idx="20">
                  <c:v>0.16199321665653382</c:v>
                </c:pt>
                <c:pt idx="21">
                  <c:v>8.8679502410034736E-2</c:v>
                </c:pt>
                <c:pt idx="22">
                  <c:v>9.0895514958434981E-2</c:v>
                </c:pt>
                <c:pt idx="23">
                  <c:v>2.0147806217300477E-2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03997824"/>
        <c:axId val="703999360"/>
      </c:barChart>
      <c:catAx>
        <c:axId val="7039978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03999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03999360"/>
        <c:scaling>
          <c:orientation val="minMax"/>
        </c:scaling>
        <c:delete val="0"/>
        <c:axPos val="l"/>
        <c:majorGridlines>
          <c:spPr>
            <a:ln w="3175">
              <a:solidFill>
                <a:srgbClr val="FFFFFF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03997824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1.0266721647325255E-2"/>
          <c:y val="0.91911996294580822"/>
          <c:w val="0.87063744837381618"/>
          <c:h val="5.3921825948227031E-2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1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 verticalDpi="300"/>
  </c:printSettings>
</c:chartSpace>
</file>

<file path=xl/drawings/_rels/drawing1.xml.rels><?xml version="1.0" encoding="UTF-8" standalone="yes"?>
<Relationships xmlns="http://schemas.openxmlformats.org/package/2006/relationships">
<Relationship Id="rId1" Target="../media/image1.png" Type="http://schemas.openxmlformats.org/officeDocument/2006/relationships/image"/>
<Relationship Id="rId2" Target="../media/image2.jpeg" Type="http://schemas.openxmlformats.org/officeDocument/2006/relationships/image"/>
<Relationship Id="rId3" Target="../media/image3.gif" Type="http://schemas.openxmlformats.org/officeDocument/2006/relationships/image"/>
</Relationships>

</file>

<file path=xl/drawings/_rels/drawing2.xml.rels><?xml version="1.0" encoding="UTF-8" standalone="yes"?>
<Relationships xmlns="http://schemas.openxmlformats.org/package/2006/relationships">
<Relationship Id="rId1" Target="../media/image4.png" Type="http://schemas.openxmlformats.org/officeDocument/2006/relationships/image"/>
</Relationships>

</file>

<file path=xl/drawings/_rels/drawing3.xml.rels><?xml version="1.0" encoding="UTF-8" standalone="yes"?>
<Relationships xmlns="http://schemas.openxmlformats.org/package/2006/relationships">
<Relationship Id="rId1" Target="../media/image4.png" Type="http://schemas.openxmlformats.org/officeDocument/2006/relationships/image"/>
</Relationships>

</file>

<file path=xl/drawings/_rels/drawing4.xml.rels><?xml version="1.0" encoding="UTF-8" standalone="yes"?>
<Relationships xmlns="http://schemas.openxmlformats.org/package/2006/relationships">
<Relationship Id="rId1" Target="../media/image4.png" Type="http://schemas.openxmlformats.org/officeDocument/2006/relationships/image"/>
</Relationships>

</file>

<file path=xl/drawings/_rels/drawing5.xml.rels><?xml version="1.0" encoding="UTF-8" standalone="yes"?>
<Relationships xmlns="http://schemas.openxmlformats.org/package/2006/relationships">
<Relationship Id="rId1" Target="../media/image4.png" Type="http://schemas.openxmlformats.org/officeDocument/2006/relationships/image"/>
<Relationship Id="rId2" Target="../charts/chart1.xml" Type="http://schemas.openxmlformats.org/officeDocument/2006/relationships/chart"/>
</Relationships>
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0</xdr:row>
      <xdr:rowOff>28575</xdr:rowOff>
    </xdr:from>
    <xdr:to>
      <xdr:col>0</xdr:col>
      <xdr:colOff>1581150</xdr:colOff>
      <xdr:row>0</xdr:row>
      <xdr:rowOff>323850</xdr:rowOff>
    </xdr:to>
    <xdr:pic>
      <xdr:nvPicPr>
        <xdr:cNvPr id="2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28575"/>
          <a:ext cx="15621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0</xdr:row>
      <xdr:rowOff>95250</xdr:rowOff>
    </xdr:from>
    <xdr:to>
      <xdr:col>1</xdr:col>
      <xdr:colOff>523875</xdr:colOff>
      <xdr:row>0</xdr:row>
      <xdr:rowOff>314325</xdr:rowOff>
    </xdr:to>
    <xdr:pic>
      <xdr:nvPicPr>
        <xdr:cNvPr id="3" name="Picture 6" descr="MSMS_logo_3" hidden="1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95250"/>
          <a:ext cx="2219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177</xdr:row>
      <xdr:rowOff>0</xdr:rowOff>
    </xdr:from>
    <xdr:to>
      <xdr:col>7</xdr:col>
      <xdr:colOff>390525</xdr:colOff>
      <xdr:row>200</xdr:row>
      <xdr:rowOff>104775</xdr:rowOff>
    </xdr:to>
    <xdr:pic>
      <xdr:nvPicPr>
        <xdr:cNvPr id="20619265" name="Picture 1" descr="C:\Users\sarlinde\AppData\Local\Temp\MercuryPriceRatingHistoryChart\ADI.O_2018_02_27_19_02_20.gif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7289125"/>
          <a:ext cx="6400800" cy="382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38100</xdr:colOff>
      <xdr:row>0</xdr:row>
      <xdr:rowOff>57150</xdr:rowOff>
    </xdr:from>
    <xdr:to>
      <xdr:col>1</xdr:col>
      <xdr:colOff>1628775</xdr:colOff>
      <xdr:row>0</xdr:row>
      <xdr:rowOff>781050</xdr:rowOff>
    </xdr:to>
    <xdr:pic>
      <xdr:nvPicPr>
        <xdr:cNvPr id="3185597" name="Picture 394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" y="57150"/>
          <a:ext cx="1590675" cy="723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38100</xdr:colOff>
      <xdr:row>0</xdr:row>
      <xdr:rowOff>57150</xdr:rowOff>
    </xdr:from>
    <xdr:to>
      <xdr:col>1</xdr:col>
      <xdr:colOff>1628775</xdr:colOff>
      <xdr:row>0</xdr:row>
      <xdr:rowOff>781050</xdr:rowOff>
    </xdr:to>
    <xdr:pic>
      <xdr:nvPicPr>
        <xdr:cNvPr id="15236348" name="Picture 734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" y="57150"/>
          <a:ext cx="1590675" cy="723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38100</xdr:colOff>
      <xdr:row>0</xdr:row>
      <xdr:rowOff>57150</xdr:rowOff>
    </xdr:from>
    <xdr:to>
      <xdr:col>1</xdr:col>
      <xdr:colOff>1628775</xdr:colOff>
      <xdr:row>0</xdr:row>
      <xdr:rowOff>781050</xdr:rowOff>
    </xdr:to>
    <xdr:pic>
      <xdr:nvPicPr>
        <xdr:cNvPr id="10530360" name="Picture 604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" y="57150"/>
          <a:ext cx="1590675" cy="723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38100</xdr:colOff>
      <xdr:row>0</xdr:row>
      <xdr:rowOff>57150</xdr:rowOff>
    </xdr:from>
    <xdr:to>
      <xdr:col>1</xdr:col>
      <xdr:colOff>1628775</xdr:colOff>
      <xdr:row>0</xdr:row>
      <xdr:rowOff>781050</xdr:rowOff>
    </xdr:to>
    <xdr:pic>
      <xdr:nvPicPr>
        <xdr:cNvPr id="18859184" name="Picture 547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" y="57150"/>
          <a:ext cx="1590675" cy="723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30</xdr:col>
      <xdr:colOff>750093</xdr:colOff>
      <xdr:row>324</xdr:row>
      <xdr:rowOff>57149</xdr:rowOff>
    </xdr:from>
    <xdr:to>
      <xdr:col>41</xdr:col>
      <xdr:colOff>7143</xdr:colOff>
      <xdr:row>345</xdr:row>
      <xdr:rowOff>140493</xdr:rowOff>
    </xdr:to>
    <xdr:graphicFrame macro="">
      <xdr:nvGraphicFramePr>
        <xdr:cNvPr id="18859185" name="Chart 59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
<Relationships xmlns="http://schemas.openxmlformats.org/package/2006/relationships">
<Relationship Id="rId1" Target="file://///msad/root/na/ny/users/johndasc/Docs/ID/Charts/Chart_Gallery/From%20Vlad/B11_BarSingle_AverageLine.xls" TargetMode="External" Type="http://schemas.openxmlformats.org/officeDocument/2006/relationships/externalLinkPath"/>
</Relationships>

</file>

<file path=xl/externalLinks/_rels/externalLink2.xml.rels><?xml version="1.0" encoding="UTF-8" standalone="yes"?>
<Relationships xmlns="http://schemas.openxmlformats.org/package/2006/relationships">
<Relationship Id="rId1" Target="c1" TargetMode="External" Type="http://schemas.microsoft.com/office/2006/relationships/xlExternalLinkPath/xlPathMissing"/>
</Relationships>
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Cash"/>
      <sheetName val="Exhibit 3"/>
      <sheetName val="Cash_published"/>
      <sheetName val="NVF_published"/>
      <sheetName val="Exhibit 5"/>
      <sheetName val="IFRS"/>
      <sheetName val="Exhibit 4"/>
      <sheetName val="IFRS Life"/>
      <sheetName val="Exhibit 1"/>
      <sheetName val="Exhibit 2"/>
      <sheetName val="MCEV Roll-up"/>
      <sheetName val="Weekahead"/>
      <sheetName val="MCEV_Capital"/>
      <sheetName val="Assets(new)"/>
      <sheetName val="MCEV P&amp;L"/>
      <sheetName val="Cash Flow"/>
      <sheetName val="upside_downside"/>
      <sheetName val="Income Statement"/>
      <sheetName val="Balance Sheet"/>
      <sheetName val="RI"/>
      <sheetName val="BULLBEAR"/>
      <sheetName val="Sheet2"/>
      <sheetName val="DCF"/>
      <sheetName val="MWA RR"/>
      <sheetName val="REVENUE BY GEOGRAPHY"/>
      <sheetName val="NonQtr"/>
      <sheetName val="Data 20d"/>
      <sheetName val="Data"/>
      <sheetName val="Risk-Reward_View_Chart"/>
      <sheetName val="Valsum"/>
      <sheetName val="Interims"/>
      <sheetName val="Financial Statements"/>
      <sheetName val="Inputs"/>
      <sheetName val="Good 12-00 (2)"/>
      <sheetName val="Good 11-36"/>
      <sheetName val="Good 11-50"/>
      <sheetName val="Sheet3 (5)"/>
      <sheetName val="FX"/>
      <sheetName val="Summary"/>
      <sheetName val="Floater Demand"/>
      <sheetName val="CPB"/>
      <sheetName val="Total_Food_Promo"/>
      <sheetName val="CPB_2yr"/>
      <sheetName val="B11_BarSingle_AverageLine"/>
      <sheetName val="Quero_Sales"/>
      <sheetName val="L2005"/>
      <sheetName val="C2000"/>
      <sheetName val="Cell Reference"/>
      <sheetName val="Shading Period-Level"/>
      <sheetName val="Sources of Change"/>
      <sheetName val="Basic (gridlines)"/>
      <sheetName val="Average (reference) Line"/>
      <sheetName val="Double (overlapping)"/>
      <sheetName val="Reference Step Line"/>
      <sheetName val="Double (gridlines)"/>
      <sheetName val="Growth Line"/>
      <sheetName val="Reference Marks"/>
      <sheetName val="Single-point highlighting"/>
      <sheetName val="CPNO"/>
      <sheetName val="MMP"/>
      <sheetName val="PAA"/>
      <sheetName val="EEP"/>
      <sheetName val="KMP"/>
      <sheetName val="ETP"/>
      <sheetName val="BPL"/>
      <sheetName val="NS"/>
      <sheetName val="BWP"/>
      <sheetName val="EPD"/>
      <sheetName val="RGNC"/>
      <sheetName val="画像1"/>
      <sheetName val="業績推移"/>
      <sheetName val="バリュエーション比較"/>
      <sheetName val="自動車設備投資"/>
      <sheetName val="ロボット機械統計年"/>
      <sheetName val="ロボット機械統計"/>
      <sheetName val="株価と関連指標"/>
      <sheetName val="画像3"/>
      <sheetName val="利益率比較"/>
      <sheetName val="ロボット試算"/>
      <sheetName val="画像2"/>
      <sheetName val="内訳"/>
      <sheetName val="株価(過去1年) "/>
      <sheetName val="WWロボット出荷台数"/>
      <sheetName val="長期営業利益"/>
      <sheetName val="中国NC化率"/>
      <sheetName val="画像4"/>
      <sheetName val="成長率比較"/>
      <sheetName val="バリュエーション"/>
      <sheetName val="四半期"/>
      <sheetName val="画像5"/>
      <sheetName val="RRBox"/>
      <sheetName val="シェアと競合"/>
      <sheetName val="Model"/>
      <sheetName val="Sheet4"/>
      <sheetName val="ForeignStake"/>
      <sheetName val="WP Detail "/>
      <sheetName val="rev change analysis"/>
      <sheetName val="rev contribution analysis"/>
      <sheetName val="WPZ"/>
      <sheetName val="TPP"/>
      <sheetName val="EPE"/>
      <sheetName val="WMZ"/>
      <sheetName val="HEP"/>
      <sheetName val="MGG"/>
      <sheetName val="ETE"/>
      <sheetName val="BGH"/>
      <sheetName val="SEP"/>
      <sheetName val="TCLP"/>
      <sheetName val="SXL"/>
      <sheetName val="WES"/>
      <sheetName val="HTC"/>
      <sheetName val="MS Tele Rep"/>
      <sheetName val="China Handset"/>
      <sheetName val="Smartphone"/>
      <sheetName val="IDC"/>
      <sheetName val="CW"/>
      <sheetName val="R2000"/>
      <sheetName val="__FDS_DOWNL_SCRATCH_SHEET__"/>
      <sheetName val="FIH"/>
      <sheetName val="MIC"/>
      <sheetName val="Valuation"/>
      <sheetName val="Sales by App"/>
      <sheetName val="Net Income &amp; EPS"/>
      <sheetName val="IDC_2"/>
      <sheetName val="Sales by Region Comp"/>
      <sheetName val="What's Changed"/>
      <sheetName val="Outsourcing"/>
      <sheetName val="Nokia vs HTC"/>
      <sheetName val="2012 Outlook"/>
      <sheetName val=" Capital"/>
      <sheetName val="New Business"/>
      <sheetName val="Basket_June09_2010"/>
      <sheetName val="C1070"/>
      <sheetName val="Basket_Jan09"/>
      <sheetName val="Basket_2010"/>
      <sheetName val="Inflation v Price 6mth lag"/>
      <sheetName val="Basket_2011"/>
      <sheetName val="Basket_June09"/>
      <sheetName val="Basket_June09_Futures"/>
      <sheetName val="Commodities Exposure"/>
      <sheetName val="Charts"/>
      <sheetName val="Pension"/>
      <sheetName val="Walk"/>
    </sheetNames>
    <sheetDataSet>
      <sheetData sheetId="0" refreshError="1">
        <row r="5">
          <cell r="F5" t="str">
            <v>Display horizontal line for the average?</v>
          </cell>
        </row>
        <row r="10">
          <cell r="Y10" t="str">
            <v>invisible1</v>
          </cell>
        </row>
        <row r="11">
          <cell r="D11" t="str">
            <v>Jupiter</v>
          </cell>
          <cell r="E11">
            <v>78</v>
          </cell>
          <cell r="X11" t="str">
            <v xml:space="preserve">  </v>
          </cell>
          <cell r="Y11">
            <v>44.5</v>
          </cell>
        </row>
        <row r="12">
          <cell r="D12" t="str">
            <v>Juno</v>
          </cell>
          <cell r="E12">
            <v>58</v>
          </cell>
        </row>
        <row r="13">
          <cell r="D13" t="str">
            <v>Neptune</v>
          </cell>
          <cell r="E13">
            <v>45</v>
          </cell>
          <cell r="X13" t="str">
            <v>width</v>
          </cell>
          <cell r="Y13">
            <v>0.624</v>
          </cell>
        </row>
        <row r="14">
          <cell r="D14" t="str">
            <v>Pluto</v>
          </cell>
          <cell r="E14">
            <v>37</v>
          </cell>
        </row>
        <row r="15">
          <cell r="D15" t="str">
            <v>Minerva</v>
          </cell>
          <cell r="E15">
            <v>26</v>
          </cell>
          <cell r="X15" t="str">
            <v>scaling</v>
          </cell>
          <cell r="Y15">
            <v>8.0000000000000002E-3</v>
          </cell>
        </row>
        <row r="16">
          <cell r="D16" t="str">
            <v>Hermes</v>
          </cell>
          <cell r="E16">
            <v>23</v>
          </cell>
        </row>
        <row r="17">
          <cell r="X17" t="str">
            <v>label</v>
          </cell>
          <cell r="Y17" t="str">
            <v>average: 44.5</v>
          </cell>
        </row>
        <row r="28">
          <cell r="R28" t="b">
            <v>1</v>
          </cell>
        </row>
        <row r="34">
          <cell r="R34" t="str">
            <v>Notes:</v>
          </cell>
        </row>
        <row r="35">
          <cell r="R35" t="str">
            <v>-doesn't work for negative average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1"/>
      <sheetName val="Scenario"/>
      <sheetName val="Sheet1"/>
      <sheetName val="GWP"/>
      <sheetName val="ImportantDisclosures"/>
      <sheetName val="IndexInformation"/>
      <sheetName val="Income"/>
      <sheetName val="Euro vs. PM"/>
      <sheetName val="Ruble"/>
      <sheetName val="MS_IRI_Methodology"/>
      <sheetName val="MARKET_SHARE ($)_RAW_DATA"/>
      <sheetName val="NEXXUS_RAW_DATA"/>
      <sheetName val="HAIR_CARE_MARKET SHARE ROLL-UP"/>
      <sheetName val="TOTAL_ACV_DOLLAR_SALES"/>
      <sheetName val="Income Statement"/>
      <sheetName val="Margins"/>
      <sheetName val="Comps"/>
      <sheetName val="Switches"/>
      <sheetName val="TimeSeries"/>
      <sheetName val="Valuation Analyzer"/>
      <sheetName val="SSB Nielsen Sales"/>
      <sheetName val="EBITDA"/>
      <sheetName val="GWP-WLine"/>
      <sheetName val="TS_Stnd_Dev_Band"/>
      <sheetName val="Print "/>
      <sheetName val="Lookup"/>
      <sheetName val="Input"/>
      <sheetName val="99 cons YTD"/>
      <sheetName val="KPN"/>
      <sheetName val="Realizations vs Average"/>
      <sheetName val="summary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
<Relationship Id="rId1" Target="../printerSettings/printerSettings1.bin" Type="http://schemas.openxmlformats.org/officeDocument/2006/relationships/printerSettings"/>
<Relationship Id="rId2" Target="../drawings/vmlDrawing1.vml" Type="http://schemas.openxmlformats.org/officeDocument/2006/relationships/vmlDrawing"/>
<Relationship Id="rId3" Target="../comments1.xml" Type="http://schemas.openxmlformats.org/officeDocument/2006/relationships/comments"/>
</Relationships>

</file>

<file path=xl/worksheets/_rels/sheet2.xml.rels><?xml version="1.0" encoding="UTF-8" standalone="yes"?>
<Relationships xmlns="http://schemas.openxmlformats.org/package/2006/relationships">
<Relationship Id="rId1" Target="../printerSettings/printerSettings2.bin" Type="http://schemas.openxmlformats.org/officeDocument/2006/relationships/printerSettings"/>
</Relationships>

</file>

<file path=xl/worksheets/_rels/sheet3.xml.rels><?xml version="1.0" encoding="UTF-8" standalone="yes"?>
<Relationships xmlns="http://schemas.openxmlformats.org/package/2006/relationships">
<Relationship Id="rId1" Target="../printerSettings/printerSettings3.bin" Type="http://schemas.openxmlformats.org/officeDocument/2006/relationships/printerSettings"/>
<Relationship Id="rId2" Target="../drawings/drawing1.xml" Type="http://schemas.openxmlformats.org/officeDocument/2006/relationships/drawing"/>
</Relationships>

</file>

<file path=xl/worksheets/_rels/sheet4.xml.rels><?xml version="1.0" encoding="UTF-8" standalone="yes"?>
<Relationships xmlns="http://schemas.openxmlformats.org/package/2006/relationships">
<Relationship Id="rId1" Target="../printerSettings/printerSettings4.bin" Type="http://schemas.openxmlformats.org/officeDocument/2006/relationships/printerSettings"/>
<Relationship Id="rId2" Target="../drawings/drawing2.xml" Type="http://schemas.openxmlformats.org/officeDocument/2006/relationships/drawing"/>
<Relationship Id="rId3" Target="../drawings/vmlDrawing2.vml" Type="http://schemas.openxmlformats.org/officeDocument/2006/relationships/vmlDrawing"/>
<Relationship Id="rId4" Target="../comments2.xml" Type="http://schemas.openxmlformats.org/officeDocument/2006/relationships/comments"/>
</Relationships>

</file>

<file path=xl/worksheets/_rels/sheet5.xml.rels><?xml version="1.0" encoding="UTF-8" standalone="yes"?>
<Relationships xmlns="http://schemas.openxmlformats.org/package/2006/relationships">
<Relationship Id="rId1" Target="../printerSettings/printerSettings5.bin" Type="http://schemas.openxmlformats.org/officeDocument/2006/relationships/printerSettings"/>
<Relationship Id="rId2" Target="../drawings/drawing3.xml" Type="http://schemas.openxmlformats.org/officeDocument/2006/relationships/drawing"/>
<Relationship Id="rId3" Target="../drawings/vmlDrawing3.vml" Type="http://schemas.openxmlformats.org/officeDocument/2006/relationships/vmlDrawing"/>
<Relationship Id="rId4" Target="../comments3.xml" Type="http://schemas.openxmlformats.org/officeDocument/2006/relationships/comments"/>
</Relationships>

</file>

<file path=xl/worksheets/_rels/sheet6.xml.rels><?xml version="1.0" encoding="UTF-8" standalone="yes"?>
<Relationships xmlns="http://schemas.openxmlformats.org/package/2006/relationships">
<Relationship Id="rId1" Target="../printerSettings/printerSettings6.bin" Type="http://schemas.openxmlformats.org/officeDocument/2006/relationships/printerSettings"/>
<Relationship Id="rId2" Target="../drawings/drawing4.xml" Type="http://schemas.openxmlformats.org/officeDocument/2006/relationships/drawing"/>
<Relationship Id="rId3" Target="../drawings/vmlDrawing4.vml" Type="http://schemas.openxmlformats.org/officeDocument/2006/relationships/vmlDrawing"/>
<Relationship Id="rId4" Target="../comments4.xml" Type="http://schemas.openxmlformats.org/officeDocument/2006/relationships/comments"/>
</Relationships>

</file>

<file path=xl/worksheets/_rels/sheet7.xml.rels><?xml version="1.0" encoding="UTF-8" standalone="yes"?>
<Relationships xmlns="http://schemas.openxmlformats.org/package/2006/relationships">
<Relationship Id="rId1" Target="../printerSettings/printerSettings7.bin" Type="http://schemas.openxmlformats.org/officeDocument/2006/relationships/printerSettings"/>
<Relationship Id="rId2" Target="../drawings/drawing5.xml" Type="http://schemas.openxmlformats.org/officeDocument/2006/relationships/drawing"/>
<Relationship Id="rId3" Target="../drawings/vmlDrawing5.vml" Type="http://schemas.openxmlformats.org/officeDocument/2006/relationships/vmlDrawing"/>
<Relationship Id="rId4" Target="../comments5.xml" Type="http://schemas.openxmlformats.org/officeDocument/2006/relationships/comments"/>
</Relationships>

</file>

<file path=xl/worksheets/_rels/sheet8.xml.rels><?xml version="1.0" encoding="UTF-8" standalone="yes"?>
<Relationships xmlns="http://schemas.openxmlformats.org/package/2006/relationships">
<Relationship Id="rId1" Target="../printerSettings/printerSettings8.bin" Type="http://schemas.openxmlformats.org/officeDocument/2006/relationships/printerSettings"/>
</Relationships>
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2"/>
  <sheetViews>
    <sheetView workbookViewId="0"/>
  </sheetViews>
  <sheetFormatPr defaultRowHeight="12.75"/>
  <sheetData>
    <row r="1" spans="1:2">
      <c r="A1" s="375"/>
      <c r="B1" t="s">
        <v>158</v>
      </c>
    </row>
    <row r="2" spans="1:2"/>
  </sheetData>
  <phoneticPr fontId="35" type="noConversion"/>
  <pageMargins left="0.75" right="0.75" top="1" bottom="1" header="0.5" footer="0.5"/>
  <pageSetup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B2"/>
  <sheetViews>
    <sheetView workbookViewId="0"/>
  </sheetViews>
  <sheetFormatPr defaultRowHeight="12.75"/>
  <sheetData>
    <row r="1" spans="1:54">
      <c r="A1" t="s">
        <v>326</v>
      </c>
    </row>
    <row r="2" spans="1:54">
      <c r="A2" s="300" t="s">
        <v>323</v>
      </c>
      <c r="B2" s="300" t="s">
        <v>61</v>
      </c>
      <c r="C2" s="300" t="s">
        <v>324</v>
      </c>
      <c r="D2" s="300" t="s">
        <v>357</v>
      </c>
      <c r="E2" s="300" t="s">
        <v>325</v>
      </c>
      <c r="F2" s="300" t="s">
        <v>626</v>
      </c>
      <c r="G2" s="300" t="s">
        <v>322</v>
      </c>
      <c r="H2" s="300" t="s">
        <v>548</v>
      </c>
      <c r="I2" s="300"/>
      <c r="J2" s="300"/>
      <c r="K2" s="300"/>
      <c r="L2" s="300"/>
      <c r="M2" s="300"/>
      <c r="N2" s="300"/>
      <c r="O2" s="300"/>
      <c r="P2" s="300"/>
      <c r="Q2" s="300"/>
      <c r="R2" s="300"/>
      <c r="S2" s="300"/>
      <c r="T2" s="300"/>
      <c r="U2" s="300"/>
      <c r="V2" s="300"/>
      <c r="W2" s="300"/>
      <c r="X2" s="300"/>
      <c r="Y2" s="300"/>
      <c r="Z2" s="300"/>
      <c r="AA2" s="300"/>
      <c r="AB2" s="300"/>
      <c r="AC2" s="300"/>
      <c r="AD2" s="300"/>
      <c r="AE2" s="300"/>
      <c r="AF2" s="300"/>
      <c r="AG2" s="300"/>
      <c r="AH2" s="300"/>
      <c r="AI2" s="300"/>
      <c r="AJ2" s="300"/>
      <c r="AK2" s="300"/>
      <c r="AL2" s="300"/>
      <c r="AM2" s="300"/>
      <c r="AN2" s="300"/>
      <c r="AO2" s="300"/>
      <c r="AP2" s="300"/>
      <c r="AQ2" s="300"/>
      <c r="AR2" s="300"/>
      <c r="AS2" s="300"/>
      <c r="AT2" s="300"/>
      <c r="AU2" s="300"/>
      <c r="AV2" s="300"/>
      <c r="AW2" s="300"/>
      <c r="AX2" s="300"/>
      <c r="AY2" s="300"/>
      <c r="AZ2" s="300"/>
      <c r="BA2" s="300"/>
      <c r="BB2" s="300"/>
    </row>
  </sheetData>
  <phoneticPr fontId="35" type="noConversion"/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394"/>
  <sheetViews>
    <sheetView showGridLines="0" tabSelected="1" workbookViewId="0">
      <selection activeCell="Z1" sqref="Z1"/>
    </sheetView>
  </sheetViews>
  <sheetFormatPr defaultRowHeight="12.75"/>
  <cols>
    <col min="1" max="1" width="25.7109375" style="1490" customWidth="1"/>
    <col min="2" max="5" width="9.140625" style="1490"/>
    <col min="6" max="6" width="18.7109375" style="1490" customWidth="1"/>
    <col min="7" max="256" width="9.140625" style="1490"/>
    <col min="257" max="257" width="100.7109375" style="1490" customWidth="1"/>
    <col min="258" max="512" width="9.140625" style="1490"/>
    <col min="513" max="513" width="100.7109375" style="1490" customWidth="1"/>
    <col min="514" max="768" width="9.140625" style="1490"/>
    <col min="769" max="769" width="100.7109375" style="1490" customWidth="1"/>
    <col min="770" max="1024" width="9.140625" style="1490"/>
    <col min="1025" max="1025" width="100.7109375" style="1490" customWidth="1"/>
    <col min="1026" max="1280" width="9.140625" style="1490"/>
    <col min="1281" max="1281" width="100.7109375" style="1490" customWidth="1"/>
    <col min="1282" max="1536" width="9.140625" style="1490"/>
    <col min="1537" max="1537" width="100.7109375" style="1490" customWidth="1"/>
    <col min="1538" max="1792" width="9.140625" style="1490"/>
    <col min="1793" max="1793" width="100.7109375" style="1490" customWidth="1"/>
    <col min="1794" max="2048" width="9.140625" style="1490"/>
    <col min="2049" max="2049" width="100.7109375" style="1490" customWidth="1"/>
    <col min="2050" max="2304" width="9.140625" style="1490"/>
    <col min="2305" max="2305" width="100.7109375" style="1490" customWidth="1"/>
    <col min="2306" max="2560" width="9.140625" style="1490"/>
    <col min="2561" max="2561" width="100.7109375" style="1490" customWidth="1"/>
    <col min="2562" max="2816" width="9.140625" style="1490"/>
    <col min="2817" max="2817" width="100.7109375" style="1490" customWidth="1"/>
    <col min="2818" max="3072" width="9.140625" style="1490"/>
    <col min="3073" max="3073" width="100.7109375" style="1490" customWidth="1"/>
    <col min="3074" max="3328" width="9.140625" style="1490"/>
    <col min="3329" max="3329" width="100.7109375" style="1490" customWidth="1"/>
    <col min="3330" max="3584" width="9.140625" style="1490"/>
    <col min="3585" max="3585" width="100.7109375" style="1490" customWidth="1"/>
    <col min="3586" max="3840" width="9.140625" style="1490"/>
    <col min="3841" max="3841" width="100.7109375" style="1490" customWidth="1"/>
    <col min="3842" max="4096" width="9.140625" style="1490"/>
    <col min="4097" max="4097" width="100.7109375" style="1490" customWidth="1"/>
    <col min="4098" max="4352" width="9.140625" style="1490"/>
    <col min="4353" max="4353" width="100.7109375" style="1490" customWidth="1"/>
    <col min="4354" max="4608" width="9.140625" style="1490"/>
    <col min="4609" max="4609" width="100.7109375" style="1490" customWidth="1"/>
    <col min="4610" max="4864" width="9.140625" style="1490"/>
    <col min="4865" max="4865" width="100.7109375" style="1490" customWidth="1"/>
    <col min="4866" max="5120" width="9.140625" style="1490"/>
    <col min="5121" max="5121" width="100.7109375" style="1490" customWidth="1"/>
    <col min="5122" max="5376" width="9.140625" style="1490"/>
    <col min="5377" max="5377" width="100.7109375" style="1490" customWidth="1"/>
    <col min="5378" max="5632" width="9.140625" style="1490"/>
    <col min="5633" max="5633" width="100.7109375" style="1490" customWidth="1"/>
    <col min="5634" max="5888" width="9.140625" style="1490"/>
    <col min="5889" max="5889" width="100.7109375" style="1490" customWidth="1"/>
    <col min="5890" max="6144" width="9.140625" style="1490"/>
    <col min="6145" max="6145" width="100.7109375" style="1490" customWidth="1"/>
    <col min="6146" max="6400" width="9.140625" style="1490"/>
    <col min="6401" max="6401" width="100.7109375" style="1490" customWidth="1"/>
    <col min="6402" max="6656" width="9.140625" style="1490"/>
    <col min="6657" max="6657" width="100.7109375" style="1490" customWidth="1"/>
    <col min="6658" max="6912" width="9.140625" style="1490"/>
    <col min="6913" max="6913" width="100.7109375" style="1490" customWidth="1"/>
    <col min="6914" max="7168" width="9.140625" style="1490"/>
    <col min="7169" max="7169" width="100.7109375" style="1490" customWidth="1"/>
    <col min="7170" max="7424" width="9.140625" style="1490"/>
    <col min="7425" max="7425" width="100.7109375" style="1490" customWidth="1"/>
    <col min="7426" max="7680" width="9.140625" style="1490"/>
    <col min="7681" max="7681" width="100.7109375" style="1490" customWidth="1"/>
    <col min="7682" max="7936" width="9.140625" style="1490"/>
    <col min="7937" max="7937" width="100.7109375" style="1490" customWidth="1"/>
    <col min="7938" max="8192" width="9.140625" style="1490"/>
    <col min="8193" max="8193" width="100.7109375" style="1490" customWidth="1"/>
    <col min="8194" max="8448" width="9.140625" style="1490"/>
    <col min="8449" max="8449" width="100.7109375" style="1490" customWidth="1"/>
    <col min="8450" max="8704" width="9.140625" style="1490"/>
    <col min="8705" max="8705" width="100.7109375" style="1490" customWidth="1"/>
    <col min="8706" max="8960" width="9.140625" style="1490"/>
    <col min="8961" max="8961" width="100.7109375" style="1490" customWidth="1"/>
    <col min="8962" max="9216" width="9.140625" style="1490"/>
    <col min="9217" max="9217" width="100.7109375" style="1490" customWidth="1"/>
    <col min="9218" max="9472" width="9.140625" style="1490"/>
    <col min="9473" max="9473" width="100.7109375" style="1490" customWidth="1"/>
    <col min="9474" max="9728" width="9.140625" style="1490"/>
    <col min="9729" max="9729" width="100.7109375" style="1490" customWidth="1"/>
    <col min="9730" max="9984" width="9.140625" style="1490"/>
    <col min="9985" max="9985" width="100.7109375" style="1490" customWidth="1"/>
    <col min="9986" max="10240" width="9.140625" style="1490"/>
    <col min="10241" max="10241" width="100.7109375" style="1490" customWidth="1"/>
    <col min="10242" max="10496" width="9.140625" style="1490"/>
    <col min="10497" max="10497" width="100.7109375" style="1490" customWidth="1"/>
    <col min="10498" max="10752" width="9.140625" style="1490"/>
    <col min="10753" max="10753" width="100.7109375" style="1490" customWidth="1"/>
    <col min="10754" max="11008" width="9.140625" style="1490"/>
    <col min="11009" max="11009" width="100.7109375" style="1490" customWidth="1"/>
    <col min="11010" max="11264" width="9.140625" style="1490"/>
    <col min="11265" max="11265" width="100.7109375" style="1490" customWidth="1"/>
    <col min="11266" max="11520" width="9.140625" style="1490"/>
    <col min="11521" max="11521" width="100.7109375" style="1490" customWidth="1"/>
    <col min="11522" max="11776" width="9.140625" style="1490"/>
    <col min="11777" max="11777" width="100.7109375" style="1490" customWidth="1"/>
    <col min="11778" max="12032" width="9.140625" style="1490"/>
    <col min="12033" max="12033" width="100.7109375" style="1490" customWidth="1"/>
    <col min="12034" max="12288" width="9.140625" style="1490"/>
    <col min="12289" max="12289" width="100.7109375" style="1490" customWidth="1"/>
    <col min="12290" max="12544" width="9.140625" style="1490"/>
    <col min="12545" max="12545" width="100.7109375" style="1490" customWidth="1"/>
    <col min="12546" max="12800" width="9.140625" style="1490"/>
    <col min="12801" max="12801" width="100.7109375" style="1490" customWidth="1"/>
    <col min="12802" max="13056" width="9.140625" style="1490"/>
    <col min="13057" max="13057" width="100.7109375" style="1490" customWidth="1"/>
    <col min="13058" max="13312" width="9.140625" style="1490"/>
    <col min="13313" max="13313" width="100.7109375" style="1490" customWidth="1"/>
    <col min="13314" max="13568" width="9.140625" style="1490"/>
    <col min="13569" max="13569" width="100.7109375" style="1490" customWidth="1"/>
    <col min="13570" max="13824" width="9.140625" style="1490"/>
    <col min="13825" max="13825" width="100.7109375" style="1490" customWidth="1"/>
    <col min="13826" max="14080" width="9.140625" style="1490"/>
    <col min="14081" max="14081" width="100.7109375" style="1490" customWidth="1"/>
    <col min="14082" max="14336" width="9.140625" style="1490"/>
    <col min="14337" max="14337" width="100.7109375" style="1490" customWidth="1"/>
    <col min="14338" max="14592" width="9.140625" style="1490"/>
    <col min="14593" max="14593" width="100.7109375" style="1490" customWidth="1"/>
    <col min="14594" max="14848" width="9.140625" style="1490"/>
    <col min="14849" max="14849" width="100.7109375" style="1490" customWidth="1"/>
    <col min="14850" max="15104" width="9.140625" style="1490"/>
    <col min="15105" max="15105" width="100.7109375" style="1490" customWidth="1"/>
    <col min="15106" max="15360" width="9.140625" style="1490"/>
    <col min="15361" max="15361" width="100.7109375" style="1490" customWidth="1"/>
    <col min="15362" max="15616" width="9.140625" style="1490"/>
    <col min="15617" max="15617" width="100.7109375" style="1490" customWidth="1"/>
    <col min="15618" max="15872" width="9.140625" style="1490"/>
    <col min="15873" max="15873" width="100.7109375" style="1490" customWidth="1"/>
    <col min="15874" max="16128" width="9.140625" style="1490"/>
    <col min="16129" max="16129" width="100.7109375" style="1490" customWidth="1"/>
    <col min="16130" max="16384" width="9.140625" style="1490"/>
  </cols>
  <sheetData>
    <row r="1" spans="1:8" ht="30" customHeight="1">
      <c r="A1" s="1488"/>
      <c r="B1" s="1489"/>
      <c r="C1" s="1489"/>
      <c r="D1" s="1489"/>
      <c r="E1" s="1489"/>
      <c r="F1" s="1489"/>
      <c r="G1" s="1489"/>
      <c r="H1" s="1489"/>
    </row>
    <row r="2" spans="1:8" ht="14.25">
      <c r="A2" s="1491" t="s">
        <v>633</v>
      </c>
      <c r="B2" s="1489"/>
      <c r="C2" s="1489"/>
      <c r="D2" s="1489"/>
      <c r="E2" s="1489"/>
      <c r="F2" s="1489"/>
      <c r="G2" s="1489"/>
      <c r="H2" s="1489"/>
    </row>
    <row r="3" spans="1:8" ht="14.25">
      <c r="A3" s="1491" t="s">
        <v>634</v>
      </c>
      <c r="B3" s="1489"/>
      <c r="C3" s="1489"/>
      <c r="D3" s="1489"/>
      <c r="E3" s="1489"/>
      <c r="F3" s="1489"/>
      <c r="G3" s="1489"/>
      <c r="H3" s="1489"/>
    </row>
    <row r="4" spans="1:8" ht="14.25">
      <c r="A4" s="1491" t="s">
        <v>223</v>
      </c>
      <c r="B4" s="1489"/>
      <c r="C4" s="1489"/>
      <c r="D4" s="1489"/>
      <c r="E4" s="1489"/>
      <c r="F4" s="1489"/>
      <c r="G4" s="1489"/>
      <c r="H4" s="1489"/>
    </row>
    <row r="5" spans="1:8" ht="14.25">
      <c r="A5" s="1491" t="s">
        <v>635</v>
      </c>
      <c r="B5" s="1489"/>
      <c r="C5" s="1489"/>
      <c r="D5" s="1489"/>
      <c r="E5" s="1489"/>
      <c r="F5" s="1489"/>
      <c r="G5" s="1489"/>
      <c r="H5" s="1489"/>
    </row>
    <row r="6" spans="1:8" ht="14.25">
      <c r="A6" s="1491"/>
      <c r="B6" s="1489"/>
      <c r="C6" s="1489"/>
      <c r="D6" s="1489"/>
      <c r="E6" s="1489"/>
      <c r="F6" s="1489"/>
      <c r="G6" s="1489"/>
      <c r="H6" s="1489"/>
    </row>
    <row r="7" spans="1:8">
      <c r="A7" s="1488" t="s">
        <v>636</v>
      </c>
      <c r="B7" s="1489"/>
      <c r="C7" s="1489"/>
      <c r="D7" s="1489"/>
      <c r="E7" s="1489"/>
      <c r="F7" s="1489"/>
      <c r="G7" s="1489"/>
      <c r="H7" s="1489"/>
    </row>
    <row r="8" spans="1:8">
      <c r="A8" s="1488" t="s">
        <v>637</v>
      </c>
      <c r="B8" s="1489"/>
      <c r="C8" s="1489"/>
      <c r="D8" s="1489"/>
      <c r="E8" s="1489"/>
      <c r="F8" s="1489"/>
      <c r="G8" s="1489"/>
      <c r="H8" s="1489"/>
    </row>
    <row r="9" spans="1:8">
      <c r="A9" s="1488"/>
      <c r="B9" s="1489"/>
      <c r="C9" s="1489"/>
      <c r="D9" s="1489"/>
      <c r="E9" s="1489"/>
      <c r="F9" s="1489"/>
      <c r="G9" s="1489"/>
      <c r="H9" s="1489"/>
    </row>
    <row r="10" spans="1:8">
      <c r="A10" s="1492" t="s">
        <v>638</v>
      </c>
      <c r="B10" s="1489"/>
      <c r="C10" s="1489"/>
      <c r="D10" s="1489"/>
      <c r="E10" s="1489"/>
      <c r="F10" s="1489"/>
      <c r="G10" s="1489"/>
      <c r="H10" s="1489"/>
    </row>
    <row r="11" spans="1:8">
      <c r="A11" s="1492" t="s">
        <v>639</v>
      </c>
      <c r="B11" s="1489"/>
      <c r="C11" s="1489"/>
      <c r="D11" s="1489"/>
      <c r="E11" s="1489"/>
      <c r="F11" s="1489"/>
      <c r="G11" s="1489"/>
      <c r="H11" s="1489"/>
    </row>
    <row r="12" spans="1:8">
      <c r="A12" s="1492" t="s">
        <v>640</v>
      </c>
      <c r="B12" s="1489"/>
      <c r="C12" s="1489"/>
      <c r="D12" s="1489"/>
      <c r="E12" s="1489"/>
      <c r="F12" s="1489"/>
      <c r="G12" s="1489"/>
      <c r="H12" s="1489"/>
    </row>
    <row r="13" spans="1:8">
      <c r="A13" s="1492" t="s">
        <v>641</v>
      </c>
      <c r="B13" s="1489"/>
      <c r="C13" s="1489"/>
      <c r="D13" s="1489"/>
      <c r="E13" s="1489"/>
      <c r="F13" s="1489"/>
      <c r="G13" s="1489"/>
      <c r="H13" s="1489"/>
    </row>
    <row r="14" spans="1:8">
      <c r="A14" s="1492" t="s">
        <v>642</v>
      </c>
      <c r="B14" s="1489"/>
      <c r="C14" s="1489"/>
      <c r="D14" s="1489"/>
      <c r="E14" s="1489"/>
      <c r="F14" s="1489"/>
      <c r="G14" s="1489"/>
      <c r="H14" s="1489"/>
    </row>
    <row r="15" spans="1:8">
      <c r="A15" s="1492" t="s">
        <v>643</v>
      </c>
      <c r="B15" s="1489"/>
      <c r="C15" s="1489"/>
      <c r="D15" s="1489"/>
      <c r="E15" s="1489"/>
      <c r="F15" s="1489"/>
      <c r="G15" s="1489"/>
      <c r="H15" s="1489"/>
    </row>
    <row r="16" spans="1:8">
      <c r="A16" s="1492"/>
      <c r="B16" s="1489"/>
      <c r="C16" s="1489"/>
      <c r="D16" s="1489"/>
      <c r="E16" s="1489"/>
      <c r="F16" s="1489"/>
      <c r="G16" s="1489"/>
      <c r="H16" s="1489"/>
    </row>
    <row r="17" spans="1:8">
      <c r="A17" s="1492" t="s">
        <v>630</v>
      </c>
      <c r="B17" s="1489"/>
      <c r="C17" s="1489"/>
      <c r="D17" s="1489"/>
      <c r="E17" s="1489"/>
      <c r="F17" s="1489"/>
      <c r="G17" s="1489"/>
      <c r="H17" s="1489"/>
    </row>
    <row r="18" spans="1:8">
      <c r="A18" s="1492"/>
      <c r="B18" s="1489"/>
      <c r="C18" s="1489"/>
      <c r="D18" s="1489"/>
      <c r="E18" s="1489"/>
      <c r="F18" s="1489"/>
      <c r="G18" s="1489"/>
      <c r="H18" s="1489"/>
    </row>
    <row r="19" spans="1:8">
      <c r="A19" s="1492" t="s">
        <v>631</v>
      </c>
      <c r="B19" s="1489"/>
      <c r="C19" s="1489"/>
      <c r="D19" s="1489"/>
      <c r="E19" s="1489"/>
      <c r="F19" s="1489"/>
      <c r="G19" s="1489"/>
      <c r="H19" s="1489"/>
    </row>
    <row r="20" spans="1:8">
      <c r="A20" s="1488"/>
      <c r="B20" s="1489"/>
      <c r="C20" s="1489"/>
      <c r="D20" s="1489"/>
      <c r="E20" s="1489"/>
      <c r="F20" s="1489"/>
      <c r="G20" s="1489"/>
      <c r="H20" s="1489"/>
    </row>
    <row r="21" spans="1:8">
      <c r="A21" s="1493" t="s">
        <v>632</v>
      </c>
      <c r="B21" s="1489"/>
      <c r="C21" s="1489"/>
      <c r="D21" s="1489"/>
      <c r="E21" s="1489"/>
      <c r="F21" s="1489"/>
      <c r="G21" s="1489"/>
      <c r="H21" s="1489"/>
    </row>
    <row r="22" spans="1:8">
      <c r="A22" s="1494"/>
      <c r="B22" s="1494"/>
      <c r="C22" s="1494"/>
      <c r="D22" s="1494"/>
      <c r="E22" s="1494"/>
      <c r="F22" s="1494"/>
      <c r="G22" s="1494"/>
      <c r="H22" s="1494"/>
    </row>
    <row r="23" spans="1:8">
      <c r="A23" s="1495" t="s">
        <v>924</v>
      </c>
      <c r="B23" s="1494"/>
      <c r="C23" s="1494"/>
      <c r="D23" s="1494"/>
      <c r="E23" s="1494"/>
      <c r="F23" s="1494"/>
      <c r="G23" s="1494"/>
      <c r="H23" s="1494"/>
    </row>
    <row r="24" spans="1:8">
      <c r="A24" s="1495" t="s">
        <v>925</v>
      </c>
      <c r="B24" s="1494"/>
      <c r="C24" s="1494"/>
      <c r="D24" s="1494"/>
      <c r="E24" s="1494"/>
      <c r="F24" s="1494"/>
      <c r="G24" s="1494"/>
      <c r="H24" s="1494"/>
    </row>
    <row r="25" spans="1:8">
      <c r="A25" s="1495" t="s">
        <v>926</v>
      </c>
      <c r="B25" s="1494"/>
      <c r="C25" s="1494"/>
      <c r="D25" s="1494"/>
      <c r="E25" s="1494"/>
      <c r="F25" s="1494"/>
      <c r="G25" s="1494"/>
      <c r="H25" s="1494"/>
    </row>
    <row r="26" spans="1:8">
      <c r="A26" s="1495" t="s">
        <v>927</v>
      </c>
      <c r="B26" s="1494"/>
      <c r="C26" s="1494"/>
      <c r="D26" s="1494"/>
      <c r="E26" s="1494"/>
      <c r="F26" s="1494"/>
      <c r="G26" s="1494"/>
      <c r="H26" s="1494"/>
    </row>
    <row r="27" spans="1:8">
      <c r="A27" s="1494"/>
      <c r="B27" s="1494"/>
      <c r="C27" s="1494"/>
      <c r="D27" s="1494"/>
      <c r="E27" s="1494"/>
      <c r="F27" s="1494"/>
      <c r="G27" s="1494"/>
      <c r="H27" s="1494"/>
    </row>
    <row r="28" spans="1:8">
      <c r="A28" s="1494"/>
      <c r="B28" s="1494"/>
      <c r="C28" s="1494"/>
      <c r="D28" s="1494"/>
      <c r="E28" s="1494"/>
      <c r="F28" s="1494"/>
      <c r="G28" s="1494"/>
      <c r="H28" s="1494"/>
    </row>
    <row r="29" spans="1:8">
      <c r="A29" s="1495" t="s">
        <v>919</v>
      </c>
      <c r="B29" s="1494"/>
      <c r="C29" s="1494"/>
      <c r="D29" s="1494"/>
      <c r="E29" s="1494"/>
      <c r="F29" s="1494"/>
      <c r="G29" s="1494"/>
      <c r="H29" s="1494"/>
    </row>
    <row r="30" spans="1:8">
      <c r="A30" s="1495" t="s">
        <v>920</v>
      </c>
      <c r="B30" s="1494"/>
      <c r="C30" s="1494"/>
      <c r="D30" s="1494"/>
      <c r="E30" s="1494"/>
      <c r="F30" s="1494"/>
      <c r="G30" s="1494"/>
      <c r="H30" s="1494"/>
    </row>
    <row r="31" spans="1:8">
      <c r="A31" s="1495" t="s">
        <v>921</v>
      </c>
      <c r="B31" s="1494"/>
      <c r="C31" s="1494"/>
      <c r="D31" s="1494"/>
      <c r="E31" s="1494"/>
      <c r="F31" s="1494"/>
      <c r="G31" s="1494"/>
      <c r="H31" s="1494"/>
    </row>
    <row r="32" spans="1:8">
      <c r="A32" s="1495" t="s">
        <v>922</v>
      </c>
      <c r="B32" s="1494"/>
      <c r="C32" s="1494"/>
      <c r="D32" s="1494"/>
      <c r="E32" s="1494"/>
      <c r="F32" s="1494"/>
      <c r="G32" s="1494"/>
      <c r="H32" s="1494"/>
    </row>
    <row r="33" spans="1:8">
      <c r="A33" s="1495" t="s">
        <v>923</v>
      </c>
      <c r="B33" s="1494"/>
      <c r="C33" s="1494"/>
      <c r="D33" s="1494"/>
      <c r="E33" s="1494"/>
      <c r="F33" s="1494"/>
      <c r="G33" s="1494"/>
      <c r="H33" s="1494"/>
    </row>
    <row r="34" spans="1:8">
      <c r="A34" s="1494"/>
      <c r="B34" s="1494"/>
      <c r="C34" s="1494"/>
      <c r="D34" s="1494"/>
      <c r="E34" s="1494"/>
      <c r="F34" s="1494"/>
      <c r="G34" s="1494"/>
      <c r="H34" s="1494"/>
    </row>
    <row r="35" spans="1:8">
      <c r="A35" s="1495" t="s">
        <v>915</v>
      </c>
      <c r="B35" s="1494"/>
      <c r="C35" s="1494"/>
      <c r="D35" s="1494"/>
      <c r="E35" s="1494"/>
      <c r="F35" s="1494"/>
      <c r="G35" s="1494"/>
      <c r="H35" s="1494"/>
    </row>
    <row r="36" spans="1:8">
      <c r="A36" s="1495" t="s">
        <v>916</v>
      </c>
      <c r="B36" s="1494"/>
      <c r="C36" s="1494"/>
      <c r="D36" s="1494"/>
      <c r="E36" s="1494"/>
      <c r="F36" s="1494"/>
      <c r="G36" s="1494"/>
      <c r="H36" s="1494"/>
    </row>
    <row r="37" spans="1:8">
      <c r="A37" s="1495" t="s">
        <v>917</v>
      </c>
      <c r="B37" s="1494"/>
      <c r="C37" s="1494"/>
      <c r="D37" s="1494"/>
      <c r="E37" s="1494"/>
      <c r="F37" s="1494"/>
      <c r="G37" s="1494"/>
      <c r="H37" s="1494"/>
    </row>
    <row r="38" spans="1:8">
      <c r="A38" s="1495" t="s">
        <v>918</v>
      </c>
      <c r="B38" s="1494"/>
      <c r="C38" s="1494"/>
      <c r="D38" s="1494"/>
      <c r="E38" s="1494"/>
      <c r="F38" s="1494"/>
      <c r="G38" s="1494"/>
      <c r="H38" s="1494"/>
    </row>
    <row r="39" spans="1:8">
      <c r="A39" s="1494"/>
      <c r="B39" s="1494"/>
      <c r="C39" s="1494"/>
      <c r="D39" s="1494"/>
      <c r="E39" s="1494"/>
      <c r="F39" s="1494"/>
      <c r="G39" s="1494"/>
      <c r="H39" s="1494"/>
    </row>
    <row r="40" spans="1:8">
      <c r="A40" s="1495" t="s">
        <v>909</v>
      </c>
      <c r="B40" s="1494"/>
      <c r="C40" s="1494"/>
      <c r="D40" s="1494"/>
      <c r="E40" s="1494"/>
      <c r="F40" s="1494"/>
      <c r="G40" s="1494"/>
      <c r="H40" s="1494"/>
    </row>
    <row r="41" spans="1:8">
      <c r="A41" s="1495" t="s">
        <v>910</v>
      </c>
      <c r="B41" s="1494"/>
      <c r="C41" s="1494"/>
      <c r="D41" s="1494"/>
      <c r="E41" s="1494"/>
      <c r="F41" s="1494"/>
      <c r="G41" s="1494"/>
      <c r="H41" s="1494"/>
    </row>
    <row r="42" spans="1:8">
      <c r="A42" s="1495" t="s">
        <v>911</v>
      </c>
      <c r="B42" s="1494"/>
      <c r="C42" s="1494"/>
      <c r="D42" s="1494"/>
      <c r="E42" s="1494"/>
      <c r="F42" s="1494"/>
      <c r="G42" s="1494"/>
      <c r="H42" s="1494"/>
    </row>
    <row r="43" spans="1:8">
      <c r="A43" s="1495" t="s">
        <v>912</v>
      </c>
      <c r="B43" s="1494"/>
      <c r="C43" s="1494"/>
      <c r="D43" s="1494"/>
      <c r="E43" s="1494"/>
      <c r="F43" s="1494"/>
      <c r="G43" s="1494"/>
      <c r="H43" s="1494"/>
    </row>
    <row r="44" spans="1:8">
      <c r="A44" s="1495" t="s">
        <v>913</v>
      </c>
      <c r="B44" s="1494"/>
      <c r="C44" s="1494"/>
      <c r="D44" s="1494"/>
      <c r="E44" s="1494"/>
      <c r="F44" s="1494"/>
      <c r="G44" s="1494"/>
      <c r="H44" s="1494"/>
    </row>
    <row r="45" spans="1:8">
      <c r="A45" s="1495" t="s">
        <v>914</v>
      </c>
      <c r="B45" s="1494"/>
      <c r="C45" s="1494"/>
      <c r="D45" s="1494"/>
      <c r="E45" s="1494"/>
      <c r="F45" s="1494"/>
      <c r="G45" s="1494"/>
      <c r="H45" s="1494"/>
    </row>
    <row r="46" spans="1:8">
      <c r="A46" s="1494"/>
      <c r="B46" s="1494"/>
      <c r="C46" s="1494"/>
      <c r="D46" s="1494"/>
      <c r="E46" s="1494"/>
      <c r="F46" s="1494"/>
      <c r="G46" s="1494"/>
      <c r="H46" s="1494"/>
    </row>
    <row r="47" spans="1:8" ht="15.75">
      <c r="A47" s="1496" t="s">
        <v>644</v>
      </c>
      <c r="B47" s="1494"/>
      <c r="C47" s="1494"/>
      <c r="D47" s="1494"/>
      <c r="E47" s="1494"/>
      <c r="F47" s="1494"/>
      <c r="G47" s="1494"/>
      <c r="H47" s="1494"/>
    </row>
    <row r="48" spans="1:8">
      <c r="A48" s="1494"/>
      <c r="B48" s="1494"/>
      <c r="C48" s="1494"/>
      <c r="D48" s="1494"/>
      <c r="E48" s="1494"/>
      <c r="F48" s="1494"/>
      <c r="G48" s="1494"/>
      <c r="H48" s="1494"/>
    </row>
    <row r="49" spans="1:8">
      <c r="A49" s="1495" t="s">
        <v>905</v>
      </c>
      <c r="B49" s="1494"/>
      <c r="C49" s="1494"/>
      <c r="D49" s="1494"/>
      <c r="E49" s="1494"/>
      <c r="F49" s="1494"/>
      <c r="G49" s="1494"/>
      <c r="H49" s="1494"/>
    </row>
    <row r="50" spans="1:8">
      <c r="A50" s="1495" t="s">
        <v>906</v>
      </c>
      <c r="B50" s="1494"/>
      <c r="C50" s="1494"/>
      <c r="D50" s="1494"/>
      <c r="E50" s="1494"/>
      <c r="F50" s="1494"/>
      <c r="G50" s="1494"/>
      <c r="H50" s="1494"/>
    </row>
    <row r="51" spans="1:8">
      <c r="A51" s="1495" t="s">
        <v>907</v>
      </c>
      <c r="B51" s="1494"/>
      <c r="C51" s="1494"/>
      <c r="D51" s="1494"/>
      <c r="E51" s="1494"/>
      <c r="F51" s="1494"/>
      <c r="G51" s="1494"/>
      <c r="H51" s="1494"/>
    </row>
    <row r="52" spans="1:8">
      <c r="A52" s="1495" t="s">
        <v>908</v>
      </c>
      <c r="B52" s="1494"/>
      <c r="C52" s="1494"/>
      <c r="D52" s="1494"/>
      <c r="E52" s="1494"/>
      <c r="F52" s="1494"/>
      <c r="G52" s="1494"/>
      <c r="H52" s="1494"/>
    </row>
    <row r="53" spans="1:8">
      <c r="A53" s="1494"/>
      <c r="B53" s="1494"/>
      <c r="C53" s="1494"/>
      <c r="D53" s="1494"/>
      <c r="E53" s="1494"/>
      <c r="F53" s="1494"/>
      <c r="G53" s="1494"/>
      <c r="H53" s="1494"/>
    </row>
    <row r="54" spans="1:8">
      <c r="A54" s="1495" t="s">
        <v>645</v>
      </c>
      <c r="B54" s="1494"/>
      <c r="C54" s="1494"/>
      <c r="D54" s="1494"/>
      <c r="E54" s="1494"/>
      <c r="F54" s="1494"/>
      <c r="G54" s="1494"/>
      <c r="H54" s="1494"/>
    </row>
    <row r="55" spans="1:8">
      <c r="A55" s="1494"/>
      <c r="B55" s="1494"/>
      <c r="C55" s="1494"/>
      <c r="D55" s="1494"/>
      <c r="E55" s="1494"/>
      <c r="F55" s="1494"/>
      <c r="G55" s="1494"/>
      <c r="H55" s="1494"/>
    </row>
    <row r="56" spans="1:8" ht="15.75">
      <c r="A56" s="1496" t="s">
        <v>646</v>
      </c>
      <c r="B56" s="1494"/>
      <c r="C56" s="1494"/>
      <c r="D56" s="1494"/>
      <c r="E56" s="1494"/>
      <c r="F56" s="1494"/>
      <c r="G56" s="1494"/>
      <c r="H56" s="1494"/>
    </row>
    <row r="57" spans="1:8">
      <c r="A57" s="1494"/>
      <c r="B57" s="1494"/>
      <c r="C57" s="1494"/>
      <c r="D57" s="1494"/>
      <c r="E57" s="1494"/>
      <c r="F57" s="1494"/>
      <c r="G57" s="1494"/>
      <c r="H57" s="1494"/>
    </row>
    <row r="58" spans="1:8">
      <c r="A58" s="1495" t="s">
        <v>903</v>
      </c>
      <c r="B58" s="1494"/>
      <c r="C58" s="1494"/>
      <c r="D58" s="1494"/>
      <c r="E58" s="1494"/>
      <c r="F58" s="1494"/>
      <c r="G58" s="1494"/>
      <c r="H58" s="1494"/>
    </row>
    <row r="59" spans="1:8">
      <c r="A59" s="1495" t="s">
        <v>904</v>
      </c>
      <c r="B59" s="1494"/>
      <c r="C59" s="1494"/>
      <c r="D59" s="1494"/>
      <c r="E59" s="1494"/>
      <c r="F59" s="1494"/>
      <c r="G59" s="1494"/>
      <c r="H59" s="1494"/>
    </row>
    <row r="60" spans="1:8">
      <c r="A60" s="1494"/>
      <c r="B60" s="1494"/>
      <c r="C60" s="1494"/>
      <c r="D60" s="1494"/>
      <c r="E60" s="1494"/>
      <c r="F60" s="1494"/>
      <c r="G60" s="1494"/>
      <c r="H60" s="1494"/>
    </row>
    <row r="61" spans="1:8" ht="15.75">
      <c r="A61" s="1496" t="s">
        <v>647</v>
      </c>
      <c r="B61" s="1494"/>
      <c r="C61" s="1494"/>
      <c r="D61" s="1494"/>
      <c r="E61" s="1494"/>
      <c r="F61" s="1494"/>
      <c r="G61" s="1494"/>
      <c r="H61" s="1494"/>
    </row>
    <row r="62" spans="1:8">
      <c r="A62" s="1494"/>
      <c r="B62" s="1494"/>
      <c r="C62" s="1494"/>
      <c r="D62" s="1494"/>
      <c r="E62" s="1494"/>
      <c r="F62" s="1494"/>
      <c r="G62" s="1494"/>
      <c r="H62" s="1494"/>
    </row>
    <row r="63" spans="1:8">
      <c r="A63" s="1495" t="s">
        <v>901</v>
      </c>
      <c r="B63" s="1494"/>
      <c r="C63" s="1494"/>
      <c r="D63" s="1494"/>
      <c r="E63" s="1494"/>
      <c r="F63" s="1494"/>
      <c r="G63" s="1494"/>
      <c r="H63" s="1494"/>
    </row>
    <row r="64" spans="1:8">
      <c r="A64" s="1495" t="s">
        <v>902</v>
      </c>
      <c r="B64" s="1494"/>
      <c r="C64" s="1494"/>
      <c r="D64" s="1494"/>
      <c r="E64" s="1494"/>
      <c r="F64" s="1494"/>
      <c r="G64" s="1494"/>
      <c r="H64" s="1494"/>
    </row>
    <row r="65" spans="1:8">
      <c r="A65" s="1494"/>
      <c r="B65" s="1494"/>
      <c r="C65" s="1494"/>
      <c r="D65" s="1494"/>
      <c r="E65" s="1494"/>
      <c r="F65" s="1494"/>
      <c r="G65" s="1494"/>
      <c r="H65" s="1494"/>
    </row>
    <row r="66" spans="1:8">
      <c r="A66" s="1495" t="s">
        <v>899</v>
      </c>
      <c r="B66" s="1494"/>
      <c r="C66" s="1494"/>
      <c r="D66" s="1494"/>
      <c r="E66" s="1494"/>
      <c r="F66" s="1494"/>
      <c r="G66" s="1494"/>
      <c r="H66" s="1494"/>
    </row>
    <row r="67" spans="1:8">
      <c r="A67" s="1495" t="s">
        <v>900</v>
      </c>
      <c r="B67" s="1494"/>
      <c r="C67" s="1494"/>
      <c r="D67" s="1494"/>
      <c r="E67" s="1494"/>
      <c r="F67" s="1494"/>
      <c r="G67" s="1494"/>
      <c r="H67" s="1494"/>
    </row>
    <row r="68" spans="1:8">
      <c r="A68" s="1494"/>
      <c r="B68" s="1494"/>
      <c r="C68" s="1494"/>
      <c r="D68" s="1494"/>
      <c r="E68" s="1494"/>
      <c r="F68" s="1494"/>
      <c r="G68" s="1494"/>
      <c r="H68" s="1494"/>
    </row>
    <row r="69" spans="1:8">
      <c r="A69" s="1495" t="s">
        <v>897</v>
      </c>
      <c r="B69" s="1494"/>
      <c r="C69" s="1494"/>
      <c r="D69" s="1494"/>
      <c r="E69" s="1494"/>
      <c r="F69" s="1494"/>
      <c r="G69" s="1494"/>
      <c r="H69" s="1494"/>
    </row>
    <row r="70" spans="1:8">
      <c r="A70" s="1495" t="s">
        <v>898</v>
      </c>
      <c r="B70" s="1494"/>
      <c r="C70" s="1494"/>
      <c r="D70" s="1494"/>
      <c r="E70" s="1494"/>
      <c r="F70" s="1494"/>
      <c r="G70" s="1494"/>
      <c r="H70" s="1494"/>
    </row>
    <row r="71" spans="1:8">
      <c r="A71" s="1494"/>
      <c r="B71" s="1494"/>
      <c r="C71" s="1494"/>
      <c r="D71" s="1494"/>
      <c r="E71" s="1494"/>
      <c r="F71" s="1494"/>
      <c r="G71" s="1494"/>
      <c r="H71" s="1494"/>
    </row>
    <row r="72" spans="1:8">
      <c r="A72" s="1495" t="s">
        <v>895</v>
      </c>
      <c r="B72" s="1494"/>
      <c r="C72" s="1494"/>
      <c r="D72" s="1494"/>
      <c r="E72" s="1494"/>
      <c r="F72" s="1494"/>
      <c r="G72" s="1494"/>
      <c r="H72" s="1494"/>
    </row>
    <row r="73" spans="1:8">
      <c r="A73" s="1495" t="s">
        <v>896</v>
      </c>
      <c r="B73" s="1494"/>
      <c r="C73" s="1494"/>
      <c r="D73" s="1494"/>
      <c r="E73" s="1494"/>
      <c r="F73" s="1494"/>
      <c r="G73" s="1494"/>
      <c r="H73" s="1494"/>
    </row>
    <row r="74" spans="1:8">
      <c r="A74" s="1494"/>
      <c r="B74" s="1494"/>
      <c r="C74" s="1494"/>
      <c r="D74" s="1494"/>
      <c r="E74" s="1494"/>
      <c r="F74" s="1494"/>
      <c r="G74" s="1494"/>
      <c r="H74" s="1494"/>
    </row>
    <row r="75" spans="1:8">
      <c r="A75" s="1495" t="s">
        <v>892</v>
      </c>
      <c r="B75" s="1494"/>
      <c r="C75" s="1494"/>
      <c r="D75" s="1494"/>
      <c r="E75" s="1494"/>
      <c r="F75" s="1494"/>
      <c r="G75" s="1494"/>
      <c r="H75" s="1494"/>
    </row>
    <row r="76" spans="1:8">
      <c r="A76" s="1495" t="s">
        <v>893</v>
      </c>
      <c r="B76" s="1494"/>
      <c r="C76" s="1494"/>
      <c r="D76" s="1494"/>
      <c r="E76" s="1494"/>
      <c r="F76" s="1494"/>
      <c r="G76" s="1494"/>
      <c r="H76" s="1494"/>
    </row>
    <row r="77" spans="1:8">
      <c r="A77" s="1495" t="s">
        <v>894</v>
      </c>
      <c r="B77" s="1494"/>
      <c r="C77" s="1494"/>
      <c r="D77" s="1494"/>
      <c r="E77" s="1494"/>
      <c r="F77" s="1494"/>
      <c r="G77" s="1494"/>
      <c r="H77" s="1494"/>
    </row>
    <row r="78" spans="1:8">
      <c r="A78" s="1494"/>
      <c r="B78" s="1494"/>
      <c r="C78" s="1494"/>
      <c r="D78" s="1494"/>
      <c r="E78" s="1494"/>
      <c r="F78" s="1494"/>
      <c r="G78" s="1494"/>
      <c r="H78" s="1494"/>
    </row>
    <row r="79" spans="1:8">
      <c r="A79" s="1495" t="s">
        <v>648</v>
      </c>
      <c r="B79" s="1494"/>
      <c r="C79" s="1494"/>
      <c r="D79" s="1494"/>
      <c r="E79" s="1494"/>
      <c r="F79" s="1494"/>
      <c r="G79" s="1494"/>
      <c r="H79" s="1494"/>
    </row>
    <row r="80" spans="1:8">
      <c r="A80" s="1494"/>
      <c r="B80" s="1494"/>
      <c r="C80" s="1494"/>
      <c r="D80" s="1494"/>
      <c r="E80" s="1494"/>
      <c r="F80" s="1494"/>
      <c r="G80" s="1494"/>
      <c r="H80" s="1494"/>
    </row>
    <row r="81" spans="1:8">
      <c r="A81" s="1495" t="s">
        <v>887</v>
      </c>
      <c r="B81" s="1494"/>
      <c r="C81" s="1494"/>
      <c r="D81" s="1494"/>
      <c r="E81" s="1494"/>
      <c r="F81" s="1494"/>
      <c r="G81" s="1494"/>
      <c r="H81" s="1494"/>
    </row>
    <row r="82" spans="1:8">
      <c r="A82" s="1495" t="s">
        <v>888</v>
      </c>
      <c r="B82" s="1494"/>
      <c r="C82" s="1494"/>
      <c r="D82" s="1494"/>
      <c r="E82" s="1494"/>
      <c r="F82" s="1494"/>
      <c r="G82" s="1494"/>
      <c r="H82" s="1494"/>
    </row>
    <row r="83" spans="1:8">
      <c r="A83" s="1495" t="s">
        <v>889</v>
      </c>
      <c r="B83" s="1494"/>
      <c r="C83" s="1494"/>
      <c r="D83" s="1494"/>
      <c r="E83" s="1494"/>
      <c r="F83" s="1494"/>
      <c r="G83" s="1494"/>
      <c r="H83" s="1494"/>
    </row>
    <row r="84" spans="1:8">
      <c r="A84" s="1495" t="s">
        <v>890</v>
      </c>
      <c r="B84" s="1494"/>
      <c r="C84" s="1494"/>
      <c r="D84" s="1494"/>
      <c r="E84" s="1494"/>
      <c r="F84" s="1494"/>
      <c r="G84" s="1494"/>
      <c r="H84" s="1494"/>
    </row>
    <row r="85" spans="1:8">
      <c r="A85" s="1495" t="s">
        <v>891</v>
      </c>
      <c r="B85" s="1494"/>
      <c r="C85" s="1494"/>
      <c r="D85" s="1494"/>
      <c r="E85" s="1494"/>
      <c r="F85" s="1494"/>
      <c r="G85" s="1494"/>
      <c r="H85" s="1494"/>
    </row>
    <row r="86" spans="1:8">
      <c r="A86" s="1495" t="s">
        <v>774</v>
      </c>
      <c r="B86" s="1494"/>
      <c r="C86" s="1494"/>
      <c r="D86" s="1494"/>
      <c r="E86" s="1494"/>
      <c r="F86" s="1494"/>
      <c r="G86" s="1494"/>
      <c r="H86" s="1494"/>
    </row>
    <row r="87" spans="1:8">
      <c r="A87" s="1494"/>
      <c r="B87" s="1494"/>
      <c r="C87" s="1494"/>
      <c r="D87" s="1494"/>
      <c r="E87" s="1494"/>
      <c r="F87" s="1494"/>
      <c r="G87" s="1494"/>
      <c r="H87" s="1494"/>
    </row>
    <row r="88" spans="1:8">
      <c r="A88" s="1495" t="s">
        <v>880</v>
      </c>
      <c r="B88" s="1494"/>
      <c r="C88" s="1494"/>
      <c r="D88" s="1494"/>
      <c r="E88" s="1494"/>
      <c r="F88" s="1494"/>
      <c r="G88" s="1494"/>
      <c r="H88" s="1494"/>
    </row>
    <row r="89" spans="1:8">
      <c r="A89" s="1495" t="s">
        <v>881</v>
      </c>
      <c r="B89" s="1494"/>
      <c r="C89" s="1494"/>
      <c r="D89" s="1494"/>
      <c r="E89" s="1494"/>
      <c r="F89" s="1494"/>
      <c r="G89" s="1494"/>
      <c r="H89" s="1494"/>
    </row>
    <row r="90" spans="1:8">
      <c r="A90" s="1495" t="s">
        <v>882</v>
      </c>
      <c r="B90" s="1494"/>
      <c r="C90" s="1494"/>
      <c r="D90" s="1494"/>
      <c r="E90" s="1494"/>
      <c r="F90" s="1494"/>
      <c r="G90" s="1494"/>
      <c r="H90" s="1494"/>
    </row>
    <row r="91" spans="1:8">
      <c r="A91" s="1495" t="s">
        <v>883</v>
      </c>
      <c r="B91" s="1494"/>
      <c r="C91" s="1494"/>
      <c r="D91" s="1494"/>
      <c r="E91" s="1494"/>
      <c r="F91" s="1494"/>
      <c r="G91" s="1494"/>
      <c r="H91" s="1494"/>
    </row>
    <row r="92" spans="1:8">
      <c r="A92" s="1495" t="s">
        <v>884</v>
      </c>
      <c r="B92" s="1494"/>
      <c r="C92" s="1494"/>
      <c r="D92" s="1494"/>
      <c r="E92" s="1494"/>
      <c r="F92" s="1494"/>
      <c r="G92" s="1494"/>
      <c r="H92" s="1494"/>
    </row>
    <row r="93" spans="1:8">
      <c r="A93" s="1495" t="s">
        <v>885</v>
      </c>
      <c r="B93" s="1494"/>
      <c r="C93" s="1494"/>
      <c r="D93" s="1494"/>
      <c r="E93" s="1494"/>
      <c r="F93" s="1494"/>
      <c r="G93" s="1494"/>
      <c r="H93" s="1494"/>
    </row>
    <row r="94" spans="1:8">
      <c r="A94" s="1495" t="s">
        <v>886</v>
      </c>
      <c r="B94" s="1494"/>
      <c r="C94" s="1494"/>
      <c r="D94" s="1494"/>
      <c r="E94" s="1494"/>
      <c r="F94" s="1494"/>
      <c r="G94" s="1494"/>
      <c r="H94" s="1494"/>
    </row>
    <row r="95" spans="1:8">
      <c r="A95" s="1494"/>
      <c r="B95" s="1494"/>
      <c r="C95" s="1494"/>
      <c r="D95" s="1494"/>
      <c r="E95" s="1494"/>
      <c r="F95" s="1494"/>
      <c r="G95" s="1494"/>
      <c r="H95" s="1494"/>
    </row>
    <row r="96" spans="1:8">
      <c r="A96" s="1495" t="s">
        <v>878</v>
      </c>
      <c r="B96" s="1494"/>
      <c r="C96" s="1494"/>
      <c r="D96" s="1494"/>
      <c r="E96" s="1494"/>
      <c r="F96" s="1494"/>
      <c r="G96" s="1494"/>
      <c r="H96" s="1494"/>
    </row>
    <row r="97" spans="1:8">
      <c r="A97" s="1495" t="s">
        <v>879</v>
      </c>
      <c r="B97" s="1494"/>
      <c r="C97" s="1494"/>
      <c r="D97" s="1494"/>
      <c r="E97" s="1494"/>
      <c r="F97" s="1494"/>
      <c r="G97" s="1494"/>
      <c r="H97" s="1494"/>
    </row>
    <row r="98" spans="1:8">
      <c r="A98" s="1494"/>
      <c r="B98" s="1494"/>
      <c r="C98" s="1494"/>
      <c r="D98" s="1494"/>
      <c r="E98" s="1494"/>
      <c r="F98" s="1494"/>
      <c r="G98" s="1494"/>
      <c r="H98" s="1494"/>
    </row>
    <row r="99" spans="1:8" ht="15.75">
      <c r="A99" s="1496" t="s">
        <v>649</v>
      </c>
      <c r="B99" s="1494"/>
      <c r="C99" s="1494"/>
      <c r="D99" s="1494"/>
      <c r="E99" s="1494"/>
      <c r="F99" s="1494"/>
      <c r="G99" s="1494"/>
      <c r="H99" s="1494"/>
    </row>
    <row r="100" spans="1:8">
      <c r="A100" s="1494"/>
      <c r="B100" s="1494"/>
      <c r="C100" s="1494"/>
      <c r="D100" s="1494"/>
      <c r="E100" s="1494"/>
      <c r="F100" s="1494"/>
      <c r="G100" s="1494"/>
      <c r="H100" s="1494"/>
    </row>
    <row r="101" spans="1:8">
      <c r="A101" s="1495" t="s">
        <v>869</v>
      </c>
      <c r="B101" s="1494"/>
      <c r="C101" s="1494"/>
      <c r="D101" s="1494"/>
      <c r="E101" s="1494"/>
      <c r="F101" s="1494"/>
      <c r="G101" s="1494"/>
      <c r="H101" s="1494"/>
    </row>
    <row r="102" spans="1:8">
      <c r="A102" s="1495" t="s">
        <v>870</v>
      </c>
      <c r="B102" s="1494"/>
      <c r="C102" s="1494"/>
      <c r="D102" s="1494"/>
      <c r="E102" s="1494"/>
      <c r="F102" s="1494"/>
      <c r="G102" s="1494"/>
      <c r="H102" s="1494"/>
    </row>
    <row r="103" spans="1:8">
      <c r="A103" s="1495" t="s">
        <v>871</v>
      </c>
      <c r="B103" s="1494"/>
      <c r="C103" s="1494"/>
      <c r="D103" s="1494"/>
      <c r="E103" s="1494"/>
      <c r="F103" s="1494"/>
      <c r="G103" s="1494"/>
      <c r="H103" s="1494"/>
    </row>
    <row r="104" spans="1:8">
      <c r="A104" s="1495" t="s">
        <v>872</v>
      </c>
      <c r="B104" s="1494"/>
      <c r="C104" s="1494"/>
      <c r="D104" s="1494"/>
      <c r="E104" s="1494"/>
      <c r="F104" s="1494"/>
      <c r="G104" s="1494"/>
      <c r="H104" s="1494"/>
    </row>
    <row r="105" spans="1:8">
      <c r="A105" s="1495" t="s">
        <v>873</v>
      </c>
      <c r="B105" s="1494"/>
      <c r="C105" s="1494"/>
      <c r="D105" s="1494"/>
      <c r="E105" s="1494"/>
      <c r="F105" s="1494"/>
      <c r="G105" s="1494"/>
      <c r="H105" s="1494"/>
    </row>
    <row r="106" spans="1:8">
      <c r="A106" s="1495" t="s">
        <v>874</v>
      </c>
      <c r="B106" s="1494"/>
      <c r="C106" s="1494"/>
      <c r="D106" s="1494"/>
      <c r="E106" s="1494"/>
      <c r="F106" s="1494"/>
      <c r="G106" s="1494"/>
      <c r="H106" s="1494"/>
    </row>
    <row r="107" spans="1:8">
      <c r="A107" s="1495" t="s">
        <v>875</v>
      </c>
      <c r="B107" s="1494"/>
      <c r="C107" s="1494"/>
      <c r="D107" s="1494"/>
      <c r="E107" s="1494"/>
      <c r="F107" s="1494"/>
      <c r="G107" s="1494"/>
      <c r="H107" s="1494"/>
    </row>
    <row r="108" spans="1:8">
      <c r="A108" s="1495" t="s">
        <v>876</v>
      </c>
      <c r="B108" s="1494"/>
      <c r="C108" s="1494"/>
      <c r="D108" s="1494"/>
      <c r="E108" s="1494"/>
      <c r="F108" s="1494"/>
      <c r="G108" s="1494"/>
      <c r="H108" s="1494"/>
    </row>
    <row r="109" spans="1:8">
      <c r="A109" s="1495" t="s">
        <v>877</v>
      </c>
      <c r="B109" s="1494"/>
      <c r="C109" s="1494"/>
      <c r="D109" s="1494"/>
      <c r="E109" s="1494"/>
      <c r="F109" s="1494"/>
      <c r="G109" s="1494"/>
      <c r="H109" s="1494"/>
    </row>
    <row r="110" spans="1:8">
      <c r="A110" s="1494"/>
      <c r="B110" s="1494"/>
      <c r="C110" s="1494"/>
      <c r="D110" s="1494"/>
      <c r="E110" s="1494"/>
      <c r="F110" s="1494"/>
      <c r="G110" s="1494"/>
      <c r="H110" s="1494"/>
    </row>
    <row r="111" spans="1:8" ht="15.75">
      <c r="A111" s="1497" t="s">
        <v>650</v>
      </c>
      <c r="B111" s="1497"/>
      <c r="C111" s="1497"/>
      <c r="D111" s="1497"/>
      <c r="E111" s="1497"/>
      <c r="F111" s="1497"/>
      <c r="G111" s="1497"/>
      <c r="H111" s="1497"/>
    </row>
    <row r="112" spans="1:8">
      <c r="A112" s="1498" t="s">
        <v>651</v>
      </c>
      <c r="B112" s="1498"/>
      <c r="C112" s="1498"/>
      <c r="D112" s="1498"/>
      <c r="E112" s="1498"/>
      <c r="F112" s="1498"/>
      <c r="G112" s="1498"/>
      <c r="H112" s="1498"/>
    </row>
    <row r="113" spans="1:8">
      <c r="A113" s="1499"/>
      <c r="B113" s="1499"/>
      <c r="C113" s="1499"/>
      <c r="D113" s="1499"/>
      <c r="E113" s="1499"/>
      <c r="F113" s="1499"/>
      <c r="G113" s="1499"/>
      <c r="H113" s="1499"/>
    </row>
    <row r="114" spans="1:8">
      <c r="A114" s="1498" t="s">
        <v>867</v>
      </c>
      <c r="B114" s="1498"/>
      <c r="C114" s="1498"/>
      <c r="D114" s="1498"/>
      <c r="E114" s="1498"/>
      <c r="F114" s="1498"/>
      <c r="G114" s="1498"/>
      <c r="H114" s="1498"/>
    </row>
    <row r="115" spans="1:8">
      <c r="A115" s="1495" t="s">
        <v>868</v>
      </c>
      <c r="B115" s="1495"/>
      <c r="C115" s="1495"/>
      <c r="D115" s="1495"/>
      <c r="E115" s="1495"/>
      <c r="F115" s="1495"/>
      <c r="G115" s="1495"/>
      <c r="H115" s="1495"/>
    </row>
    <row r="116" spans="1:8">
      <c r="A116" s="1499"/>
      <c r="B116" s="1499"/>
      <c r="C116" s="1499"/>
      <c r="D116" s="1499"/>
      <c r="E116" s="1499"/>
      <c r="F116" s="1499"/>
      <c r="G116" s="1499"/>
      <c r="H116" s="1499"/>
    </row>
    <row r="117" spans="1:8">
      <c r="A117" s="1498" t="s">
        <v>860</v>
      </c>
      <c r="B117" s="1498"/>
      <c r="C117" s="1498"/>
      <c r="D117" s="1498"/>
      <c r="E117" s="1498"/>
      <c r="F117" s="1498"/>
      <c r="G117" s="1498"/>
      <c r="H117" s="1498"/>
    </row>
    <row r="118" spans="1:8">
      <c r="A118" s="1495" t="s">
        <v>861</v>
      </c>
      <c r="B118" s="1495"/>
      <c r="C118" s="1495"/>
      <c r="D118" s="1495"/>
      <c r="E118" s="1495"/>
      <c r="F118" s="1495"/>
      <c r="G118" s="1495"/>
      <c r="H118" s="1495"/>
    </row>
    <row r="119" spans="1:8">
      <c r="A119" s="1495" t="s">
        <v>862</v>
      </c>
      <c r="B119" s="1495"/>
      <c r="C119" s="1495"/>
      <c r="D119" s="1495"/>
      <c r="E119" s="1495"/>
      <c r="F119" s="1495"/>
      <c r="G119" s="1495"/>
      <c r="H119" s="1495"/>
    </row>
    <row r="120" spans="1:8">
      <c r="A120" s="1495" t="s">
        <v>863</v>
      </c>
      <c r="B120" s="1495"/>
      <c r="C120" s="1495"/>
      <c r="D120" s="1495"/>
      <c r="E120" s="1495"/>
      <c r="F120" s="1495"/>
      <c r="G120" s="1495"/>
      <c r="H120" s="1495"/>
    </row>
    <row r="121" spans="1:8">
      <c r="A121" s="1495" t="s">
        <v>864</v>
      </c>
      <c r="B121" s="1495"/>
      <c r="C121" s="1495"/>
      <c r="D121" s="1495"/>
      <c r="E121" s="1495"/>
      <c r="F121" s="1495"/>
      <c r="G121" s="1495"/>
      <c r="H121" s="1495"/>
    </row>
    <row r="122" spans="1:8">
      <c r="A122" s="1495" t="s">
        <v>865</v>
      </c>
      <c r="B122" s="1495"/>
      <c r="C122" s="1495"/>
      <c r="D122" s="1495"/>
      <c r="E122" s="1495"/>
      <c r="F122" s="1495"/>
      <c r="G122" s="1495"/>
      <c r="H122" s="1495"/>
    </row>
    <row r="123" spans="1:8">
      <c r="A123" s="1495" t="s">
        <v>866</v>
      </c>
      <c r="B123" s="1495"/>
      <c r="C123" s="1495"/>
      <c r="D123" s="1495"/>
      <c r="E123" s="1495"/>
      <c r="F123" s="1495"/>
      <c r="G123" s="1495"/>
      <c r="H123" s="1495"/>
    </row>
    <row r="124" spans="1:8">
      <c r="A124" s="1500"/>
      <c r="B124" s="1500"/>
      <c r="C124" s="1500"/>
      <c r="D124" s="1500"/>
      <c r="E124" s="1500"/>
      <c r="F124" s="1500"/>
      <c r="G124" s="1500"/>
      <c r="H124" s="1500"/>
    </row>
    <row r="125" spans="1:8">
      <c r="A125" s="1501"/>
      <c r="B125" s="1502" t="s">
        <v>652</v>
      </c>
      <c r="C125" s="1503"/>
      <c r="D125" s="1502" t="s">
        <v>653</v>
      </c>
      <c r="E125" s="1504"/>
      <c r="F125" s="1503"/>
      <c r="G125" s="1502" t="s">
        <v>654</v>
      </c>
      <c r="H125" s="1503"/>
    </row>
    <row r="126" spans="1:8">
      <c r="A126" s="1501" t="s">
        <v>655</v>
      </c>
      <c r="B126" s="1501" t="s">
        <v>171</v>
      </c>
      <c r="C126" s="1501" t="s">
        <v>656</v>
      </c>
      <c r="D126" s="1501" t="s">
        <v>171</v>
      </c>
      <c r="E126" s="1501" t="s">
        <v>657</v>
      </c>
      <c r="F126" s="1501" t="s">
        <v>658</v>
      </c>
      <c r="G126" s="1501" t="s">
        <v>171</v>
      </c>
      <c r="H126" s="1501" t="s">
        <v>659</v>
      </c>
    </row>
    <row r="127" spans="1:8">
      <c r="A127" s="1501" t="s">
        <v>660</v>
      </c>
      <c r="B127" s="1501">
        <v>1175</v>
      </c>
      <c r="C127" s="1505">
        <v>0.37</v>
      </c>
      <c r="D127" s="1501">
        <v>315</v>
      </c>
      <c r="E127" s="1505">
        <v>0.41</v>
      </c>
      <c r="F127" s="1505">
        <v>0.27</v>
      </c>
      <c r="G127" s="1501">
        <v>555</v>
      </c>
      <c r="H127" s="1505">
        <v>0.39</v>
      </c>
    </row>
    <row r="128" spans="1:8">
      <c r="A128" s="1501" t="s">
        <v>661</v>
      </c>
      <c r="B128" s="1501">
        <v>1369</v>
      </c>
      <c r="C128" s="1505">
        <v>0.43</v>
      </c>
      <c r="D128" s="1501">
        <v>357</v>
      </c>
      <c r="E128" s="1505">
        <v>0.47</v>
      </c>
      <c r="F128" s="1505">
        <v>0.26</v>
      </c>
      <c r="G128" s="1501">
        <v>643</v>
      </c>
      <c r="H128" s="1505">
        <v>0.45</v>
      </c>
    </row>
    <row r="129" spans="1:8">
      <c r="A129" s="1501" t="s">
        <v>662</v>
      </c>
      <c r="B129" s="1501">
        <v>53</v>
      </c>
      <c r="C129" s="1505">
        <v>0.02</v>
      </c>
      <c r="D129" s="1501">
        <v>5</v>
      </c>
      <c r="E129" s="1505">
        <v>0.01</v>
      </c>
      <c r="F129" s="1505">
        <v>0.09</v>
      </c>
      <c r="G129" s="1501">
        <v>7</v>
      </c>
      <c r="H129" s="1505">
        <v>0</v>
      </c>
    </row>
    <row r="130" spans="1:8">
      <c r="A130" s="1501" t="s">
        <v>663</v>
      </c>
      <c r="B130" s="1501">
        <v>552</v>
      </c>
      <c r="C130" s="1505">
        <v>0.18</v>
      </c>
      <c r="D130" s="1501">
        <v>87</v>
      </c>
      <c r="E130" s="1505">
        <v>0.11</v>
      </c>
      <c r="F130" s="1505">
        <v>0.16</v>
      </c>
      <c r="G130" s="1501">
        <v>222</v>
      </c>
      <c r="H130" s="1505">
        <v>0.16</v>
      </c>
    </row>
    <row r="131" spans="1:8">
      <c r="A131" s="1501" t="s">
        <v>594</v>
      </c>
      <c r="B131" s="1506">
        <v>3149</v>
      </c>
      <c r="C131" s="1501"/>
      <c r="D131" s="1501">
        <v>764</v>
      </c>
      <c r="E131" s="1501"/>
      <c r="F131" s="1501"/>
      <c r="G131" s="1501">
        <v>1427</v>
      </c>
      <c r="H131" s="1501"/>
    </row>
    <row r="132" spans="1:8">
      <c r="A132" s="1507"/>
      <c r="B132" s="1507"/>
      <c r="C132" s="1507"/>
      <c r="D132" s="1507"/>
      <c r="E132" s="1507"/>
      <c r="F132" s="1507"/>
      <c r="G132" s="1507"/>
      <c r="H132" s="1507"/>
    </row>
    <row r="133" spans="1:8">
      <c r="A133" s="1498" t="s">
        <v>856</v>
      </c>
      <c r="B133" s="1498"/>
      <c r="C133" s="1498"/>
      <c r="D133" s="1498"/>
      <c r="E133" s="1498"/>
      <c r="F133" s="1498"/>
      <c r="G133" s="1498"/>
      <c r="H133" s="1498"/>
    </row>
    <row r="134" spans="1:8">
      <c r="A134" s="1495" t="s">
        <v>857</v>
      </c>
      <c r="B134" s="1495"/>
      <c r="C134" s="1495"/>
      <c r="D134" s="1495"/>
      <c r="E134" s="1495"/>
      <c r="F134" s="1495"/>
      <c r="G134" s="1495"/>
      <c r="H134" s="1495"/>
    </row>
    <row r="135" spans="1:8">
      <c r="A135" s="1495" t="s">
        <v>858</v>
      </c>
      <c r="B135" s="1495"/>
      <c r="C135" s="1495"/>
      <c r="D135" s="1495"/>
      <c r="E135" s="1495"/>
      <c r="F135" s="1495"/>
      <c r="G135" s="1495"/>
      <c r="H135" s="1495"/>
    </row>
    <row r="136" spans="1:8">
      <c r="A136" s="1495" t="s">
        <v>859</v>
      </c>
      <c r="B136" s="1495"/>
      <c r="C136" s="1495"/>
      <c r="D136" s="1495"/>
      <c r="E136" s="1495"/>
      <c r="F136" s="1495"/>
      <c r="G136" s="1495"/>
      <c r="H136" s="1495"/>
    </row>
    <row r="137" spans="1:8">
      <c r="A137" s="1494"/>
      <c r="B137" s="1494"/>
      <c r="C137" s="1494"/>
      <c r="D137" s="1494"/>
      <c r="E137" s="1494"/>
      <c r="F137" s="1494"/>
      <c r="G137" s="1494"/>
      <c r="H137" s="1494"/>
    </row>
    <row r="138" spans="1:8" ht="15.75">
      <c r="A138" s="1496" t="s">
        <v>664</v>
      </c>
      <c r="B138" s="1494"/>
      <c r="C138" s="1494"/>
      <c r="D138" s="1494"/>
      <c r="E138" s="1494"/>
      <c r="F138" s="1494"/>
      <c r="G138" s="1494"/>
      <c r="H138" s="1494"/>
    </row>
    <row r="139" spans="1:8">
      <c r="A139" s="1494"/>
      <c r="B139" s="1494"/>
      <c r="C139" s="1494"/>
      <c r="D139" s="1494"/>
      <c r="E139" s="1494"/>
      <c r="F139" s="1494"/>
      <c r="G139" s="1494"/>
      <c r="H139" s="1494"/>
    </row>
    <row r="140" spans="1:8">
      <c r="A140" s="1495" t="s">
        <v>854</v>
      </c>
      <c r="B140" s="1494"/>
      <c r="C140" s="1494"/>
      <c r="D140" s="1494"/>
      <c r="E140" s="1494"/>
      <c r="F140" s="1494"/>
      <c r="G140" s="1494"/>
      <c r="H140" s="1494"/>
    </row>
    <row r="141" spans="1:8">
      <c r="A141" s="1495" t="s">
        <v>855</v>
      </c>
      <c r="B141" s="1494"/>
      <c r="C141" s="1494"/>
      <c r="D141" s="1494"/>
      <c r="E141" s="1494"/>
      <c r="F141" s="1494"/>
      <c r="G141" s="1494"/>
      <c r="H141" s="1494"/>
    </row>
    <row r="142" spans="1:8">
      <c r="A142" s="1494"/>
      <c r="B142" s="1494"/>
      <c r="C142" s="1494"/>
      <c r="D142" s="1494"/>
      <c r="E142" s="1494"/>
      <c r="F142" s="1494"/>
      <c r="G142" s="1494"/>
      <c r="H142" s="1494"/>
    </row>
    <row r="143" spans="1:8">
      <c r="A143" s="1495" t="s">
        <v>851</v>
      </c>
      <c r="B143" s="1494"/>
      <c r="C143" s="1494"/>
      <c r="D143" s="1494"/>
      <c r="E143" s="1494"/>
      <c r="F143" s="1494"/>
      <c r="G143" s="1494"/>
      <c r="H143" s="1494"/>
    </row>
    <row r="144" spans="1:8">
      <c r="A144" s="1495" t="s">
        <v>852</v>
      </c>
      <c r="B144" s="1494"/>
      <c r="C144" s="1494"/>
      <c r="D144" s="1494"/>
      <c r="E144" s="1494"/>
      <c r="F144" s="1494"/>
      <c r="G144" s="1494"/>
      <c r="H144" s="1494"/>
    </row>
    <row r="145" spans="1:8">
      <c r="A145" s="1495" t="s">
        <v>853</v>
      </c>
      <c r="B145" s="1494"/>
      <c r="C145" s="1494"/>
      <c r="D145" s="1494"/>
      <c r="E145" s="1494"/>
      <c r="F145" s="1494"/>
      <c r="G145" s="1494"/>
      <c r="H145" s="1494"/>
    </row>
    <row r="146" spans="1:8">
      <c r="A146" s="1494"/>
      <c r="B146" s="1494"/>
      <c r="C146" s="1494"/>
      <c r="D146" s="1494"/>
      <c r="E146" s="1494"/>
      <c r="F146" s="1494"/>
      <c r="G146" s="1494"/>
      <c r="H146" s="1494"/>
    </row>
    <row r="147" spans="1:8">
      <c r="A147" s="1495" t="s">
        <v>848</v>
      </c>
      <c r="B147" s="1494"/>
      <c r="C147" s="1494"/>
      <c r="D147" s="1494"/>
      <c r="E147" s="1494"/>
      <c r="F147" s="1494"/>
      <c r="G147" s="1494"/>
      <c r="H147" s="1494"/>
    </row>
    <row r="148" spans="1:8">
      <c r="A148" s="1495" t="s">
        <v>849</v>
      </c>
      <c r="B148" s="1494"/>
      <c r="C148" s="1494"/>
      <c r="D148" s="1494"/>
      <c r="E148" s="1494"/>
      <c r="F148" s="1494"/>
      <c r="G148" s="1494"/>
      <c r="H148" s="1494"/>
    </row>
    <row r="149" spans="1:8">
      <c r="A149" s="1495" t="s">
        <v>850</v>
      </c>
      <c r="B149" s="1494"/>
      <c r="C149" s="1494"/>
      <c r="D149" s="1494"/>
      <c r="E149" s="1494"/>
      <c r="F149" s="1494"/>
      <c r="G149" s="1494"/>
      <c r="H149" s="1494"/>
    </row>
    <row r="150" spans="1:8">
      <c r="A150" s="1494"/>
      <c r="B150" s="1494"/>
      <c r="C150" s="1494"/>
      <c r="D150" s="1494"/>
      <c r="E150" s="1494"/>
      <c r="F150" s="1494"/>
      <c r="G150" s="1494"/>
      <c r="H150" s="1494"/>
    </row>
    <row r="151" spans="1:8">
      <c r="A151" s="1495" t="s">
        <v>845</v>
      </c>
      <c r="B151" s="1494"/>
      <c r="C151" s="1494"/>
      <c r="D151" s="1494"/>
      <c r="E151" s="1494"/>
      <c r="F151" s="1494"/>
      <c r="G151" s="1494"/>
      <c r="H151" s="1494"/>
    </row>
    <row r="152" spans="1:8">
      <c r="A152" s="1495" t="s">
        <v>846</v>
      </c>
      <c r="B152" s="1494"/>
      <c r="C152" s="1494"/>
      <c r="D152" s="1494"/>
      <c r="E152" s="1494"/>
      <c r="F152" s="1494"/>
      <c r="G152" s="1494"/>
      <c r="H152" s="1494"/>
    </row>
    <row r="153" spans="1:8">
      <c r="A153" s="1495" t="s">
        <v>847</v>
      </c>
      <c r="B153" s="1494"/>
      <c r="C153" s="1494"/>
      <c r="D153" s="1494"/>
      <c r="E153" s="1494"/>
      <c r="F153" s="1494"/>
      <c r="G153" s="1494"/>
      <c r="H153" s="1494"/>
    </row>
    <row r="154" spans="1:8">
      <c r="A154" s="1494"/>
      <c r="B154" s="1494"/>
      <c r="C154" s="1494"/>
      <c r="D154" s="1494"/>
      <c r="E154" s="1494"/>
      <c r="F154" s="1494"/>
      <c r="G154" s="1494"/>
      <c r="H154" s="1494"/>
    </row>
    <row r="155" spans="1:8">
      <c r="A155" s="1495" t="s">
        <v>843</v>
      </c>
      <c r="B155" s="1494"/>
      <c r="C155" s="1494"/>
      <c r="D155" s="1494"/>
      <c r="E155" s="1494"/>
      <c r="F155" s="1494"/>
      <c r="G155" s="1494"/>
      <c r="H155" s="1494"/>
    </row>
    <row r="156" spans="1:8">
      <c r="A156" s="1495" t="s">
        <v>844</v>
      </c>
      <c r="B156" s="1494"/>
      <c r="C156" s="1494"/>
      <c r="D156" s="1494"/>
      <c r="E156" s="1494"/>
      <c r="F156" s="1494"/>
      <c r="G156" s="1494"/>
      <c r="H156" s="1494"/>
    </row>
    <row r="157" spans="1:8">
      <c r="A157" s="1494"/>
      <c r="B157" s="1494"/>
      <c r="C157" s="1494"/>
      <c r="D157" s="1494"/>
      <c r="E157" s="1494"/>
      <c r="F157" s="1494"/>
      <c r="G157" s="1494"/>
      <c r="H157" s="1494"/>
    </row>
    <row r="158" spans="1:8" ht="15.75">
      <c r="A158" s="1496" t="s">
        <v>665</v>
      </c>
      <c r="B158" s="1494"/>
      <c r="C158" s="1494"/>
      <c r="D158" s="1494"/>
      <c r="E158" s="1494"/>
      <c r="F158" s="1494"/>
      <c r="G158" s="1494"/>
      <c r="H158" s="1494"/>
    </row>
    <row r="159" spans="1:8">
      <c r="A159" s="1494"/>
      <c r="B159" s="1494"/>
      <c r="C159" s="1494"/>
      <c r="D159" s="1494"/>
      <c r="E159" s="1494"/>
      <c r="F159" s="1494"/>
      <c r="G159" s="1494"/>
      <c r="H159" s="1494"/>
    </row>
    <row r="160" spans="1:8">
      <c r="A160" s="1495" t="s">
        <v>841</v>
      </c>
      <c r="B160" s="1494"/>
      <c r="C160" s="1494"/>
      <c r="D160" s="1494"/>
      <c r="E160" s="1494"/>
      <c r="F160" s="1494"/>
      <c r="G160" s="1494"/>
      <c r="H160" s="1494"/>
    </row>
    <row r="161" spans="1:8">
      <c r="A161" s="1495" t="s">
        <v>842</v>
      </c>
      <c r="B161" s="1494"/>
      <c r="C161" s="1494"/>
      <c r="D161" s="1494"/>
      <c r="E161" s="1494"/>
      <c r="F161" s="1494"/>
      <c r="G161" s="1494"/>
      <c r="H161" s="1494"/>
    </row>
    <row r="162" spans="1:8">
      <c r="A162" s="1494"/>
      <c r="B162" s="1494"/>
      <c r="C162" s="1494"/>
      <c r="D162" s="1494"/>
      <c r="E162" s="1494"/>
      <c r="F162" s="1494"/>
      <c r="G162" s="1494"/>
      <c r="H162" s="1494"/>
    </row>
    <row r="163" spans="1:8">
      <c r="A163" s="1495" t="s">
        <v>839</v>
      </c>
      <c r="B163" s="1494"/>
      <c r="C163" s="1494"/>
      <c r="D163" s="1494"/>
      <c r="E163" s="1494"/>
      <c r="F163" s="1494"/>
      <c r="G163" s="1494"/>
      <c r="H163" s="1494"/>
    </row>
    <row r="164" spans="1:8">
      <c r="A164" s="1495" t="s">
        <v>840</v>
      </c>
      <c r="B164" s="1494"/>
      <c r="C164" s="1494"/>
      <c r="D164" s="1494"/>
      <c r="E164" s="1494"/>
      <c r="F164" s="1494"/>
      <c r="G164" s="1494"/>
      <c r="H164" s="1494"/>
    </row>
    <row r="165" spans="1:8">
      <c r="A165" s="1494"/>
      <c r="B165" s="1494"/>
      <c r="C165" s="1494"/>
      <c r="D165" s="1494"/>
      <c r="E165" s="1494"/>
      <c r="F165" s="1494"/>
      <c r="G165" s="1494"/>
      <c r="H165" s="1494"/>
    </row>
    <row r="166" spans="1:8">
      <c r="A166" s="1495" t="s">
        <v>837</v>
      </c>
      <c r="B166" s="1494"/>
      <c r="C166" s="1494"/>
      <c r="D166" s="1494"/>
      <c r="E166" s="1494"/>
      <c r="F166" s="1494"/>
      <c r="G166" s="1494"/>
      <c r="H166" s="1494"/>
    </row>
    <row r="167" spans="1:8">
      <c r="A167" s="1495" t="s">
        <v>838</v>
      </c>
      <c r="B167" s="1494"/>
      <c r="C167" s="1494"/>
      <c r="D167" s="1494"/>
      <c r="E167" s="1494"/>
      <c r="F167" s="1494"/>
      <c r="G167" s="1494"/>
      <c r="H167" s="1494"/>
    </row>
    <row r="168" spans="1:8">
      <c r="A168" s="1494"/>
      <c r="B168" s="1494"/>
      <c r="C168" s="1494"/>
      <c r="D168" s="1494"/>
      <c r="E168" s="1494"/>
      <c r="F168" s="1494"/>
      <c r="G168" s="1494"/>
      <c r="H168" s="1494"/>
    </row>
    <row r="169" spans="1:8">
      <c r="A169" s="1495" t="s">
        <v>834</v>
      </c>
      <c r="B169" s="1494"/>
      <c r="C169" s="1494"/>
      <c r="D169" s="1494"/>
      <c r="E169" s="1494"/>
      <c r="F169" s="1494"/>
      <c r="G169" s="1494"/>
      <c r="H169" s="1494"/>
    </row>
    <row r="170" spans="1:8">
      <c r="A170" s="1495" t="s">
        <v>835</v>
      </c>
      <c r="B170" s="1494"/>
      <c r="C170" s="1494"/>
      <c r="D170" s="1494"/>
      <c r="E170" s="1494"/>
      <c r="F170" s="1494"/>
      <c r="G170" s="1494"/>
      <c r="H170" s="1494"/>
    </row>
    <row r="171" spans="1:8">
      <c r="A171" s="1495" t="s">
        <v>836</v>
      </c>
      <c r="B171" s="1494"/>
      <c r="C171" s="1494"/>
      <c r="D171" s="1494"/>
      <c r="E171" s="1494"/>
      <c r="F171" s="1494"/>
      <c r="G171" s="1494"/>
      <c r="H171" s="1494"/>
    </row>
    <row r="172" spans="1:8">
      <c r="A172" s="1494"/>
      <c r="B172" s="1494"/>
      <c r="C172" s="1494"/>
      <c r="D172" s="1494"/>
      <c r="E172" s="1494"/>
      <c r="F172" s="1494"/>
      <c r="G172" s="1494"/>
      <c r="H172" s="1494"/>
    </row>
    <row r="173" spans="1:8">
      <c r="A173" s="1494"/>
      <c r="B173" s="1494"/>
      <c r="C173" s="1494"/>
      <c r="D173" s="1494"/>
      <c r="E173" s="1494"/>
      <c r="F173" s="1494"/>
      <c r="G173" s="1494"/>
      <c r="H173" s="1494"/>
    </row>
    <row r="174" spans="1:8">
      <c r="A174" s="1495" t="s">
        <v>666</v>
      </c>
      <c r="B174" s="1494"/>
      <c r="C174" s="1494"/>
      <c r="D174" s="1494"/>
      <c r="E174" s="1494"/>
      <c r="F174" s="1494"/>
      <c r="G174" s="1494"/>
      <c r="H174" s="1494"/>
    </row>
    <row r="175" spans="1:8">
      <c r="A175" s="1494"/>
      <c r="B175" s="1494"/>
      <c r="C175" s="1494"/>
      <c r="D175" s="1494"/>
      <c r="E175" s="1494"/>
      <c r="F175" s="1494"/>
      <c r="G175" s="1494"/>
      <c r="H175" s="1494"/>
    </row>
    <row r="176" spans="1:8" ht="15.75">
      <c r="A176" s="1496" t="s">
        <v>667</v>
      </c>
      <c r="B176" s="1494"/>
      <c r="C176" s="1494"/>
      <c r="D176" s="1494"/>
      <c r="E176" s="1494"/>
      <c r="F176" s="1494"/>
      <c r="G176" s="1494"/>
      <c r="H176" s="1494"/>
    </row>
    <row r="177" spans="1:8">
      <c r="A177" s="1494"/>
      <c r="B177" s="1494"/>
      <c r="C177" s="1494"/>
      <c r="D177" s="1494"/>
      <c r="E177" s="1494"/>
      <c r="F177" s="1494"/>
      <c r="G177" s="1494"/>
      <c r="H177" s="1494"/>
    </row>
    <row r="178" spans="1:8">
      <c r="A178" s="1494"/>
      <c r="B178" s="1494"/>
      <c r="C178" s="1494"/>
      <c r="D178" s="1494"/>
      <c r="E178" s="1494"/>
      <c r="F178" s="1494"/>
      <c r="G178" s="1494"/>
      <c r="H178" s="1494"/>
    </row>
    <row r="179" spans="1:8">
      <c r="A179" s="1494"/>
      <c r="B179" s="1494"/>
      <c r="C179" s="1494"/>
      <c r="D179" s="1494"/>
      <c r="E179" s="1494"/>
      <c r="F179" s="1494"/>
      <c r="G179" s="1494"/>
      <c r="H179" s="1494"/>
    </row>
    <row r="180" spans="1:8">
      <c r="A180" s="1494"/>
      <c r="B180" s="1494"/>
      <c r="C180" s="1494"/>
      <c r="D180" s="1494"/>
      <c r="E180" s="1494"/>
      <c r="F180" s="1494"/>
      <c r="G180" s="1494"/>
      <c r="H180" s="1494"/>
    </row>
    <row r="181" spans="1:8">
      <c r="A181" s="1494"/>
      <c r="B181" s="1494"/>
      <c r="C181" s="1494"/>
      <c r="D181" s="1494"/>
      <c r="E181" s="1494"/>
      <c r="F181" s="1494"/>
      <c r="G181" s="1494"/>
      <c r="H181" s="1494"/>
    </row>
    <row r="182" spans="1:8">
      <c r="A182" s="1494"/>
      <c r="B182" s="1494"/>
      <c r="C182" s="1494"/>
      <c r="D182" s="1494"/>
      <c r="E182" s="1494"/>
      <c r="F182" s="1494"/>
      <c r="G182" s="1494"/>
      <c r="H182" s="1494"/>
    </row>
    <row r="183" spans="1:8">
      <c r="A183" s="1494"/>
      <c r="B183" s="1494"/>
      <c r="C183" s="1494"/>
      <c r="D183" s="1494"/>
      <c r="E183" s="1494"/>
      <c r="F183" s="1494"/>
      <c r="G183" s="1494"/>
      <c r="H183" s="1494"/>
    </row>
    <row r="184" spans="1:8">
      <c r="A184" s="1494"/>
      <c r="B184" s="1494"/>
      <c r="C184" s="1494"/>
      <c r="D184" s="1494"/>
      <c r="E184" s="1494"/>
      <c r="F184" s="1494"/>
      <c r="G184" s="1494"/>
      <c r="H184" s="1494"/>
    </row>
    <row r="185" spans="1:8">
      <c r="A185" s="1494"/>
      <c r="B185" s="1494"/>
      <c r="C185" s="1494"/>
      <c r="D185" s="1494"/>
      <c r="E185" s="1494"/>
      <c r="F185" s="1494"/>
      <c r="G185" s="1494"/>
      <c r="H185" s="1494"/>
    </row>
    <row r="186" spans="1:8">
      <c r="A186" s="1494"/>
      <c r="B186" s="1494"/>
      <c r="C186" s="1494"/>
      <c r="D186" s="1494"/>
      <c r="E186" s="1494"/>
      <c r="F186" s="1494"/>
      <c r="G186" s="1494"/>
      <c r="H186" s="1494"/>
    </row>
    <row r="187" spans="1:8">
      <c r="A187" s="1494"/>
      <c r="B187" s="1494"/>
      <c r="C187" s="1494"/>
      <c r="D187" s="1494"/>
      <c r="E187" s="1494"/>
      <c r="F187" s="1494"/>
      <c r="G187" s="1494"/>
      <c r="H187" s="1494"/>
    </row>
    <row r="188" spans="1:8">
      <c r="A188" s="1494"/>
      <c r="B188" s="1494"/>
      <c r="C188" s="1494"/>
      <c r="D188" s="1494"/>
      <c r="E188" s="1494"/>
      <c r="F188" s="1494"/>
      <c r="G188" s="1494"/>
      <c r="H188" s="1494"/>
    </row>
    <row r="189" spans="1:8">
      <c r="A189" s="1494"/>
      <c r="B189" s="1494"/>
      <c r="C189" s="1494"/>
      <c r="D189" s="1494"/>
      <c r="E189" s="1494"/>
      <c r="F189" s="1494"/>
      <c r="G189" s="1494"/>
      <c r="H189" s="1494"/>
    </row>
    <row r="190" spans="1:8">
      <c r="A190" s="1494"/>
      <c r="B190" s="1494"/>
      <c r="C190" s="1494"/>
      <c r="D190" s="1494"/>
      <c r="E190" s="1494"/>
      <c r="F190" s="1494"/>
      <c r="G190" s="1494"/>
      <c r="H190" s="1494"/>
    </row>
    <row r="191" spans="1:8">
      <c r="A191" s="1494"/>
      <c r="B191" s="1494"/>
      <c r="C191" s="1494"/>
      <c r="D191" s="1494"/>
      <c r="E191" s="1494"/>
      <c r="F191" s="1494"/>
      <c r="G191" s="1494"/>
      <c r="H191" s="1494"/>
    </row>
    <row r="192" spans="1:8">
      <c r="A192" s="1494"/>
      <c r="B192" s="1494"/>
      <c r="C192" s="1494"/>
      <c r="D192" s="1494"/>
      <c r="E192" s="1494"/>
      <c r="F192" s="1494"/>
      <c r="G192" s="1494"/>
      <c r="H192" s="1494"/>
    </row>
    <row r="193" spans="1:8">
      <c r="A193" s="1494"/>
      <c r="B193" s="1494"/>
      <c r="C193" s="1494"/>
      <c r="D193" s="1494"/>
      <c r="E193" s="1494"/>
      <c r="F193" s="1494"/>
      <c r="G193" s="1494"/>
      <c r="H193" s="1494"/>
    </row>
    <row r="194" spans="1:8">
      <c r="A194" s="1494"/>
      <c r="B194" s="1494"/>
      <c r="C194" s="1494"/>
      <c r="D194" s="1494"/>
      <c r="E194" s="1494"/>
      <c r="F194" s="1494"/>
      <c r="G194" s="1494"/>
      <c r="H194" s="1494"/>
    </row>
    <row r="195" spans="1:8">
      <c r="A195" s="1494"/>
      <c r="B195" s="1494"/>
      <c r="C195" s="1494"/>
      <c r="D195" s="1494"/>
      <c r="E195" s="1494"/>
      <c r="F195" s="1494"/>
      <c r="G195" s="1494"/>
      <c r="H195" s="1494"/>
    </row>
    <row r="196" spans="1:8">
      <c r="A196" s="1494"/>
      <c r="B196" s="1494"/>
      <c r="C196" s="1494"/>
      <c r="D196" s="1494"/>
      <c r="E196" s="1494"/>
      <c r="F196" s="1494"/>
      <c r="G196" s="1494"/>
      <c r="H196" s="1494"/>
    </row>
    <row r="197" spans="1:8">
      <c r="A197" s="1494"/>
      <c r="B197" s="1494"/>
      <c r="C197" s="1494"/>
      <c r="D197" s="1494"/>
      <c r="E197" s="1494"/>
      <c r="F197" s="1494"/>
      <c r="G197" s="1494"/>
      <c r="H197" s="1494"/>
    </row>
    <row r="198" spans="1:8">
      <c r="A198" s="1494"/>
      <c r="B198" s="1494"/>
      <c r="C198" s="1494"/>
      <c r="D198" s="1494"/>
      <c r="E198" s="1494"/>
      <c r="F198" s="1494"/>
      <c r="G198" s="1494"/>
      <c r="H198" s="1494"/>
    </row>
    <row r="199" spans="1:8">
      <c r="A199" s="1494"/>
      <c r="B199" s="1494"/>
      <c r="C199" s="1494"/>
      <c r="D199" s="1494"/>
      <c r="E199" s="1494"/>
      <c r="F199" s="1494"/>
      <c r="G199" s="1494"/>
      <c r="H199" s="1494"/>
    </row>
    <row r="200" spans="1:8">
      <c r="A200" s="1494"/>
      <c r="B200" s="1494"/>
      <c r="C200" s="1494"/>
      <c r="D200" s="1494"/>
      <c r="E200" s="1494"/>
      <c r="F200" s="1494"/>
      <c r="G200" s="1494"/>
      <c r="H200" s="1494"/>
    </row>
    <row r="201" spans="1:8">
      <c r="A201" s="1494"/>
      <c r="B201" s="1494"/>
      <c r="C201" s="1494"/>
      <c r="D201" s="1494"/>
      <c r="E201" s="1494"/>
      <c r="F201" s="1494"/>
      <c r="G201" s="1494"/>
      <c r="H201" s="1494"/>
    </row>
    <row r="202" spans="1:8">
      <c r="A202" s="1494"/>
      <c r="B202" s="1494"/>
      <c r="C202" s="1494"/>
      <c r="D202" s="1494"/>
      <c r="E202" s="1494"/>
      <c r="F202" s="1494"/>
      <c r="G202" s="1494"/>
      <c r="H202" s="1494"/>
    </row>
    <row r="203" spans="1:8" ht="15.75">
      <c r="A203" s="1496" t="s">
        <v>668</v>
      </c>
      <c r="B203" s="1494"/>
      <c r="C203" s="1494"/>
      <c r="D203" s="1494"/>
      <c r="E203" s="1494"/>
      <c r="F203" s="1494"/>
      <c r="G203" s="1494"/>
      <c r="H203" s="1494"/>
    </row>
    <row r="204" spans="1:8">
      <c r="A204" s="1494"/>
      <c r="B204" s="1494"/>
      <c r="C204" s="1494"/>
      <c r="D204" s="1494"/>
      <c r="E204" s="1494"/>
      <c r="F204" s="1494"/>
      <c r="G204" s="1494"/>
      <c r="H204" s="1494"/>
    </row>
    <row r="205" spans="1:8">
      <c r="A205" s="1495" t="s">
        <v>829</v>
      </c>
      <c r="B205" s="1494"/>
      <c r="C205" s="1494"/>
      <c r="D205" s="1494"/>
      <c r="E205" s="1494"/>
      <c r="F205" s="1494"/>
      <c r="G205" s="1494"/>
      <c r="H205" s="1494"/>
    </row>
    <row r="206" spans="1:8">
      <c r="A206" s="1495" t="s">
        <v>830</v>
      </c>
      <c r="B206" s="1494"/>
      <c r="C206" s="1494"/>
      <c r="D206" s="1494"/>
      <c r="E206" s="1494"/>
      <c r="F206" s="1494"/>
      <c r="G206" s="1494"/>
      <c r="H206" s="1494"/>
    </row>
    <row r="207" spans="1:8">
      <c r="A207" s="1495" t="s">
        <v>831</v>
      </c>
      <c r="B207" s="1494"/>
      <c r="C207" s="1494"/>
      <c r="D207" s="1494"/>
      <c r="E207" s="1494"/>
      <c r="F207" s="1494"/>
      <c r="G207" s="1494"/>
      <c r="H207" s="1494"/>
    </row>
    <row r="208" spans="1:8">
      <c r="A208" s="1495" t="s">
        <v>832</v>
      </c>
      <c r="B208" s="1494"/>
      <c r="C208" s="1494"/>
      <c r="D208" s="1494"/>
      <c r="E208" s="1494"/>
      <c r="F208" s="1494"/>
      <c r="G208" s="1494"/>
      <c r="H208" s="1494"/>
    </row>
    <row r="209" spans="1:8">
      <c r="A209" s="1495" t="s">
        <v>833</v>
      </c>
      <c r="B209" s="1494"/>
      <c r="C209" s="1494"/>
      <c r="D209" s="1494"/>
      <c r="E209" s="1494"/>
      <c r="F209" s="1494"/>
      <c r="G209" s="1494"/>
      <c r="H209" s="1494"/>
    </row>
    <row r="210" spans="1:8">
      <c r="A210" s="1494"/>
      <c r="B210" s="1494"/>
      <c r="C210" s="1494"/>
      <c r="D210" s="1494"/>
      <c r="E210" s="1494"/>
      <c r="F210" s="1494"/>
      <c r="G210" s="1494"/>
      <c r="H210" s="1494"/>
    </row>
    <row r="211" spans="1:8">
      <c r="A211" s="1495" t="s">
        <v>826</v>
      </c>
      <c r="B211" s="1494"/>
      <c r="C211" s="1494"/>
      <c r="D211" s="1494"/>
      <c r="E211" s="1494"/>
      <c r="F211" s="1494"/>
      <c r="G211" s="1494"/>
      <c r="H211" s="1494"/>
    </row>
    <row r="212" spans="1:8">
      <c r="A212" s="1495" t="s">
        <v>827</v>
      </c>
      <c r="B212" s="1494"/>
      <c r="C212" s="1494"/>
      <c r="D212" s="1494"/>
      <c r="E212" s="1494"/>
      <c r="F212" s="1494"/>
      <c r="G212" s="1494"/>
      <c r="H212" s="1494"/>
    </row>
    <row r="213" spans="1:8">
      <c r="A213" s="1495" t="s">
        <v>828</v>
      </c>
      <c r="B213" s="1494"/>
      <c r="C213" s="1494"/>
      <c r="D213" s="1494"/>
      <c r="E213" s="1494"/>
      <c r="F213" s="1494"/>
      <c r="G213" s="1494"/>
      <c r="H213" s="1494"/>
    </row>
    <row r="214" spans="1:8" ht="15.75">
      <c r="A214" s="1496" t="s">
        <v>669</v>
      </c>
      <c r="B214" s="1494"/>
      <c r="C214" s="1494"/>
      <c r="D214" s="1494"/>
      <c r="E214" s="1494"/>
      <c r="F214" s="1494"/>
      <c r="G214" s="1494"/>
      <c r="H214" s="1494"/>
    </row>
    <row r="215" spans="1:8">
      <c r="A215" s="1494"/>
      <c r="B215" s="1494"/>
      <c r="C215" s="1494"/>
      <c r="D215" s="1494"/>
      <c r="E215" s="1494"/>
      <c r="F215" s="1494"/>
      <c r="G215" s="1494"/>
      <c r="H215" s="1494"/>
    </row>
    <row r="216" spans="1:8">
      <c r="A216" s="1495" t="s">
        <v>824</v>
      </c>
      <c r="B216" s="1494"/>
      <c r="C216" s="1494"/>
      <c r="D216" s="1494"/>
      <c r="E216" s="1494"/>
      <c r="F216" s="1494"/>
      <c r="G216" s="1494"/>
      <c r="H216" s="1494"/>
    </row>
    <row r="217" spans="1:8">
      <c r="A217" s="1495" t="s">
        <v>825</v>
      </c>
      <c r="B217" s="1494"/>
      <c r="C217" s="1494"/>
      <c r="D217" s="1494"/>
      <c r="E217" s="1494"/>
      <c r="F217" s="1494"/>
      <c r="G217" s="1494"/>
      <c r="H217" s="1494"/>
    </row>
    <row r="218" spans="1:8">
      <c r="A218" s="1494"/>
      <c r="B218" s="1494"/>
      <c r="C218" s="1494"/>
      <c r="D218" s="1494"/>
      <c r="E218" s="1494"/>
      <c r="F218" s="1494"/>
      <c r="G218" s="1494"/>
      <c r="H218" s="1494"/>
    </row>
    <row r="219" spans="1:8">
      <c r="A219" s="1495" t="s">
        <v>817</v>
      </c>
      <c r="B219" s="1494"/>
      <c r="C219" s="1494"/>
      <c r="D219" s="1494"/>
      <c r="E219" s="1494"/>
      <c r="F219" s="1494"/>
      <c r="G219" s="1494"/>
      <c r="H219" s="1494"/>
    </row>
    <row r="220" spans="1:8">
      <c r="A220" s="1495" t="s">
        <v>818</v>
      </c>
      <c r="B220" s="1494"/>
      <c r="C220" s="1494"/>
      <c r="D220" s="1494"/>
      <c r="E220" s="1494"/>
      <c r="F220" s="1494"/>
      <c r="G220" s="1494"/>
      <c r="H220" s="1494"/>
    </row>
    <row r="221" spans="1:8">
      <c r="A221" s="1495" t="s">
        <v>819</v>
      </c>
      <c r="B221" s="1494"/>
      <c r="C221" s="1494"/>
      <c r="D221" s="1494"/>
      <c r="E221" s="1494"/>
      <c r="F221" s="1494"/>
      <c r="G221" s="1494"/>
      <c r="H221" s="1494"/>
    </row>
    <row r="222" spans="1:8">
      <c r="A222" s="1495" t="s">
        <v>820</v>
      </c>
      <c r="B222" s="1494"/>
      <c r="C222" s="1494"/>
      <c r="D222" s="1494"/>
      <c r="E222" s="1494"/>
      <c r="F222" s="1494"/>
      <c r="G222" s="1494"/>
      <c r="H222" s="1494"/>
    </row>
    <row r="223" spans="1:8">
      <c r="A223" s="1495" t="s">
        <v>821</v>
      </c>
      <c r="B223" s="1494"/>
      <c r="C223" s="1494"/>
      <c r="D223" s="1494"/>
      <c r="E223" s="1494"/>
      <c r="F223" s="1494"/>
      <c r="G223" s="1494"/>
      <c r="H223" s="1494"/>
    </row>
    <row r="224" spans="1:8">
      <c r="A224" s="1495" t="s">
        <v>822</v>
      </c>
      <c r="B224" s="1494"/>
      <c r="C224" s="1494"/>
      <c r="D224" s="1494"/>
      <c r="E224" s="1494"/>
      <c r="F224" s="1494"/>
      <c r="G224" s="1494"/>
      <c r="H224" s="1494"/>
    </row>
    <row r="225" spans="1:8">
      <c r="A225" s="1495" t="s">
        <v>823</v>
      </c>
      <c r="B225" s="1494"/>
      <c r="C225" s="1494"/>
      <c r="D225" s="1494"/>
      <c r="E225" s="1494"/>
      <c r="F225" s="1494"/>
      <c r="G225" s="1494"/>
      <c r="H225" s="1494"/>
    </row>
    <row r="226" spans="1:8">
      <c r="A226" s="1494"/>
      <c r="B226" s="1494"/>
      <c r="C226" s="1494"/>
      <c r="D226" s="1494"/>
      <c r="E226" s="1494"/>
      <c r="F226" s="1494"/>
      <c r="G226" s="1494"/>
      <c r="H226" s="1494"/>
    </row>
    <row r="227" spans="1:8">
      <c r="A227" s="1495" t="s">
        <v>814</v>
      </c>
      <c r="B227" s="1494"/>
      <c r="C227" s="1494"/>
      <c r="D227" s="1494"/>
      <c r="E227" s="1494"/>
      <c r="F227" s="1494"/>
      <c r="G227" s="1494"/>
      <c r="H227" s="1494"/>
    </row>
    <row r="228" spans="1:8">
      <c r="A228" s="1495" t="s">
        <v>815</v>
      </c>
      <c r="B228" s="1494"/>
      <c r="C228" s="1494"/>
      <c r="D228" s="1494"/>
      <c r="E228" s="1494"/>
      <c r="F228" s="1494"/>
      <c r="G228" s="1494"/>
      <c r="H228" s="1494"/>
    </row>
    <row r="229" spans="1:8">
      <c r="A229" s="1495" t="s">
        <v>816</v>
      </c>
      <c r="B229" s="1494"/>
      <c r="C229" s="1494"/>
      <c r="D229" s="1494"/>
      <c r="E229" s="1494"/>
      <c r="F229" s="1494"/>
      <c r="G229" s="1494"/>
      <c r="H229" s="1494"/>
    </row>
    <row r="230" spans="1:8">
      <c r="A230" s="1494"/>
      <c r="B230" s="1494"/>
      <c r="C230" s="1494"/>
      <c r="D230" s="1494"/>
      <c r="E230" s="1494"/>
      <c r="F230" s="1494"/>
      <c r="G230" s="1494"/>
      <c r="H230" s="1494"/>
    </row>
    <row r="231" spans="1:8">
      <c r="A231" s="1495" t="s">
        <v>809</v>
      </c>
      <c r="B231" s="1494"/>
      <c r="C231" s="1494"/>
      <c r="D231" s="1494"/>
      <c r="E231" s="1494"/>
      <c r="F231" s="1494"/>
      <c r="G231" s="1494"/>
      <c r="H231" s="1494"/>
    </row>
    <row r="232" spans="1:8">
      <c r="A232" s="1495" t="s">
        <v>810</v>
      </c>
      <c r="B232" s="1494"/>
      <c r="C232" s="1494"/>
      <c r="D232" s="1494"/>
      <c r="E232" s="1494"/>
      <c r="F232" s="1494"/>
      <c r="G232" s="1494"/>
      <c r="H232" s="1494"/>
    </row>
    <row r="233" spans="1:8">
      <c r="A233" s="1495" t="s">
        <v>811</v>
      </c>
      <c r="B233" s="1494"/>
      <c r="C233" s="1494"/>
      <c r="D233" s="1494"/>
      <c r="E233" s="1494"/>
      <c r="F233" s="1494"/>
      <c r="G233" s="1494"/>
      <c r="H233" s="1494"/>
    </row>
    <row r="234" spans="1:8">
      <c r="A234" s="1495" t="s">
        <v>812</v>
      </c>
      <c r="B234" s="1494"/>
      <c r="C234" s="1494"/>
      <c r="D234" s="1494"/>
      <c r="E234" s="1494"/>
      <c r="F234" s="1494"/>
      <c r="G234" s="1494"/>
      <c r="H234" s="1494"/>
    </row>
    <row r="235" spans="1:8">
      <c r="A235" s="1495" t="s">
        <v>813</v>
      </c>
      <c r="B235" s="1494"/>
      <c r="C235" s="1494"/>
      <c r="D235" s="1494"/>
      <c r="E235" s="1494"/>
      <c r="F235" s="1494"/>
      <c r="G235" s="1494"/>
      <c r="H235" s="1494"/>
    </row>
    <row r="236" spans="1:8">
      <c r="A236" s="1494"/>
      <c r="B236" s="1494"/>
      <c r="C236" s="1494"/>
      <c r="D236" s="1494"/>
      <c r="E236" s="1494"/>
      <c r="F236" s="1494"/>
      <c r="G236" s="1494"/>
      <c r="H236" s="1494"/>
    </row>
    <row r="237" spans="1:8">
      <c r="A237" s="1495" t="s">
        <v>803</v>
      </c>
      <c r="B237" s="1494"/>
      <c r="C237" s="1494"/>
      <c r="D237" s="1494"/>
      <c r="E237" s="1494"/>
      <c r="F237" s="1494"/>
      <c r="G237" s="1494"/>
      <c r="H237" s="1494"/>
    </row>
    <row r="238" spans="1:8">
      <c r="A238" s="1495" t="s">
        <v>804</v>
      </c>
      <c r="B238" s="1494"/>
      <c r="C238" s="1494"/>
      <c r="D238" s="1494"/>
      <c r="E238" s="1494"/>
      <c r="F238" s="1494"/>
      <c r="G238" s="1494"/>
      <c r="H238" s="1494"/>
    </row>
    <row r="239" spans="1:8">
      <c r="A239" s="1495" t="s">
        <v>805</v>
      </c>
      <c r="B239" s="1494"/>
      <c r="C239" s="1494"/>
      <c r="D239" s="1494"/>
      <c r="E239" s="1494"/>
      <c r="F239" s="1494"/>
      <c r="G239" s="1494"/>
      <c r="H239" s="1494"/>
    </row>
    <row r="240" spans="1:8">
      <c r="A240" s="1495" t="s">
        <v>806</v>
      </c>
      <c r="B240" s="1494"/>
      <c r="C240" s="1494"/>
      <c r="D240" s="1494"/>
      <c r="E240" s="1494"/>
      <c r="F240" s="1494"/>
      <c r="G240" s="1494"/>
      <c r="H240" s="1494"/>
    </row>
    <row r="241" spans="1:8">
      <c r="A241" s="1495" t="s">
        <v>807</v>
      </c>
      <c r="B241" s="1494"/>
      <c r="C241" s="1494"/>
      <c r="D241" s="1494"/>
      <c r="E241" s="1494"/>
      <c r="F241" s="1494"/>
      <c r="G241" s="1494"/>
      <c r="H241" s="1494"/>
    </row>
    <row r="242" spans="1:8">
      <c r="A242" s="1495" t="s">
        <v>808</v>
      </c>
      <c r="B242" s="1494"/>
      <c r="C242" s="1494"/>
      <c r="D242" s="1494"/>
      <c r="E242" s="1494"/>
      <c r="F242" s="1494"/>
      <c r="G242" s="1494"/>
      <c r="H242" s="1494"/>
    </row>
    <row r="243" spans="1:8">
      <c r="A243" s="1494"/>
      <c r="B243" s="1494"/>
      <c r="C243" s="1494"/>
      <c r="D243" s="1494"/>
      <c r="E243" s="1494"/>
      <c r="F243" s="1494"/>
      <c r="G243" s="1494"/>
      <c r="H243" s="1494"/>
    </row>
    <row r="244" spans="1:8">
      <c r="A244" s="1495" t="s">
        <v>793</v>
      </c>
      <c r="B244" s="1494"/>
      <c r="C244" s="1494"/>
      <c r="D244" s="1494"/>
      <c r="E244" s="1494"/>
      <c r="F244" s="1494"/>
      <c r="G244" s="1494"/>
      <c r="H244" s="1494"/>
    </row>
    <row r="245" spans="1:8">
      <c r="A245" s="1495" t="s">
        <v>794</v>
      </c>
      <c r="B245" s="1494"/>
      <c r="C245" s="1494"/>
      <c r="D245" s="1494"/>
      <c r="E245" s="1494"/>
      <c r="F245" s="1494"/>
      <c r="G245" s="1494"/>
      <c r="H245" s="1494"/>
    </row>
    <row r="246" spans="1:8">
      <c r="A246" s="1495" t="s">
        <v>795</v>
      </c>
      <c r="B246" s="1494"/>
      <c r="C246" s="1494"/>
      <c r="D246" s="1494"/>
      <c r="E246" s="1494"/>
      <c r="F246" s="1494"/>
      <c r="G246" s="1494"/>
      <c r="H246" s="1494"/>
    </row>
    <row r="247" spans="1:8">
      <c r="A247" s="1495" t="s">
        <v>796</v>
      </c>
      <c r="B247" s="1494"/>
      <c r="C247" s="1494"/>
      <c r="D247" s="1494"/>
      <c r="E247" s="1494"/>
      <c r="F247" s="1494"/>
      <c r="G247" s="1494"/>
      <c r="H247" s="1494"/>
    </row>
    <row r="248" spans="1:8">
      <c r="A248" s="1495" t="s">
        <v>797</v>
      </c>
      <c r="B248" s="1494"/>
      <c r="C248" s="1494"/>
      <c r="D248" s="1494"/>
      <c r="E248" s="1494"/>
      <c r="F248" s="1494"/>
      <c r="G248" s="1494"/>
      <c r="H248" s="1494"/>
    </row>
    <row r="249" spans="1:8">
      <c r="A249" s="1495" t="s">
        <v>798</v>
      </c>
      <c r="B249" s="1494"/>
      <c r="C249" s="1494"/>
      <c r="D249" s="1494"/>
      <c r="E249" s="1494"/>
      <c r="F249" s="1494"/>
      <c r="G249" s="1494"/>
      <c r="H249" s="1494"/>
    </row>
    <row r="250" spans="1:8">
      <c r="A250" s="1495" t="s">
        <v>799</v>
      </c>
      <c r="B250" s="1494"/>
      <c r="C250" s="1494"/>
      <c r="D250" s="1494"/>
      <c r="E250" s="1494"/>
      <c r="F250" s="1494"/>
      <c r="G250" s="1494"/>
      <c r="H250" s="1494"/>
    </row>
    <row r="251" spans="1:8">
      <c r="A251" s="1495" t="s">
        <v>800</v>
      </c>
      <c r="B251" s="1494"/>
      <c r="C251" s="1494"/>
      <c r="D251" s="1494"/>
      <c r="E251" s="1494"/>
      <c r="F251" s="1494"/>
      <c r="G251" s="1494"/>
      <c r="H251" s="1494"/>
    </row>
    <row r="252" spans="1:8">
      <c r="A252" s="1495" t="s">
        <v>801</v>
      </c>
      <c r="B252" s="1494"/>
      <c r="C252" s="1494"/>
      <c r="D252" s="1494"/>
      <c r="E252" s="1494"/>
      <c r="F252" s="1494"/>
      <c r="G252" s="1494"/>
      <c r="H252" s="1494"/>
    </row>
    <row r="253" spans="1:8">
      <c r="A253" s="1495" t="s">
        <v>802</v>
      </c>
      <c r="B253" s="1494"/>
      <c r="C253" s="1494"/>
      <c r="D253" s="1494"/>
      <c r="E253" s="1494"/>
      <c r="F253" s="1494"/>
      <c r="G253" s="1494"/>
      <c r="H253" s="1494"/>
    </row>
    <row r="254" spans="1:8">
      <c r="A254" s="1494"/>
      <c r="B254" s="1494"/>
      <c r="C254" s="1494"/>
      <c r="D254" s="1494"/>
      <c r="E254" s="1494"/>
      <c r="F254" s="1494"/>
      <c r="G254" s="1494"/>
      <c r="H254" s="1494"/>
    </row>
    <row r="255" spans="1:8">
      <c r="A255" s="1495" t="s">
        <v>791</v>
      </c>
      <c r="B255" s="1494"/>
      <c r="C255" s="1494"/>
      <c r="D255" s="1494"/>
      <c r="E255" s="1494"/>
      <c r="F255" s="1494"/>
      <c r="G255" s="1494"/>
      <c r="H255" s="1494"/>
    </row>
    <row r="256" spans="1:8">
      <c r="A256" s="1495" t="s">
        <v>792</v>
      </c>
      <c r="B256" s="1494"/>
      <c r="C256" s="1494"/>
      <c r="D256" s="1494"/>
      <c r="E256" s="1494"/>
      <c r="F256" s="1494"/>
      <c r="G256" s="1494"/>
      <c r="H256" s="1494"/>
    </row>
    <row r="257" spans="1:8">
      <c r="A257" s="1494"/>
      <c r="B257" s="1494"/>
      <c r="C257" s="1494"/>
      <c r="D257" s="1494"/>
      <c r="E257" s="1494"/>
      <c r="F257" s="1494"/>
      <c r="G257" s="1494"/>
      <c r="H257" s="1494"/>
    </row>
    <row r="258" spans="1:8">
      <c r="A258" s="1495" t="s">
        <v>775</v>
      </c>
      <c r="B258" s="1494"/>
      <c r="C258" s="1494"/>
      <c r="D258" s="1494"/>
      <c r="E258" s="1494"/>
      <c r="F258" s="1494"/>
      <c r="G258" s="1494"/>
      <c r="H258" s="1494"/>
    </row>
    <row r="259" spans="1:8">
      <c r="A259" s="1495" t="s">
        <v>776</v>
      </c>
      <c r="B259" s="1494"/>
      <c r="C259" s="1494"/>
      <c r="D259" s="1494"/>
      <c r="E259" s="1494"/>
      <c r="F259" s="1494"/>
      <c r="G259" s="1494"/>
      <c r="H259" s="1494"/>
    </row>
    <row r="260" spans="1:8">
      <c r="A260" s="1495" t="s">
        <v>777</v>
      </c>
      <c r="B260" s="1494"/>
      <c r="C260" s="1494"/>
      <c r="D260" s="1494"/>
      <c r="E260" s="1494"/>
      <c r="F260" s="1494"/>
      <c r="G260" s="1494"/>
      <c r="H260" s="1494"/>
    </row>
    <row r="261" spans="1:8">
      <c r="A261" s="1495" t="s">
        <v>778</v>
      </c>
      <c r="B261" s="1494"/>
      <c r="C261" s="1494"/>
      <c r="D261" s="1494"/>
      <c r="E261" s="1494"/>
      <c r="F261" s="1494"/>
      <c r="G261" s="1494"/>
      <c r="H261" s="1494"/>
    </row>
    <row r="262" spans="1:8">
      <c r="A262" s="1495" t="s">
        <v>779</v>
      </c>
      <c r="B262" s="1494"/>
      <c r="C262" s="1494"/>
      <c r="D262" s="1494"/>
      <c r="E262" s="1494"/>
      <c r="F262" s="1494"/>
      <c r="G262" s="1494"/>
      <c r="H262" s="1494"/>
    </row>
    <row r="263" spans="1:8">
      <c r="A263" s="1495" t="s">
        <v>780</v>
      </c>
      <c r="B263" s="1494"/>
      <c r="C263" s="1494"/>
      <c r="D263" s="1494"/>
      <c r="E263" s="1494"/>
      <c r="F263" s="1494"/>
      <c r="G263" s="1494"/>
      <c r="H263" s="1494"/>
    </row>
    <row r="264" spans="1:8">
      <c r="A264" s="1495" t="s">
        <v>781</v>
      </c>
      <c r="B264" s="1494"/>
      <c r="C264" s="1494"/>
      <c r="D264" s="1494"/>
      <c r="E264" s="1494"/>
      <c r="F264" s="1494"/>
      <c r="G264" s="1494"/>
      <c r="H264" s="1494"/>
    </row>
    <row r="265" spans="1:8">
      <c r="A265" s="1495" t="s">
        <v>782</v>
      </c>
      <c r="B265" s="1494"/>
      <c r="C265" s="1494"/>
      <c r="D265" s="1494"/>
      <c r="E265" s="1494"/>
      <c r="F265" s="1494"/>
      <c r="G265" s="1494"/>
      <c r="H265" s="1494"/>
    </row>
    <row r="266" spans="1:8">
      <c r="A266" s="1495" t="s">
        <v>783</v>
      </c>
      <c r="B266" s="1494"/>
      <c r="C266" s="1494"/>
      <c r="D266" s="1494"/>
      <c r="E266" s="1494"/>
      <c r="F266" s="1494"/>
      <c r="G266" s="1494"/>
      <c r="H266" s="1494"/>
    </row>
    <row r="267" spans="1:8">
      <c r="A267" s="1495" t="s">
        <v>784</v>
      </c>
      <c r="B267" s="1494"/>
      <c r="C267" s="1494"/>
      <c r="D267" s="1494"/>
      <c r="E267" s="1494"/>
      <c r="F267" s="1494"/>
      <c r="G267" s="1494"/>
      <c r="H267" s="1494"/>
    </row>
    <row r="268" spans="1:8">
      <c r="A268" s="1495" t="s">
        <v>785</v>
      </c>
      <c r="B268" s="1494"/>
      <c r="C268" s="1494"/>
      <c r="D268" s="1494"/>
      <c r="E268" s="1494"/>
      <c r="F268" s="1494"/>
      <c r="G268" s="1494"/>
      <c r="H268" s="1494"/>
    </row>
    <row r="269" spans="1:8">
      <c r="A269" s="1495" t="s">
        <v>786</v>
      </c>
      <c r="B269" s="1494"/>
      <c r="C269" s="1494"/>
      <c r="D269" s="1494"/>
      <c r="E269" s="1494"/>
      <c r="F269" s="1494"/>
      <c r="G269" s="1494"/>
      <c r="H269" s="1494"/>
    </row>
    <row r="270" spans="1:8">
      <c r="A270" s="1495" t="s">
        <v>787</v>
      </c>
      <c r="B270" s="1494"/>
      <c r="C270" s="1494"/>
      <c r="D270" s="1494"/>
      <c r="E270" s="1494"/>
      <c r="F270" s="1494"/>
      <c r="G270" s="1494"/>
      <c r="H270" s="1494"/>
    </row>
    <row r="271" spans="1:8">
      <c r="A271" s="1495" t="s">
        <v>788</v>
      </c>
      <c r="B271" s="1494"/>
      <c r="C271" s="1494"/>
      <c r="D271" s="1494"/>
      <c r="E271" s="1494"/>
      <c r="F271" s="1494"/>
      <c r="G271" s="1494"/>
      <c r="H271" s="1494"/>
    </row>
    <row r="272" spans="1:8">
      <c r="A272" s="1495" t="s">
        <v>789</v>
      </c>
      <c r="B272" s="1494"/>
      <c r="C272" s="1494"/>
      <c r="D272" s="1494"/>
      <c r="E272" s="1494"/>
      <c r="F272" s="1494"/>
      <c r="G272" s="1494"/>
      <c r="H272" s="1494"/>
    </row>
    <row r="273" spans="1:8">
      <c r="A273" s="1495" t="s">
        <v>790</v>
      </c>
      <c r="B273" s="1494"/>
      <c r="C273" s="1494"/>
      <c r="D273" s="1494"/>
      <c r="E273" s="1494"/>
      <c r="F273" s="1494"/>
      <c r="G273" s="1494"/>
      <c r="H273" s="1494"/>
    </row>
    <row r="274" spans="1:8">
      <c r="A274" s="1494"/>
      <c r="B274" s="1494"/>
      <c r="C274" s="1494"/>
      <c r="D274" s="1494"/>
      <c r="E274" s="1494"/>
      <c r="F274" s="1494"/>
      <c r="G274" s="1494"/>
      <c r="H274" s="1494"/>
    </row>
    <row r="275" spans="1:8">
      <c r="A275" s="1495" t="s">
        <v>768</v>
      </c>
      <c r="B275" s="1494"/>
      <c r="C275" s="1494"/>
      <c r="D275" s="1494"/>
      <c r="E275" s="1494"/>
      <c r="F275" s="1494"/>
      <c r="G275" s="1494"/>
      <c r="H275" s="1494"/>
    </row>
    <row r="276" spans="1:8">
      <c r="A276" s="1495" t="s">
        <v>769</v>
      </c>
      <c r="B276" s="1494"/>
      <c r="C276" s="1494"/>
      <c r="D276" s="1494"/>
      <c r="E276" s="1494"/>
      <c r="F276" s="1494"/>
      <c r="G276" s="1494"/>
      <c r="H276" s="1494"/>
    </row>
    <row r="277" spans="1:8">
      <c r="A277" s="1495" t="s">
        <v>770</v>
      </c>
      <c r="B277" s="1494"/>
      <c r="C277" s="1494"/>
      <c r="D277" s="1494"/>
      <c r="E277" s="1494"/>
      <c r="F277" s="1494"/>
      <c r="G277" s="1494"/>
      <c r="H277" s="1494"/>
    </row>
    <row r="278" spans="1:8">
      <c r="A278" s="1495" t="s">
        <v>771</v>
      </c>
      <c r="B278" s="1494"/>
      <c r="C278" s="1494"/>
      <c r="D278" s="1494"/>
      <c r="E278" s="1494"/>
      <c r="F278" s="1494"/>
      <c r="G278" s="1494"/>
      <c r="H278" s="1494"/>
    </row>
    <row r="279" spans="1:8">
      <c r="A279" s="1495" t="s">
        <v>772</v>
      </c>
      <c r="B279" s="1494"/>
      <c r="C279" s="1494"/>
      <c r="D279" s="1494"/>
      <c r="E279" s="1494"/>
      <c r="F279" s="1494"/>
      <c r="G279" s="1494"/>
      <c r="H279" s="1494"/>
    </row>
    <row r="280" spans="1:8">
      <c r="A280" s="1495" t="s">
        <v>773</v>
      </c>
      <c r="B280" s="1494"/>
      <c r="C280" s="1494"/>
      <c r="D280" s="1494"/>
      <c r="E280" s="1494"/>
      <c r="F280" s="1494"/>
      <c r="G280" s="1494"/>
      <c r="H280" s="1494"/>
    </row>
    <row r="281" spans="1:8">
      <c r="A281" s="1495" t="s">
        <v>774</v>
      </c>
      <c r="B281" s="1494"/>
      <c r="C281" s="1494"/>
      <c r="D281" s="1494"/>
      <c r="E281" s="1494"/>
      <c r="F281" s="1494"/>
      <c r="G281" s="1494"/>
      <c r="H281" s="1494"/>
    </row>
    <row r="282" spans="1:8">
      <c r="A282" s="1494"/>
      <c r="B282" s="1494"/>
      <c r="C282" s="1494"/>
      <c r="D282" s="1494"/>
      <c r="E282" s="1494"/>
      <c r="F282" s="1494"/>
      <c r="G282" s="1494"/>
      <c r="H282" s="1494"/>
    </row>
    <row r="283" spans="1:8">
      <c r="A283" s="1495" t="s">
        <v>759</v>
      </c>
      <c r="B283" s="1494"/>
      <c r="C283" s="1494"/>
      <c r="D283" s="1494"/>
      <c r="E283" s="1494"/>
      <c r="F283" s="1494"/>
      <c r="G283" s="1494"/>
      <c r="H283" s="1494"/>
    </row>
    <row r="284" spans="1:8">
      <c r="A284" s="1495" t="s">
        <v>760</v>
      </c>
      <c r="B284" s="1494"/>
      <c r="C284" s="1494"/>
      <c r="D284" s="1494"/>
      <c r="E284" s="1494"/>
      <c r="F284" s="1494"/>
      <c r="G284" s="1494"/>
      <c r="H284" s="1494"/>
    </row>
    <row r="285" spans="1:8">
      <c r="A285" s="1495" t="s">
        <v>761</v>
      </c>
      <c r="B285" s="1494"/>
      <c r="C285" s="1494"/>
      <c r="D285" s="1494"/>
      <c r="E285" s="1494"/>
      <c r="F285" s="1494"/>
      <c r="G285" s="1494"/>
      <c r="H285" s="1494"/>
    </row>
    <row r="286" spans="1:8">
      <c r="A286" s="1495" t="s">
        <v>762</v>
      </c>
      <c r="B286" s="1494"/>
      <c r="C286" s="1494"/>
      <c r="D286" s="1494"/>
      <c r="E286" s="1494"/>
      <c r="F286" s="1494"/>
      <c r="G286" s="1494"/>
      <c r="H286" s="1494"/>
    </row>
    <row r="287" spans="1:8">
      <c r="A287" s="1495" t="s">
        <v>763</v>
      </c>
      <c r="B287" s="1494"/>
      <c r="C287" s="1494"/>
      <c r="D287" s="1494"/>
      <c r="E287" s="1494"/>
      <c r="F287" s="1494"/>
      <c r="G287" s="1494"/>
      <c r="H287" s="1494"/>
    </row>
    <row r="288" spans="1:8">
      <c r="A288" s="1495" t="s">
        <v>764</v>
      </c>
      <c r="B288" s="1494"/>
      <c r="C288" s="1494"/>
      <c r="D288" s="1494"/>
      <c r="E288" s="1494"/>
      <c r="F288" s="1494"/>
      <c r="G288" s="1494"/>
      <c r="H288" s="1494"/>
    </row>
    <row r="289" spans="1:8">
      <c r="A289" s="1495" t="s">
        <v>765</v>
      </c>
      <c r="B289" s="1494"/>
      <c r="C289" s="1494"/>
      <c r="D289" s="1494"/>
      <c r="E289" s="1494"/>
      <c r="F289" s="1494"/>
      <c r="G289" s="1494"/>
      <c r="H289" s="1494"/>
    </row>
    <row r="290" spans="1:8">
      <c r="A290" s="1495" t="s">
        <v>766</v>
      </c>
      <c r="B290" s="1494"/>
      <c r="C290" s="1494"/>
      <c r="D290" s="1494"/>
      <c r="E290" s="1494"/>
      <c r="F290" s="1494"/>
      <c r="G290" s="1494"/>
      <c r="H290" s="1494"/>
    </row>
    <row r="291" spans="1:8">
      <c r="A291" s="1495" t="s">
        <v>767</v>
      </c>
      <c r="B291" s="1494"/>
      <c r="C291" s="1494"/>
      <c r="D291" s="1494"/>
      <c r="E291" s="1494"/>
      <c r="F291" s="1494"/>
      <c r="G291" s="1494"/>
      <c r="H291" s="1494"/>
    </row>
    <row r="292" spans="1:8">
      <c r="A292" s="1494"/>
      <c r="B292" s="1494"/>
      <c r="C292" s="1494"/>
      <c r="D292" s="1494"/>
      <c r="E292" s="1494"/>
      <c r="F292" s="1494"/>
      <c r="G292" s="1494"/>
      <c r="H292" s="1494"/>
    </row>
    <row r="293" spans="1:8">
      <c r="A293" s="1495" t="s">
        <v>752</v>
      </c>
      <c r="B293" s="1494"/>
      <c r="C293" s="1494"/>
      <c r="D293" s="1494"/>
      <c r="E293" s="1494"/>
      <c r="F293" s="1494"/>
      <c r="G293" s="1494"/>
      <c r="H293" s="1494"/>
    </row>
    <row r="294" spans="1:8">
      <c r="A294" s="1495" t="s">
        <v>753</v>
      </c>
      <c r="B294" s="1494"/>
      <c r="C294" s="1494"/>
      <c r="D294" s="1494"/>
      <c r="E294" s="1494"/>
      <c r="F294" s="1494"/>
      <c r="G294" s="1494"/>
      <c r="H294" s="1494"/>
    </row>
    <row r="295" spans="1:8">
      <c r="A295" s="1495" t="s">
        <v>754</v>
      </c>
      <c r="B295" s="1494"/>
      <c r="C295" s="1494"/>
      <c r="D295" s="1494"/>
      <c r="E295" s="1494"/>
      <c r="F295" s="1494"/>
      <c r="G295" s="1494"/>
      <c r="H295" s="1494"/>
    </row>
    <row r="296" spans="1:8">
      <c r="A296" s="1495" t="s">
        <v>755</v>
      </c>
      <c r="B296" s="1494"/>
      <c r="C296" s="1494"/>
      <c r="D296" s="1494"/>
      <c r="E296" s="1494"/>
      <c r="F296" s="1494"/>
      <c r="G296" s="1494"/>
      <c r="H296" s="1494"/>
    </row>
    <row r="297" spans="1:8">
      <c r="A297" s="1495" t="s">
        <v>756</v>
      </c>
      <c r="B297" s="1494"/>
      <c r="C297" s="1494"/>
      <c r="D297" s="1494"/>
      <c r="E297" s="1494"/>
      <c r="F297" s="1494"/>
      <c r="G297" s="1494"/>
      <c r="H297" s="1494"/>
    </row>
    <row r="298" spans="1:8">
      <c r="A298" s="1495" t="s">
        <v>757</v>
      </c>
      <c r="B298" s="1494"/>
      <c r="C298" s="1494"/>
      <c r="D298" s="1494"/>
      <c r="E298" s="1494"/>
      <c r="F298" s="1494"/>
      <c r="G298" s="1494"/>
      <c r="H298" s="1494"/>
    </row>
    <row r="299" spans="1:8">
      <c r="A299" s="1495" t="s">
        <v>758</v>
      </c>
      <c r="B299" s="1494"/>
      <c r="C299" s="1494"/>
      <c r="D299" s="1494"/>
      <c r="E299" s="1494"/>
      <c r="F299" s="1494"/>
      <c r="G299" s="1494"/>
      <c r="H299" s="1494"/>
    </row>
    <row r="300" spans="1:8">
      <c r="A300" s="1494"/>
      <c r="B300" s="1494"/>
      <c r="C300" s="1494"/>
      <c r="D300" s="1494"/>
      <c r="E300" s="1494"/>
      <c r="F300" s="1494"/>
      <c r="G300" s="1494"/>
      <c r="H300" s="1494"/>
    </row>
    <row r="301" spans="1:8">
      <c r="A301" s="1495" t="s">
        <v>749</v>
      </c>
      <c r="B301" s="1494"/>
      <c r="C301" s="1494"/>
      <c r="D301" s="1494"/>
      <c r="E301" s="1494"/>
      <c r="F301" s="1494"/>
      <c r="G301" s="1494"/>
      <c r="H301" s="1494"/>
    </row>
    <row r="302" spans="1:8">
      <c r="A302" s="1495" t="s">
        <v>750</v>
      </c>
      <c r="B302" s="1494"/>
      <c r="C302" s="1494"/>
      <c r="D302" s="1494"/>
      <c r="E302" s="1494"/>
      <c r="F302" s="1494"/>
      <c r="G302" s="1494"/>
      <c r="H302" s="1494"/>
    </row>
    <row r="303" spans="1:8">
      <c r="A303" s="1495" t="s">
        <v>751</v>
      </c>
      <c r="B303" s="1494"/>
      <c r="C303" s="1494"/>
      <c r="D303" s="1494"/>
      <c r="E303" s="1494"/>
      <c r="F303" s="1494"/>
      <c r="G303" s="1494"/>
      <c r="H303" s="1494"/>
    </row>
    <row r="304" spans="1:8">
      <c r="A304" s="1494"/>
      <c r="B304" s="1494"/>
      <c r="C304" s="1494"/>
      <c r="D304" s="1494"/>
      <c r="E304" s="1494"/>
      <c r="F304" s="1494"/>
      <c r="G304" s="1494"/>
      <c r="H304" s="1494"/>
    </row>
    <row r="305" spans="1:8">
      <c r="A305" s="1495" t="s">
        <v>747</v>
      </c>
      <c r="B305" s="1494"/>
      <c r="C305" s="1494"/>
      <c r="D305" s="1494"/>
      <c r="E305" s="1494"/>
      <c r="F305" s="1494"/>
      <c r="G305" s="1494"/>
      <c r="H305" s="1494"/>
    </row>
    <row r="306" spans="1:8">
      <c r="A306" s="1495" t="s">
        <v>748</v>
      </c>
      <c r="B306" s="1494"/>
      <c r="C306" s="1494"/>
      <c r="D306" s="1494"/>
      <c r="E306" s="1494"/>
      <c r="F306" s="1494"/>
      <c r="G306" s="1494"/>
      <c r="H306" s="1494"/>
    </row>
    <row r="307" spans="1:8">
      <c r="A307" s="1494"/>
      <c r="B307" s="1494"/>
      <c r="C307" s="1494"/>
      <c r="D307" s="1494"/>
      <c r="E307" s="1494"/>
      <c r="F307" s="1494"/>
      <c r="G307" s="1494"/>
      <c r="H307" s="1494"/>
    </row>
    <row r="308" spans="1:8">
      <c r="A308" s="1495" t="s">
        <v>734</v>
      </c>
      <c r="B308" s="1494"/>
      <c r="C308" s="1494"/>
      <c r="D308" s="1494"/>
      <c r="E308" s="1494"/>
      <c r="F308" s="1494"/>
      <c r="G308" s="1494"/>
      <c r="H308" s="1494"/>
    </row>
    <row r="309" spans="1:8">
      <c r="A309" s="1495" t="s">
        <v>735</v>
      </c>
      <c r="B309" s="1494"/>
      <c r="C309" s="1494"/>
      <c r="D309" s="1494"/>
      <c r="E309" s="1494"/>
      <c r="F309" s="1494"/>
      <c r="G309" s="1494"/>
      <c r="H309" s="1494"/>
    </row>
    <row r="310" spans="1:8">
      <c r="A310" s="1495" t="s">
        <v>736</v>
      </c>
      <c r="B310" s="1494"/>
      <c r="C310" s="1494"/>
      <c r="D310" s="1494"/>
      <c r="E310" s="1494"/>
      <c r="F310" s="1494"/>
      <c r="G310" s="1494"/>
      <c r="H310" s="1494"/>
    </row>
    <row r="311" spans="1:8">
      <c r="A311" s="1495" t="s">
        <v>737</v>
      </c>
      <c r="B311" s="1494"/>
      <c r="C311" s="1494"/>
      <c r="D311" s="1494"/>
      <c r="E311" s="1494"/>
      <c r="F311" s="1494"/>
      <c r="G311" s="1494"/>
      <c r="H311" s="1494"/>
    </row>
    <row r="312" spans="1:8">
      <c r="A312" s="1495" t="s">
        <v>738</v>
      </c>
      <c r="B312" s="1494"/>
      <c r="C312" s="1494"/>
      <c r="D312" s="1494"/>
      <c r="E312" s="1494"/>
      <c r="F312" s="1494"/>
      <c r="G312" s="1494"/>
      <c r="H312" s="1494"/>
    </row>
    <row r="313" spans="1:8">
      <c r="A313" s="1495" t="s">
        <v>739</v>
      </c>
      <c r="B313" s="1494"/>
      <c r="C313" s="1494"/>
      <c r="D313" s="1494"/>
      <c r="E313" s="1494"/>
      <c r="F313" s="1494"/>
      <c r="G313" s="1494"/>
      <c r="H313" s="1494"/>
    </row>
    <row r="314" spans="1:8">
      <c r="A314" s="1495" t="s">
        <v>740</v>
      </c>
      <c r="B314" s="1494"/>
      <c r="C314" s="1494"/>
      <c r="D314" s="1494"/>
      <c r="E314" s="1494"/>
      <c r="F314" s="1494"/>
      <c r="G314" s="1494"/>
      <c r="H314" s="1494"/>
    </row>
    <row r="315" spans="1:8">
      <c r="A315" s="1495" t="s">
        <v>741</v>
      </c>
      <c r="B315" s="1494"/>
      <c r="C315" s="1494"/>
      <c r="D315" s="1494"/>
      <c r="E315" s="1494"/>
      <c r="F315" s="1494"/>
      <c r="G315" s="1494"/>
      <c r="H315" s="1494"/>
    </row>
    <row r="316" spans="1:8">
      <c r="A316" s="1495" t="s">
        <v>742</v>
      </c>
      <c r="B316" s="1494"/>
      <c r="C316" s="1494"/>
      <c r="D316" s="1494"/>
      <c r="E316" s="1494"/>
      <c r="F316" s="1494"/>
      <c r="G316" s="1494"/>
      <c r="H316" s="1494"/>
    </row>
    <row r="317" spans="1:8">
      <c r="A317" s="1495" t="s">
        <v>743</v>
      </c>
      <c r="B317" s="1494"/>
      <c r="C317" s="1494"/>
      <c r="D317" s="1494"/>
      <c r="E317" s="1494"/>
      <c r="F317" s="1494"/>
      <c r="G317" s="1494"/>
      <c r="H317" s="1494"/>
    </row>
    <row r="318" spans="1:8">
      <c r="A318" s="1495" t="s">
        <v>744</v>
      </c>
      <c r="B318" s="1494"/>
      <c r="C318" s="1494"/>
      <c r="D318" s="1494"/>
      <c r="E318" s="1494"/>
      <c r="F318" s="1494"/>
      <c r="G318" s="1494"/>
      <c r="H318" s="1494"/>
    </row>
    <row r="319" spans="1:8">
      <c r="A319" s="1495" t="s">
        <v>745</v>
      </c>
      <c r="B319" s="1494"/>
      <c r="C319" s="1494"/>
      <c r="D319" s="1494"/>
      <c r="E319" s="1494"/>
      <c r="F319" s="1494"/>
      <c r="G319" s="1494"/>
      <c r="H319" s="1494"/>
    </row>
    <row r="320" spans="1:8">
      <c r="A320" s="1495" t="s">
        <v>746</v>
      </c>
      <c r="B320" s="1494"/>
      <c r="C320" s="1494"/>
      <c r="D320" s="1494"/>
      <c r="E320" s="1494"/>
      <c r="F320" s="1494"/>
      <c r="G320" s="1494"/>
      <c r="H320" s="1494"/>
    </row>
    <row r="321" spans="1:8">
      <c r="A321" s="1494"/>
      <c r="B321" s="1494"/>
      <c r="C321" s="1494"/>
      <c r="D321" s="1494"/>
      <c r="E321" s="1494"/>
      <c r="F321" s="1494"/>
      <c r="G321" s="1494"/>
      <c r="H321" s="1494"/>
    </row>
    <row r="322" spans="1:8">
      <c r="A322" s="1495" t="s">
        <v>726</v>
      </c>
      <c r="B322" s="1494"/>
      <c r="C322" s="1494"/>
      <c r="D322" s="1494"/>
      <c r="E322" s="1494"/>
      <c r="F322" s="1494"/>
      <c r="G322" s="1494"/>
      <c r="H322" s="1494"/>
    </row>
    <row r="323" spans="1:8">
      <c r="A323" s="1495" t="s">
        <v>727</v>
      </c>
      <c r="B323" s="1494"/>
      <c r="C323" s="1494"/>
      <c r="D323" s="1494"/>
      <c r="E323" s="1494"/>
      <c r="F323" s="1494"/>
      <c r="G323" s="1494"/>
      <c r="H323" s="1494"/>
    </row>
    <row r="324" spans="1:8">
      <c r="A324" s="1495" t="s">
        <v>728</v>
      </c>
      <c r="B324" s="1494"/>
      <c r="C324" s="1494"/>
      <c r="D324" s="1494"/>
      <c r="E324" s="1494"/>
      <c r="F324" s="1494"/>
      <c r="G324" s="1494"/>
      <c r="H324" s="1494"/>
    </row>
    <row r="325" spans="1:8">
      <c r="A325" s="1495" t="s">
        <v>729</v>
      </c>
      <c r="B325" s="1494"/>
      <c r="C325" s="1494"/>
      <c r="D325" s="1494"/>
      <c r="E325" s="1494"/>
      <c r="F325" s="1494"/>
      <c r="G325" s="1494"/>
      <c r="H325" s="1494"/>
    </row>
    <row r="326" spans="1:8">
      <c r="A326" s="1495" t="s">
        <v>730</v>
      </c>
      <c r="B326" s="1494"/>
      <c r="C326" s="1494"/>
      <c r="D326" s="1494"/>
      <c r="E326" s="1494"/>
      <c r="F326" s="1494"/>
      <c r="G326" s="1494"/>
      <c r="H326" s="1494"/>
    </row>
    <row r="327" spans="1:8">
      <c r="A327" s="1495" t="s">
        <v>731</v>
      </c>
      <c r="B327" s="1494"/>
      <c r="C327" s="1494"/>
      <c r="D327" s="1494"/>
      <c r="E327" s="1494"/>
      <c r="F327" s="1494"/>
      <c r="G327" s="1494"/>
      <c r="H327" s="1494"/>
    </row>
    <row r="328" spans="1:8">
      <c r="A328" s="1495" t="s">
        <v>732</v>
      </c>
      <c r="B328" s="1494"/>
      <c r="C328" s="1494"/>
      <c r="D328" s="1494"/>
      <c r="E328" s="1494"/>
      <c r="F328" s="1494"/>
      <c r="G328" s="1494"/>
      <c r="H328" s="1494"/>
    </row>
    <row r="329" spans="1:8">
      <c r="A329" s="1495" t="s">
        <v>733</v>
      </c>
      <c r="B329" s="1494"/>
      <c r="C329" s="1494"/>
      <c r="D329" s="1494"/>
      <c r="E329" s="1494"/>
      <c r="F329" s="1494"/>
      <c r="G329" s="1494"/>
      <c r="H329" s="1494"/>
    </row>
    <row r="330" spans="1:8">
      <c r="A330" s="1494"/>
      <c r="B330" s="1494"/>
      <c r="C330" s="1494"/>
      <c r="D330" s="1494"/>
      <c r="E330" s="1494"/>
      <c r="F330" s="1494"/>
      <c r="G330" s="1494"/>
      <c r="H330" s="1494"/>
    </row>
    <row r="331" spans="1:8">
      <c r="A331" s="1495" t="s">
        <v>691</v>
      </c>
      <c r="B331" s="1494"/>
      <c r="C331" s="1494"/>
      <c r="D331" s="1494"/>
      <c r="E331" s="1494"/>
      <c r="F331" s="1494"/>
      <c r="G331" s="1494"/>
      <c r="H331" s="1494"/>
    </row>
    <row r="332" spans="1:8">
      <c r="A332" s="1495" t="s">
        <v>692</v>
      </c>
      <c r="B332" s="1494"/>
      <c r="C332" s="1494"/>
      <c r="D332" s="1494"/>
      <c r="E332" s="1494"/>
      <c r="F332" s="1494"/>
      <c r="G332" s="1494"/>
      <c r="H332" s="1494"/>
    </row>
    <row r="333" spans="1:8">
      <c r="A333" s="1495" t="s">
        <v>693</v>
      </c>
      <c r="B333" s="1494"/>
      <c r="C333" s="1494"/>
      <c r="D333" s="1494"/>
      <c r="E333" s="1494"/>
      <c r="F333" s="1494"/>
      <c r="G333" s="1494"/>
      <c r="H333" s="1494"/>
    </row>
    <row r="334" spans="1:8">
      <c r="A334" s="1495" t="s">
        <v>694</v>
      </c>
      <c r="B334" s="1494"/>
      <c r="C334" s="1494"/>
      <c r="D334" s="1494"/>
      <c r="E334" s="1494"/>
      <c r="F334" s="1494"/>
      <c r="G334" s="1494"/>
      <c r="H334" s="1494"/>
    </row>
    <row r="335" spans="1:8">
      <c r="A335" s="1495" t="s">
        <v>695</v>
      </c>
      <c r="B335" s="1494"/>
      <c r="C335" s="1494"/>
      <c r="D335" s="1494"/>
      <c r="E335" s="1494"/>
      <c r="F335" s="1494"/>
      <c r="G335" s="1494"/>
      <c r="H335" s="1494"/>
    </row>
    <row r="336" spans="1:8">
      <c r="A336" s="1495" t="s">
        <v>696</v>
      </c>
      <c r="B336" s="1494"/>
      <c r="C336" s="1494"/>
      <c r="D336" s="1494"/>
      <c r="E336" s="1494"/>
      <c r="F336" s="1494"/>
      <c r="G336" s="1494"/>
      <c r="H336" s="1494"/>
    </row>
    <row r="337" spans="1:8">
      <c r="A337" s="1495" t="s">
        <v>697</v>
      </c>
      <c r="B337" s="1494"/>
      <c r="C337" s="1494"/>
      <c r="D337" s="1494"/>
      <c r="E337" s="1494"/>
      <c r="F337" s="1494"/>
      <c r="G337" s="1494"/>
      <c r="H337" s="1494"/>
    </row>
    <row r="338" spans="1:8">
      <c r="A338" s="1495" t="s">
        <v>698</v>
      </c>
      <c r="B338" s="1494"/>
      <c r="C338" s="1494"/>
      <c r="D338" s="1494"/>
      <c r="E338" s="1494"/>
      <c r="F338" s="1494"/>
      <c r="G338" s="1494"/>
      <c r="H338" s="1494"/>
    </row>
    <row r="339" spans="1:8">
      <c r="A339" s="1495" t="s">
        <v>699</v>
      </c>
      <c r="B339" s="1494"/>
      <c r="C339" s="1494"/>
      <c r="D339" s="1494"/>
      <c r="E339" s="1494"/>
      <c r="F339" s="1494"/>
      <c r="G339" s="1494"/>
      <c r="H339" s="1494"/>
    </row>
    <row r="340" spans="1:8">
      <c r="A340" s="1495" t="s">
        <v>700</v>
      </c>
      <c r="B340" s="1494"/>
      <c r="C340" s="1494"/>
      <c r="D340" s="1494"/>
      <c r="E340" s="1494"/>
      <c r="F340" s="1494"/>
      <c r="G340" s="1494"/>
      <c r="H340" s="1494"/>
    </row>
    <row r="341" spans="1:8">
      <c r="A341" s="1495" t="s">
        <v>701</v>
      </c>
      <c r="B341" s="1494"/>
      <c r="C341" s="1494"/>
      <c r="D341" s="1494"/>
      <c r="E341" s="1494"/>
      <c r="F341" s="1494"/>
      <c r="G341" s="1494"/>
      <c r="H341" s="1494"/>
    </row>
    <row r="342" spans="1:8">
      <c r="A342" s="1495" t="s">
        <v>702</v>
      </c>
      <c r="B342" s="1494"/>
      <c r="C342" s="1494"/>
      <c r="D342" s="1494"/>
      <c r="E342" s="1494"/>
      <c r="F342" s="1494"/>
      <c r="G342" s="1494"/>
      <c r="H342" s="1494"/>
    </row>
    <row r="343" spans="1:8">
      <c r="A343" s="1495" t="s">
        <v>703</v>
      </c>
      <c r="B343" s="1494"/>
      <c r="C343" s="1494"/>
      <c r="D343" s="1494"/>
      <c r="E343" s="1494"/>
      <c r="F343" s="1494"/>
      <c r="G343" s="1494"/>
      <c r="H343" s="1494"/>
    </row>
    <row r="344" spans="1:8">
      <c r="A344" s="1495" t="s">
        <v>704</v>
      </c>
      <c r="B344" s="1494"/>
      <c r="C344" s="1494"/>
      <c r="D344" s="1494"/>
      <c r="E344" s="1494"/>
      <c r="F344" s="1494"/>
      <c r="G344" s="1494"/>
      <c r="H344" s="1494"/>
    </row>
    <row r="345" spans="1:8">
      <c r="A345" s="1495" t="s">
        <v>705</v>
      </c>
      <c r="B345" s="1494"/>
      <c r="C345" s="1494"/>
      <c r="D345" s="1494"/>
      <c r="E345" s="1494"/>
      <c r="F345" s="1494"/>
      <c r="G345" s="1494"/>
      <c r="H345" s="1494"/>
    </row>
    <row r="346" spans="1:8">
      <c r="A346" s="1495" t="s">
        <v>706</v>
      </c>
      <c r="B346" s="1494"/>
      <c r="C346" s="1494"/>
      <c r="D346" s="1494"/>
      <c r="E346" s="1494"/>
      <c r="F346" s="1494"/>
      <c r="G346" s="1494"/>
      <c r="H346" s="1494"/>
    </row>
    <row r="347" spans="1:8">
      <c r="A347" s="1495" t="s">
        <v>707</v>
      </c>
      <c r="B347" s="1494"/>
      <c r="C347" s="1494"/>
      <c r="D347" s="1494"/>
      <c r="E347" s="1494"/>
      <c r="F347" s="1494"/>
      <c r="G347" s="1494"/>
      <c r="H347" s="1494"/>
    </row>
    <row r="348" spans="1:8">
      <c r="A348" s="1495" t="s">
        <v>708</v>
      </c>
      <c r="B348" s="1494"/>
      <c r="C348" s="1494"/>
      <c r="D348" s="1494"/>
      <c r="E348" s="1494"/>
      <c r="F348" s="1494"/>
      <c r="G348" s="1494"/>
      <c r="H348" s="1494"/>
    </row>
    <row r="349" spans="1:8">
      <c r="A349" s="1495" t="s">
        <v>709</v>
      </c>
      <c r="B349" s="1494"/>
      <c r="C349" s="1494"/>
      <c r="D349" s="1494"/>
      <c r="E349" s="1494"/>
      <c r="F349" s="1494"/>
      <c r="G349" s="1494"/>
      <c r="H349" s="1494"/>
    </row>
    <row r="350" spans="1:8">
      <c r="A350" s="1495" t="s">
        <v>710</v>
      </c>
      <c r="B350" s="1494"/>
      <c r="C350" s="1494"/>
      <c r="D350" s="1494"/>
      <c r="E350" s="1494"/>
      <c r="F350" s="1494"/>
      <c r="G350" s="1494"/>
      <c r="H350" s="1494"/>
    </row>
    <row r="351" spans="1:8">
      <c r="A351" s="1495" t="s">
        <v>711</v>
      </c>
      <c r="B351" s="1494"/>
      <c r="C351" s="1494"/>
      <c r="D351" s="1494"/>
      <c r="E351" s="1494"/>
      <c r="F351" s="1494"/>
      <c r="G351" s="1494"/>
      <c r="H351" s="1494"/>
    </row>
    <row r="352" spans="1:8">
      <c r="A352" s="1495" t="s">
        <v>712</v>
      </c>
      <c r="B352" s="1494"/>
      <c r="C352" s="1494"/>
      <c r="D352" s="1494"/>
      <c r="E352" s="1494"/>
      <c r="F352" s="1494"/>
      <c r="G352" s="1494"/>
      <c r="H352" s="1494"/>
    </row>
    <row r="353" spans="1:8">
      <c r="A353" s="1495" t="s">
        <v>713</v>
      </c>
      <c r="B353" s="1494"/>
      <c r="C353" s="1494"/>
      <c r="D353" s="1494"/>
      <c r="E353" s="1494"/>
      <c r="F353" s="1494"/>
      <c r="G353" s="1494"/>
      <c r="H353" s="1494"/>
    </row>
    <row r="354" spans="1:8">
      <c r="A354" s="1495" t="s">
        <v>714</v>
      </c>
      <c r="B354" s="1494"/>
      <c r="C354" s="1494"/>
      <c r="D354" s="1494"/>
      <c r="E354" s="1494"/>
      <c r="F354" s="1494"/>
      <c r="G354" s="1494"/>
      <c r="H354" s="1494"/>
    </row>
    <row r="355" spans="1:8">
      <c r="A355" s="1495" t="s">
        <v>715</v>
      </c>
      <c r="B355" s="1494"/>
      <c r="C355" s="1494"/>
      <c r="D355" s="1494"/>
      <c r="E355" s="1494"/>
      <c r="F355" s="1494"/>
      <c r="G355" s="1494"/>
      <c r="H355" s="1494"/>
    </row>
    <row r="356" spans="1:8">
      <c r="A356" s="1495" t="s">
        <v>716</v>
      </c>
      <c r="B356" s="1494"/>
      <c r="C356" s="1494"/>
      <c r="D356" s="1494"/>
      <c r="E356" s="1494"/>
      <c r="F356" s="1494"/>
      <c r="G356" s="1494"/>
      <c r="H356" s="1494"/>
    </row>
    <row r="357" spans="1:8">
      <c r="A357" s="1495" t="s">
        <v>717</v>
      </c>
      <c r="B357" s="1494"/>
      <c r="C357" s="1494"/>
      <c r="D357" s="1494"/>
      <c r="E357" s="1494"/>
      <c r="F357" s="1494"/>
      <c r="G357" s="1494"/>
      <c r="H357" s="1494"/>
    </row>
    <row r="358" spans="1:8">
      <c r="A358" s="1495" t="s">
        <v>718</v>
      </c>
      <c r="B358" s="1494"/>
      <c r="C358" s="1494"/>
      <c r="D358" s="1494"/>
      <c r="E358" s="1494"/>
      <c r="F358" s="1494"/>
      <c r="G358" s="1494"/>
      <c r="H358" s="1494"/>
    </row>
    <row r="359" spans="1:8">
      <c r="A359" s="1495" t="s">
        <v>719</v>
      </c>
      <c r="B359" s="1494"/>
      <c r="C359" s="1494"/>
      <c r="D359" s="1494"/>
      <c r="E359" s="1494"/>
      <c r="F359" s="1494"/>
      <c r="G359" s="1494"/>
      <c r="H359" s="1494"/>
    </row>
    <row r="360" spans="1:8">
      <c r="A360" s="1495" t="s">
        <v>720</v>
      </c>
      <c r="B360" s="1494"/>
      <c r="C360" s="1494"/>
      <c r="D360" s="1494"/>
      <c r="E360" s="1494"/>
      <c r="F360" s="1494"/>
      <c r="G360" s="1494"/>
      <c r="H360" s="1494"/>
    </row>
    <row r="361" spans="1:8">
      <c r="A361" s="1495" t="s">
        <v>721</v>
      </c>
      <c r="B361" s="1494"/>
      <c r="C361" s="1494"/>
      <c r="D361" s="1494"/>
      <c r="E361" s="1494"/>
      <c r="F361" s="1494"/>
      <c r="G361" s="1494"/>
      <c r="H361" s="1494"/>
    </row>
    <row r="362" spans="1:8">
      <c r="A362" s="1495" t="s">
        <v>722</v>
      </c>
      <c r="B362" s="1494"/>
      <c r="C362" s="1494"/>
      <c r="D362" s="1494"/>
      <c r="E362" s="1494"/>
      <c r="F362" s="1494"/>
      <c r="G362" s="1494"/>
      <c r="H362" s="1494"/>
    </row>
    <row r="363" spans="1:8">
      <c r="A363" s="1495" t="s">
        <v>723</v>
      </c>
      <c r="B363" s="1494"/>
      <c r="C363" s="1494"/>
      <c r="D363" s="1494"/>
      <c r="E363" s="1494"/>
      <c r="F363" s="1494"/>
      <c r="G363" s="1494"/>
      <c r="H363" s="1494"/>
    </row>
    <row r="364" spans="1:8">
      <c r="A364" s="1495" t="s">
        <v>724</v>
      </c>
      <c r="B364" s="1494"/>
      <c r="C364" s="1494"/>
      <c r="D364" s="1494"/>
      <c r="E364" s="1494"/>
      <c r="F364" s="1494"/>
      <c r="G364" s="1494"/>
      <c r="H364" s="1494"/>
    </row>
    <row r="365" spans="1:8">
      <c r="A365" s="1495" t="s">
        <v>725</v>
      </c>
      <c r="B365" s="1494"/>
      <c r="C365" s="1494"/>
      <c r="D365" s="1494"/>
      <c r="E365" s="1494"/>
      <c r="F365" s="1494"/>
      <c r="G365" s="1494"/>
      <c r="H365" s="1494"/>
    </row>
    <row r="366" spans="1:8">
      <c r="A366" s="1494"/>
      <c r="B366" s="1494"/>
      <c r="C366" s="1494"/>
      <c r="D366" s="1494"/>
      <c r="E366" s="1494"/>
      <c r="F366" s="1494"/>
      <c r="G366" s="1494"/>
      <c r="H366" s="1494"/>
    </row>
    <row r="367" spans="1:8">
      <c r="A367" s="1495" t="s">
        <v>683</v>
      </c>
      <c r="B367" s="1494"/>
      <c r="C367" s="1494"/>
      <c r="D367" s="1494"/>
      <c r="E367" s="1494"/>
      <c r="F367" s="1494"/>
      <c r="G367" s="1494"/>
      <c r="H367" s="1494"/>
    </row>
    <row r="368" spans="1:8">
      <c r="A368" s="1495" t="s">
        <v>687</v>
      </c>
      <c r="B368" s="1494"/>
      <c r="C368" s="1494"/>
      <c r="D368" s="1494"/>
      <c r="E368" s="1494"/>
      <c r="F368" s="1494"/>
      <c r="G368" s="1494"/>
      <c r="H368" s="1494"/>
    </row>
    <row r="369" spans="1:8">
      <c r="A369" s="1495" t="s">
        <v>688</v>
      </c>
      <c r="B369" s="1494"/>
      <c r="C369" s="1494"/>
      <c r="D369" s="1494"/>
      <c r="E369" s="1494"/>
      <c r="F369" s="1494"/>
      <c r="G369" s="1494"/>
      <c r="H369" s="1494"/>
    </row>
    <row r="370" spans="1:8">
      <c r="A370" s="1495" t="s">
        <v>689</v>
      </c>
      <c r="B370" s="1494"/>
      <c r="C370" s="1494"/>
      <c r="D370" s="1494"/>
      <c r="E370" s="1494"/>
      <c r="F370" s="1494"/>
      <c r="G370" s="1494"/>
      <c r="H370" s="1494"/>
    </row>
    <row r="371" spans="1:8">
      <c r="A371" s="1495" t="s">
        <v>690</v>
      </c>
      <c r="B371" s="1494"/>
      <c r="C371" s="1494"/>
      <c r="D371" s="1494"/>
      <c r="E371" s="1494"/>
      <c r="F371" s="1494"/>
      <c r="G371" s="1494"/>
      <c r="H371" s="1494"/>
    </row>
    <row r="372" spans="1:8">
      <c r="A372" s="1494"/>
      <c r="B372" s="1494"/>
      <c r="C372" s="1494"/>
      <c r="D372" s="1494"/>
      <c r="E372" s="1494"/>
      <c r="F372" s="1494"/>
      <c r="G372" s="1494"/>
      <c r="H372" s="1494"/>
    </row>
    <row r="373" spans="1:8">
      <c r="A373" s="1495" t="s">
        <v>683</v>
      </c>
      <c r="B373" s="1494"/>
      <c r="C373" s="1494"/>
      <c r="D373" s="1494"/>
      <c r="E373" s="1494"/>
      <c r="F373" s="1494"/>
      <c r="G373" s="1494"/>
      <c r="H373" s="1494"/>
    </row>
    <row r="374" spans="1:8">
      <c r="A374" s="1495" t="s">
        <v>684</v>
      </c>
      <c r="B374" s="1494"/>
      <c r="C374" s="1494"/>
      <c r="D374" s="1494"/>
      <c r="E374" s="1494"/>
      <c r="F374" s="1494"/>
      <c r="G374" s="1494"/>
      <c r="H374" s="1494"/>
    </row>
    <row r="375" spans="1:8">
      <c r="A375" s="1495" t="s">
        <v>685</v>
      </c>
      <c r="B375" s="1494"/>
      <c r="C375" s="1494"/>
      <c r="D375" s="1494"/>
      <c r="E375" s="1494"/>
      <c r="F375" s="1494"/>
      <c r="G375" s="1494"/>
      <c r="H375" s="1494"/>
    </row>
    <row r="376" spans="1:8">
      <c r="A376" s="1495" t="s">
        <v>686</v>
      </c>
      <c r="B376" s="1494"/>
      <c r="C376" s="1494"/>
      <c r="D376" s="1494"/>
      <c r="E376" s="1494"/>
      <c r="F376" s="1494"/>
      <c r="G376" s="1494"/>
      <c r="H376" s="1494"/>
    </row>
    <row r="377" spans="1:8">
      <c r="A377" s="1494"/>
      <c r="B377" s="1494"/>
      <c r="C377" s="1494"/>
      <c r="D377" s="1494"/>
      <c r="E377" s="1494"/>
      <c r="F377" s="1494"/>
      <c r="G377" s="1494"/>
      <c r="H377" s="1494"/>
    </row>
    <row r="378" spans="1:8">
      <c r="A378" s="1495" t="s">
        <v>677</v>
      </c>
      <c r="B378" s="1494"/>
      <c r="C378" s="1494"/>
      <c r="D378" s="1494"/>
      <c r="E378" s="1494"/>
      <c r="F378" s="1494"/>
      <c r="G378" s="1494"/>
      <c r="H378" s="1494"/>
    </row>
    <row r="379" spans="1:8">
      <c r="A379" s="1495" t="s">
        <v>678</v>
      </c>
      <c r="B379" s="1494"/>
      <c r="C379" s="1494"/>
      <c r="D379" s="1494"/>
      <c r="E379" s="1494"/>
      <c r="F379" s="1494"/>
      <c r="G379" s="1494"/>
      <c r="H379" s="1494"/>
    </row>
    <row r="380" spans="1:8">
      <c r="A380" s="1495" t="s">
        <v>679</v>
      </c>
      <c r="B380" s="1494"/>
      <c r="C380" s="1494"/>
      <c r="D380" s="1494"/>
      <c r="E380" s="1494"/>
      <c r="F380" s="1494"/>
      <c r="G380" s="1494"/>
      <c r="H380" s="1494"/>
    </row>
    <row r="381" spans="1:8">
      <c r="A381" s="1495" t="s">
        <v>680</v>
      </c>
      <c r="B381" s="1494"/>
      <c r="C381" s="1494"/>
      <c r="D381" s="1494"/>
      <c r="E381" s="1494"/>
      <c r="F381" s="1494"/>
      <c r="G381" s="1494"/>
      <c r="H381" s="1494"/>
    </row>
    <row r="382" spans="1:8">
      <c r="A382" s="1495" t="s">
        <v>681</v>
      </c>
      <c r="B382" s="1494"/>
      <c r="C382" s="1494"/>
      <c r="D382" s="1494"/>
      <c r="E382" s="1494"/>
      <c r="F382" s="1494"/>
      <c r="G382" s="1494"/>
      <c r="H382" s="1494"/>
    </row>
    <row r="383" spans="1:8">
      <c r="A383" s="1495" t="s">
        <v>682</v>
      </c>
      <c r="B383" s="1494"/>
      <c r="C383" s="1494"/>
      <c r="D383" s="1494"/>
      <c r="E383" s="1494"/>
      <c r="F383" s="1494"/>
      <c r="G383" s="1494"/>
      <c r="H383" s="1494"/>
    </row>
    <row r="384" spans="1:8">
      <c r="A384" s="1494"/>
      <c r="B384" s="1494"/>
      <c r="C384" s="1494"/>
      <c r="D384" s="1494"/>
      <c r="E384" s="1494"/>
      <c r="F384" s="1494"/>
      <c r="G384" s="1494"/>
      <c r="H384" s="1494"/>
    </row>
    <row r="385" spans="1:8">
      <c r="A385" s="1495" t="s">
        <v>672</v>
      </c>
      <c r="B385" s="1494"/>
      <c r="C385" s="1494"/>
      <c r="D385" s="1494"/>
      <c r="E385" s="1494"/>
      <c r="F385" s="1494"/>
      <c r="G385" s="1494"/>
      <c r="H385" s="1494"/>
    </row>
    <row r="386" spans="1:8">
      <c r="A386" s="1495" t="s">
        <v>673</v>
      </c>
      <c r="B386" s="1494"/>
      <c r="C386" s="1494"/>
      <c r="D386" s="1494"/>
      <c r="E386" s="1494"/>
      <c r="F386" s="1494"/>
      <c r="G386" s="1494"/>
      <c r="H386" s="1494"/>
    </row>
    <row r="387" spans="1:8">
      <c r="A387" s="1495" t="s">
        <v>674</v>
      </c>
      <c r="B387" s="1494"/>
      <c r="C387" s="1494"/>
      <c r="D387" s="1494"/>
      <c r="E387" s="1494"/>
      <c r="F387" s="1494"/>
      <c r="G387" s="1494"/>
      <c r="H387" s="1494"/>
    </row>
    <row r="388" spans="1:8">
      <c r="A388" s="1495" t="s">
        <v>675</v>
      </c>
      <c r="B388" s="1494"/>
      <c r="C388" s="1494"/>
      <c r="D388" s="1494"/>
      <c r="E388" s="1494"/>
      <c r="F388" s="1494"/>
      <c r="G388" s="1494"/>
      <c r="H388" s="1494"/>
    </row>
    <row r="389" spans="1:8">
      <c r="A389" s="1495" t="s">
        <v>676</v>
      </c>
      <c r="B389" s="1494"/>
      <c r="C389" s="1494"/>
      <c r="D389" s="1494"/>
      <c r="E389" s="1494"/>
      <c r="F389" s="1494"/>
      <c r="G389" s="1494"/>
      <c r="H389" s="1494"/>
    </row>
    <row r="390" spans="1:8">
      <c r="A390" s="1494"/>
      <c r="B390" s="1494"/>
      <c r="C390" s="1494"/>
      <c r="D390" s="1494"/>
      <c r="E390" s="1494"/>
      <c r="F390" s="1494"/>
      <c r="G390" s="1494"/>
      <c r="H390" s="1494"/>
    </row>
    <row r="391" spans="1:8">
      <c r="A391" s="1495" t="s">
        <v>670</v>
      </c>
      <c r="B391" s="1494"/>
      <c r="C391" s="1494"/>
      <c r="D391" s="1494"/>
      <c r="E391" s="1494"/>
      <c r="F391" s="1494"/>
      <c r="G391" s="1494"/>
      <c r="H391" s="1494"/>
    </row>
    <row r="392" spans="1:8">
      <c r="A392" s="1495" t="s">
        <v>671</v>
      </c>
      <c r="B392" s="1494"/>
      <c r="C392" s="1494"/>
      <c r="D392" s="1494"/>
      <c r="E392" s="1494"/>
      <c r="F392" s="1494"/>
      <c r="G392" s="1494"/>
      <c r="H392" s="1494"/>
    </row>
    <row r="394" spans="1:8">
      <c r="A394" s="1490" t="s">
        <v>928</v>
      </c>
    </row>
  </sheetData>
  <mergeCells count="12">
    <mergeCell ref="A132:H132"/>
    <mergeCell ref="A133:H133"/>
    <mergeCell ref="B125:C125"/>
    <mergeCell ref="D125:F125"/>
    <mergeCell ref="G125:H125"/>
    <mergeCell ref="A111:H111"/>
    <mergeCell ref="A112:H112"/>
    <mergeCell ref="A113:H113"/>
    <mergeCell ref="A114:H114"/>
    <mergeCell ref="A116:H116"/>
    <mergeCell ref="A117:H117"/>
    <mergeCell ref="A124:H124"/>
  </mergeCells>
  <pageMargins left="0.5" right="0.5" top="0.5" bottom="0.5" header="0.5" footer="0.5"/>
  <pageSetup orientation="portrait" horizontalDpi="300" verticalDpi="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indexed="17"/>
    <pageSetUpPr fitToPage="1"/>
  </sheetPr>
  <dimension ref="A1:DP243"/>
  <sheetViews>
    <sheetView showGridLines="0" zoomScale="70" zoomScaleNormal="70" workbookViewId="0">
      <pane xSplit="3" ySplit="9" topLeftCell="AZ10" activePane="bottomRight" state="frozen"/>
      <selection activeCell="AZ10" sqref="AZ10:AZ147"/>
      <selection pane="topRight" activeCell="AZ10" sqref="AZ10:AZ147"/>
      <selection pane="bottomLeft" activeCell="AZ10" sqref="AZ10:AZ147"/>
      <selection pane="bottomRight" activeCell="BJ33" sqref="BJ33"/>
    </sheetView>
  </sheetViews>
  <sheetFormatPr defaultRowHeight="14.25" customHeight="1" outlineLevelRow="2" outlineLevelCol="1"/>
  <cols>
    <col min="1" max="1" width="1.7109375" customWidth="1"/>
    <col min="2" max="2" width="46.5703125" customWidth="1"/>
    <col min="3" max="3" width="1.7109375" customWidth="1"/>
    <col min="4" max="27" width="11.42578125" hidden="1" customWidth="1" outlineLevel="1"/>
    <col min="28" max="28" width="11.42578125" hidden="1" customWidth="1" outlineLevel="1" collapsed="1"/>
    <col min="29" max="30" width="11.42578125" hidden="1" customWidth="1" outlineLevel="1"/>
    <col min="31" max="31" width="9.5703125" hidden="1" customWidth="1" outlineLevel="1"/>
    <col min="32" max="32" width="11.42578125" hidden="1" customWidth="1" outlineLevel="1" collapsed="1"/>
    <col min="33" max="35" width="11.42578125" hidden="1" customWidth="1" outlineLevel="1"/>
    <col min="36" max="36" width="11.42578125" hidden="1" customWidth="1" outlineLevel="1" collapsed="1"/>
    <col min="37" max="51" width="11.42578125" hidden="1" customWidth="1" outlineLevel="1"/>
    <col min="52" max="52" width="11.42578125" customWidth="1" collapsed="1"/>
    <col min="53" max="63" width="11.42578125" customWidth="1"/>
    <col min="64" max="67" width="11.42578125" hidden="1" customWidth="1" outlineLevel="1"/>
    <col min="68" max="68" width="2.7109375" customWidth="1" collapsed="1"/>
    <col min="69" max="80" width="11.42578125" hidden="1" customWidth="1" outlineLevel="1"/>
    <col min="81" max="81" width="11.42578125" customWidth="1" collapsed="1"/>
    <col min="82" max="83" width="11.42578125" customWidth="1"/>
    <col min="84" max="84" width="11.42578125" hidden="1" customWidth="1" outlineLevel="1"/>
    <col min="85" max="85" width="1.7109375" customWidth="1" collapsed="1"/>
    <col min="86" max="97" width="11.42578125" hidden="1" customWidth="1" outlineLevel="1"/>
    <col min="98" max="98" width="11.42578125" customWidth="1" collapsed="1"/>
    <col min="99" max="101" width="11.42578125" customWidth="1"/>
    <col min="102" max="102" width="61.140625" hidden="1" customWidth="1" outlineLevel="1"/>
    <col min="103" max="119" width="9.140625" hidden="1" customWidth="1" outlineLevel="1"/>
    <col min="120" max="120" width="9.140625" collapsed="1"/>
  </cols>
  <sheetData>
    <row r="1" spans="1:112" ht="67.5" customHeight="1">
      <c r="A1" s="5"/>
      <c r="B1" s="322"/>
      <c r="C1" s="1"/>
      <c r="D1" s="2"/>
      <c r="E1" s="1"/>
      <c r="F1" s="2"/>
      <c r="G1" s="1"/>
      <c r="H1" s="2"/>
      <c r="I1" s="1"/>
      <c r="J1" s="2"/>
      <c r="K1" s="1"/>
      <c r="L1" s="2"/>
      <c r="M1" s="1"/>
      <c r="N1" s="2"/>
      <c r="O1" s="1"/>
      <c r="P1" s="2"/>
      <c r="Q1" s="1"/>
      <c r="R1" s="2"/>
      <c r="S1" s="1"/>
      <c r="T1" s="2"/>
      <c r="U1" s="1"/>
      <c r="V1" s="2"/>
      <c r="W1" s="1"/>
      <c r="X1" s="2"/>
      <c r="Y1" s="1"/>
      <c r="Z1" s="2"/>
      <c r="AA1" s="1"/>
      <c r="AB1" s="2"/>
      <c r="AC1" s="1"/>
      <c r="AD1" s="2"/>
      <c r="AE1" s="1"/>
      <c r="AF1" s="2"/>
      <c r="AG1" s="1"/>
      <c r="AH1" s="2"/>
      <c r="AI1" s="1"/>
      <c r="AJ1" s="2"/>
      <c r="AK1" s="1"/>
      <c r="AL1" s="2"/>
      <c r="AM1" s="1"/>
      <c r="AN1" s="2"/>
      <c r="AO1" s="1"/>
      <c r="AP1" s="2"/>
      <c r="AQ1" s="1"/>
      <c r="AR1" s="2"/>
      <c r="AS1" s="1"/>
      <c r="AT1" s="2"/>
      <c r="AU1" s="1"/>
      <c r="AV1" s="2"/>
      <c r="AW1" s="1"/>
      <c r="AX1" s="2"/>
      <c r="AY1" s="1"/>
      <c r="AZ1" s="1"/>
      <c r="BA1" s="1"/>
      <c r="BB1" s="2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2"/>
      <c r="BQ1" s="2"/>
      <c r="BR1" s="1"/>
      <c r="BS1" s="2"/>
      <c r="BT1" s="1"/>
      <c r="BU1" s="2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2"/>
      <c r="CI1" s="1"/>
      <c r="CJ1" s="2"/>
      <c r="CK1" s="1"/>
      <c r="CL1" s="2"/>
      <c r="CM1" s="2"/>
      <c r="CN1" s="2"/>
      <c r="CO1" s="2"/>
      <c r="CP1" s="2"/>
      <c r="CQ1" s="2"/>
      <c r="CR1" s="2"/>
      <c r="CS1" s="1"/>
      <c r="CT1" s="1"/>
      <c r="CU1" s="1"/>
      <c r="CV1" s="1"/>
      <c r="CW1" s="2"/>
    </row>
    <row r="2" spans="1:112" ht="18" customHeight="1">
      <c r="A2" s="1"/>
      <c r="B2" s="4" t="s">
        <v>227</v>
      </c>
      <c r="C2" s="4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6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5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5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DE2" s="511" t="s">
        <v>281</v>
      </c>
      <c r="DF2" s="510"/>
      <c r="DG2" s="510"/>
      <c r="DH2" s="510"/>
    </row>
    <row r="3" spans="1:112" ht="14.25" customHeight="1">
      <c r="A3" s="1"/>
      <c r="B3" s="1"/>
      <c r="C3" s="1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332"/>
      <c r="BE3" s="1"/>
      <c r="BF3" s="6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5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5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DE3" s="512"/>
      <c r="DF3" s="510"/>
      <c r="DG3" s="510"/>
      <c r="DH3" s="513"/>
    </row>
    <row r="4" spans="1:112" ht="14.25" customHeight="1">
      <c r="A4" s="1"/>
      <c r="B4" s="1"/>
      <c r="C4" s="1"/>
      <c r="D4" s="5"/>
      <c r="E4" s="5"/>
      <c r="F4" s="5"/>
      <c r="G4" s="5"/>
      <c r="H4" s="1020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1"/>
      <c r="AF4" s="1"/>
      <c r="AG4" s="1"/>
      <c r="AH4" s="1"/>
      <c r="AI4" s="1"/>
      <c r="AJ4" s="1"/>
      <c r="AK4" s="945"/>
      <c r="AL4" s="692"/>
      <c r="AM4" s="910"/>
      <c r="AN4" s="1"/>
      <c r="AO4" s="1112"/>
      <c r="AP4" s="1112"/>
      <c r="AQ4" s="198"/>
      <c r="AR4" s="1"/>
      <c r="AS4" s="198"/>
      <c r="AT4" s="1112"/>
      <c r="AU4" s="198"/>
      <c r="AV4" s="198"/>
      <c r="AW4" s="198"/>
      <c r="AX4" s="198"/>
      <c r="AY4" s="198"/>
      <c r="AZ4" s="198"/>
      <c r="BA4" s="198"/>
      <c r="BB4" s="198"/>
      <c r="BC4" s="198"/>
      <c r="BD4" s="198"/>
      <c r="BE4" s="198"/>
      <c r="BF4" s="198"/>
      <c r="BG4" s="198"/>
      <c r="BH4" s="198"/>
      <c r="BI4" s="198"/>
      <c r="BJ4" s="198"/>
      <c r="BK4" s="198"/>
      <c r="BL4" s="198"/>
      <c r="BM4" s="198"/>
      <c r="BN4" s="198"/>
      <c r="BO4" s="198"/>
      <c r="BP4" s="1067"/>
      <c r="BQ4" s="1"/>
      <c r="BR4" s="1"/>
      <c r="BS4" s="1"/>
      <c r="BT4" s="1"/>
      <c r="BU4" s="1"/>
      <c r="BV4" s="5"/>
      <c r="BW4" s="934"/>
      <c r="BX4" s="934"/>
      <c r="BY4" s="934"/>
      <c r="BZ4" s="934"/>
      <c r="CA4" s="934"/>
      <c r="CB4" s="934"/>
      <c r="CC4" s="910"/>
      <c r="CD4" s="1217"/>
      <c r="CE4" s="1446"/>
      <c r="CF4" s="1446"/>
      <c r="CG4" s="1"/>
      <c r="CH4" s="5"/>
      <c r="CI4" s="1"/>
      <c r="CJ4" s="1"/>
      <c r="CK4" s="1"/>
      <c r="CL4" s="1"/>
      <c r="CM4" s="1"/>
      <c r="CN4" s="1"/>
      <c r="CO4" s="1"/>
      <c r="CP4" s="1"/>
      <c r="CQ4" s="1"/>
      <c r="CR4" s="1"/>
      <c r="CS4" s="1173"/>
      <c r="CT4" s="1173"/>
      <c r="CU4" s="1173"/>
      <c r="CV4" s="1173"/>
      <c r="CW4" s="197"/>
      <c r="DE4" s="512"/>
      <c r="DF4" s="510"/>
      <c r="DG4" s="510"/>
      <c r="DH4" s="513"/>
    </row>
    <row r="5" spans="1:112" ht="14.25" customHeight="1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331"/>
      <c r="AF5" s="332"/>
      <c r="AG5" s="332"/>
      <c r="AH5" s="332"/>
      <c r="AI5" s="332"/>
      <c r="AJ5" s="910"/>
      <c r="AK5" s="944"/>
      <c r="AL5" s="692"/>
      <c r="AM5" s="910"/>
      <c r="AN5" s="1"/>
      <c r="AO5" s="1112"/>
      <c r="AP5" s="1112"/>
      <c r="AQ5" s="945"/>
      <c r="AR5" s="1"/>
      <c r="AS5" s="1"/>
      <c r="AT5" s="1112"/>
      <c r="AU5" s="1213"/>
      <c r="AV5" s="945"/>
      <c r="AW5" s="1176"/>
      <c r="AX5" s="1176"/>
      <c r="AY5" s="1213"/>
      <c r="AZ5" s="1213"/>
      <c r="BA5" s="1176"/>
      <c r="BB5" s="1192"/>
      <c r="BC5" s="1448"/>
      <c r="BD5" s="1465"/>
      <c r="BE5" s="1448"/>
      <c r="BF5" s="1448"/>
      <c r="BG5" s="1448"/>
      <c r="BH5" s="1448"/>
      <c r="BI5" s="1448"/>
      <c r="BJ5" s="1448"/>
      <c r="BK5" s="1448"/>
      <c r="BL5" s="1448"/>
      <c r="BM5" s="1448"/>
      <c r="BN5" s="1448"/>
      <c r="BO5" s="1448"/>
      <c r="BP5" s="1448"/>
      <c r="BQ5" s="1448"/>
      <c r="BR5" s="1448"/>
      <c r="BS5" s="1448"/>
      <c r="BT5" s="1448"/>
      <c r="BU5" s="1448"/>
      <c r="BV5" s="1448"/>
      <c r="BW5" s="1448"/>
      <c r="BX5" s="1448"/>
      <c r="BY5" s="1448"/>
      <c r="BZ5" s="1034"/>
      <c r="CA5" s="1074"/>
      <c r="CB5" s="1034"/>
      <c r="CC5" s="1034"/>
      <c r="CD5" s="1034"/>
      <c r="CE5" s="1034"/>
      <c r="CF5" s="1034"/>
      <c r="CG5" s="197"/>
      <c r="CH5" s="302"/>
      <c r="CI5" s="197"/>
      <c r="CJ5" s="197"/>
      <c r="CK5" s="197"/>
      <c r="CL5" s="197"/>
      <c r="CM5" s="197"/>
      <c r="CN5" s="197"/>
      <c r="CO5" s="197"/>
      <c r="CP5" s="197"/>
      <c r="CQ5" s="197"/>
      <c r="CR5" s="197"/>
      <c r="CS5" s="1221"/>
      <c r="CT5" s="1221"/>
      <c r="CU5" s="1221"/>
      <c r="CV5" s="1025"/>
      <c r="CW5" s="197"/>
      <c r="DE5" s="512" t="s">
        <v>166</v>
      </c>
      <c r="DF5" s="510"/>
      <c r="DG5" s="510"/>
      <c r="DH5" s="513" t="s">
        <v>282</v>
      </c>
    </row>
    <row r="6" spans="1:112" ht="14.25" customHeight="1">
      <c r="A6" s="1"/>
      <c r="B6" s="373" t="s">
        <v>167</v>
      </c>
      <c r="C6" s="197"/>
      <c r="D6" s="321"/>
      <c r="E6" s="1"/>
      <c r="F6" s="1"/>
      <c r="G6" s="1"/>
      <c r="H6" s="321"/>
      <c r="I6" s="1"/>
      <c r="J6" s="1"/>
      <c r="K6" s="1"/>
      <c r="L6" s="321"/>
      <c r="M6" s="1"/>
      <c r="N6" s="1"/>
      <c r="O6" s="1"/>
      <c r="P6" s="321"/>
      <c r="Q6" s="1"/>
      <c r="R6" s="1"/>
      <c r="S6" s="1"/>
      <c r="T6" s="321"/>
      <c r="U6" s="1"/>
      <c r="V6" s="1"/>
      <c r="W6" s="1"/>
      <c r="X6" s="321"/>
      <c r="Y6" s="1"/>
      <c r="Z6" s="1"/>
      <c r="AA6" s="1"/>
      <c r="AB6" s="321"/>
      <c r="AC6" s="1"/>
      <c r="AD6" s="1"/>
      <c r="AE6" s="1"/>
      <c r="AF6" s="332"/>
      <c r="AG6" s="332"/>
      <c r="AH6" s="1"/>
      <c r="AI6" s="374"/>
      <c r="AJ6" s="332"/>
      <c r="AK6" s="332"/>
      <c r="AL6" s="332"/>
      <c r="AM6" s="332"/>
      <c r="AN6" s="332"/>
      <c r="AO6" s="332"/>
      <c r="AP6" s="332"/>
      <c r="AQ6" s="332"/>
      <c r="AR6" s="332"/>
      <c r="AS6" s="910"/>
      <c r="AT6" s="332"/>
      <c r="AU6" s="332"/>
      <c r="AV6" s="332"/>
      <c r="AW6" s="910"/>
      <c r="AX6" s="910"/>
      <c r="AY6" s="910"/>
      <c r="AZ6" s="1218"/>
      <c r="BA6" s="1217"/>
      <c r="BB6" s="1463"/>
      <c r="BC6" s="1463"/>
      <c r="BD6" s="332"/>
      <c r="BE6" s="332"/>
      <c r="BF6" s="332"/>
      <c r="BG6" s="332"/>
      <c r="BH6" s="332"/>
      <c r="BI6" s="332"/>
      <c r="BJ6" s="332"/>
      <c r="BK6" s="332"/>
      <c r="BL6" s="332"/>
      <c r="BM6" s="332"/>
      <c r="BN6" s="332"/>
      <c r="BO6" s="332"/>
      <c r="BP6" s="1"/>
      <c r="BQ6" s="1"/>
      <c r="BR6" s="1"/>
      <c r="BS6" s="1"/>
      <c r="BT6" s="1"/>
      <c r="BU6" s="1"/>
      <c r="BV6" s="5"/>
      <c r="BW6" s="1"/>
      <c r="BX6" s="1217"/>
      <c r="BY6" s="1"/>
      <c r="BZ6" s="1217"/>
      <c r="CA6" s="1"/>
      <c r="CB6" s="1"/>
      <c r="CC6" s="1"/>
      <c r="CD6" s="1"/>
      <c r="CE6" s="1"/>
      <c r="CF6" s="1"/>
      <c r="CG6" s="1"/>
      <c r="CH6" s="5"/>
      <c r="CI6" s="1"/>
      <c r="CJ6" s="1"/>
      <c r="CK6" s="1"/>
      <c r="CL6" s="1"/>
      <c r="CM6" s="1"/>
      <c r="CN6" s="1"/>
      <c r="CO6" s="1"/>
      <c r="CP6" s="1"/>
      <c r="CQ6" s="1"/>
      <c r="CR6" s="1"/>
      <c r="CS6" s="1034"/>
      <c r="CT6" s="1034"/>
      <c r="CU6" s="1034"/>
      <c r="CV6" s="1034"/>
      <c r="CW6" s="197"/>
      <c r="DE6" s="512" t="s">
        <v>167</v>
      </c>
      <c r="DF6" s="510"/>
      <c r="DG6" s="510"/>
      <c r="DH6" s="513" t="s">
        <v>284</v>
      </c>
    </row>
    <row r="7" spans="1:112" ht="14.25" customHeight="1">
      <c r="A7" s="8"/>
      <c r="B7" s="9" t="s">
        <v>436</v>
      </c>
      <c r="C7" s="10"/>
      <c r="D7" s="20" t="s">
        <v>358</v>
      </c>
      <c r="E7" s="21" t="s">
        <v>359</v>
      </c>
      <c r="F7" s="21" t="s">
        <v>360</v>
      </c>
      <c r="G7" s="22" t="s">
        <v>361</v>
      </c>
      <c r="H7" s="20" t="s">
        <v>362</v>
      </c>
      <c r="I7" s="21" t="s">
        <v>363</v>
      </c>
      <c r="J7" s="21" t="s">
        <v>364</v>
      </c>
      <c r="K7" s="22" t="s">
        <v>365</v>
      </c>
      <c r="L7" s="20" t="s">
        <v>366</v>
      </c>
      <c r="M7" s="21" t="s">
        <v>367</v>
      </c>
      <c r="N7" s="21" t="s">
        <v>368</v>
      </c>
      <c r="O7" s="22" t="s">
        <v>369</v>
      </c>
      <c r="P7" s="20" t="s">
        <v>370</v>
      </c>
      <c r="Q7" s="21" t="s">
        <v>371</v>
      </c>
      <c r="R7" s="21" t="s">
        <v>372</v>
      </c>
      <c r="S7" s="22" t="s">
        <v>373</v>
      </c>
      <c r="T7" s="20" t="s">
        <v>374</v>
      </c>
      <c r="U7" s="21" t="s">
        <v>375</v>
      </c>
      <c r="V7" s="21" t="s">
        <v>376</v>
      </c>
      <c r="W7" s="22" t="s">
        <v>377</v>
      </c>
      <c r="X7" s="20" t="s">
        <v>378</v>
      </c>
      <c r="Y7" s="21" t="s">
        <v>379</v>
      </c>
      <c r="Z7" s="21" t="s">
        <v>380</v>
      </c>
      <c r="AA7" s="22" t="s">
        <v>381</v>
      </c>
      <c r="AB7" s="20" t="s">
        <v>382</v>
      </c>
      <c r="AC7" s="21" t="s">
        <v>383</v>
      </c>
      <c r="AD7" s="21" t="s">
        <v>384</v>
      </c>
      <c r="AE7" s="22" t="s">
        <v>385</v>
      </c>
      <c r="AF7" s="20" t="s">
        <v>386</v>
      </c>
      <c r="AG7" s="21" t="s">
        <v>387</v>
      </c>
      <c r="AH7" s="21" t="s">
        <v>433</v>
      </c>
      <c r="AI7" s="22" t="s">
        <v>448</v>
      </c>
      <c r="AJ7" s="21" t="s">
        <v>485</v>
      </c>
      <c r="AK7" s="21" t="s">
        <v>489</v>
      </c>
      <c r="AL7" s="21" t="s">
        <v>506</v>
      </c>
      <c r="AM7" s="22" t="s">
        <v>512</v>
      </c>
      <c r="AN7" s="21" t="s">
        <v>517</v>
      </c>
      <c r="AO7" s="21" t="s">
        <v>535</v>
      </c>
      <c r="AP7" s="21" t="s">
        <v>523</v>
      </c>
      <c r="AQ7" s="21" t="s">
        <v>524</v>
      </c>
      <c r="AR7" s="20" t="s">
        <v>534</v>
      </c>
      <c r="AS7" s="21" t="s">
        <v>527</v>
      </c>
      <c r="AT7" s="21" t="s">
        <v>530</v>
      </c>
      <c r="AU7" s="21" t="s">
        <v>532</v>
      </c>
      <c r="AV7" s="1204" t="s">
        <v>546</v>
      </c>
      <c r="AW7" s="1205" t="s">
        <v>549</v>
      </c>
      <c r="AX7" s="1205" t="s">
        <v>556</v>
      </c>
      <c r="AY7" s="1205" t="s">
        <v>558</v>
      </c>
      <c r="AZ7" s="1204" t="s">
        <v>569</v>
      </c>
      <c r="BA7" s="1205" t="s">
        <v>597</v>
      </c>
      <c r="BB7" s="1205" t="s">
        <v>608</v>
      </c>
      <c r="BC7" s="1206" t="s">
        <v>621</v>
      </c>
      <c r="BD7" s="20" t="s">
        <v>624</v>
      </c>
      <c r="BE7" s="21" t="s">
        <v>538</v>
      </c>
      <c r="BF7" s="21" t="s">
        <v>539</v>
      </c>
      <c r="BG7" s="22" t="s">
        <v>540</v>
      </c>
      <c r="BH7" s="1417" t="s">
        <v>560</v>
      </c>
      <c r="BI7" s="1418" t="s">
        <v>561</v>
      </c>
      <c r="BJ7" s="1418" t="s">
        <v>562</v>
      </c>
      <c r="BK7" s="1419" t="s">
        <v>563</v>
      </c>
      <c r="BL7" s="1437" t="s">
        <v>611</v>
      </c>
      <c r="BM7" s="1438" t="s">
        <v>612</v>
      </c>
      <c r="BN7" s="1438" t="s">
        <v>613</v>
      </c>
      <c r="BO7" s="1439" t="s">
        <v>614</v>
      </c>
      <c r="BP7" s="8"/>
      <c r="BQ7" s="11"/>
      <c r="BR7" s="11"/>
      <c r="BS7" s="11"/>
      <c r="BT7" s="11"/>
      <c r="BU7" s="11"/>
      <c r="BV7" s="11"/>
      <c r="BW7" s="824"/>
      <c r="BX7" s="1034"/>
      <c r="BY7" s="824" t="s">
        <v>316</v>
      </c>
      <c r="BZ7" s="1034"/>
      <c r="CA7" s="1376"/>
      <c r="CB7" s="1378"/>
      <c r="CC7" s="1377"/>
      <c r="CG7" s="27"/>
      <c r="CH7" s="643" t="s">
        <v>425</v>
      </c>
      <c r="CI7" s="644" t="s">
        <v>426</v>
      </c>
      <c r="CJ7" s="644" t="s">
        <v>427</v>
      </c>
      <c r="CK7" s="644" t="s">
        <v>428</v>
      </c>
      <c r="CL7" s="644" t="s">
        <v>429</v>
      </c>
      <c r="CM7" s="1399" t="s">
        <v>430</v>
      </c>
      <c r="CN7" s="1399" t="s">
        <v>431</v>
      </c>
      <c r="CO7" s="1399" t="s">
        <v>329</v>
      </c>
      <c r="CP7" s="1399" t="s">
        <v>330</v>
      </c>
      <c r="CQ7" s="1399" t="s">
        <v>331</v>
      </c>
      <c r="CR7" s="1399" t="s">
        <v>509</v>
      </c>
      <c r="CS7" s="1205" t="s">
        <v>521</v>
      </c>
      <c r="CT7" s="1205" t="s">
        <v>544</v>
      </c>
      <c r="CU7" s="1438" t="s">
        <v>552</v>
      </c>
      <c r="CV7" s="1439" t="s">
        <v>620</v>
      </c>
      <c r="CW7" s="70"/>
      <c r="DE7" s="512" t="s">
        <v>168</v>
      </c>
      <c r="DF7" s="510"/>
      <c r="DG7" s="510"/>
      <c r="DH7" s="513" t="s">
        <v>283</v>
      </c>
    </row>
    <row r="8" spans="1:112" ht="14.25" customHeight="1">
      <c r="A8" s="8"/>
      <c r="B8" s="12" t="s">
        <v>232</v>
      </c>
      <c r="C8" s="13"/>
      <c r="D8" s="1466">
        <v>38383</v>
      </c>
      <c r="E8" s="14">
        <v>38472</v>
      </c>
      <c r="F8" s="14">
        <v>38564</v>
      </c>
      <c r="G8" s="15">
        <v>38656</v>
      </c>
      <c r="H8" s="14">
        <v>38748</v>
      </c>
      <c r="I8" s="14">
        <v>38837</v>
      </c>
      <c r="J8" s="14">
        <v>38929</v>
      </c>
      <c r="K8" s="15">
        <v>39021</v>
      </c>
      <c r="L8" s="14">
        <v>39113</v>
      </c>
      <c r="M8" s="14">
        <v>39202</v>
      </c>
      <c r="N8" s="14">
        <v>39294</v>
      </c>
      <c r="O8" s="15">
        <v>39386</v>
      </c>
      <c r="P8" s="14">
        <v>39478</v>
      </c>
      <c r="Q8" s="14">
        <v>39568</v>
      </c>
      <c r="R8" s="14">
        <v>39660</v>
      </c>
      <c r="S8" s="15">
        <v>39752</v>
      </c>
      <c r="T8" s="14">
        <v>39844</v>
      </c>
      <c r="U8" s="14">
        <v>39933</v>
      </c>
      <c r="V8" s="14">
        <v>40025</v>
      </c>
      <c r="W8" s="15">
        <v>40117</v>
      </c>
      <c r="X8" s="14">
        <v>40209</v>
      </c>
      <c r="Y8" s="14">
        <v>40298</v>
      </c>
      <c r="Z8" s="14">
        <v>40390</v>
      </c>
      <c r="AA8" s="15">
        <v>40482</v>
      </c>
      <c r="AB8" s="14">
        <v>40574</v>
      </c>
      <c r="AC8" s="14">
        <v>40663</v>
      </c>
      <c r="AD8" s="14">
        <v>40755</v>
      </c>
      <c r="AE8" s="15">
        <v>40847</v>
      </c>
      <c r="AF8" s="16">
        <v>40939</v>
      </c>
      <c r="AG8" s="14">
        <v>41029</v>
      </c>
      <c r="AH8" s="14">
        <v>41121</v>
      </c>
      <c r="AI8" s="703">
        <v>41213</v>
      </c>
      <c r="AJ8" s="702">
        <v>41305</v>
      </c>
      <c r="AK8" s="702">
        <v>41394</v>
      </c>
      <c r="AL8" s="702">
        <v>41486</v>
      </c>
      <c r="AM8" s="703">
        <v>41578</v>
      </c>
      <c r="AN8" s="704">
        <v>41670</v>
      </c>
      <c r="AO8" s="702">
        <v>41759</v>
      </c>
      <c r="AP8" s="702">
        <v>41851</v>
      </c>
      <c r="AQ8" s="702">
        <v>41943</v>
      </c>
      <c r="AR8" s="704">
        <v>42035</v>
      </c>
      <c r="AS8" s="702">
        <v>42124</v>
      </c>
      <c r="AT8" s="702">
        <v>42216</v>
      </c>
      <c r="AU8" s="702">
        <v>42308</v>
      </c>
      <c r="AV8" s="1216">
        <v>42400</v>
      </c>
      <c r="AW8" s="1214">
        <v>42490</v>
      </c>
      <c r="AX8" s="1214">
        <v>42582</v>
      </c>
      <c r="AY8" s="1214">
        <v>42674</v>
      </c>
      <c r="AZ8" s="1216">
        <v>42766</v>
      </c>
      <c r="BA8" s="1214">
        <v>42855</v>
      </c>
      <c r="BB8" s="1214">
        <v>42947</v>
      </c>
      <c r="BC8" s="1215">
        <v>43039</v>
      </c>
      <c r="BD8" s="704">
        <v>43131</v>
      </c>
      <c r="BE8" s="702">
        <v>43220</v>
      </c>
      <c r="BF8" s="702">
        <v>43312</v>
      </c>
      <c r="BG8" s="703">
        <v>43404</v>
      </c>
      <c r="BH8" s="1429">
        <v>43496</v>
      </c>
      <c r="BI8" s="1427">
        <v>43585</v>
      </c>
      <c r="BJ8" s="1427">
        <v>43677</v>
      </c>
      <c r="BK8" s="1428">
        <v>43769</v>
      </c>
      <c r="BL8" s="1429">
        <v>43861</v>
      </c>
      <c r="BM8" s="1427">
        <v>43951</v>
      </c>
      <c r="BN8" s="1427">
        <v>44043</v>
      </c>
      <c r="BO8" s="1428">
        <v>44135</v>
      </c>
      <c r="BP8" s="8"/>
      <c r="BQ8" s="11"/>
      <c r="BR8" s="11"/>
      <c r="BS8" s="11"/>
      <c r="BT8" s="11"/>
      <c r="BU8" s="11"/>
      <c r="BV8" s="11"/>
      <c r="BW8" s="11"/>
      <c r="BX8" s="1217"/>
      <c r="BY8" s="11" t="s">
        <v>316</v>
      </c>
      <c r="BZ8" s="1217"/>
      <c r="CA8" s="11"/>
      <c r="CB8" s="910"/>
      <c r="CC8" s="1377"/>
      <c r="CG8" s="27"/>
      <c r="CH8" s="697">
        <v>38748</v>
      </c>
      <c r="CI8" s="695">
        <v>39113</v>
      </c>
      <c r="CJ8" s="695">
        <v>39478</v>
      </c>
      <c r="CK8" s="695">
        <v>39844</v>
      </c>
      <c r="CL8" s="695">
        <v>40209</v>
      </c>
      <c r="CM8" s="695">
        <v>40574</v>
      </c>
      <c r="CN8" s="695">
        <v>40939</v>
      </c>
      <c r="CO8" s="695">
        <v>41275</v>
      </c>
      <c r="CP8" s="695">
        <v>41640</v>
      </c>
      <c r="CQ8" s="695">
        <v>42005</v>
      </c>
      <c r="CR8" s="695">
        <v>42370</v>
      </c>
      <c r="CS8" s="695">
        <v>42736</v>
      </c>
      <c r="CT8" s="695">
        <v>43101</v>
      </c>
      <c r="CU8" s="695">
        <v>43466</v>
      </c>
      <c r="CV8" s="696">
        <v>43831</v>
      </c>
      <c r="CW8" s="70"/>
    </row>
    <row r="9" spans="1:112" ht="14.25" customHeight="1">
      <c r="A9" s="8"/>
      <c r="B9" s="18"/>
      <c r="C9" s="19"/>
      <c r="D9" s="21" t="s">
        <v>388</v>
      </c>
      <c r="E9" s="21" t="s">
        <v>389</v>
      </c>
      <c r="F9" s="21" t="s">
        <v>390</v>
      </c>
      <c r="G9" s="22" t="s">
        <v>391</v>
      </c>
      <c r="H9" s="21" t="s">
        <v>392</v>
      </c>
      <c r="I9" s="21" t="s">
        <v>393</v>
      </c>
      <c r="J9" s="21" t="s">
        <v>394</v>
      </c>
      <c r="K9" s="22" t="s">
        <v>395</v>
      </c>
      <c r="L9" s="21" t="s">
        <v>396</v>
      </c>
      <c r="M9" s="21" t="s">
        <v>397</v>
      </c>
      <c r="N9" s="21" t="s">
        <v>398</v>
      </c>
      <c r="O9" s="22" t="s">
        <v>399</v>
      </c>
      <c r="P9" s="21" t="s">
        <v>400</v>
      </c>
      <c r="Q9" s="21" t="s">
        <v>401</v>
      </c>
      <c r="R9" s="21" t="s">
        <v>402</v>
      </c>
      <c r="S9" s="22" t="s">
        <v>403</v>
      </c>
      <c r="T9" s="21" t="s">
        <v>404</v>
      </c>
      <c r="U9" s="21" t="s">
        <v>405</v>
      </c>
      <c r="V9" s="21" t="s">
        <v>406</v>
      </c>
      <c r="W9" s="22" t="s">
        <v>407</v>
      </c>
      <c r="X9" s="21" t="s">
        <v>408</v>
      </c>
      <c r="Y9" s="21" t="s">
        <v>409</v>
      </c>
      <c r="Z9" s="21" t="s">
        <v>410</v>
      </c>
      <c r="AA9" s="22" t="s">
        <v>411</v>
      </c>
      <c r="AB9" s="21" t="s">
        <v>412</v>
      </c>
      <c r="AC9" s="21" t="s">
        <v>413</v>
      </c>
      <c r="AD9" s="21" t="s">
        <v>414</v>
      </c>
      <c r="AE9" s="21" t="s">
        <v>415</v>
      </c>
      <c r="AF9" s="20" t="s">
        <v>416</v>
      </c>
      <c r="AG9" s="21" t="s">
        <v>417</v>
      </c>
      <c r="AH9" s="21" t="s">
        <v>432</v>
      </c>
      <c r="AI9" s="22" t="s">
        <v>447</v>
      </c>
      <c r="AJ9" s="21" t="s">
        <v>484</v>
      </c>
      <c r="AK9" s="21" t="s">
        <v>490</v>
      </c>
      <c r="AL9" s="21" t="s">
        <v>507</v>
      </c>
      <c r="AM9" s="22" t="s">
        <v>511</v>
      </c>
      <c r="AN9" s="21" t="s">
        <v>514</v>
      </c>
      <c r="AO9" s="21" t="s">
        <v>519</v>
      </c>
      <c r="AP9" s="21" t="s">
        <v>522</v>
      </c>
      <c r="AQ9" s="21" t="s">
        <v>525</v>
      </c>
      <c r="AR9" s="20" t="s">
        <v>536</v>
      </c>
      <c r="AS9" s="21" t="s">
        <v>528</v>
      </c>
      <c r="AT9" s="21" t="s">
        <v>531</v>
      </c>
      <c r="AU9" s="21" t="s">
        <v>533</v>
      </c>
      <c r="AV9" s="1204" t="s">
        <v>545</v>
      </c>
      <c r="AW9" s="1205" t="s">
        <v>550</v>
      </c>
      <c r="AX9" s="1205" t="s">
        <v>555</v>
      </c>
      <c r="AY9" s="1205" t="s">
        <v>557</v>
      </c>
      <c r="AZ9" s="1204" t="s">
        <v>570</v>
      </c>
      <c r="BA9" s="1205" t="s">
        <v>598</v>
      </c>
      <c r="BB9" s="1205" t="s">
        <v>609</v>
      </c>
      <c r="BC9" s="1206" t="s">
        <v>622</v>
      </c>
      <c r="BD9" s="20" t="s">
        <v>625</v>
      </c>
      <c r="BE9" s="1399" t="s">
        <v>541</v>
      </c>
      <c r="BF9" s="1399" t="s">
        <v>542</v>
      </c>
      <c r="BG9" s="22" t="s">
        <v>543</v>
      </c>
      <c r="BH9" s="1417" t="s">
        <v>564</v>
      </c>
      <c r="BI9" s="1399" t="s">
        <v>565</v>
      </c>
      <c r="BJ9" s="1399" t="s">
        <v>566</v>
      </c>
      <c r="BK9" s="1419" t="s">
        <v>567</v>
      </c>
      <c r="BL9" s="1437" t="s">
        <v>615</v>
      </c>
      <c r="BM9" s="1399" t="s">
        <v>616</v>
      </c>
      <c r="BN9" s="1399" t="s">
        <v>617</v>
      </c>
      <c r="BO9" s="1439" t="s">
        <v>618</v>
      </c>
      <c r="BP9" s="253"/>
      <c r="BQ9" s="1204" t="s">
        <v>418</v>
      </c>
      <c r="BR9" s="1205" t="s">
        <v>419</v>
      </c>
      <c r="BS9" s="1205" t="s">
        <v>420</v>
      </c>
      <c r="BT9" s="1205" t="s">
        <v>421</v>
      </c>
      <c r="BU9" s="1205" t="s">
        <v>422</v>
      </c>
      <c r="BV9" s="1205" t="s">
        <v>423</v>
      </c>
      <c r="BW9" s="1205" t="s">
        <v>424</v>
      </c>
      <c r="BX9" s="1205" t="s">
        <v>483</v>
      </c>
      <c r="BY9" s="1205" t="s">
        <v>513</v>
      </c>
      <c r="BZ9" s="1437" t="s">
        <v>526</v>
      </c>
      <c r="CA9" s="1438" t="s">
        <v>537</v>
      </c>
      <c r="CB9" s="1438" t="s">
        <v>559</v>
      </c>
      <c r="CC9" s="1438" t="s">
        <v>623</v>
      </c>
      <c r="CD9" s="1438" t="s">
        <v>327</v>
      </c>
      <c r="CE9" s="1438" t="s">
        <v>328</v>
      </c>
      <c r="CF9" s="1439" t="s">
        <v>619</v>
      </c>
      <c r="CG9" s="176"/>
      <c r="CH9" s="905"/>
      <c r="CI9" s="906"/>
      <c r="CJ9" s="906"/>
      <c r="CK9" s="906"/>
      <c r="CL9" s="906"/>
      <c r="CM9" s="906"/>
      <c r="CN9" s="906"/>
      <c r="CO9" s="906"/>
      <c r="CP9" s="906"/>
      <c r="CQ9" s="906"/>
      <c r="CR9" s="906"/>
      <c r="CS9" s="1199"/>
      <c r="CT9" s="1199"/>
      <c r="CU9" s="1199"/>
      <c r="CV9" s="1200"/>
      <c r="CW9" s="70"/>
    </row>
    <row r="10" spans="1:112" s="914" customFormat="1" ht="14.25" customHeight="1">
      <c r="A10" s="1303"/>
      <c r="B10" s="1302" t="s">
        <v>102</v>
      </c>
      <c r="C10" s="52"/>
      <c r="D10" s="28">
        <v>580.53599999999994</v>
      </c>
      <c r="E10" s="28">
        <v>603.726</v>
      </c>
      <c r="F10" s="28">
        <v>582.41600000000005</v>
      </c>
      <c r="G10" s="497">
        <v>622.13</v>
      </c>
      <c r="H10" s="28">
        <v>556.62599999999998</v>
      </c>
      <c r="I10" s="28">
        <v>577.654</v>
      </c>
      <c r="J10" s="28">
        <v>598.91499999999996</v>
      </c>
      <c r="K10" s="497">
        <v>609.72400000000005</v>
      </c>
      <c r="L10" s="28">
        <f>591.265+35</f>
        <v>626.26499999999999</v>
      </c>
      <c r="M10" s="28">
        <v>597.48299999999995</v>
      </c>
      <c r="N10" s="28">
        <v>617.43100000000004</v>
      </c>
      <c r="O10" s="497">
        <v>623.54200000000003</v>
      </c>
      <c r="P10" s="28">
        <v>613.90899999999999</v>
      </c>
      <c r="Q10" s="28">
        <v>649.34</v>
      </c>
      <c r="R10" s="28">
        <v>658.98599999999999</v>
      </c>
      <c r="S10" s="497">
        <v>660.69600000000003</v>
      </c>
      <c r="T10" s="28">
        <v>476.56900000000002</v>
      </c>
      <c r="U10" s="28">
        <v>474.74799999999999</v>
      </c>
      <c r="V10" s="28">
        <v>491.99099999999999</v>
      </c>
      <c r="W10" s="497">
        <v>571.6</v>
      </c>
      <c r="X10" s="28">
        <v>602.98299999999995</v>
      </c>
      <c r="Y10" s="28">
        <v>668.24</v>
      </c>
      <c r="Z10" s="28">
        <v>720.29</v>
      </c>
      <c r="AA10" s="497">
        <v>769.99</v>
      </c>
      <c r="AB10" s="28">
        <v>728.50400000000002</v>
      </c>
      <c r="AC10" s="28">
        <v>790.78</v>
      </c>
      <c r="AD10" s="28">
        <v>757.90200000000004</v>
      </c>
      <c r="AE10" s="28">
        <v>716.13400000000001</v>
      </c>
      <c r="AF10" s="637">
        <v>648.05799999999999</v>
      </c>
      <c r="AG10" s="28">
        <v>675.09400000000005</v>
      </c>
      <c r="AH10" s="28">
        <v>683.02599999999995</v>
      </c>
      <c r="AI10" s="28">
        <v>694.96400000000006</v>
      </c>
      <c r="AJ10" s="637">
        <v>622.13400000000001</v>
      </c>
      <c r="AK10" s="28">
        <v>659.25</v>
      </c>
      <c r="AL10" s="28">
        <v>674.17200000000003</v>
      </c>
      <c r="AM10" s="28">
        <v>678.13300000000004</v>
      </c>
      <c r="AN10" s="637">
        <v>628.23800000000006</v>
      </c>
      <c r="AO10" s="28">
        <v>694.53599999999994</v>
      </c>
      <c r="AP10" s="28">
        <v>727.75199999999995</v>
      </c>
      <c r="AQ10" s="28">
        <v>814.24699999999996</v>
      </c>
      <c r="AR10" s="637">
        <v>771.98599999999999</v>
      </c>
      <c r="AS10" s="28">
        <v>821.01900000000001</v>
      </c>
      <c r="AT10" s="28">
        <v>863.36500000000001</v>
      </c>
      <c r="AU10" s="28">
        <v>978.72199999999998</v>
      </c>
      <c r="AV10" s="637">
        <v>769.42899999999997</v>
      </c>
      <c r="AW10" s="28">
        <v>778.76599999999996</v>
      </c>
      <c r="AX10" s="28">
        <v>869.59100000000001</v>
      </c>
      <c r="AY10" s="28">
        <v>1003.623</v>
      </c>
      <c r="AZ10" s="637">
        <v>984.44899999999996</v>
      </c>
      <c r="BA10" s="28">
        <v>1147.982</v>
      </c>
      <c r="BB10" s="28">
        <v>1433.902</v>
      </c>
      <c r="BC10" s="1461">
        <v>1541.17</v>
      </c>
      <c r="BD10" s="637">
        <v>1518.624</v>
      </c>
      <c r="BE10" s="1304">
        <f>+'BU-Segment'!BE122</f>
        <v>1470.3748249999999</v>
      </c>
      <c r="BF10" s="1304">
        <f>+'BU-Segment'!BF122</f>
        <v>1513.489729575</v>
      </c>
      <c r="BG10" s="1305">
        <f>+'BU-Segment'!BG122</f>
        <v>1563.45136848375</v>
      </c>
      <c r="BH10" s="1434">
        <f>+'BU-Segment'!BH122</f>
        <v>1482.0860465459623</v>
      </c>
      <c r="BI10" s="1304">
        <f>+'BU-Segment'!BI122</f>
        <v>1549.845241612069</v>
      </c>
      <c r="BJ10" s="1304">
        <f>+'BU-Segment'!BJ122</f>
        <v>1606.6790380731754</v>
      </c>
      <c r="BK10" s="1305">
        <f>+'BU-Segment'!BK122</f>
        <v>1673.6521234376141</v>
      </c>
      <c r="BL10" s="1434">
        <f>+'BU-Segment'!BL122</f>
        <v>1586.6755115959286</v>
      </c>
      <c r="BM10" s="1304">
        <f>+'BU-Segment'!BM122</f>
        <v>1653.8186965940952</v>
      </c>
      <c r="BN10" s="1304">
        <f>+'BU-Segment'!BN122</f>
        <v>1706.0026552512841</v>
      </c>
      <c r="BO10" s="1305">
        <f>+'BU-Segment'!BO122</f>
        <v>1766.5735763092998</v>
      </c>
      <c r="BP10" s="341"/>
      <c r="BQ10" s="1308">
        <f>SUM(D10:G10)</f>
        <v>2388.808</v>
      </c>
      <c r="BR10" s="1304">
        <f>SUM(H10:K10)</f>
        <v>2342.9189999999999</v>
      </c>
      <c r="BS10" s="1304">
        <f>SUM(L10:O10)</f>
        <v>2464.721</v>
      </c>
      <c r="BT10" s="1304">
        <f>SUM(P10:S10)</f>
        <v>2582.931</v>
      </c>
      <c r="BU10" s="1304">
        <f>SUM(T10:W10)</f>
        <v>2014.9079999999999</v>
      </c>
      <c r="BV10" s="1304">
        <f>SUM(X10:AA10)</f>
        <v>2761.5029999999997</v>
      </c>
      <c r="BW10" s="1304">
        <f>SUM(AB10:AE10)</f>
        <v>2993.32</v>
      </c>
      <c r="BX10" s="1304">
        <f>SUM(AF10:AI10)</f>
        <v>2701.1419999999998</v>
      </c>
      <c r="BY10" s="1304">
        <f>SUM(AJ10:AM10)</f>
        <v>2633.6890000000003</v>
      </c>
      <c r="BZ10" s="1307">
        <f>SUM(AN10:AQ10)</f>
        <v>2864.7729999999997</v>
      </c>
      <c r="CA10" s="1304">
        <f>SUM(AR10:AU10)</f>
        <v>3435.0919999999996</v>
      </c>
      <c r="CB10" s="1304">
        <f>SUM(AV10:AY10)</f>
        <v>3421.4090000000001</v>
      </c>
      <c r="CC10" s="1304">
        <f>SUM(AZ10:BC10)</f>
        <v>5107.5030000000006</v>
      </c>
      <c r="CD10" s="1304">
        <f>SUM(BD10:BG10)</f>
        <v>6065.9399230587496</v>
      </c>
      <c r="CE10" s="1304">
        <f>SUM(BH10:BK10)</f>
        <v>6312.2624496688204</v>
      </c>
      <c r="CF10" s="1305">
        <f>SUM(BL10:BO10)</f>
        <v>6713.070439750607</v>
      </c>
      <c r="CG10" s="1470"/>
      <c r="CH10" s="1307">
        <f>SUM(E10:H10)</f>
        <v>2364.8980000000001</v>
      </c>
      <c r="CI10" s="1304">
        <f>SUM(I10:L10)</f>
        <v>2412.558</v>
      </c>
      <c r="CJ10" s="1304">
        <f>SUM(M10:P10)</f>
        <v>2452.3650000000002</v>
      </c>
      <c r="CK10" s="1304">
        <f>SUM(Q10:T10)</f>
        <v>2445.5909999999999</v>
      </c>
      <c r="CL10" s="1304">
        <f>SUM(U10:X10)</f>
        <v>2141.3220000000001</v>
      </c>
      <c r="CM10" s="1304">
        <f>SUM(Y10:AB10)</f>
        <v>2887.0239999999999</v>
      </c>
      <c r="CN10" s="1304">
        <f>SUM(AC10:AF10)</f>
        <v>2912.8739999999998</v>
      </c>
      <c r="CO10" s="1304">
        <f>SUM(AG10:AJ10)</f>
        <v>2675.2179999999998</v>
      </c>
      <c r="CP10" s="1304">
        <f>SUM(AK10:AN10)</f>
        <v>2639.7930000000001</v>
      </c>
      <c r="CQ10" s="1304">
        <f>SUM(AO10:AR10)</f>
        <v>3008.5209999999997</v>
      </c>
      <c r="CR10" s="1304">
        <f>SUM(AS10:AV10)</f>
        <v>3432.5349999999999</v>
      </c>
      <c r="CS10" s="1304">
        <f>SUM(AW10:AZ10)</f>
        <v>3636.4290000000001</v>
      </c>
      <c r="CT10" s="1304">
        <f>SUM(BA10:BD10)</f>
        <v>5641.6779999999999</v>
      </c>
      <c r="CU10" s="1304">
        <f>SUM(BE10:BH10)</f>
        <v>6029.4019696047126</v>
      </c>
      <c r="CV10" s="1306">
        <f>SUM(BI10:BL10)</f>
        <v>6416.8519147187872</v>
      </c>
      <c r="CW10" s="301"/>
      <c r="CX10"/>
      <c r="CY10"/>
      <c r="CZ10"/>
      <c r="DA10"/>
      <c r="DB10"/>
      <c r="DC10"/>
    </row>
    <row r="11" spans="1:112" ht="14.25" hidden="1" customHeight="1" outlineLevel="1">
      <c r="A11" s="8"/>
      <c r="B11" s="360" t="s">
        <v>279</v>
      </c>
      <c r="C11" s="32"/>
      <c r="D11" s="1482" t="s">
        <v>628</v>
      </c>
      <c r="E11" s="1482" t="s">
        <v>628</v>
      </c>
      <c r="F11" s="1482" t="s">
        <v>628</v>
      </c>
      <c r="G11" s="1487" t="s">
        <v>628</v>
      </c>
      <c r="H11" s="1482" t="s">
        <v>628</v>
      </c>
      <c r="I11" s="1482" t="s">
        <v>628</v>
      </c>
      <c r="J11" s="1482" t="s">
        <v>628</v>
      </c>
      <c r="K11" s="1487" t="s">
        <v>628</v>
      </c>
      <c r="L11" s="1482" t="s">
        <v>628</v>
      </c>
      <c r="M11" s="1482" t="s">
        <v>628</v>
      </c>
      <c r="N11" s="1482" t="s">
        <v>628</v>
      </c>
      <c r="O11" s="1487" t="s">
        <v>628</v>
      </c>
      <c r="P11" s="1482" t="s">
        <v>628</v>
      </c>
      <c r="Q11" s="1482" t="s">
        <v>628</v>
      </c>
      <c r="R11" s="1482" t="s">
        <v>628</v>
      </c>
      <c r="S11" s="1487" t="s">
        <v>628</v>
      </c>
      <c r="T11" s="1482" t="s">
        <v>628</v>
      </c>
      <c r="U11" s="1482" t="s">
        <v>628</v>
      </c>
      <c r="V11" s="1482" t="s">
        <v>628</v>
      </c>
      <c r="W11" s="1487" t="s">
        <v>628</v>
      </c>
      <c r="X11" s="1482" t="s">
        <v>628</v>
      </c>
      <c r="Y11" s="1482" t="s">
        <v>628</v>
      </c>
      <c r="Z11" s="1482" t="s">
        <v>628</v>
      </c>
      <c r="AA11" s="1487" t="s">
        <v>628</v>
      </c>
      <c r="AB11" s="1482" t="s">
        <v>628</v>
      </c>
      <c r="AC11" s="1482" t="s">
        <v>628</v>
      </c>
      <c r="AD11" s="1482" t="s">
        <v>628</v>
      </c>
      <c r="AE11" s="1482" t="s">
        <v>628</v>
      </c>
      <c r="AF11" s="1483" t="s">
        <v>628</v>
      </c>
      <c r="AG11" s="1482" t="s">
        <v>628</v>
      </c>
      <c r="AH11" s="1482" t="s">
        <v>628</v>
      </c>
      <c r="AI11" s="1482" t="s">
        <v>628</v>
      </c>
      <c r="AJ11" s="1484" t="s">
        <v>628</v>
      </c>
      <c r="AK11" s="1485" t="s">
        <v>628</v>
      </c>
      <c r="AL11" s="1485" t="s">
        <v>628</v>
      </c>
      <c r="AM11" s="1486" t="s">
        <v>628</v>
      </c>
      <c r="AN11" s="1113" t="s">
        <v>628</v>
      </c>
      <c r="AO11" s="1114" t="s">
        <v>628</v>
      </c>
      <c r="AP11" s="1114" t="s">
        <v>628</v>
      </c>
      <c r="AQ11" s="1115" t="s">
        <v>628</v>
      </c>
      <c r="AR11" s="1113" t="s">
        <v>628</v>
      </c>
      <c r="AS11" s="1114" t="s">
        <v>628</v>
      </c>
      <c r="AT11" s="1114" t="s">
        <v>628</v>
      </c>
      <c r="AU11" s="1115" t="s">
        <v>628</v>
      </c>
      <c r="AV11" s="1113" t="s">
        <v>628</v>
      </c>
      <c r="AW11" s="1114" t="s">
        <v>628</v>
      </c>
      <c r="AX11" s="1114" t="s">
        <v>628</v>
      </c>
      <c r="AY11" s="1114" t="s">
        <v>628</v>
      </c>
      <c r="AZ11" s="1113" t="s">
        <v>629</v>
      </c>
      <c r="BA11" s="1114" t="s">
        <v>629</v>
      </c>
      <c r="BB11" s="1114" t="s">
        <v>629</v>
      </c>
      <c r="BC11" s="1114" t="s">
        <v>629</v>
      </c>
      <c r="BD11" s="1113" t="s">
        <v>629</v>
      </c>
      <c r="BE11" s="1114" t="s">
        <v>629</v>
      </c>
      <c r="BF11" s="1114" t="s">
        <v>629</v>
      </c>
      <c r="BG11" s="1115" t="s">
        <v>629</v>
      </c>
      <c r="BH11" s="1113" t="s">
        <v>629</v>
      </c>
      <c r="BI11" s="1114" t="s">
        <v>629</v>
      </c>
      <c r="BJ11" s="1114" t="s">
        <v>629</v>
      </c>
      <c r="BK11" s="1115" t="s">
        <v>629</v>
      </c>
      <c r="BL11" s="1113" t="s">
        <v>628</v>
      </c>
      <c r="BM11" s="1114" t="s">
        <v>628</v>
      </c>
      <c r="BN11" s="1114" t="s">
        <v>628</v>
      </c>
      <c r="BO11" s="1115" t="s">
        <v>628</v>
      </c>
      <c r="BP11" s="253"/>
      <c r="BQ11" s="1309">
        <f>SUM(D11:G11)</f>
        <v>0</v>
      </c>
      <c r="BR11" s="29">
        <f>SUM(H11:K11)</f>
        <v>0</v>
      </c>
      <c r="BS11" s="29">
        <f>SUM(L11:O11)</f>
        <v>0</v>
      </c>
      <c r="BT11" s="29">
        <f>SUM(P11:S11)</f>
        <v>0</v>
      </c>
      <c r="BU11" s="29">
        <f>SUM(T11:W11)</f>
        <v>0</v>
      </c>
      <c r="BV11" s="29">
        <f>SUM(X11:AA11)</f>
        <v>0</v>
      </c>
      <c r="BW11" s="1114">
        <f>SUM(AB11:AE11)</f>
        <v>0</v>
      </c>
      <c r="BX11" s="1114" t="s">
        <v>628</v>
      </c>
      <c r="BY11" s="1114" t="s">
        <v>628</v>
      </c>
      <c r="BZ11" s="1113" t="s">
        <v>628</v>
      </c>
      <c r="CA11" s="1114" t="s">
        <v>628</v>
      </c>
      <c r="CB11" s="1114" t="s">
        <v>628</v>
      </c>
      <c r="CC11" s="1114" t="s">
        <v>629</v>
      </c>
      <c r="CD11" s="1114" t="s">
        <v>629</v>
      </c>
      <c r="CE11" s="1114" t="s">
        <v>629</v>
      </c>
      <c r="CF11" s="1115" t="s">
        <v>628</v>
      </c>
      <c r="CG11" s="23"/>
      <c r="CH11" s="30">
        <f>SUM(E11:H11)</f>
        <v>0</v>
      </c>
      <c r="CI11" s="29">
        <f>SUM(I11:L11)</f>
        <v>0</v>
      </c>
      <c r="CJ11" s="29">
        <f>SUM(M11:P11)</f>
        <v>0</v>
      </c>
      <c r="CK11" s="29">
        <f>SUM(Q11:T11)</f>
        <v>0</v>
      </c>
      <c r="CL11" s="29">
        <f>SUM(U11:X11)</f>
        <v>0</v>
      </c>
      <c r="CM11" s="29">
        <f>SUM(Y11:AB11)</f>
        <v>0</v>
      </c>
      <c r="CN11" s="29">
        <f>SUM(AC11:AF11)</f>
        <v>0</v>
      </c>
      <c r="CO11" s="29">
        <f>SUM(AG11:AJ11)</f>
        <v>0</v>
      </c>
      <c r="CP11" s="29">
        <f>SUM(AK11:AN11)</f>
        <v>0</v>
      </c>
      <c r="CQ11" s="29">
        <f>SUM(AO11:AR11)</f>
        <v>0</v>
      </c>
      <c r="CR11" s="29">
        <f>SUM(AS11:AV11)</f>
        <v>0</v>
      </c>
      <c r="CS11" s="29">
        <f>SUM(AW11:AZ11)</f>
        <v>0</v>
      </c>
      <c r="CT11" s="29">
        <f>SUM(BA11:BD11)</f>
        <v>0</v>
      </c>
      <c r="CU11" s="29">
        <f>SUM(BE11:BH11)</f>
        <v>0</v>
      </c>
      <c r="CV11" s="325">
        <f>SUM(BI11:BL11)</f>
        <v>0</v>
      </c>
      <c r="CW11" s="17"/>
    </row>
    <row r="12" spans="1:112" ht="14.25" customHeight="1" collapsed="1">
      <c r="A12" s="8"/>
      <c r="B12" s="38" t="s">
        <v>435</v>
      </c>
      <c r="C12" s="39"/>
      <c r="D12" s="40"/>
      <c r="E12" s="40">
        <f t="shared" ref="E12:AT12" si="0">E10/D10-1</f>
        <v>3.9945843151846017E-2</v>
      </c>
      <c r="F12" s="40">
        <f t="shared" si="0"/>
        <v>-3.5297469381805557E-2</v>
      </c>
      <c r="G12" s="41">
        <f t="shared" si="0"/>
        <v>6.8188373945770708E-2</v>
      </c>
      <c r="H12" s="40">
        <f t="shared" si="0"/>
        <v>-0.10528989118029997</v>
      </c>
      <c r="I12" s="40">
        <f t="shared" si="0"/>
        <v>3.7777610100857784E-2</v>
      </c>
      <c r="J12" s="40">
        <f t="shared" si="0"/>
        <v>3.6805769543706068E-2</v>
      </c>
      <c r="K12" s="41">
        <f t="shared" si="0"/>
        <v>1.8047636142023649E-2</v>
      </c>
      <c r="L12" s="40">
        <f t="shared" si="0"/>
        <v>2.7128668053086225E-2</v>
      </c>
      <c r="M12" s="40">
        <f t="shared" si="0"/>
        <v>-4.5958180642379887E-2</v>
      </c>
      <c r="N12" s="40">
        <f t="shared" si="0"/>
        <v>3.3386723973736654E-2</v>
      </c>
      <c r="O12" s="41">
        <f t="shared" si="0"/>
        <v>9.8974622265484147E-3</v>
      </c>
      <c r="P12" s="40">
        <f t="shared" si="0"/>
        <v>-1.5448839051739993E-2</v>
      </c>
      <c r="Q12" s="40">
        <f t="shared" si="0"/>
        <v>5.7713765395197125E-2</v>
      </c>
      <c r="R12" s="40">
        <f t="shared" si="0"/>
        <v>1.4855083623371401E-2</v>
      </c>
      <c r="S12" s="41">
        <f t="shared" si="0"/>
        <v>2.5948957944479378E-3</v>
      </c>
      <c r="T12" s="40">
        <f t="shared" si="0"/>
        <v>-0.27868641553755436</v>
      </c>
      <c r="U12" s="40">
        <f t="shared" si="0"/>
        <v>-3.8210626373096357E-3</v>
      </c>
      <c r="V12" s="40">
        <f t="shared" si="0"/>
        <v>3.6320321517942178E-2</v>
      </c>
      <c r="W12" s="41">
        <f t="shared" si="0"/>
        <v>0.16180987050576134</v>
      </c>
      <c r="X12" s="40">
        <f t="shared" si="0"/>
        <v>5.4903778866340014E-2</v>
      </c>
      <c r="Y12" s="40">
        <f t="shared" si="0"/>
        <v>0.10822361492778421</v>
      </c>
      <c r="Z12" s="40">
        <f t="shared" si="0"/>
        <v>7.7891176822698416E-2</v>
      </c>
      <c r="AA12" s="41">
        <f t="shared" si="0"/>
        <v>6.8999986116702994E-2</v>
      </c>
      <c r="AB12" s="40">
        <f t="shared" si="0"/>
        <v>-5.3878621800283133E-2</v>
      </c>
      <c r="AC12" s="40">
        <f t="shared" si="0"/>
        <v>8.5484774277148734E-2</v>
      </c>
      <c r="AD12" s="40">
        <f t="shared" si="0"/>
        <v>-4.1576671134828769E-2</v>
      </c>
      <c r="AE12" s="40">
        <f t="shared" si="0"/>
        <v>-5.5110027417792806E-2</v>
      </c>
      <c r="AF12" s="42">
        <f t="shared" si="0"/>
        <v>-9.5060421652930938E-2</v>
      </c>
      <c r="AG12" s="40">
        <f t="shared" si="0"/>
        <v>4.1718488160010558E-2</v>
      </c>
      <c r="AH12" s="40">
        <f t="shared" si="0"/>
        <v>1.1749474887941425E-2</v>
      </c>
      <c r="AI12" s="40">
        <f t="shared" si="0"/>
        <v>1.7478104786640802E-2</v>
      </c>
      <c r="AJ12" s="42">
        <f t="shared" si="0"/>
        <v>-0.10479679522968099</v>
      </c>
      <c r="AK12" s="40">
        <f t="shared" si="0"/>
        <v>5.9659173104186447E-2</v>
      </c>
      <c r="AL12" s="40">
        <f t="shared" si="0"/>
        <v>2.263481228668951E-2</v>
      </c>
      <c r="AM12" s="40">
        <f t="shared" si="0"/>
        <v>5.8753552505887985E-3</v>
      </c>
      <c r="AN12" s="42">
        <f t="shared" si="0"/>
        <v>-7.3577012179026791E-2</v>
      </c>
      <c r="AO12" s="40">
        <f t="shared" si="0"/>
        <v>0.10553006981430579</v>
      </c>
      <c r="AP12" s="40">
        <f t="shared" si="0"/>
        <v>4.7824734786965806E-2</v>
      </c>
      <c r="AQ12" s="40">
        <f t="shared" si="0"/>
        <v>0.11885230133342128</v>
      </c>
      <c r="AR12" s="42">
        <f t="shared" ref="AR12:BD12" si="1">AR10/AQ10-1</f>
        <v>-5.1901941302823329E-2</v>
      </c>
      <c r="AS12" s="40">
        <f t="shared" si="0"/>
        <v>6.3515400538351807E-2</v>
      </c>
      <c r="AT12" s="40">
        <f t="shared" si="0"/>
        <v>5.1577369098644521E-2</v>
      </c>
      <c r="AU12" s="40">
        <f t="shared" si="1"/>
        <v>0.13361324584619472</v>
      </c>
      <c r="AV12" s="1209">
        <f t="shared" si="1"/>
        <v>-0.21384315464452619</v>
      </c>
      <c r="AW12" s="1207">
        <f t="shared" si="1"/>
        <v>1.2134972817504863E-2</v>
      </c>
      <c r="AX12" s="1207">
        <f t="shared" si="1"/>
        <v>0.11662681729813573</v>
      </c>
      <c r="AY12" s="1207">
        <f t="shared" si="1"/>
        <v>0.15413222997938125</v>
      </c>
      <c r="AZ12" s="1209">
        <f t="shared" si="1"/>
        <v>-1.9104783369851108E-2</v>
      </c>
      <c r="BA12" s="1282">
        <f t="shared" ref="BA12:BG12" si="2">BA10/AZ10-1</f>
        <v>0.16611627417976971</v>
      </c>
      <c r="BB12" s="1282">
        <f t="shared" si="1"/>
        <v>0.24906313862064056</v>
      </c>
      <c r="BC12" s="1440">
        <f t="shared" si="1"/>
        <v>7.4808459713425313E-2</v>
      </c>
      <c r="BD12" s="1442">
        <f t="shared" si="1"/>
        <v>-1.4629145389541742E-2</v>
      </c>
      <c r="BE12" s="40">
        <f t="shared" si="2"/>
        <v>-3.1771639984617739E-2</v>
      </c>
      <c r="BF12" s="40">
        <f t="shared" si="2"/>
        <v>2.9322390346964822E-2</v>
      </c>
      <c r="BG12" s="41">
        <f t="shared" si="2"/>
        <v>3.3010887310599424E-2</v>
      </c>
      <c r="BH12" s="1422">
        <f t="shared" ref="BH12" si="3">BH10/BG10-1</f>
        <v>-5.2042118851894026E-2</v>
      </c>
      <c r="BI12" s="1420">
        <f t="shared" ref="BI12" si="4">BI10/BH10-1</f>
        <v>4.5718799676996547E-2</v>
      </c>
      <c r="BJ12" s="1420">
        <f t="shared" ref="BJ12" si="5">BJ10/BI10-1</f>
        <v>3.667062680528721E-2</v>
      </c>
      <c r="BK12" s="1421">
        <f t="shared" ref="BK12" si="6">BK10/BJ10-1</f>
        <v>4.1684171995395314E-2</v>
      </c>
      <c r="BL12" s="1442">
        <f t="shared" ref="BL12" si="7">BL10/BK10-1</f>
        <v>-5.196815432769808E-2</v>
      </c>
      <c r="BM12" s="1440">
        <f t="shared" ref="BM12" si="8">BM10/BL10-1</f>
        <v>4.2316897505169093E-2</v>
      </c>
      <c r="BN12" s="1440">
        <f t="shared" ref="BN12" si="9">BN10/BM10-1</f>
        <v>3.1553615136083346E-2</v>
      </c>
      <c r="BO12" s="1441">
        <f t="shared" ref="BO12" si="10">BO10/BN10-1</f>
        <v>3.5504587798601106E-2</v>
      </c>
      <c r="BP12" s="253"/>
      <c r="BQ12" s="44"/>
      <c r="BR12" s="1210"/>
      <c r="BS12" s="1210"/>
      <c r="BT12" s="1210"/>
      <c r="BU12" s="1210"/>
      <c r="BV12" s="1210"/>
      <c r="BW12" s="1210"/>
      <c r="BX12" s="1210"/>
      <c r="BY12" s="1210"/>
      <c r="BZ12" s="1444"/>
      <c r="CA12" s="1443"/>
      <c r="CB12" s="1443"/>
      <c r="CC12" s="1443"/>
      <c r="CD12" s="1443"/>
      <c r="CE12" s="1443"/>
      <c r="CF12" s="1445"/>
      <c r="CG12" s="23"/>
      <c r="CH12" s="42"/>
      <c r="CI12" s="40"/>
      <c r="CJ12" s="40"/>
      <c r="CK12" s="40"/>
      <c r="CL12" s="40"/>
      <c r="CM12" s="1440"/>
      <c r="CN12" s="1440"/>
      <c r="CO12" s="1440"/>
      <c r="CP12" s="1440"/>
      <c r="CQ12" s="1440"/>
      <c r="CR12" s="1440"/>
      <c r="CS12" s="1207"/>
      <c r="CT12" s="1207"/>
      <c r="CU12" s="1440"/>
      <c r="CV12" s="1441"/>
      <c r="CW12" s="17"/>
    </row>
    <row r="13" spans="1:112" ht="14.25" customHeight="1">
      <c r="A13" s="8"/>
      <c r="B13" s="38" t="s">
        <v>444</v>
      </c>
      <c r="C13" s="39"/>
      <c r="D13" s="40"/>
      <c r="E13" s="40"/>
      <c r="F13" s="40"/>
      <c r="G13" s="41"/>
      <c r="H13" s="40">
        <f t="shared" ref="H13:AP13" si="11">H10/D10-1</f>
        <v>-4.1186076315680609E-2</v>
      </c>
      <c r="I13" s="40">
        <f t="shared" si="11"/>
        <v>-4.318515352991259E-2</v>
      </c>
      <c r="J13" s="40">
        <f t="shared" si="11"/>
        <v>2.8328548666245235E-2</v>
      </c>
      <c r="K13" s="41">
        <f t="shared" si="11"/>
        <v>-1.994116985196015E-2</v>
      </c>
      <c r="L13" s="40">
        <f t="shared" si="11"/>
        <v>0.12510913970960758</v>
      </c>
      <c r="M13" s="40">
        <f t="shared" si="11"/>
        <v>3.4326776928749636E-2</v>
      </c>
      <c r="N13" s="40">
        <f t="shared" si="11"/>
        <v>3.091590626382712E-2</v>
      </c>
      <c r="O13" s="41">
        <f t="shared" si="11"/>
        <v>2.2662712965210385E-2</v>
      </c>
      <c r="P13" s="40">
        <f t="shared" si="11"/>
        <v>-1.9729667153680963E-2</v>
      </c>
      <c r="Q13" s="40">
        <f t="shared" si="11"/>
        <v>8.6792427566976915E-2</v>
      </c>
      <c r="R13" s="40">
        <f t="shared" si="11"/>
        <v>6.7303067063364086E-2</v>
      </c>
      <c r="S13" s="41">
        <f t="shared" si="11"/>
        <v>5.9585400823039869E-2</v>
      </c>
      <c r="T13" s="40">
        <f t="shared" si="11"/>
        <v>-0.22371393805922368</v>
      </c>
      <c r="U13" s="40">
        <f t="shared" si="11"/>
        <v>-0.26887608956786901</v>
      </c>
      <c r="V13" s="40">
        <f t="shared" si="11"/>
        <v>-0.25341206034726083</v>
      </c>
      <c r="W13" s="41">
        <f t="shared" si="11"/>
        <v>-0.13485173211280221</v>
      </c>
      <c r="X13" s="40">
        <f t="shared" si="11"/>
        <v>0.26525854598179888</v>
      </c>
      <c r="Y13" s="40">
        <f t="shared" si="11"/>
        <v>0.4075678043930675</v>
      </c>
      <c r="Z13" s="40">
        <f t="shared" si="11"/>
        <v>0.46403084609271295</v>
      </c>
      <c r="AA13" s="41">
        <f t="shared" si="11"/>
        <v>0.34707837648705375</v>
      </c>
      <c r="AB13" s="40">
        <f t="shared" si="11"/>
        <v>0.20816673106870365</v>
      </c>
      <c r="AC13" s="40">
        <f t="shared" si="11"/>
        <v>0.18337722973781867</v>
      </c>
      <c r="AD13" s="40">
        <f t="shared" si="11"/>
        <v>5.22178566966085E-2</v>
      </c>
      <c r="AE13" s="40">
        <f t="shared" si="11"/>
        <v>-6.9943765503448052E-2</v>
      </c>
      <c r="AF13" s="42">
        <f t="shared" si="11"/>
        <v>-0.110426298277017</v>
      </c>
      <c r="AG13" s="40">
        <f t="shared" si="11"/>
        <v>-0.14629353296744974</v>
      </c>
      <c r="AH13" s="40">
        <f t="shared" si="11"/>
        <v>-9.8793775448540955E-2</v>
      </c>
      <c r="AI13" s="40">
        <f>AI10/AE10-1</f>
        <v>-2.9561506645404245E-2</v>
      </c>
      <c r="AJ13" s="42">
        <f t="shared" si="11"/>
        <v>-4.0002592360560252E-2</v>
      </c>
      <c r="AK13" s="40">
        <f t="shared" si="11"/>
        <v>-2.3469324271879199E-2</v>
      </c>
      <c r="AL13" s="40">
        <f t="shared" si="11"/>
        <v>-1.2962903315539842E-2</v>
      </c>
      <c r="AM13" s="40">
        <f>AM10/AI10-1</f>
        <v>-2.4218520671574373E-2</v>
      </c>
      <c r="AN13" s="42">
        <f t="shared" si="11"/>
        <v>9.8113911150974342E-3</v>
      </c>
      <c r="AO13" s="40">
        <f t="shared" si="11"/>
        <v>5.352445961319674E-2</v>
      </c>
      <c r="AP13" s="40">
        <f t="shared" si="11"/>
        <v>7.9475267439169661E-2</v>
      </c>
      <c r="AQ13" s="40">
        <f>AQ10/AM10-1</f>
        <v>0.2007187380646569</v>
      </c>
      <c r="AR13" s="42">
        <f t="shared" ref="AR13:BD13" si="12">AR10/AN10-1</f>
        <v>0.22881137403340768</v>
      </c>
      <c r="AS13" s="40">
        <f t="shared" si="12"/>
        <v>0.18211151041846652</v>
      </c>
      <c r="AT13" s="40">
        <f t="shared" si="12"/>
        <v>0.18634507359649999</v>
      </c>
      <c r="AU13" s="40">
        <f t="shared" si="12"/>
        <v>0.20199644579593179</v>
      </c>
      <c r="AV13" s="1209">
        <f t="shared" si="12"/>
        <v>-3.3122362322632881E-3</v>
      </c>
      <c r="AW13" s="1207">
        <f t="shared" si="12"/>
        <v>-5.1464095228003326E-2</v>
      </c>
      <c r="AX13" s="1207">
        <f t="shared" si="12"/>
        <v>7.2113185037614436E-3</v>
      </c>
      <c r="AY13" s="1207">
        <f t="shared" si="12"/>
        <v>2.5442362591215906E-2</v>
      </c>
      <c r="AZ13" s="1209">
        <f t="shared" si="12"/>
        <v>0.27945398470814076</v>
      </c>
      <c r="BA13" s="1282">
        <f t="shared" ref="BA13:BG13" si="13">BA10/AW10-1</f>
        <v>0.47410390284116155</v>
      </c>
      <c r="BB13" s="1282">
        <f t="shared" si="12"/>
        <v>0.64893840897617383</v>
      </c>
      <c r="BC13" s="1440">
        <f t="shared" si="12"/>
        <v>0.53560649765898161</v>
      </c>
      <c r="BD13" s="1442">
        <f t="shared" si="12"/>
        <v>0.54261317752367066</v>
      </c>
      <c r="BE13" s="40">
        <f t="shared" si="13"/>
        <v>0.28083439026047441</v>
      </c>
      <c r="BF13" s="40">
        <f t="shared" si="13"/>
        <v>5.5504301950202839E-2</v>
      </c>
      <c r="BG13" s="41">
        <f t="shared" si="13"/>
        <v>1.4457437196253364E-2</v>
      </c>
      <c r="BH13" s="1422">
        <f t="shared" ref="BH13" si="14">BH10/BD10-1</f>
        <v>-2.4059907820525472E-2</v>
      </c>
      <c r="BI13" s="1420">
        <f t="shared" ref="BI13" si="15">BI10/BE10-1</f>
        <v>5.4047726648250416E-2</v>
      </c>
      <c r="BJ13" s="1420">
        <f t="shared" ref="BJ13" si="16">BJ10/BF10-1</f>
        <v>6.1572474974338709E-2</v>
      </c>
      <c r="BK13" s="1421">
        <f t="shared" ref="BK13" si="17">BK10/BG10-1</f>
        <v>7.0485566212870276E-2</v>
      </c>
      <c r="BL13" s="1442">
        <f t="shared" ref="BL13" si="18">BL10/BH10-1</f>
        <v>7.0569090973978676E-2</v>
      </c>
      <c r="BM13" s="1440">
        <f t="shared" ref="BM13" si="19">BM10/BI10-1</f>
        <v>6.7086346552819975E-2</v>
      </c>
      <c r="BN13" s="1440">
        <f t="shared" ref="BN13" si="20">BN10/BJ10-1</f>
        <v>6.1819202730884815E-2</v>
      </c>
      <c r="BO13" s="1441">
        <f t="shared" ref="BO13" si="21">BO10/BK10-1</f>
        <v>5.5520171468386614E-2</v>
      </c>
      <c r="BP13" s="253"/>
      <c r="BQ13" s="1283"/>
      <c r="BR13" s="1282">
        <f t="shared" ref="BR13:CF13" si="22">BR10/BQ10-1</f>
        <v>-1.9209999296720404E-2</v>
      </c>
      <c r="BS13" s="1282">
        <f t="shared" si="22"/>
        <v>5.1987285945438222E-2</v>
      </c>
      <c r="BT13" s="1282">
        <f t="shared" si="22"/>
        <v>4.7960803677170816E-2</v>
      </c>
      <c r="BU13" s="1282">
        <f t="shared" si="22"/>
        <v>-0.21991412081855854</v>
      </c>
      <c r="BV13" s="1282">
        <f t="shared" si="22"/>
        <v>0.37053552817299829</v>
      </c>
      <c r="BW13" s="1282">
        <f t="shared" si="22"/>
        <v>8.3945952620728903E-2</v>
      </c>
      <c r="BX13" s="1282">
        <f t="shared" si="22"/>
        <v>-9.7610011625887116E-2</v>
      </c>
      <c r="BY13" s="1282">
        <f t="shared" si="22"/>
        <v>-2.4972030348644925E-2</v>
      </c>
      <c r="BZ13" s="1442">
        <f t="shared" si="22"/>
        <v>8.774156705670233E-2</v>
      </c>
      <c r="CA13" s="1440">
        <f t="shared" si="22"/>
        <v>0.19907999691424072</v>
      </c>
      <c r="CB13" s="1440">
        <f t="shared" si="22"/>
        <v>-3.9832994283703904E-3</v>
      </c>
      <c r="CC13" s="1440">
        <f t="shared" si="22"/>
        <v>0.49280691083702655</v>
      </c>
      <c r="CD13" s="1440">
        <f t="shared" si="22"/>
        <v>0.18765273814988448</v>
      </c>
      <c r="CE13" s="1440">
        <f t="shared" si="22"/>
        <v>4.0607478764125737E-2</v>
      </c>
      <c r="CF13" s="1441">
        <f t="shared" si="22"/>
        <v>6.3496724554413131E-2</v>
      </c>
      <c r="CG13" s="23"/>
      <c r="CH13" s="42"/>
      <c r="CI13" s="40">
        <f t="shared" ref="CI13:CQ13" si="23">CI10/CH10-1</f>
        <v>2.0153089055003681E-2</v>
      </c>
      <c r="CJ13" s="40">
        <f t="shared" si="23"/>
        <v>1.6499914198954135E-2</v>
      </c>
      <c r="CK13" s="40">
        <f t="shared" si="23"/>
        <v>-2.7622315601472103E-3</v>
      </c>
      <c r="CL13" s="40">
        <f t="shared" si="23"/>
        <v>-0.12441532537533861</v>
      </c>
      <c r="CM13" s="1440">
        <f t="shared" si="23"/>
        <v>0.34824374848808337</v>
      </c>
      <c r="CN13" s="1440">
        <f t="shared" si="23"/>
        <v>8.9538569821379088E-3</v>
      </c>
      <c r="CO13" s="1440">
        <f t="shared" si="23"/>
        <v>-8.158814971056072E-2</v>
      </c>
      <c r="CP13" s="1440">
        <f t="shared" si="23"/>
        <v>-1.3241911500296299E-2</v>
      </c>
      <c r="CQ13" s="1440">
        <f t="shared" si="23"/>
        <v>0.13968064920241829</v>
      </c>
      <c r="CR13" s="1440">
        <f>CR10/CQ10-1</f>
        <v>0.14093768998122336</v>
      </c>
      <c r="CS13" s="1207">
        <f>CS10/CR10-1</f>
        <v>5.9400413979755484E-2</v>
      </c>
      <c r="CT13" s="1207">
        <f>CT10/CS10-1</f>
        <v>0.55143356298170532</v>
      </c>
      <c r="CU13" s="1440">
        <f>CU10/CT10-1</f>
        <v>6.8724937794165664E-2</v>
      </c>
      <c r="CV13" s="1441">
        <f>CV10/CU10-1</f>
        <v>6.426009529092247E-2</v>
      </c>
      <c r="CW13" s="17"/>
    </row>
    <row r="14" spans="1:112" ht="14.25" hidden="1" customHeight="1" outlineLevel="1">
      <c r="A14" s="8"/>
      <c r="B14" s="38"/>
      <c r="C14" s="39"/>
      <c r="D14" s="1282"/>
      <c r="E14" s="1282"/>
      <c r="F14" s="1282"/>
      <c r="G14" s="1300"/>
      <c r="H14" s="1282"/>
      <c r="I14" s="1282"/>
      <c r="J14" s="1282"/>
      <c r="K14" s="1300"/>
      <c r="L14" s="1282"/>
      <c r="M14" s="1282"/>
      <c r="N14" s="1282"/>
      <c r="O14" s="1300"/>
      <c r="P14" s="1282"/>
      <c r="Q14" s="1282"/>
      <c r="R14" s="1282"/>
      <c r="S14" s="1300"/>
      <c r="T14" s="1282"/>
      <c r="U14" s="1282"/>
      <c r="V14" s="1282"/>
      <c r="W14" s="1300"/>
      <c r="X14" s="1282"/>
      <c r="Y14" s="1282"/>
      <c r="Z14" s="1282"/>
      <c r="AA14" s="1300"/>
      <c r="AB14" s="1282"/>
      <c r="AC14" s="1282"/>
      <c r="AD14" s="1282"/>
      <c r="AE14" s="1282"/>
      <c r="AF14" s="1283"/>
      <c r="AG14" s="1282"/>
      <c r="AH14" s="1282"/>
      <c r="AI14" s="1282"/>
      <c r="AJ14" s="1283"/>
      <c r="AK14" s="1282"/>
      <c r="AL14" s="1282"/>
      <c r="AM14" s="1282"/>
      <c r="AN14" s="1283"/>
      <c r="AO14" s="1282"/>
      <c r="AP14" s="1282"/>
      <c r="AQ14" s="1282"/>
      <c r="AR14" s="1283"/>
      <c r="AS14" s="1282"/>
      <c r="AT14" s="1282"/>
      <c r="AU14" s="1282"/>
      <c r="AV14" s="1283"/>
      <c r="AW14" s="1282"/>
      <c r="AX14" s="1282"/>
      <c r="AY14" s="1282"/>
      <c r="AZ14" s="1283"/>
      <c r="BA14" s="1282"/>
      <c r="BB14" s="1282"/>
      <c r="BC14" s="1440"/>
      <c r="BD14" s="1442"/>
      <c r="BE14" s="1282"/>
      <c r="BF14" s="1282"/>
      <c r="BG14" s="1300"/>
      <c r="BH14" s="1422"/>
      <c r="BI14" s="1420"/>
      <c r="BJ14" s="1420"/>
      <c r="BK14" s="1421"/>
      <c r="BL14" s="1442"/>
      <c r="BM14" s="1440"/>
      <c r="BN14" s="1440"/>
      <c r="BO14" s="1441"/>
      <c r="BP14" s="253"/>
      <c r="BQ14" s="1283"/>
      <c r="BR14" s="1282"/>
      <c r="BS14" s="1282"/>
      <c r="BT14" s="1282"/>
      <c r="BU14" s="1282"/>
      <c r="BV14" s="1282"/>
      <c r="BW14" s="1282"/>
      <c r="BX14" s="1282"/>
      <c r="BY14" s="1282"/>
      <c r="BZ14" s="1442"/>
      <c r="CA14" s="1440"/>
      <c r="CB14" s="1440"/>
      <c r="CC14" s="1440"/>
      <c r="CD14" s="1440"/>
      <c r="CE14" s="1440"/>
      <c r="CF14" s="1441"/>
      <c r="CG14" s="23"/>
      <c r="CH14" s="1283"/>
      <c r="CI14" s="1282"/>
      <c r="CJ14" s="1282"/>
      <c r="CK14" s="1282"/>
      <c r="CL14" s="1282"/>
      <c r="CM14" s="1440"/>
      <c r="CN14" s="1440"/>
      <c r="CO14" s="1440"/>
      <c r="CP14" s="1440"/>
      <c r="CQ14" s="1440"/>
      <c r="CR14" s="1440"/>
      <c r="CS14" s="1282"/>
      <c r="CT14" s="1282"/>
      <c r="CU14" s="1440"/>
      <c r="CV14" s="1441"/>
      <c r="CW14" s="17"/>
    </row>
    <row r="15" spans="1:112" ht="14.25" hidden="1" customHeight="1" outlineLevel="1">
      <c r="A15" s="8"/>
      <c r="B15" s="31" t="s">
        <v>583</v>
      </c>
      <c r="C15" s="27"/>
      <c r="D15" s="33"/>
      <c r="E15" s="33"/>
      <c r="F15" s="33"/>
      <c r="G15" s="34"/>
      <c r="H15" s="33"/>
      <c r="I15" s="33"/>
      <c r="J15" s="33"/>
      <c r="K15" s="34"/>
      <c r="L15" s="33"/>
      <c r="M15" s="33"/>
      <c r="N15" s="33"/>
      <c r="O15" s="34"/>
      <c r="P15" s="33"/>
      <c r="Q15" s="33"/>
      <c r="R15" s="33"/>
      <c r="S15" s="34"/>
      <c r="T15" s="33"/>
      <c r="U15" s="33"/>
      <c r="V15" s="33"/>
      <c r="W15" s="34"/>
      <c r="X15" s="33"/>
      <c r="Y15" s="33"/>
      <c r="Z15" s="33"/>
      <c r="AA15" s="34"/>
      <c r="AB15" s="33"/>
      <c r="AC15" s="33"/>
      <c r="AD15" s="33"/>
      <c r="AE15" s="33"/>
      <c r="AF15" s="638"/>
      <c r="AG15" s="33"/>
      <c r="AH15" s="33"/>
      <c r="AI15" s="33"/>
      <c r="AJ15" s="638"/>
      <c r="AK15" s="33"/>
      <c r="AL15" s="33"/>
      <c r="AM15" s="33"/>
      <c r="AN15" s="638"/>
      <c r="AO15" s="33"/>
      <c r="AP15" s="33"/>
      <c r="AQ15" s="33"/>
      <c r="AR15" s="638"/>
      <c r="AS15" s="33"/>
      <c r="AT15" s="33"/>
      <c r="AU15" s="33"/>
      <c r="AV15" s="638"/>
      <c r="AW15" s="33"/>
      <c r="AX15" s="33"/>
      <c r="AY15" s="33"/>
      <c r="AZ15" s="638"/>
      <c r="BA15" s="35">
        <f>'BU-Segment'!BA127</f>
        <v>1000.519</v>
      </c>
      <c r="BB15" s="35">
        <f>'BU-Segment'!BB127</f>
        <v>1044.0010857489999</v>
      </c>
      <c r="BC15" s="36">
        <f>'BU-Segment'!BC127</f>
        <v>1135.3702921792901</v>
      </c>
      <c r="BD15" s="35">
        <f>'BU-Segment'!BD127</f>
        <v>1095.911992247592</v>
      </c>
      <c r="BE15" s="35"/>
      <c r="BF15" s="35"/>
      <c r="BG15" s="36"/>
      <c r="BH15" s="37"/>
      <c r="BI15" s="35"/>
      <c r="BJ15" s="35"/>
      <c r="BK15" s="36"/>
      <c r="BL15" s="37"/>
      <c r="BM15" s="35"/>
      <c r="BN15" s="35"/>
      <c r="BO15" s="36"/>
      <c r="BP15" s="253"/>
      <c r="BQ15" s="37"/>
      <c r="BR15" s="35"/>
      <c r="BS15" s="35"/>
      <c r="BT15" s="35"/>
      <c r="BU15" s="35"/>
      <c r="BV15" s="35"/>
      <c r="BW15" s="35"/>
      <c r="BX15" s="35"/>
      <c r="BY15" s="35"/>
      <c r="BZ15" s="37"/>
      <c r="CA15" s="35"/>
      <c r="CB15" s="35"/>
      <c r="CC15" s="35">
        <f>SUM(AZ15:BC15)+AZ10</f>
        <v>4164.3393779282897</v>
      </c>
      <c r="CD15" s="35"/>
      <c r="CE15" s="35"/>
      <c r="CF15" s="36"/>
      <c r="CG15" s="23"/>
      <c r="CH15" s="37"/>
      <c r="CI15" s="35"/>
      <c r="CJ15" s="35"/>
      <c r="CK15" s="35"/>
      <c r="CL15" s="35"/>
      <c r="CM15" s="35"/>
      <c r="CN15" s="35"/>
      <c r="CO15" s="35"/>
      <c r="CP15" s="35"/>
      <c r="CQ15" s="35"/>
      <c r="CR15" s="35"/>
      <c r="CS15" s="35"/>
      <c r="CT15" s="35">
        <f>SUM(BA15:BD15)</f>
        <v>4275.8023701758821</v>
      </c>
      <c r="CU15" s="35">
        <f>SUM(BE15:BH15)</f>
        <v>0</v>
      </c>
      <c r="CV15" s="36">
        <f>SUM(BI15:BL15)</f>
        <v>0</v>
      </c>
      <c r="CW15" s="17"/>
    </row>
    <row r="16" spans="1:112" ht="14.25" hidden="1" customHeight="1" outlineLevel="1">
      <c r="A16" s="8"/>
      <c r="B16" s="38" t="s">
        <v>435</v>
      </c>
      <c r="C16" s="27"/>
      <c r="D16" s="33"/>
      <c r="E16" s="33"/>
      <c r="F16" s="33"/>
      <c r="G16" s="34"/>
      <c r="H16" s="33"/>
      <c r="I16" s="33"/>
      <c r="J16" s="33"/>
      <c r="K16" s="34"/>
      <c r="L16" s="33"/>
      <c r="M16" s="33"/>
      <c r="N16" s="33"/>
      <c r="O16" s="34"/>
      <c r="P16" s="33"/>
      <c r="Q16" s="33"/>
      <c r="R16" s="33"/>
      <c r="S16" s="34"/>
      <c r="T16" s="33"/>
      <c r="U16" s="33"/>
      <c r="V16" s="33"/>
      <c r="W16" s="34"/>
      <c r="X16" s="33"/>
      <c r="Y16" s="33"/>
      <c r="Z16" s="33"/>
      <c r="AA16" s="34"/>
      <c r="AB16" s="33"/>
      <c r="AC16" s="33"/>
      <c r="AD16" s="33"/>
      <c r="AE16" s="33"/>
      <c r="AF16" s="638"/>
      <c r="AG16" s="33"/>
      <c r="AH16" s="33"/>
      <c r="AI16" s="33"/>
      <c r="AJ16" s="638"/>
      <c r="AK16" s="33"/>
      <c r="AL16" s="33"/>
      <c r="AM16" s="33"/>
      <c r="AN16" s="638"/>
      <c r="AO16" s="33"/>
      <c r="AP16" s="33"/>
      <c r="AQ16" s="33"/>
      <c r="AR16" s="638"/>
      <c r="AS16" s="33"/>
      <c r="AT16" s="33"/>
      <c r="AU16" s="33"/>
      <c r="AV16" s="638"/>
      <c r="AW16" s="33"/>
      <c r="AX16" s="33"/>
      <c r="AY16" s="33"/>
      <c r="AZ16" s="638"/>
      <c r="BA16" s="35">
        <f>BA15/AZ10-1</f>
        <v>1.6323852225966107E-2</v>
      </c>
      <c r="BB16" s="35">
        <f>BB15/BA10-1</f>
        <v>-9.0577129476768881E-2</v>
      </c>
      <c r="BC16" s="36">
        <f>BC15/BB10-1</f>
        <v>-0.20819533539998547</v>
      </c>
      <c r="BD16" s="35">
        <f>BD15/BC10-1</f>
        <v>-0.28890908060266418</v>
      </c>
      <c r="BE16" s="1267"/>
      <c r="BF16" s="1267"/>
      <c r="BG16" s="1268"/>
      <c r="BH16" s="1422"/>
      <c r="BI16" s="1420"/>
      <c r="BJ16" s="1420"/>
      <c r="BK16" s="1421"/>
      <c r="BL16" s="1442"/>
      <c r="BM16" s="1440"/>
      <c r="BN16" s="1440"/>
      <c r="BO16" s="1441"/>
      <c r="BP16" s="253"/>
      <c r="BQ16" s="37"/>
      <c r="BR16" s="35"/>
      <c r="BS16" s="35"/>
      <c r="BT16" s="35"/>
      <c r="BU16" s="35"/>
      <c r="BV16" s="35"/>
      <c r="BW16" s="35"/>
      <c r="BX16" s="35"/>
      <c r="BY16" s="35"/>
      <c r="BZ16" s="37"/>
      <c r="CA16" s="35"/>
      <c r="CB16" s="35"/>
      <c r="CC16" s="1440">
        <f>CC15/CB10-1</f>
        <v>0.21714164483938903</v>
      </c>
      <c r="CD16" s="1440"/>
      <c r="CE16" s="1440"/>
      <c r="CF16" s="36"/>
      <c r="CG16" s="23"/>
      <c r="CH16" s="37"/>
      <c r="CI16" s="35"/>
      <c r="CJ16" s="35"/>
      <c r="CK16" s="35"/>
      <c r="CL16" s="35"/>
      <c r="CM16" s="35"/>
      <c r="CN16" s="35"/>
      <c r="CO16" s="35"/>
      <c r="CP16" s="35"/>
      <c r="CQ16" s="35"/>
      <c r="CR16" s="35"/>
      <c r="CS16" s="35"/>
      <c r="CT16" s="1282">
        <f>CT15/CS10-1</f>
        <v>0.17582451635268614</v>
      </c>
      <c r="CU16" s="1440">
        <f>CU15/CT15-1</f>
        <v>-1</v>
      </c>
      <c r="CV16" s="1441" t="e">
        <f>CV15/CU15-1</f>
        <v>#DIV/0!</v>
      </c>
      <c r="CW16" s="17"/>
    </row>
    <row r="17" spans="1:112" ht="14.25" hidden="1" customHeight="1" outlineLevel="1">
      <c r="A17" s="8"/>
      <c r="B17" s="31" t="s">
        <v>510</v>
      </c>
      <c r="C17" s="27"/>
      <c r="D17" s="33"/>
      <c r="E17" s="33"/>
      <c r="F17" s="33"/>
      <c r="G17" s="34"/>
      <c r="H17" s="33"/>
      <c r="I17" s="33"/>
      <c r="J17" s="33"/>
      <c r="K17" s="34"/>
      <c r="L17" s="33"/>
      <c r="M17" s="33"/>
      <c r="N17" s="33"/>
      <c r="O17" s="34"/>
      <c r="P17" s="33"/>
      <c r="Q17" s="33"/>
      <c r="R17" s="33"/>
      <c r="S17" s="34"/>
      <c r="T17" s="33"/>
      <c r="U17" s="33"/>
      <c r="V17" s="33"/>
      <c r="W17" s="34"/>
      <c r="X17" s="33"/>
      <c r="Y17" s="33"/>
      <c r="Z17" s="33"/>
      <c r="AA17" s="34"/>
      <c r="AB17" s="33"/>
      <c r="AC17" s="33"/>
      <c r="AD17" s="33"/>
      <c r="AE17" s="33"/>
      <c r="AF17" s="638"/>
      <c r="AG17" s="33"/>
      <c r="AH17" s="33"/>
      <c r="AI17" s="33"/>
      <c r="AJ17" s="638"/>
      <c r="AK17" s="33"/>
      <c r="AL17" s="33"/>
      <c r="AM17" s="33"/>
      <c r="AN17" s="638"/>
      <c r="AO17" s="33"/>
      <c r="AP17" s="33"/>
      <c r="AQ17" s="33"/>
      <c r="AR17" s="638"/>
      <c r="AS17" s="33"/>
      <c r="AT17" s="33"/>
      <c r="AU17" s="33"/>
      <c r="AV17" s="638"/>
      <c r="AW17" s="33"/>
      <c r="AX17" s="33"/>
      <c r="AY17" s="33"/>
      <c r="AZ17" s="638"/>
      <c r="BA17" s="35">
        <f>'BU-Segment'!BA132</f>
        <v>208.30710227777777</v>
      </c>
      <c r="BB17" s="35">
        <f>'BU-Segment'!BB132</f>
        <v>389.90091425100002</v>
      </c>
      <c r="BC17" s="36">
        <f>'BU-Segment'!BC132</f>
        <v>405.79970782070995</v>
      </c>
      <c r="BD17" s="35">
        <f>'BU-Segment'!BD132</f>
        <v>422.712007752408</v>
      </c>
      <c r="BE17" s="35"/>
      <c r="BF17" s="35"/>
      <c r="BG17" s="36"/>
      <c r="BH17" s="37"/>
      <c r="BI17" s="35"/>
      <c r="BJ17" s="35"/>
      <c r="BK17" s="36"/>
      <c r="BL17" s="37"/>
      <c r="BM17" s="35"/>
      <c r="BN17" s="35"/>
      <c r="BO17" s="36"/>
      <c r="BP17" s="253"/>
      <c r="BQ17" s="37"/>
      <c r="BR17" s="35"/>
      <c r="BS17" s="35"/>
      <c r="BT17" s="35"/>
      <c r="BU17" s="35"/>
      <c r="BV17" s="35"/>
      <c r="BW17" s="35"/>
      <c r="BX17" s="35"/>
      <c r="BY17" s="35"/>
      <c r="BZ17" s="37"/>
      <c r="CA17" s="35"/>
      <c r="CB17" s="35"/>
      <c r="CC17" s="1443"/>
      <c r="CD17" s="1443"/>
      <c r="CE17" s="1443"/>
      <c r="CF17" s="36"/>
      <c r="CG17" s="23"/>
      <c r="CH17" s="37"/>
      <c r="CI17" s="35"/>
      <c r="CJ17" s="35"/>
      <c r="CK17" s="35"/>
      <c r="CL17" s="35"/>
      <c r="CM17" s="35"/>
      <c r="CN17" s="35"/>
      <c r="CO17" s="35"/>
      <c r="CP17" s="35"/>
      <c r="CQ17" s="35"/>
      <c r="CR17" s="35"/>
      <c r="CS17" s="35"/>
      <c r="CT17" s="35"/>
      <c r="CU17" s="35">
        <f>SUM(BE17:BH17)</f>
        <v>0</v>
      </c>
      <c r="CV17" s="36">
        <f>SUM(BI17:BL17)</f>
        <v>0</v>
      </c>
      <c r="CW17" s="17"/>
    </row>
    <row r="18" spans="1:112" ht="14.25" hidden="1" customHeight="1" outlineLevel="1">
      <c r="A18" s="8"/>
      <c r="B18" s="38" t="s">
        <v>435</v>
      </c>
      <c r="C18" s="27"/>
      <c r="D18" s="33"/>
      <c r="E18" s="33"/>
      <c r="F18" s="33"/>
      <c r="G18" s="34"/>
      <c r="H18" s="33"/>
      <c r="I18" s="33"/>
      <c r="J18" s="33"/>
      <c r="K18" s="34"/>
      <c r="L18" s="33"/>
      <c r="M18" s="33"/>
      <c r="N18" s="33"/>
      <c r="O18" s="34"/>
      <c r="P18" s="33"/>
      <c r="Q18" s="33"/>
      <c r="R18" s="33"/>
      <c r="S18" s="34"/>
      <c r="T18" s="33"/>
      <c r="U18" s="33"/>
      <c r="V18" s="33"/>
      <c r="W18" s="34"/>
      <c r="X18" s="33"/>
      <c r="Y18" s="33"/>
      <c r="Z18" s="33"/>
      <c r="AA18" s="34"/>
      <c r="AB18" s="33"/>
      <c r="AC18" s="33"/>
      <c r="AD18" s="33"/>
      <c r="AE18" s="33"/>
      <c r="AF18" s="638"/>
      <c r="AG18" s="33"/>
      <c r="AH18" s="33"/>
      <c r="AI18" s="33"/>
      <c r="AJ18" s="638"/>
      <c r="AK18" s="33"/>
      <c r="AL18" s="33"/>
      <c r="AM18" s="33"/>
      <c r="AN18" s="638"/>
      <c r="AO18" s="33"/>
      <c r="AP18" s="33"/>
      <c r="AQ18" s="33"/>
      <c r="AR18" s="638"/>
      <c r="AS18" s="33"/>
      <c r="AT18" s="33"/>
      <c r="AU18" s="33"/>
      <c r="AV18" s="638"/>
      <c r="AW18" s="33"/>
      <c r="AX18" s="33"/>
      <c r="AY18" s="33"/>
      <c r="AZ18" s="638"/>
      <c r="BA18" s="33"/>
      <c r="BB18" s="1282"/>
      <c r="BC18" s="1440"/>
      <c r="BD18" s="638"/>
      <c r="BE18" s="1280"/>
      <c r="BF18" s="1280"/>
      <c r="BG18" s="1281"/>
      <c r="BH18" s="1422"/>
      <c r="BI18" s="1420"/>
      <c r="BJ18" s="1420"/>
      <c r="BK18" s="1421"/>
      <c r="BL18" s="1442"/>
      <c r="BM18" s="1440"/>
      <c r="BN18" s="1440"/>
      <c r="BO18" s="1441"/>
      <c r="BP18" s="253"/>
      <c r="BQ18" s="37"/>
      <c r="BR18" s="35"/>
      <c r="BS18" s="35"/>
      <c r="BT18" s="35"/>
      <c r="BU18" s="35"/>
      <c r="BV18" s="35"/>
      <c r="BW18" s="35"/>
      <c r="BX18" s="35"/>
      <c r="BY18" s="35"/>
      <c r="BZ18" s="37"/>
      <c r="CA18" s="35"/>
      <c r="CB18" s="35"/>
      <c r="CC18" s="35"/>
      <c r="CD18" s="35"/>
      <c r="CE18" s="35"/>
      <c r="CF18" s="36"/>
      <c r="CG18" s="23"/>
      <c r="CH18" s="37"/>
      <c r="CI18" s="35"/>
      <c r="CJ18" s="35"/>
      <c r="CK18" s="35"/>
      <c r="CL18" s="35"/>
      <c r="CM18" s="35"/>
      <c r="CN18" s="35"/>
      <c r="CO18" s="35"/>
      <c r="CP18" s="35"/>
      <c r="CQ18" s="35"/>
      <c r="CR18" s="35"/>
      <c r="CS18" s="35"/>
      <c r="CT18" s="35"/>
      <c r="CU18" s="35"/>
      <c r="CV18" s="36"/>
      <c r="CW18" s="17"/>
    </row>
    <row r="19" spans="1:112" ht="14.25" customHeight="1" collapsed="1">
      <c r="A19" s="8"/>
      <c r="B19" s="31" t="s">
        <v>590</v>
      </c>
      <c r="C19" s="27"/>
      <c r="D19" s="33"/>
      <c r="E19" s="33"/>
      <c r="F19" s="33"/>
      <c r="G19" s="34"/>
      <c r="H19" s="33"/>
      <c r="I19" s="33"/>
      <c r="J19" s="33"/>
      <c r="K19" s="34"/>
      <c r="L19" s="33"/>
      <c r="M19" s="33"/>
      <c r="N19" s="33"/>
      <c r="O19" s="34"/>
      <c r="P19" s="33"/>
      <c r="Q19" s="33"/>
      <c r="R19" s="33"/>
      <c r="S19" s="34"/>
      <c r="T19" s="33"/>
      <c r="U19" s="33"/>
      <c r="V19" s="33"/>
      <c r="W19" s="34"/>
      <c r="X19" s="33"/>
      <c r="Y19" s="33"/>
      <c r="Z19" s="33"/>
      <c r="AA19" s="34"/>
      <c r="AB19" s="33"/>
      <c r="AC19" s="33"/>
      <c r="AD19" s="33"/>
      <c r="AE19" s="33"/>
      <c r="AF19" s="638"/>
      <c r="AG19" s="33"/>
      <c r="AH19" s="33"/>
      <c r="AI19" s="33"/>
      <c r="AJ19" s="638"/>
      <c r="AK19" s="33"/>
      <c r="AL19" s="33"/>
      <c r="AM19" s="33"/>
      <c r="AN19" s="638"/>
      <c r="AO19" s="33"/>
      <c r="AP19" s="33"/>
      <c r="AQ19" s="33"/>
      <c r="AR19" s="638"/>
      <c r="AS19" s="33"/>
      <c r="AT19" s="33"/>
      <c r="AU19" s="33"/>
      <c r="AV19" s="638"/>
      <c r="AW19" s="33"/>
      <c r="AX19" s="33"/>
      <c r="AY19" s="33"/>
      <c r="AZ19" s="638"/>
      <c r="BA19" s="33">
        <v>60.759</v>
      </c>
      <c r="BB19" s="678">
        <v>24.576000000000001</v>
      </c>
      <c r="BC19" s="678">
        <v>0</v>
      </c>
      <c r="BD19" s="678">
        <v>0</v>
      </c>
      <c r="BE19" s="1263">
        <v>0</v>
      </c>
      <c r="BF19" s="1263">
        <v>0</v>
      </c>
      <c r="BG19" s="1262">
        <v>0</v>
      </c>
      <c r="BH19" s="1261">
        <v>0</v>
      </c>
      <c r="BI19" s="1263">
        <v>0</v>
      </c>
      <c r="BJ19" s="1263">
        <v>0</v>
      </c>
      <c r="BK19" s="1262">
        <v>0</v>
      </c>
      <c r="BL19" s="1261">
        <v>0</v>
      </c>
      <c r="BM19" s="1263">
        <v>0</v>
      </c>
      <c r="BN19" s="1263">
        <v>0</v>
      </c>
      <c r="BO19" s="1262">
        <v>0</v>
      </c>
      <c r="BP19" s="253"/>
      <c r="BQ19" s="37"/>
      <c r="BR19" s="35"/>
      <c r="BS19" s="35"/>
      <c r="BT19" s="35"/>
      <c r="BU19" s="35"/>
      <c r="BV19" s="35"/>
      <c r="BW19" s="35"/>
      <c r="BX19" s="35"/>
      <c r="BY19" s="35"/>
      <c r="BZ19" s="37"/>
      <c r="CA19" s="35"/>
      <c r="CB19" s="35"/>
      <c r="CC19" s="35">
        <f>SUM(AZ19:BC19)</f>
        <v>85.335000000000008</v>
      </c>
      <c r="CD19" s="35">
        <f>SUM(BD19:BG19)</f>
        <v>0</v>
      </c>
      <c r="CE19" s="35">
        <f>SUM(BH19:BK19)</f>
        <v>0</v>
      </c>
      <c r="CF19" s="36">
        <f>SUM(BL19:BO19)</f>
        <v>0</v>
      </c>
      <c r="CG19" s="23"/>
      <c r="CH19" s="37"/>
      <c r="CI19" s="35"/>
      <c r="CJ19" s="35"/>
      <c r="CK19" s="35"/>
      <c r="CL19" s="35"/>
      <c r="CM19" s="35"/>
      <c r="CN19" s="35"/>
      <c r="CO19" s="35"/>
      <c r="CP19" s="35"/>
      <c r="CQ19" s="35"/>
      <c r="CR19" s="35"/>
      <c r="CS19" s="35"/>
      <c r="CT19" s="35">
        <f>SUM(BA19:BD19)</f>
        <v>85.335000000000008</v>
      </c>
      <c r="CU19" s="35">
        <f>SUM(BE19:BH19)</f>
        <v>0</v>
      </c>
      <c r="CV19" s="36">
        <f>SUM(BI19:BL19)</f>
        <v>0</v>
      </c>
      <c r="CW19" s="17"/>
    </row>
    <row r="20" spans="1:112">
      <c r="A20" s="8"/>
      <c r="B20" s="38"/>
      <c r="C20" s="39"/>
      <c r="D20" s="40"/>
      <c r="E20" s="40"/>
      <c r="F20" s="40"/>
      <c r="G20" s="41"/>
      <c r="H20" s="40"/>
      <c r="I20" s="40"/>
      <c r="J20" s="40"/>
      <c r="K20" s="41"/>
      <c r="L20" s="40"/>
      <c r="M20" s="40"/>
      <c r="N20" s="40"/>
      <c r="O20" s="41"/>
      <c r="P20" s="40"/>
      <c r="Q20" s="40"/>
      <c r="R20" s="40"/>
      <c r="S20" s="41"/>
      <c r="T20" s="40"/>
      <c r="U20" s="40"/>
      <c r="V20" s="40"/>
      <c r="W20" s="41"/>
      <c r="X20" s="40"/>
      <c r="Y20" s="40"/>
      <c r="Z20" s="40"/>
      <c r="AA20" s="41"/>
      <c r="AB20" s="40"/>
      <c r="AC20" s="40"/>
      <c r="AD20" s="40"/>
      <c r="AE20" s="40"/>
      <c r="AF20" s="42"/>
      <c r="AG20" s="40"/>
      <c r="AH20" s="40"/>
      <c r="AI20" s="40"/>
      <c r="AJ20" s="42"/>
      <c r="AK20" s="40"/>
      <c r="AL20" s="40"/>
      <c r="AM20" s="40"/>
      <c r="AN20" s="42"/>
      <c r="AO20" s="40"/>
      <c r="AP20" s="40"/>
      <c r="AQ20" s="40"/>
      <c r="AR20" s="42"/>
      <c r="AS20" s="40"/>
      <c r="AT20" s="40"/>
      <c r="AU20" s="40"/>
      <c r="AV20" s="1209"/>
      <c r="AW20" s="1207"/>
      <c r="AX20" s="1207"/>
      <c r="AY20" s="1207"/>
      <c r="AZ20" s="1209"/>
      <c r="BA20" s="1282"/>
      <c r="BB20" s="1282"/>
      <c r="BC20" s="1440"/>
      <c r="BD20" s="1442"/>
      <c r="BE20" s="40"/>
      <c r="BF20" s="40"/>
      <c r="BG20" s="1300"/>
      <c r="BH20" s="1422"/>
      <c r="BI20" s="1420"/>
      <c r="BJ20" s="1420"/>
      <c r="BK20" s="1421"/>
      <c r="BL20" s="1442"/>
      <c r="BM20" s="1440"/>
      <c r="BN20" s="1440"/>
      <c r="BO20" s="1441"/>
      <c r="BP20" s="253"/>
      <c r="BQ20" s="44"/>
      <c r="BR20" s="1210"/>
      <c r="BS20" s="1210"/>
      <c r="BT20" s="1210"/>
      <c r="BU20" s="1210"/>
      <c r="BV20" s="1210"/>
      <c r="BW20" s="1210"/>
      <c r="BX20" s="1210"/>
      <c r="BY20" s="1210"/>
      <c r="BZ20" s="1444"/>
      <c r="CA20" s="1443"/>
      <c r="CB20" s="1443"/>
      <c r="CC20" s="1443"/>
      <c r="CD20" s="1443"/>
      <c r="CE20" s="1443"/>
      <c r="CF20" s="1445"/>
      <c r="CG20" s="23"/>
      <c r="CH20" s="42"/>
      <c r="CI20" s="40"/>
      <c r="CJ20" s="40"/>
      <c r="CK20" s="40"/>
      <c r="CL20" s="40"/>
      <c r="CM20" s="1440"/>
      <c r="CN20" s="1440"/>
      <c r="CO20" s="1440"/>
      <c r="CP20" s="1440"/>
      <c r="CQ20" s="1440"/>
      <c r="CR20" s="1440"/>
      <c r="CS20" s="1207"/>
      <c r="CT20" s="1207"/>
      <c r="CU20" s="1440"/>
      <c r="CV20" s="1441"/>
      <c r="CW20" s="17"/>
    </row>
    <row r="21" spans="1:112" ht="14.25" customHeight="1">
      <c r="A21" s="8"/>
      <c r="B21" s="26" t="s">
        <v>607</v>
      </c>
      <c r="C21" s="27"/>
      <c r="D21" s="35">
        <f t="shared" ref="D21:AY21" si="24">D10</f>
        <v>580.53599999999994</v>
      </c>
      <c r="E21" s="35">
        <f t="shared" si="24"/>
        <v>603.726</v>
      </c>
      <c r="F21" s="35">
        <f t="shared" si="24"/>
        <v>582.41600000000005</v>
      </c>
      <c r="G21" s="36">
        <f t="shared" si="24"/>
        <v>622.13</v>
      </c>
      <c r="H21" s="35">
        <f t="shared" si="24"/>
        <v>556.62599999999998</v>
      </c>
      <c r="I21" s="35">
        <f t="shared" si="24"/>
        <v>577.654</v>
      </c>
      <c r="J21" s="35">
        <f t="shared" si="24"/>
        <v>598.91499999999996</v>
      </c>
      <c r="K21" s="36">
        <f t="shared" si="24"/>
        <v>609.72400000000005</v>
      </c>
      <c r="L21" s="35">
        <f t="shared" si="24"/>
        <v>626.26499999999999</v>
      </c>
      <c r="M21" s="35">
        <f t="shared" si="24"/>
        <v>597.48299999999995</v>
      </c>
      <c r="N21" s="35">
        <f t="shared" si="24"/>
        <v>617.43100000000004</v>
      </c>
      <c r="O21" s="36">
        <f t="shared" si="24"/>
        <v>623.54200000000003</v>
      </c>
      <c r="P21" s="35">
        <f t="shared" si="24"/>
        <v>613.90899999999999</v>
      </c>
      <c r="Q21" s="35">
        <f t="shared" si="24"/>
        <v>649.34</v>
      </c>
      <c r="R21" s="35">
        <f t="shared" si="24"/>
        <v>658.98599999999999</v>
      </c>
      <c r="S21" s="36">
        <f t="shared" si="24"/>
        <v>660.69600000000003</v>
      </c>
      <c r="T21" s="35">
        <f t="shared" si="24"/>
        <v>476.56900000000002</v>
      </c>
      <c r="U21" s="35">
        <f t="shared" si="24"/>
        <v>474.74799999999999</v>
      </c>
      <c r="V21" s="35">
        <f t="shared" si="24"/>
        <v>491.99099999999999</v>
      </c>
      <c r="W21" s="36">
        <f t="shared" si="24"/>
        <v>571.6</v>
      </c>
      <c r="X21" s="35">
        <f t="shared" si="24"/>
        <v>602.98299999999995</v>
      </c>
      <c r="Y21" s="35">
        <f t="shared" si="24"/>
        <v>668.24</v>
      </c>
      <c r="Z21" s="35">
        <f t="shared" si="24"/>
        <v>720.29</v>
      </c>
      <c r="AA21" s="36">
        <f t="shared" si="24"/>
        <v>769.99</v>
      </c>
      <c r="AB21" s="35">
        <f t="shared" si="24"/>
        <v>728.50400000000002</v>
      </c>
      <c r="AC21" s="35">
        <f t="shared" si="24"/>
        <v>790.78</v>
      </c>
      <c r="AD21" s="35">
        <f t="shared" si="24"/>
        <v>757.90200000000004</v>
      </c>
      <c r="AE21" s="35">
        <f t="shared" si="24"/>
        <v>716.13400000000001</v>
      </c>
      <c r="AF21" s="37">
        <f t="shared" si="24"/>
        <v>648.05799999999999</v>
      </c>
      <c r="AG21" s="35">
        <f t="shared" si="24"/>
        <v>675.09400000000005</v>
      </c>
      <c r="AH21" s="35">
        <f t="shared" si="24"/>
        <v>683.02599999999995</v>
      </c>
      <c r="AI21" s="35">
        <f t="shared" si="24"/>
        <v>694.96400000000006</v>
      </c>
      <c r="AJ21" s="37">
        <f t="shared" si="24"/>
        <v>622.13400000000001</v>
      </c>
      <c r="AK21" s="35">
        <f t="shared" si="24"/>
        <v>659.25</v>
      </c>
      <c r="AL21" s="35">
        <f t="shared" si="24"/>
        <v>674.17200000000003</v>
      </c>
      <c r="AM21" s="35">
        <f t="shared" si="24"/>
        <v>678.13300000000004</v>
      </c>
      <c r="AN21" s="37">
        <f t="shared" si="24"/>
        <v>628.23800000000006</v>
      </c>
      <c r="AO21" s="35">
        <f t="shared" si="24"/>
        <v>694.53599999999994</v>
      </c>
      <c r="AP21" s="35">
        <f t="shared" si="24"/>
        <v>727.75199999999995</v>
      </c>
      <c r="AQ21" s="35">
        <f t="shared" si="24"/>
        <v>814.24699999999996</v>
      </c>
      <c r="AR21" s="37">
        <f t="shared" si="24"/>
        <v>771.98599999999999</v>
      </c>
      <c r="AS21" s="35">
        <f t="shared" si="24"/>
        <v>821.01900000000001</v>
      </c>
      <c r="AT21" s="35">
        <f t="shared" si="24"/>
        <v>863.36500000000001</v>
      </c>
      <c r="AU21" s="35">
        <f t="shared" si="24"/>
        <v>978.72199999999998</v>
      </c>
      <c r="AV21" s="37">
        <f t="shared" si="24"/>
        <v>769.42899999999997</v>
      </c>
      <c r="AW21" s="35">
        <f t="shared" si="24"/>
        <v>778.76599999999996</v>
      </c>
      <c r="AX21" s="35">
        <f t="shared" si="24"/>
        <v>869.59100000000001</v>
      </c>
      <c r="AY21" s="35">
        <f t="shared" si="24"/>
        <v>1003.623</v>
      </c>
      <c r="AZ21" s="37">
        <f>AZ10</f>
        <v>984.44899999999996</v>
      </c>
      <c r="BA21" s="35">
        <f>BA10+BA19</f>
        <v>1208.741</v>
      </c>
      <c r="BB21" s="35">
        <f>BB10+BB19</f>
        <v>1458.4780000000001</v>
      </c>
      <c r="BC21" s="35">
        <f>BC10+BC19</f>
        <v>1541.17</v>
      </c>
      <c r="BD21" s="37">
        <f>BD10</f>
        <v>1518.624</v>
      </c>
      <c r="BE21" s="35">
        <f t="shared" ref="BE21:BG21" si="25">BE10+BE19</f>
        <v>1470.3748249999999</v>
      </c>
      <c r="BF21" s="35">
        <f t="shared" si="25"/>
        <v>1513.489729575</v>
      </c>
      <c r="BG21" s="36">
        <f t="shared" si="25"/>
        <v>1563.45136848375</v>
      </c>
      <c r="BH21" s="37">
        <f>+'BU-Segment'!BH122</f>
        <v>1482.0860465459623</v>
      </c>
      <c r="BI21" s="35">
        <f>+'BU-Segment'!BI122</f>
        <v>1549.845241612069</v>
      </c>
      <c r="BJ21" s="35">
        <f>+'BU-Segment'!BJ122</f>
        <v>1606.6790380731754</v>
      </c>
      <c r="BK21" s="36">
        <f>+'BU-Segment'!BK122</f>
        <v>1673.6521234376141</v>
      </c>
      <c r="BL21" s="37">
        <f>+'BU-Segment'!BL122</f>
        <v>1586.6755115959286</v>
      </c>
      <c r="BM21" s="35">
        <f>+'BU-Segment'!BM122</f>
        <v>1653.8186965940952</v>
      </c>
      <c r="BN21" s="35">
        <f>+'BU-Segment'!BN122</f>
        <v>1706.0026552512841</v>
      </c>
      <c r="BO21" s="36">
        <f>+'BU-Segment'!BO122</f>
        <v>1766.5735763092998</v>
      </c>
      <c r="BP21" s="253"/>
      <c r="BQ21" s="1309">
        <f>SUM(D21:G21)</f>
        <v>2388.808</v>
      </c>
      <c r="BR21" s="29">
        <f>SUM(H21:K21)</f>
        <v>2342.9189999999999</v>
      </c>
      <c r="BS21" s="29">
        <f>SUM(L21:O21)</f>
        <v>2464.721</v>
      </c>
      <c r="BT21" s="29">
        <f>SUM(P21:S21)</f>
        <v>2582.931</v>
      </c>
      <c r="BU21" s="29">
        <f>SUM(T21:W21)</f>
        <v>2014.9079999999999</v>
      </c>
      <c r="BV21" s="29">
        <f>SUM(X21:AA21)</f>
        <v>2761.5029999999997</v>
      </c>
      <c r="BW21" s="29">
        <f>SUM(AB21:AE21)</f>
        <v>2993.32</v>
      </c>
      <c r="BX21" s="29">
        <f>SUM(AF21:AI21)</f>
        <v>2701.1419999999998</v>
      </c>
      <c r="BY21" s="29">
        <f>SUM(AJ21:AM21)</f>
        <v>2633.6890000000003</v>
      </c>
      <c r="BZ21" s="37">
        <f>SUM(AN21:AQ21)</f>
        <v>2864.7729999999997</v>
      </c>
      <c r="CA21" s="35">
        <f>SUM(AR21:AU21)</f>
        <v>3435.0919999999996</v>
      </c>
      <c r="CB21" s="35">
        <f>SUM(AV21:AY21)</f>
        <v>3421.4090000000001</v>
      </c>
      <c r="CC21" s="35">
        <f>SUM(AZ21:BC21)</f>
        <v>5192.8379999999997</v>
      </c>
      <c r="CD21" s="35">
        <f>SUM(BD21:BG21)</f>
        <v>6065.9399230587496</v>
      </c>
      <c r="CE21" s="35">
        <f>SUM(BH21:BK21)</f>
        <v>6312.2624496688204</v>
      </c>
      <c r="CF21" s="36">
        <f>SUM(BL21:BO21)</f>
        <v>6713.070439750607</v>
      </c>
      <c r="CG21" s="23"/>
      <c r="CH21" s="37">
        <f>SUM(E21:H21)</f>
        <v>2364.8980000000001</v>
      </c>
      <c r="CI21" s="35">
        <f>SUM(I21:L21)</f>
        <v>2412.558</v>
      </c>
      <c r="CJ21" s="35">
        <f>SUM(M21:P21)</f>
        <v>2452.3650000000002</v>
      </c>
      <c r="CK21" s="35">
        <f>SUM(Q21:T21)</f>
        <v>2445.5909999999999</v>
      </c>
      <c r="CL21" s="35">
        <f>SUM(U21:X21)</f>
        <v>2141.3220000000001</v>
      </c>
      <c r="CM21" s="35">
        <f>SUM(Y21:AB21)</f>
        <v>2887.0239999999999</v>
      </c>
      <c r="CN21" s="35">
        <f>SUM(AC21:AF21)</f>
        <v>2912.8739999999998</v>
      </c>
      <c r="CO21" s="35">
        <f>SUM(AG21:AJ21)</f>
        <v>2675.2179999999998</v>
      </c>
      <c r="CP21" s="35">
        <f>SUM(AK21:AN21)</f>
        <v>2639.7930000000001</v>
      </c>
      <c r="CQ21" s="35">
        <f>SUM(AO21:AR21)</f>
        <v>3008.5209999999997</v>
      </c>
      <c r="CR21" s="35">
        <f>SUM(AS21:AV21)</f>
        <v>3432.5349999999999</v>
      </c>
      <c r="CS21" s="35">
        <f>SUM(AW21:AZ21)</f>
        <v>3636.4290000000001</v>
      </c>
      <c r="CT21" s="35">
        <f>SUM(BA21:BD21)</f>
        <v>5727.0129999999999</v>
      </c>
      <c r="CU21" s="35">
        <f>SUM(BE21:BH21)</f>
        <v>6029.4019696047126</v>
      </c>
      <c r="CV21" s="36">
        <f>SUM(BI21:BL21)</f>
        <v>6416.8519147187872</v>
      </c>
      <c r="CW21" s="301"/>
    </row>
    <row r="22" spans="1:112" ht="14.25" customHeight="1">
      <c r="A22" s="8"/>
      <c r="B22" s="1301"/>
      <c r="C22" s="39"/>
      <c r="D22" s="1282"/>
      <c r="E22" s="1282"/>
      <c r="F22" s="1282"/>
      <c r="G22" s="1300"/>
      <c r="H22" s="1282"/>
      <c r="I22" s="1282"/>
      <c r="J22" s="1282"/>
      <c r="K22" s="1300"/>
      <c r="L22" s="1282"/>
      <c r="M22" s="1282"/>
      <c r="N22" s="1282"/>
      <c r="O22" s="1300"/>
      <c r="P22" s="1282"/>
      <c r="Q22" s="1282"/>
      <c r="R22" s="1282"/>
      <c r="S22" s="1300"/>
      <c r="T22" s="1282"/>
      <c r="U22" s="1282"/>
      <c r="V22" s="1282"/>
      <c r="W22" s="1300"/>
      <c r="X22" s="1282"/>
      <c r="Y22" s="1282"/>
      <c r="Z22" s="1282"/>
      <c r="AA22" s="1300"/>
      <c r="AB22" s="1282"/>
      <c r="AC22" s="1282"/>
      <c r="AD22" s="1282"/>
      <c r="AE22" s="1282"/>
      <c r="AF22" s="1283"/>
      <c r="AG22" s="1282"/>
      <c r="AH22" s="1282"/>
      <c r="AI22" s="1282"/>
      <c r="AJ22" s="1283"/>
      <c r="AK22" s="1282"/>
      <c r="AL22" s="1282"/>
      <c r="AM22" s="1282"/>
      <c r="AN22" s="1283"/>
      <c r="AO22" s="1282"/>
      <c r="AP22" s="1282"/>
      <c r="AQ22" s="1282"/>
      <c r="AR22" s="1283"/>
      <c r="AS22" s="1282"/>
      <c r="AT22" s="1282"/>
      <c r="AU22" s="1282"/>
      <c r="AV22" s="1283"/>
      <c r="AW22" s="1282"/>
      <c r="AX22" s="1282"/>
      <c r="AY22" s="1282"/>
      <c r="AZ22" s="1283"/>
      <c r="BA22" s="1282"/>
      <c r="BB22" s="1282"/>
      <c r="BC22" s="1440"/>
      <c r="BD22" s="1442"/>
      <c r="BE22" s="1282"/>
      <c r="BF22" s="1282"/>
      <c r="BG22" s="1300"/>
      <c r="BH22" s="1422"/>
      <c r="BI22" s="1420"/>
      <c r="BJ22" s="1420"/>
      <c r="BK22" s="1421"/>
      <c r="BL22" s="1442"/>
      <c r="BM22" s="1440"/>
      <c r="BN22" s="1440"/>
      <c r="BO22" s="1441"/>
      <c r="BP22" s="253"/>
      <c r="BQ22" s="1283"/>
      <c r="BR22" s="1282"/>
      <c r="BS22" s="1282"/>
      <c r="BT22" s="1282"/>
      <c r="BU22" s="1282"/>
      <c r="BV22" s="1282"/>
      <c r="BW22" s="1282"/>
      <c r="BX22" s="1282"/>
      <c r="BY22" s="1282"/>
      <c r="BZ22" s="1442"/>
      <c r="CA22" s="1440"/>
      <c r="CB22" s="1440"/>
      <c r="CC22" s="1440"/>
      <c r="CD22" s="1440"/>
      <c r="CE22" s="1440"/>
      <c r="CF22" s="1441"/>
      <c r="CG22" s="23"/>
      <c r="CH22" s="1283"/>
      <c r="CI22" s="1282"/>
      <c r="CJ22" s="1282"/>
      <c r="CK22" s="1282"/>
      <c r="CL22" s="1282"/>
      <c r="CM22" s="1440"/>
      <c r="CN22" s="1440"/>
      <c r="CO22" s="1440"/>
      <c r="CP22" s="1440"/>
      <c r="CQ22" s="1440"/>
      <c r="CR22" s="1440"/>
      <c r="CS22" s="1282"/>
      <c r="CT22" s="1282"/>
      <c r="CU22" s="1440"/>
      <c r="CV22" s="1441"/>
      <c r="CW22" s="17"/>
    </row>
    <row r="23" spans="1:112">
      <c r="A23" s="675"/>
      <c r="B23" s="676" t="s">
        <v>159</v>
      </c>
      <c r="C23" s="677"/>
      <c r="D23" s="678">
        <v>245.00800000000001</v>
      </c>
      <c r="E23" s="678">
        <v>257.327</v>
      </c>
      <c r="F23" s="678">
        <v>244.178</v>
      </c>
      <c r="G23" s="679">
        <v>259.45499999999998</v>
      </c>
      <c r="H23" s="678">
        <v>227.32900000000001</v>
      </c>
      <c r="I23" s="678">
        <v>226.834</v>
      </c>
      <c r="J23" s="678">
        <v>236.16300000000001</v>
      </c>
      <c r="K23" s="679">
        <v>249.42699999999999</v>
      </c>
      <c r="L23" s="678">
        <v>226.601</v>
      </c>
      <c r="M23" s="678">
        <v>236.255</v>
      </c>
      <c r="N23" s="678">
        <v>243.93899999999999</v>
      </c>
      <c r="O23" s="679">
        <v>249.65</v>
      </c>
      <c r="P23" s="678">
        <v>238.10599999999999</v>
      </c>
      <c r="Q23" s="678">
        <v>253.31899999999999</v>
      </c>
      <c r="R23" s="678">
        <v>257.19200000000001</v>
      </c>
      <c r="S23" s="679">
        <v>257.03899999999999</v>
      </c>
      <c r="T23" s="678">
        <v>207.56700000000001</v>
      </c>
      <c r="U23" s="678">
        <v>213.196</v>
      </c>
      <c r="V23" s="678">
        <v>225.762</v>
      </c>
      <c r="W23" s="679">
        <v>249.74600000000001</v>
      </c>
      <c r="X23" s="678">
        <v>234.50700000000001</v>
      </c>
      <c r="Y23" s="678">
        <v>233.72499999999999</v>
      </c>
      <c r="Z23" s="678">
        <v>240.08799999999999</v>
      </c>
      <c r="AA23" s="679">
        <v>253.761</v>
      </c>
      <c r="AB23" s="678">
        <v>246.33099999999999</v>
      </c>
      <c r="AC23" s="678">
        <v>256.56599999999997</v>
      </c>
      <c r="AD23" s="678">
        <v>248.262</v>
      </c>
      <c r="AE23" s="678">
        <v>255.62</v>
      </c>
      <c r="AF23" s="680">
        <v>238.66800000000001</v>
      </c>
      <c r="AG23" s="678">
        <v>234.63900000000001</v>
      </c>
      <c r="AH23" s="678">
        <v>235.15199999999999</v>
      </c>
      <c r="AI23" s="678">
        <v>251.68199999999999</v>
      </c>
      <c r="AJ23" s="680">
        <v>231.85</v>
      </c>
      <c r="AK23" s="678">
        <v>237.05500000000001</v>
      </c>
      <c r="AL23" s="678">
        <v>239.11</v>
      </c>
      <c r="AM23" s="678">
        <v>233.26300000000001</v>
      </c>
      <c r="AN23" s="680">
        <v>219.12</v>
      </c>
      <c r="AO23" s="678">
        <v>235.79300000000001</v>
      </c>
      <c r="AP23" s="678">
        <v>251.46199999999999</v>
      </c>
      <c r="AQ23" s="678">
        <v>328.21</v>
      </c>
      <c r="AR23" s="680">
        <v>268.37900000000002</v>
      </c>
      <c r="AS23" s="678">
        <v>276.197</v>
      </c>
      <c r="AT23" s="678">
        <v>294.32799999999997</v>
      </c>
      <c r="AU23" s="678">
        <v>336.92599999999999</v>
      </c>
      <c r="AV23" s="680">
        <v>292.13600000000002</v>
      </c>
      <c r="AW23" s="678">
        <v>267.863</v>
      </c>
      <c r="AX23" s="678">
        <v>297.30099999999999</v>
      </c>
      <c r="AY23" s="678">
        <v>336.93599999999998</v>
      </c>
      <c r="AZ23" s="680">
        <v>335.94499999999999</v>
      </c>
      <c r="BA23" s="678">
        <v>507.53899999999999</v>
      </c>
      <c r="BB23" s="678">
        <v>667.27800000000002</v>
      </c>
      <c r="BC23" s="678">
        <v>535.14499999999998</v>
      </c>
      <c r="BD23" s="680">
        <v>483.43400000000003</v>
      </c>
      <c r="BE23" s="682">
        <f t="shared" ref="BE23:BK23" si="26">BE27+BE28</f>
        <v>461.01397088651481</v>
      </c>
      <c r="BF23" s="682">
        <f t="shared" si="26"/>
        <v>430.53275015972929</v>
      </c>
      <c r="BG23" s="683">
        <f t="shared" si="26"/>
        <v>438.21034878600244</v>
      </c>
      <c r="BH23" s="684">
        <f t="shared" si="26"/>
        <v>431.49293193088772</v>
      </c>
      <c r="BI23" s="682">
        <f t="shared" si="26"/>
        <v>440.02615879448831</v>
      </c>
      <c r="BJ23" s="682">
        <f t="shared" si="26"/>
        <v>446.68187506301985</v>
      </c>
      <c r="BK23" s="683">
        <f t="shared" si="26"/>
        <v>462.74629273470521</v>
      </c>
      <c r="BL23" s="684">
        <f t="shared" ref="BL23:BO23" si="27">BL27+BL28</f>
        <v>454.77901417431792</v>
      </c>
      <c r="BM23" s="682">
        <f t="shared" si="27"/>
        <v>463.39211463298369</v>
      </c>
      <c r="BN23" s="682">
        <f t="shared" si="27"/>
        <v>469.37145566614481</v>
      </c>
      <c r="BO23" s="683">
        <f t="shared" si="27"/>
        <v>484.57293398686318</v>
      </c>
      <c r="BP23" s="946"/>
      <c r="BQ23" s="684">
        <f>SUM(D23:G23)</f>
        <v>1005.9680000000001</v>
      </c>
      <c r="BR23" s="682">
        <f>SUM(H23:K23)</f>
        <v>939.75300000000004</v>
      </c>
      <c r="BS23" s="682">
        <f>SUM(L23:O23)</f>
        <v>956.44499999999994</v>
      </c>
      <c r="BT23" s="682">
        <f>SUM(P23:S23)</f>
        <v>1005.6559999999999</v>
      </c>
      <c r="BU23" s="682">
        <f>SUM(T23:W23)</f>
        <v>896.27100000000007</v>
      </c>
      <c r="BV23" s="682">
        <f>SUM(X23:AA23)</f>
        <v>962.0809999999999</v>
      </c>
      <c r="BW23" s="682">
        <f>SUM(AB23:AE23)</f>
        <v>1006.7789999999999</v>
      </c>
      <c r="BX23" s="682">
        <f>SUM(AF23:AI23)</f>
        <v>960.14100000000008</v>
      </c>
      <c r="BY23" s="682">
        <f>SUM(AJ23:AM23)</f>
        <v>941.27800000000002</v>
      </c>
      <c r="BZ23" s="684">
        <f>SUM(AN23:AQ23)</f>
        <v>1034.585</v>
      </c>
      <c r="CA23" s="682">
        <f>SUM(AR23:AU23)</f>
        <v>1175.83</v>
      </c>
      <c r="CB23" s="682">
        <f>SUM(AV23:AY23)</f>
        <v>1194.2359999999999</v>
      </c>
      <c r="CC23" s="682">
        <f>SUM(AZ23:BC23)</f>
        <v>2045.9069999999999</v>
      </c>
      <c r="CD23" s="682">
        <f>SUM(BD23:BG23)</f>
        <v>1813.1910698322465</v>
      </c>
      <c r="CE23" s="682">
        <f>SUM(BH23:BK23)</f>
        <v>1780.947258523101</v>
      </c>
      <c r="CF23" s="683">
        <f>SUM(BL23:BO23)</f>
        <v>1872.1155184603094</v>
      </c>
      <c r="CG23" s="681"/>
      <c r="CH23" s="684">
        <f>SUM(E23:H23)</f>
        <v>988.28899999999999</v>
      </c>
      <c r="CI23" s="682">
        <f>SUM(I23:L23)</f>
        <v>939.02499999999998</v>
      </c>
      <c r="CJ23" s="682">
        <f>SUM(M23:P23)</f>
        <v>967.94999999999993</v>
      </c>
      <c r="CK23" s="682">
        <f>SUM(Q23:T23)</f>
        <v>975.11699999999996</v>
      </c>
      <c r="CL23" s="682">
        <f>SUM(U23:X23)</f>
        <v>923.21100000000001</v>
      </c>
      <c r="CM23" s="682">
        <f>SUM(Y23:AB23)</f>
        <v>973.90499999999997</v>
      </c>
      <c r="CN23" s="682">
        <f>SUM(AC23:AF23)</f>
        <v>999.11599999999999</v>
      </c>
      <c r="CO23" s="682">
        <f>SUM(AG23:AJ23)</f>
        <v>953.32299999999998</v>
      </c>
      <c r="CP23" s="682">
        <f>SUM(AK23:AN23)</f>
        <v>928.548</v>
      </c>
      <c r="CQ23" s="682">
        <f>SUM(AO23:AR23)</f>
        <v>1083.8440000000001</v>
      </c>
      <c r="CR23" s="682">
        <f>SUM(AS23:AV23)</f>
        <v>1199.587</v>
      </c>
      <c r="CS23" s="682">
        <f>SUM(AW23:AZ23)</f>
        <v>1238.0449999999998</v>
      </c>
      <c r="CT23" s="682">
        <f>SUM(BA23:BD23)</f>
        <v>2193.3960000000002</v>
      </c>
      <c r="CU23" s="682">
        <f>SUM(BE23:BH23)</f>
        <v>1761.2500017631342</v>
      </c>
      <c r="CV23" s="683">
        <f>SUM(BI23:BL23)</f>
        <v>1804.2333407665315</v>
      </c>
      <c r="CW23" s="799"/>
      <c r="DD23" s="686"/>
      <c r="DE23" s="686"/>
      <c r="DF23" s="686"/>
      <c r="DG23" s="686"/>
      <c r="DH23" s="686"/>
    </row>
    <row r="24" spans="1:112" hidden="1" outlineLevel="1">
      <c r="A24" s="8"/>
      <c r="B24" s="38" t="s">
        <v>332</v>
      </c>
      <c r="C24" s="39"/>
      <c r="D24" s="40">
        <f t="shared" ref="D24:AI24" si="28">D23/D10</f>
        <v>0.42203756528449576</v>
      </c>
      <c r="E24" s="40">
        <f t="shared" si="28"/>
        <v>0.42623143611505881</v>
      </c>
      <c r="F24" s="40">
        <f t="shared" si="28"/>
        <v>0.41925015796269327</v>
      </c>
      <c r="G24" s="41">
        <f t="shared" si="28"/>
        <v>0.41704306173950778</v>
      </c>
      <c r="H24" s="40">
        <f t="shared" si="28"/>
        <v>0.40840528469744497</v>
      </c>
      <c r="I24" s="40">
        <f t="shared" si="28"/>
        <v>0.39268143213757717</v>
      </c>
      <c r="J24" s="40">
        <f t="shared" si="28"/>
        <v>0.39431805848910118</v>
      </c>
      <c r="K24" s="41">
        <f t="shared" si="28"/>
        <v>0.40908181406669242</v>
      </c>
      <c r="L24" s="40">
        <f t="shared" si="28"/>
        <v>0.36182925758265272</v>
      </c>
      <c r="M24" s="40">
        <f t="shared" si="28"/>
        <v>0.39541710810182051</v>
      </c>
      <c r="N24" s="40">
        <f t="shared" si="28"/>
        <v>0.39508706236000457</v>
      </c>
      <c r="O24" s="41">
        <f t="shared" si="28"/>
        <v>0.40037399244958638</v>
      </c>
      <c r="P24" s="40">
        <f t="shared" si="28"/>
        <v>0.38785227126495947</v>
      </c>
      <c r="Q24" s="40">
        <f t="shared" si="28"/>
        <v>0.39011765792959002</v>
      </c>
      <c r="R24" s="40">
        <f t="shared" si="28"/>
        <v>0.39028446734832001</v>
      </c>
      <c r="S24" s="41">
        <f t="shared" si="28"/>
        <v>0.38904276702144402</v>
      </c>
      <c r="T24" s="40">
        <f t="shared" si="28"/>
        <v>0.43554448568832632</v>
      </c>
      <c r="U24" s="40">
        <f t="shared" si="28"/>
        <v>0.4490719286863768</v>
      </c>
      <c r="V24" s="40">
        <f t="shared" si="28"/>
        <v>0.45887424769965307</v>
      </c>
      <c r="W24" s="41">
        <f t="shared" si="28"/>
        <v>0.43692442267319803</v>
      </c>
      <c r="X24" s="40">
        <f t="shared" si="28"/>
        <v>0.38891146184884157</v>
      </c>
      <c r="Y24" s="40">
        <f t="shared" si="28"/>
        <v>0.3497620615347779</v>
      </c>
      <c r="Z24" s="40">
        <f t="shared" si="28"/>
        <v>0.33332130114259534</v>
      </c>
      <c r="AA24" s="41">
        <f t="shared" si="28"/>
        <v>0.32956402031195209</v>
      </c>
      <c r="AB24" s="40">
        <f t="shared" si="28"/>
        <v>0.33813266639579193</v>
      </c>
      <c r="AC24" s="40">
        <f t="shared" si="28"/>
        <v>0.32444674877968588</v>
      </c>
      <c r="AD24" s="40">
        <f t="shared" si="28"/>
        <v>0.32756477750421559</v>
      </c>
      <c r="AE24" s="40">
        <f t="shared" si="28"/>
        <v>0.35694437074625701</v>
      </c>
      <c r="AF24" s="42">
        <f t="shared" si="28"/>
        <v>0.36828185131577729</v>
      </c>
      <c r="AG24" s="40">
        <f t="shared" si="28"/>
        <v>0.34756493169840053</v>
      </c>
      <c r="AH24" s="40">
        <f t="shared" si="28"/>
        <v>0.34427971995209555</v>
      </c>
      <c r="AI24" s="40">
        <f t="shared" si="28"/>
        <v>0.36215113300832846</v>
      </c>
      <c r="AJ24" s="42">
        <f t="shared" ref="AJ24:BK24" si="29">AJ23/AJ10</f>
        <v>0.37266891055624668</v>
      </c>
      <c r="AK24" s="40">
        <f t="shared" si="29"/>
        <v>0.35958285930982176</v>
      </c>
      <c r="AL24" s="40">
        <f t="shared" si="29"/>
        <v>0.35467210148152106</v>
      </c>
      <c r="AM24" s="40">
        <f t="shared" si="29"/>
        <v>0.34397824615525274</v>
      </c>
      <c r="AN24" s="42">
        <f t="shared" si="29"/>
        <v>0.34878501459637906</v>
      </c>
      <c r="AO24" s="40">
        <f t="shared" si="29"/>
        <v>0.33949716069433411</v>
      </c>
      <c r="AP24" s="40">
        <f t="shared" si="29"/>
        <v>0.34553254405346878</v>
      </c>
      <c r="AQ24" s="40">
        <f t="shared" si="29"/>
        <v>0.40308407645345945</v>
      </c>
      <c r="AR24" s="42">
        <f t="shared" si="29"/>
        <v>0.34764749619811763</v>
      </c>
      <c r="AS24" s="40">
        <f t="shared" si="29"/>
        <v>0.33640756182256443</v>
      </c>
      <c r="AT24" s="40">
        <f t="shared" si="29"/>
        <v>0.34090795897447773</v>
      </c>
      <c r="AU24" s="40">
        <f t="shared" si="29"/>
        <v>0.34425097218617751</v>
      </c>
      <c r="AV24" s="1209">
        <f t="shared" si="29"/>
        <v>0.37967895673285001</v>
      </c>
      <c r="AW24" s="1207">
        <f t="shared" si="29"/>
        <v>0.3439582621737467</v>
      </c>
      <c r="AX24" s="1207">
        <f t="shared" si="29"/>
        <v>0.34188601307971217</v>
      </c>
      <c r="AY24" s="1207">
        <f t="shared" si="29"/>
        <v>0.33571968757192688</v>
      </c>
      <c r="AZ24" s="1209">
        <f t="shared" si="29"/>
        <v>0.34125180684829787</v>
      </c>
      <c r="BA24" s="1282">
        <f t="shared" si="29"/>
        <v>0.4421140749593635</v>
      </c>
      <c r="BB24" s="1282">
        <f t="shared" ref="BB24:BD24" si="30">BB23/BB10</f>
        <v>0.46535816255225254</v>
      </c>
      <c r="BC24" s="1440">
        <f t="shared" si="30"/>
        <v>0.3472329463978665</v>
      </c>
      <c r="BD24" s="1442">
        <f t="shared" si="30"/>
        <v>0.31833686284425905</v>
      </c>
      <c r="BE24" s="1267">
        <f t="shared" si="29"/>
        <v>0.31353500008850793</v>
      </c>
      <c r="BF24" s="1267">
        <f t="shared" si="29"/>
        <v>0.28446360866989584</v>
      </c>
      <c r="BG24" s="1268">
        <f t="shared" si="29"/>
        <v>0.28028396509127301</v>
      </c>
      <c r="BH24" s="1422">
        <f t="shared" si="29"/>
        <v>0.29113892066961466</v>
      </c>
      <c r="BI24" s="1420">
        <f t="shared" si="29"/>
        <v>0.28391619174621319</v>
      </c>
      <c r="BJ24" s="1420">
        <f t="shared" si="29"/>
        <v>0.27801562382907985</v>
      </c>
      <c r="BK24" s="1421">
        <f t="shared" si="29"/>
        <v>0.27648893474005992</v>
      </c>
      <c r="BL24" s="1442">
        <f t="shared" ref="BL24:BO24" si="31">BL23/BL10</f>
        <v>0.28662383130681002</v>
      </c>
      <c r="BM24" s="1440">
        <f t="shared" si="31"/>
        <v>0.28019523275876734</v>
      </c>
      <c r="BN24" s="1440">
        <f t="shared" si="31"/>
        <v>0.27512938166969569</v>
      </c>
      <c r="BO24" s="1441">
        <f t="shared" si="31"/>
        <v>0.27430102005670548</v>
      </c>
      <c r="BP24" s="253"/>
      <c r="BQ24" s="1283">
        <f t="shared" ref="BQ24:CE24" si="32">BQ23/BQ10</f>
        <v>0.42111714294325875</v>
      </c>
      <c r="BR24" s="1282">
        <f t="shared" si="32"/>
        <v>0.40110349525527778</v>
      </c>
      <c r="BS24" s="1282">
        <f t="shared" si="32"/>
        <v>0.38805406372567114</v>
      </c>
      <c r="BT24" s="1282">
        <f t="shared" si="32"/>
        <v>0.38934683117744917</v>
      </c>
      <c r="BU24" s="1282">
        <f t="shared" si="32"/>
        <v>0.44481981311305535</v>
      </c>
      <c r="BV24" s="1282">
        <f t="shared" si="32"/>
        <v>0.3483903511964318</v>
      </c>
      <c r="BW24" s="1282">
        <f t="shared" si="32"/>
        <v>0.33634192134486118</v>
      </c>
      <c r="BX24" s="1282">
        <f t="shared" si="32"/>
        <v>0.35545743244894201</v>
      </c>
      <c r="BY24" s="1282">
        <f t="shared" si="32"/>
        <v>0.35739907027747009</v>
      </c>
      <c r="BZ24" s="1442">
        <f t="shared" si="32"/>
        <v>0.36114030675379871</v>
      </c>
      <c r="CA24" s="1440">
        <f t="shared" si="32"/>
        <v>0.34229942021931292</v>
      </c>
      <c r="CB24" s="1440">
        <f t="shared" si="32"/>
        <v>0.3490480091681526</v>
      </c>
      <c r="CC24" s="1440">
        <f t="shared" si="32"/>
        <v>0.40056892771281771</v>
      </c>
      <c r="CD24" s="1440">
        <f t="shared" si="32"/>
        <v>0.298913456583979</v>
      </c>
      <c r="CE24" s="1440">
        <f t="shared" si="32"/>
        <v>0.28214087622680206</v>
      </c>
      <c r="CF24" s="1441">
        <f t="shared" ref="CF24" si="33">CF23/CF10</f>
        <v>0.278876191641728</v>
      </c>
      <c r="CG24" s="23"/>
      <c r="CH24" s="42">
        <f t="shared" ref="CH24:CU24" si="34">CH23/CH10</f>
        <v>0.41789920749224702</v>
      </c>
      <c r="CI24" s="40">
        <f t="shared" si="34"/>
        <v>0.38922380311685773</v>
      </c>
      <c r="CJ24" s="40">
        <f t="shared" si="34"/>
        <v>0.3947006257225168</v>
      </c>
      <c r="CK24" s="40">
        <f t="shared" si="34"/>
        <v>0.39872448009499545</v>
      </c>
      <c r="CL24" s="40">
        <f t="shared" si="34"/>
        <v>0.43114066917539723</v>
      </c>
      <c r="CM24" s="1440">
        <f t="shared" si="34"/>
        <v>0.33733872666108766</v>
      </c>
      <c r="CN24" s="1440">
        <f t="shared" si="34"/>
        <v>0.34300007484017503</v>
      </c>
      <c r="CO24" s="1440">
        <f t="shared" si="34"/>
        <v>0.35635338877056</v>
      </c>
      <c r="CP24" s="1440">
        <f t="shared" si="34"/>
        <v>0.3517503076945806</v>
      </c>
      <c r="CQ24" s="1440">
        <f t="shared" si="34"/>
        <v>0.36025808029925671</v>
      </c>
      <c r="CR24" s="1440">
        <f t="shared" si="34"/>
        <v>0.34947553338858889</v>
      </c>
      <c r="CS24" s="1207">
        <f t="shared" si="34"/>
        <v>0.34045625529881096</v>
      </c>
      <c r="CT24" s="1207">
        <f t="shared" si="34"/>
        <v>0.3887843297685547</v>
      </c>
      <c r="CU24" s="1440">
        <f t="shared" si="34"/>
        <v>0.29211023093864175</v>
      </c>
      <c r="CV24" s="1441">
        <f t="shared" ref="CV24" si="35">CV23/CV10</f>
        <v>0.28117110457669031</v>
      </c>
      <c r="CW24" s="17"/>
    </row>
    <row r="25" spans="1:112" s="1368" customFormat="1" ht="14.25" customHeight="1" collapsed="1">
      <c r="A25" s="1361"/>
      <c r="B25" s="1362" t="s">
        <v>584</v>
      </c>
      <c r="C25" s="1363"/>
      <c r="D25" s="1364"/>
      <c r="E25" s="1364"/>
      <c r="F25" s="1364"/>
      <c r="G25" s="1365"/>
      <c r="H25" s="1364"/>
      <c r="I25" s="1364"/>
      <c r="J25" s="1364"/>
      <c r="K25" s="1365"/>
      <c r="L25" s="1364"/>
      <c r="M25" s="1364"/>
      <c r="N25" s="1364"/>
      <c r="O25" s="1365"/>
      <c r="P25" s="1364"/>
      <c r="Q25" s="1364"/>
      <c r="R25" s="1364"/>
      <c r="S25" s="1365"/>
      <c r="T25" s="1364"/>
      <c r="U25" s="1364"/>
      <c r="V25" s="1364"/>
      <c r="W25" s="1365"/>
      <c r="X25" s="1364"/>
      <c r="Y25" s="1364"/>
      <c r="Z25" s="1364"/>
      <c r="AA25" s="1365"/>
      <c r="AB25" s="1364"/>
      <c r="AC25" s="1364"/>
      <c r="AD25" s="1364"/>
      <c r="AE25" s="1364"/>
      <c r="AF25" s="1366"/>
      <c r="AG25" s="1364"/>
      <c r="AH25" s="1364"/>
      <c r="AI25" s="1364"/>
      <c r="AJ25" s="1366"/>
      <c r="AK25" s="1364"/>
      <c r="AL25" s="1364"/>
      <c r="AM25" s="1364"/>
      <c r="AN25" s="1366"/>
      <c r="AO25" s="1364"/>
      <c r="AP25" s="1364"/>
      <c r="AQ25" s="1364"/>
      <c r="AR25" s="1366"/>
      <c r="AS25" s="1364"/>
      <c r="AT25" s="1364"/>
      <c r="AU25" s="1364"/>
      <c r="AV25" s="1366"/>
      <c r="AW25" s="1364"/>
      <c r="AX25" s="1364"/>
      <c r="AY25" s="1364"/>
      <c r="AZ25" s="1366"/>
      <c r="BA25" s="1364">
        <v>0</v>
      </c>
      <c r="BB25" s="1364"/>
      <c r="BC25" s="1365">
        <v>5</v>
      </c>
      <c r="BD25" s="1366"/>
      <c r="BE25" s="1364">
        <v>10</v>
      </c>
      <c r="BF25" s="1364">
        <v>11.25</v>
      </c>
      <c r="BG25" s="1365">
        <v>11.25</v>
      </c>
      <c r="BH25" s="1366">
        <f t="shared" ref="BH25:BO25" si="36">BG25</f>
        <v>11.25</v>
      </c>
      <c r="BI25" s="1364">
        <f t="shared" si="36"/>
        <v>11.25</v>
      </c>
      <c r="BJ25" s="1364">
        <f t="shared" si="36"/>
        <v>11.25</v>
      </c>
      <c r="BK25" s="1365">
        <f t="shared" si="36"/>
        <v>11.25</v>
      </c>
      <c r="BL25" s="1366">
        <f t="shared" si="36"/>
        <v>11.25</v>
      </c>
      <c r="BM25" s="1364">
        <f t="shared" si="36"/>
        <v>11.25</v>
      </c>
      <c r="BN25" s="1364">
        <f t="shared" si="36"/>
        <v>11.25</v>
      </c>
      <c r="BO25" s="1365">
        <f t="shared" si="36"/>
        <v>11.25</v>
      </c>
      <c r="BP25" s="1363"/>
      <c r="BQ25" s="1366"/>
      <c r="BR25" s="1364"/>
      <c r="BS25" s="1364"/>
      <c r="BT25" s="1364"/>
      <c r="BU25" s="1364"/>
      <c r="BV25" s="1364"/>
      <c r="BW25" s="1364"/>
      <c r="BX25" s="1364"/>
      <c r="BY25" s="1364"/>
      <c r="BZ25" s="1366"/>
      <c r="CA25" s="1364"/>
      <c r="CB25" s="1364"/>
      <c r="CC25" s="1364"/>
      <c r="CD25" s="1364"/>
      <c r="CE25" s="1364"/>
      <c r="CF25" s="1365"/>
      <c r="CG25" s="1481"/>
      <c r="CH25" s="1366"/>
      <c r="CI25" s="1364"/>
      <c r="CJ25" s="1364"/>
      <c r="CK25" s="1364"/>
      <c r="CL25" s="1364"/>
      <c r="CM25" s="1364"/>
      <c r="CN25" s="1364"/>
      <c r="CO25" s="1364"/>
      <c r="CP25" s="1364"/>
      <c r="CQ25" s="1364"/>
      <c r="CR25" s="1364"/>
      <c r="CS25" s="1364"/>
      <c r="CT25" s="1364">
        <f>SUM(BA25:BD25)</f>
        <v>5</v>
      </c>
      <c r="CU25" s="1364">
        <f>SUM(BE25:BH25)</f>
        <v>43.75</v>
      </c>
      <c r="CV25" s="1365">
        <f>SUM(BI25:BL25)</f>
        <v>45</v>
      </c>
      <c r="CW25" s="1367"/>
      <c r="CX25"/>
      <c r="CY25"/>
      <c r="CZ25"/>
      <c r="DA25"/>
      <c r="DB25"/>
      <c r="DC25"/>
    </row>
    <row r="26" spans="1:112" hidden="1" outlineLevel="1">
      <c r="A26" s="8"/>
      <c r="B26" s="38"/>
      <c r="C26" s="39"/>
      <c r="D26" s="40"/>
      <c r="E26" s="40"/>
      <c r="F26" s="40"/>
      <c r="G26" s="41"/>
      <c r="H26" s="40"/>
      <c r="I26" s="40"/>
      <c r="J26" s="40"/>
      <c r="K26" s="41"/>
      <c r="L26" s="40"/>
      <c r="M26" s="40"/>
      <c r="N26" s="40"/>
      <c r="O26" s="41"/>
      <c r="P26" s="40"/>
      <c r="Q26" s="40"/>
      <c r="R26" s="40"/>
      <c r="S26" s="41"/>
      <c r="T26" s="40"/>
      <c r="U26" s="40"/>
      <c r="V26" s="40"/>
      <c r="W26" s="41"/>
      <c r="X26" s="40"/>
      <c r="Y26" s="40"/>
      <c r="Z26" s="40"/>
      <c r="AA26" s="41"/>
      <c r="AB26" s="40"/>
      <c r="AC26" s="40"/>
      <c r="AD26" s="40"/>
      <c r="AE26" s="40"/>
      <c r="AF26" s="42"/>
      <c r="AG26" s="40"/>
      <c r="AH26" s="40"/>
      <c r="AI26" s="40"/>
      <c r="AJ26" s="42"/>
      <c r="AK26" s="40"/>
      <c r="AL26" s="40"/>
      <c r="AM26" s="40"/>
      <c r="AN26" s="42"/>
      <c r="AO26" s="40"/>
      <c r="AP26" s="40"/>
      <c r="AQ26" s="40"/>
      <c r="AR26" s="42"/>
      <c r="AS26" s="40"/>
      <c r="AT26" s="40"/>
      <c r="AU26" s="40"/>
      <c r="AV26" s="1209"/>
      <c r="AW26" s="1207"/>
      <c r="AX26" s="1207"/>
      <c r="AY26" s="1207"/>
      <c r="AZ26" s="1209"/>
      <c r="BA26" s="1282"/>
      <c r="BB26" s="1282"/>
      <c r="BC26" s="1441"/>
      <c r="BD26" s="1442"/>
      <c r="BE26" s="40"/>
      <c r="BF26" s="40"/>
      <c r="BG26" s="41"/>
      <c r="BH26" s="1422"/>
      <c r="BI26" s="1420"/>
      <c r="BJ26" s="1420"/>
      <c r="BK26" s="1421"/>
      <c r="BL26" s="1442"/>
      <c r="BM26" s="1440"/>
      <c r="BN26" s="1440"/>
      <c r="BO26" s="1441"/>
      <c r="BP26" s="253"/>
      <c r="BQ26" s="44"/>
      <c r="BR26" s="1210"/>
      <c r="BS26" s="1210"/>
      <c r="BT26" s="1210"/>
      <c r="BU26" s="1210"/>
      <c r="BV26" s="1210"/>
      <c r="BW26" s="1210"/>
      <c r="BX26" s="1210"/>
      <c r="BY26" s="1210"/>
      <c r="BZ26" s="1444"/>
      <c r="CA26" s="1443"/>
      <c r="CB26" s="1443"/>
      <c r="CC26" s="1443"/>
      <c r="CD26" s="1443"/>
      <c r="CE26" s="1443"/>
      <c r="CF26" s="1445"/>
      <c r="CG26" s="23"/>
      <c r="CH26" s="42"/>
      <c r="CI26" s="40"/>
      <c r="CJ26" s="40"/>
      <c r="CK26" s="40"/>
      <c r="CL26" s="40"/>
      <c r="CM26" s="1440"/>
      <c r="CN26" s="1440"/>
      <c r="CO26" s="1440"/>
      <c r="CP26" s="1440"/>
      <c r="CQ26" s="1440"/>
      <c r="CR26" s="1440"/>
      <c r="CS26" s="1207"/>
      <c r="CT26" s="1207"/>
      <c r="CU26" s="1440"/>
      <c r="CV26" s="1441"/>
      <c r="CW26" s="17"/>
    </row>
    <row r="27" spans="1:112" hidden="1" outlineLevel="1">
      <c r="A27" s="859"/>
      <c r="B27" s="851" t="s">
        <v>445</v>
      </c>
      <c r="C27" s="852"/>
      <c r="D27" s="678">
        <v>0</v>
      </c>
      <c r="E27" s="678">
        <v>0</v>
      </c>
      <c r="F27" s="678">
        <v>0</v>
      </c>
      <c r="G27" s="679">
        <v>0</v>
      </c>
      <c r="H27" s="678">
        <v>0</v>
      </c>
      <c r="I27" s="678">
        <v>0</v>
      </c>
      <c r="J27" s="678">
        <v>0</v>
      </c>
      <c r="K27" s="679">
        <v>0</v>
      </c>
      <c r="L27" s="678">
        <v>0</v>
      </c>
      <c r="M27" s="678">
        <v>0</v>
      </c>
      <c r="N27" s="678">
        <v>0</v>
      </c>
      <c r="O27" s="679">
        <v>0</v>
      </c>
      <c r="P27" s="678">
        <v>0</v>
      </c>
      <c r="Q27" s="678">
        <v>0</v>
      </c>
      <c r="R27" s="678">
        <v>0</v>
      </c>
      <c r="S27" s="679">
        <v>0</v>
      </c>
      <c r="T27" s="678">
        <v>0</v>
      </c>
      <c r="U27" s="678">
        <v>0</v>
      </c>
      <c r="V27" s="678">
        <v>0</v>
      </c>
      <c r="W27" s="679">
        <v>0</v>
      </c>
      <c r="X27" s="678">
        <v>0</v>
      </c>
      <c r="Y27" s="678">
        <v>0</v>
      </c>
      <c r="Z27" s="678">
        <v>0</v>
      </c>
      <c r="AA27" s="679">
        <v>0</v>
      </c>
      <c r="AB27" s="678">
        <v>0</v>
      </c>
      <c r="AC27" s="678">
        <v>0</v>
      </c>
      <c r="AD27" s="678">
        <v>0</v>
      </c>
      <c r="AE27" s="678">
        <v>0</v>
      </c>
      <c r="AF27" s="680">
        <v>0</v>
      </c>
      <c r="AG27" s="678">
        <v>0</v>
      </c>
      <c r="AH27" s="678">
        <v>0</v>
      </c>
      <c r="AI27" s="678">
        <v>0</v>
      </c>
      <c r="AJ27" s="680">
        <v>0</v>
      </c>
      <c r="AK27" s="678">
        <v>0</v>
      </c>
      <c r="AL27" s="678">
        <v>0</v>
      </c>
      <c r="AM27" s="678">
        <v>0</v>
      </c>
      <c r="AN27" s="680">
        <v>0</v>
      </c>
      <c r="AO27" s="678">
        <v>0</v>
      </c>
      <c r="AP27" s="678">
        <f>-3.015+6.837</f>
        <v>3.8219999999999996</v>
      </c>
      <c r="AQ27" s="678">
        <f>54.388-0.113</f>
        <v>54.274999999999999</v>
      </c>
      <c r="AR27" s="680">
        <v>2.9729999999999999</v>
      </c>
      <c r="AS27" s="678">
        <v>1.52</v>
      </c>
      <c r="AT27" s="678">
        <v>1.3069999999999999</v>
      </c>
      <c r="AU27" s="678">
        <v>1.399</v>
      </c>
      <c r="AV27" s="680">
        <v>1.4450000000000001</v>
      </c>
      <c r="AW27" s="678">
        <v>1.476</v>
      </c>
      <c r="AX27" s="678">
        <v>1.8879999999999999</v>
      </c>
      <c r="AY27" s="678">
        <v>2.04</v>
      </c>
      <c r="AZ27" s="680">
        <v>2.1779999999999999</v>
      </c>
      <c r="BA27" s="678">
        <v>197.21199999999999</v>
      </c>
      <c r="BB27" s="678">
        <f>19.782+241.554</f>
        <v>261.33600000000001</v>
      </c>
      <c r="BC27" s="678">
        <v>85.974000000000004</v>
      </c>
      <c r="BD27" s="680">
        <v>43.776000000000003</v>
      </c>
      <c r="BE27" s="678">
        <v>44</v>
      </c>
      <c r="BF27" s="678">
        <v>0</v>
      </c>
      <c r="BG27" s="679">
        <v>0</v>
      </c>
      <c r="BH27" s="680">
        <v>0</v>
      </c>
      <c r="BI27" s="678">
        <v>0</v>
      </c>
      <c r="BJ27" s="678">
        <v>0</v>
      </c>
      <c r="BK27" s="679">
        <v>0</v>
      </c>
      <c r="BL27" s="680">
        <v>0</v>
      </c>
      <c r="BM27" s="678">
        <v>0</v>
      </c>
      <c r="BN27" s="678">
        <v>0</v>
      </c>
      <c r="BO27" s="679">
        <v>0</v>
      </c>
      <c r="BP27" s="677"/>
      <c r="BQ27" s="684">
        <f>SUM(D27:G27)</f>
        <v>0</v>
      </c>
      <c r="BR27" s="682">
        <f>SUM(H27:K27)</f>
        <v>0</v>
      </c>
      <c r="BS27" s="682">
        <f>SUM(L27:O27)</f>
        <v>0</v>
      </c>
      <c r="BT27" s="682">
        <f>SUM(P27:S27)</f>
        <v>0</v>
      </c>
      <c r="BU27" s="682">
        <f>SUM(T27:W27)</f>
        <v>0</v>
      </c>
      <c r="BV27" s="682">
        <f>SUM(X27:AA27)</f>
        <v>0</v>
      </c>
      <c r="BW27" s="682">
        <f>SUM(AB27:AE27)</f>
        <v>0</v>
      </c>
      <c r="BX27" s="682">
        <f>SUM(AF27:AI27)</f>
        <v>0</v>
      </c>
      <c r="BY27" s="682">
        <f>SUM(AJ27:AM27)</f>
        <v>0</v>
      </c>
      <c r="BZ27" s="684">
        <f>SUM(AN27:AQ27)</f>
        <v>58.097000000000001</v>
      </c>
      <c r="CA27" s="682">
        <f>SUM(AR27:AU27)</f>
        <v>7.1990000000000007</v>
      </c>
      <c r="CB27" s="682">
        <f>SUM(AV27:AY27)</f>
        <v>6.8490000000000002</v>
      </c>
      <c r="CC27" s="682">
        <f>SUM(AZ27:BC27)</f>
        <v>546.70000000000005</v>
      </c>
      <c r="CD27" s="682">
        <f>SUM(BD27:BG27)</f>
        <v>87.77600000000001</v>
      </c>
      <c r="CE27" s="682">
        <f>SUM(BH27:BK27)</f>
        <v>0</v>
      </c>
      <c r="CF27" s="683">
        <f>SUM(BL27:BO27)</f>
        <v>0</v>
      </c>
      <c r="CG27" s="860"/>
      <c r="CH27" s="684">
        <f>SUM(E27:H27)</f>
        <v>0</v>
      </c>
      <c r="CI27" s="682">
        <f>SUM(I27:L27)</f>
        <v>0</v>
      </c>
      <c r="CJ27" s="682">
        <f>SUM(M27:P27)</f>
        <v>0</v>
      </c>
      <c r="CK27" s="682">
        <f>SUM(Q27:T27)</f>
        <v>0</v>
      </c>
      <c r="CL27" s="682">
        <f>SUM(U27:X27)</f>
        <v>0</v>
      </c>
      <c r="CM27" s="682">
        <f>SUM(Y27:AB27)</f>
        <v>0</v>
      </c>
      <c r="CN27" s="682">
        <f>SUM(AC27:AF27)</f>
        <v>0</v>
      </c>
      <c r="CO27" s="682">
        <f>SUM(AG27:AJ27)</f>
        <v>0</v>
      </c>
      <c r="CP27" s="682">
        <f>SUM(AK27:AN27)</f>
        <v>0</v>
      </c>
      <c r="CQ27" s="682">
        <f>SUM(AO27:AR27)</f>
        <v>61.07</v>
      </c>
      <c r="CR27" s="682">
        <f>SUM(AS27:AV27)</f>
        <v>5.6710000000000003</v>
      </c>
      <c r="CS27" s="682">
        <f>SUM(AW27:AZ27)</f>
        <v>7.5819999999999999</v>
      </c>
      <c r="CT27" s="682">
        <f>SUM(BA27:BD27)</f>
        <v>588.298</v>
      </c>
      <c r="CU27" s="682">
        <f>SUM(BE27:BH27)</f>
        <v>44</v>
      </c>
      <c r="CV27" s="683">
        <f>SUM(BI27:BL27)</f>
        <v>0</v>
      </c>
      <c r="CW27" s="1096"/>
      <c r="DD27" s="691"/>
      <c r="DE27" s="691"/>
      <c r="DF27" s="691"/>
      <c r="DG27" s="691"/>
      <c r="DH27" s="691"/>
    </row>
    <row r="28" spans="1:112" hidden="1" outlineLevel="1">
      <c r="A28" s="8"/>
      <c r="B28" s="26" t="s">
        <v>0</v>
      </c>
      <c r="C28" s="27"/>
      <c r="D28" s="35">
        <f t="shared" ref="D28:AI28" si="37">D23-D27</f>
        <v>245.00800000000001</v>
      </c>
      <c r="E28" s="35">
        <f t="shared" si="37"/>
        <v>257.327</v>
      </c>
      <c r="F28" s="35">
        <f t="shared" si="37"/>
        <v>244.178</v>
      </c>
      <c r="G28" s="36">
        <f t="shared" si="37"/>
        <v>259.45499999999998</v>
      </c>
      <c r="H28" s="35">
        <f t="shared" si="37"/>
        <v>227.32900000000001</v>
      </c>
      <c r="I28" s="35">
        <f t="shared" si="37"/>
        <v>226.834</v>
      </c>
      <c r="J28" s="35">
        <f t="shared" si="37"/>
        <v>236.16300000000001</v>
      </c>
      <c r="K28" s="36">
        <f t="shared" si="37"/>
        <v>249.42699999999999</v>
      </c>
      <c r="L28" s="35">
        <f t="shared" si="37"/>
        <v>226.601</v>
      </c>
      <c r="M28" s="35">
        <f t="shared" si="37"/>
        <v>236.255</v>
      </c>
      <c r="N28" s="35">
        <f t="shared" si="37"/>
        <v>243.93899999999999</v>
      </c>
      <c r="O28" s="36">
        <f t="shared" si="37"/>
        <v>249.65</v>
      </c>
      <c r="P28" s="35">
        <f t="shared" si="37"/>
        <v>238.10599999999999</v>
      </c>
      <c r="Q28" s="35">
        <f t="shared" si="37"/>
        <v>253.31899999999999</v>
      </c>
      <c r="R28" s="35">
        <f t="shared" si="37"/>
        <v>257.19200000000001</v>
      </c>
      <c r="S28" s="36">
        <f t="shared" si="37"/>
        <v>257.03899999999999</v>
      </c>
      <c r="T28" s="35">
        <f t="shared" si="37"/>
        <v>207.56700000000001</v>
      </c>
      <c r="U28" s="35">
        <f t="shared" si="37"/>
        <v>213.196</v>
      </c>
      <c r="V28" s="35">
        <f t="shared" si="37"/>
        <v>225.762</v>
      </c>
      <c r="W28" s="36">
        <f t="shared" si="37"/>
        <v>249.74600000000001</v>
      </c>
      <c r="X28" s="35">
        <f t="shared" si="37"/>
        <v>234.50700000000001</v>
      </c>
      <c r="Y28" s="35">
        <f t="shared" si="37"/>
        <v>233.72499999999999</v>
      </c>
      <c r="Z28" s="35">
        <f t="shared" si="37"/>
        <v>240.08799999999999</v>
      </c>
      <c r="AA28" s="36">
        <f t="shared" si="37"/>
        <v>253.761</v>
      </c>
      <c r="AB28" s="35">
        <f t="shared" si="37"/>
        <v>246.33099999999999</v>
      </c>
      <c r="AC28" s="35">
        <f t="shared" si="37"/>
        <v>256.56599999999997</v>
      </c>
      <c r="AD28" s="35">
        <f t="shared" si="37"/>
        <v>248.262</v>
      </c>
      <c r="AE28" s="35">
        <f t="shared" si="37"/>
        <v>255.62</v>
      </c>
      <c r="AF28" s="37">
        <f t="shared" si="37"/>
        <v>238.66800000000001</v>
      </c>
      <c r="AG28" s="35">
        <f t="shared" si="37"/>
        <v>234.63900000000001</v>
      </c>
      <c r="AH28" s="35">
        <f t="shared" si="37"/>
        <v>235.15199999999999</v>
      </c>
      <c r="AI28" s="35">
        <f t="shared" si="37"/>
        <v>251.68199999999999</v>
      </c>
      <c r="AJ28" s="37">
        <f t="shared" ref="AJ28:BA28" si="38">AJ23-AJ27</f>
        <v>231.85</v>
      </c>
      <c r="AK28" s="35">
        <f t="shared" si="38"/>
        <v>237.05500000000001</v>
      </c>
      <c r="AL28" s="35">
        <f t="shared" si="38"/>
        <v>239.11</v>
      </c>
      <c r="AM28" s="35">
        <f t="shared" si="38"/>
        <v>233.26300000000001</v>
      </c>
      <c r="AN28" s="37">
        <f t="shared" si="38"/>
        <v>219.12</v>
      </c>
      <c r="AO28" s="35">
        <f t="shared" si="38"/>
        <v>235.79300000000001</v>
      </c>
      <c r="AP28" s="35">
        <f t="shared" si="38"/>
        <v>247.64</v>
      </c>
      <c r="AQ28" s="35">
        <f t="shared" si="38"/>
        <v>273.935</v>
      </c>
      <c r="AR28" s="37">
        <f t="shared" si="38"/>
        <v>265.40600000000001</v>
      </c>
      <c r="AS28" s="35">
        <f t="shared" si="38"/>
        <v>274.67700000000002</v>
      </c>
      <c r="AT28" s="35">
        <f t="shared" si="38"/>
        <v>293.02099999999996</v>
      </c>
      <c r="AU28" s="35">
        <f t="shared" si="38"/>
        <v>335.52699999999999</v>
      </c>
      <c r="AV28" s="37">
        <f t="shared" si="38"/>
        <v>290.69100000000003</v>
      </c>
      <c r="AW28" s="35">
        <f t="shared" si="38"/>
        <v>266.387</v>
      </c>
      <c r="AX28" s="35">
        <f t="shared" si="38"/>
        <v>295.41300000000001</v>
      </c>
      <c r="AY28" s="35">
        <f t="shared" si="38"/>
        <v>334.89599999999996</v>
      </c>
      <c r="AZ28" s="37">
        <f t="shared" si="38"/>
        <v>333.767</v>
      </c>
      <c r="BA28" s="35">
        <f t="shared" si="38"/>
        <v>310.327</v>
      </c>
      <c r="BB28" s="35">
        <f t="shared" ref="BB28:BD28" si="39">BB23-BB27</f>
        <v>405.94200000000001</v>
      </c>
      <c r="BC28" s="35">
        <f t="shared" si="39"/>
        <v>449.17099999999999</v>
      </c>
      <c r="BD28" s="37">
        <f t="shared" si="39"/>
        <v>439.65800000000002</v>
      </c>
      <c r="BE28" s="35">
        <f>'BU-Segment'!BE189</f>
        <v>417.01397088651481</v>
      </c>
      <c r="BF28" s="35">
        <f>'BU-Segment'!BF189</f>
        <v>430.53275015972929</v>
      </c>
      <c r="BG28" s="36">
        <f>'BU-Segment'!BG189</f>
        <v>438.21034878600244</v>
      </c>
      <c r="BH28" s="37">
        <f>'BU-Segment'!BH189</f>
        <v>431.49293193088772</v>
      </c>
      <c r="BI28" s="35">
        <f>'BU-Segment'!BI189</f>
        <v>440.02615879448831</v>
      </c>
      <c r="BJ28" s="35">
        <f>'BU-Segment'!BJ189</f>
        <v>446.68187506301985</v>
      </c>
      <c r="BK28" s="36">
        <f>'BU-Segment'!BK189</f>
        <v>462.74629273470521</v>
      </c>
      <c r="BL28" s="37">
        <f>'BU-Segment'!BL189</f>
        <v>454.77901417431792</v>
      </c>
      <c r="BM28" s="35">
        <f>'BU-Segment'!BM189</f>
        <v>463.39211463298369</v>
      </c>
      <c r="BN28" s="35">
        <f>'BU-Segment'!BN189</f>
        <v>469.37145566614481</v>
      </c>
      <c r="BO28" s="36">
        <f>'BU-Segment'!BO189</f>
        <v>484.57293398686318</v>
      </c>
      <c r="BP28" s="253"/>
      <c r="BQ28" s="37">
        <f t="shared" ref="BQ28:CE28" si="40">BQ23-BQ27</f>
        <v>1005.9680000000001</v>
      </c>
      <c r="BR28" s="35">
        <f t="shared" si="40"/>
        <v>939.75300000000004</v>
      </c>
      <c r="BS28" s="35">
        <f t="shared" si="40"/>
        <v>956.44499999999994</v>
      </c>
      <c r="BT28" s="35">
        <f t="shared" si="40"/>
        <v>1005.6559999999999</v>
      </c>
      <c r="BU28" s="35">
        <f t="shared" si="40"/>
        <v>896.27100000000007</v>
      </c>
      <c r="BV28" s="35">
        <f t="shared" si="40"/>
        <v>962.0809999999999</v>
      </c>
      <c r="BW28" s="35">
        <f t="shared" si="40"/>
        <v>1006.7789999999999</v>
      </c>
      <c r="BX28" s="35">
        <f t="shared" si="40"/>
        <v>960.14100000000008</v>
      </c>
      <c r="BY28" s="35">
        <f t="shared" si="40"/>
        <v>941.27800000000002</v>
      </c>
      <c r="BZ28" s="37">
        <f t="shared" si="40"/>
        <v>976.48800000000006</v>
      </c>
      <c r="CA28" s="35">
        <f t="shared" si="40"/>
        <v>1168.6309999999999</v>
      </c>
      <c r="CB28" s="35">
        <f t="shared" si="40"/>
        <v>1187.3869999999999</v>
      </c>
      <c r="CC28" s="35">
        <f t="shared" si="40"/>
        <v>1499.2069999999999</v>
      </c>
      <c r="CD28" s="35">
        <f t="shared" si="40"/>
        <v>1725.4150698322464</v>
      </c>
      <c r="CE28" s="35">
        <f t="shared" si="40"/>
        <v>1780.947258523101</v>
      </c>
      <c r="CF28" s="36">
        <f t="shared" ref="CF28" si="41">CF23-CF27</f>
        <v>1872.1155184603094</v>
      </c>
      <c r="CG28" s="23"/>
      <c r="CH28" s="37">
        <f t="shared" ref="CH28:CU28" si="42">CH23-CH27</f>
        <v>988.28899999999999</v>
      </c>
      <c r="CI28" s="35">
        <f t="shared" si="42"/>
        <v>939.02499999999998</v>
      </c>
      <c r="CJ28" s="35">
        <f t="shared" si="42"/>
        <v>967.94999999999993</v>
      </c>
      <c r="CK28" s="35">
        <f t="shared" si="42"/>
        <v>975.11699999999996</v>
      </c>
      <c r="CL28" s="35">
        <f t="shared" si="42"/>
        <v>923.21100000000001</v>
      </c>
      <c r="CM28" s="35">
        <f t="shared" si="42"/>
        <v>973.90499999999997</v>
      </c>
      <c r="CN28" s="35">
        <f t="shared" si="42"/>
        <v>999.11599999999999</v>
      </c>
      <c r="CO28" s="35">
        <f t="shared" si="42"/>
        <v>953.32299999999998</v>
      </c>
      <c r="CP28" s="35">
        <f t="shared" si="42"/>
        <v>928.548</v>
      </c>
      <c r="CQ28" s="35">
        <f t="shared" si="42"/>
        <v>1022.774</v>
      </c>
      <c r="CR28" s="35">
        <f t="shared" si="42"/>
        <v>1193.9159999999999</v>
      </c>
      <c r="CS28" s="35">
        <f t="shared" si="42"/>
        <v>1230.4629999999997</v>
      </c>
      <c r="CT28" s="35">
        <f t="shared" si="42"/>
        <v>1605.0980000000002</v>
      </c>
      <c r="CU28" s="35">
        <f t="shared" si="42"/>
        <v>1717.2500017631342</v>
      </c>
      <c r="CV28" s="36">
        <f t="shared" ref="CV28" si="43">CV23-CV27</f>
        <v>1804.2333407665315</v>
      </c>
      <c r="CW28" s="17"/>
    </row>
    <row r="29" spans="1:112" hidden="1" outlineLevel="1">
      <c r="A29" s="8"/>
      <c r="B29" s="38" t="s">
        <v>332</v>
      </c>
      <c r="C29" s="39"/>
      <c r="D29" s="40">
        <f t="shared" ref="D29:AI29" si="44">D28/D10</f>
        <v>0.42203756528449576</v>
      </c>
      <c r="E29" s="40">
        <f t="shared" si="44"/>
        <v>0.42623143611505881</v>
      </c>
      <c r="F29" s="40">
        <f t="shared" si="44"/>
        <v>0.41925015796269327</v>
      </c>
      <c r="G29" s="41">
        <f t="shared" si="44"/>
        <v>0.41704306173950778</v>
      </c>
      <c r="H29" s="40">
        <f t="shared" si="44"/>
        <v>0.40840528469744497</v>
      </c>
      <c r="I29" s="40">
        <f t="shared" si="44"/>
        <v>0.39268143213757717</v>
      </c>
      <c r="J29" s="40">
        <f t="shared" si="44"/>
        <v>0.39431805848910118</v>
      </c>
      <c r="K29" s="41">
        <f t="shared" si="44"/>
        <v>0.40908181406669242</v>
      </c>
      <c r="L29" s="40">
        <f t="shared" si="44"/>
        <v>0.36182925758265272</v>
      </c>
      <c r="M29" s="40">
        <f t="shared" si="44"/>
        <v>0.39541710810182051</v>
      </c>
      <c r="N29" s="40">
        <f t="shared" si="44"/>
        <v>0.39508706236000457</v>
      </c>
      <c r="O29" s="41">
        <f t="shared" si="44"/>
        <v>0.40037399244958638</v>
      </c>
      <c r="P29" s="40">
        <f t="shared" si="44"/>
        <v>0.38785227126495947</v>
      </c>
      <c r="Q29" s="40">
        <f t="shared" si="44"/>
        <v>0.39011765792959002</v>
      </c>
      <c r="R29" s="40">
        <f t="shared" si="44"/>
        <v>0.39028446734832001</v>
      </c>
      <c r="S29" s="41">
        <f t="shared" si="44"/>
        <v>0.38904276702144402</v>
      </c>
      <c r="T29" s="40">
        <f t="shared" si="44"/>
        <v>0.43554448568832632</v>
      </c>
      <c r="U29" s="40">
        <f t="shared" si="44"/>
        <v>0.4490719286863768</v>
      </c>
      <c r="V29" s="40">
        <f t="shared" si="44"/>
        <v>0.45887424769965307</v>
      </c>
      <c r="W29" s="41">
        <f t="shared" si="44"/>
        <v>0.43692442267319803</v>
      </c>
      <c r="X29" s="40">
        <f t="shared" si="44"/>
        <v>0.38891146184884157</v>
      </c>
      <c r="Y29" s="40">
        <f t="shared" si="44"/>
        <v>0.3497620615347779</v>
      </c>
      <c r="Z29" s="40">
        <f t="shared" si="44"/>
        <v>0.33332130114259534</v>
      </c>
      <c r="AA29" s="41">
        <f t="shared" si="44"/>
        <v>0.32956402031195209</v>
      </c>
      <c r="AB29" s="40">
        <f t="shared" si="44"/>
        <v>0.33813266639579193</v>
      </c>
      <c r="AC29" s="40">
        <f t="shared" si="44"/>
        <v>0.32444674877968588</v>
      </c>
      <c r="AD29" s="40">
        <f t="shared" si="44"/>
        <v>0.32756477750421559</v>
      </c>
      <c r="AE29" s="40">
        <f t="shared" si="44"/>
        <v>0.35694437074625701</v>
      </c>
      <c r="AF29" s="42">
        <f t="shared" si="44"/>
        <v>0.36828185131577729</v>
      </c>
      <c r="AG29" s="40">
        <f t="shared" si="44"/>
        <v>0.34756493169840053</v>
      </c>
      <c r="AH29" s="40">
        <f t="shared" si="44"/>
        <v>0.34427971995209555</v>
      </c>
      <c r="AI29" s="40">
        <f t="shared" si="44"/>
        <v>0.36215113300832846</v>
      </c>
      <c r="AJ29" s="42">
        <f t="shared" ref="AJ29:BK29" si="45">AJ28/AJ10</f>
        <v>0.37266891055624668</v>
      </c>
      <c r="AK29" s="40">
        <f t="shared" si="45"/>
        <v>0.35958285930982176</v>
      </c>
      <c r="AL29" s="40">
        <f t="shared" si="45"/>
        <v>0.35467210148152106</v>
      </c>
      <c r="AM29" s="40">
        <f t="shared" si="45"/>
        <v>0.34397824615525274</v>
      </c>
      <c r="AN29" s="42">
        <f t="shared" si="45"/>
        <v>0.34878501459637906</v>
      </c>
      <c r="AO29" s="40">
        <f t="shared" si="45"/>
        <v>0.33949716069433411</v>
      </c>
      <c r="AP29" s="40">
        <f t="shared" si="45"/>
        <v>0.34028075498246657</v>
      </c>
      <c r="AQ29" s="40">
        <f t="shared" si="45"/>
        <v>0.33642739856579146</v>
      </c>
      <c r="AR29" s="42">
        <f t="shared" si="45"/>
        <v>0.34379639008997576</v>
      </c>
      <c r="AS29" s="40">
        <f t="shared" si="45"/>
        <v>0.33455620393681512</v>
      </c>
      <c r="AT29" s="40">
        <f t="shared" si="45"/>
        <v>0.33939411488767779</v>
      </c>
      <c r="AU29" s="40">
        <f t="shared" si="45"/>
        <v>0.34282155709179929</v>
      </c>
      <c r="AV29" s="1209">
        <f t="shared" si="45"/>
        <v>0.3778009406975823</v>
      </c>
      <c r="AW29" s="1207">
        <f t="shared" si="45"/>
        <v>0.34206295600989262</v>
      </c>
      <c r="AX29" s="1207">
        <f t="shared" si="45"/>
        <v>0.33971487745388351</v>
      </c>
      <c r="AY29" s="1207">
        <f t="shared" si="45"/>
        <v>0.33368705181128766</v>
      </c>
      <c r="AZ29" s="1209">
        <f t="shared" si="45"/>
        <v>0.33903940173640279</v>
      </c>
      <c r="BA29" s="1282">
        <f t="shared" si="45"/>
        <v>0.27032392493958968</v>
      </c>
      <c r="BB29" s="1282">
        <f t="shared" ref="BB29:BD29" si="46">BB28/BB10</f>
        <v>0.28310302935626003</v>
      </c>
      <c r="BC29" s="1440">
        <f t="shared" si="46"/>
        <v>0.29144805569794374</v>
      </c>
      <c r="BD29" s="1442">
        <f t="shared" si="46"/>
        <v>0.28951076764228673</v>
      </c>
      <c r="BE29" s="40">
        <f t="shared" si="45"/>
        <v>0.28361065749783554</v>
      </c>
      <c r="BF29" s="40">
        <f t="shared" si="45"/>
        <v>0.28446360866989584</v>
      </c>
      <c r="BG29" s="41">
        <f t="shared" si="45"/>
        <v>0.28028396509127301</v>
      </c>
      <c r="BH29" s="1422">
        <f t="shared" si="45"/>
        <v>0.29113892066961466</v>
      </c>
      <c r="BI29" s="1420">
        <f t="shared" si="45"/>
        <v>0.28391619174621319</v>
      </c>
      <c r="BJ29" s="1420">
        <f t="shared" si="45"/>
        <v>0.27801562382907985</v>
      </c>
      <c r="BK29" s="1421">
        <f t="shared" si="45"/>
        <v>0.27648893474005992</v>
      </c>
      <c r="BL29" s="1442">
        <f t="shared" ref="BL29:BO29" si="47">BL28/BL10</f>
        <v>0.28662383130681002</v>
      </c>
      <c r="BM29" s="1440">
        <f t="shared" si="47"/>
        <v>0.28019523275876734</v>
      </c>
      <c r="BN29" s="1440">
        <f t="shared" si="47"/>
        <v>0.27512938166969569</v>
      </c>
      <c r="BO29" s="1441">
        <f t="shared" si="47"/>
        <v>0.27430102005670548</v>
      </c>
      <c r="BP29" s="253"/>
      <c r="BQ29" s="1283">
        <f t="shared" ref="BQ29:CE29" si="48">BQ28/BQ10</f>
        <v>0.42111714294325875</v>
      </c>
      <c r="BR29" s="1282">
        <f t="shared" si="48"/>
        <v>0.40110349525527778</v>
      </c>
      <c r="BS29" s="1282">
        <f t="shared" si="48"/>
        <v>0.38805406372567114</v>
      </c>
      <c r="BT29" s="1282">
        <f t="shared" si="48"/>
        <v>0.38934683117744917</v>
      </c>
      <c r="BU29" s="1282">
        <f t="shared" si="48"/>
        <v>0.44481981311305535</v>
      </c>
      <c r="BV29" s="1282">
        <f t="shared" si="48"/>
        <v>0.3483903511964318</v>
      </c>
      <c r="BW29" s="1282">
        <f t="shared" si="48"/>
        <v>0.33634192134486118</v>
      </c>
      <c r="BX29" s="1282">
        <f t="shared" si="48"/>
        <v>0.35545743244894201</v>
      </c>
      <c r="BY29" s="1282">
        <f t="shared" si="48"/>
        <v>0.35739907027747009</v>
      </c>
      <c r="BZ29" s="1442">
        <f t="shared" si="48"/>
        <v>0.34086051495179553</v>
      </c>
      <c r="CA29" s="1440">
        <f t="shared" si="48"/>
        <v>0.3402036976011123</v>
      </c>
      <c r="CB29" s="1440">
        <f t="shared" si="48"/>
        <v>0.34704620231021777</v>
      </c>
      <c r="CC29" s="1440">
        <f t="shared" si="48"/>
        <v>0.29353032195967377</v>
      </c>
      <c r="CD29" s="1440">
        <f t="shared" si="48"/>
        <v>0.2844431517155887</v>
      </c>
      <c r="CE29" s="1440">
        <f t="shared" si="48"/>
        <v>0.28214087622680206</v>
      </c>
      <c r="CF29" s="1441">
        <f t="shared" ref="CF29" si="49">CF28/CF10</f>
        <v>0.278876191641728</v>
      </c>
      <c r="CG29" s="23"/>
      <c r="CH29" s="42">
        <f t="shared" ref="CH29:CU29" si="50">CH28/CH10</f>
        <v>0.41789920749224702</v>
      </c>
      <c r="CI29" s="40">
        <f t="shared" si="50"/>
        <v>0.38922380311685773</v>
      </c>
      <c r="CJ29" s="40">
        <f t="shared" si="50"/>
        <v>0.3947006257225168</v>
      </c>
      <c r="CK29" s="40">
        <f t="shared" si="50"/>
        <v>0.39872448009499545</v>
      </c>
      <c r="CL29" s="40">
        <f t="shared" si="50"/>
        <v>0.43114066917539723</v>
      </c>
      <c r="CM29" s="1440">
        <f t="shared" si="50"/>
        <v>0.33733872666108766</v>
      </c>
      <c r="CN29" s="1440">
        <f t="shared" si="50"/>
        <v>0.34300007484017503</v>
      </c>
      <c r="CO29" s="1440">
        <f t="shared" si="50"/>
        <v>0.35635338877056</v>
      </c>
      <c r="CP29" s="1440">
        <f t="shared" si="50"/>
        <v>0.3517503076945806</v>
      </c>
      <c r="CQ29" s="1440">
        <f t="shared" si="50"/>
        <v>0.33995906958934308</v>
      </c>
      <c r="CR29" s="1440">
        <f t="shared" si="50"/>
        <v>0.34782340165504505</v>
      </c>
      <c r="CS29" s="1207">
        <f t="shared" si="50"/>
        <v>0.338371242776911</v>
      </c>
      <c r="CT29" s="1207">
        <f t="shared" si="50"/>
        <v>0.28450719803576174</v>
      </c>
      <c r="CU29" s="1440">
        <f t="shared" si="50"/>
        <v>0.28481265810773554</v>
      </c>
      <c r="CV29" s="1441">
        <f t="shared" ref="CV29" si="51">CV28/CV10</f>
        <v>0.28117110457669031</v>
      </c>
      <c r="CW29" s="17"/>
    </row>
    <row r="30" spans="1:112" hidden="1" outlineLevel="1">
      <c r="A30" s="8"/>
      <c r="B30" s="26"/>
      <c r="C30" s="27"/>
      <c r="D30" s="45"/>
      <c r="E30" s="45"/>
      <c r="F30" s="50"/>
      <c r="G30" s="46"/>
      <c r="H30" s="45"/>
      <c r="I30" s="45"/>
      <c r="J30" s="50"/>
      <c r="K30" s="46"/>
      <c r="L30" s="45"/>
      <c r="M30" s="45"/>
      <c r="N30" s="50"/>
      <c r="O30" s="46"/>
      <c r="P30" s="45"/>
      <c r="Q30" s="45"/>
      <c r="R30" s="50"/>
      <c r="S30" s="46"/>
      <c r="T30" s="45"/>
      <c r="U30" s="45"/>
      <c r="V30" s="50"/>
      <c r="W30" s="46"/>
      <c r="X30" s="45"/>
      <c r="Y30" s="45"/>
      <c r="Z30" s="50"/>
      <c r="AA30" s="46"/>
      <c r="AB30" s="45"/>
      <c r="AC30" s="45"/>
      <c r="AD30" s="50"/>
      <c r="AE30" s="45"/>
      <c r="AF30" s="47"/>
      <c r="AG30" s="45"/>
      <c r="AH30" s="50"/>
      <c r="AI30" s="45"/>
      <c r="AJ30" s="47"/>
      <c r="AK30" s="45"/>
      <c r="AL30" s="50"/>
      <c r="AM30" s="45"/>
      <c r="AN30" s="47"/>
      <c r="AO30" s="45"/>
      <c r="AP30" s="50"/>
      <c r="AQ30" s="45"/>
      <c r="AR30" s="47"/>
      <c r="AS30" s="45"/>
      <c r="AT30" s="50"/>
      <c r="AU30" s="45"/>
      <c r="AV30" s="47"/>
      <c r="AW30" s="45"/>
      <c r="AX30" s="50"/>
      <c r="AY30" s="45"/>
      <c r="AZ30" s="47"/>
      <c r="BA30" s="45"/>
      <c r="BB30" s="50"/>
      <c r="BC30" s="50"/>
      <c r="BD30" s="47"/>
      <c r="BE30" s="45"/>
      <c r="BF30" s="45"/>
      <c r="BG30" s="46"/>
      <c r="BH30" s="47"/>
      <c r="BI30" s="45"/>
      <c r="BJ30" s="45"/>
      <c r="BK30" s="46"/>
      <c r="BL30" s="47"/>
      <c r="BM30" s="45"/>
      <c r="BN30" s="45"/>
      <c r="BO30" s="46"/>
      <c r="BP30" s="253"/>
      <c r="BQ30" s="58"/>
      <c r="BR30" s="48"/>
      <c r="BS30" s="48"/>
      <c r="BT30" s="48"/>
      <c r="BU30" s="48"/>
      <c r="BV30" s="48"/>
      <c r="BW30" s="48"/>
      <c r="BX30" s="48"/>
      <c r="BY30" s="48"/>
      <c r="BZ30" s="58"/>
      <c r="CA30" s="48"/>
      <c r="CB30" s="48"/>
      <c r="CC30" s="48"/>
      <c r="CD30" s="48"/>
      <c r="CE30" s="48"/>
      <c r="CF30" s="49"/>
      <c r="CG30" s="23"/>
      <c r="CH30" s="101"/>
      <c r="CI30" s="102"/>
      <c r="CJ30" s="102"/>
      <c r="CK30" s="102"/>
      <c r="CL30" s="102"/>
      <c r="CM30" s="102"/>
      <c r="CN30" s="102"/>
      <c r="CO30" s="102"/>
      <c r="CP30" s="102"/>
      <c r="CQ30" s="102"/>
      <c r="CR30" s="102"/>
      <c r="CS30" s="102"/>
      <c r="CT30" s="102"/>
      <c r="CU30" s="102"/>
      <c r="CV30" s="103"/>
      <c r="CW30" s="17"/>
    </row>
    <row r="31" spans="1:112" ht="15" collapsed="1">
      <c r="A31" s="8"/>
      <c r="B31" s="51" t="s">
        <v>161</v>
      </c>
      <c r="C31" s="52"/>
      <c r="D31" s="54">
        <f t="shared" ref="D31:AI31" si="52">D10-D23</f>
        <v>335.52799999999991</v>
      </c>
      <c r="E31" s="54">
        <f t="shared" si="52"/>
        <v>346.399</v>
      </c>
      <c r="F31" s="54">
        <f t="shared" si="52"/>
        <v>338.23800000000006</v>
      </c>
      <c r="G31" s="55">
        <f t="shared" si="52"/>
        <v>362.67500000000001</v>
      </c>
      <c r="H31" s="54">
        <f t="shared" si="52"/>
        <v>329.29699999999997</v>
      </c>
      <c r="I31" s="54">
        <f t="shared" si="52"/>
        <v>350.82</v>
      </c>
      <c r="J31" s="54">
        <f t="shared" si="52"/>
        <v>362.75199999999995</v>
      </c>
      <c r="K31" s="55">
        <f t="shared" si="52"/>
        <v>360.29700000000003</v>
      </c>
      <c r="L31" s="54">
        <f t="shared" si="52"/>
        <v>399.66399999999999</v>
      </c>
      <c r="M31" s="54">
        <f t="shared" si="52"/>
        <v>361.22799999999995</v>
      </c>
      <c r="N31" s="54">
        <f t="shared" si="52"/>
        <v>373.49200000000008</v>
      </c>
      <c r="O31" s="55">
        <f t="shared" si="52"/>
        <v>373.89200000000005</v>
      </c>
      <c r="P31" s="54">
        <f t="shared" si="52"/>
        <v>375.803</v>
      </c>
      <c r="Q31" s="54">
        <f t="shared" si="52"/>
        <v>396.02100000000007</v>
      </c>
      <c r="R31" s="54">
        <f t="shared" si="52"/>
        <v>401.79399999999998</v>
      </c>
      <c r="S31" s="55">
        <f t="shared" si="52"/>
        <v>403.65700000000004</v>
      </c>
      <c r="T31" s="54">
        <f t="shared" si="52"/>
        <v>269.00200000000001</v>
      </c>
      <c r="U31" s="54">
        <f t="shared" si="52"/>
        <v>261.55200000000002</v>
      </c>
      <c r="V31" s="54">
        <f t="shared" si="52"/>
        <v>266.22899999999998</v>
      </c>
      <c r="W31" s="55">
        <f t="shared" si="52"/>
        <v>321.85400000000004</v>
      </c>
      <c r="X31" s="54">
        <f t="shared" si="52"/>
        <v>368.47599999999994</v>
      </c>
      <c r="Y31" s="54">
        <f t="shared" si="52"/>
        <v>434.51499999999999</v>
      </c>
      <c r="Z31" s="54">
        <f t="shared" si="52"/>
        <v>480.202</v>
      </c>
      <c r="AA31" s="55">
        <f t="shared" si="52"/>
        <v>516.22900000000004</v>
      </c>
      <c r="AB31" s="54">
        <f t="shared" si="52"/>
        <v>482.173</v>
      </c>
      <c r="AC31" s="54">
        <f t="shared" si="52"/>
        <v>534.21399999999994</v>
      </c>
      <c r="AD31" s="54">
        <f t="shared" si="52"/>
        <v>509.64000000000004</v>
      </c>
      <c r="AE31" s="54">
        <f t="shared" si="52"/>
        <v>460.51400000000001</v>
      </c>
      <c r="AF31" s="53">
        <f t="shared" si="52"/>
        <v>409.39</v>
      </c>
      <c r="AG31" s="54">
        <f t="shared" si="52"/>
        <v>440.45500000000004</v>
      </c>
      <c r="AH31" s="54">
        <f t="shared" si="52"/>
        <v>447.87399999999997</v>
      </c>
      <c r="AI31" s="54">
        <f t="shared" si="52"/>
        <v>443.28200000000004</v>
      </c>
      <c r="AJ31" s="53">
        <f t="shared" ref="AJ31:BK31" si="53">AJ10-AJ23</f>
        <v>390.28399999999999</v>
      </c>
      <c r="AK31" s="54">
        <f t="shared" si="53"/>
        <v>422.19499999999999</v>
      </c>
      <c r="AL31" s="54">
        <f t="shared" si="53"/>
        <v>435.06200000000001</v>
      </c>
      <c r="AM31" s="54">
        <f t="shared" si="53"/>
        <v>444.87</v>
      </c>
      <c r="AN31" s="53">
        <f t="shared" si="53"/>
        <v>409.11800000000005</v>
      </c>
      <c r="AO31" s="54">
        <f t="shared" si="53"/>
        <v>458.74299999999994</v>
      </c>
      <c r="AP31" s="54">
        <f t="shared" si="53"/>
        <v>476.28999999999996</v>
      </c>
      <c r="AQ31" s="54">
        <f t="shared" si="53"/>
        <v>486.03699999999998</v>
      </c>
      <c r="AR31" s="53">
        <f t="shared" si="53"/>
        <v>503.60699999999997</v>
      </c>
      <c r="AS31" s="54">
        <f t="shared" si="53"/>
        <v>544.822</v>
      </c>
      <c r="AT31" s="54">
        <f t="shared" si="53"/>
        <v>569.03700000000003</v>
      </c>
      <c r="AU31" s="54">
        <f t="shared" si="53"/>
        <v>641.79600000000005</v>
      </c>
      <c r="AV31" s="53">
        <f t="shared" si="53"/>
        <v>477.29299999999995</v>
      </c>
      <c r="AW31" s="54">
        <f t="shared" si="53"/>
        <v>510.90299999999996</v>
      </c>
      <c r="AX31" s="54">
        <f t="shared" si="53"/>
        <v>572.29</v>
      </c>
      <c r="AY31" s="54">
        <f t="shared" si="53"/>
        <v>666.68700000000013</v>
      </c>
      <c r="AZ31" s="53">
        <f t="shared" si="53"/>
        <v>648.50399999999991</v>
      </c>
      <c r="BA31" s="54">
        <f t="shared" si="53"/>
        <v>640.44299999999998</v>
      </c>
      <c r="BB31" s="54">
        <f t="shared" ref="BB31:BD31" si="54">BB10-BB23</f>
        <v>766.62400000000002</v>
      </c>
      <c r="BC31" s="54">
        <f t="shared" si="54"/>
        <v>1006.0250000000001</v>
      </c>
      <c r="BD31" s="53">
        <f t="shared" si="54"/>
        <v>1035.19</v>
      </c>
      <c r="BE31" s="54">
        <f t="shared" si="53"/>
        <v>1009.3608541134851</v>
      </c>
      <c r="BF31" s="54">
        <f t="shared" si="53"/>
        <v>1082.9569794152708</v>
      </c>
      <c r="BG31" s="55">
        <f t="shared" si="53"/>
        <v>1125.2410196977476</v>
      </c>
      <c r="BH31" s="53">
        <f t="shared" si="53"/>
        <v>1050.5931146150747</v>
      </c>
      <c r="BI31" s="54">
        <f t="shared" si="53"/>
        <v>1109.8190828175807</v>
      </c>
      <c r="BJ31" s="54">
        <f t="shared" si="53"/>
        <v>1159.9971630101556</v>
      </c>
      <c r="BK31" s="55">
        <f t="shared" si="53"/>
        <v>1210.905830702909</v>
      </c>
      <c r="BL31" s="53">
        <f t="shared" ref="BL31:BO31" si="55">BL10-BL23</f>
        <v>1131.8964974216105</v>
      </c>
      <c r="BM31" s="54">
        <f t="shared" si="55"/>
        <v>1190.4265819611114</v>
      </c>
      <c r="BN31" s="54">
        <f t="shared" si="55"/>
        <v>1236.6311995851393</v>
      </c>
      <c r="BO31" s="55">
        <f t="shared" si="55"/>
        <v>1282.0006423224368</v>
      </c>
      <c r="BP31" s="253"/>
      <c r="BQ31" s="53">
        <f t="shared" ref="BQ31:CE31" si="56">BQ10-BQ23</f>
        <v>1382.84</v>
      </c>
      <c r="BR31" s="54">
        <f t="shared" si="56"/>
        <v>1403.1659999999997</v>
      </c>
      <c r="BS31" s="54">
        <f t="shared" si="56"/>
        <v>1508.2760000000001</v>
      </c>
      <c r="BT31" s="54">
        <f t="shared" si="56"/>
        <v>1577.2750000000001</v>
      </c>
      <c r="BU31" s="54">
        <f t="shared" si="56"/>
        <v>1118.6369999999997</v>
      </c>
      <c r="BV31" s="54">
        <f t="shared" si="56"/>
        <v>1799.4219999999998</v>
      </c>
      <c r="BW31" s="54">
        <f t="shared" si="56"/>
        <v>1986.5410000000002</v>
      </c>
      <c r="BX31" s="54">
        <f t="shared" si="56"/>
        <v>1741.0009999999997</v>
      </c>
      <c r="BY31" s="54">
        <f t="shared" si="56"/>
        <v>1692.4110000000003</v>
      </c>
      <c r="BZ31" s="53">
        <f t="shared" si="56"/>
        <v>1830.1879999999996</v>
      </c>
      <c r="CA31" s="54">
        <f t="shared" si="56"/>
        <v>2259.2619999999997</v>
      </c>
      <c r="CB31" s="54">
        <f t="shared" si="56"/>
        <v>2227.1730000000002</v>
      </c>
      <c r="CC31" s="54">
        <f t="shared" si="56"/>
        <v>3061.5960000000005</v>
      </c>
      <c r="CD31" s="54">
        <f t="shared" si="56"/>
        <v>4252.7488532265033</v>
      </c>
      <c r="CE31" s="54">
        <f t="shared" si="56"/>
        <v>4531.3151911457189</v>
      </c>
      <c r="CF31" s="55">
        <f t="shared" ref="CF31" si="57">CF10-CF23</f>
        <v>4840.9549212902975</v>
      </c>
      <c r="CG31" s="23"/>
      <c r="CH31" s="53">
        <f t="shared" ref="CH31:CU31" si="58">CH10-CH23</f>
        <v>1376.6090000000002</v>
      </c>
      <c r="CI31" s="54">
        <f t="shared" si="58"/>
        <v>1473.5329999999999</v>
      </c>
      <c r="CJ31" s="54">
        <f t="shared" si="58"/>
        <v>1484.4150000000004</v>
      </c>
      <c r="CK31" s="54">
        <f t="shared" si="58"/>
        <v>1470.4739999999999</v>
      </c>
      <c r="CL31" s="54">
        <f t="shared" si="58"/>
        <v>1218.1110000000001</v>
      </c>
      <c r="CM31" s="54">
        <f t="shared" si="58"/>
        <v>1913.1189999999999</v>
      </c>
      <c r="CN31" s="54">
        <f t="shared" si="58"/>
        <v>1913.7579999999998</v>
      </c>
      <c r="CO31" s="54">
        <f t="shared" si="58"/>
        <v>1721.895</v>
      </c>
      <c r="CP31" s="54">
        <f t="shared" si="58"/>
        <v>1711.2450000000001</v>
      </c>
      <c r="CQ31" s="54">
        <f t="shared" si="58"/>
        <v>1924.6769999999997</v>
      </c>
      <c r="CR31" s="54">
        <f t="shared" si="58"/>
        <v>2232.9479999999999</v>
      </c>
      <c r="CS31" s="54">
        <f t="shared" si="58"/>
        <v>2398.384</v>
      </c>
      <c r="CT31" s="54">
        <f t="shared" si="58"/>
        <v>3448.2819999999997</v>
      </c>
      <c r="CU31" s="54">
        <f t="shared" si="58"/>
        <v>4268.1519678415789</v>
      </c>
      <c r="CV31" s="55">
        <f t="shared" ref="CV31" si="59">CV10-CV23</f>
        <v>4612.6185739522552</v>
      </c>
      <c r="CW31" s="17"/>
    </row>
    <row r="32" spans="1:112">
      <c r="A32" s="8"/>
      <c r="B32" s="38" t="s">
        <v>151</v>
      </c>
      <c r="C32" s="39"/>
      <c r="D32" s="40">
        <f t="shared" ref="D32:AI32" si="60">D31/D10</f>
        <v>0.57796243471550424</v>
      </c>
      <c r="E32" s="40">
        <f t="shared" si="60"/>
        <v>0.57376856388494113</v>
      </c>
      <c r="F32" s="40">
        <f t="shared" si="60"/>
        <v>0.58074984203730673</v>
      </c>
      <c r="G32" s="41">
        <f t="shared" si="60"/>
        <v>0.58295693826049222</v>
      </c>
      <c r="H32" s="40">
        <f t="shared" si="60"/>
        <v>0.59159471530255503</v>
      </c>
      <c r="I32" s="40">
        <f t="shared" si="60"/>
        <v>0.60731856786242278</v>
      </c>
      <c r="J32" s="40">
        <f t="shared" si="60"/>
        <v>0.60568194151089882</v>
      </c>
      <c r="K32" s="41">
        <f t="shared" si="60"/>
        <v>0.59091818593330747</v>
      </c>
      <c r="L32" s="40">
        <f t="shared" si="60"/>
        <v>0.63817074241734728</v>
      </c>
      <c r="M32" s="40">
        <f t="shared" si="60"/>
        <v>0.60458289189817949</v>
      </c>
      <c r="N32" s="40">
        <f t="shared" si="60"/>
        <v>0.60491293763999543</v>
      </c>
      <c r="O32" s="41">
        <f t="shared" si="60"/>
        <v>0.59962600755041362</v>
      </c>
      <c r="P32" s="40">
        <f t="shared" si="60"/>
        <v>0.61214772873504053</v>
      </c>
      <c r="Q32" s="40">
        <f t="shared" si="60"/>
        <v>0.60988234207041003</v>
      </c>
      <c r="R32" s="40">
        <f t="shared" si="60"/>
        <v>0.60971553265167999</v>
      </c>
      <c r="S32" s="41">
        <f t="shared" si="60"/>
        <v>0.61095723297855598</v>
      </c>
      <c r="T32" s="40">
        <f t="shared" si="60"/>
        <v>0.56445551431167362</v>
      </c>
      <c r="U32" s="40">
        <f t="shared" si="60"/>
        <v>0.55092807131362331</v>
      </c>
      <c r="V32" s="40">
        <f t="shared" si="60"/>
        <v>0.54112575230034698</v>
      </c>
      <c r="W32" s="41">
        <f t="shared" si="60"/>
        <v>0.56307557732680202</v>
      </c>
      <c r="X32" s="40">
        <f t="shared" si="60"/>
        <v>0.61108853815115849</v>
      </c>
      <c r="Y32" s="40">
        <f t="shared" si="60"/>
        <v>0.65023793846522204</v>
      </c>
      <c r="Z32" s="40">
        <f t="shared" si="60"/>
        <v>0.66667869885740472</v>
      </c>
      <c r="AA32" s="41">
        <f t="shared" si="60"/>
        <v>0.67043597968804791</v>
      </c>
      <c r="AB32" s="40">
        <f t="shared" si="60"/>
        <v>0.66186733360420802</v>
      </c>
      <c r="AC32" s="40">
        <f t="shared" si="60"/>
        <v>0.67555325122031407</v>
      </c>
      <c r="AD32" s="40">
        <f t="shared" si="60"/>
        <v>0.67243522249578447</v>
      </c>
      <c r="AE32" s="40">
        <f t="shared" si="60"/>
        <v>0.64305562925374304</v>
      </c>
      <c r="AF32" s="42">
        <f t="shared" si="60"/>
        <v>0.63171814868422271</v>
      </c>
      <c r="AG32" s="40">
        <f t="shared" si="60"/>
        <v>0.65243506830159947</v>
      </c>
      <c r="AH32" s="40">
        <f t="shared" si="60"/>
        <v>0.6557202800479045</v>
      </c>
      <c r="AI32" s="40">
        <f t="shared" si="60"/>
        <v>0.63784886699167154</v>
      </c>
      <c r="AJ32" s="42">
        <f t="shared" ref="AJ32:BK32" si="61">AJ31/AJ10</f>
        <v>0.62733108944375326</v>
      </c>
      <c r="AK32" s="40">
        <f t="shared" si="61"/>
        <v>0.64041714069017819</v>
      </c>
      <c r="AL32" s="40">
        <f t="shared" si="61"/>
        <v>0.64532789851847894</v>
      </c>
      <c r="AM32" s="40">
        <f t="shared" si="61"/>
        <v>0.65602175384474726</v>
      </c>
      <c r="AN32" s="42">
        <f t="shared" si="61"/>
        <v>0.65121498540362099</v>
      </c>
      <c r="AO32" s="40">
        <f t="shared" si="61"/>
        <v>0.66050283930566589</v>
      </c>
      <c r="AP32" s="40">
        <f t="shared" si="61"/>
        <v>0.65446745594653122</v>
      </c>
      <c r="AQ32" s="40">
        <f t="shared" si="61"/>
        <v>0.59691592354654055</v>
      </c>
      <c r="AR32" s="42">
        <f t="shared" si="61"/>
        <v>0.65235250380188237</v>
      </c>
      <c r="AS32" s="40">
        <f t="shared" si="61"/>
        <v>0.66359243817743563</v>
      </c>
      <c r="AT32" s="40">
        <f t="shared" si="61"/>
        <v>0.65909204102552221</v>
      </c>
      <c r="AU32" s="40">
        <f t="shared" si="61"/>
        <v>0.6557490278138226</v>
      </c>
      <c r="AV32" s="1209">
        <f t="shared" si="61"/>
        <v>0.62032104326714999</v>
      </c>
      <c r="AW32" s="1207">
        <f t="shared" si="61"/>
        <v>0.6560417378262533</v>
      </c>
      <c r="AX32" s="1207">
        <f t="shared" si="61"/>
        <v>0.65811398692028777</v>
      </c>
      <c r="AY32" s="1207">
        <f t="shared" si="61"/>
        <v>0.66428031242807317</v>
      </c>
      <c r="AZ32" s="1209">
        <f t="shared" si="61"/>
        <v>0.65874819315170208</v>
      </c>
      <c r="BA32" s="1282">
        <f t="shared" si="61"/>
        <v>0.5578859250406365</v>
      </c>
      <c r="BB32" s="1282">
        <f t="shared" ref="BB32:BD32" si="62">BB31/BB10</f>
        <v>0.53464183744774751</v>
      </c>
      <c r="BC32" s="1440">
        <f t="shared" si="62"/>
        <v>0.6527670536021335</v>
      </c>
      <c r="BD32" s="1442">
        <f t="shared" si="62"/>
        <v>0.68166313715574101</v>
      </c>
      <c r="BE32" s="40">
        <f t="shared" si="61"/>
        <v>0.68646499991149201</v>
      </c>
      <c r="BF32" s="40">
        <f t="shared" si="61"/>
        <v>0.71553639133010427</v>
      </c>
      <c r="BG32" s="41">
        <f t="shared" si="61"/>
        <v>0.71971603490872693</v>
      </c>
      <c r="BH32" s="1422">
        <f t="shared" si="61"/>
        <v>0.70886107933038545</v>
      </c>
      <c r="BI32" s="1420">
        <f t="shared" si="61"/>
        <v>0.71608380825378681</v>
      </c>
      <c r="BJ32" s="1420">
        <f t="shared" si="61"/>
        <v>0.72198437617092015</v>
      </c>
      <c r="BK32" s="1421">
        <f t="shared" si="61"/>
        <v>0.72351106525994013</v>
      </c>
      <c r="BL32" s="1442">
        <f t="shared" ref="BL32:BO32" si="63">BL31/BL10</f>
        <v>0.71337616869318987</v>
      </c>
      <c r="BM32" s="1440">
        <f t="shared" si="63"/>
        <v>0.71980476724123266</v>
      </c>
      <c r="BN32" s="1440">
        <f t="shared" si="63"/>
        <v>0.72487061833030431</v>
      </c>
      <c r="BO32" s="1441">
        <f t="shared" si="63"/>
        <v>0.72569897994329458</v>
      </c>
      <c r="BP32" s="253"/>
      <c r="BQ32" s="1283">
        <f t="shared" ref="BQ32:CE32" si="64">BQ31/BQ10</f>
        <v>0.57888285705674125</v>
      </c>
      <c r="BR32" s="1282">
        <f t="shared" si="64"/>
        <v>0.59889650474472222</v>
      </c>
      <c r="BS32" s="1282">
        <f t="shared" si="64"/>
        <v>0.61194593627432881</v>
      </c>
      <c r="BT32" s="1282">
        <f t="shared" si="64"/>
        <v>0.61065316882255083</v>
      </c>
      <c r="BU32" s="1282">
        <f t="shared" si="64"/>
        <v>0.55518018688694459</v>
      </c>
      <c r="BV32" s="1282">
        <f t="shared" si="64"/>
        <v>0.6516096488035682</v>
      </c>
      <c r="BW32" s="1282">
        <f t="shared" si="64"/>
        <v>0.66365807865513882</v>
      </c>
      <c r="BX32" s="1282">
        <f t="shared" si="64"/>
        <v>0.64454256755105799</v>
      </c>
      <c r="BY32" s="1282">
        <f t="shared" si="64"/>
        <v>0.64260092972252991</v>
      </c>
      <c r="BZ32" s="1442">
        <f t="shared" si="64"/>
        <v>0.63885969324620129</v>
      </c>
      <c r="CA32" s="1440">
        <f t="shared" si="64"/>
        <v>0.65770057978068708</v>
      </c>
      <c r="CB32" s="1440">
        <f t="shared" si="64"/>
        <v>0.6509519908318474</v>
      </c>
      <c r="CC32" s="1440">
        <f t="shared" si="64"/>
        <v>0.59943107228718218</v>
      </c>
      <c r="CD32" s="1440">
        <f t="shared" si="64"/>
        <v>0.70108654341602106</v>
      </c>
      <c r="CE32" s="1440">
        <f t="shared" si="64"/>
        <v>0.71785912377319783</v>
      </c>
      <c r="CF32" s="1441">
        <f t="shared" ref="CF32" si="65">CF31/CF10</f>
        <v>0.72112380835827206</v>
      </c>
      <c r="CG32" s="23"/>
      <c r="CH32" s="42">
        <f t="shared" ref="CH32:CU32" si="66">CH31/CH10</f>
        <v>0.58210079250775304</v>
      </c>
      <c r="CI32" s="40">
        <f t="shared" si="66"/>
        <v>0.61077619688314222</v>
      </c>
      <c r="CJ32" s="40">
        <f t="shared" si="66"/>
        <v>0.60529937427748326</v>
      </c>
      <c r="CK32" s="40">
        <f t="shared" si="66"/>
        <v>0.60127551990500461</v>
      </c>
      <c r="CL32" s="40">
        <f t="shared" si="66"/>
        <v>0.56885933082460272</v>
      </c>
      <c r="CM32" s="1440">
        <f t="shared" si="66"/>
        <v>0.66266127333891234</v>
      </c>
      <c r="CN32" s="1440">
        <f t="shared" si="66"/>
        <v>0.65699992515982497</v>
      </c>
      <c r="CO32" s="1440">
        <f t="shared" si="66"/>
        <v>0.64364661122944</v>
      </c>
      <c r="CP32" s="1440">
        <f t="shared" si="66"/>
        <v>0.6482496923054194</v>
      </c>
      <c r="CQ32" s="1440">
        <f t="shared" si="66"/>
        <v>0.63974191970074323</v>
      </c>
      <c r="CR32" s="1440">
        <f t="shared" si="66"/>
        <v>0.65052446661141106</v>
      </c>
      <c r="CS32" s="1207">
        <f t="shared" si="66"/>
        <v>0.65954374470118904</v>
      </c>
      <c r="CT32" s="1207">
        <f t="shared" si="66"/>
        <v>0.6112156702314453</v>
      </c>
      <c r="CU32" s="1440">
        <f t="shared" si="66"/>
        <v>0.70788976906135825</v>
      </c>
      <c r="CV32" s="1441">
        <f t="shared" ref="CV32" si="67">CV31/CV10</f>
        <v>0.71882889542330963</v>
      </c>
      <c r="CW32" s="17"/>
    </row>
    <row r="33" spans="1:112" ht="15">
      <c r="A33" s="8"/>
      <c r="B33" s="51"/>
      <c r="C33" s="52"/>
      <c r="D33" s="54"/>
      <c r="E33" s="54"/>
      <c r="F33" s="54"/>
      <c r="G33" s="55"/>
      <c r="H33" s="54"/>
      <c r="I33" s="54"/>
      <c r="J33" s="54"/>
      <c r="K33" s="55"/>
      <c r="L33" s="54"/>
      <c r="M33" s="54"/>
      <c r="N33" s="54"/>
      <c r="O33" s="55"/>
      <c r="P33" s="54"/>
      <c r="Q33" s="54"/>
      <c r="R33" s="54"/>
      <c r="S33" s="55"/>
      <c r="T33" s="54"/>
      <c r="U33" s="54"/>
      <c r="V33" s="54"/>
      <c r="W33" s="55"/>
      <c r="X33" s="54"/>
      <c r="Y33" s="54"/>
      <c r="Z33" s="54"/>
      <c r="AA33" s="55"/>
      <c r="AB33" s="54"/>
      <c r="AC33" s="54"/>
      <c r="AD33" s="54"/>
      <c r="AE33" s="54"/>
      <c r="AF33" s="53"/>
      <c r="AG33" s="54"/>
      <c r="AH33" s="54"/>
      <c r="AI33" s="54"/>
      <c r="AJ33" s="53"/>
      <c r="AK33" s="54"/>
      <c r="AL33" s="54"/>
      <c r="AM33" s="54"/>
      <c r="AN33" s="53"/>
      <c r="AO33" s="54"/>
      <c r="AP33" s="54"/>
      <c r="AQ33" s="54"/>
      <c r="AR33" s="53"/>
      <c r="AS33" s="54"/>
      <c r="AT33" s="54"/>
      <c r="AU33" s="1152"/>
      <c r="AV33" s="53"/>
      <c r="AW33" s="54"/>
      <c r="AX33" s="54"/>
      <c r="AY33" s="1152"/>
      <c r="AZ33" s="53"/>
      <c r="BA33" s="54"/>
      <c r="BB33" s="54"/>
      <c r="BC33" s="54"/>
      <c r="BD33" s="53"/>
      <c r="BE33" s="54"/>
      <c r="BF33" s="54"/>
      <c r="BG33" s="55"/>
      <c r="BH33" s="53"/>
      <c r="BI33" s="54"/>
      <c r="BJ33" s="54"/>
      <c r="BK33" s="55"/>
      <c r="BL33" s="53"/>
      <c r="BM33" s="54"/>
      <c r="BN33" s="54"/>
      <c r="BO33" s="55"/>
      <c r="BP33" s="1072"/>
      <c r="BQ33" s="53"/>
      <c r="BR33" s="54"/>
      <c r="BS33" s="54"/>
      <c r="BT33" s="54"/>
      <c r="BU33" s="54"/>
      <c r="BV33" s="54"/>
      <c r="BW33" s="54"/>
      <c r="BX33" s="54"/>
      <c r="BY33" s="54"/>
      <c r="BZ33" s="53"/>
      <c r="CA33" s="54"/>
      <c r="CB33" s="54"/>
      <c r="CC33" s="54"/>
      <c r="CD33" s="54"/>
      <c r="CE33" s="54"/>
      <c r="CF33" s="55"/>
      <c r="CG33" s="23"/>
      <c r="CH33" s="53"/>
      <c r="CI33" s="54"/>
      <c r="CJ33" s="54"/>
      <c r="CK33" s="54"/>
      <c r="CL33" s="54"/>
      <c r="CM33" s="54"/>
      <c r="CN33" s="54"/>
      <c r="CO33" s="54"/>
      <c r="CP33" s="54"/>
      <c r="CQ33" s="54"/>
      <c r="CR33" s="54"/>
      <c r="CS33" s="54"/>
      <c r="CT33" s="54"/>
      <c r="CU33" s="54"/>
      <c r="CV33" s="55"/>
      <c r="CW33" s="17"/>
    </row>
    <row r="34" spans="1:112" ht="15" hidden="1" outlineLevel="1">
      <c r="A34" s="8"/>
      <c r="B34" s="51" t="s">
        <v>1</v>
      </c>
      <c r="C34" s="52"/>
      <c r="D34" s="54">
        <f t="shared" ref="D34:BA34" si="68">D10-D28</f>
        <v>335.52799999999991</v>
      </c>
      <c r="E34" s="54">
        <f t="shared" si="68"/>
        <v>346.399</v>
      </c>
      <c r="F34" s="54">
        <f t="shared" si="68"/>
        <v>338.23800000000006</v>
      </c>
      <c r="G34" s="55">
        <f t="shared" si="68"/>
        <v>362.67500000000001</v>
      </c>
      <c r="H34" s="54">
        <f t="shared" si="68"/>
        <v>329.29699999999997</v>
      </c>
      <c r="I34" s="54">
        <f t="shared" si="68"/>
        <v>350.82</v>
      </c>
      <c r="J34" s="54">
        <f t="shared" si="68"/>
        <v>362.75199999999995</v>
      </c>
      <c r="K34" s="55">
        <f t="shared" si="68"/>
        <v>360.29700000000003</v>
      </c>
      <c r="L34" s="54">
        <f t="shared" si="68"/>
        <v>399.66399999999999</v>
      </c>
      <c r="M34" s="54">
        <f t="shared" si="68"/>
        <v>361.22799999999995</v>
      </c>
      <c r="N34" s="54">
        <f t="shared" si="68"/>
        <v>373.49200000000008</v>
      </c>
      <c r="O34" s="55">
        <f t="shared" si="68"/>
        <v>373.89200000000005</v>
      </c>
      <c r="P34" s="54">
        <f t="shared" si="68"/>
        <v>375.803</v>
      </c>
      <c r="Q34" s="54">
        <f t="shared" si="68"/>
        <v>396.02100000000007</v>
      </c>
      <c r="R34" s="54">
        <f t="shared" si="68"/>
        <v>401.79399999999998</v>
      </c>
      <c r="S34" s="55">
        <f t="shared" si="68"/>
        <v>403.65700000000004</v>
      </c>
      <c r="T34" s="54">
        <f t="shared" si="68"/>
        <v>269.00200000000001</v>
      </c>
      <c r="U34" s="54">
        <f t="shared" si="68"/>
        <v>261.55200000000002</v>
      </c>
      <c r="V34" s="54">
        <f t="shared" si="68"/>
        <v>266.22899999999998</v>
      </c>
      <c r="W34" s="55">
        <f t="shared" si="68"/>
        <v>321.85400000000004</v>
      </c>
      <c r="X34" s="54">
        <f t="shared" si="68"/>
        <v>368.47599999999994</v>
      </c>
      <c r="Y34" s="54">
        <f t="shared" si="68"/>
        <v>434.51499999999999</v>
      </c>
      <c r="Z34" s="54">
        <f t="shared" si="68"/>
        <v>480.202</v>
      </c>
      <c r="AA34" s="55">
        <f t="shared" si="68"/>
        <v>516.22900000000004</v>
      </c>
      <c r="AB34" s="54">
        <f t="shared" si="68"/>
        <v>482.173</v>
      </c>
      <c r="AC34" s="54">
        <f t="shared" si="68"/>
        <v>534.21399999999994</v>
      </c>
      <c r="AD34" s="54">
        <f t="shared" si="68"/>
        <v>509.64000000000004</v>
      </c>
      <c r="AE34" s="54">
        <f t="shared" si="68"/>
        <v>460.51400000000001</v>
      </c>
      <c r="AF34" s="53">
        <f t="shared" si="68"/>
        <v>409.39</v>
      </c>
      <c r="AG34" s="54">
        <f t="shared" si="68"/>
        <v>440.45500000000004</v>
      </c>
      <c r="AH34" s="54">
        <f t="shared" si="68"/>
        <v>447.87399999999997</v>
      </c>
      <c r="AI34" s="54">
        <f t="shared" si="68"/>
        <v>443.28200000000004</v>
      </c>
      <c r="AJ34" s="53">
        <f t="shared" si="68"/>
        <v>390.28399999999999</v>
      </c>
      <c r="AK34" s="54">
        <f t="shared" si="68"/>
        <v>422.19499999999999</v>
      </c>
      <c r="AL34" s="54">
        <f t="shared" si="68"/>
        <v>435.06200000000001</v>
      </c>
      <c r="AM34" s="54">
        <f t="shared" si="68"/>
        <v>444.87</v>
      </c>
      <c r="AN34" s="53">
        <f t="shared" si="68"/>
        <v>409.11800000000005</v>
      </c>
      <c r="AO34" s="54">
        <f t="shared" si="68"/>
        <v>458.74299999999994</v>
      </c>
      <c r="AP34" s="54">
        <f t="shared" si="68"/>
        <v>480.11199999999997</v>
      </c>
      <c r="AQ34" s="54">
        <f t="shared" si="68"/>
        <v>540.3119999999999</v>
      </c>
      <c r="AR34" s="53">
        <f t="shared" si="68"/>
        <v>506.58</v>
      </c>
      <c r="AS34" s="54">
        <f t="shared" si="68"/>
        <v>546.34199999999998</v>
      </c>
      <c r="AT34" s="54">
        <f t="shared" si="68"/>
        <v>570.34400000000005</v>
      </c>
      <c r="AU34" s="54">
        <f t="shared" si="68"/>
        <v>643.19499999999994</v>
      </c>
      <c r="AV34" s="53">
        <f t="shared" si="68"/>
        <v>478.73799999999994</v>
      </c>
      <c r="AW34" s="54">
        <f t="shared" si="68"/>
        <v>512.37899999999991</v>
      </c>
      <c r="AX34" s="54">
        <f t="shared" si="68"/>
        <v>574.178</v>
      </c>
      <c r="AY34" s="54">
        <f t="shared" si="68"/>
        <v>668.72700000000009</v>
      </c>
      <c r="AZ34" s="53">
        <f t="shared" si="68"/>
        <v>650.68200000000002</v>
      </c>
      <c r="BA34" s="54">
        <f t="shared" si="68"/>
        <v>837.65499999999997</v>
      </c>
      <c r="BB34" s="54">
        <f t="shared" ref="BB34:BD34" si="69">BB10-BB28</f>
        <v>1027.96</v>
      </c>
      <c r="BC34" s="54">
        <f t="shared" si="69"/>
        <v>1091.999</v>
      </c>
      <c r="BD34" s="53">
        <f t="shared" si="69"/>
        <v>1078.9659999999999</v>
      </c>
      <c r="BE34" s="54">
        <f t="shared" ref="BE34:BK34" si="70">BE10-BE28</f>
        <v>1053.3608541134849</v>
      </c>
      <c r="BF34" s="54">
        <f t="shared" si="70"/>
        <v>1082.9569794152708</v>
      </c>
      <c r="BG34" s="55">
        <f t="shared" si="70"/>
        <v>1125.2410196977476</v>
      </c>
      <c r="BH34" s="53">
        <f t="shared" si="70"/>
        <v>1050.5931146150747</v>
      </c>
      <c r="BI34" s="54">
        <f t="shared" si="70"/>
        <v>1109.8190828175807</v>
      </c>
      <c r="BJ34" s="54">
        <f t="shared" si="70"/>
        <v>1159.9971630101556</v>
      </c>
      <c r="BK34" s="55">
        <f t="shared" si="70"/>
        <v>1210.905830702909</v>
      </c>
      <c r="BL34" s="53">
        <f t="shared" ref="BL34:BO34" si="71">BL10-BL28</f>
        <v>1131.8964974216105</v>
      </c>
      <c r="BM34" s="54">
        <f t="shared" si="71"/>
        <v>1190.4265819611114</v>
      </c>
      <c r="BN34" s="54">
        <f t="shared" si="71"/>
        <v>1236.6311995851393</v>
      </c>
      <c r="BO34" s="55">
        <f t="shared" si="71"/>
        <v>1282.0006423224368</v>
      </c>
      <c r="BP34" s="253"/>
      <c r="BQ34" s="53">
        <f t="shared" ref="BQ34:CE34" si="72">BQ10-BQ28</f>
        <v>1382.84</v>
      </c>
      <c r="BR34" s="54">
        <f t="shared" si="72"/>
        <v>1403.1659999999997</v>
      </c>
      <c r="BS34" s="54">
        <f t="shared" si="72"/>
        <v>1508.2760000000001</v>
      </c>
      <c r="BT34" s="54">
        <f t="shared" si="72"/>
        <v>1577.2750000000001</v>
      </c>
      <c r="BU34" s="54">
        <f t="shared" si="72"/>
        <v>1118.6369999999997</v>
      </c>
      <c r="BV34" s="54">
        <f t="shared" si="72"/>
        <v>1799.4219999999998</v>
      </c>
      <c r="BW34" s="54">
        <f t="shared" si="72"/>
        <v>1986.5410000000002</v>
      </c>
      <c r="BX34" s="54">
        <f t="shared" si="72"/>
        <v>1741.0009999999997</v>
      </c>
      <c r="BY34" s="54">
        <f t="shared" si="72"/>
        <v>1692.4110000000003</v>
      </c>
      <c r="BZ34" s="53">
        <f t="shared" si="72"/>
        <v>1888.2849999999996</v>
      </c>
      <c r="CA34" s="54">
        <f t="shared" si="72"/>
        <v>2266.4609999999998</v>
      </c>
      <c r="CB34" s="54">
        <f t="shared" si="72"/>
        <v>2234.0219999999999</v>
      </c>
      <c r="CC34" s="54">
        <f t="shared" si="72"/>
        <v>3608.2960000000007</v>
      </c>
      <c r="CD34" s="54">
        <f t="shared" si="72"/>
        <v>4340.5248532265032</v>
      </c>
      <c r="CE34" s="54">
        <f t="shared" si="72"/>
        <v>4531.3151911457189</v>
      </c>
      <c r="CF34" s="55">
        <f t="shared" ref="CF34" si="73">CF10-CF28</f>
        <v>4840.9549212902975</v>
      </c>
      <c r="CG34" s="23"/>
      <c r="CH34" s="53">
        <f t="shared" ref="CH34:CU34" si="74">CH10-CH28</f>
        <v>1376.6090000000002</v>
      </c>
      <c r="CI34" s="54">
        <f t="shared" si="74"/>
        <v>1473.5329999999999</v>
      </c>
      <c r="CJ34" s="54">
        <f t="shared" si="74"/>
        <v>1484.4150000000004</v>
      </c>
      <c r="CK34" s="54">
        <f t="shared" si="74"/>
        <v>1470.4739999999999</v>
      </c>
      <c r="CL34" s="54">
        <f t="shared" si="74"/>
        <v>1218.1110000000001</v>
      </c>
      <c r="CM34" s="54">
        <f t="shared" si="74"/>
        <v>1913.1189999999999</v>
      </c>
      <c r="CN34" s="54">
        <f t="shared" si="74"/>
        <v>1913.7579999999998</v>
      </c>
      <c r="CO34" s="54">
        <f t="shared" si="74"/>
        <v>1721.895</v>
      </c>
      <c r="CP34" s="54">
        <f t="shared" si="74"/>
        <v>1711.2450000000001</v>
      </c>
      <c r="CQ34" s="54">
        <f t="shared" si="74"/>
        <v>1985.7469999999998</v>
      </c>
      <c r="CR34" s="54">
        <f t="shared" si="74"/>
        <v>2238.6189999999997</v>
      </c>
      <c r="CS34" s="54">
        <f t="shared" si="74"/>
        <v>2405.9660000000003</v>
      </c>
      <c r="CT34" s="54">
        <f t="shared" si="74"/>
        <v>4036.58</v>
      </c>
      <c r="CU34" s="54">
        <f t="shared" si="74"/>
        <v>4312.1519678415789</v>
      </c>
      <c r="CV34" s="55">
        <f t="shared" ref="CV34" si="75">CV10-CV28</f>
        <v>4612.6185739522552</v>
      </c>
      <c r="CW34" s="1097"/>
    </row>
    <row r="35" spans="1:112" hidden="1" outlineLevel="1">
      <c r="A35" s="8"/>
      <c r="B35" s="38" t="s">
        <v>2</v>
      </c>
      <c r="C35" s="39"/>
      <c r="D35" s="40">
        <f t="shared" ref="D35:AO35" si="76">D34/D10</f>
        <v>0.57796243471550424</v>
      </c>
      <c r="E35" s="40">
        <f t="shared" si="76"/>
        <v>0.57376856388494113</v>
      </c>
      <c r="F35" s="40">
        <f t="shared" si="76"/>
        <v>0.58074984203730673</v>
      </c>
      <c r="G35" s="41">
        <f t="shared" si="76"/>
        <v>0.58295693826049222</v>
      </c>
      <c r="H35" s="40">
        <f t="shared" si="76"/>
        <v>0.59159471530255503</v>
      </c>
      <c r="I35" s="40">
        <f t="shared" si="76"/>
        <v>0.60731856786242278</v>
      </c>
      <c r="J35" s="40">
        <f t="shared" si="76"/>
        <v>0.60568194151089882</v>
      </c>
      <c r="K35" s="41">
        <f t="shared" si="76"/>
        <v>0.59091818593330747</v>
      </c>
      <c r="L35" s="40">
        <f t="shared" si="76"/>
        <v>0.63817074241734728</v>
      </c>
      <c r="M35" s="40">
        <f t="shared" si="76"/>
        <v>0.60458289189817949</v>
      </c>
      <c r="N35" s="40">
        <f t="shared" si="76"/>
        <v>0.60491293763999543</v>
      </c>
      <c r="O35" s="41">
        <f t="shared" si="76"/>
        <v>0.59962600755041362</v>
      </c>
      <c r="P35" s="40">
        <f t="shared" si="76"/>
        <v>0.61214772873504053</v>
      </c>
      <c r="Q35" s="40">
        <f t="shared" si="76"/>
        <v>0.60988234207041003</v>
      </c>
      <c r="R35" s="40">
        <f t="shared" si="76"/>
        <v>0.60971553265167999</v>
      </c>
      <c r="S35" s="41">
        <f t="shared" si="76"/>
        <v>0.61095723297855598</v>
      </c>
      <c r="T35" s="40">
        <f t="shared" si="76"/>
        <v>0.56445551431167362</v>
      </c>
      <c r="U35" s="40">
        <f t="shared" si="76"/>
        <v>0.55092807131362331</v>
      </c>
      <c r="V35" s="40">
        <f t="shared" si="76"/>
        <v>0.54112575230034698</v>
      </c>
      <c r="W35" s="41">
        <f t="shared" si="76"/>
        <v>0.56307557732680202</v>
      </c>
      <c r="X35" s="40">
        <f t="shared" si="76"/>
        <v>0.61108853815115849</v>
      </c>
      <c r="Y35" s="40">
        <f t="shared" si="76"/>
        <v>0.65023793846522204</v>
      </c>
      <c r="Z35" s="40">
        <f t="shared" si="76"/>
        <v>0.66667869885740472</v>
      </c>
      <c r="AA35" s="41">
        <f t="shared" si="76"/>
        <v>0.67043597968804791</v>
      </c>
      <c r="AB35" s="40">
        <f t="shared" si="76"/>
        <v>0.66186733360420802</v>
      </c>
      <c r="AC35" s="40">
        <f t="shared" si="76"/>
        <v>0.67555325122031407</v>
      </c>
      <c r="AD35" s="40">
        <f t="shared" si="76"/>
        <v>0.67243522249578447</v>
      </c>
      <c r="AE35" s="40">
        <f t="shared" si="76"/>
        <v>0.64305562925374304</v>
      </c>
      <c r="AF35" s="42">
        <f t="shared" si="76"/>
        <v>0.63171814868422271</v>
      </c>
      <c r="AG35" s="40">
        <f t="shared" si="76"/>
        <v>0.65243506830159947</v>
      </c>
      <c r="AH35" s="40">
        <f t="shared" si="76"/>
        <v>0.6557202800479045</v>
      </c>
      <c r="AI35" s="40">
        <f t="shared" si="76"/>
        <v>0.63784886699167154</v>
      </c>
      <c r="AJ35" s="42">
        <f t="shared" si="76"/>
        <v>0.62733108944375326</v>
      </c>
      <c r="AK35" s="40">
        <f t="shared" si="76"/>
        <v>0.64041714069017819</v>
      </c>
      <c r="AL35" s="40">
        <f t="shared" si="76"/>
        <v>0.64532789851847894</v>
      </c>
      <c r="AM35" s="40">
        <f t="shared" si="76"/>
        <v>0.65602175384474726</v>
      </c>
      <c r="AN35" s="42">
        <f t="shared" si="76"/>
        <v>0.65121498540362099</v>
      </c>
      <c r="AO35" s="40">
        <f t="shared" si="76"/>
        <v>0.66050283930566589</v>
      </c>
      <c r="AP35" s="40">
        <f>AP34/722.36</f>
        <v>0.66464366797718588</v>
      </c>
      <c r="AQ35" s="40">
        <f t="shared" ref="AQ35:AZ35" si="77">AQ34/AQ10</f>
        <v>0.66357260143420849</v>
      </c>
      <c r="AR35" s="42">
        <f t="shared" si="77"/>
        <v>0.65620360991002424</v>
      </c>
      <c r="AS35" s="40">
        <f t="shared" si="77"/>
        <v>0.66544379606318482</v>
      </c>
      <c r="AT35" s="40">
        <f t="shared" si="77"/>
        <v>0.66060588511232221</v>
      </c>
      <c r="AU35" s="40">
        <f t="shared" si="77"/>
        <v>0.6571784429082006</v>
      </c>
      <c r="AV35" s="1209">
        <f t="shared" si="77"/>
        <v>0.6221990593024177</v>
      </c>
      <c r="AW35" s="1207">
        <f t="shared" si="77"/>
        <v>0.65793704399010733</v>
      </c>
      <c r="AX35" s="1207">
        <f t="shared" si="77"/>
        <v>0.66028512254611649</v>
      </c>
      <c r="AY35" s="1207">
        <f t="shared" si="77"/>
        <v>0.66631294818871234</v>
      </c>
      <c r="AZ35" s="1209">
        <f t="shared" si="77"/>
        <v>0.66096059826359721</v>
      </c>
      <c r="BA35" s="1282">
        <f>BA34/BA21</f>
        <v>0.6929979209772813</v>
      </c>
      <c r="BB35" s="1282">
        <f>BB34/BB21</f>
        <v>0.70481693930247835</v>
      </c>
      <c r="BC35" s="1440">
        <f>BC34/BC21</f>
        <v>0.70855194430205626</v>
      </c>
      <c r="BD35" s="1442">
        <f t="shared" ref="BD35" si="78">BD34/BD10</f>
        <v>0.71048923235771322</v>
      </c>
      <c r="BE35" s="40">
        <f t="shared" ref="BE35:BK35" si="79">BE34/BE10</f>
        <v>0.71638934250216435</v>
      </c>
      <c r="BF35" s="40">
        <f t="shared" si="79"/>
        <v>0.71553639133010427</v>
      </c>
      <c r="BG35" s="41">
        <f t="shared" si="79"/>
        <v>0.71971603490872693</v>
      </c>
      <c r="BH35" s="1422">
        <f t="shared" si="79"/>
        <v>0.70886107933038545</v>
      </c>
      <c r="BI35" s="1420">
        <f t="shared" si="79"/>
        <v>0.71608380825378681</v>
      </c>
      <c r="BJ35" s="1420">
        <f t="shared" si="79"/>
        <v>0.72198437617092015</v>
      </c>
      <c r="BK35" s="1421">
        <f t="shared" si="79"/>
        <v>0.72351106525994013</v>
      </c>
      <c r="BL35" s="1442">
        <f t="shared" ref="BL35:BO35" si="80">BL34/BL10</f>
        <v>0.71337616869318987</v>
      </c>
      <c r="BM35" s="1440">
        <f t="shared" si="80"/>
        <v>0.71980476724123266</v>
      </c>
      <c r="BN35" s="1440">
        <f t="shared" si="80"/>
        <v>0.72487061833030431</v>
      </c>
      <c r="BO35" s="1441">
        <f t="shared" si="80"/>
        <v>0.72569897994329458</v>
      </c>
      <c r="BP35" s="253"/>
      <c r="BQ35" s="1283">
        <f t="shared" ref="BQ35:CB35" si="81">BQ34/BQ10</f>
        <v>0.57888285705674125</v>
      </c>
      <c r="BR35" s="1282">
        <f t="shared" si="81"/>
        <v>0.59889650474472222</v>
      </c>
      <c r="BS35" s="1282">
        <f t="shared" si="81"/>
        <v>0.61194593627432881</v>
      </c>
      <c r="BT35" s="1282">
        <f t="shared" si="81"/>
        <v>0.61065316882255083</v>
      </c>
      <c r="BU35" s="1282">
        <f t="shared" si="81"/>
        <v>0.55518018688694459</v>
      </c>
      <c r="BV35" s="1282">
        <f t="shared" si="81"/>
        <v>0.6516096488035682</v>
      </c>
      <c r="BW35" s="1282">
        <f t="shared" si="81"/>
        <v>0.66365807865513882</v>
      </c>
      <c r="BX35" s="1282">
        <f t="shared" si="81"/>
        <v>0.64454256755105799</v>
      </c>
      <c r="BY35" s="1282">
        <f t="shared" si="81"/>
        <v>0.64260092972252991</v>
      </c>
      <c r="BZ35" s="1442">
        <f t="shared" si="81"/>
        <v>0.65913948504820441</v>
      </c>
      <c r="CA35" s="1440">
        <f t="shared" si="81"/>
        <v>0.65979630239888776</v>
      </c>
      <c r="CB35" s="1440">
        <f t="shared" si="81"/>
        <v>0.65295379768978212</v>
      </c>
      <c r="CC35" s="1440">
        <f>CC34/CC21</f>
        <v>0.69486011310193019</v>
      </c>
      <c r="CD35" s="1440">
        <f>CD34/CD21</f>
        <v>0.71555684828441124</v>
      </c>
      <c r="CE35" s="1440">
        <f>CE34/CE21</f>
        <v>0.71785912377319783</v>
      </c>
      <c r="CF35" s="1441">
        <f>CF34/CF21</f>
        <v>0.72112380835827206</v>
      </c>
      <c r="CG35" s="23"/>
      <c r="CH35" s="42">
        <f t="shared" ref="CH35:CS35" si="82">CH34/CH10</f>
        <v>0.58210079250775304</v>
      </c>
      <c r="CI35" s="40">
        <f t="shared" si="82"/>
        <v>0.61077619688314222</v>
      </c>
      <c r="CJ35" s="40">
        <f t="shared" si="82"/>
        <v>0.60529937427748326</v>
      </c>
      <c r="CK35" s="40">
        <f t="shared" si="82"/>
        <v>0.60127551990500461</v>
      </c>
      <c r="CL35" s="40">
        <f t="shared" si="82"/>
        <v>0.56885933082460272</v>
      </c>
      <c r="CM35" s="1440">
        <f t="shared" si="82"/>
        <v>0.66266127333891234</v>
      </c>
      <c r="CN35" s="1440">
        <f t="shared" si="82"/>
        <v>0.65699992515982497</v>
      </c>
      <c r="CO35" s="1440">
        <f t="shared" si="82"/>
        <v>0.64364661122944</v>
      </c>
      <c r="CP35" s="1440">
        <f t="shared" si="82"/>
        <v>0.6482496923054194</v>
      </c>
      <c r="CQ35" s="1440">
        <f t="shared" si="82"/>
        <v>0.66004093041065692</v>
      </c>
      <c r="CR35" s="1440">
        <f t="shared" si="82"/>
        <v>0.65217659834495489</v>
      </c>
      <c r="CS35" s="1207">
        <f t="shared" si="82"/>
        <v>0.661628757223089</v>
      </c>
      <c r="CT35" s="1207">
        <f>CT34/CT21</f>
        <v>0.7048316460954428</v>
      </c>
      <c r="CU35" s="1440">
        <f>CU34/CU21</f>
        <v>0.71518734189226452</v>
      </c>
      <c r="CV35" s="1441">
        <f>CV34/CV21</f>
        <v>0.71882889542330963</v>
      </c>
      <c r="CW35" s="17"/>
    </row>
    <row r="36" spans="1:112" hidden="1" outlineLevel="1">
      <c r="A36" s="8"/>
      <c r="B36" s="26"/>
      <c r="C36" s="27"/>
      <c r="D36" s="45"/>
      <c r="E36" s="45"/>
      <c r="F36" s="45"/>
      <c r="G36" s="46"/>
      <c r="H36" s="45"/>
      <c r="I36" s="45"/>
      <c r="J36" s="45"/>
      <c r="K36" s="46"/>
      <c r="L36" s="45"/>
      <c r="M36" s="45"/>
      <c r="N36" s="45"/>
      <c r="O36" s="46"/>
      <c r="P36" s="45"/>
      <c r="Q36" s="45"/>
      <c r="R36" s="45"/>
      <c r="S36" s="46"/>
      <c r="T36" s="45"/>
      <c r="U36" s="45"/>
      <c r="V36" s="45"/>
      <c r="W36" s="46"/>
      <c r="X36" s="45"/>
      <c r="Y36" s="45"/>
      <c r="Z36" s="45"/>
      <c r="AA36" s="46"/>
      <c r="AB36" s="45"/>
      <c r="AC36" s="45"/>
      <c r="AD36" s="45"/>
      <c r="AE36" s="45"/>
      <c r="AF36" s="47"/>
      <c r="AG36" s="45"/>
      <c r="AH36" s="45"/>
      <c r="AI36" s="45"/>
      <c r="AJ36" s="47"/>
      <c r="AK36" s="45"/>
      <c r="AL36" s="45"/>
      <c r="AM36" s="45"/>
      <c r="AN36" s="47"/>
      <c r="AO36" s="45"/>
      <c r="AP36" s="45"/>
      <c r="AQ36" s="45"/>
      <c r="AR36" s="47"/>
      <c r="AS36" s="45"/>
      <c r="AT36" s="45"/>
      <c r="AU36" s="1153"/>
      <c r="AV36" s="47"/>
      <c r="AW36" s="45"/>
      <c r="AX36" s="45"/>
      <c r="AY36" s="1153"/>
      <c r="AZ36" s="47"/>
      <c r="BA36" s="45"/>
      <c r="BB36" s="45"/>
      <c r="BC36" s="45"/>
      <c r="BD36" s="47"/>
      <c r="BE36" s="45"/>
      <c r="BF36" s="45"/>
      <c r="BG36" s="46"/>
      <c r="BH36" s="47"/>
      <c r="BI36" s="45"/>
      <c r="BJ36" s="45"/>
      <c r="BK36" s="46"/>
      <c r="BL36" s="47"/>
      <c r="BM36" s="45"/>
      <c r="BN36" s="45"/>
      <c r="BO36" s="46"/>
      <c r="BP36" s="253"/>
      <c r="BQ36" s="58"/>
      <c r="BR36" s="48"/>
      <c r="BS36" s="48"/>
      <c r="BT36" s="48"/>
      <c r="BU36" s="48"/>
      <c r="BV36" s="48"/>
      <c r="BW36" s="48"/>
      <c r="BX36" s="48"/>
      <c r="BY36" s="48"/>
      <c r="BZ36" s="58"/>
      <c r="CA36" s="48"/>
      <c r="CB36" s="48"/>
      <c r="CC36" s="48"/>
      <c r="CD36" s="48"/>
      <c r="CE36" s="48"/>
      <c r="CF36" s="49"/>
      <c r="CG36" s="23"/>
      <c r="CH36" s="101"/>
      <c r="CI36" s="102"/>
      <c r="CJ36" s="102"/>
      <c r="CK36" s="102"/>
      <c r="CL36" s="102"/>
      <c r="CM36" s="102"/>
      <c r="CN36" s="102"/>
      <c r="CO36" s="102"/>
      <c r="CP36" s="102"/>
      <c r="CQ36" s="102"/>
      <c r="CR36" s="102"/>
      <c r="CS36" s="102"/>
      <c r="CT36" s="102"/>
      <c r="CU36" s="102"/>
      <c r="CV36" s="103"/>
      <c r="CW36" s="17"/>
    </row>
    <row r="37" spans="1:112" ht="14.25" customHeight="1" collapsed="1">
      <c r="A37" s="8"/>
      <c r="B37" s="26" t="s">
        <v>162</v>
      </c>
      <c r="C37" s="27"/>
      <c r="D37" s="33">
        <v>127.53400000000001</v>
      </c>
      <c r="E37" s="33">
        <v>126.642</v>
      </c>
      <c r="F37" s="33">
        <v>119.217</v>
      </c>
      <c r="G37" s="34">
        <v>123.70399999999999</v>
      </c>
      <c r="H37" s="33">
        <v>114.90600000000001</v>
      </c>
      <c r="I37" s="33">
        <v>115.32</v>
      </c>
      <c r="J37" s="33">
        <v>118.169</v>
      </c>
      <c r="K37" s="34">
        <v>121.001</v>
      </c>
      <c r="L37" s="33">
        <v>123.077</v>
      </c>
      <c r="M37" s="33">
        <v>126.696</v>
      </c>
      <c r="N37" s="33">
        <v>128.09299999999999</v>
      </c>
      <c r="O37" s="34">
        <v>131.68700000000001</v>
      </c>
      <c r="P37" s="33">
        <v>129.53899999999999</v>
      </c>
      <c r="Q37" s="33">
        <v>134.65299999999999</v>
      </c>
      <c r="R37" s="33">
        <v>135.83699999999999</v>
      </c>
      <c r="S37" s="34">
        <v>133.45099999999999</v>
      </c>
      <c r="T37" s="33">
        <v>119.828</v>
      </c>
      <c r="U37" s="33">
        <v>109.44799999999999</v>
      </c>
      <c r="V37" s="33">
        <v>107.578</v>
      </c>
      <c r="W37" s="34">
        <v>110.126</v>
      </c>
      <c r="X37" s="33">
        <v>114.398</v>
      </c>
      <c r="Y37" s="33">
        <v>122.78</v>
      </c>
      <c r="Z37" s="33">
        <v>126.98699999999999</v>
      </c>
      <c r="AA37" s="34">
        <v>128.13999999999999</v>
      </c>
      <c r="AB37" s="33">
        <v>122.745</v>
      </c>
      <c r="AC37" s="33">
        <v>130.46</v>
      </c>
      <c r="AD37" s="33">
        <v>128.476</v>
      </c>
      <c r="AE37" s="33">
        <v>123.889</v>
      </c>
      <c r="AF37" s="638">
        <v>124.378</v>
      </c>
      <c r="AG37" s="33">
        <v>127.53700000000001</v>
      </c>
      <c r="AH37" s="33">
        <v>129.69399999999999</v>
      </c>
      <c r="AI37" s="33">
        <v>130.39400000000001</v>
      </c>
      <c r="AJ37" s="638">
        <v>125.164</v>
      </c>
      <c r="AK37" s="33">
        <v>128.11000000000001</v>
      </c>
      <c r="AL37" s="33">
        <v>128.947</v>
      </c>
      <c r="AM37" s="33">
        <v>131.03399999999999</v>
      </c>
      <c r="AN37" s="638">
        <v>128.64599999999999</v>
      </c>
      <c r="AO37" s="33">
        <v>136.25800000000001</v>
      </c>
      <c r="AP37" s="33">
        <v>140.095</v>
      </c>
      <c r="AQ37" s="33">
        <v>154.797</v>
      </c>
      <c r="AR37" s="638">
        <v>151.70599999999999</v>
      </c>
      <c r="AS37" s="33">
        <v>154.233</v>
      </c>
      <c r="AT37" s="33">
        <v>160.78399999999999</v>
      </c>
      <c r="AU37" s="33">
        <v>170.73599999999999</v>
      </c>
      <c r="AV37" s="638">
        <v>157.428</v>
      </c>
      <c r="AW37" s="33">
        <v>160.23500000000001</v>
      </c>
      <c r="AX37" s="33">
        <v>163.227</v>
      </c>
      <c r="AY37" s="33">
        <v>172.92599999999999</v>
      </c>
      <c r="AZ37" s="638">
        <v>183.95400000000001</v>
      </c>
      <c r="BA37" s="33">
        <v>235.232</v>
      </c>
      <c r="BB37" s="33">
        <v>275.67</v>
      </c>
      <c r="BC37" s="33">
        <v>273.74599999999998</v>
      </c>
      <c r="BD37" s="638">
        <v>288.59699999999998</v>
      </c>
      <c r="BE37" s="35">
        <f t="shared" ref="BE37:BK37" si="83">BD37*(1+BE12*BE39)</f>
        <v>270.25860003071853</v>
      </c>
      <c r="BF37" s="35">
        <f t="shared" si="83"/>
        <v>282.14554227780593</v>
      </c>
      <c r="BG37" s="36">
        <f t="shared" si="83"/>
        <v>291.45941697912656</v>
      </c>
      <c r="BH37" s="37">
        <f t="shared" si="83"/>
        <v>283.87533416966085</v>
      </c>
      <c r="BI37" s="35">
        <f t="shared" si="83"/>
        <v>290.36455393773241</v>
      </c>
      <c r="BJ37" s="35">
        <f t="shared" si="83"/>
        <v>295.68847903519952</v>
      </c>
      <c r="BK37" s="36">
        <f t="shared" si="83"/>
        <v>301.85124374377955</v>
      </c>
      <c r="BL37" s="37">
        <f t="shared" ref="BL37" si="84">BK37*(1+BL12*BL39)</f>
        <v>297.14524813811425</v>
      </c>
      <c r="BM37" s="35">
        <f t="shared" ref="BM37" si="85">BL37*(1+BM12*BM39)</f>
        <v>303.43238064291859</v>
      </c>
      <c r="BN37" s="35">
        <f t="shared" ref="BN37" si="86">BM37*(1+BN12*BN39)</f>
        <v>308.21957492223464</v>
      </c>
      <c r="BO37" s="36">
        <f t="shared" ref="BO37" si="87">BN37*(1+BO12*BO39)</f>
        <v>313.69117940177165</v>
      </c>
      <c r="BP37" s="253"/>
      <c r="BQ37" s="37">
        <f>SUM(D37:G37)</f>
        <v>497.09699999999998</v>
      </c>
      <c r="BR37" s="35">
        <f>SUM(H37:K37)</f>
        <v>469.39599999999996</v>
      </c>
      <c r="BS37" s="35">
        <f>SUM(L37:O37)</f>
        <v>509.553</v>
      </c>
      <c r="BT37" s="35">
        <f>SUM(P37:S37)</f>
        <v>533.48</v>
      </c>
      <c r="BU37" s="35">
        <f>SUM(T37:W37)</f>
        <v>446.98</v>
      </c>
      <c r="BV37" s="35">
        <f>SUM(X37:AA37)</f>
        <v>492.30499999999995</v>
      </c>
      <c r="BW37" s="35">
        <f>SUM(AB37:AE37)</f>
        <v>505.57000000000005</v>
      </c>
      <c r="BX37" s="35">
        <f>SUM(AF37:AI37)</f>
        <v>512.00300000000004</v>
      </c>
      <c r="BY37" s="35">
        <f>SUM(AJ37:AM37)</f>
        <v>513.255</v>
      </c>
      <c r="BZ37" s="37">
        <f>SUM(AN37:AQ37)</f>
        <v>559.79600000000005</v>
      </c>
      <c r="CA37" s="35">
        <f>SUM(AR37:AU37)</f>
        <v>637.45899999999995</v>
      </c>
      <c r="CB37" s="35">
        <f>SUM(AV37:AY37)</f>
        <v>653.81600000000003</v>
      </c>
      <c r="CC37" s="35">
        <f>SUM(AZ37:BC37)</f>
        <v>968.60199999999998</v>
      </c>
      <c r="CD37" s="35">
        <f>SUM(BD37:BG37)</f>
        <v>1132.460559287651</v>
      </c>
      <c r="CE37" s="35">
        <f>SUM(BH37:BK37)</f>
        <v>1171.7796108863722</v>
      </c>
      <c r="CF37" s="36">
        <f>SUM(BL37:BO37)</f>
        <v>1222.4883831050392</v>
      </c>
      <c r="CG37" s="23"/>
      <c r="CH37" s="37">
        <f>SUM(E37:H37)</f>
        <v>484.46899999999999</v>
      </c>
      <c r="CI37" s="35">
        <f>SUM(I37:L37)</f>
        <v>477.56700000000001</v>
      </c>
      <c r="CJ37" s="35">
        <f>SUM(M37:P37)</f>
        <v>516.01499999999999</v>
      </c>
      <c r="CK37" s="35">
        <f>SUM(Q37:T37)</f>
        <v>523.76900000000001</v>
      </c>
      <c r="CL37" s="35">
        <f>SUM(U37:X37)</f>
        <v>441.55000000000007</v>
      </c>
      <c r="CM37" s="35">
        <f>SUM(Y37:AB37)</f>
        <v>500.65199999999999</v>
      </c>
      <c r="CN37" s="35">
        <f>SUM(AC37:AF37)</f>
        <v>507.20300000000003</v>
      </c>
      <c r="CO37" s="35">
        <f>SUM(AG37:AJ37)</f>
        <v>512.78899999999999</v>
      </c>
      <c r="CP37" s="35">
        <f>SUM(AK37:AN37)</f>
        <v>516.73699999999997</v>
      </c>
      <c r="CQ37" s="35">
        <f>SUM(AO37:AR37)</f>
        <v>582.85599999999999</v>
      </c>
      <c r="CR37" s="35">
        <f>SUM(AS37:AV37)</f>
        <v>643.18100000000004</v>
      </c>
      <c r="CS37" s="35">
        <f>SUM(AW37:AZ37)</f>
        <v>680.34199999999998</v>
      </c>
      <c r="CT37" s="35">
        <f>SUM(BA37:BD37)</f>
        <v>1073.2449999999999</v>
      </c>
      <c r="CU37" s="35">
        <f>SUM(BE37:BH37)</f>
        <v>1127.7388934573119</v>
      </c>
      <c r="CV37" s="36">
        <f>SUM(BI37:BL37)</f>
        <v>1185.0495248548259</v>
      </c>
      <c r="CW37" s="17"/>
    </row>
    <row r="38" spans="1:112" ht="14.25" customHeight="1">
      <c r="A38" s="8"/>
      <c r="B38" s="38" t="s">
        <v>332</v>
      </c>
      <c r="C38" s="39"/>
      <c r="D38" s="40">
        <f t="shared" ref="D38:AI38" si="88">D37/D10</f>
        <v>0.21968318932848269</v>
      </c>
      <c r="E38" s="40">
        <f t="shared" si="88"/>
        <v>0.20976734478886117</v>
      </c>
      <c r="F38" s="40">
        <f t="shared" si="88"/>
        <v>0.20469389577209415</v>
      </c>
      <c r="G38" s="41">
        <f t="shared" si="88"/>
        <v>0.19883947085014386</v>
      </c>
      <c r="H38" s="40">
        <f t="shared" si="88"/>
        <v>0.20643304480926153</v>
      </c>
      <c r="I38" s="40">
        <f t="shared" si="88"/>
        <v>0.19963507566813352</v>
      </c>
      <c r="J38" s="40">
        <f t="shared" si="88"/>
        <v>0.19730512677091075</v>
      </c>
      <c r="K38" s="41">
        <f t="shared" si="88"/>
        <v>0.1984520865178343</v>
      </c>
      <c r="L38" s="40">
        <f t="shared" si="88"/>
        <v>0.19652543252457028</v>
      </c>
      <c r="M38" s="40">
        <f t="shared" si="88"/>
        <v>0.21204954785324437</v>
      </c>
      <c r="N38" s="40">
        <f t="shared" si="88"/>
        <v>0.20746123858374454</v>
      </c>
      <c r="O38" s="41">
        <f t="shared" si="88"/>
        <v>0.21119186839058154</v>
      </c>
      <c r="P38" s="40">
        <f t="shared" si="88"/>
        <v>0.21100684303373951</v>
      </c>
      <c r="Q38" s="40">
        <f t="shared" si="88"/>
        <v>0.20736902085194195</v>
      </c>
      <c r="R38" s="40">
        <f t="shared" si="88"/>
        <v>0.20613032750316393</v>
      </c>
      <c r="S38" s="41">
        <f t="shared" si="88"/>
        <v>0.20198548197658225</v>
      </c>
      <c r="T38" s="40">
        <f t="shared" si="88"/>
        <v>0.25143893119359423</v>
      </c>
      <c r="U38" s="40">
        <f t="shared" si="88"/>
        <v>0.23053914919072854</v>
      </c>
      <c r="V38" s="40">
        <f t="shared" si="88"/>
        <v>0.21865847139480196</v>
      </c>
      <c r="W38" s="41">
        <f t="shared" si="88"/>
        <v>0.1926627011896431</v>
      </c>
      <c r="X38" s="40">
        <f t="shared" si="88"/>
        <v>0.18972010819542176</v>
      </c>
      <c r="Y38" s="40">
        <f t="shared" si="88"/>
        <v>0.18373638213815396</v>
      </c>
      <c r="Z38" s="40">
        <f t="shared" si="88"/>
        <v>0.17629982368212804</v>
      </c>
      <c r="AA38" s="41">
        <f t="shared" si="88"/>
        <v>0.16641774568500889</v>
      </c>
      <c r="AB38" s="40">
        <f t="shared" si="88"/>
        <v>0.16848912291490506</v>
      </c>
      <c r="AC38" s="40">
        <f t="shared" si="88"/>
        <v>0.16497635246212602</v>
      </c>
      <c r="AD38" s="40">
        <f t="shared" si="88"/>
        <v>0.1695153199226285</v>
      </c>
      <c r="AE38" s="40">
        <f t="shared" si="88"/>
        <v>0.17299695308419932</v>
      </c>
      <c r="AF38" s="42">
        <f t="shared" si="88"/>
        <v>0.1919241796258977</v>
      </c>
      <c r="AG38" s="358">
        <f t="shared" si="88"/>
        <v>0.18891739520718595</v>
      </c>
      <c r="AH38" s="40">
        <f t="shared" si="88"/>
        <v>0.18988149792248024</v>
      </c>
      <c r="AI38" s="40">
        <f t="shared" si="88"/>
        <v>0.18762698499490621</v>
      </c>
      <c r="AJ38" s="357">
        <f t="shared" ref="AJ38:BK38" si="89">AJ37/AJ10</f>
        <v>0.20118495372379583</v>
      </c>
      <c r="AK38" s="358">
        <f t="shared" si="89"/>
        <v>0.19432688661357606</v>
      </c>
      <c r="AL38" s="40">
        <f t="shared" si="89"/>
        <v>0.19126721370807451</v>
      </c>
      <c r="AM38" s="40">
        <f t="shared" si="89"/>
        <v>0.1932275821999519</v>
      </c>
      <c r="AN38" s="357">
        <f t="shared" si="89"/>
        <v>0.20477271352576568</v>
      </c>
      <c r="AO38" s="358">
        <f t="shared" si="89"/>
        <v>0.19618565488326023</v>
      </c>
      <c r="AP38" s="40">
        <f t="shared" si="89"/>
        <v>0.19250376501885258</v>
      </c>
      <c r="AQ38" s="40">
        <f t="shared" si="89"/>
        <v>0.19011061753988656</v>
      </c>
      <c r="AR38" s="357">
        <f t="shared" si="89"/>
        <v>0.19651392641835472</v>
      </c>
      <c r="AS38" s="358">
        <f t="shared" si="89"/>
        <v>0.18785557946892825</v>
      </c>
      <c r="AT38" s="40">
        <f t="shared" si="89"/>
        <v>0.18622946262588821</v>
      </c>
      <c r="AU38" s="40">
        <f t="shared" si="89"/>
        <v>0.17444790246872963</v>
      </c>
      <c r="AV38" s="357">
        <f t="shared" si="89"/>
        <v>0.2046036736333047</v>
      </c>
      <c r="AW38" s="358">
        <f t="shared" si="89"/>
        <v>0.20575500214441825</v>
      </c>
      <c r="AX38" s="1207">
        <f t="shared" si="89"/>
        <v>0.18770548453238362</v>
      </c>
      <c r="AY38" s="1207">
        <f t="shared" si="89"/>
        <v>0.17230175075700735</v>
      </c>
      <c r="AZ38" s="357">
        <f t="shared" si="89"/>
        <v>0.18685985764625695</v>
      </c>
      <c r="BA38" s="358">
        <f t="shared" si="89"/>
        <v>0.2049091362059684</v>
      </c>
      <c r="BB38" s="1282">
        <f t="shared" ref="BB38:BD38" si="90">BB37/BB10</f>
        <v>0.19225163225938732</v>
      </c>
      <c r="BC38" s="1440">
        <f t="shared" si="90"/>
        <v>0.17762219612372415</v>
      </c>
      <c r="BD38" s="357">
        <f t="shared" si="90"/>
        <v>0.1900384822049434</v>
      </c>
      <c r="BE38" s="358">
        <f t="shared" si="89"/>
        <v>0.1838025212589712</v>
      </c>
      <c r="BF38" s="358">
        <f t="shared" si="89"/>
        <v>0.18642051991792152</v>
      </c>
      <c r="BG38" s="359">
        <f t="shared" si="89"/>
        <v>0.1864205199179215</v>
      </c>
      <c r="BH38" s="357">
        <f t="shared" si="89"/>
        <v>0.19153768759326709</v>
      </c>
      <c r="BI38" s="358">
        <f t="shared" si="89"/>
        <v>0.18735067614603262</v>
      </c>
      <c r="BJ38" s="358">
        <f t="shared" si="89"/>
        <v>0.18403705533483938</v>
      </c>
      <c r="BK38" s="359">
        <f t="shared" si="89"/>
        <v>0.18035482972637662</v>
      </c>
      <c r="BL38" s="357">
        <f t="shared" ref="BL38:BO38" si="91">BL37/BL10</f>
        <v>0.18727537292060184</v>
      </c>
      <c r="BM38" s="358">
        <f t="shared" si="91"/>
        <v>0.18347378782681129</v>
      </c>
      <c r="BN38" s="358">
        <f t="shared" si="91"/>
        <v>0.18066769941623317</v>
      </c>
      <c r="BO38" s="359">
        <f t="shared" si="91"/>
        <v>0.17757040160032891</v>
      </c>
      <c r="BP38" s="253"/>
      <c r="BQ38" s="1283">
        <f t="shared" ref="BQ38:CE38" si="92">BQ37/BQ10</f>
        <v>0.20809416244419809</v>
      </c>
      <c r="BR38" s="1282">
        <f t="shared" si="92"/>
        <v>0.20034666157899611</v>
      </c>
      <c r="BS38" s="1282">
        <f t="shared" si="92"/>
        <v>0.20673861260564583</v>
      </c>
      <c r="BT38" s="1282">
        <f t="shared" si="92"/>
        <v>0.20654055412242914</v>
      </c>
      <c r="BU38" s="1282">
        <f t="shared" si="92"/>
        <v>0.22183643124152569</v>
      </c>
      <c r="BV38" s="1282">
        <f t="shared" si="92"/>
        <v>0.17827429483147403</v>
      </c>
      <c r="BW38" s="1282">
        <f t="shared" si="92"/>
        <v>0.16889941603303357</v>
      </c>
      <c r="BX38" s="1282">
        <f t="shared" si="92"/>
        <v>0.18955056787092278</v>
      </c>
      <c r="BY38" s="1282">
        <f t="shared" si="92"/>
        <v>0.19488064080459003</v>
      </c>
      <c r="BZ38" s="1442">
        <f t="shared" si="92"/>
        <v>0.19540675648646511</v>
      </c>
      <c r="CA38" s="1440">
        <f t="shared" si="92"/>
        <v>0.18557261348458789</v>
      </c>
      <c r="CB38" s="1440">
        <f t="shared" si="92"/>
        <v>0.1910955398784536</v>
      </c>
      <c r="CC38" s="1440">
        <f t="shared" si="92"/>
        <v>0.18964296252004156</v>
      </c>
      <c r="CD38" s="1440">
        <f t="shared" si="92"/>
        <v>0.1866916872985791</v>
      </c>
      <c r="CE38" s="1440">
        <f t="shared" si="92"/>
        <v>0.18563543899348653</v>
      </c>
      <c r="CF38" s="1441">
        <f t="shared" ref="CF38" si="93">CF37/CF10</f>
        <v>0.18210569873752958</v>
      </c>
      <c r="CG38" s="23"/>
      <c r="CH38" s="42">
        <f t="shared" ref="CH38:CU38" si="94">CH37/CH10</f>
        <v>0.20485830678532435</v>
      </c>
      <c r="CI38" s="40">
        <f t="shared" si="94"/>
        <v>0.19795047414404129</v>
      </c>
      <c r="CJ38" s="40">
        <f t="shared" si="94"/>
        <v>0.21041525221571827</v>
      </c>
      <c r="CK38" s="40">
        <f t="shared" si="94"/>
        <v>0.21416868151706481</v>
      </c>
      <c r="CL38" s="40">
        <f t="shared" si="94"/>
        <v>0.20620439149273209</v>
      </c>
      <c r="CM38" s="1440">
        <f t="shared" si="94"/>
        <v>0.17341456115363088</v>
      </c>
      <c r="CN38" s="1440">
        <f t="shared" si="94"/>
        <v>0.17412459309946124</v>
      </c>
      <c r="CO38" s="1440">
        <f t="shared" si="94"/>
        <v>0.19168120130770652</v>
      </c>
      <c r="CP38" s="1440">
        <f t="shared" si="94"/>
        <v>0.19574906062710218</v>
      </c>
      <c r="CQ38" s="1440">
        <f t="shared" si="94"/>
        <v>0.19373506118122494</v>
      </c>
      <c r="CR38" s="1440">
        <f t="shared" si="94"/>
        <v>0.18737784174087083</v>
      </c>
      <c r="CS38" s="1207">
        <f t="shared" si="94"/>
        <v>0.18709068704490037</v>
      </c>
      <c r="CT38" s="1207">
        <f t="shared" si="94"/>
        <v>0.19023506836086709</v>
      </c>
      <c r="CU38" s="1440">
        <f t="shared" si="94"/>
        <v>0.18703992521023546</v>
      </c>
      <c r="CV38" s="1441">
        <f t="shared" ref="CV38" si="95">CV37/CV10</f>
        <v>0.18467771122107307</v>
      </c>
      <c r="CW38" s="17"/>
    </row>
    <row r="39" spans="1:112" ht="14.25" hidden="1" customHeight="1" outlineLevel="1">
      <c r="A39" s="8"/>
      <c r="B39" s="38" t="s">
        <v>449</v>
      </c>
      <c r="C39" s="39"/>
      <c r="D39" s="40"/>
      <c r="E39" s="40">
        <f t="shared" ref="E39:AJ39" si="96">(E37/D37-1)/E12</f>
        <v>-0.17509239400046764</v>
      </c>
      <c r="F39" s="40">
        <f t="shared" si="96"/>
        <v>1.661021015643809</v>
      </c>
      <c r="G39" s="41">
        <f t="shared" si="96"/>
        <v>0.55195992429778762</v>
      </c>
      <c r="H39" s="40">
        <f t="shared" si="96"/>
        <v>0.67548162257867328</v>
      </c>
      <c r="I39" s="40">
        <f t="shared" si="96"/>
        <v>9.5372497262446759E-2</v>
      </c>
      <c r="J39" s="40">
        <f t="shared" si="96"/>
        <v>0.67123085684172157</v>
      </c>
      <c r="K39" s="41">
        <f t="shared" si="96"/>
        <v>1.3279122034930957</v>
      </c>
      <c r="L39" s="40">
        <f t="shared" si="96"/>
        <v>0.63242629411048989</v>
      </c>
      <c r="M39" s="40">
        <f t="shared" si="96"/>
        <v>-0.63980680286464797</v>
      </c>
      <c r="N39" s="40">
        <f t="shared" si="96"/>
        <v>0.33026282831478487</v>
      </c>
      <c r="O39" s="41">
        <f t="shared" si="96"/>
        <v>2.8348417661580254</v>
      </c>
      <c r="P39" s="40">
        <f t="shared" si="96"/>
        <v>1.0558337114863108</v>
      </c>
      <c r="Q39" s="40">
        <f t="shared" si="96"/>
        <v>0.68403885892050065</v>
      </c>
      <c r="R39" s="40">
        <f t="shared" si="96"/>
        <v>0.59191666549166722</v>
      </c>
      <c r="S39" s="41">
        <f t="shared" si="96"/>
        <v>-6.7691234682845405</v>
      </c>
      <c r="T39" s="40">
        <f t="shared" si="96"/>
        <v>0.36629848668534959</v>
      </c>
      <c r="U39" s="40">
        <f t="shared" si="96"/>
        <v>22.670175686743349</v>
      </c>
      <c r="V39" s="40">
        <f t="shared" si="96"/>
        <v>-0.47041817452245216</v>
      </c>
      <c r="W39" s="41">
        <f t="shared" si="96"/>
        <v>0.14637636140720159</v>
      </c>
      <c r="X39" s="40">
        <f t="shared" si="96"/>
        <v>0.70654388542398638</v>
      </c>
      <c r="Y39" s="40">
        <f t="shared" si="96"/>
        <v>0.67702887000332745</v>
      </c>
      <c r="Z39" s="40">
        <f t="shared" si="96"/>
        <v>0.43990268983095654</v>
      </c>
      <c r="AA39" s="41">
        <f t="shared" si="96"/>
        <v>0.13158944057059466</v>
      </c>
      <c r="AB39" s="40">
        <f t="shared" si="96"/>
        <v>0.78143030772344768</v>
      </c>
      <c r="AC39" s="40">
        <f t="shared" si="96"/>
        <v>0.73526408182140102</v>
      </c>
      <c r="AD39" s="40">
        <f t="shared" si="96"/>
        <v>0.36577547194415283</v>
      </c>
      <c r="AE39" s="40">
        <f t="shared" si="96"/>
        <v>0.6478524512330105</v>
      </c>
      <c r="AF39" s="42">
        <f t="shared" si="96"/>
        <v>-4.1521819419453709E-2</v>
      </c>
      <c r="AG39" s="40">
        <f t="shared" si="96"/>
        <v>0.60880399723886203</v>
      </c>
      <c r="AH39" s="40">
        <f t="shared" si="96"/>
        <v>1.439446376078783</v>
      </c>
      <c r="AI39" s="40">
        <f t="shared" si="96"/>
        <v>0.3088046393508066</v>
      </c>
      <c r="AJ39" s="42">
        <f t="shared" si="96"/>
        <v>0.38273314933882552</v>
      </c>
      <c r="AK39" s="40">
        <f t="shared" ref="AK39:BD39" si="97">(AK37/AJ37-1)/AK12</f>
        <v>0.39452640851013471</v>
      </c>
      <c r="AL39" s="40">
        <f t="shared" si="97"/>
        <v>0.28864599076543013</v>
      </c>
      <c r="AM39" s="40">
        <f t="shared" si="97"/>
        <v>2.7547175466980232</v>
      </c>
      <c r="AN39" s="42">
        <f t="shared" si="97"/>
        <v>0.24768983040583781</v>
      </c>
      <c r="AO39" s="40">
        <f t="shared" si="97"/>
        <v>0.56069446249410115</v>
      </c>
      <c r="AP39" s="40">
        <f t="shared" si="97"/>
        <v>0.58881276801735316</v>
      </c>
      <c r="AQ39" s="40">
        <f t="shared" si="97"/>
        <v>0.88297048660428801</v>
      </c>
      <c r="AR39" s="42">
        <f t="shared" si="97"/>
        <v>0.38472717466054862</v>
      </c>
      <c r="AS39" s="40">
        <f t="shared" si="97"/>
        <v>0.26225479846316213</v>
      </c>
      <c r="AT39" s="40">
        <f t="shared" si="97"/>
        <v>0.82351422951060715</v>
      </c>
      <c r="AU39" s="40">
        <f t="shared" si="97"/>
        <v>0.46325276919898506</v>
      </c>
      <c r="AV39" s="1209">
        <f t="shared" si="97"/>
        <v>0.36449563940920032</v>
      </c>
      <c r="AW39" s="1207">
        <f t="shared" si="97"/>
        <v>1.4693377165438111</v>
      </c>
      <c r="AX39" s="1207">
        <f t="shared" si="97"/>
        <v>0.16010532644683959</v>
      </c>
      <c r="AY39" s="1207">
        <f t="shared" si="97"/>
        <v>0.38551519367302783</v>
      </c>
      <c r="AZ39" s="1209">
        <f t="shared" si="97"/>
        <v>-3.3380615788904859</v>
      </c>
      <c r="BA39" s="1282">
        <f t="shared" si="97"/>
        <v>1.6780684048140662</v>
      </c>
      <c r="BB39" s="1282">
        <f t="shared" si="97"/>
        <v>0.690214073303964</v>
      </c>
      <c r="BC39" s="1440">
        <f t="shared" si="97"/>
        <v>-9.3296391954922592E-2</v>
      </c>
      <c r="BD39" s="1442">
        <f t="shared" si="97"/>
        <v>-3.7084203878559392</v>
      </c>
      <c r="BE39" s="1359">
        <v>2</v>
      </c>
      <c r="BF39" s="1359">
        <v>1.5</v>
      </c>
      <c r="BG39" s="1359">
        <v>1</v>
      </c>
      <c r="BH39" s="1359">
        <v>0.5</v>
      </c>
      <c r="BI39" s="1359">
        <v>0.5</v>
      </c>
      <c r="BJ39" s="1359">
        <v>0.5</v>
      </c>
      <c r="BK39" s="1359">
        <v>0.5</v>
      </c>
      <c r="BL39" s="1360">
        <v>0.3</v>
      </c>
      <c r="BM39" s="1359">
        <v>0.5</v>
      </c>
      <c r="BN39" s="1359">
        <v>0.5</v>
      </c>
      <c r="BO39" s="1359">
        <v>0.5</v>
      </c>
      <c r="BP39" s="253"/>
      <c r="BQ39" s="1283"/>
      <c r="BR39" s="1282">
        <f t="shared" ref="BR39:CF39" si="98">(BR37/BQ37-1)/BR13</f>
        <v>2.9008612462191627</v>
      </c>
      <c r="BS39" s="1282">
        <f t="shared" si="98"/>
        <v>1.6456017139308388</v>
      </c>
      <c r="BT39" s="1282">
        <f t="shared" si="98"/>
        <v>0.9790670498769507</v>
      </c>
      <c r="BU39" s="1282">
        <f t="shared" si="98"/>
        <v>0.73730104322557188</v>
      </c>
      <c r="BV39" s="1282">
        <f t="shared" si="98"/>
        <v>0.27366538325350165</v>
      </c>
      <c r="BW39" s="1282">
        <f t="shared" si="98"/>
        <v>0.32097650646063203</v>
      </c>
      <c r="BX39" s="1282">
        <f t="shared" si="98"/>
        <v>-0.13035806084453272</v>
      </c>
      <c r="BY39" s="1282">
        <f t="shared" si="98"/>
        <v>-9.7921480069542086E-2</v>
      </c>
      <c r="BZ39" s="1442">
        <f t="shared" si="98"/>
        <v>1.0334682409048144</v>
      </c>
      <c r="CA39" s="1440">
        <f t="shared" si="98"/>
        <v>0.69687798727363737</v>
      </c>
      <c r="CB39" s="1440">
        <f t="shared" si="98"/>
        <v>-6.4418178817176912</v>
      </c>
      <c r="CC39" s="1440">
        <f t="shared" si="98"/>
        <v>0.97697415551980671</v>
      </c>
      <c r="CD39" s="1440">
        <f t="shared" si="98"/>
        <v>0.90150650487680639</v>
      </c>
      <c r="CE39" s="1440">
        <f t="shared" si="98"/>
        <v>0.8550153711322942</v>
      </c>
      <c r="CF39" s="1441">
        <f t="shared" si="98"/>
        <v>0.68153134606752286</v>
      </c>
      <c r="CG39" s="23"/>
      <c r="CH39" s="42"/>
      <c r="CI39" s="40"/>
      <c r="CJ39" s="40"/>
      <c r="CK39" s="40"/>
      <c r="CL39" s="40"/>
      <c r="CM39" s="1440"/>
      <c r="CN39" s="1440"/>
      <c r="CO39" s="1440"/>
      <c r="CP39" s="1440"/>
      <c r="CQ39" s="1440"/>
      <c r="CR39" s="1440"/>
      <c r="CS39" s="1207"/>
      <c r="CT39" s="1207"/>
      <c r="CU39" s="1440"/>
      <c r="CV39" s="1441"/>
      <c r="CW39" s="17"/>
    </row>
    <row r="40" spans="1:112" s="1368" customFormat="1" ht="14.25" customHeight="1" collapsed="1">
      <c r="A40" s="1361"/>
      <c r="B40" s="1362" t="s">
        <v>584</v>
      </c>
      <c r="C40" s="1363"/>
      <c r="D40" s="1364"/>
      <c r="E40" s="1364"/>
      <c r="F40" s="1364"/>
      <c r="G40" s="1365"/>
      <c r="H40" s="1364"/>
      <c r="I40" s="1364"/>
      <c r="J40" s="1364"/>
      <c r="K40" s="1365"/>
      <c r="L40" s="1364"/>
      <c r="M40" s="1364"/>
      <c r="N40" s="1364"/>
      <c r="O40" s="1365"/>
      <c r="P40" s="1364"/>
      <c r="Q40" s="1364"/>
      <c r="R40" s="1364"/>
      <c r="S40" s="1365"/>
      <c r="T40" s="1364"/>
      <c r="U40" s="1364"/>
      <c r="V40" s="1364"/>
      <c r="W40" s="1365"/>
      <c r="X40" s="1364"/>
      <c r="Y40" s="1364"/>
      <c r="Z40" s="1364"/>
      <c r="AA40" s="1365"/>
      <c r="AB40" s="1364"/>
      <c r="AC40" s="1364"/>
      <c r="AD40" s="1364"/>
      <c r="AE40" s="1364"/>
      <c r="AF40" s="1366"/>
      <c r="AG40" s="1364"/>
      <c r="AH40" s="1364"/>
      <c r="AI40" s="1364"/>
      <c r="AJ40" s="1366"/>
      <c r="AK40" s="1364"/>
      <c r="AL40" s="1364"/>
      <c r="AM40" s="1364"/>
      <c r="AN40" s="1366"/>
      <c r="AO40" s="1364"/>
      <c r="AP40" s="1364"/>
      <c r="AQ40" s="1364"/>
      <c r="AR40" s="1366"/>
      <c r="AS40" s="1364"/>
      <c r="AT40" s="1364"/>
      <c r="AU40" s="1364"/>
      <c r="AV40" s="1366"/>
      <c r="AW40" s="1364"/>
      <c r="AX40" s="1364"/>
      <c r="AY40" s="1364"/>
      <c r="AZ40" s="1366"/>
      <c r="BA40" s="1364">
        <v>0</v>
      </c>
      <c r="BB40" s="1364"/>
      <c r="BC40" s="1365">
        <v>5</v>
      </c>
      <c r="BD40" s="1366"/>
      <c r="BE40" s="1364">
        <v>10</v>
      </c>
      <c r="BF40" s="1364">
        <v>10</v>
      </c>
      <c r="BG40" s="1365">
        <f t="shared" ref="BG40:BO40" si="99">BF40</f>
        <v>10</v>
      </c>
      <c r="BH40" s="1366">
        <f t="shared" si="99"/>
        <v>10</v>
      </c>
      <c r="BI40" s="1364">
        <f t="shared" si="99"/>
        <v>10</v>
      </c>
      <c r="BJ40" s="1364">
        <f t="shared" si="99"/>
        <v>10</v>
      </c>
      <c r="BK40" s="1365">
        <f t="shared" si="99"/>
        <v>10</v>
      </c>
      <c r="BL40" s="1366">
        <f t="shared" si="99"/>
        <v>10</v>
      </c>
      <c r="BM40" s="1364">
        <f t="shared" si="99"/>
        <v>10</v>
      </c>
      <c r="BN40" s="1364">
        <f t="shared" si="99"/>
        <v>10</v>
      </c>
      <c r="BO40" s="1365">
        <f t="shared" si="99"/>
        <v>10</v>
      </c>
      <c r="BP40" s="1363"/>
      <c r="BQ40" s="1366"/>
      <c r="BR40" s="1364"/>
      <c r="BS40" s="1364"/>
      <c r="BT40" s="1364"/>
      <c r="BU40" s="1364"/>
      <c r="BV40" s="1364"/>
      <c r="BW40" s="1364"/>
      <c r="BX40" s="1364"/>
      <c r="BY40" s="1364"/>
      <c r="BZ40" s="1366"/>
      <c r="CA40" s="1364"/>
      <c r="CB40" s="1364"/>
      <c r="CC40" s="1364"/>
      <c r="CD40" s="1364"/>
      <c r="CE40" s="1364"/>
      <c r="CF40" s="1365"/>
      <c r="CG40" s="1481"/>
      <c r="CH40" s="1366"/>
      <c r="CI40" s="1364"/>
      <c r="CJ40" s="1364"/>
      <c r="CK40" s="1364"/>
      <c r="CL40" s="1364"/>
      <c r="CM40" s="1364"/>
      <c r="CN40" s="1364"/>
      <c r="CO40" s="1364"/>
      <c r="CP40" s="1364"/>
      <c r="CQ40" s="1364"/>
      <c r="CR40" s="1364"/>
      <c r="CS40" s="1364"/>
      <c r="CT40" s="1364">
        <f>SUM(BA40:BD40)</f>
        <v>5</v>
      </c>
      <c r="CU40" s="1364">
        <f>SUM(BE40:BH40)</f>
        <v>40</v>
      </c>
      <c r="CV40" s="1365">
        <f>SUM(BI40:BL40)</f>
        <v>40</v>
      </c>
      <c r="CW40" s="1367"/>
      <c r="CX40"/>
      <c r="CY40"/>
      <c r="CZ40"/>
      <c r="DA40"/>
      <c r="DB40"/>
      <c r="DC40"/>
    </row>
    <row r="41" spans="1:112" ht="14.25" hidden="1" customHeight="1" outlineLevel="1">
      <c r="A41" s="8"/>
      <c r="B41" s="38"/>
      <c r="C41" s="39"/>
      <c r="D41" s="40"/>
      <c r="E41" s="40"/>
      <c r="F41" s="40"/>
      <c r="G41" s="41"/>
      <c r="H41" s="40"/>
      <c r="I41" s="40"/>
      <c r="J41" s="40"/>
      <c r="K41" s="41"/>
      <c r="L41" s="40"/>
      <c r="M41" s="40"/>
      <c r="N41" s="40"/>
      <c r="O41" s="41"/>
      <c r="P41" s="40"/>
      <c r="Q41" s="40"/>
      <c r="R41" s="40"/>
      <c r="S41" s="41"/>
      <c r="T41" s="40"/>
      <c r="U41" s="40"/>
      <c r="V41" s="40"/>
      <c r="W41" s="41"/>
      <c r="X41" s="40"/>
      <c r="Y41" s="40"/>
      <c r="Z41" s="40"/>
      <c r="AA41" s="41"/>
      <c r="AB41" s="40"/>
      <c r="AC41" s="40"/>
      <c r="AD41" s="40"/>
      <c r="AE41" s="40"/>
      <c r="AF41" s="42"/>
      <c r="AG41" s="40"/>
      <c r="AH41" s="40"/>
      <c r="AI41" s="40"/>
      <c r="AJ41" s="42"/>
      <c r="AK41" s="40"/>
      <c r="AL41" s="40"/>
      <c r="AM41" s="40"/>
      <c r="AN41" s="42"/>
      <c r="AO41" s="40"/>
      <c r="AP41" s="40"/>
      <c r="AQ41" s="40"/>
      <c r="AR41" s="42"/>
      <c r="AS41" s="40"/>
      <c r="AT41" s="40"/>
      <c r="AU41" s="40"/>
      <c r="AV41" s="1209"/>
      <c r="AW41" s="1207"/>
      <c r="AX41" s="1207"/>
      <c r="AY41" s="1207"/>
      <c r="AZ41" s="1209"/>
      <c r="BA41" s="1282"/>
      <c r="BB41" s="1282"/>
      <c r="BC41" s="1441"/>
      <c r="BD41" s="1442"/>
      <c r="BE41" s="40"/>
      <c r="BF41" s="40"/>
      <c r="BG41" s="41"/>
      <c r="BH41" s="1422"/>
      <c r="BI41" s="1420"/>
      <c r="BJ41" s="1420"/>
      <c r="BK41" s="1421"/>
      <c r="BL41" s="1442"/>
      <c r="BM41" s="1440"/>
      <c r="BN41" s="1440"/>
      <c r="BO41" s="1441"/>
      <c r="BP41" s="253"/>
      <c r="BQ41" s="1283"/>
      <c r="BR41" s="1282"/>
      <c r="BS41" s="1282"/>
      <c r="BT41" s="1282"/>
      <c r="BU41" s="1282"/>
      <c r="BV41" s="1282"/>
      <c r="BW41" s="1282"/>
      <c r="BX41" s="1282"/>
      <c r="BY41" s="1282"/>
      <c r="BZ41" s="1442"/>
      <c r="CA41" s="1440"/>
      <c r="CB41" s="1440"/>
      <c r="CC41" s="1440"/>
      <c r="CD41" s="1440"/>
      <c r="CE41" s="1440"/>
      <c r="CF41" s="1441"/>
      <c r="CG41" s="23"/>
      <c r="CH41" s="42"/>
      <c r="CI41" s="40"/>
      <c r="CJ41" s="40"/>
      <c r="CK41" s="40"/>
      <c r="CL41" s="40"/>
      <c r="CM41" s="1440"/>
      <c r="CN41" s="1440"/>
      <c r="CO41" s="1440"/>
      <c r="CP41" s="1440"/>
      <c r="CQ41" s="1440"/>
      <c r="CR41" s="1440"/>
      <c r="CS41" s="1207"/>
      <c r="CT41" s="1207"/>
      <c r="CU41" s="1440"/>
      <c r="CV41" s="1441"/>
      <c r="CW41" s="17"/>
    </row>
    <row r="42" spans="1:112" ht="14.25" hidden="1" customHeight="1" outlineLevel="1">
      <c r="A42" s="675"/>
      <c r="B42" s="851" t="s">
        <v>445</v>
      </c>
      <c r="C42" s="852"/>
      <c r="D42" s="678">
        <v>0</v>
      </c>
      <c r="E42" s="678">
        <v>0</v>
      </c>
      <c r="F42" s="678">
        <v>0</v>
      </c>
      <c r="G42" s="679">
        <v>0</v>
      </c>
      <c r="H42" s="678">
        <v>0</v>
      </c>
      <c r="I42" s="678">
        <v>0</v>
      </c>
      <c r="J42" s="678">
        <v>0</v>
      </c>
      <c r="K42" s="679">
        <v>0</v>
      </c>
      <c r="L42" s="678">
        <v>0</v>
      </c>
      <c r="M42" s="678">
        <v>0</v>
      </c>
      <c r="N42" s="678">
        <v>0</v>
      </c>
      <c r="O42" s="679">
        <v>0</v>
      </c>
      <c r="P42" s="678">
        <v>0</v>
      </c>
      <c r="Q42" s="678">
        <v>0</v>
      </c>
      <c r="R42" s="678">
        <v>0</v>
      </c>
      <c r="S42" s="679">
        <v>0</v>
      </c>
      <c r="T42" s="678">
        <v>0</v>
      </c>
      <c r="U42" s="678">
        <v>0</v>
      </c>
      <c r="V42" s="678">
        <v>0</v>
      </c>
      <c r="W42" s="679">
        <v>0</v>
      </c>
      <c r="X42" s="678">
        <v>0</v>
      </c>
      <c r="Y42" s="678">
        <v>0</v>
      </c>
      <c r="Z42" s="678">
        <v>0</v>
      </c>
      <c r="AA42" s="679">
        <v>0</v>
      </c>
      <c r="AB42" s="678">
        <f>AA42</f>
        <v>0</v>
      </c>
      <c r="AC42" s="678">
        <v>0</v>
      </c>
      <c r="AD42" s="678">
        <v>0</v>
      </c>
      <c r="AE42" s="678">
        <v>0</v>
      </c>
      <c r="AF42" s="680">
        <f>AE42</f>
        <v>0</v>
      </c>
      <c r="AG42" s="682">
        <f>AF42</f>
        <v>0</v>
      </c>
      <c r="AH42" s="678">
        <v>0</v>
      </c>
      <c r="AI42" s="678">
        <v>0</v>
      </c>
      <c r="AJ42" s="680">
        <v>0</v>
      </c>
      <c r="AK42" s="682">
        <f>AJ42</f>
        <v>0</v>
      </c>
      <c r="AL42" s="678">
        <v>0</v>
      </c>
      <c r="AM42" s="678">
        <v>0</v>
      </c>
      <c r="AN42" s="680">
        <v>0</v>
      </c>
      <c r="AO42" s="682">
        <f>AN42</f>
        <v>0</v>
      </c>
      <c r="AP42" s="678">
        <v>0</v>
      </c>
      <c r="AQ42" s="678">
        <v>0</v>
      </c>
      <c r="AR42" s="680">
        <v>0</v>
      </c>
      <c r="AS42" s="682">
        <v>0</v>
      </c>
      <c r="AT42" s="678">
        <v>0</v>
      </c>
      <c r="AU42" s="678">
        <v>0</v>
      </c>
      <c r="AV42" s="680">
        <v>0</v>
      </c>
      <c r="AW42" s="682">
        <v>0</v>
      </c>
      <c r="AX42" s="678">
        <v>0</v>
      </c>
      <c r="AY42" s="678">
        <v>0</v>
      </c>
      <c r="AZ42" s="680">
        <v>0</v>
      </c>
      <c r="BA42" s="682">
        <f t="shared" ref="BA42:BG42" si="100">AZ42</f>
        <v>0</v>
      </c>
      <c r="BB42" s="678">
        <v>0</v>
      </c>
      <c r="BC42" s="678">
        <v>0</v>
      </c>
      <c r="BD42" s="680">
        <v>0</v>
      </c>
      <c r="BE42" s="682">
        <f t="shared" si="100"/>
        <v>0</v>
      </c>
      <c r="BF42" s="682">
        <f t="shared" si="100"/>
        <v>0</v>
      </c>
      <c r="BG42" s="683">
        <f t="shared" si="100"/>
        <v>0</v>
      </c>
      <c r="BH42" s="684">
        <f t="shared" ref="BH42" si="101">BG42</f>
        <v>0</v>
      </c>
      <c r="BI42" s="682">
        <f t="shared" ref="BI42" si="102">BH42</f>
        <v>0</v>
      </c>
      <c r="BJ42" s="682">
        <f t="shared" ref="BJ42" si="103">BI42</f>
        <v>0</v>
      </c>
      <c r="BK42" s="683">
        <f t="shared" ref="BK42" si="104">BJ42</f>
        <v>0</v>
      </c>
      <c r="BL42" s="684">
        <f t="shared" ref="BL42" si="105">BK42</f>
        <v>0</v>
      </c>
      <c r="BM42" s="682">
        <f t="shared" ref="BM42" si="106">BL42</f>
        <v>0</v>
      </c>
      <c r="BN42" s="682">
        <f t="shared" ref="BN42" si="107">BM42</f>
        <v>0</v>
      </c>
      <c r="BO42" s="683">
        <f t="shared" ref="BO42" si="108">BN42</f>
        <v>0</v>
      </c>
      <c r="BP42" s="946"/>
      <c r="BQ42" s="684">
        <f>SUM(D42:G42)</f>
        <v>0</v>
      </c>
      <c r="BR42" s="682">
        <f>SUM(H42:K42)</f>
        <v>0</v>
      </c>
      <c r="BS42" s="682">
        <f>SUM(L42:O42)</f>
        <v>0</v>
      </c>
      <c r="BT42" s="682">
        <f>SUM(P42:S42)</f>
        <v>0</v>
      </c>
      <c r="BU42" s="682">
        <f>SUM(T42:W42)</f>
        <v>0</v>
      </c>
      <c r="BV42" s="682">
        <f>SUM(X42:AA42)</f>
        <v>0</v>
      </c>
      <c r="BW42" s="682">
        <f>SUM(AB42:AE42)</f>
        <v>0</v>
      </c>
      <c r="BX42" s="682">
        <f>SUM(AF42:AI42)</f>
        <v>0</v>
      </c>
      <c r="BY42" s="682">
        <f>SUM(AJ42:AM42)</f>
        <v>0</v>
      </c>
      <c r="BZ42" s="684">
        <f>SUM(AN42:AQ42)</f>
        <v>0</v>
      </c>
      <c r="CA42" s="682">
        <f>SUM(AR42:AU42)</f>
        <v>0</v>
      </c>
      <c r="CB42" s="682">
        <f>SUM(AV42:AY42)</f>
        <v>0</v>
      </c>
      <c r="CC42" s="682">
        <f>SUM(AZ42:BC42)</f>
        <v>0</v>
      </c>
      <c r="CD42" s="682">
        <f>SUM(BD42:BG42)</f>
        <v>0</v>
      </c>
      <c r="CE42" s="682">
        <f>SUM(BH42:BK42)</f>
        <v>0</v>
      </c>
      <c r="CF42" s="683">
        <f>SUM(BL42:BO42)</f>
        <v>0</v>
      </c>
      <c r="CG42" s="681"/>
      <c r="CH42" s="684">
        <f>SUM(E42:H42)</f>
        <v>0</v>
      </c>
      <c r="CI42" s="682">
        <f>SUM(I42:L42)</f>
        <v>0</v>
      </c>
      <c r="CJ42" s="682">
        <f>SUM(M42:P42)</f>
        <v>0</v>
      </c>
      <c r="CK42" s="682">
        <f>SUM(Q42:T42)</f>
        <v>0</v>
      </c>
      <c r="CL42" s="682">
        <f>SUM(U42:X42)</f>
        <v>0</v>
      </c>
      <c r="CM42" s="682">
        <f>SUM(Y42:AB42)</f>
        <v>0</v>
      </c>
      <c r="CN42" s="682">
        <f>SUM(AC42:AF42)</f>
        <v>0</v>
      </c>
      <c r="CO42" s="682">
        <f>SUM(AG42:AJ42)</f>
        <v>0</v>
      </c>
      <c r="CP42" s="682">
        <f>SUM(AK42:AN42)</f>
        <v>0</v>
      </c>
      <c r="CQ42" s="682">
        <f>SUM(AO42:AR42)</f>
        <v>0</v>
      </c>
      <c r="CR42" s="682">
        <f>SUM(AS42:AV42)</f>
        <v>0</v>
      </c>
      <c r="CS42" s="682">
        <f>SUM(AW42:AZ42)</f>
        <v>0</v>
      </c>
      <c r="CT42" s="682">
        <f>SUM(BA42:BD42)</f>
        <v>0</v>
      </c>
      <c r="CU42" s="682">
        <f>SUM(BE42:BH42)</f>
        <v>0</v>
      </c>
      <c r="CV42" s="683">
        <f>SUM(BI42:BL42)</f>
        <v>0</v>
      </c>
      <c r="CW42" s="799"/>
      <c r="DD42" s="686"/>
      <c r="DE42" s="686"/>
      <c r="DF42" s="686"/>
      <c r="DG42" s="686"/>
      <c r="DH42" s="686"/>
    </row>
    <row r="43" spans="1:112" ht="14.25" hidden="1" customHeight="1" outlineLevel="1">
      <c r="A43" s="8"/>
      <c r="B43" s="26" t="s">
        <v>3</v>
      </c>
      <c r="C43" s="27"/>
      <c r="D43" s="35">
        <f t="shared" ref="D43:AI43" si="109">D37-D42</f>
        <v>127.53400000000001</v>
      </c>
      <c r="E43" s="35">
        <f t="shared" si="109"/>
        <v>126.642</v>
      </c>
      <c r="F43" s="35">
        <f t="shared" si="109"/>
        <v>119.217</v>
      </c>
      <c r="G43" s="36">
        <f t="shared" si="109"/>
        <v>123.70399999999999</v>
      </c>
      <c r="H43" s="35">
        <f t="shared" si="109"/>
        <v>114.90600000000001</v>
      </c>
      <c r="I43" s="35">
        <f t="shared" si="109"/>
        <v>115.32</v>
      </c>
      <c r="J43" s="35">
        <f t="shared" si="109"/>
        <v>118.169</v>
      </c>
      <c r="K43" s="36">
        <f t="shared" si="109"/>
        <v>121.001</v>
      </c>
      <c r="L43" s="35">
        <f t="shared" si="109"/>
        <v>123.077</v>
      </c>
      <c r="M43" s="35">
        <f t="shared" si="109"/>
        <v>126.696</v>
      </c>
      <c r="N43" s="35">
        <f t="shared" si="109"/>
        <v>128.09299999999999</v>
      </c>
      <c r="O43" s="36">
        <f t="shared" si="109"/>
        <v>131.68700000000001</v>
      </c>
      <c r="P43" s="35">
        <f t="shared" si="109"/>
        <v>129.53899999999999</v>
      </c>
      <c r="Q43" s="35">
        <f t="shared" si="109"/>
        <v>134.65299999999999</v>
      </c>
      <c r="R43" s="35">
        <f t="shared" si="109"/>
        <v>135.83699999999999</v>
      </c>
      <c r="S43" s="36">
        <f t="shared" si="109"/>
        <v>133.45099999999999</v>
      </c>
      <c r="T43" s="35">
        <f t="shared" si="109"/>
        <v>119.828</v>
      </c>
      <c r="U43" s="35">
        <f t="shared" si="109"/>
        <v>109.44799999999999</v>
      </c>
      <c r="V43" s="35">
        <f t="shared" si="109"/>
        <v>107.578</v>
      </c>
      <c r="W43" s="36">
        <f t="shared" si="109"/>
        <v>110.126</v>
      </c>
      <c r="X43" s="35">
        <f t="shared" si="109"/>
        <v>114.398</v>
      </c>
      <c r="Y43" s="35">
        <f t="shared" si="109"/>
        <v>122.78</v>
      </c>
      <c r="Z43" s="35">
        <f t="shared" si="109"/>
        <v>126.98699999999999</v>
      </c>
      <c r="AA43" s="36">
        <f t="shared" si="109"/>
        <v>128.13999999999999</v>
      </c>
      <c r="AB43" s="35">
        <f t="shared" si="109"/>
        <v>122.745</v>
      </c>
      <c r="AC43" s="35">
        <f t="shared" si="109"/>
        <v>130.46</v>
      </c>
      <c r="AD43" s="35">
        <f t="shared" si="109"/>
        <v>128.476</v>
      </c>
      <c r="AE43" s="35">
        <f t="shared" si="109"/>
        <v>123.889</v>
      </c>
      <c r="AF43" s="37">
        <f t="shared" si="109"/>
        <v>124.378</v>
      </c>
      <c r="AG43" s="35">
        <f t="shared" si="109"/>
        <v>127.53700000000001</v>
      </c>
      <c r="AH43" s="35">
        <f t="shared" si="109"/>
        <v>129.69399999999999</v>
      </c>
      <c r="AI43" s="35">
        <f t="shared" si="109"/>
        <v>130.39400000000001</v>
      </c>
      <c r="AJ43" s="37">
        <f t="shared" ref="AJ43:BK43" si="110">AJ37-AJ42</f>
        <v>125.164</v>
      </c>
      <c r="AK43" s="35">
        <f t="shared" si="110"/>
        <v>128.11000000000001</v>
      </c>
      <c r="AL43" s="35">
        <f t="shared" si="110"/>
        <v>128.947</v>
      </c>
      <c r="AM43" s="35">
        <f t="shared" si="110"/>
        <v>131.03399999999999</v>
      </c>
      <c r="AN43" s="37">
        <f t="shared" si="110"/>
        <v>128.64599999999999</v>
      </c>
      <c r="AO43" s="35">
        <f t="shared" si="110"/>
        <v>136.25800000000001</v>
      </c>
      <c r="AP43" s="35">
        <f t="shared" si="110"/>
        <v>140.095</v>
      </c>
      <c r="AQ43" s="35">
        <f t="shared" si="110"/>
        <v>154.797</v>
      </c>
      <c r="AR43" s="37">
        <f t="shared" si="110"/>
        <v>151.70599999999999</v>
      </c>
      <c r="AS43" s="35">
        <f t="shared" si="110"/>
        <v>154.233</v>
      </c>
      <c r="AT43" s="35">
        <f t="shared" si="110"/>
        <v>160.78399999999999</v>
      </c>
      <c r="AU43" s="35">
        <f t="shared" si="110"/>
        <v>170.73599999999999</v>
      </c>
      <c r="AV43" s="37">
        <f t="shared" si="110"/>
        <v>157.428</v>
      </c>
      <c r="AW43" s="35">
        <f t="shared" si="110"/>
        <v>160.23500000000001</v>
      </c>
      <c r="AX43" s="35">
        <f t="shared" si="110"/>
        <v>163.227</v>
      </c>
      <c r="AY43" s="35">
        <f t="shared" si="110"/>
        <v>172.92599999999999</v>
      </c>
      <c r="AZ43" s="37">
        <f t="shared" si="110"/>
        <v>183.95400000000001</v>
      </c>
      <c r="BA43" s="35">
        <f t="shared" si="110"/>
        <v>235.232</v>
      </c>
      <c r="BB43" s="35">
        <f t="shared" ref="BB43:BD43" si="111">BB37-BB42</f>
        <v>275.67</v>
      </c>
      <c r="BC43" s="35">
        <f t="shared" si="111"/>
        <v>273.74599999999998</v>
      </c>
      <c r="BD43" s="37">
        <f t="shared" si="111"/>
        <v>288.59699999999998</v>
      </c>
      <c r="BE43" s="35">
        <f t="shared" si="110"/>
        <v>270.25860003071853</v>
      </c>
      <c r="BF43" s="35">
        <f t="shared" si="110"/>
        <v>282.14554227780593</v>
      </c>
      <c r="BG43" s="36">
        <f t="shared" si="110"/>
        <v>291.45941697912656</v>
      </c>
      <c r="BH43" s="37">
        <f t="shared" si="110"/>
        <v>283.87533416966085</v>
      </c>
      <c r="BI43" s="35">
        <f t="shared" si="110"/>
        <v>290.36455393773241</v>
      </c>
      <c r="BJ43" s="35">
        <f t="shared" si="110"/>
        <v>295.68847903519952</v>
      </c>
      <c r="BK43" s="36">
        <f t="shared" si="110"/>
        <v>301.85124374377955</v>
      </c>
      <c r="BL43" s="37">
        <f t="shared" ref="BL43:BO43" si="112">BL37-BL42</f>
        <v>297.14524813811425</v>
      </c>
      <c r="BM43" s="35">
        <f t="shared" si="112"/>
        <v>303.43238064291859</v>
      </c>
      <c r="BN43" s="35">
        <f t="shared" si="112"/>
        <v>308.21957492223464</v>
      </c>
      <c r="BO43" s="36">
        <f t="shared" si="112"/>
        <v>313.69117940177165</v>
      </c>
      <c r="BP43" s="253"/>
      <c r="BQ43" s="37">
        <f t="shared" ref="BQ43:CE43" si="113">BQ37-BQ42</f>
        <v>497.09699999999998</v>
      </c>
      <c r="BR43" s="35">
        <f t="shared" si="113"/>
        <v>469.39599999999996</v>
      </c>
      <c r="BS43" s="35">
        <f t="shared" si="113"/>
        <v>509.553</v>
      </c>
      <c r="BT43" s="35">
        <f t="shared" si="113"/>
        <v>533.48</v>
      </c>
      <c r="BU43" s="35">
        <f t="shared" si="113"/>
        <v>446.98</v>
      </c>
      <c r="BV43" s="35">
        <f t="shared" si="113"/>
        <v>492.30499999999995</v>
      </c>
      <c r="BW43" s="35">
        <f t="shared" si="113"/>
        <v>505.57000000000005</v>
      </c>
      <c r="BX43" s="35">
        <f t="shared" si="113"/>
        <v>512.00300000000004</v>
      </c>
      <c r="BY43" s="35">
        <f t="shared" si="113"/>
        <v>513.255</v>
      </c>
      <c r="BZ43" s="37">
        <f t="shared" si="113"/>
        <v>559.79600000000005</v>
      </c>
      <c r="CA43" s="35">
        <f t="shared" si="113"/>
        <v>637.45899999999995</v>
      </c>
      <c r="CB43" s="35">
        <f t="shared" si="113"/>
        <v>653.81600000000003</v>
      </c>
      <c r="CC43" s="35">
        <f t="shared" si="113"/>
        <v>968.60199999999998</v>
      </c>
      <c r="CD43" s="35">
        <f t="shared" si="113"/>
        <v>1132.460559287651</v>
      </c>
      <c r="CE43" s="35">
        <f t="shared" si="113"/>
        <v>1171.7796108863722</v>
      </c>
      <c r="CF43" s="36">
        <f t="shared" ref="CF43" si="114">CF37-CF42</f>
        <v>1222.4883831050392</v>
      </c>
      <c r="CG43" s="23"/>
      <c r="CH43" s="37">
        <f t="shared" ref="CH43:CU43" si="115">CH37-CH42</f>
        <v>484.46899999999999</v>
      </c>
      <c r="CI43" s="35">
        <f t="shared" si="115"/>
        <v>477.56700000000001</v>
      </c>
      <c r="CJ43" s="35">
        <f t="shared" si="115"/>
        <v>516.01499999999999</v>
      </c>
      <c r="CK43" s="35">
        <f t="shared" si="115"/>
        <v>523.76900000000001</v>
      </c>
      <c r="CL43" s="35">
        <f t="shared" si="115"/>
        <v>441.55000000000007</v>
      </c>
      <c r="CM43" s="35">
        <f t="shared" si="115"/>
        <v>500.65199999999999</v>
      </c>
      <c r="CN43" s="35">
        <f t="shared" si="115"/>
        <v>507.20300000000003</v>
      </c>
      <c r="CO43" s="35">
        <f t="shared" si="115"/>
        <v>512.78899999999999</v>
      </c>
      <c r="CP43" s="35">
        <f t="shared" si="115"/>
        <v>516.73699999999997</v>
      </c>
      <c r="CQ43" s="35">
        <f t="shared" si="115"/>
        <v>582.85599999999999</v>
      </c>
      <c r="CR43" s="35">
        <f t="shared" si="115"/>
        <v>643.18100000000004</v>
      </c>
      <c r="CS43" s="35">
        <f t="shared" si="115"/>
        <v>680.34199999999998</v>
      </c>
      <c r="CT43" s="35">
        <f t="shared" si="115"/>
        <v>1073.2449999999999</v>
      </c>
      <c r="CU43" s="35">
        <f t="shared" si="115"/>
        <v>1127.7388934573119</v>
      </c>
      <c r="CV43" s="36">
        <f t="shared" ref="CV43" si="116">CV37-CV42</f>
        <v>1185.0495248548259</v>
      </c>
      <c r="CW43" s="17"/>
    </row>
    <row r="44" spans="1:112" ht="14.25" hidden="1" customHeight="1" outlineLevel="1">
      <c r="A44" s="8"/>
      <c r="B44" s="38" t="s">
        <v>332</v>
      </c>
      <c r="C44" s="39"/>
      <c r="D44" s="40">
        <f t="shared" ref="D44:AI44" si="117">D43/D10</f>
        <v>0.21968318932848269</v>
      </c>
      <c r="E44" s="40">
        <f t="shared" si="117"/>
        <v>0.20976734478886117</v>
      </c>
      <c r="F44" s="40">
        <f t="shared" si="117"/>
        <v>0.20469389577209415</v>
      </c>
      <c r="G44" s="41">
        <f t="shared" si="117"/>
        <v>0.19883947085014386</v>
      </c>
      <c r="H44" s="40">
        <f t="shared" si="117"/>
        <v>0.20643304480926153</v>
      </c>
      <c r="I44" s="40">
        <f t="shared" si="117"/>
        <v>0.19963507566813352</v>
      </c>
      <c r="J44" s="40">
        <f t="shared" si="117"/>
        <v>0.19730512677091075</v>
      </c>
      <c r="K44" s="41">
        <f t="shared" si="117"/>
        <v>0.1984520865178343</v>
      </c>
      <c r="L44" s="40">
        <f t="shared" si="117"/>
        <v>0.19652543252457028</v>
      </c>
      <c r="M44" s="40">
        <f t="shared" si="117"/>
        <v>0.21204954785324437</v>
      </c>
      <c r="N44" s="40">
        <f t="shared" si="117"/>
        <v>0.20746123858374454</v>
      </c>
      <c r="O44" s="41">
        <f t="shared" si="117"/>
        <v>0.21119186839058154</v>
      </c>
      <c r="P44" s="40">
        <f t="shared" si="117"/>
        <v>0.21100684303373951</v>
      </c>
      <c r="Q44" s="40">
        <f t="shared" si="117"/>
        <v>0.20736902085194195</v>
      </c>
      <c r="R44" s="40">
        <f t="shared" si="117"/>
        <v>0.20613032750316393</v>
      </c>
      <c r="S44" s="41">
        <f t="shared" si="117"/>
        <v>0.20198548197658225</v>
      </c>
      <c r="T44" s="40">
        <f t="shared" si="117"/>
        <v>0.25143893119359423</v>
      </c>
      <c r="U44" s="40">
        <f t="shared" si="117"/>
        <v>0.23053914919072854</v>
      </c>
      <c r="V44" s="40">
        <f t="shared" si="117"/>
        <v>0.21865847139480196</v>
      </c>
      <c r="W44" s="41">
        <f t="shared" si="117"/>
        <v>0.1926627011896431</v>
      </c>
      <c r="X44" s="40">
        <f t="shared" si="117"/>
        <v>0.18972010819542176</v>
      </c>
      <c r="Y44" s="40">
        <f t="shared" si="117"/>
        <v>0.18373638213815396</v>
      </c>
      <c r="Z44" s="40">
        <f t="shared" si="117"/>
        <v>0.17629982368212804</v>
      </c>
      <c r="AA44" s="41">
        <f t="shared" si="117"/>
        <v>0.16641774568500889</v>
      </c>
      <c r="AB44" s="40">
        <f t="shared" si="117"/>
        <v>0.16848912291490506</v>
      </c>
      <c r="AC44" s="40">
        <f t="shared" si="117"/>
        <v>0.16497635246212602</v>
      </c>
      <c r="AD44" s="40">
        <f t="shared" si="117"/>
        <v>0.1695153199226285</v>
      </c>
      <c r="AE44" s="40">
        <f t="shared" si="117"/>
        <v>0.17299695308419932</v>
      </c>
      <c r="AF44" s="42">
        <f t="shared" si="117"/>
        <v>0.1919241796258977</v>
      </c>
      <c r="AG44" s="40">
        <f t="shared" si="117"/>
        <v>0.18891739520718595</v>
      </c>
      <c r="AH44" s="40">
        <f t="shared" si="117"/>
        <v>0.18988149792248024</v>
      </c>
      <c r="AI44" s="40">
        <f t="shared" si="117"/>
        <v>0.18762698499490621</v>
      </c>
      <c r="AJ44" s="42">
        <f t="shared" ref="AJ44:BK44" si="118">AJ43/AJ10</f>
        <v>0.20118495372379583</v>
      </c>
      <c r="AK44" s="40">
        <f t="shared" si="118"/>
        <v>0.19432688661357606</v>
      </c>
      <c r="AL44" s="40">
        <f t="shared" si="118"/>
        <v>0.19126721370807451</v>
      </c>
      <c r="AM44" s="40">
        <f t="shared" si="118"/>
        <v>0.1932275821999519</v>
      </c>
      <c r="AN44" s="42">
        <f t="shared" si="118"/>
        <v>0.20477271352576568</v>
      </c>
      <c r="AO44" s="40">
        <f t="shared" si="118"/>
        <v>0.19618565488326023</v>
      </c>
      <c r="AP44" s="40">
        <f t="shared" si="118"/>
        <v>0.19250376501885258</v>
      </c>
      <c r="AQ44" s="40">
        <f t="shared" si="118"/>
        <v>0.19011061753988656</v>
      </c>
      <c r="AR44" s="42">
        <f t="shared" si="118"/>
        <v>0.19651392641835472</v>
      </c>
      <c r="AS44" s="40">
        <f t="shared" si="118"/>
        <v>0.18785557946892825</v>
      </c>
      <c r="AT44" s="40">
        <f t="shared" si="118"/>
        <v>0.18622946262588821</v>
      </c>
      <c r="AU44" s="40">
        <f t="shared" si="118"/>
        <v>0.17444790246872963</v>
      </c>
      <c r="AV44" s="1209">
        <f t="shared" si="118"/>
        <v>0.2046036736333047</v>
      </c>
      <c r="AW44" s="1207">
        <f t="shared" si="118"/>
        <v>0.20575500214441825</v>
      </c>
      <c r="AX44" s="1207">
        <f t="shared" si="118"/>
        <v>0.18770548453238362</v>
      </c>
      <c r="AY44" s="1207">
        <f t="shared" si="118"/>
        <v>0.17230175075700735</v>
      </c>
      <c r="AZ44" s="1209">
        <f t="shared" si="118"/>
        <v>0.18685985764625695</v>
      </c>
      <c r="BA44" s="1282">
        <f t="shared" si="118"/>
        <v>0.2049091362059684</v>
      </c>
      <c r="BB44" s="1282">
        <f t="shared" ref="BB44:BD44" si="119">BB43/BB10</f>
        <v>0.19225163225938732</v>
      </c>
      <c r="BC44" s="1440">
        <f t="shared" si="119"/>
        <v>0.17762219612372415</v>
      </c>
      <c r="BD44" s="1442">
        <f t="shared" si="119"/>
        <v>0.1900384822049434</v>
      </c>
      <c r="BE44" s="40">
        <f t="shared" si="118"/>
        <v>0.1838025212589712</v>
      </c>
      <c r="BF44" s="40">
        <f t="shared" si="118"/>
        <v>0.18642051991792152</v>
      </c>
      <c r="BG44" s="41">
        <f t="shared" si="118"/>
        <v>0.1864205199179215</v>
      </c>
      <c r="BH44" s="1422">
        <f t="shared" si="118"/>
        <v>0.19153768759326709</v>
      </c>
      <c r="BI44" s="1420">
        <f t="shared" si="118"/>
        <v>0.18735067614603262</v>
      </c>
      <c r="BJ44" s="1420">
        <f t="shared" si="118"/>
        <v>0.18403705533483938</v>
      </c>
      <c r="BK44" s="1421">
        <f t="shared" si="118"/>
        <v>0.18035482972637662</v>
      </c>
      <c r="BL44" s="1442">
        <f t="shared" ref="BL44:BO44" si="120">BL43/BL10</f>
        <v>0.18727537292060184</v>
      </c>
      <c r="BM44" s="1440">
        <f t="shared" si="120"/>
        <v>0.18347378782681129</v>
      </c>
      <c r="BN44" s="1440">
        <f t="shared" si="120"/>
        <v>0.18066769941623317</v>
      </c>
      <c r="BO44" s="1441">
        <f t="shared" si="120"/>
        <v>0.17757040160032891</v>
      </c>
      <c r="BP44" s="253"/>
      <c r="BQ44" s="1283">
        <f t="shared" ref="BQ44:CE44" si="121">BQ43/BQ10</f>
        <v>0.20809416244419809</v>
      </c>
      <c r="BR44" s="1282">
        <f t="shared" si="121"/>
        <v>0.20034666157899611</v>
      </c>
      <c r="BS44" s="1282">
        <f t="shared" si="121"/>
        <v>0.20673861260564583</v>
      </c>
      <c r="BT44" s="1282">
        <f t="shared" si="121"/>
        <v>0.20654055412242914</v>
      </c>
      <c r="BU44" s="1282">
        <f t="shared" si="121"/>
        <v>0.22183643124152569</v>
      </c>
      <c r="BV44" s="1282">
        <f t="shared" si="121"/>
        <v>0.17827429483147403</v>
      </c>
      <c r="BW44" s="1282">
        <f t="shared" si="121"/>
        <v>0.16889941603303357</v>
      </c>
      <c r="BX44" s="1282">
        <f t="shared" si="121"/>
        <v>0.18955056787092278</v>
      </c>
      <c r="BY44" s="1282">
        <f t="shared" si="121"/>
        <v>0.19488064080459003</v>
      </c>
      <c r="BZ44" s="1442">
        <f t="shared" si="121"/>
        <v>0.19540675648646511</v>
      </c>
      <c r="CA44" s="1440">
        <f t="shared" si="121"/>
        <v>0.18557261348458789</v>
      </c>
      <c r="CB44" s="1440">
        <f t="shared" si="121"/>
        <v>0.1910955398784536</v>
      </c>
      <c r="CC44" s="1440">
        <f t="shared" si="121"/>
        <v>0.18964296252004156</v>
      </c>
      <c r="CD44" s="1440">
        <f t="shared" si="121"/>
        <v>0.1866916872985791</v>
      </c>
      <c r="CE44" s="1440">
        <f t="shared" si="121"/>
        <v>0.18563543899348653</v>
      </c>
      <c r="CF44" s="1441">
        <f t="shared" ref="CF44" si="122">CF43/CF10</f>
        <v>0.18210569873752958</v>
      </c>
      <c r="CG44" s="23"/>
      <c r="CH44" s="42">
        <f t="shared" ref="CH44:CU44" si="123">CH43/CH10</f>
        <v>0.20485830678532435</v>
      </c>
      <c r="CI44" s="40">
        <f t="shared" si="123"/>
        <v>0.19795047414404129</v>
      </c>
      <c r="CJ44" s="40">
        <f t="shared" si="123"/>
        <v>0.21041525221571827</v>
      </c>
      <c r="CK44" s="40">
        <f t="shared" si="123"/>
        <v>0.21416868151706481</v>
      </c>
      <c r="CL44" s="40">
        <f t="shared" si="123"/>
        <v>0.20620439149273209</v>
      </c>
      <c r="CM44" s="1440">
        <f t="shared" si="123"/>
        <v>0.17341456115363088</v>
      </c>
      <c r="CN44" s="1440">
        <f t="shared" si="123"/>
        <v>0.17412459309946124</v>
      </c>
      <c r="CO44" s="1440">
        <f t="shared" si="123"/>
        <v>0.19168120130770652</v>
      </c>
      <c r="CP44" s="1440">
        <f t="shared" si="123"/>
        <v>0.19574906062710218</v>
      </c>
      <c r="CQ44" s="1440">
        <f t="shared" si="123"/>
        <v>0.19373506118122494</v>
      </c>
      <c r="CR44" s="1440">
        <f t="shared" si="123"/>
        <v>0.18737784174087083</v>
      </c>
      <c r="CS44" s="1207">
        <f t="shared" si="123"/>
        <v>0.18709068704490037</v>
      </c>
      <c r="CT44" s="1207">
        <f t="shared" si="123"/>
        <v>0.19023506836086709</v>
      </c>
      <c r="CU44" s="1440">
        <f t="shared" si="123"/>
        <v>0.18703992521023546</v>
      </c>
      <c r="CV44" s="1441">
        <f t="shared" ref="CV44" si="124">CV43/CV10</f>
        <v>0.18467771122107307</v>
      </c>
      <c r="CW44" s="17"/>
    </row>
    <row r="45" spans="1:112" ht="14.25" customHeight="1" collapsed="1">
      <c r="A45" s="8"/>
      <c r="B45" s="56"/>
      <c r="C45" s="57"/>
      <c r="D45" s="45"/>
      <c r="E45" s="45"/>
      <c r="F45" s="45"/>
      <c r="G45" s="46"/>
      <c r="H45" s="45"/>
      <c r="I45" s="45"/>
      <c r="J45" s="45"/>
      <c r="K45" s="46"/>
      <c r="L45" s="45"/>
      <c r="M45" s="45"/>
      <c r="N45" s="45"/>
      <c r="O45" s="46"/>
      <c r="P45" s="45"/>
      <c r="Q45" s="45"/>
      <c r="R45" s="45"/>
      <c r="S45" s="46"/>
      <c r="T45" s="45"/>
      <c r="U45" s="45"/>
      <c r="V45" s="45"/>
      <c r="W45" s="46"/>
      <c r="X45" s="45"/>
      <c r="Y45" s="45"/>
      <c r="Z45" s="45"/>
      <c r="AA45" s="46"/>
      <c r="AB45" s="45"/>
      <c r="AC45" s="45"/>
      <c r="AD45" s="45"/>
      <c r="AE45" s="45"/>
      <c r="AF45" s="47"/>
      <c r="AG45" s="45"/>
      <c r="AH45" s="45"/>
      <c r="AI45" s="45"/>
      <c r="AJ45" s="47"/>
      <c r="AK45" s="45"/>
      <c r="AL45" s="45"/>
      <c r="AM45" s="45"/>
      <c r="AN45" s="47"/>
      <c r="AO45" s="45"/>
      <c r="AP45" s="45"/>
      <c r="AQ45" s="45"/>
      <c r="AR45" s="47"/>
      <c r="AS45" s="45"/>
      <c r="AT45" s="45"/>
      <c r="AU45" s="45"/>
      <c r="AV45" s="47"/>
      <c r="AW45" s="45"/>
      <c r="AX45" s="45"/>
      <c r="AY45" s="45"/>
      <c r="AZ45" s="47"/>
      <c r="BA45" s="45"/>
      <c r="BB45" s="45"/>
      <c r="BC45" s="45"/>
      <c r="BD45" s="47"/>
      <c r="BE45" s="45"/>
      <c r="BF45" s="45"/>
      <c r="BG45" s="46"/>
      <c r="BH45" s="47"/>
      <c r="BI45" s="45"/>
      <c r="BJ45" s="45"/>
      <c r="BK45" s="46"/>
      <c r="BL45" s="47"/>
      <c r="BM45" s="45"/>
      <c r="BN45" s="45"/>
      <c r="BO45" s="46"/>
      <c r="BP45" s="253"/>
      <c r="BQ45" s="58"/>
      <c r="BR45" s="48"/>
      <c r="BS45" s="48"/>
      <c r="BT45" s="48"/>
      <c r="BU45" s="48"/>
      <c r="BV45" s="48"/>
      <c r="BW45" s="48"/>
      <c r="BX45" s="48"/>
      <c r="BY45" s="48"/>
      <c r="BZ45" s="58"/>
      <c r="CA45" s="48"/>
      <c r="CB45" s="48"/>
      <c r="CC45" s="1449"/>
      <c r="CD45" s="1449"/>
      <c r="CE45" s="1449"/>
      <c r="CF45" s="1450"/>
      <c r="CG45" s="23"/>
      <c r="CH45" s="101"/>
      <c r="CI45" s="102"/>
      <c r="CJ45" s="102"/>
      <c r="CK45" s="102"/>
      <c r="CL45" s="102"/>
      <c r="CM45" s="102"/>
      <c r="CN45" s="102"/>
      <c r="CO45" s="102"/>
      <c r="CP45" s="102"/>
      <c r="CQ45" s="102"/>
      <c r="CR45" s="102"/>
      <c r="CS45" s="102"/>
      <c r="CT45" s="102"/>
      <c r="CU45" s="102"/>
      <c r="CV45" s="103"/>
      <c r="CW45" s="17"/>
    </row>
    <row r="46" spans="1:112" ht="14.25" customHeight="1">
      <c r="A46" s="8"/>
      <c r="B46" s="26" t="s">
        <v>163</v>
      </c>
      <c r="C46" s="27"/>
      <c r="D46" s="33">
        <v>83.340999999999994</v>
      </c>
      <c r="E46" s="33">
        <v>85.813000000000002</v>
      </c>
      <c r="F46" s="33">
        <v>84.406999999999996</v>
      </c>
      <c r="G46" s="34">
        <v>84.715000000000003</v>
      </c>
      <c r="H46" s="33">
        <v>94.837999999999994</v>
      </c>
      <c r="I46" s="33">
        <v>95.881</v>
      </c>
      <c r="J46" s="33">
        <v>98.043999999999997</v>
      </c>
      <c r="K46" s="34">
        <v>99.111000000000004</v>
      </c>
      <c r="L46" s="33">
        <v>101.98</v>
      </c>
      <c r="M46" s="33">
        <v>90.21</v>
      </c>
      <c r="N46" s="33">
        <v>99.906000000000006</v>
      </c>
      <c r="O46" s="34">
        <v>97.409000000000006</v>
      </c>
      <c r="P46" s="33">
        <v>100.351</v>
      </c>
      <c r="Q46" s="33">
        <v>104.18300000000001</v>
      </c>
      <c r="R46" s="33">
        <v>104.767</v>
      </c>
      <c r="S46" s="34">
        <v>106.381</v>
      </c>
      <c r="T46" s="33">
        <v>87.846000000000004</v>
      </c>
      <c r="U46" s="33">
        <v>82.275999999999996</v>
      </c>
      <c r="V46" s="33">
        <v>79.706000000000003</v>
      </c>
      <c r="W46" s="34">
        <v>83.355999999999995</v>
      </c>
      <c r="X46" s="33">
        <v>88.480999999999995</v>
      </c>
      <c r="Y46" s="33">
        <v>97.66</v>
      </c>
      <c r="Z46" s="33">
        <v>102.07</v>
      </c>
      <c r="AA46" s="34">
        <v>102.349</v>
      </c>
      <c r="AB46" s="33">
        <v>100.02200000000001</v>
      </c>
      <c r="AC46" s="33">
        <v>105.268</v>
      </c>
      <c r="AD46" s="33">
        <v>102.32299999999999</v>
      </c>
      <c r="AE46" s="33">
        <v>99.093999999999994</v>
      </c>
      <c r="AF46" s="638">
        <v>99.045000000000002</v>
      </c>
      <c r="AG46" s="33">
        <v>99.992000000000004</v>
      </c>
      <c r="AH46" s="33">
        <v>99.873000000000005</v>
      </c>
      <c r="AI46" s="33">
        <v>97.608999999999995</v>
      </c>
      <c r="AJ46" s="638">
        <v>97.56</v>
      </c>
      <c r="AK46" s="33">
        <v>102.703</v>
      </c>
      <c r="AL46" s="33">
        <v>97.772999999999996</v>
      </c>
      <c r="AM46" s="33">
        <v>98.197000000000003</v>
      </c>
      <c r="AN46" s="638">
        <v>98.177999999999997</v>
      </c>
      <c r="AO46" s="33">
        <v>102.08499999999999</v>
      </c>
      <c r="AP46" s="33">
        <v>132.989</v>
      </c>
      <c r="AQ46" s="33">
        <v>121.42400000000001</v>
      </c>
      <c r="AR46" s="638">
        <v>120.17100000000001</v>
      </c>
      <c r="AS46" s="33">
        <v>117.371</v>
      </c>
      <c r="AT46" s="33">
        <v>120.03</v>
      </c>
      <c r="AU46" s="33">
        <v>121.4</v>
      </c>
      <c r="AV46" s="638">
        <v>107.462</v>
      </c>
      <c r="AW46" s="33">
        <v>112.18600000000001</v>
      </c>
      <c r="AX46" s="33">
        <v>122.90900000000001</v>
      </c>
      <c r="AY46" s="33">
        <v>118.881</v>
      </c>
      <c r="AZ46" s="638">
        <v>130.65899999999999</v>
      </c>
      <c r="BA46" s="33">
        <v>190.68600000000001</v>
      </c>
      <c r="BB46" s="33">
        <v>183.98</v>
      </c>
      <c r="BC46" s="33">
        <v>185.721</v>
      </c>
      <c r="BD46" s="638">
        <v>176.90799999999999</v>
      </c>
      <c r="BE46" s="35">
        <f t="shared" ref="BE46:BK46" si="125">BD46*(1+BE12*BE48)</f>
        <v>161.73222532672335</v>
      </c>
      <c r="BF46" s="35">
        <f t="shared" si="125"/>
        <v>168.84578849079352</v>
      </c>
      <c r="BG46" s="36">
        <f t="shared" si="125"/>
        <v>174.41953778753242</v>
      </c>
      <c r="BH46" s="37">
        <f t="shared" si="125"/>
        <v>169.88095662971682</v>
      </c>
      <c r="BI46" s="35">
        <f t="shared" si="125"/>
        <v>173.76433334226209</v>
      </c>
      <c r="BJ46" s="35">
        <f t="shared" si="125"/>
        <v>176.95035685229391</v>
      </c>
      <c r="BK46" s="36">
        <f t="shared" si="125"/>
        <v>180.63837140713269</v>
      </c>
      <c r="BL46" s="37">
        <f t="shared" ref="BL46" si="126">BK46*(1+BL12*BL48)</f>
        <v>177.82213857829572</v>
      </c>
      <c r="BM46" s="35">
        <f t="shared" ref="BM46" si="127">BL46*(1+BM12*BM48)</f>
        <v>181.58457918447959</v>
      </c>
      <c r="BN46" s="35">
        <f t="shared" ref="BN46" si="128">BM46*(1+BN12*BN48)</f>
        <v>184.44940414759694</v>
      </c>
      <c r="BO46" s="36">
        <f t="shared" ref="BO46" si="129">BN46*(1+BO12*BO48)</f>
        <v>187.72380417957598</v>
      </c>
      <c r="BP46" s="253"/>
      <c r="BQ46" s="37">
        <f>SUM(D46:G46)</f>
        <v>338.27599999999995</v>
      </c>
      <c r="BR46" s="35">
        <f>SUM(H46:K46)</f>
        <v>387.87399999999997</v>
      </c>
      <c r="BS46" s="35">
        <f>SUM(L46:O46)</f>
        <v>389.505</v>
      </c>
      <c r="BT46" s="35">
        <f>SUM(P46:S46)</f>
        <v>415.68200000000002</v>
      </c>
      <c r="BU46" s="35">
        <f>SUM(T46:W46)</f>
        <v>333.18400000000003</v>
      </c>
      <c r="BV46" s="35">
        <f>SUM(X46:AA46)</f>
        <v>390.56</v>
      </c>
      <c r="BW46" s="35">
        <f>SUM(AB46:AE46)</f>
        <v>406.70699999999999</v>
      </c>
      <c r="BX46" s="35">
        <f>SUM(AF46:AI46)</f>
        <v>396.51900000000001</v>
      </c>
      <c r="BY46" s="35">
        <f>SUM(AJ46:AM46)</f>
        <v>396.233</v>
      </c>
      <c r="BZ46" s="37">
        <f>SUM(AN46:AQ46)</f>
        <v>454.67599999999993</v>
      </c>
      <c r="CA46" s="35">
        <f>SUM(AR46:AU46)</f>
        <v>478.97199999999998</v>
      </c>
      <c r="CB46" s="35">
        <f>SUM(AV46:AY46)</f>
        <v>461.43799999999999</v>
      </c>
      <c r="CC46" s="35">
        <f>SUM(AZ46:BC46)</f>
        <v>691.04600000000005</v>
      </c>
      <c r="CD46" s="35">
        <f>SUM(BD46:BG46)</f>
        <v>681.90555160504937</v>
      </c>
      <c r="CE46" s="35">
        <f>SUM(BH46:BK46)</f>
        <v>701.23401823140546</v>
      </c>
      <c r="CF46" s="36">
        <f>SUM(BL46:BO46)</f>
        <v>731.57992608994823</v>
      </c>
      <c r="CG46" s="23"/>
      <c r="CH46" s="37">
        <f>SUM(E46:H46)</f>
        <v>349.77300000000002</v>
      </c>
      <c r="CI46" s="35">
        <f>SUM(I46:L46)</f>
        <v>395.01600000000002</v>
      </c>
      <c r="CJ46" s="35">
        <f>SUM(M46:P46)</f>
        <v>387.87599999999998</v>
      </c>
      <c r="CK46" s="35">
        <f>SUM(Q46:T46)</f>
        <v>403.17700000000002</v>
      </c>
      <c r="CL46" s="35">
        <f>SUM(U46:X46)</f>
        <v>333.81899999999996</v>
      </c>
      <c r="CM46" s="35">
        <f>SUM(Y46:AB46)</f>
        <v>402.101</v>
      </c>
      <c r="CN46" s="35">
        <f>SUM(AC46:AF46)</f>
        <v>405.73</v>
      </c>
      <c r="CO46" s="35">
        <f>SUM(AG46:AJ46)</f>
        <v>395.03399999999999</v>
      </c>
      <c r="CP46" s="35">
        <f>SUM(AK46:AN46)</f>
        <v>396.851</v>
      </c>
      <c r="CQ46" s="35">
        <f>SUM(AO46:AR46)</f>
        <v>476.66900000000004</v>
      </c>
      <c r="CR46" s="35">
        <f>SUM(AS46:AV46)</f>
        <v>466.26300000000003</v>
      </c>
      <c r="CS46" s="35">
        <f>SUM(AW46:AZ46)</f>
        <v>484.63499999999999</v>
      </c>
      <c r="CT46" s="35">
        <f>SUM(BA46:BD46)</f>
        <v>737.29499999999996</v>
      </c>
      <c r="CU46" s="35">
        <f>SUM(BE46:BH46)</f>
        <v>674.87850823476606</v>
      </c>
      <c r="CV46" s="36">
        <f>SUM(BI46:BL46)</f>
        <v>709.17520017998447</v>
      </c>
      <c r="CW46" s="17"/>
    </row>
    <row r="47" spans="1:112" ht="14.25" customHeight="1">
      <c r="A47" s="8"/>
      <c r="B47" s="38" t="s">
        <v>332</v>
      </c>
      <c r="C47" s="39"/>
      <c r="D47" s="40">
        <f t="shared" ref="D47:AI47" si="130">D46/D10</f>
        <v>0.1435587112599391</v>
      </c>
      <c r="E47" s="40">
        <f t="shared" si="130"/>
        <v>0.1421389835786433</v>
      </c>
      <c r="F47" s="40">
        <f t="shared" si="130"/>
        <v>0.14492562017526989</v>
      </c>
      <c r="G47" s="41">
        <f t="shared" si="130"/>
        <v>0.13616928937681835</v>
      </c>
      <c r="H47" s="40">
        <f t="shared" si="130"/>
        <v>0.17038011160096725</v>
      </c>
      <c r="I47" s="40">
        <f t="shared" si="130"/>
        <v>0.16598344337613866</v>
      </c>
      <c r="J47" s="40">
        <f t="shared" si="130"/>
        <v>0.16370269570807211</v>
      </c>
      <c r="K47" s="41">
        <f t="shared" si="130"/>
        <v>0.16255059666340835</v>
      </c>
      <c r="L47" s="40">
        <f t="shared" si="130"/>
        <v>0.16283841504794297</v>
      </c>
      <c r="M47" s="40">
        <f t="shared" si="130"/>
        <v>0.1509833752592124</v>
      </c>
      <c r="N47" s="40">
        <f t="shared" si="130"/>
        <v>0.16180917381861293</v>
      </c>
      <c r="O47" s="41">
        <f t="shared" si="130"/>
        <v>0.15621882728027944</v>
      </c>
      <c r="P47" s="40">
        <f t="shared" si="130"/>
        <v>0.16346233725193798</v>
      </c>
      <c r="Q47" s="40">
        <f t="shared" si="130"/>
        <v>0.16044445128900114</v>
      </c>
      <c r="R47" s="40">
        <f t="shared" si="130"/>
        <v>0.15898213315609133</v>
      </c>
      <c r="S47" s="41">
        <f t="shared" si="130"/>
        <v>0.16101353723951711</v>
      </c>
      <c r="T47" s="40">
        <f t="shared" si="130"/>
        <v>0.18433007602256965</v>
      </c>
      <c r="U47" s="40">
        <f t="shared" si="130"/>
        <v>0.17330457421621576</v>
      </c>
      <c r="V47" s="40">
        <f t="shared" si="130"/>
        <v>0.16200702858385621</v>
      </c>
      <c r="W47" s="41">
        <f t="shared" si="130"/>
        <v>0.14582925122463258</v>
      </c>
      <c r="X47" s="40">
        <f t="shared" si="130"/>
        <v>0.14673879694784098</v>
      </c>
      <c r="Y47" s="40">
        <f t="shared" si="130"/>
        <v>0.14614509756973543</v>
      </c>
      <c r="Z47" s="40">
        <f t="shared" si="130"/>
        <v>0.14170681253384054</v>
      </c>
      <c r="AA47" s="41">
        <f t="shared" si="130"/>
        <v>0.13292250548708426</v>
      </c>
      <c r="AB47" s="40">
        <f t="shared" si="130"/>
        <v>0.13729780481644577</v>
      </c>
      <c r="AC47" s="40">
        <f t="shared" si="130"/>
        <v>0.13311919876577558</v>
      </c>
      <c r="AD47" s="40">
        <f t="shared" si="130"/>
        <v>0.13500822006011329</v>
      </c>
      <c r="AE47" s="40">
        <f t="shared" si="130"/>
        <v>0.13837354461595175</v>
      </c>
      <c r="AF47" s="42">
        <f t="shared" si="130"/>
        <v>0.15283354267673574</v>
      </c>
      <c r="AG47" s="40">
        <f t="shared" si="130"/>
        <v>0.14811566981783278</v>
      </c>
      <c r="AH47" s="40">
        <f t="shared" si="130"/>
        <v>0.14622137371051763</v>
      </c>
      <c r="AI47" s="40">
        <f t="shared" si="130"/>
        <v>0.14045187952181692</v>
      </c>
      <c r="AJ47" s="42">
        <f t="shared" ref="AJ47:BK47" si="131">AJ46/AJ10</f>
        <v>0.15681509128258542</v>
      </c>
      <c r="AK47" s="40">
        <f t="shared" si="131"/>
        <v>0.15578763746681837</v>
      </c>
      <c r="AL47" s="40">
        <f t="shared" si="131"/>
        <v>0.14502678841601252</v>
      </c>
      <c r="AM47" s="40">
        <f t="shared" si="131"/>
        <v>0.1448049276469365</v>
      </c>
      <c r="AN47" s="42">
        <f t="shared" si="131"/>
        <v>0.15627516960132942</v>
      </c>
      <c r="AO47" s="40">
        <f t="shared" si="131"/>
        <v>0.14698302175841138</v>
      </c>
      <c r="AP47" s="40">
        <f t="shared" si="131"/>
        <v>0.18273944970264597</v>
      </c>
      <c r="AQ47" s="40">
        <f t="shared" si="131"/>
        <v>0.1491242829264339</v>
      </c>
      <c r="AR47" s="42">
        <f t="shared" si="131"/>
        <v>0.15566474003414571</v>
      </c>
      <c r="AS47" s="40">
        <f t="shared" si="131"/>
        <v>0.14295771474228977</v>
      </c>
      <c r="AT47" s="40">
        <f t="shared" si="131"/>
        <v>0.13902578862937459</v>
      </c>
      <c r="AU47" s="40">
        <f t="shared" si="131"/>
        <v>0.12403930840422511</v>
      </c>
      <c r="AV47" s="1209">
        <f t="shared" si="131"/>
        <v>0.13966460843040748</v>
      </c>
      <c r="AW47" s="1207">
        <f t="shared" si="131"/>
        <v>0.1440561092805798</v>
      </c>
      <c r="AX47" s="1207">
        <f t="shared" si="131"/>
        <v>0.1413411592346287</v>
      </c>
      <c r="AY47" s="1207">
        <f t="shared" si="131"/>
        <v>0.11845184895124962</v>
      </c>
      <c r="AZ47" s="1209">
        <f t="shared" si="131"/>
        <v>0.13272297498397581</v>
      </c>
      <c r="BA47" s="1282">
        <f t="shared" si="131"/>
        <v>0.16610539189638862</v>
      </c>
      <c r="BB47" s="1282">
        <f t="shared" ref="BB47:BD47" si="132">BB46/BB10</f>
        <v>0.12830723438561351</v>
      </c>
      <c r="BC47" s="1440">
        <f t="shared" si="132"/>
        <v>0.12050649830972572</v>
      </c>
      <c r="BD47" s="1442">
        <f t="shared" si="132"/>
        <v>0.11649229829108455</v>
      </c>
      <c r="BE47" s="40">
        <f t="shared" si="131"/>
        <v>0.10999387542337945</v>
      </c>
      <c r="BF47" s="40">
        <f t="shared" si="131"/>
        <v>0.11156057764475664</v>
      </c>
      <c r="BG47" s="41">
        <f t="shared" si="131"/>
        <v>0.11156057764475664</v>
      </c>
      <c r="BH47" s="1422">
        <f t="shared" si="131"/>
        <v>0.11462287026156716</v>
      </c>
      <c r="BI47" s="1420">
        <f t="shared" si="131"/>
        <v>0.11211721575602052</v>
      </c>
      <c r="BJ47" s="1420">
        <f t="shared" si="131"/>
        <v>0.11013422884044298</v>
      </c>
      <c r="BK47" s="1421">
        <f t="shared" si="131"/>
        <v>0.10793065588570984</v>
      </c>
      <c r="BL47" s="1442">
        <f t="shared" ref="BL47:BO47" si="133">BL46/BL10</f>
        <v>0.11207215166473236</v>
      </c>
      <c r="BM47" s="1440">
        <f t="shared" si="133"/>
        <v>0.10979714980755644</v>
      </c>
      <c r="BN47" s="1440">
        <f t="shared" si="133"/>
        <v>0.10811788808173257</v>
      </c>
      <c r="BO47" s="1441">
        <f t="shared" si="133"/>
        <v>0.10626435643386327</v>
      </c>
      <c r="BP47" s="253"/>
      <c r="BQ47" s="1283">
        <f t="shared" ref="BQ47:CE47" si="134">BQ46/BQ10</f>
        <v>0.14160870191325547</v>
      </c>
      <c r="BR47" s="1282">
        <f t="shared" si="134"/>
        <v>0.1655516046436091</v>
      </c>
      <c r="BS47" s="1282">
        <f t="shared" si="134"/>
        <v>0.15803208557885456</v>
      </c>
      <c r="BT47" s="1282">
        <f t="shared" si="134"/>
        <v>0.16093422549808725</v>
      </c>
      <c r="BU47" s="1282">
        <f t="shared" si="134"/>
        <v>0.16535941095077297</v>
      </c>
      <c r="BV47" s="1282">
        <f t="shared" si="134"/>
        <v>0.14143022839374067</v>
      </c>
      <c r="BW47" s="1282">
        <f t="shared" si="134"/>
        <v>0.13587154063047049</v>
      </c>
      <c r="BX47" s="1282">
        <f t="shared" si="134"/>
        <v>0.14679679927971206</v>
      </c>
      <c r="BY47" s="1282">
        <f t="shared" si="134"/>
        <v>0.15044790785852086</v>
      </c>
      <c r="BZ47" s="1442">
        <f t="shared" si="134"/>
        <v>0.15871274966637844</v>
      </c>
      <c r="CA47" s="1440">
        <f t="shared" si="134"/>
        <v>0.13943498456518777</v>
      </c>
      <c r="CB47" s="1440">
        <f t="shared" si="134"/>
        <v>0.13486782784519477</v>
      </c>
      <c r="CC47" s="1440">
        <f t="shared" si="134"/>
        <v>0.13530016526666749</v>
      </c>
      <c r="CD47" s="1440">
        <f t="shared" si="134"/>
        <v>0.11241548057752583</v>
      </c>
      <c r="CE47" s="1440">
        <f t="shared" si="134"/>
        <v>0.11109075768359354</v>
      </c>
      <c r="CF47" s="1441">
        <f t="shared" ref="CF47" si="135">CF46/CF10</f>
        <v>0.1089784373120814</v>
      </c>
      <c r="CG47" s="23"/>
      <c r="CH47" s="42">
        <f t="shared" ref="CH47:CU47" si="136">CH46/CH10</f>
        <v>0.14790193911111599</v>
      </c>
      <c r="CI47" s="40">
        <f t="shared" si="136"/>
        <v>0.16373326568729127</v>
      </c>
      <c r="CJ47" s="40">
        <f t="shared" si="136"/>
        <v>0.158164057960377</v>
      </c>
      <c r="CK47" s="40">
        <f t="shared" si="136"/>
        <v>0.16485871922165238</v>
      </c>
      <c r="CL47" s="40">
        <f t="shared" si="136"/>
        <v>0.15589388237733509</v>
      </c>
      <c r="CM47" s="1440">
        <f t="shared" si="136"/>
        <v>0.13927871746130271</v>
      </c>
      <c r="CN47" s="1440">
        <f t="shared" si="136"/>
        <v>0.13928855144438107</v>
      </c>
      <c r="CO47" s="1440">
        <f t="shared" si="136"/>
        <v>0.14766422773770213</v>
      </c>
      <c r="CP47" s="1440">
        <f t="shared" si="136"/>
        <v>0.15033413604778859</v>
      </c>
      <c r="CQ47" s="1440">
        <f t="shared" si="136"/>
        <v>0.15843964526091062</v>
      </c>
      <c r="CR47" s="1440">
        <f t="shared" si="136"/>
        <v>0.13583634252818982</v>
      </c>
      <c r="CS47" s="1207">
        <f t="shared" si="136"/>
        <v>0.13327222943167596</v>
      </c>
      <c r="CT47" s="1207">
        <f t="shared" si="136"/>
        <v>0.13068718207597102</v>
      </c>
      <c r="CU47" s="1440">
        <f t="shared" si="136"/>
        <v>0.11193125149674024</v>
      </c>
      <c r="CV47" s="1441">
        <f t="shared" ref="CV47" si="137">CV46/CV10</f>
        <v>0.1105176197931729</v>
      </c>
      <c r="CW47" s="17"/>
    </row>
    <row r="48" spans="1:112" ht="14.25" hidden="1" customHeight="1" outlineLevel="1">
      <c r="A48" s="8"/>
      <c r="B48" s="38" t="s">
        <v>449</v>
      </c>
      <c r="C48" s="39"/>
      <c r="D48" s="40"/>
      <c r="E48" s="40">
        <f t="shared" ref="E48:AJ48" si="138">(E46/D46-1)/E12</f>
        <v>0.74253711582208337</v>
      </c>
      <c r="F48" s="40">
        <f t="shared" si="138"/>
        <v>0.46418239549101675</v>
      </c>
      <c r="G48" s="41">
        <f t="shared" si="138"/>
        <v>5.3513322687108178E-2</v>
      </c>
      <c r="H48" s="40">
        <f t="shared" si="138"/>
        <v>-1.1349121483968727</v>
      </c>
      <c r="I48" s="40">
        <f t="shared" si="138"/>
        <v>0.29111691591877148</v>
      </c>
      <c r="J48" s="40">
        <f t="shared" si="138"/>
        <v>0.61292602506057581</v>
      </c>
      <c r="K48" s="41">
        <f t="shared" si="138"/>
        <v>0.60300799674570094</v>
      </c>
      <c r="L48" s="40">
        <f t="shared" si="138"/>
        <v>1.0670388171130398</v>
      </c>
      <c r="M48" s="40">
        <f t="shared" si="138"/>
        <v>2.511300177682632</v>
      </c>
      <c r="N48" s="40">
        <f t="shared" si="138"/>
        <v>3.2193197758135144</v>
      </c>
      <c r="O48" s="41">
        <f t="shared" si="138"/>
        <v>-2.5252426644488741</v>
      </c>
      <c r="P48" s="40">
        <f t="shared" si="138"/>
        <v>-1.9550043804602308</v>
      </c>
      <c r="Q48" s="40">
        <f t="shared" si="138"/>
        <v>0.66164401150150853</v>
      </c>
      <c r="R48" s="40">
        <f t="shared" si="138"/>
        <v>0.377346987497233</v>
      </c>
      <c r="S48" s="41">
        <f t="shared" si="138"/>
        <v>5.936891337318225</v>
      </c>
      <c r="T48" s="40">
        <f t="shared" si="138"/>
        <v>0.62519100682967699</v>
      </c>
      <c r="U48" s="40">
        <f t="shared" si="138"/>
        <v>16.593922107935189</v>
      </c>
      <c r="V48" s="40">
        <f t="shared" si="138"/>
        <v>-0.86002340302350799</v>
      </c>
      <c r="W48" s="41">
        <f t="shared" si="138"/>
        <v>0.28300677949295039</v>
      </c>
      <c r="X48" s="40">
        <f t="shared" si="138"/>
        <v>1.1198368822382172</v>
      </c>
      <c r="Y48" s="40">
        <f t="shared" si="138"/>
        <v>0.95856884850841939</v>
      </c>
      <c r="Z48" s="40">
        <f t="shared" si="138"/>
        <v>0.57974045105025207</v>
      </c>
      <c r="AA48" s="41">
        <f t="shared" si="138"/>
        <v>3.9614765106759035E-2</v>
      </c>
      <c r="AB48" s="40">
        <f t="shared" si="138"/>
        <v>0.42198430798074188</v>
      </c>
      <c r="AC48" s="40">
        <f t="shared" si="138"/>
        <v>0.61354155499625207</v>
      </c>
      <c r="AD48" s="40">
        <f t="shared" si="138"/>
        <v>0.67288246823498254</v>
      </c>
      <c r="AE48" s="40">
        <f t="shared" si="138"/>
        <v>0.57261688911425745</v>
      </c>
      <c r="AF48" s="42">
        <f t="shared" si="138"/>
        <v>5.2017441128435638E-3</v>
      </c>
      <c r="AG48" s="40">
        <f t="shared" si="138"/>
        <v>0.22918640960214501</v>
      </c>
      <c r="AH48" s="40">
        <f t="shared" si="138"/>
        <v>-0.10128922517533073</v>
      </c>
      <c r="AI48" s="40">
        <f t="shared" si="138"/>
        <v>-1.2969821178676733</v>
      </c>
      <c r="AJ48" s="42">
        <f t="shared" si="138"/>
        <v>4.7902503886452612E-3</v>
      </c>
      <c r="AK48" s="40">
        <f t="shared" ref="AK48:BD48" si="139">(AK46/AJ46-1)/AK12</f>
        <v>0.88362399979480044</v>
      </c>
      <c r="AL48" s="40">
        <f t="shared" si="139"/>
        <v>-2.1207373852440372</v>
      </c>
      <c r="AM48" s="40">
        <f t="shared" si="139"/>
        <v>0.73809588565375561</v>
      </c>
      <c r="AN48" s="42">
        <f t="shared" si="139"/>
        <v>2.6297425475408994E-3</v>
      </c>
      <c r="AO48" s="40">
        <f t="shared" si="139"/>
        <v>0.37709693715210596</v>
      </c>
      <c r="AP48" s="40">
        <f t="shared" si="139"/>
        <v>6.3299487194876836</v>
      </c>
      <c r="AQ48" s="40">
        <f t="shared" si="139"/>
        <v>-0.73168191608282296</v>
      </c>
      <c r="AR48" s="42">
        <f t="shared" si="139"/>
        <v>0.19882131107940409</v>
      </c>
      <c r="AS48" s="40">
        <f t="shared" si="139"/>
        <v>-0.36684222172372394</v>
      </c>
      <c r="AT48" s="40">
        <f t="shared" si="139"/>
        <v>0.43923642391269374</v>
      </c>
      <c r="AU48" s="40">
        <f t="shared" si="139"/>
        <v>8.5424264196845692E-2</v>
      </c>
      <c r="AV48" s="1209">
        <f t="shared" si="139"/>
        <v>0.53689136717133612</v>
      </c>
      <c r="AW48" s="1207">
        <f t="shared" si="139"/>
        <v>3.622564793456529</v>
      </c>
      <c r="AX48" s="1207">
        <f t="shared" si="139"/>
        <v>0.81955710265661197</v>
      </c>
      <c r="AY48" s="1207">
        <f t="shared" si="139"/>
        <v>-0.21262401506355619</v>
      </c>
      <c r="AZ48" s="1209">
        <f t="shared" si="139"/>
        <v>-5.1858145607708224</v>
      </c>
      <c r="BA48" s="1282">
        <f t="shared" si="139"/>
        <v>2.7656366842776259</v>
      </c>
      <c r="BB48" s="1282">
        <f t="shared" si="139"/>
        <v>-0.14120019085980179</v>
      </c>
      <c r="BC48" s="1440">
        <f t="shared" si="139"/>
        <v>0.12649618964656523</v>
      </c>
      <c r="BD48" s="1442">
        <f t="shared" si="139"/>
        <v>3.243723301410415</v>
      </c>
      <c r="BE48" s="1359">
        <v>2.7</v>
      </c>
      <c r="BF48" s="1359">
        <v>1.5</v>
      </c>
      <c r="BG48" s="1359">
        <v>1</v>
      </c>
      <c r="BH48" s="1359">
        <v>0.5</v>
      </c>
      <c r="BI48" s="1359">
        <v>0.5</v>
      </c>
      <c r="BJ48" s="1359">
        <v>0.5</v>
      </c>
      <c r="BK48" s="1359">
        <v>0.5</v>
      </c>
      <c r="BL48" s="1360">
        <v>0.3</v>
      </c>
      <c r="BM48" s="1359">
        <v>0.5</v>
      </c>
      <c r="BN48" s="1359">
        <v>0.5</v>
      </c>
      <c r="BO48" s="1359">
        <v>0.5</v>
      </c>
      <c r="BP48" s="1359"/>
      <c r="BQ48" s="1283"/>
      <c r="BR48" s="1282">
        <f t="shared" ref="BR48:CF48" si="140">(BR46/BQ46-1)/BR13</f>
        <v>-7.6324791877431473</v>
      </c>
      <c r="BS48" s="1282">
        <f t="shared" si="140"/>
        <v>8.0884656770859195E-2</v>
      </c>
      <c r="BT48" s="1282">
        <f t="shared" si="140"/>
        <v>1.4012653532243837</v>
      </c>
      <c r="BU48" s="1282">
        <f t="shared" si="140"/>
        <v>0.90246233340462589</v>
      </c>
      <c r="BV48" s="1282">
        <f t="shared" si="140"/>
        <v>0.4647466566980899</v>
      </c>
      <c r="BW48" s="1282">
        <f t="shared" si="140"/>
        <v>0.49249783006440284</v>
      </c>
      <c r="BX48" s="1282">
        <f t="shared" si="140"/>
        <v>0.25663325036487167</v>
      </c>
      <c r="BY48" s="1282">
        <f t="shared" si="140"/>
        <v>2.8883390828040253E-2</v>
      </c>
      <c r="BZ48" s="1442">
        <f t="shared" si="140"/>
        <v>1.6810339009846273</v>
      </c>
      <c r="CA48" s="1440">
        <f t="shared" si="140"/>
        <v>0.26841397453895582</v>
      </c>
      <c r="CB48" s="1440">
        <f t="shared" si="140"/>
        <v>9.1902626284632021</v>
      </c>
      <c r="CC48" s="1440">
        <f t="shared" si="140"/>
        <v>1.0097104937391423</v>
      </c>
      <c r="CD48" s="1440">
        <f t="shared" si="140"/>
        <v>-7.0486449928391481E-2</v>
      </c>
      <c r="CE48" s="1440">
        <f t="shared" si="140"/>
        <v>0.69801884809825554</v>
      </c>
      <c r="CF48" s="1441">
        <f t="shared" si="140"/>
        <v>0.68153134606752286</v>
      </c>
      <c r="CG48" s="23"/>
      <c r="CH48" s="42"/>
      <c r="CI48" s="40"/>
      <c r="CJ48" s="40"/>
      <c r="CK48" s="40"/>
      <c r="CL48" s="40"/>
      <c r="CM48" s="1440"/>
      <c r="CN48" s="1440"/>
      <c r="CO48" s="1440"/>
      <c r="CP48" s="1440"/>
      <c r="CQ48" s="1440"/>
      <c r="CR48" s="1440"/>
      <c r="CS48" s="1207"/>
      <c r="CT48" s="1207"/>
      <c r="CU48" s="1440"/>
      <c r="CV48" s="1441"/>
      <c r="CW48" s="17"/>
    </row>
    <row r="49" spans="1:112" s="1368" customFormat="1" ht="14.25" customHeight="1" collapsed="1">
      <c r="A49" s="1361"/>
      <c r="B49" s="1362" t="s">
        <v>584</v>
      </c>
      <c r="C49" s="1363"/>
      <c r="D49" s="1364"/>
      <c r="E49" s="1364"/>
      <c r="F49" s="1364"/>
      <c r="G49" s="1365"/>
      <c r="H49" s="1364"/>
      <c r="I49" s="1364"/>
      <c r="J49" s="1364"/>
      <c r="K49" s="1365"/>
      <c r="L49" s="1364"/>
      <c r="M49" s="1364"/>
      <c r="N49" s="1364"/>
      <c r="O49" s="1365"/>
      <c r="P49" s="1364"/>
      <c r="Q49" s="1364"/>
      <c r="R49" s="1364"/>
      <c r="S49" s="1365"/>
      <c r="T49" s="1364"/>
      <c r="U49" s="1364"/>
      <c r="V49" s="1364"/>
      <c r="W49" s="1365"/>
      <c r="X49" s="1364"/>
      <c r="Y49" s="1364"/>
      <c r="Z49" s="1364"/>
      <c r="AA49" s="1365"/>
      <c r="AB49" s="1364"/>
      <c r="AC49" s="1364"/>
      <c r="AD49" s="1364"/>
      <c r="AE49" s="1364"/>
      <c r="AF49" s="1366"/>
      <c r="AG49" s="1364"/>
      <c r="AH49" s="1364"/>
      <c r="AI49" s="1364"/>
      <c r="AJ49" s="1366"/>
      <c r="AK49" s="1364"/>
      <c r="AL49" s="1364"/>
      <c r="AM49" s="1364"/>
      <c r="AN49" s="1366"/>
      <c r="AO49" s="1364"/>
      <c r="AP49" s="1364"/>
      <c r="AQ49" s="1364"/>
      <c r="AR49" s="1366"/>
      <c r="AS49" s="1364"/>
      <c r="AT49" s="1364"/>
      <c r="AU49" s="1364"/>
      <c r="AV49" s="1366"/>
      <c r="AW49" s="1364"/>
      <c r="AX49" s="1364"/>
      <c r="AY49" s="1364"/>
      <c r="AZ49" s="1366"/>
      <c r="BA49" s="1364">
        <v>0</v>
      </c>
      <c r="BB49" s="1364"/>
      <c r="BC49" s="1365">
        <v>8</v>
      </c>
      <c r="BD49" s="1366"/>
      <c r="BE49" s="1364">
        <v>15</v>
      </c>
      <c r="BF49" s="1364">
        <v>18.75</v>
      </c>
      <c r="BG49" s="1365">
        <f t="shared" ref="BG49:BO49" si="141">BF49</f>
        <v>18.75</v>
      </c>
      <c r="BH49" s="1366">
        <f t="shared" si="141"/>
        <v>18.75</v>
      </c>
      <c r="BI49" s="1364">
        <f t="shared" si="141"/>
        <v>18.75</v>
      </c>
      <c r="BJ49" s="1364">
        <f t="shared" si="141"/>
        <v>18.75</v>
      </c>
      <c r="BK49" s="1365">
        <f t="shared" si="141"/>
        <v>18.75</v>
      </c>
      <c r="BL49" s="1366">
        <f t="shared" si="141"/>
        <v>18.75</v>
      </c>
      <c r="BM49" s="1364">
        <f t="shared" si="141"/>
        <v>18.75</v>
      </c>
      <c r="BN49" s="1364">
        <f t="shared" si="141"/>
        <v>18.75</v>
      </c>
      <c r="BO49" s="1365">
        <f t="shared" si="141"/>
        <v>18.75</v>
      </c>
      <c r="BP49" s="1363"/>
      <c r="BQ49" s="1366"/>
      <c r="BR49" s="1364"/>
      <c r="BS49" s="1364"/>
      <c r="BT49" s="1364"/>
      <c r="BU49" s="1364"/>
      <c r="BV49" s="1364"/>
      <c r="BW49" s="1364"/>
      <c r="BX49" s="1364"/>
      <c r="BY49" s="1364"/>
      <c r="BZ49" s="1366"/>
      <c r="CA49" s="1364"/>
      <c r="CB49" s="1364"/>
      <c r="CC49" s="1364"/>
      <c r="CD49" s="1364"/>
      <c r="CE49" s="1364"/>
      <c r="CF49" s="1365"/>
      <c r="CG49" s="1481"/>
      <c r="CH49" s="1366"/>
      <c r="CI49" s="1364"/>
      <c r="CJ49" s="1364"/>
      <c r="CK49" s="1364"/>
      <c r="CL49" s="1364"/>
      <c r="CM49" s="1364"/>
      <c r="CN49" s="1364"/>
      <c r="CO49" s="1364"/>
      <c r="CP49" s="1364"/>
      <c r="CQ49" s="1364"/>
      <c r="CR49" s="1364"/>
      <c r="CS49" s="1364"/>
      <c r="CT49" s="1364">
        <f>SUM(BA49:BD49)</f>
        <v>8</v>
      </c>
      <c r="CU49" s="1364">
        <f>SUM(BE49:BH49)</f>
        <v>71.25</v>
      </c>
      <c r="CV49" s="1365">
        <f>SUM(BI49:BL49)</f>
        <v>75</v>
      </c>
      <c r="CW49" s="1367"/>
      <c r="CX49"/>
      <c r="CY49"/>
      <c r="CZ49"/>
      <c r="DA49"/>
      <c r="DB49"/>
      <c r="DC49"/>
    </row>
    <row r="50" spans="1:112" ht="14.25" hidden="1" customHeight="1" outlineLevel="1">
      <c r="A50" s="8"/>
      <c r="B50" s="38"/>
      <c r="C50" s="39"/>
      <c r="D50" s="40"/>
      <c r="E50" s="40"/>
      <c r="F50" s="40"/>
      <c r="G50" s="41"/>
      <c r="H50" s="40"/>
      <c r="I50" s="40"/>
      <c r="J50" s="40"/>
      <c r="K50" s="41"/>
      <c r="L50" s="40"/>
      <c r="M50" s="40"/>
      <c r="N50" s="40"/>
      <c r="O50" s="41"/>
      <c r="P50" s="40"/>
      <c r="Q50" s="40"/>
      <c r="R50" s="40"/>
      <c r="S50" s="41"/>
      <c r="T50" s="40"/>
      <c r="U50" s="40"/>
      <c r="V50" s="40"/>
      <c r="W50" s="41"/>
      <c r="X50" s="40"/>
      <c r="Y50" s="40"/>
      <c r="Z50" s="40"/>
      <c r="AA50" s="41"/>
      <c r="AB50" s="40"/>
      <c r="AC50" s="40"/>
      <c r="AD50" s="40"/>
      <c r="AE50" s="40"/>
      <c r="AF50" s="42"/>
      <c r="AG50" s="40"/>
      <c r="AH50" s="40"/>
      <c r="AI50" s="40"/>
      <c r="AJ50" s="42"/>
      <c r="AK50" s="40"/>
      <c r="AL50" s="40"/>
      <c r="AM50" s="40"/>
      <c r="AN50" s="42"/>
      <c r="AO50" s="40"/>
      <c r="AP50" s="40"/>
      <c r="AQ50" s="40"/>
      <c r="AR50" s="42"/>
      <c r="AS50" s="40"/>
      <c r="AT50" s="40"/>
      <c r="AU50" s="40"/>
      <c r="AV50" s="1209"/>
      <c r="AW50" s="1207"/>
      <c r="AX50" s="1207"/>
      <c r="AY50" s="1207"/>
      <c r="AZ50" s="1209"/>
      <c r="BA50" s="1282"/>
      <c r="BB50" s="1282"/>
      <c r="BC50" s="1441"/>
      <c r="BD50" s="1442"/>
      <c r="BE50" s="40"/>
      <c r="BF50" s="40"/>
      <c r="BG50" s="41"/>
      <c r="BH50" s="1422"/>
      <c r="BI50" s="1420"/>
      <c r="BJ50" s="1420"/>
      <c r="BK50" s="1421"/>
      <c r="BL50" s="1442"/>
      <c r="BM50" s="1440"/>
      <c r="BN50" s="1440"/>
      <c r="BO50" s="1441"/>
      <c r="BP50" s="253"/>
      <c r="BQ50" s="1283"/>
      <c r="BR50" s="1282"/>
      <c r="BS50" s="1282"/>
      <c r="BT50" s="1282"/>
      <c r="BU50" s="1282"/>
      <c r="BV50" s="1282"/>
      <c r="BW50" s="1282"/>
      <c r="BX50" s="1282"/>
      <c r="BY50" s="1282"/>
      <c r="BZ50" s="1442"/>
      <c r="CA50" s="1440"/>
      <c r="CB50" s="1440"/>
      <c r="CC50" s="1440"/>
      <c r="CD50" s="1440"/>
      <c r="CE50" s="1440"/>
      <c r="CF50" s="1441"/>
      <c r="CG50" s="23"/>
      <c r="CH50" s="42"/>
      <c r="CI50" s="40"/>
      <c r="CJ50" s="40"/>
      <c r="CK50" s="40"/>
      <c r="CL50" s="40"/>
      <c r="CM50" s="1440"/>
      <c r="CN50" s="1440"/>
      <c r="CO50" s="1440"/>
      <c r="CP50" s="1440"/>
      <c r="CQ50" s="1440"/>
      <c r="CR50" s="1440"/>
      <c r="CS50" s="1207"/>
      <c r="CT50" s="1207"/>
      <c r="CU50" s="1440"/>
      <c r="CV50" s="1441"/>
      <c r="CW50" s="17"/>
    </row>
    <row r="51" spans="1:112" ht="14.25" hidden="1" customHeight="1" outlineLevel="1">
      <c r="A51" s="675"/>
      <c r="B51" s="851" t="s">
        <v>445</v>
      </c>
      <c r="C51" s="852"/>
      <c r="D51" s="678">
        <v>0</v>
      </c>
      <c r="E51" s="678">
        <v>0</v>
      </c>
      <c r="F51" s="678">
        <v>0</v>
      </c>
      <c r="G51" s="679">
        <v>0</v>
      </c>
      <c r="H51" s="678">
        <v>0</v>
      </c>
      <c r="I51" s="678">
        <v>0</v>
      </c>
      <c r="J51" s="678">
        <v>0</v>
      </c>
      <c r="K51" s="679">
        <v>0</v>
      </c>
      <c r="L51" s="678">
        <v>0</v>
      </c>
      <c r="M51" s="678">
        <v>0</v>
      </c>
      <c r="N51" s="678">
        <v>0</v>
      </c>
      <c r="O51" s="679">
        <v>0</v>
      </c>
      <c r="P51" s="678">
        <v>0</v>
      </c>
      <c r="Q51" s="678">
        <v>0</v>
      </c>
      <c r="R51" s="678">
        <v>0</v>
      </c>
      <c r="S51" s="679">
        <v>0</v>
      </c>
      <c r="T51" s="678">
        <v>0</v>
      </c>
      <c r="U51" s="678">
        <v>0</v>
      </c>
      <c r="V51" s="678">
        <v>0</v>
      </c>
      <c r="W51" s="679">
        <v>0</v>
      </c>
      <c r="X51" s="678">
        <v>0</v>
      </c>
      <c r="Y51" s="678">
        <v>0</v>
      </c>
      <c r="Z51" s="678">
        <v>0</v>
      </c>
      <c r="AA51" s="679">
        <v>0</v>
      </c>
      <c r="AB51" s="678">
        <v>0</v>
      </c>
      <c r="AC51" s="678">
        <v>0</v>
      </c>
      <c r="AD51" s="678">
        <v>0</v>
      </c>
      <c r="AE51" s="678">
        <v>0</v>
      </c>
      <c r="AF51" s="680">
        <v>0</v>
      </c>
      <c r="AG51" s="678">
        <v>0</v>
      </c>
      <c r="AH51" s="678">
        <v>0</v>
      </c>
      <c r="AI51" s="678">
        <v>0</v>
      </c>
      <c r="AJ51" s="680">
        <v>0</v>
      </c>
      <c r="AK51" s="678">
        <v>6.3</v>
      </c>
      <c r="AL51" s="678">
        <v>0</v>
      </c>
      <c r="AM51" s="678">
        <v>0</v>
      </c>
      <c r="AN51" s="680">
        <v>0</v>
      </c>
      <c r="AO51" s="678">
        <v>0</v>
      </c>
      <c r="AP51" s="678">
        <v>0</v>
      </c>
      <c r="AQ51" s="678">
        <v>0</v>
      </c>
      <c r="AR51" s="680">
        <v>0</v>
      </c>
      <c r="AS51" s="678">
        <v>0</v>
      </c>
      <c r="AT51" s="678">
        <v>0</v>
      </c>
      <c r="AU51" s="678">
        <v>0</v>
      </c>
      <c r="AV51" s="680">
        <v>0</v>
      </c>
      <c r="AW51" s="678">
        <v>0</v>
      </c>
      <c r="AX51" s="678">
        <v>0</v>
      </c>
      <c r="AY51" s="678">
        <v>0</v>
      </c>
      <c r="AZ51" s="680">
        <v>0</v>
      </c>
      <c r="BA51" s="678">
        <v>0</v>
      </c>
      <c r="BB51" s="678">
        <v>0</v>
      </c>
      <c r="BC51" s="678">
        <v>0</v>
      </c>
      <c r="BD51" s="680">
        <v>0</v>
      </c>
      <c r="BE51" s="678">
        <v>0</v>
      </c>
      <c r="BF51" s="678">
        <v>0</v>
      </c>
      <c r="BG51" s="679">
        <v>0</v>
      </c>
      <c r="BH51" s="680">
        <v>0</v>
      </c>
      <c r="BI51" s="678">
        <v>0</v>
      </c>
      <c r="BJ51" s="678">
        <v>0</v>
      </c>
      <c r="BK51" s="679">
        <v>0</v>
      </c>
      <c r="BL51" s="680">
        <v>0</v>
      </c>
      <c r="BM51" s="678">
        <v>0</v>
      </c>
      <c r="BN51" s="678">
        <v>0</v>
      </c>
      <c r="BO51" s="679">
        <v>0</v>
      </c>
      <c r="BP51" s="946"/>
      <c r="BQ51" s="684">
        <f>SUM(D51:G51)</f>
        <v>0</v>
      </c>
      <c r="BR51" s="682">
        <f>SUM(H51:K51)</f>
        <v>0</v>
      </c>
      <c r="BS51" s="682">
        <f>SUM(L51:O51)</f>
        <v>0</v>
      </c>
      <c r="BT51" s="682">
        <f>SUM(P51:S51)</f>
        <v>0</v>
      </c>
      <c r="BU51" s="682">
        <f>SUM(T51:W51)</f>
        <v>0</v>
      </c>
      <c r="BV51" s="682">
        <f>SUM(X51:AA51)</f>
        <v>0</v>
      </c>
      <c r="BW51" s="682">
        <f>SUM(AB51:AE51)</f>
        <v>0</v>
      </c>
      <c r="BX51" s="682">
        <f>SUM(AF51:AI51)</f>
        <v>0</v>
      </c>
      <c r="BY51" s="682">
        <f>SUM(AJ51:AM51)</f>
        <v>6.3</v>
      </c>
      <c r="BZ51" s="684">
        <f>SUM(AN51:AQ51)</f>
        <v>0</v>
      </c>
      <c r="CA51" s="682">
        <f>SUM(AR51:AU51)</f>
        <v>0</v>
      </c>
      <c r="CB51" s="682">
        <f>SUM(AV51:AY51)</f>
        <v>0</v>
      </c>
      <c r="CC51" s="682">
        <f>SUM(AZ51:BC51)</f>
        <v>0</v>
      </c>
      <c r="CD51" s="682">
        <f>SUM(BD51:BG51)</f>
        <v>0</v>
      </c>
      <c r="CE51" s="682">
        <f>SUM(BH51:BK51)</f>
        <v>0</v>
      </c>
      <c r="CF51" s="683">
        <f>SUM(BL51:BO51)</f>
        <v>0</v>
      </c>
      <c r="CG51" s="681"/>
      <c r="CH51" s="684">
        <f>SUM(E51:H51)</f>
        <v>0</v>
      </c>
      <c r="CI51" s="682">
        <f>SUM(I51:L51)</f>
        <v>0</v>
      </c>
      <c r="CJ51" s="682">
        <f>SUM(M51:P51)</f>
        <v>0</v>
      </c>
      <c r="CK51" s="682">
        <f>SUM(Q51:T51)</f>
        <v>0</v>
      </c>
      <c r="CL51" s="682">
        <f>SUM(U51:X51)</f>
        <v>0</v>
      </c>
      <c r="CM51" s="682">
        <f>SUM(Y51:AB51)</f>
        <v>0</v>
      </c>
      <c r="CN51" s="682">
        <f>SUM(AC51:AF51)</f>
        <v>0</v>
      </c>
      <c r="CO51" s="682">
        <f>SUM(AG51:AJ51)</f>
        <v>0</v>
      </c>
      <c r="CP51" s="682">
        <f>SUM(AK51:AN51)</f>
        <v>6.3</v>
      </c>
      <c r="CQ51" s="682">
        <f>SUM(AO51:AR51)</f>
        <v>0</v>
      </c>
      <c r="CR51" s="682">
        <f>SUM(AS51:AV51)</f>
        <v>0</v>
      </c>
      <c r="CS51" s="682">
        <f>SUM(AW51:AZ51)</f>
        <v>0</v>
      </c>
      <c r="CT51" s="682">
        <f>SUM(BA51:BD51)</f>
        <v>0</v>
      </c>
      <c r="CU51" s="682">
        <f>SUM(BE51:BH51)</f>
        <v>0</v>
      </c>
      <c r="CV51" s="683">
        <f>SUM(BI51:BL51)</f>
        <v>0</v>
      </c>
      <c r="CW51" s="799"/>
      <c r="DD51" s="686"/>
      <c r="DE51" s="686"/>
      <c r="DF51" s="686"/>
      <c r="DG51" s="686"/>
      <c r="DH51" s="686"/>
    </row>
    <row r="52" spans="1:112" ht="14.25" hidden="1" customHeight="1" outlineLevel="1">
      <c r="A52" s="8"/>
      <c r="B52" s="26" t="s">
        <v>450</v>
      </c>
      <c r="C52" s="27"/>
      <c r="D52" s="35">
        <f t="shared" ref="D52:AI52" si="142">D46-D51</f>
        <v>83.340999999999994</v>
      </c>
      <c r="E52" s="35">
        <f t="shared" si="142"/>
        <v>85.813000000000002</v>
      </c>
      <c r="F52" s="35">
        <f t="shared" si="142"/>
        <v>84.406999999999996</v>
      </c>
      <c r="G52" s="36">
        <f t="shared" si="142"/>
        <v>84.715000000000003</v>
      </c>
      <c r="H52" s="35">
        <f t="shared" si="142"/>
        <v>94.837999999999994</v>
      </c>
      <c r="I52" s="35">
        <f t="shared" si="142"/>
        <v>95.881</v>
      </c>
      <c r="J52" s="35">
        <f t="shared" si="142"/>
        <v>98.043999999999997</v>
      </c>
      <c r="K52" s="36">
        <f t="shared" si="142"/>
        <v>99.111000000000004</v>
      </c>
      <c r="L52" s="35">
        <f t="shared" si="142"/>
        <v>101.98</v>
      </c>
      <c r="M52" s="35">
        <f t="shared" si="142"/>
        <v>90.21</v>
      </c>
      <c r="N52" s="35">
        <f t="shared" si="142"/>
        <v>99.906000000000006</v>
      </c>
      <c r="O52" s="36">
        <f t="shared" si="142"/>
        <v>97.409000000000006</v>
      </c>
      <c r="P52" s="35">
        <f t="shared" si="142"/>
        <v>100.351</v>
      </c>
      <c r="Q52" s="35">
        <f t="shared" si="142"/>
        <v>104.18300000000001</v>
      </c>
      <c r="R52" s="35">
        <f t="shared" si="142"/>
        <v>104.767</v>
      </c>
      <c r="S52" s="36">
        <f t="shared" si="142"/>
        <v>106.381</v>
      </c>
      <c r="T52" s="35">
        <f t="shared" si="142"/>
        <v>87.846000000000004</v>
      </c>
      <c r="U52" s="35">
        <f t="shared" si="142"/>
        <v>82.275999999999996</v>
      </c>
      <c r="V52" s="35">
        <f t="shared" si="142"/>
        <v>79.706000000000003</v>
      </c>
      <c r="W52" s="36">
        <f t="shared" si="142"/>
        <v>83.355999999999995</v>
      </c>
      <c r="X52" s="35">
        <f t="shared" si="142"/>
        <v>88.480999999999995</v>
      </c>
      <c r="Y52" s="35">
        <f t="shared" si="142"/>
        <v>97.66</v>
      </c>
      <c r="Z52" s="35">
        <f t="shared" si="142"/>
        <v>102.07</v>
      </c>
      <c r="AA52" s="36">
        <f t="shared" si="142"/>
        <v>102.349</v>
      </c>
      <c r="AB52" s="35">
        <f t="shared" si="142"/>
        <v>100.02200000000001</v>
      </c>
      <c r="AC52" s="35">
        <f t="shared" si="142"/>
        <v>105.268</v>
      </c>
      <c r="AD52" s="35">
        <f t="shared" si="142"/>
        <v>102.32299999999999</v>
      </c>
      <c r="AE52" s="35">
        <f t="shared" si="142"/>
        <v>99.093999999999994</v>
      </c>
      <c r="AF52" s="37">
        <f t="shared" si="142"/>
        <v>99.045000000000002</v>
      </c>
      <c r="AG52" s="35">
        <f t="shared" si="142"/>
        <v>99.992000000000004</v>
      </c>
      <c r="AH52" s="35">
        <f t="shared" si="142"/>
        <v>99.873000000000005</v>
      </c>
      <c r="AI52" s="35">
        <f t="shared" si="142"/>
        <v>97.608999999999995</v>
      </c>
      <c r="AJ52" s="37">
        <f t="shared" ref="AJ52:BK52" si="143">AJ46-AJ51</f>
        <v>97.56</v>
      </c>
      <c r="AK52" s="35">
        <f t="shared" si="143"/>
        <v>96.403000000000006</v>
      </c>
      <c r="AL52" s="35">
        <f t="shared" si="143"/>
        <v>97.772999999999996</v>
      </c>
      <c r="AM52" s="35">
        <f t="shared" si="143"/>
        <v>98.197000000000003</v>
      </c>
      <c r="AN52" s="37">
        <f t="shared" si="143"/>
        <v>98.177999999999997</v>
      </c>
      <c r="AO52" s="35">
        <f t="shared" si="143"/>
        <v>102.08499999999999</v>
      </c>
      <c r="AP52" s="35">
        <f t="shared" si="143"/>
        <v>132.989</v>
      </c>
      <c r="AQ52" s="35">
        <f t="shared" si="143"/>
        <v>121.42400000000001</v>
      </c>
      <c r="AR52" s="37">
        <f t="shared" si="143"/>
        <v>120.17100000000001</v>
      </c>
      <c r="AS52" s="35">
        <f t="shared" si="143"/>
        <v>117.371</v>
      </c>
      <c r="AT52" s="35">
        <f t="shared" si="143"/>
        <v>120.03</v>
      </c>
      <c r="AU52" s="35">
        <f t="shared" si="143"/>
        <v>121.4</v>
      </c>
      <c r="AV52" s="37">
        <f t="shared" si="143"/>
        <v>107.462</v>
      </c>
      <c r="AW52" s="35">
        <f t="shared" si="143"/>
        <v>112.18600000000001</v>
      </c>
      <c r="AX52" s="35">
        <f t="shared" si="143"/>
        <v>122.90900000000001</v>
      </c>
      <c r="AY52" s="35">
        <f t="shared" si="143"/>
        <v>118.881</v>
      </c>
      <c r="AZ52" s="37">
        <f t="shared" si="143"/>
        <v>130.65899999999999</v>
      </c>
      <c r="BA52" s="35">
        <f t="shared" si="143"/>
        <v>190.68600000000001</v>
      </c>
      <c r="BB52" s="35">
        <f t="shared" ref="BB52:BD52" si="144">BB46-BB51</f>
        <v>183.98</v>
      </c>
      <c r="BC52" s="35">
        <f t="shared" si="144"/>
        <v>185.721</v>
      </c>
      <c r="BD52" s="37">
        <f t="shared" si="144"/>
        <v>176.90799999999999</v>
      </c>
      <c r="BE52" s="35">
        <f t="shared" si="143"/>
        <v>161.73222532672335</v>
      </c>
      <c r="BF52" s="35">
        <f t="shared" si="143"/>
        <v>168.84578849079352</v>
      </c>
      <c r="BG52" s="36">
        <f t="shared" si="143"/>
        <v>174.41953778753242</v>
      </c>
      <c r="BH52" s="37">
        <f t="shared" si="143"/>
        <v>169.88095662971682</v>
      </c>
      <c r="BI52" s="35">
        <f t="shared" si="143"/>
        <v>173.76433334226209</v>
      </c>
      <c r="BJ52" s="35">
        <f t="shared" si="143"/>
        <v>176.95035685229391</v>
      </c>
      <c r="BK52" s="36">
        <f t="shared" si="143"/>
        <v>180.63837140713269</v>
      </c>
      <c r="BL52" s="37">
        <f t="shared" ref="BL52:BO52" si="145">BL46-BL51</f>
        <v>177.82213857829572</v>
      </c>
      <c r="BM52" s="35">
        <f t="shared" si="145"/>
        <v>181.58457918447959</v>
      </c>
      <c r="BN52" s="35">
        <f t="shared" si="145"/>
        <v>184.44940414759694</v>
      </c>
      <c r="BO52" s="36">
        <f t="shared" si="145"/>
        <v>187.72380417957598</v>
      </c>
      <c r="BP52" s="253"/>
      <c r="BQ52" s="37">
        <f t="shared" ref="BQ52:CE52" si="146">BQ46-BQ51</f>
        <v>338.27599999999995</v>
      </c>
      <c r="BR52" s="35">
        <f t="shared" si="146"/>
        <v>387.87399999999997</v>
      </c>
      <c r="BS52" s="35">
        <f t="shared" si="146"/>
        <v>389.505</v>
      </c>
      <c r="BT52" s="35">
        <f t="shared" si="146"/>
        <v>415.68200000000002</v>
      </c>
      <c r="BU52" s="35">
        <f t="shared" si="146"/>
        <v>333.18400000000003</v>
      </c>
      <c r="BV52" s="35">
        <f t="shared" si="146"/>
        <v>390.56</v>
      </c>
      <c r="BW52" s="35">
        <f t="shared" si="146"/>
        <v>406.70699999999999</v>
      </c>
      <c r="BX52" s="35">
        <f t="shared" si="146"/>
        <v>396.51900000000001</v>
      </c>
      <c r="BY52" s="35">
        <f t="shared" si="146"/>
        <v>389.93299999999999</v>
      </c>
      <c r="BZ52" s="37">
        <f t="shared" si="146"/>
        <v>454.67599999999993</v>
      </c>
      <c r="CA52" s="35">
        <f t="shared" si="146"/>
        <v>478.97199999999998</v>
      </c>
      <c r="CB52" s="35">
        <f t="shared" si="146"/>
        <v>461.43799999999999</v>
      </c>
      <c r="CC52" s="35">
        <f t="shared" si="146"/>
        <v>691.04600000000005</v>
      </c>
      <c r="CD52" s="35">
        <f t="shared" si="146"/>
        <v>681.90555160504937</v>
      </c>
      <c r="CE52" s="35">
        <f t="shared" si="146"/>
        <v>701.23401823140546</v>
      </c>
      <c r="CF52" s="36">
        <f t="shared" ref="CF52" si="147">CF46-CF51</f>
        <v>731.57992608994823</v>
      </c>
      <c r="CG52" s="23"/>
      <c r="CH52" s="37">
        <f t="shared" ref="CH52:CU52" si="148">CH46-CH51</f>
        <v>349.77300000000002</v>
      </c>
      <c r="CI52" s="35">
        <f t="shared" si="148"/>
        <v>395.01600000000002</v>
      </c>
      <c r="CJ52" s="35">
        <f t="shared" si="148"/>
        <v>387.87599999999998</v>
      </c>
      <c r="CK52" s="35">
        <f t="shared" si="148"/>
        <v>403.17700000000002</v>
      </c>
      <c r="CL52" s="35">
        <f t="shared" si="148"/>
        <v>333.81899999999996</v>
      </c>
      <c r="CM52" s="35">
        <f t="shared" si="148"/>
        <v>402.101</v>
      </c>
      <c r="CN52" s="35">
        <f t="shared" si="148"/>
        <v>405.73</v>
      </c>
      <c r="CO52" s="35">
        <f t="shared" si="148"/>
        <v>395.03399999999999</v>
      </c>
      <c r="CP52" s="35">
        <f t="shared" si="148"/>
        <v>390.55099999999999</v>
      </c>
      <c r="CQ52" s="35">
        <f t="shared" si="148"/>
        <v>476.66900000000004</v>
      </c>
      <c r="CR52" s="35">
        <f t="shared" si="148"/>
        <v>466.26300000000003</v>
      </c>
      <c r="CS52" s="35">
        <f t="shared" si="148"/>
        <v>484.63499999999999</v>
      </c>
      <c r="CT52" s="35">
        <f t="shared" si="148"/>
        <v>737.29499999999996</v>
      </c>
      <c r="CU52" s="35">
        <f t="shared" si="148"/>
        <v>674.87850823476606</v>
      </c>
      <c r="CV52" s="36">
        <f t="shared" ref="CV52" si="149">CV46-CV51</f>
        <v>709.17520017998447</v>
      </c>
      <c r="CW52" s="17"/>
    </row>
    <row r="53" spans="1:112" ht="14.25" hidden="1" customHeight="1" outlineLevel="1">
      <c r="A53" s="8"/>
      <c r="B53" s="38" t="s">
        <v>332</v>
      </c>
      <c r="C53" s="39"/>
      <c r="D53" s="40">
        <f t="shared" ref="D53:AI53" si="150">D52/D10</f>
        <v>0.1435587112599391</v>
      </c>
      <c r="E53" s="40">
        <f t="shared" si="150"/>
        <v>0.1421389835786433</v>
      </c>
      <c r="F53" s="40">
        <f t="shared" si="150"/>
        <v>0.14492562017526989</v>
      </c>
      <c r="G53" s="41">
        <f t="shared" si="150"/>
        <v>0.13616928937681835</v>
      </c>
      <c r="H53" s="40">
        <f t="shared" si="150"/>
        <v>0.17038011160096725</v>
      </c>
      <c r="I53" s="40">
        <f t="shared" si="150"/>
        <v>0.16598344337613866</v>
      </c>
      <c r="J53" s="40">
        <f t="shared" si="150"/>
        <v>0.16370269570807211</v>
      </c>
      <c r="K53" s="41">
        <f t="shared" si="150"/>
        <v>0.16255059666340835</v>
      </c>
      <c r="L53" s="40">
        <f t="shared" si="150"/>
        <v>0.16283841504794297</v>
      </c>
      <c r="M53" s="40">
        <f t="shared" si="150"/>
        <v>0.1509833752592124</v>
      </c>
      <c r="N53" s="40">
        <f t="shared" si="150"/>
        <v>0.16180917381861293</v>
      </c>
      <c r="O53" s="41">
        <f t="shared" si="150"/>
        <v>0.15621882728027944</v>
      </c>
      <c r="P53" s="40">
        <f t="shared" si="150"/>
        <v>0.16346233725193798</v>
      </c>
      <c r="Q53" s="40">
        <f t="shared" si="150"/>
        <v>0.16044445128900114</v>
      </c>
      <c r="R53" s="40">
        <f t="shared" si="150"/>
        <v>0.15898213315609133</v>
      </c>
      <c r="S53" s="41">
        <f t="shared" si="150"/>
        <v>0.16101353723951711</v>
      </c>
      <c r="T53" s="40">
        <f t="shared" si="150"/>
        <v>0.18433007602256965</v>
      </c>
      <c r="U53" s="40">
        <f t="shared" si="150"/>
        <v>0.17330457421621576</v>
      </c>
      <c r="V53" s="40">
        <f t="shared" si="150"/>
        <v>0.16200702858385621</v>
      </c>
      <c r="W53" s="41">
        <f t="shared" si="150"/>
        <v>0.14582925122463258</v>
      </c>
      <c r="X53" s="40">
        <f t="shared" si="150"/>
        <v>0.14673879694784098</v>
      </c>
      <c r="Y53" s="40">
        <f t="shared" si="150"/>
        <v>0.14614509756973543</v>
      </c>
      <c r="Z53" s="40">
        <f t="shared" si="150"/>
        <v>0.14170681253384054</v>
      </c>
      <c r="AA53" s="41">
        <f t="shared" si="150"/>
        <v>0.13292250548708426</v>
      </c>
      <c r="AB53" s="40">
        <f t="shared" si="150"/>
        <v>0.13729780481644577</v>
      </c>
      <c r="AC53" s="40">
        <f t="shared" si="150"/>
        <v>0.13311919876577558</v>
      </c>
      <c r="AD53" s="40">
        <f t="shared" si="150"/>
        <v>0.13500822006011329</v>
      </c>
      <c r="AE53" s="40">
        <f t="shared" si="150"/>
        <v>0.13837354461595175</v>
      </c>
      <c r="AF53" s="42">
        <f t="shared" si="150"/>
        <v>0.15283354267673574</v>
      </c>
      <c r="AG53" s="40">
        <f t="shared" si="150"/>
        <v>0.14811566981783278</v>
      </c>
      <c r="AH53" s="40">
        <f t="shared" si="150"/>
        <v>0.14622137371051763</v>
      </c>
      <c r="AI53" s="40">
        <f t="shared" si="150"/>
        <v>0.14045187952181692</v>
      </c>
      <c r="AJ53" s="42">
        <f t="shared" ref="AJ53:BK53" si="151">AJ52/AJ10</f>
        <v>0.15681509128258542</v>
      </c>
      <c r="AK53" s="40">
        <f t="shared" si="151"/>
        <v>0.14623132347364431</v>
      </c>
      <c r="AL53" s="40">
        <f t="shared" si="151"/>
        <v>0.14502678841601252</v>
      </c>
      <c r="AM53" s="40">
        <f t="shared" si="151"/>
        <v>0.1448049276469365</v>
      </c>
      <c r="AN53" s="42">
        <f t="shared" si="151"/>
        <v>0.15627516960132942</v>
      </c>
      <c r="AO53" s="40">
        <f t="shared" si="151"/>
        <v>0.14698302175841138</v>
      </c>
      <c r="AP53" s="40">
        <f t="shared" si="151"/>
        <v>0.18273944970264597</v>
      </c>
      <c r="AQ53" s="40">
        <f t="shared" si="151"/>
        <v>0.1491242829264339</v>
      </c>
      <c r="AR53" s="42">
        <f t="shared" si="151"/>
        <v>0.15566474003414571</v>
      </c>
      <c r="AS53" s="40">
        <f t="shared" si="151"/>
        <v>0.14295771474228977</v>
      </c>
      <c r="AT53" s="40">
        <f t="shared" si="151"/>
        <v>0.13902578862937459</v>
      </c>
      <c r="AU53" s="40">
        <f t="shared" si="151"/>
        <v>0.12403930840422511</v>
      </c>
      <c r="AV53" s="1209">
        <f t="shared" si="151"/>
        <v>0.13966460843040748</v>
      </c>
      <c r="AW53" s="1207">
        <f t="shared" si="151"/>
        <v>0.1440561092805798</v>
      </c>
      <c r="AX53" s="1207">
        <f t="shared" si="151"/>
        <v>0.1413411592346287</v>
      </c>
      <c r="AY53" s="1207">
        <f t="shared" si="151"/>
        <v>0.11845184895124962</v>
      </c>
      <c r="AZ53" s="1209">
        <f t="shared" si="151"/>
        <v>0.13272297498397581</v>
      </c>
      <c r="BA53" s="1282">
        <f t="shared" si="151"/>
        <v>0.16610539189638862</v>
      </c>
      <c r="BB53" s="1282">
        <f t="shared" ref="BB53:BD53" si="152">BB52/BB10</f>
        <v>0.12830723438561351</v>
      </c>
      <c r="BC53" s="1440">
        <f t="shared" si="152"/>
        <v>0.12050649830972572</v>
      </c>
      <c r="BD53" s="1442">
        <f t="shared" si="152"/>
        <v>0.11649229829108455</v>
      </c>
      <c r="BE53" s="40">
        <f t="shared" si="151"/>
        <v>0.10999387542337945</v>
      </c>
      <c r="BF53" s="40">
        <f t="shared" si="151"/>
        <v>0.11156057764475664</v>
      </c>
      <c r="BG53" s="41">
        <f t="shared" si="151"/>
        <v>0.11156057764475664</v>
      </c>
      <c r="BH53" s="1422">
        <f t="shared" si="151"/>
        <v>0.11462287026156716</v>
      </c>
      <c r="BI53" s="1420">
        <f t="shared" si="151"/>
        <v>0.11211721575602052</v>
      </c>
      <c r="BJ53" s="1420">
        <f t="shared" si="151"/>
        <v>0.11013422884044298</v>
      </c>
      <c r="BK53" s="1421">
        <f t="shared" si="151"/>
        <v>0.10793065588570984</v>
      </c>
      <c r="BL53" s="1442">
        <f t="shared" ref="BL53:BO53" si="153">BL52/BL10</f>
        <v>0.11207215166473236</v>
      </c>
      <c r="BM53" s="1440">
        <f t="shared" si="153"/>
        <v>0.10979714980755644</v>
      </c>
      <c r="BN53" s="1440">
        <f t="shared" si="153"/>
        <v>0.10811788808173257</v>
      </c>
      <c r="BO53" s="1441">
        <f t="shared" si="153"/>
        <v>0.10626435643386327</v>
      </c>
      <c r="BP53" s="253"/>
      <c r="BQ53" s="1283">
        <f t="shared" ref="BQ53:CE53" si="154">BQ52/BQ10</f>
        <v>0.14160870191325547</v>
      </c>
      <c r="BR53" s="1282">
        <f t="shared" si="154"/>
        <v>0.1655516046436091</v>
      </c>
      <c r="BS53" s="1282">
        <f t="shared" si="154"/>
        <v>0.15803208557885456</v>
      </c>
      <c r="BT53" s="1282">
        <f t="shared" si="154"/>
        <v>0.16093422549808725</v>
      </c>
      <c r="BU53" s="1282">
        <f t="shared" si="154"/>
        <v>0.16535941095077297</v>
      </c>
      <c r="BV53" s="1282">
        <f t="shared" si="154"/>
        <v>0.14143022839374067</v>
      </c>
      <c r="BW53" s="1282">
        <f t="shared" si="154"/>
        <v>0.13587154063047049</v>
      </c>
      <c r="BX53" s="1282">
        <f t="shared" si="154"/>
        <v>0.14679679927971206</v>
      </c>
      <c r="BY53" s="1282">
        <f t="shared" si="154"/>
        <v>0.14805582587769472</v>
      </c>
      <c r="BZ53" s="1442">
        <f t="shared" si="154"/>
        <v>0.15871274966637844</v>
      </c>
      <c r="CA53" s="1440">
        <f t="shared" si="154"/>
        <v>0.13943498456518777</v>
      </c>
      <c r="CB53" s="1440">
        <f t="shared" si="154"/>
        <v>0.13486782784519477</v>
      </c>
      <c r="CC53" s="1440">
        <f t="shared" si="154"/>
        <v>0.13530016526666749</v>
      </c>
      <c r="CD53" s="1440">
        <f t="shared" si="154"/>
        <v>0.11241548057752583</v>
      </c>
      <c r="CE53" s="1440">
        <f t="shared" si="154"/>
        <v>0.11109075768359354</v>
      </c>
      <c r="CF53" s="1441">
        <f t="shared" ref="CF53" si="155">CF52/CF10</f>
        <v>0.1089784373120814</v>
      </c>
      <c r="CG53" s="23"/>
      <c r="CH53" s="42">
        <f t="shared" ref="CH53:CU53" si="156">CH52/CH10</f>
        <v>0.14790193911111599</v>
      </c>
      <c r="CI53" s="40">
        <f t="shared" si="156"/>
        <v>0.16373326568729127</v>
      </c>
      <c r="CJ53" s="40">
        <f t="shared" si="156"/>
        <v>0.158164057960377</v>
      </c>
      <c r="CK53" s="40">
        <f t="shared" si="156"/>
        <v>0.16485871922165238</v>
      </c>
      <c r="CL53" s="40">
        <f t="shared" si="156"/>
        <v>0.15589388237733509</v>
      </c>
      <c r="CM53" s="1440">
        <f t="shared" si="156"/>
        <v>0.13927871746130271</v>
      </c>
      <c r="CN53" s="1440">
        <f t="shared" si="156"/>
        <v>0.13928855144438107</v>
      </c>
      <c r="CO53" s="1440">
        <f t="shared" si="156"/>
        <v>0.14766422773770213</v>
      </c>
      <c r="CP53" s="1440">
        <f t="shared" si="156"/>
        <v>0.14794758528414917</v>
      </c>
      <c r="CQ53" s="1440">
        <f t="shared" si="156"/>
        <v>0.15843964526091062</v>
      </c>
      <c r="CR53" s="1440">
        <f t="shared" si="156"/>
        <v>0.13583634252818982</v>
      </c>
      <c r="CS53" s="1207">
        <f t="shared" si="156"/>
        <v>0.13327222943167596</v>
      </c>
      <c r="CT53" s="1207">
        <f t="shared" si="156"/>
        <v>0.13068718207597102</v>
      </c>
      <c r="CU53" s="1440">
        <f t="shared" si="156"/>
        <v>0.11193125149674024</v>
      </c>
      <c r="CV53" s="1441">
        <f t="shared" ref="CV53" si="157">CV52/CV10</f>
        <v>0.1105176197931729</v>
      </c>
      <c r="CW53" s="17"/>
    </row>
    <row r="54" spans="1:112" ht="14.25" customHeight="1" collapsed="1">
      <c r="A54" s="8"/>
      <c r="B54" s="56"/>
      <c r="C54" s="57"/>
      <c r="D54" s="45"/>
      <c r="E54" s="45"/>
      <c r="F54" s="50"/>
      <c r="G54" s="46"/>
      <c r="H54" s="45"/>
      <c r="I54" s="45"/>
      <c r="J54" s="50"/>
      <c r="K54" s="46"/>
      <c r="L54" s="45"/>
      <c r="M54" s="45"/>
      <c r="N54" s="50"/>
      <c r="O54" s="46"/>
      <c r="P54" s="45"/>
      <c r="Q54" s="45"/>
      <c r="R54" s="50"/>
      <c r="S54" s="46"/>
      <c r="T54" s="45"/>
      <c r="U54" s="45"/>
      <c r="V54" s="50"/>
      <c r="W54" s="46"/>
      <c r="X54" s="45"/>
      <c r="Y54" s="45"/>
      <c r="Z54" s="50"/>
      <c r="AA54" s="46"/>
      <c r="AB54" s="45"/>
      <c r="AC54" s="45"/>
      <c r="AD54" s="50"/>
      <c r="AE54" s="45"/>
      <c r="AF54" s="47"/>
      <c r="AG54" s="45"/>
      <c r="AH54" s="50"/>
      <c r="AI54" s="45"/>
      <c r="AJ54" s="47"/>
      <c r="AK54" s="45"/>
      <c r="AL54" s="50"/>
      <c r="AM54" s="45"/>
      <c r="AN54" s="47"/>
      <c r="AO54" s="45"/>
      <c r="AP54" s="50"/>
      <c r="AQ54" s="45"/>
      <c r="AR54" s="47"/>
      <c r="AS54" s="45"/>
      <c r="AT54" s="50"/>
      <c r="AU54" s="45"/>
      <c r="AV54" s="47"/>
      <c r="AW54" s="45"/>
      <c r="AX54" s="50"/>
      <c r="AY54" s="45"/>
      <c r="AZ54" s="47"/>
      <c r="BA54" s="45"/>
      <c r="BB54" s="50"/>
      <c r="BC54" s="50"/>
      <c r="BD54" s="47"/>
      <c r="BE54" s="45"/>
      <c r="BF54" s="45"/>
      <c r="BG54" s="46"/>
      <c r="BH54" s="47"/>
      <c r="BI54" s="45"/>
      <c r="BJ54" s="45"/>
      <c r="BK54" s="46"/>
      <c r="BL54" s="47"/>
      <c r="BM54" s="45"/>
      <c r="BN54" s="45"/>
      <c r="BO54" s="46"/>
      <c r="BP54" s="253"/>
      <c r="BQ54" s="58"/>
      <c r="BR54" s="48"/>
      <c r="BS54" s="48"/>
      <c r="BT54" s="48"/>
      <c r="BU54" s="48"/>
      <c r="BV54" s="48"/>
      <c r="BW54" s="48"/>
      <c r="BX54" s="48"/>
      <c r="BY54" s="48"/>
      <c r="BZ54" s="58"/>
      <c r="CA54" s="48"/>
      <c r="CB54" s="48"/>
      <c r="CC54" s="1449"/>
      <c r="CD54" s="1449"/>
      <c r="CE54" s="1449"/>
      <c r="CF54" s="1450"/>
      <c r="CG54" s="23"/>
      <c r="CH54" s="101"/>
      <c r="CI54" s="102"/>
      <c r="CJ54" s="102"/>
      <c r="CK54" s="102"/>
      <c r="CL54" s="102"/>
      <c r="CM54" s="102"/>
      <c r="CN54" s="102"/>
      <c r="CO54" s="102"/>
      <c r="CP54" s="102"/>
      <c r="CQ54" s="102"/>
      <c r="CR54" s="102"/>
      <c r="CS54" s="102"/>
      <c r="CT54" s="102"/>
      <c r="CU54" s="102"/>
      <c r="CV54" s="103"/>
      <c r="CW54" s="17"/>
    </row>
    <row r="55" spans="1:112" ht="14.25" customHeight="1">
      <c r="A55" s="675"/>
      <c r="B55" s="676" t="s">
        <v>437</v>
      </c>
      <c r="C55" s="677"/>
      <c r="D55" s="682">
        <f t="shared" ref="D55:AF55" si="158">SUM(D57:D58)</f>
        <v>0</v>
      </c>
      <c r="E55" s="682">
        <f t="shared" si="158"/>
        <v>0</v>
      </c>
      <c r="F55" s="682">
        <f t="shared" si="158"/>
        <v>0</v>
      </c>
      <c r="G55" s="683">
        <f t="shared" si="158"/>
        <v>31.48</v>
      </c>
      <c r="H55" s="682">
        <f t="shared" si="158"/>
        <v>1.0129999999999999</v>
      </c>
      <c r="I55" s="682">
        <f t="shared" si="158"/>
        <v>0</v>
      </c>
      <c r="J55" s="682">
        <f t="shared" si="158"/>
        <v>5.5</v>
      </c>
      <c r="K55" s="683">
        <f t="shared" si="158"/>
        <v>16.988</v>
      </c>
      <c r="L55" s="682">
        <f t="shared" si="158"/>
        <v>5.1959999999999997</v>
      </c>
      <c r="M55" s="682">
        <f t="shared" si="158"/>
        <v>10.116</v>
      </c>
      <c r="N55" s="682">
        <f t="shared" si="158"/>
        <v>0</v>
      </c>
      <c r="O55" s="683">
        <f t="shared" si="158"/>
        <v>25.183</v>
      </c>
      <c r="P55" s="682">
        <f t="shared" si="158"/>
        <v>0</v>
      </c>
      <c r="Q55" s="682">
        <f t="shared" si="158"/>
        <v>0</v>
      </c>
      <c r="R55" s="682">
        <f t="shared" si="158"/>
        <v>0</v>
      </c>
      <c r="S55" s="683">
        <f t="shared" si="158"/>
        <v>3.0880000000000001</v>
      </c>
      <c r="T55" s="682">
        <f t="shared" si="158"/>
        <v>41.737000000000002</v>
      </c>
      <c r="U55" s="682">
        <f t="shared" si="158"/>
        <v>11.919</v>
      </c>
      <c r="V55" s="682">
        <f t="shared" si="158"/>
        <v>0</v>
      </c>
      <c r="W55" s="683">
        <f t="shared" si="158"/>
        <v>0</v>
      </c>
      <c r="X55" s="682">
        <f t="shared" si="158"/>
        <v>16.483000000000001</v>
      </c>
      <c r="Y55" s="682">
        <f t="shared" si="158"/>
        <v>0</v>
      </c>
      <c r="Z55" s="682">
        <f t="shared" si="158"/>
        <v>0</v>
      </c>
      <c r="AA55" s="683">
        <f t="shared" si="158"/>
        <v>0</v>
      </c>
      <c r="AB55" s="682">
        <f t="shared" si="158"/>
        <v>0</v>
      </c>
      <c r="AC55" s="682">
        <f t="shared" si="158"/>
        <v>0</v>
      </c>
      <c r="AD55" s="682">
        <f t="shared" si="158"/>
        <v>0</v>
      </c>
      <c r="AE55" s="682">
        <f t="shared" si="158"/>
        <v>2.2389999999999999</v>
      </c>
      <c r="AF55" s="684">
        <f t="shared" si="158"/>
        <v>2.5950000000000002</v>
      </c>
      <c r="AG55" s="682">
        <v>0</v>
      </c>
      <c r="AH55" s="682">
        <f>SUM(AH57:AH58)</f>
        <v>5.8360000000000003</v>
      </c>
      <c r="AI55" s="682">
        <v>0</v>
      </c>
      <c r="AJ55" s="684">
        <f>SUM(AJ57:AJ58)</f>
        <v>14.071</v>
      </c>
      <c r="AK55" s="682">
        <v>0</v>
      </c>
      <c r="AL55" s="682">
        <f t="shared" ref="AL55:AU55" si="159">SUM(AL57:AL58)</f>
        <v>0</v>
      </c>
      <c r="AM55" s="682">
        <f t="shared" si="159"/>
        <v>15.776999999999999</v>
      </c>
      <c r="AN55" s="684">
        <f t="shared" si="159"/>
        <v>2.6850000000000001</v>
      </c>
      <c r="AO55" s="682">
        <f t="shared" si="159"/>
        <v>0</v>
      </c>
      <c r="AP55" s="682">
        <f t="shared" si="159"/>
        <v>0.66</v>
      </c>
      <c r="AQ55" s="682">
        <f t="shared" si="159"/>
        <v>59.887</v>
      </c>
      <c r="AR55" s="684">
        <f t="shared" si="159"/>
        <v>23.795999999999999</v>
      </c>
      <c r="AS55" s="682">
        <f t="shared" si="159"/>
        <v>24.21</v>
      </c>
      <c r="AT55" s="682">
        <f t="shared" si="159"/>
        <v>22.954000000000001</v>
      </c>
      <c r="AU55" s="682">
        <f t="shared" si="159"/>
        <v>241.03</v>
      </c>
      <c r="AV55" s="684">
        <f>SUM(AV57:AV58)</f>
        <v>17.358000000000001</v>
      </c>
      <c r="AW55" s="682">
        <f>SUM(AW57:AW58)</f>
        <v>31.103000000000002</v>
      </c>
      <c r="AX55" s="682">
        <f>SUM(AX57:AX58)</f>
        <v>17.446999999999999</v>
      </c>
      <c r="AY55" s="682">
        <f t="shared" ref="AY55" si="160">SUM(AY57:AY58)</f>
        <v>17.899000000000001</v>
      </c>
      <c r="AZ55" s="684">
        <f t="shared" ref="AZ55:BG55" si="161">SUM(AZ57:AZ58)</f>
        <v>67.623000000000005</v>
      </c>
      <c r="BA55" s="682">
        <f t="shared" si="161"/>
        <v>68.69</v>
      </c>
      <c r="BB55" s="682">
        <f t="shared" si="161"/>
        <v>112.15300000000001</v>
      </c>
      <c r="BC55" s="682">
        <f t="shared" si="161"/>
        <v>98.347999999999999</v>
      </c>
      <c r="BD55" s="684">
        <f t="shared" ref="BD55" si="162">SUM(BD57:BD58)</f>
        <v>164.33699999999999</v>
      </c>
      <c r="BE55" s="682">
        <f t="shared" si="161"/>
        <v>125</v>
      </c>
      <c r="BF55" s="682">
        <f t="shared" si="161"/>
        <v>0</v>
      </c>
      <c r="BG55" s="682">
        <f t="shared" si="161"/>
        <v>0</v>
      </c>
      <c r="BH55" s="680">
        <v>0</v>
      </c>
      <c r="BI55" s="678">
        <v>0</v>
      </c>
      <c r="BJ55" s="678">
        <v>0</v>
      </c>
      <c r="BK55" s="679">
        <v>0</v>
      </c>
      <c r="BL55" s="680">
        <v>0</v>
      </c>
      <c r="BM55" s="678">
        <v>0</v>
      </c>
      <c r="BN55" s="678">
        <v>0</v>
      </c>
      <c r="BO55" s="679">
        <v>0</v>
      </c>
      <c r="BP55" s="946"/>
      <c r="BQ55" s="684">
        <f>SUM(D55:G55)</f>
        <v>31.48</v>
      </c>
      <c r="BR55" s="682">
        <f>SUM(H55:K55)</f>
        <v>23.500999999999998</v>
      </c>
      <c r="BS55" s="682">
        <f>SUM(L55:O55)</f>
        <v>40.494999999999997</v>
      </c>
      <c r="BT55" s="682">
        <f>SUM(P55:S55)</f>
        <v>3.0880000000000001</v>
      </c>
      <c r="BU55" s="682">
        <f>SUM(T55:W55)</f>
        <v>53.656000000000006</v>
      </c>
      <c r="BV55" s="682">
        <f>SUM(X55:AA55)</f>
        <v>16.483000000000001</v>
      </c>
      <c r="BW55" s="682">
        <f>SUM(AB55:AE55)</f>
        <v>2.2389999999999999</v>
      </c>
      <c r="BX55" s="682">
        <f>SUM(AF55:AI55)</f>
        <v>8.4310000000000009</v>
      </c>
      <c r="BY55" s="682">
        <f>SUM(AJ55:AM55)</f>
        <v>29.847999999999999</v>
      </c>
      <c r="BZ55" s="684">
        <f>SUM(AN55:AQ55)</f>
        <v>63.231999999999999</v>
      </c>
      <c r="CA55" s="682">
        <f>SUM(AR55:AU55)</f>
        <v>311.99</v>
      </c>
      <c r="CB55" s="682">
        <f>SUM(AV55:AY55)</f>
        <v>83.807000000000002</v>
      </c>
      <c r="CC55" s="682">
        <f>SUM(AZ55:BC55)</f>
        <v>346.81400000000002</v>
      </c>
      <c r="CD55" s="682">
        <f>SUM(BD55:BG55)</f>
        <v>289.33699999999999</v>
      </c>
      <c r="CE55" s="682">
        <f>SUM(BH55:BK55)</f>
        <v>0</v>
      </c>
      <c r="CF55" s="683">
        <f>SUM(BL55:BO55)</f>
        <v>0</v>
      </c>
      <c r="CG55" s="681"/>
      <c r="CH55" s="684">
        <f>SUM(E55:H55)</f>
        <v>32.493000000000002</v>
      </c>
      <c r="CI55" s="682">
        <f>SUM(I55:L55)</f>
        <v>27.683999999999997</v>
      </c>
      <c r="CJ55" s="682">
        <f>SUM(M55:P55)</f>
        <v>35.298999999999999</v>
      </c>
      <c r="CK55" s="682">
        <f>SUM(Q55:T55)</f>
        <v>44.825000000000003</v>
      </c>
      <c r="CL55" s="682">
        <f>SUM(U55:X55)</f>
        <v>28.402000000000001</v>
      </c>
      <c r="CM55" s="682">
        <f>SUM(Y55:AB55)</f>
        <v>0</v>
      </c>
      <c r="CN55" s="682">
        <f>SUM(AC55:AF55)</f>
        <v>4.8339999999999996</v>
      </c>
      <c r="CO55" s="682">
        <f>SUM(AG55:AJ55)</f>
        <v>19.907</v>
      </c>
      <c r="CP55" s="682">
        <f>SUM(AK55:AN55)</f>
        <v>18.462</v>
      </c>
      <c r="CQ55" s="682">
        <f>SUM(AO55:AR55)</f>
        <v>84.342999999999989</v>
      </c>
      <c r="CR55" s="682">
        <f>SUM(AS55:AV55)</f>
        <v>305.55200000000002</v>
      </c>
      <c r="CS55" s="682">
        <f>SUM(AW55:AZ55)</f>
        <v>134.072</v>
      </c>
      <c r="CT55" s="682">
        <f>SUM(BA55:BD55)</f>
        <v>443.52800000000002</v>
      </c>
      <c r="CU55" s="682">
        <f>SUM(BE55:BH55)</f>
        <v>125</v>
      </c>
      <c r="CV55" s="683">
        <f>SUM(BI55:BL55)</f>
        <v>0</v>
      </c>
      <c r="CW55" s="799"/>
      <c r="DD55" s="686"/>
      <c r="DE55" s="686"/>
      <c r="DF55" s="686"/>
      <c r="DG55" s="686"/>
      <c r="DH55" s="686"/>
    </row>
    <row r="56" spans="1:112" ht="14.25" hidden="1" customHeight="1" outlineLevel="1">
      <c r="A56" s="675"/>
      <c r="B56" s="676"/>
      <c r="C56" s="677"/>
      <c r="D56" s="682"/>
      <c r="E56" s="682"/>
      <c r="F56" s="682"/>
      <c r="G56" s="683"/>
      <c r="H56" s="682"/>
      <c r="I56" s="682"/>
      <c r="J56" s="682"/>
      <c r="K56" s="683"/>
      <c r="L56" s="682"/>
      <c r="M56" s="682"/>
      <c r="N56" s="682"/>
      <c r="O56" s="683"/>
      <c r="P56" s="682"/>
      <c r="Q56" s="682"/>
      <c r="R56" s="682"/>
      <c r="S56" s="683"/>
      <c r="T56" s="682"/>
      <c r="U56" s="682"/>
      <c r="V56" s="682"/>
      <c r="W56" s="683"/>
      <c r="X56" s="682"/>
      <c r="Y56" s="682"/>
      <c r="Z56" s="682"/>
      <c r="AA56" s="683"/>
      <c r="AB56" s="682"/>
      <c r="AC56" s="682"/>
      <c r="AD56" s="682"/>
      <c r="AE56" s="682"/>
      <c r="AF56" s="684"/>
      <c r="AG56" s="678"/>
      <c r="AH56" s="682"/>
      <c r="AI56" s="682"/>
      <c r="AJ56" s="680"/>
      <c r="AK56" s="678"/>
      <c r="AL56" s="682"/>
      <c r="AM56" s="682"/>
      <c r="AN56" s="680"/>
      <c r="AO56" s="678"/>
      <c r="AP56" s="682"/>
      <c r="AQ56" s="682"/>
      <c r="AR56" s="680"/>
      <c r="AS56" s="678"/>
      <c r="AT56" s="682"/>
      <c r="AU56" s="682"/>
      <c r="AV56" s="680"/>
      <c r="AW56" s="678"/>
      <c r="AX56" s="682"/>
      <c r="AY56" s="682"/>
      <c r="AZ56" s="680"/>
      <c r="BA56" s="678"/>
      <c r="BB56" s="682"/>
      <c r="BC56" s="682"/>
      <c r="BD56" s="680"/>
      <c r="BE56" s="678"/>
      <c r="BF56" s="678"/>
      <c r="BG56" s="679"/>
      <c r="BH56" s="680"/>
      <c r="BI56" s="678"/>
      <c r="BJ56" s="678"/>
      <c r="BK56" s="679"/>
      <c r="BL56" s="680"/>
      <c r="BM56" s="678"/>
      <c r="BN56" s="678"/>
      <c r="BO56" s="679"/>
      <c r="BP56" s="946"/>
      <c r="BQ56" s="684"/>
      <c r="BR56" s="682"/>
      <c r="BS56" s="682"/>
      <c r="BT56" s="682"/>
      <c r="BU56" s="682"/>
      <c r="BV56" s="682"/>
      <c r="BW56" s="682"/>
      <c r="BX56" s="682"/>
      <c r="BY56" s="682"/>
      <c r="BZ56" s="684"/>
      <c r="CA56" s="682"/>
      <c r="CB56" s="682"/>
      <c r="CC56" s="682"/>
      <c r="CD56" s="682"/>
      <c r="CE56" s="682"/>
      <c r="CF56" s="683"/>
      <c r="CG56" s="681"/>
      <c r="CH56" s="684"/>
      <c r="CI56" s="682"/>
      <c r="CJ56" s="682"/>
      <c r="CK56" s="682"/>
      <c r="CL56" s="682"/>
      <c r="CM56" s="682"/>
      <c r="CN56" s="682"/>
      <c r="CO56" s="682"/>
      <c r="CP56" s="682"/>
      <c r="CQ56" s="682"/>
      <c r="CR56" s="682"/>
      <c r="CS56" s="682"/>
      <c r="CT56" s="682"/>
      <c r="CU56" s="682"/>
      <c r="CV56" s="683"/>
      <c r="CW56" s="799"/>
      <c r="DD56" s="686"/>
      <c r="DE56" s="686"/>
      <c r="DF56" s="686"/>
      <c r="DG56" s="686"/>
      <c r="DH56" s="686"/>
    </row>
    <row r="57" spans="1:112" ht="14.25" hidden="1" customHeight="1" outlineLevel="1">
      <c r="A57" s="8"/>
      <c r="B57" s="99" t="s">
        <v>312</v>
      </c>
      <c r="C57" s="32"/>
      <c r="D57" s="33">
        <v>0</v>
      </c>
      <c r="E57" s="33">
        <v>0</v>
      </c>
      <c r="F57" s="33">
        <v>0</v>
      </c>
      <c r="G57" s="34">
        <v>31.48</v>
      </c>
      <c r="H57" s="33">
        <v>1.0129999999999999</v>
      </c>
      <c r="I57" s="33">
        <v>0</v>
      </c>
      <c r="J57" s="33">
        <f>5.5</f>
        <v>5.5</v>
      </c>
      <c r="K57" s="34">
        <f>0.777+16.211</f>
        <v>16.988</v>
      </c>
      <c r="L57" s="33">
        <v>5.1959999999999997</v>
      </c>
      <c r="M57" s="33">
        <v>10.116</v>
      </c>
      <c r="N57" s="33">
        <v>0</v>
      </c>
      <c r="O57" s="34">
        <v>25.183</v>
      </c>
      <c r="P57" s="33">
        <v>0</v>
      </c>
      <c r="Q57" s="33">
        <v>0</v>
      </c>
      <c r="R57" s="33">
        <v>0</v>
      </c>
      <c r="S57" s="34">
        <v>3.0880000000000001</v>
      </c>
      <c r="T57" s="33">
        <v>41.737000000000002</v>
      </c>
      <c r="U57" s="33">
        <v>11.919</v>
      </c>
      <c r="V57" s="33">
        <v>0</v>
      </c>
      <c r="W57" s="34">
        <v>0</v>
      </c>
      <c r="X57" s="33">
        <v>16.483000000000001</v>
      </c>
      <c r="Y57" s="33">
        <v>0</v>
      </c>
      <c r="Z57" s="33">
        <v>0</v>
      </c>
      <c r="AA57" s="34">
        <v>0</v>
      </c>
      <c r="AB57" s="33">
        <v>0</v>
      </c>
      <c r="AC57" s="33">
        <v>0</v>
      </c>
      <c r="AD57" s="33">
        <v>0</v>
      </c>
      <c r="AE57" s="33">
        <v>2.2389999999999999</v>
      </c>
      <c r="AF57" s="638">
        <v>2.5950000000000002</v>
      </c>
      <c r="AG57" s="33">
        <v>0</v>
      </c>
      <c r="AH57" s="33">
        <v>5.8360000000000003</v>
      </c>
      <c r="AI57" s="33">
        <v>0</v>
      </c>
      <c r="AJ57" s="638">
        <v>14.071</v>
      </c>
      <c r="AK57" s="33">
        <v>0</v>
      </c>
      <c r="AL57" s="33">
        <v>0</v>
      </c>
      <c r="AM57" s="33">
        <v>15.776999999999999</v>
      </c>
      <c r="AN57" s="638">
        <v>2.6850000000000001</v>
      </c>
      <c r="AO57" s="33">
        <v>0</v>
      </c>
      <c r="AP57" s="33">
        <v>0.66</v>
      </c>
      <c r="AQ57" s="33">
        <f>34.637+25.25</f>
        <v>59.887</v>
      </c>
      <c r="AR57" s="638">
        <f>23.796</f>
        <v>23.795999999999999</v>
      </c>
      <c r="AS57" s="33">
        <v>24.21</v>
      </c>
      <c r="AT57" s="33">
        <v>22.954000000000001</v>
      </c>
      <c r="AU57" s="33">
        <v>17.358000000000001</v>
      </c>
      <c r="AV57" s="638">
        <v>17.358000000000001</v>
      </c>
      <c r="AW57" s="33">
        <f>17.419+13.684</f>
        <v>31.103000000000002</v>
      </c>
      <c r="AX57" s="33">
        <v>17.446999999999999</v>
      </c>
      <c r="AY57" s="33">
        <v>17.899000000000001</v>
      </c>
      <c r="AZ57" s="638">
        <f>18.16+49.463</f>
        <v>67.623000000000005</v>
      </c>
      <c r="BA57" s="33">
        <f>68.69</f>
        <v>68.69</v>
      </c>
      <c r="BB57" s="33">
        <v>112.15300000000001</v>
      </c>
      <c r="BC57" s="33">
        <v>98.347999999999999</v>
      </c>
      <c r="BD57" s="638">
        <f>57.318+107.019</f>
        <v>164.33699999999999</v>
      </c>
      <c r="BE57" s="33">
        <v>125</v>
      </c>
      <c r="BF57" s="33"/>
      <c r="BG57" s="34"/>
      <c r="BH57" s="638">
        <v>0</v>
      </c>
      <c r="BI57" s="33">
        <v>0</v>
      </c>
      <c r="BJ57" s="33">
        <v>0</v>
      </c>
      <c r="BK57" s="34">
        <v>0</v>
      </c>
      <c r="BL57" s="638">
        <v>0</v>
      </c>
      <c r="BM57" s="33">
        <v>0</v>
      </c>
      <c r="BN57" s="33">
        <v>0</v>
      </c>
      <c r="BO57" s="34">
        <v>0</v>
      </c>
      <c r="BP57" s="253"/>
      <c r="BQ57" s="37">
        <f>SUM(D57:G57)</f>
        <v>31.48</v>
      </c>
      <c r="BR57" s="35">
        <f>SUM(H57:K57)</f>
        <v>23.500999999999998</v>
      </c>
      <c r="BS57" s="35">
        <f>SUM(L57:O57)</f>
        <v>40.494999999999997</v>
      </c>
      <c r="BT57" s="35">
        <f>SUM(P57:S57)</f>
        <v>3.0880000000000001</v>
      </c>
      <c r="BU57" s="35">
        <f>SUM(T57:W57)</f>
        <v>53.656000000000006</v>
      </c>
      <c r="BV57" s="35">
        <f>SUM(X57:AA57)</f>
        <v>16.483000000000001</v>
      </c>
      <c r="BW57" s="35">
        <f>SUM(AB57:AE57)</f>
        <v>2.2389999999999999</v>
      </c>
      <c r="BX57" s="35">
        <f>SUM(AF57:AI57)</f>
        <v>8.4310000000000009</v>
      </c>
      <c r="BY57" s="35">
        <f>SUM(AJ57:AM57)</f>
        <v>29.847999999999999</v>
      </c>
      <c r="BZ57" s="37">
        <f>SUM(AN57:AQ57)</f>
        <v>63.231999999999999</v>
      </c>
      <c r="CA57" s="35">
        <f>SUM(AR57:AU57)</f>
        <v>88.318000000000012</v>
      </c>
      <c r="CB57" s="35">
        <f>SUM(AV57:AY57)</f>
        <v>83.807000000000002</v>
      </c>
      <c r="CC57" s="35">
        <f>SUM(AZ57:BC57)</f>
        <v>346.81400000000002</v>
      </c>
      <c r="CD57" s="35">
        <f>SUM(BD57:BG57)</f>
        <v>289.33699999999999</v>
      </c>
      <c r="CE57" s="35">
        <f t="shared" ref="CE57:CE60" si="163">SUM(BH57:BK57)</f>
        <v>0</v>
      </c>
      <c r="CF57" s="36">
        <f>SUM(BL57:BO57)</f>
        <v>0</v>
      </c>
      <c r="CG57" s="23"/>
      <c r="CH57" s="37">
        <f>SUM(E57:H57)</f>
        <v>32.493000000000002</v>
      </c>
      <c r="CI57" s="35">
        <f>SUM(I57:L57)</f>
        <v>27.683999999999997</v>
      </c>
      <c r="CJ57" s="35">
        <f>SUM(M57:P57)</f>
        <v>35.298999999999999</v>
      </c>
      <c r="CK57" s="35">
        <f>SUM(Q57:T57)</f>
        <v>44.825000000000003</v>
      </c>
      <c r="CL57" s="35">
        <f>SUM(U57:X57)</f>
        <v>28.402000000000001</v>
      </c>
      <c r="CM57" s="35">
        <f>SUM(Y57:AB57)</f>
        <v>0</v>
      </c>
      <c r="CN57" s="35">
        <f>SUM(AC57:AF57)</f>
        <v>4.8339999999999996</v>
      </c>
      <c r="CO57" s="35">
        <f>SUM(AG57:AJ57)</f>
        <v>19.907</v>
      </c>
      <c r="CP57" s="35">
        <f>SUM(AK57:AN57)</f>
        <v>18.462</v>
      </c>
      <c r="CQ57" s="35">
        <f>SUM(AO57:AR57)</f>
        <v>84.342999999999989</v>
      </c>
      <c r="CR57" s="35">
        <f>SUM(AS57:AV57)</f>
        <v>81.88000000000001</v>
      </c>
      <c r="CS57" s="35">
        <f>SUM(AW57:AZ57)</f>
        <v>134.072</v>
      </c>
      <c r="CT57" s="35">
        <f>SUM(BA57:BD57)</f>
        <v>443.52800000000002</v>
      </c>
      <c r="CU57" s="35">
        <f>SUM(BE57:BH57)</f>
        <v>125</v>
      </c>
      <c r="CV57" s="36">
        <f>SUM(BI57:BL57)</f>
        <v>0</v>
      </c>
      <c r="CW57" s="17"/>
    </row>
    <row r="58" spans="1:112" ht="14.25" hidden="1" customHeight="1" outlineLevel="1">
      <c r="A58" s="8"/>
      <c r="B58" s="99" t="s">
        <v>233</v>
      </c>
      <c r="C58" s="32"/>
      <c r="D58" s="33">
        <v>0</v>
      </c>
      <c r="E58" s="33">
        <v>0</v>
      </c>
      <c r="F58" s="33">
        <v>0</v>
      </c>
      <c r="G58" s="34">
        <v>0</v>
      </c>
      <c r="H58" s="33">
        <v>0</v>
      </c>
      <c r="I58" s="33">
        <v>0</v>
      </c>
      <c r="J58" s="33">
        <v>0</v>
      </c>
      <c r="K58" s="34">
        <v>0</v>
      </c>
      <c r="L58" s="33">
        <v>0</v>
      </c>
      <c r="M58" s="33">
        <v>0</v>
      </c>
      <c r="N58" s="33">
        <v>0</v>
      </c>
      <c r="O58" s="34">
        <v>0</v>
      </c>
      <c r="P58" s="33">
        <v>0</v>
      </c>
      <c r="Q58" s="33">
        <v>0</v>
      </c>
      <c r="R58" s="33">
        <v>0</v>
      </c>
      <c r="S58" s="34">
        <v>0</v>
      </c>
      <c r="T58" s="33">
        <v>0</v>
      </c>
      <c r="U58" s="33">
        <v>0</v>
      </c>
      <c r="V58" s="33">
        <v>0</v>
      </c>
      <c r="W58" s="34">
        <v>0</v>
      </c>
      <c r="X58" s="33">
        <v>0</v>
      </c>
      <c r="Y58" s="33">
        <v>0</v>
      </c>
      <c r="Z58" s="33">
        <v>0</v>
      </c>
      <c r="AA58" s="34">
        <v>0</v>
      </c>
      <c r="AB58" s="33">
        <v>0</v>
      </c>
      <c r="AC58" s="33">
        <v>0</v>
      </c>
      <c r="AD58" s="33">
        <v>0</v>
      </c>
      <c r="AE58" s="33">
        <v>0</v>
      </c>
      <c r="AF58" s="638">
        <v>0</v>
      </c>
      <c r="AG58" s="33">
        <v>0</v>
      </c>
      <c r="AH58" s="33">
        <v>0</v>
      </c>
      <c r="AI58" s="33">
        <v>0</v>
      </c>
      <c r="AJ58" s="638">
        <v>0</v>
      </c>
      <c r="AK58" s="33">
        <v>0</v>
      </c>
      <c r="AL58" s="33">
        <v>0</v>
      </c>
      <c r="AM58" s="33">
        <v>0</v>
      </c>
      <c r="AN58" s="638">
        <v>0</v>
      </c>
      <c r="AO58" s="33">
        <v>0</v>
      </c>
      <c r="AP58" s="33">
        <v>0</v>
      </c>
      <c r="AQ58" s="33">
        <v>0</v>
      </c>
      <c r="AR58" s="638">
        <v>0</v>
      </c>
      <c r="AS58" s="33">
        <v>0</v>
      </c>
      <c r="AT58" s="33">
        <v>0</v>
      </c>
      <c r="AU58" s="33">
        <v>223.672</v>
      </c>
      <c r="AV58" s="638">
        <v>0</v>
      </c>
      <c r="AW58" s="33">
        <v>0</v>
      </c>
      <c r="AX58" s="33">
        <v>0</v>
      </c>
      <c r="AY58" s="33">
        <v>0</v>
      </c>
      <c r="AZ58" s="638">
        <v>0</v>
      </c>
      <c r="BA58" s="33">
        <v>0</v>
      </c>
      <c r="BB58" s="33">
        <v>0</v>
      </c>
      <c r="BC58" s="33">
        <v>0</v>
      </c>
      <c r="BD58" s="638">
        <v>0</v>
      </c>
      <c r="BE58" s="33">
        <v>0</v>
      </c>
      <c r="BF58" s="33">
        <v>0</v>
      </c>
      <c r="BG58" s="34">
        <v>0</v>
      </c>
      <c r="BH58" s="638">
        <v>0</v>
      </c>
      <c r="BI58" s="33">
        <v>0</v>
      </c>
      <c r="BJ58" s="33">
        <v>0</v>
      </c>
      <c r="BK58" s="34">
        <v>0</v>
      </c>
      <c r="BL58" s="638">
        <v>0</v>
      </c>
      <c r="BM58" s="33">
        <v>0</v>
      </c>
      <c r="BN58" s="33">
        <v>0</v>
      </c>
      <c r="BO58" s="34">
        <v>0</v>
      </c>
      <c r="BP58" s="253"/>
      <c r="BQ58" s="37">
        <f>SUM(D58:G58)</f>
        <v>0</v>
      </c>
      <c r="BR58" s="35">
        <f>SUM(H58:K58)</f>
        <v>0</v>
      </c>
      <c r="BS58" s="35">
        <f>SUM(L58:O58)</f>
        <v>0</v>
      </c>
      <c r="BT58" s="35">
        <f>SUM(P58:S58)</f>
        <v>0</v>
      </c>
      <c r="BU58" s="35">
        <f>SUM(T58:W58)</f>
        <v>0</v>
      </c>
      <c r="BV58" s="35">
        <f>SUM(X58:AA58)</f>
        <v>0</v>
      </c>
      <c r="BW58" s="35">
        <f>SUM(AB58:AE58)</f>
        <v>0</v>
      </c>
      <c r="BX58" s="35">
        <f>SUM(AF58:AI58)</f>
        <v>0</v>
      </c>
      <c r="BY58" s="35">
        <f>SUM(AJ58:AM58)</f>
        <v>0</v>
      </c>
      <c r="BZ58" s="37">
        <f>SUM(AN58:AQ58)</f>
        <v>0</v>
      </c>
      <c r="CA58" s="35">
        <f>SUM(AR58:AU58)</f>
        <v>223.672</v>
      </c>
      <c r="CB58" s="35">
        <f>SUM(AV58:AY58)</f>
        <v>0</v>
      </c>
      <c r="CC58" s="35">
        <f>SUM(AZ58:BC58)</f>
        <v>0</v>
      </c>
      <c r="CD58" s="35">
        <f t="shared" ref="CD58" si="164">SUM(BD58:BG58)</f>
        <v>0</v>
      </c>
      <c r="CE58" s="35">
        <f t="shared" si="163"/>
        <v>0</v>
      </c>
      <c r="CF58" s="36">
        <f>SUM(BL58:BO58)</f>
        <v>0</v>
      </c>
      <c r="CG58" s="23"/>
      <c r="CH58" s="37">
        <f>SUM(E58:H58)</f>
        <v>0</v>
      </c>
      <c r="CI58" s="35">
        <f>SUM(I58:L58)</f>
        <v>0</v>
      </c>
      <c r="CJ58" s="35">
        <f>SUM(M58:P58)</f>
        <v>0</v>
      </c>
      <c r="CK58" s="35">
        <f>SUM(Q58:T58)</f>
        <v>0</v>
      </c>
      <c r="CL58" s="35">
        <f>SUM(U58:X58)</f>
        <v>0</v>
      </c>
      <c r="CM58" s="35">
        <f>SUM(Y58:AB58)</f>
        <v>0</v>
      </c>
      <c r="CN58" s="35">
        <f>SUM(AC58:AF58)</f>
        <v>0</v>
      </c>
      <c r="CO58" s="35">
        <f>SUM(AG58:AJ58)</f>
        <v>0</v>
      </c>
      <c r="CP58" s="35">
        <f>SUM(AK58:AN58)</f>
        <v>0</v>
      </c>
      <c r="CQ58" s="35">
        <f>SUM(AO58:AR58)</f>
        <v>0</v>
      </c>
      <c r="CR58" s="35">
        <f>SUM(AS58:AV58)</f>
        <v>223.672</v>
      </c>
      <c r="CS58" s="35">
        <f>SUM(AW58:AZ58)</f>
        <v>0</v>
      </c>
      <c r="CT58" s="35">
        <f>SUM(BA58:BD58)</f>
        <v>0</v>
      </c>
      <c r="CU58" s="35">
        <f>SUM(BE58:BH58)</f>
        <v>0</v>
      </c>
      <c r="CV58" s="36">
        <f>SUM(BI58:BL58)</f>
        <v>0</v>
      </c>
      <c r="CW58" s="17"/>
    </row>
    <row r="59" spans="1:112" ht="14.25" hidden="1" customHeight="1" outlineLevel="1">
      <c r="A59" s="675"/>
      <c r="B59" s="851" t="s">
        <v>196</v>
      </c>
      <c r="C59" s="852"/>
      <c r="D59" s="678">
        <v>0</v>
      </c>
      <c r="E59" s="678">
        <v>0</v>
      </c>
      <c r="F59" s="678">
        <v>0</v>
      </c>
      <c r="G59" s="679">
        <v>0</v>
      </c>
      <c r="H59" s="678">
        <v>0</v>
      </c>
      <c r="I59" s="678">
        <v>0</v>
      </c>
      <c r="J59" s="678">
        <v>0</v>
      </c>
      <c r="K59" s="679">
        <v>0</v>
      </c>
      <c r="L59" s="678">
        <v>0</v>
      </c>
      <c r="M59" s="678">
        <v>0</v>
      </c>
      <c r="N59" s="678">
        <v>0</v>
      </c>
      <c r="O59" s="679">
        <v>0</v>
      </c>
      <c r="P59" s="678">
        <v>0</v>
      </c>
      <c r="Q59" s="678">
        <v>0</v>
      </c>
      <c r="R59" s="678">
        <v>0</v>
      </c>
      <c r="S59" s="679">
        <v>0</v>
      </c>
      <c r="T59" s="678">
        <v>0</v>
      </c>
      <c r="U59" s="678">
        <v>0</v>
      </c>
      <c r="V59" s="678">
        <v>0</v>
      </c>
      <c r="W59" s="679">
        <v>0</v>
      </c>
      <c r="X59" s="678">
        <v>0</v>
      </c>
      <c r="Y59" s="678">
        <v>0</v>
      </c>
      <c r="Z59" s="678">
        <v>0</v>
      </c>
      <c r="AA59" s="679">
        <v>0</v>
      </c>
      <c r="AB59" s="678">
        <v>0</v>
      </c>
      <c r="AC59" s="678">
        <v>0</v>
      </c>
      <c r="AD59" s="678">
        <v>0</v>
      </c>
      <c r="AE59" s="678">
        <v>0</v>
      </c>
      <c r="AF59" s="680">
        <v>0</v>
      </c>
      <c r="AG59" s="678">
        <v>0</v>
      </c>
      <c r="AH59" s="678">
        <v>0</v>
      </c>
      <c r="AI59" s="678">
        <v>0</v>
      </c>
      <c r="AJ59" s="680">
        <v>0</v>
      </c>
      <c r="AK59" s="678">
        <v>0</v>
      </c>
      <c r="AL59" s="678">
        <v>0</v>
      </c>
      <c r="AM59" s="678">
        <v>0</v>
      </c>
      <c r="AN59" s="680">
        <v>0</v>
      </c>
      <c r="AO59" s="678">
        <v>0</v>
      </c>
      <c r="AP59" s="678">
        <v>0</v>
      </c>
      <c r="AQ59" s="678">
        <v>0</v>
      </c>
      <c r="AR59" s="680">
        <v>0</v>
      </c>
      <c r="AS59" s="678">
        <v>0</v>
      </c>
      <c r="AT59" s="678">
        <v>0</v>
      </c>
      <c r="AU59" s="678">
        <v>0</v>
      </c>
      <c r="AV59" s="680">
        <v>0</v>
      </c>
      <c r="AW59" s="678">
        <v>0</v>
      </c>
      <c r="AX59" s="678">
        <v>0</v>
      </c>
      <c r="AY59" s="678">
        <v>0</v>
      </c>
      <c r="AZ59" s="680">
        <v>0</v>
      </c>
      <c r="BA59" s="678">
        <v>0</v>
      </c>
      <c r="BB59" s="678">
        <v>0</v>
      </c>
      <c r="BC59" s="678">
        <v>0</v>
      </c>
      <c r="BD59" s="680">
        <v>0</v>
      </c>
      <c r="BE59" s="678">
        <v>0</v>
      </c>
      <c r="BF59" s="678">
        <v>0</v>
      </c>
      <c r="BG59" s="679">
        <v>0</v>
      </c>
      <c r="BH59" s="680">
        <v>0</v>
      </c>
      <c r="BI59" s="678">
        <v>0</v>
      </c>
      <c r="BJ59" s="678">
        <v>0</v>
      </c>
      <c r="BK59" s="679">
        <v>0</v>
      </c>
      <c r="BL59" s="680">
        <v>0</v>
      </c>
      <c r="BM59" s="678">
        <v>0</v>
      </c>
      <c r="BN59" s="678">
        <v>0</v>
      </c>
      <c r="BO59" s="679">
        <v>0</v>
      </c>
      <c r="BP59" s="946"/>
      <c r="BQ59" s="684">
        <f>SUM(D59:G59)</f>
        <v>0</v>
      </c>
      <c r="BR59" s="682">
        <f>SUM(H59:K59)</f>
        <v>0</v>
      </c>
      <c r="BS59" s="682">
        <f>SUM(L59:O59)</f>
        <v>0</v>
      </c>
      <c r="BT59" s="682">
        <f>SUM(P59:S59)</f>
        <v>0</v>
      </c>
      <c r="BU59" s="682">
        <f>SUM(T59:W59)</f>
        <v>0</v>
      </c>
      <c r="BV59" s="682">
        <f>SUM(X59:AA59)</f>
        <v>0</v>
      </c>
      <c r="BW59" s="682">
        <f>SUM(AB59:AE59)</f>
        <v>0</v>
      </c>
      <c r="BX59" s="682">
        <f>SUM(AF59:AI59)</f>
        <v>0</v>
      </c>
      <c r="BY59" s="682">
        <f>SUM(AJ59:AM59)</f>
        <v>0</v>
      </c>
      <c r="BZ59" s="684">
        <f>SUM(AN59:AQ59)</f>
        <v>0</v>
      </c>
      <c r="CA59" s="682">
        <f>SUM(AR59:AU59)</f>
        <v>0</v>
      </c>
      <c r="CB59" s="682">
        <f>SUM(AV59:AY59)</f>
        <v>0</v>
      </c>
      <c r="CC59" s="682">
        <f>SUM(AZ59:BC59)</f>
        <v>0</v>
      </c>
      <c r="CD59" s="682">
        <f>SUM(BD59:BG59)</f>
        <v>0</v>
      </c>
      <c r="CE59" s="682">
        <f t="shared" si="163"/>
        <v>0</v>
      </c>
      <c r="CF59" s="683">
        <f>SUM(BL59:BO59)</f>
        <v>0</v>
      </c>
      <c r="CG59" s="681"/>
      <c r="CH59" s="684">
        <f>SUM(E59:H59)</f>
        <v>0</v>
      </c>
      <c r="CI59" s="682">
        <f>SUM(I59:L59)</f>
        <v>0</v>
      </c>
      <c r="CJ59" s="682">
        <f>SUM(M59:P59)</f>
        <v>0</v>
      </c>
      <c r="CK59" s="682">
        <f>SUM(Q59:T59)</f>
        <v>0</v>
      </c>
      <c r="CL59" s="682">
        <f>SUM(U59:X59)</f>
        <v>0</v>
      </c>
      <c r="CM59" s="682">
        <f>SUM(Y59:AB59)</f>
        <v>0</v>
      </c>
      <c r="CN59" s="682">
        <f>SUM(AC59:AF59)</f>
        <v>0</v>
      </c>
      <c r="CO59" s="682">
        <f>SUM(AG59:AJ59)</f>
        <v>0</v>
      </c>
      <c r="CP59" s="682">
        <f>SUM(AK59:AN59)</f>
        <v>0</v>
      </c>
      <c r="CQ59" s="682">
        <f>SUM(AO59:AR59)</f>
        <v>0</v>
      </c>
      <c r="CR59" s="682">
        <f>SUM(AS59:AV59)</f>
        <v>0</v>
      </c>
      <c r="CS59" s="682">
        <f>SUM(AW59:AZ59)</f>
        <v>0</v>
      </c>
      <c r="CT59" s="682">
        <f>SUM(BA59:BD59)</f>
        <v>0</v>
      </c>
      <c r="CU59" s="682">
        <f>SUM(BE59:BH59)</f>
        <v>0</v>
      </c>
      <c r="CV59" s="683">
        <f>SUM(BI59:BL59)</f>
        <v>0</v>
      </c>
      <c r="CW59" s="799"/>
      <c r="DD59" s="686"/>
      <c r="DE59" s="686"/>
      <c r="DF59" s="686"/>
      <c r="DG59" s="686"/>
      <c r="DH59" s="686"/>
    </row>
    <row r="60" spans="1:112" ht="14.25" hidden="1" customHeight="1" outlineLevel="1">
      <c r="A60" s="8"/>
      <c r="B60" s="26" t="s">
        <v>4</v>
      </c>
      <c r="C60" s="27"/>
      <c r="D60" s="33">
        <v>0</v>
      </c>
      <c r="E60" s="33">
        <v>0</v>
      </c>
      <c r="F60" s="33">
        <v>0</v>
      </c>
      <c r="G60" s="34">
        <v>0</v>
      </c>
      <c r="H60" s="33">
        <v>0</v>
      </c>
      <c r="I60" s="33">
        <v>0</v>
      </c>
      <c r="J60" s="33">
        <v>0</v>
      </c>
      <c r="K60" s="34">
        <v>0</v>
      </c>
      <c r="L60" s="33">
        <v>0</v>
      </c>
      <c r="M60" s="33">
        <v>0</v>
      </c>
      <c r="N60" s="33">
        <v>0</v>
      </c>
      <c r="O60" s="34">
        <v>0</v>
      </c>
      <c r="P60" s="33">
        <v>0</v>
      </c>
      <c r="Q60" s="33">
        <v>0</v>
      </c>
      <c r="R60" s="33">
        <v>0</v>
      </c>
      <c r="S60" s="34">
        <v>0</v>
      </c>
      <c r="T60" s="33">
        <v>0</v>
      </c>
      <c r="U60" s="33">
        <v>0</v>
      </c>
      <c r="V60" s="33">
        <v>0</v>
      </c>
      <c r="W60" s="34">
        <v>0</v>
      </c>
      <c r="X60" s="33">
        <v>0</v>
      </c>
      <c r="Y60" s="33">
        <v>0</v>
      </c>
      <c r="Z60" s="33">
        <v>0</v>
      </c>
      <c r="AA60" s="34">
        <v>0</v>
      </c>
      <c r="AB60" s="33">
        <v>0</v>
      </c>
      <c r="AC60" s="33">
        <v>0</v>
      </c>
      <c r="AD60" s="33">
        <v>0</v>
      </c>
      <c r="AE60" s="33">
        <v>0</v>
      </c>
      <c r="AF60" s="638">
        <v>0</v>
      </c>
      <c r="AG60" s="33">
        <v>0</v>
      </c>
      <c r="AH60" s="33">
        <v>0</v>
      </c>
      <c r="AI60" s="33">
        <v>0</v>
      </c>
      <c r="AJ60" s="638">
        <v>0</v>
      </c>
      <c r="AK60" s="33">
        <v>0</v>
      </c>
      <c r="AL60" s="33">
        <v>0</v>
      </c>
      <c r="AM60" s="33">
        <v>0</v>
      </c>
      <c r="AN60" s="638">
        <v>0</v>
      </c>
      <c r="AO60" s="33">
        <v>0</v>
      </c>
      <c r="AP60" s="33">
        <f>-2.033-5.284-21.123+0.66</f>
        <v>-27.78</v>
      </c>
      <c r="AQ60" s="33">
        <f>-27.166-5.987-34.637+1.302+59.887</f>
        <v>-6.6009999999999849</v>
      </c>
      <c r="AR60" s="638">
        <f>(-24.132-3.057-4.164)+23.796</f>
        <v>-7.5570000000000022</v>
      </c>
      <c r="AS60" s="33">
        <f>-24.435-1.82+AS57</f>
        <v>-2.0449999999999982</v>
      </c>
      <c r="AT60" s="33">
        <f>-23.49-5.139+AT57</f>
        <v>-5.6749999999999972</v>
      </c>
      <c r="AU60" s="1460">
        <f>-223.672-17.682+AU57+AU58</f>
        <v>-0.32399999999998386</v>
      </c>
      <c r="AV60" s="638">
        <f>-17.457+AV57</f>
        <v>-9.9000000000000199E-2</v>
      </c>
      <c r="AW60" s="33">
        <f>AW55-AW57</f>
        <v>0</v>
      </c>
      <c r="AX60" s="33">
        <f>-17.582-8.31+AX57</f>
        <v>-8.4450000000000038</v>
      </c>
      <c r="AY60" s="33">
        <f>-17.999-5.21+AY57+AY58</f>
        <v>-5.3099999999999987</v>
      </c>
      <c r="AZ60" s="638">
        <f>-18.232-8.011-49.463+AZ57</f>
        <v>-8.0829999999999984</v>
      </c>
      <c r="BA60" s="33">
        <f>-74.861-39.766+BA57</f>
        <v>-45.937000000000012</v>
      </c>
      <c r="BB60" s="33">
        <f>-126.732-8.017+BB57</f>
        <v>-22.595999999999989</v>
      </c>
      <c r="BC60" s="33">
        <f>-107.736-15.108+BC57</f>
        <v>-24.496000000000009</v>
      </c>
      <c r="BD60" s="638">
        <f>-117.978-8.736-57.318+BD57</f>
        <v>-19.694999999999993</v>
      </c>
      <c r="BE60" s="33">
        <v>0</v>
      </c>
      <c r="BF60" s="33">
        <v>0</v>
      </c>
      <c r="BG60" s="34">
        <v>0</v>
      </c>
      <c r="BH60" s="638">
        <v>0</v>
      </c>
      <c r="BI60" s="33">
        <v>0</v>
      </c>
      <c r="BJ60" s="33">
        <v>0</v>
      </c>
      <c r="BK60" s="34">
        <v>0</v>
      </c>
      <c r="BL60" s="638">
        <v>0</v>
      </c>
      <c r="BM60" s="33">
        <v>0</v>
      </c>
      <c r="BN60" s="33">
        <v>0</v>
      </c>
      <c r="BO60" s="34">
        <v>0</v>
      </c>
      <c r="BP60" s="253"/>
      <c r="BQ60" s="37">
        <f>SUM(D60:G60)</f>
        <v>0</v>
      </c>
      <c r="BR60" s="35">
        <f>SUM(H60:K60)</f>
        <v>0</v>
      </c>
      <c r="BS60" s="35">
        <f>SUM(L60:O60)</f>
        <v>0</v>
      </c>
      <c r="BT60" s="35">
        <f>SUM(P60:S60)</f>
        <v>0</v>
      </c>
      <c r="BU60" s="35">
        <f>SUM(T60:W60)</f>
        <v>0</v>
      </c>
      <c r="BV60" s="35">
        <f>SUM(X60:AA60)</f>
        <v>0</v>
      </c>
      <c r="BW60" s="35">
        <f>SUM(AB60:AE60)</f>
        <v>0</v>
      </c>
      <c r="BX60" s="35">
        <f>SUM(AF60:AI60)</f>
        <v>0</v>
      </c>
      <c r="BY60" s="35">
        <f>SUM(AJ60:AM60)</f>
        <v>0</v>
      </c>
      <c r="BZ60" s="37">
        <f>SUM(AN60:AQ60)</f>
        <v>-34.380999999999986</v>
      </c>
      <c r="CA60" s="35">
        <f>SUM(AR60:AU60)</f>
        <v>-15.600999999999981</v>
      </c>
      <c r="CB60" s="35">
        <f>SUM(AV60:AY60)</f>
        <v>-13.854000000000003</v>
      </c>
      <c r="CC60" s="35">
        <f>SUM(AZ60:BC60)</f>
        <v>-101.11200000000001</v>
      </c>
      <c r="CD60" s="35">
        <f>SUM(BD60:BG60)</f>
        <v>-19.694999999999993</v>
      </c>
      <c r="CE60" s="35">
        <f t="shared" si="163"/>
        <v>0</v>
      </c>
      <c r="CF60" s="36">
        <f>SUM(BL60:BO60)</f>
        <v>0</v>
      </c>
      <c r="CG60" s="23"/>
      <c r="CH60" s="37">
        <f>SUM(E60:H60)</f>
        <v>0</v>
      </c>
      <c r="CI60" s="35">
        <f>SUM(I60:L60)</f>
        <v>0</v>
      </c>
      <c r="CJ60" s="35">
        <f>SUM(M60:P60)</f>
        <v>0</v>
      </c>
      <c r="CK60" s="35">
        <f>SUM(Q60:T60)</f>
        <v>0</v>
      </c>
      <c r="CL60" s="35">
        <f>SUM(U60:X60)</f>
        <v>0</v>
      </c>
      <c r="CM60" s="35">
        <f>SUM(Y60:AB60)</f>
        <v>0</v>
      </c>
      <c r="CN60" s="35">
        <f>SUM(AC60:AF60)</f>
        <v>0</v>
      </c>
      <c r="CO60" s="35">
        <f>SUM(AG60:AJ60)</f>
        <v>0</v>
      </c>
      <c r="CP60" s="35">
        <f>SUM(AK60:AN60)</f>
        <v>0</v>
      </c>
      <c r="CQ60" s="35">
        <f>SUM(AO60:AR60)</f>
        <v>-41.937999999999988</v>
      </c>
      <c r="CR60" s="35">
        <f>SUM(AS60:AV60)</f>
        <v>-8.1429999999999794</v>
      </c>
      <c r="CS60" s="35">
        <f>SUM(AW60:AZ60)</f>
        <v>-21.838000000000001</v>
      </c>
      <c r="CT60" s="35">
        <f>SUM(BA60:BD60)</f>
        <v>-112.724</v>
      </c>
      <c r="CU60" s="35">
        <f>SUM(BE60:BH60)</f>
        <v>0</v>
      </c>
      <c r="CV60" s="36">
        <f>SUM(BI60:BL60)</f>
        <v>0</v>
      </c>
      <c r="CW60" s="17"/>
    </row>
    <row r="61" spans="1:112" ht="14.25" hidden="1" customHeight="1" outlineLevel="1">
      <c r="A61" s="8"/>
      <c r="B61" s="38" t="s">
        <v>332</v>
      </c>
      <c r="C61" s="39"/>
      <c r="D61" s="40">
        <f t="shared" ref="D61:AI61" si="165">D60/D10</f>
        <v>0</v>
      </c>
      <c r="E61" s="40">
        <f t="shared" si="165"/>
        <v>0</v>
      </c>
      <c r="F61" s="40">
        <f t="shared" si="165"/>
        <v>0</v>
      </c>
      <c r="G61" s="41">
        <f t="shared" si="165"/>
        <v>0</v>
      </c>
      <c r="H61" s="40">
        <f t="shared" si="165"/>
        <v>0</v>
      </c>
      <c r="I61" s="40">
        <f t="shared" si="165"/>
        <v>0</v>
      </c>
      <c r="J61" s="40">
        <f t="shared" si="165"/>
        <v>0</v>
      </c>
      <c r="K61" s="41">
        <f t="shared" si="165"/>
        <v>0</v>
      </c>
      <c r="L61" s="40">
        <f t="shared" si="165"/>
        <v>0</v>
      </c>
      <c r="M61" s="40">
        <f t="shared" si="165"/>
        <v>0</v>
      </c>
      <c r="N61" s="40">
        <f t="shared" si="165"/>
        <v>0</v>
      </c>
      <c r="O61" s="41">
        <f t="shared" si="165"/>
        <v>0</v>
      </c>
      <c r="P61" s="40">
        <f t="shared" si="165"/>
        <v>0</v>
      </c>
      <c r="Q61" s="40">
        <f t="shared" si="165"/>
        <v>0</v>
      </c>
      <c r="R61" s="40">
        <f t="shared" si="165"/>
        <v>0</v>
      </c>
      <c r="S61" s="41">
        <f t="shared" si="165"/>
        <v>0</v>
      </c>
      <c r="T61" s="40">
        <f t="shared" si="165"/>
        <v>0</v>
      </c>
      <c r="U61" s="40">
        <f t="shared" si="165"/>
        <v>0</v>
      </c>
      <c r="V61" s="40">
        <f t="shared" si="165"/>
        <v>0</v>
      </c>
      <c r="W61" s="41">
        <f t="shared" si="165"/>
        <v>0</v>
      </c>
      <c r="X61" s="40">
        <f t="shared" si="165"/>
        <v>0</v>
      </c>
      <c r="Y61" s="40">
        <f t="shared" si="165"/>
        <v>0</v>
      </c>
      <c r="Z61" s="40">
        <f t="shared" si="165"/>
        <v>0</v>
      </c>
      <c r="AA61" s="41">
        <f t="shared" si="165"/>
        <v>0</v>
      </c>
      <c r="AB61" s="40">
        <f t="shared" si="165"/>
        <v>0</v>
      </c>
      <c r="AC61" s="40">
        <f t="shared" si="165"/>
        <v>0</v>
      </c>
      <c r="AD61" s="40">
        <f t="shared" si="165"/>
        <v>0</v>
      </c>
      <c r="AE61" s="40">
        <f t="shared" si="165"/>
        <v>0</v>
      </c>
      <c r="AF61" s="42">
        <f t="shared" si="165"/>
        <v>0</v>
      </c>
      <c r="AG61" s="40">
        <f t="shared" si="165"/>
        <v>0</v>
      </c>
      <c r="AH61" s="40">
        <f t="shared" si="165"/>
        <v>0</v>
      </c>
      <c r="AI61" s="40">
        <f t="shared" si="165"/>
        <v>0</v>
      </c>
      <c r="AJ61" s="42">
        <f t="shared" ref="AJ61:BK61" si="166">AJ60/AJ10</f>
        <v>0</v>
      </c>
      <c r="AK61" s="40">
        <f t="shared" si="166"/>
        <v>0</v>
      </c>
      <c r="AL61" s="40">
        <f t="shared" si="166"/>
        <v>0</v>
      </c>
      <c r="AM61" s="40">
        <f t="shared" si="166"/>
        <v>0</v>
      </c>
      <c r="AN61" s="42">
        <f t="shared" si="166"/>
        <v>0</v>
      </c>
      <c r="AO61" s="40">
        <f t="shared" si="166"/>
        <v>0</v>
      </c>
      <c r="AP61" s="40">
        <f t="shared" si="166"/>
        <v>-3.8172344425023916E-2</v>
      </c>
      <c r="AQ61" s="40">
        <f t="shared" si="166"/>
        <v>-8.1068766602762857E-3</v>
      </c>
      <c r="AR61" s="42">
        <f t="shared" si="166"/>
        <v>-9.7890376250346547E-3</v>
      </c>
      <c r="AS61" s="40">
        <f t="shared" si="166"/>
        <v>-2.4908071554982261E-3</v>
      </c>
      <c r="AT61" s="40">
        <f t="shared" si="166"/>
        <v>-6.5731179744372278E-3</v>
      </c>
      <c r="AU61" s="40">
        <f t="shared" si="166"/>
        <v>-3.310439532369599E-4</v>
      </c>
      <c r="AV61" s="1209">
        <f t="shared" si="166"/>
        <v>-1.2866684255467392E-4</v>
      </c>
      <c r="AW61" s="1207">
        <f t="shared" si="166"/>
        <v>0</v>
      </c>
      <c r="AX61" s="1207">
        <f t="shared" si="166"/>
        <v>-9.7114620551500691E-3</v>
      </c>
      <c r="AY61" s="1207">
        <f t="shared" si="166"/>
        <v>-5.2908313181343975E-3</v>
      </c>
      <c r="AZ61" s="1209">
        <f t="shared" si="166"/>
        <v>-8.2106843523636047E-3</v>
      </c>
      <c r="BA61" s="1282">
        <f t="shared" si="166"/>
        <v>-4.0015435782094155E-2</v>
      </c>
      <c r="BB61" s="1282">
        <f t="shared" ref="BB61:BD61" si="167">BB60/BB10</f>
        <v>-1.575839910956257E-2</v>
      </c>
      <c r="BC61" s="1440">
        <f t="shared" si="167"/>
        <v>-1.5894417877326972E-2</v>
      </c>
      <c r="BD61" s="1442">
        <f t="shared" si="167"/>
        <v>-1.2968977179341293E-2</v>
      </c>
      <c r="BE61" s="40">
        <f t="shared" si="166"/>
        <v>0</v>
      </c>
      <c r="BF61" s="40">
        <f t="shared" si="166"/>
        <v>0</v>
      </c>
      <c r="BG61" s="41">
        <f t="shared" si="166"/>
        <v>0</v>
      </c>
      <c r="BH61" s="1422">
        <f t="shared" si="166"/>
        <v>0</v>
      </c>
      <c r="BI61" s="1420">
        <f t="shared" si="166"/>
        <v>0</v>
      </c>
      <c r="BJ61" s="1420">
        <f t="shared" si="166"/>
        <v>0</v>
      </c>
      <c r="BK61" s="1421">
        <f t="shared" si="166"/>
        <v>0</v>
      </c>
      <c r="BL61" s="1442">
        <f t="shared" ref="BL61:BO61" si="168">BL60/BL10</f>
        <v>0</v>
      </c>
      <c r="BM61" s="1440">
        <f t="shared" si="168"/>
        <v>0</v>
      </c>
      <c r="BN61" s="1440">
        <f t="shared" si="168"/>
        <v>0</v>
      </c>
      <c r="BO61" s="1441">
        <f t="shared" si="168"/>
        <v>0</v>
      </c>
      <c r="BP61" s="253"/>
      <c r="BQ61" s="1283">
        <f t="shared" ref="BQ61:CE61" si="169">BQ60/BQ10</f>
        <v>0</v>
      </c>
      <c r="BR61" s="1282">
        <f t="shared" si="169"/>
        <v>0</v>
      </c>
      <c r="BS61" s="1282">
        <f t="shared" si="169"/>
        <v>0</v>
      </c>
      <c r="BT61" s="1282">
        <f t="shared" si="169"/>
        <v>0</v>
      </c>
      <c r="BU61" s="1282">
        <f t="shared" si="169"/>
        <v>0</v>
      </c>
      <c r="BV61" s="1282">
        <f t="shared" si="169"/>
        <v>0</v>
      </c>
      <c r="BW61" s="1282">
        <f t="shared" si="169"/>
        <v>0</v>
      </c>
      <c r="BX61" s="1282">
        <f t="shared" si="169"/>
        <v>0</v>
      </c>
      <c r="BY61" s="1282">
        <f t="shared" si="169"/>
        <v>0</v>
      </c>
      <c r="BZ61" s="1442">
        <f t="shared" si="169"/>
        <v>-1.2001299928476004E-2</v>
      </c>
      <c r="CA61" s="1440">
        <f t="shared" si="169"/>
        <v>-4.5416541973257148E-3</v>
      </c>
      <c r="CB61" s="1440">
        <f t="shared" si="169"/>
        <v>-4.049208966247532E-3</v>
      </c>
      <c r="CC61" s="1440">
        <f t="shared" si="169"/>
        <v>-1.9796757828629764E-2</v>
      </c>
      <c r="CD61" s="1440">
        <f t="shared" si="169"/>
        <v>-3.2468175171225223E-3</v>
      </c>
      <c r="CE61" s="1440">
        <f t="shared" si="169"/>
        <v>0</v>
      </c>
      <c r="CF61" s="1441">
        <f t="shared" ref="CF61" si="170">CF60/CF10</f>
        <v>0</v>
      </c>
      <c r="CG61" s="23"/>
      <c r="CH61" s="42">
        <f t="shared" ref="CH61:CU61" si="171">CH60/CH10</f>
        <v>0</v>
      </c>
      <c r="CI61" s="40">
        <f t="shared" si="171"/>
        <v>0</v>
      </c>
      <c r="CJ61" s="40">
        <f t="shared" si="171"/>
        <v>0</v>
      </c>
      <c r="CK61" s="40">
        <f t="shared" si="171"/>
        <v>0</v>
      </c>
      <c r="CL61" s="40">
        <f t="shared" si="171"/>
        <v>0</v>
      </c>
      <c r="CM61" s="1440">
        <f t="shared" si="171"/>
        <v>0</v>
      </c>
      <c r="CN61" s="1440">
        <f t="shared" si="171"/>
        <v>0</v>
      </c>
      <c r="CO61" s="1440">
        <f t="shared" si="171"/>
        <v>0</v>
      </c>
      <c r="CP61" s="1440">
        <f t="shared" si="171"/>
        <v>0</v>
      </c>
      <c r="CQ61" s="1440">
        <f t="shared" si="171"/>
        <v>-1.3939739825648547E-2</v>
      </c>
      <c r="CR61" s="1440">
        <f t="shared" si="171"/>
        <v>-2.3722991899572704E-3</v>
      </c>
      <c r="CS61" s="1207">
        <f t="shared" si="171"/>
        <v>-6.0053420539765796E-3</v>
      </c>
      <c r="CT61" s="1207">
        <f t="shared" si="171"/>
        <v>-1.9980580245806304E-2</v>
      </c>
      <c r="CU61" s="1440">
        <f t="shared" si="171"/>
        <v>0</v>
      </c>
      <c r="CV61" s="1441">
        <f t="shared" ref="CV61" si="172">CV60/CV10</f>
        <v>0</v>
      </c>
      <c r="CW61" s="17"/>
    </row>
    <row r="62" spans="1:112" ht="14.25" hidden="1" customHeight="1" outlineLevel="1">
      <c r="A62" s="8"/>
      <c r="B62" s="26"/>
      <c r="C62" s="27"/>
      <c r="D62" s="45"/>
      <c r="E62" s="45"/>
      <c r="F62" s="45"/>
      <c r="G62" s="46"/>
      <c r="H62" s="45"/>
      <c r="I62" s="45"/>
      <c r="J62" s="45"/>
      <c r="K62" s="46"/>
      <c r="L62" s="45"/>
      <c r="M62" s="45"/>
      <c r="N62" s="45"/>
      <c r="O62" s="46"/>
      <c r="P62" s="45"/>
      <c r="Q62" s="45"/>
      <c r="R62" s="45"/>
      <c r="S62" s="46"/>
      <c r="T62" s="45"/>
      <c r="U62" s="45"/>
      <c r="V62" s="45"/>
      <c r="W62" s="46"/>
      <c r="X62" s="45"/>
      <c r="Y62" s="45"/>
      <c r="Z62" s="45"/>
      <c r="AA62" s="46"/>
      <c r="AB62" s="45"/>
      <c r="AC62" s="45"/>
      <c r="AD62" s="45"/>
      <c r="AE62" s="45"/>
      <c r="AF62" s="47"/>
      <c r="AG62" s="45"/>
      <c r="AH62" s="45"/>
      <c r="AI62" s="45"/>
      <c r="AJ62" s="47"/>
      <c r="AK62" s="45"/>
      <c r="AL62" s="45"/>
      <c r="AM62" s="45"/>
      <c r="AN62" s="47"/>
      <c r="AO62" s="45"/>
      <c r="AP62" s="45"/>
      <c r="AQ62" s="45"/>
      <c r="AR62" s="47"/>
      <c r="AS62" s="45"/>
      <c r="AT62" s="45"/>
      <c r="AU62" s="45"/>
      <c r="AV62" s="47"/>
      <c r="AW62" s="45"/>
      <c r="AX62" s="45"/>
      <c r="AY62" s="45"/>
      <c r="AZ62" s="47"/>
      <c r="BA62" s="45"/>
      <c r="BB62" s="45"/>
      <c r="BC62" s="45"/>
      <c r="BD62" s="47"/>
      <c r="BE62" s="45"/>
      <c r="BF62" s="45"/>
      <c r="BG62" s="46"/>
      <c r="BH62" s="47"/>
      <c r="BI62" s="45"/>
      <c r="BJ62" s="45"/>
      <c r="BK62" s="46"/>
      <c r="BL62" s="47"/>
      <c r="BM62" s="45"/>
      <c r="BN62" s="45"/>
      <c r="BO62" s="46"/>
      <c r="BP62" s="253"/>
      <c r="BQ62" s="47"/>
      <c r="BR62" s="45"/>
      <c r="BS62" s="45"/>
      <c r="BT62" s="45"/>
      <c r="BU62" s="45"/>
      <c r="BV62" s="45"/>
      <c r="BW62" s="45"/>
      <c r="BX62" s="45"/>
      <c r="BY62" s="45"/>
      <c r="BZ62" s="47"/>
      <c r="CA62" s="45"/>
      <c r="CB62" s="45"/>
      <c r="CC62" s="45"/>
      <c r="CD62" s="45"/>
      <c r="CE62" s="45"/>
      <c r="CF62" s="46"/>
      <c r="CG62" s="23"/>
      <c r="CH62" s="397"/>
      <c r="CI62" s="396"/>
      <c r="CJ62" s="396"/>
      <c r="CK62" s="396"/>
      <c r="CL62" s="396"/>
      <c r="CM62" s="396"/>
      <c r="CN62" s="396"/>
      <c r="CO62" s="396"/>
      <c r="CP62" s="396"/>
      <c r="CQ62" s="396"/>
      <c r="CR62" s="396"/>
      <c r="CS62" s="396"/>
      <c r="CT62" s="396"/>
      <c r="CU62" s="396"/>
      <c r="CV62" s="1023"/>
      <c r="CW62" s="17"/>
    </row>
    <row r="63" spans="1:112" ht="14.25" customHeight="1" collapsed="1">
      <c r="A63" s="8"/>
      <c r="B63" s="360" t="s">
        <v>17</v>
      </c>
      <c r="C63" s="687"/>
      <c r="D63" s="516">
        <f t="shared" ref="D63:AI63" si="173">D37+D46+D55</f>
        <v>210.875</v>
      </c>
      <c r="E63" s="516">
        <f t="shared" si="173"/>
        <v>212.45499999999998</v>
      </c>
      <c r="F63" s="516">
        <f t="shared" si="173"/>
        <v>203.624</v>
      </c>
      <c r="G63" s="517">
        <f t="shared" si="173"/>
        <v>239.89899999999997</v>
      </c>
      <c r="H63" s="516">
        <f t="shared" si="173"/>
        <v>210.75700000000001</v>
      </c>
      <c r="I63" s="516">
        <f t="shared" si="173"/>
        <v>211.20099999999999</v>
      </c>
      <c r="J63" s="516">
        <f t="shared" si="173"/>
        <v>221.71299999999999</v>
      </c>
      <c r="K63" s="517">
        <f t="shared" si="173"/>
        <v>237.10000000000002</v>
      </c>
      <c r="L63" s="516">
        <f t="shared" si="173"/>
        <v>230.25300000000001</v>
      </c>
      <c r="M63" s="516">
        <f t="shared" si="173"/>
        <v>227.02199999999999</v>
      </c>
      <c r="N63" s="516">
        <f t="shared" si="173"/>
        <v>227.999</v>
      </c>
      <c r="O63" s="517">
        <f t="shared" si="173"/>
        <v>254.279</v>
      </c>
      <c r="P63" s="516">
        <f t="shared" si="173"/>
        <v>229.89</v>
      </c>
      <c r="Q63" s="516">
        <f t="shared" si="173"/>
        <v>238.83600000000001</v>
      </c>
      <c r="R63" s="516">
        <f t="shared" si="173"/>
        <v>240.60399999999998</v>
      </c>
      <c r="S63" s="517">
        <f t="shared" si="173"/>
        <v>242.92</v>
      </c>
      <c r="T63" s="516">
        <f t="shared" si="173"/>
        <v>249.411</v>
      </c>
      <c r="U63" s="516">
        <f t="shared" si="173"/>
        <v>203.643</v>
      </c>
      <c r="V63" s="516">
        <f t="shared" si="173"/>
        <v>187.28399999999999</v>
      </c>
      <c r="W63" s="517">
        <f t="shared" si="173"/>
        <v>193.482</v>
      </c>
      <c r="X63" s="516">
        <f t="shared" si="173"/>
        <v>219.36199999999999</v>
      </c>
      <c r="Y63" s="516">
        <f t="shared" si="173"/>
        <v>220.44</v>
      </c>
      <c r="Z63" s="516">
        <f t="shared" si="173"/>
        <v>229.05699999999999</v>
      </c>
      <c r="AA63" s="517">
        <f t="shared" si="173"/>
        <v>230.48899999999998</v>
      </c>
      <c r="AB63" s="516">
        <f t="shared" si="173"/>
        <v>222.767</v>
      </c>
      <c r="AC63" s="516">
        <f t="shared" si="173"/>
        <v>235.72800000000001</v>
      </c>
      <c r="AD63" s="516">
        <f t="shared" si="173"/>
        <v>230.79899999999998</v>
      </c>
      <c r="AE63" s="516">
        <f t="shared" si="173"/>
        <v>225.22200000000001</v>
      </c>
      <c r="AF63" s="515">
        <f t="shared" si="173"/>
        <v>226.018</v>
      </c>
      <c r="AG63" s="516">
        <f t="shared" si="173"/>
        <v>227.529</v>
      </c>
      <c r="AH63" s="516">
        <f t="shared" si="173"/>
        <v>235.40300000000002</v>
      </c>
      <c r="AI63" s="516">
        <f t="shared" si="173"/>
        <v>228.00299999999999</v>
      </c>
      <c r="AJ63" s="515">
        <f t="shared" ref="AJ63:BK63" si="174">AJ37+AJ46+AJ55</f>
        <v>236.79499999999999</v>
      </c>
      <c r="AK63" s="516">
        <f t="shared" si="174"/>
        <v>230.81300000000002</v>
      </c>
      <c r="AL63" s="516">
        <f t="shared" si="174"/>
        <v>226.72</v>
      </c>
      <c r="AM63" s="516">
        <f t="shared" si="174"/>
        <v>245.00799999999998</v>
      </c>
      <c r="AN63" s="515">
        <f t="shared" si="174"/>
        <v>229.50899999999999</v>
      </c>
      <c r="AO63" s="516">
        <f t="shared" si="174"/>
        <v>238.34300000000002</v>
      </c>
      <c r="AP63" s="516">
        <f t="shared" si="174"/>
        <v>273.74400000000003</v>
      </c>
      <c r="AQ63" s="516">
        <f t="shared" si="174"/>
        <v>336.108</v>
      </c>
      <c r="AR63" s="515">
        <f t="shared" si="174"/>
        <v>295.673</v>
      </c>
      <c r="AS63" s="516">
        <f t="shared" si="174"/>
        <v>295.81399999999996</v>
      </c>
      <c r="AT63" s="516">
        <f t="shared" si="174"/>
        <v>303.76799999999997</v>
      </c>
      <c r="AU63" s="516">
        <f t="shared" si="174"/>
        <v>533.16599999999994</v>
      </c>
      <c r="AV63" s="515">
        <f t="shared" si="174"/>
        <v>282.24799999999999</v>
      </c>
      <c r="AW63" s="516">
        <f t="shared" si="174"/>
        <v>303.52400000000006</v>
      </c>
      <c r="AX63" s="516">
        <f t="shared" si="174"/>
        <v>303.58300000000003</v>
      </c>
      <c r="AY63" s="516">
        <f t="shared" ref="AY63" si="175">AY37+AY46+AY55</f>
        <v>309.70600000000002</v>
      </c>
      <c r="AZ63" s="515">
        <f t="shared" si="174"/>
        <v>382.23599999999999</v>
      </c>
      <c r="BA63" s="516">
        <f t="shared" si="174"/>
        <v>494.608</v>
      </c>
      <c r="BB63" s="516">
        <f t="shared" ref="BB63:BD63" si="176">BB37+BB46+BB55</f>
        <v>571.803</v>
      </c>
      <c r="BC63" s="516">
        <f t="shared" si="176"/>
        <v>557.81499999999994</v>
      </c>
      <c r="BD63" s="515">
        <f t="shared" si="176"/>
        <v>629.84199999999998</v>
      </c>
      <c r="BE63" s="516">
        <f t="shared" si="174"/>
        <v>556.99082535744185</v>
      </c>
      <c r="BF63" s="516">
        <f t="shared" si="174"/>
        <v>450.99133076859948</v>
      </c>
      <c r="BG63" s="517">
        <f t="shared" si="174"/>
        <v>465.87895476665898</v>
      </c>
      <c r="BH63" s="515">
        <f t="shared" si="174"/>
        <v>453.75629079937767</v>
      </c>
      <c r="BI63" s="516">
        <f t="shared" si="174"/>
        <v>464.1288872799945</v>
      </c>
      <c r="BJ63" s="516">
        <f t="shared" si="174"/>
        <v>472.63883588749343</v>
      </c>
      <c r="BK63" s="517">
        <f t="shared" si="174"/>
        <v>482.48961515091224</v>
      </c>
      <c r="BL63" s="515">
        <f t="shared" ref="BL63:BO63" si="177">BL37+BL46+BL55</f>
        <v>474.96738671640998</v>
      </c>
      <c r="BM63" s="516">
        <f t="shared" si="177"/>
        <v>485.01695982739818</v>
      </c>
      <c r="BN63" s="516">
        <f t="shared" si="177"/>
        <v>492.66897906983161</v>
      </c>
      <c r="BO63" s="517">
        <f t="shared" si="177"/>
        <v>501.41498358134766</v>
      </c>
      <c r="BP63" s="345"/>
      <c r="BQ63" s="515">
        <f t="shared" ref="BQ63:CE63" si="178">BQ37+BQ46+BQ55</f>
        <v>866.85299999999995</v>
      </c>
      <c r="BR63" s="516">
        <f t="shared" si="178"/>
        <v>880.77099999999996</v>
      </c>
      <c r="BS63" s="516">
        <f t="shared" si="178"/>
        <v>939.553</v>
      </c>
      <c r="BT63" s="516">
        <f t="shared" si="178"/>
        <v>952.25</v>
      </c>
      <c r="BU63" s="516">
        <f t="shared" si="178"/>
        <v>833.81999999999994</v>
      </c>
      <c r="BV63" s="516">
        <f t="shared" si="178"/>
        <v>899.34799999999996</v>
      </c>
      <c r="BW63" s="516">
        <f t="shared" si="178"/>
        <v>914.51600000000008</v>
      </c>
      <c r="BX63" s="516">
        <f t="shared" si="178"/>
        <v>916.95300000000009</v>
      </c>
      <c r="BY63" s="516">
        <f t="shared" si="178"/>
        <v>939.33600000000001</v>
      </c>
      <c r="BZ63" s="515">
        <f t="shared" si="178"/>
        <v>1077.704</v>
      </c>
      <c r="CA63" s="516">
        <f t="shared" si="178"/>
        <v>1428.421</v>
      </c>
      <c r="CB63" s="516">
        <f t="shared" si="178"/>
        <v>1199.0609999999999</v>
      </c>
      <c r="CC63" s="516">
        <f t="shared" si="178"/>
        <v>2006.4620000000002</v>
      </c>
      <c r="CD63" s="516">
        <f t="shared" si="178"/>
        <v>2103.7031108927004</v>
      </c>
      <c r="CE63" s="516">
        <f t="shared" si="178"/>
        <v>1873.0136291177778</v>
      </c>
      <c r="CF63" s="55">
        <f t="shared" ref="CF63" si="179">CF37+CF46+CF55</f>
        <v>1954.0683091949875</v>
      </c>
      <c r="CG63" s="23"/>
      <c r="CH63" s="37">
        <f t="shared" ref="CH63:CU63" si="180">CH37+CH46+CH55</f>
        <v>866.73500000000001</v>
      </c>
      <c r="CI63" s="35">
        <f t="shared" si="180"/>
        <v>900.26700000000005</v>
      </c>
      <c r="CJ63" s="35">
        <f t="shared" si="180"/>
        <v>939.18999999999994</v>
      </c>
      <c r="CK63" s="35">
        <f t="shared" si="180"/>
        <v>971.77100000000007</v>
      </c>
      <c r="CL63" s="35">
        <f t="shared" si="180"/>
        <v>803.77100000000007</v>
      </c>
      <c r="CM63" s="35">
        <f t="shared" si="180"/>
        <v>902.75299999999993</v>
      </c>
      <c r="CN63" s="35">
        <f t="shared" si="180"/>
        <v>917.76699999999994</v>
      </c>
      <c r="CO63" s="35">
        <f t="shared" si="180"/>
        <v>927.73</v>
      </c>
      <c r="CP63" s="35">
        <f t="shared" si="180"/>
        <v>932.05</v>
      </c>
      <c r="CQ63" s="35">
        <f t="shared" si="180"/>
        <v>1143.8680000000002</v>
      </c>
      <c r="CR63" s="35">
        <f t="shared" si="180"/>
        <v>1414.9960000000001</v>
      </c>
      <c r="CS63" s="35">
        <f t="shared" si="180"/>
        <v>1299.049</v>
      </c>
      <c r="CT63" s="35">
        <f t="shared" si="180"/>
        <v>2254.0680000000002</v>
      </c>
      <c r="CU63" s="35">
        <f t="shared" si="180"/>
        <v>1927.6174016920779</v>
      </c>
      <c r="CV63" s="36">
        <f t="shared" ref="CV63" si="181">CV37+CV46+CV55</f>
        <v>1894.2247250348105</v>
      </c>
      <c r="CW63" s="17"/>
    </row>
    <row r="64" spans="1:112" ht="14.25" hidden="1" customHeight="1" outlineLevel="1">
      <c r="A64" s="8"/>
      <c r="B64" s="26" t="s">
        <v>5</v>
      </c>
      <c r="C64" s="27"/>
      <c r="D64" s="35">
        <f t="shared" ref="D64:AI64" si="182">D43+D52+D60</f>
        <v>210.875</v>
      </c>
      <c r="E64" s="35">
        <f t="shared" si="182"/>
        <v>212.45499999999998</v>
      </c>
      <c r="F64" s="35">
        <f t="shared" si="182"/>
        <v>203.624</v>
      </c>
      <c r="G64" s="36">
        <f t="shared" si="182"/>
        <v>208.41899999999998</v>
      </c>
      <c r="H64" s="35">
        <f t="shared" si="182"/>
        <v>209.744</v>
      </c>
      <c r="I64" s="35">
        <f t="shared" si="182"/>
        <v>211.20099999999999</v>
      </c>
      <c r="J64" s="35">
        <f t="shared" si="182"/>
        <v>216.21299999999999</v>
      </c>
      <c r="K64" s="36">
        <f t="shared" si="182"/>
        <v>220.11200000000002</v>
      </c>
      <c r="L64" s="35">
        <f t="shared" si="182"/>
        <v>225.05700000000002</v>
      </c>
      <c r="M64" s="35">
        <f t="shared" si="182"/>
        <v>216.90600000000001</v>
      </c>
      <c r="N64" s="35">
        <f t="shared" si="182"/>
        <v>227.999</v>
      </c>
      <c r="O64" s="36">
        <f t="shared" si="182"/>
        <v>229.096</v>
      </c>
      <c r="P64" s="35">
        <f t="shared" si="182"/>
        <v>229.89</v>
      </c>
      <c r="Q64" s="35">
        <f t="shared" si="182"/>
        <v>238.83600000000001</v>
      </c>
      <c r="R64" s="35">
        <f t="shared" si="182"/>
        <v>240.60399999999998</v>
      </c>
      <c r="S64" s="36">
        <f t="shared" si="182"/>
        <v>239.83199999999999</v>
      </c>
      <c r="T64" s="35">
        <f t="shared" si="182"/>
        <v>207.67400000000001</v>
      </c>
      <c r="U64" s="35">
        <f t="shared" si="182"/>
        <v>191.72399999999999</v>
      </c>
      <c r="V64" s="35">
        <f t="shared" si="182"/>
        <v>187.28399999999999</v>
      </c>
      <c r="W64" s="36">
        <f t="shared" si="182"/>
        <v>193.482</v>
      </c>
      <c r="X64" s="35">
        <f t="shared" si="182"/>
        <v>202.87899999999999</v>
      </c>
      <c r="Y64" s="35">
        <f t="shared" si="182"/>
        <v>220.44</v>
      </c>
      <c r="Z64" s="35">
        <f t="shared" si="182"/>
        <v>229.05699999999999</v>
      </c>
      <c r="AA64" s="36">
        <f t="shared" si="182"/>
        <v>230.48899999999998</v>
      </c>
      <c r="AB64" s="35">
        <f t="shared" si="182"/>
        <v>222.767</v>
      </c>
      <c r="AC64" s="35">
        <f t="shared" si="182"/>
        <v>235.72800000000001</v>
      </c>
      <c r="AD64" s="35">
        <f t="shared" si="182"/>
        <v>230.79899999999998</v>
      </c>
      <c r="AE64" s="35">
        <f t="shared" si="182"/>
        <v>222.983</v>
      </c>
      <c r="AF64" s="37">
        <f t="shared" si="182"/>
        <v>223.423</v>
      </c>
      <c r="AG64" s="35">
        <f t="shared" si="182"/>
        <v>227.529</v>
      </c>
      <c r="AH64" s="35">
        <f t="shared" si="182"/>
        <v>229.56700000000001</v>
      </c>
      <c r="AI64" s="35">
        <f t="shared" si="182"/>
        <v>228.00299999999999</v>
      </c>
      <c r="AJ64" s="37">
        <f t="shared" ref="AJ64:BK64" si="183">AJ43+AJ52+AJ60</f>
        <v>222.72399999999999</v>
      </c>
      <c r="AK64" s="35">
        <f t="shared" si="183"/>
        <v>224.51300000000003</v>
      </c>
      <c r="AL64" s="35">
        <f t="shared" si="183"/>
        <v>226.72</v>
      </c>
      <c r="AM64" s="35">
        <f t="shared" si="183"/>
        <v>229.23099999999999</v>
      </c>
      <c r="AN64" s="37">
        <f t="shared" si="183"/>
        <v>226.82399999999998</v>
      </c>
      <c r="AO64" s="35">
        <f t="shared" si="183"/>
        <v>238.34300000000002</v>
      </c>
      <c r="AP64" s="35">
        <f t="shared" si="183"/>
        <v>245.304</v>
      </c>
      <c r="AQ64" s="35">
        <f t="shared" si="183"/>
        <v>269.62</v>
      </c>
      <c r="AR64" s="37">
        <f t="shared" si="183"/>
        <v>264.32</v>
      </c>
      <c r="AS64" s="35">
        <f t="shared" si="183"/>
        <v>269.55899999999997</v>
      </c>
      <c r="AT64" s="35">
        <f t="shared" si="183"/>
        <v>275.13899999999995</v>
      </c>
      <c r="AU64" s="35">
        <f t="shared" si="183"/>
        <v>291.81200000000001</v>
      </c>
      <c r="AV64" s="37">
        <f t="shared" si="183"/>
        <v>264.791</v>
      </c>
      <c r="AW64" s="35">
        <f t="shared" si="183"/>
        <v>272.42100000000005</v>
      </c>
      <c r="AX64" s="35">
        <f t="shared" si="183"/>
        <v>277.69100000000003</v>
      </c>
      <c r="AY64" s="35">
        <f t="shared" ref="AY64" si="184">AY43+AY52+AY60</f>
        <v>286.49700000000001</v>
      </c>
      <c r="AZ64" s="37">
        <f t="shared" si="183"/>
        <v>306.52999999999997</v>
      </c>
      <c r="BA64" s="35">
        <f t="shared" si="183"/>
        <v>379.98099999999999</v>
      </c>
      <c r="BB64" s="35">
        <f t="shared" ref="BB64:BD64" si="185">BB43+BB52+BB60</f>
        <v>437.05399999999997</v>
      </c>
      <c r="BC64" s="35">
        <f t="shared" si="185"/>
        <v>434.971</v>
      </c>
      <c r="BD64" s="37">
        <f t="shared" si="185"/>
        <v>445.81</v>
      </c>
      <c r="BE64" s="35">
        <f t="shared" si="183"/>
        <v>431.99082535744185</v>
      </c>
      <c r="BF64" s="35">
        <f t="shared" si="183"/>
        <v>450.99133076859948</v>
      </c>
      <c r="BG64" s="36">
        <f t="shared" si="183"/>
        <v>465.87895476665898</v>
      </c>
      <c r="BH64" s="37">
        <f t="shared" si="183"/>
        <v>453.75629079937767</v>
      </c>
      <c r="BI64" s="35">
        <f t="shared" si="183"/>
        <v>464.1288872799945</v>
      </c>
      <c r="BJ64" s="35">
        <f t="shared" si="183"/>
        <v>472.63883588749343</v>
      </c>
      <c r="BK64" s="36">
        <f t="shared" si="183"/>
        <v>482.48961515091224</v>
      </c>
      <c r="BL64" s="37">
        <f t="shared" ref="BL64:BO64" si="186">BL43+BL52+BL60</f>
        <v>474.96738671640998</v>
      </c>
      <c r="BM64" s="35">
        <f t="shared" si="186"/>
        <v>485.01695982739818</v>
      </c>
      <c r="BN64" s="35">
        <f t="shared" si="186"/>
        <v>492.66897906983161</v>
      </c>
      <c r="BO64" s="36">
        <f t="shared" si="186"/>
        <v>501.41498358134766</v>
      </c>
      <c r="BP64" s="253"/>
      <c r="BQ64" s="37">
        <f t="shared" ref="BQ64:CE64" si="187">BQ43+BQ52+BQ60</f>
        <v>835.37299999999993</v>
      </c>
      <c r="BR64" s="35">
        <f t="shared" si="187"/>
        <v>857.27</v>
      </c>
      <c r="BS64" s="35">
        <f t="shared" si="187"/>
        <v>899.05799999999999</v>
      </c>
      <c r="BT64" s="35">
        <f t="shared" si="187"/>
        <v>949.16200000000003</v>
      </c>
      <c r="BU64" s="35">
        <f t="shared" si="187"/>
        <v>780.16399999999999</v>
      </c>
      <c r="BV64" s="35">
        <f t="shared" si="187"/>
        <v>882.86500000000001</v>
      </c>
      <c r="BW64" s="35">
        <f t="shared" si="187"/>
        <v>912.27700000000004</v>
      </c>
      <c r="BX64" s="35">
        <f t="shared" si="187"/>
        <v>908.52200000000005</v>
      </c>
      <c r="BY64" s="35">
        <f t="shared" si="187"/>
        <v>903.18799999999999</v>
      </c>
      <c r="BZ64" s="37">
        <f t="shared" si="187"/>
        <v>980.09100000000001</v>
      </c>
      <c r="CA64" s="35">
        <f t="shared" si="187"/>
        <v>1100.8300000000002</v>
      </c>
      <c r="CB64" s="35">
        <f t="shared" si="187"/>
        <v>1101.3999999999999</v>
      </c>
      <c r="CC64" s="35">
        <f t="shared" si="187"/>
        <v>1558.5360000000001</v>
      </c>
      <c r="CD64" s="35">
        <f t="shared" si="187"/>
        <v>1794.6711108927004</v>
      </c>
      <c r="CE64" s="35">
        <f t="shared" si="187"/>
        <v>1873.0136291177778</v>
      </c>
      <c r="CF64" s="36">
        <f t="shared" ref="CF64" si="188">CF43+CF52+CF60</f>
        <v>1954.0683091949875</v>
      </c>
      <c r="CG64" s="23"/>
      <c r="CH64" s="37">
        <f t="shared" ref="CH64:CU64" si="189">CH43+CH52+CH60</f>
        <v>834.24199999999996</v>
      </c>
      <c r="CI64" s="35">
        <f t="shared" si="189"/>
        <v>872.58300000000008</v>
      </c>
      <c r="CJ64" s="35">
        <f t="shared" si="189"/>
        <v>903.89099999999996</v>
      </c>
      <c r="CK64" s="35">
        <f t="shared" si="189"/>
        <v>926.94600000000003</v>
      </c>
      <c r="CL64" s="35">
        <f t="shared" si="189"/>
        <v>775.36900000000003</v>
      </c>
      <c r="CM64" s="35">
        <f t="shared" si="189"/>
        <v>902.75299999999993</v>
      </c>
      <c r="CN64" s="35">
        <f t="shared" si="189"/>
        <v>912.93299999999999</v>
      </c>
      <c r="CO64" s="35">
        <f t="shared" si="189"/>
        <v>907.82299999999998</v>
      </c>
      <c r="CP64" s="35">
        <f t="shared" si="189"/>
        <v>907.28800000000001</v>
      </c>
      <c r="CQ64" s="35">
        <f t="shared" si="189"/>
        <v>1017.5870000000001</v>
      </c>
      <c r="CR64" s="35">
        <f t="shared" si="189"/>
        <v>1101.3009999999999</v>
      </c>
      <c r="CS64" s="35">
        <f t="shared" si="189"/>
        <v>1143.1389999999999</v>
      </c>
      <c r="CT64" s="35">
        <f t="shared" si="189"/>
        <v>1697.816</v>
      </c>
      <c r="CU64" s="35">
        <f t="shared" si="189"/>
        <v>1802.6174016920779</v>
      </c>
      <c r="CV64" s="36">
        <f t="shared" ref="CV64" si="190">CV43+CV52+CV60</f>
        <v>1894.2247250348105</v>
      </c>
      <c r="CW64" s="17"/>
    </row>
    <row r="65" spans="1:112" ht="14.25" customHeight="1" collapsed="1">
      <c r="A65" s="8"/>
      <c r="B65" s="38" t="s">
        <v>568</v>
      </c>
      <c r="C65" s="39"/>
      <c r="D65" s="1207"/>
      <c r="E65" s="1207">
        <f t="shared" ref="E65:AJ65" si="191">E64/D64-1</f>
        <v>7.4925903971545527E-3</v>
      </c>
      <c r="F65" s="1207">
        <f t="shared" si="191"/>
        <v>-4.1566449365747937E-2</v>
      </c>
      <c r="G65" s="1208">
        <f t="shared" si="191"/>
        <v>2.3548304718500779E-2</v>
      </c>
      <c r="H65" s="1207">
        <f t="shared" si="191"/>
        <v>6.3573858429415431E-3</v>
      </c>
      <c r="I65" s="1207">
        <f t="shared" si="191"/>
        <v>6.9465634297047885E-3</v>
      </c>
      <c r="J65" s="1207">
        <f t="shared" si="191"/>
        <v>2.3730948243616323E-2</v>
      </c>
      <c r="K65" s="1208">
        <f t="shared" si="191"/>
        <v>1.8033143243005867E-2</v>
      </c>
      <c r="L65" s="1207">
        <f t="shared" si="191"/>
        <v>2.2465835574616566E-2</v>
      </c>
      <c r="M65" s="1207">
        <f t="shared" si="191"/>
        <v>-3.6217491568802607E-2</v>
      </c>
      <c r="N65" s="1207">
        <f t="shared" si="191"/>
        <v>5.1141969332337389E-2</v>
      </c>
      <c r="O65" s="1208">
        <f t="shared" si="191"/>
        <v>4.8114246115114057E-3</v>
      </c>
      <c r="P65" s="1207">
        <f t="shared" si="191"/>
        <v>3.4657959981840847E-3</v>
      </c>
      <c r="Q65" s="1207">
        <f t="shared" si="191"/>
        <v>3.891426334333814E-2</v>
      </c>
      <c r="R65" s="1207">
        <f t="shared" si="191"/>
        <v>7.402569126932157E-3</v>
      </c>
      <c r="S65" s="1208">
        <f t="shared" si="191"/>
        <v>-3.2085917108609641E-3</v>
      </c>
      <c r="T65" s="1207">
        <f t="shared" si="191"/>
        <v>-0.13408552653524131</v>
      </c>
      <c r="U65" s="1207">
        <f t="shared" si="191"/>
        <v>-7.6803066344366733E-2</v>
      </c>
      <c r="V65" s="1207">
        <f t="shared" si="191"/>
        <v>-2.3158290041935259E-2</v>
      </c>
      <c r="W65" s="1208">
        <f t="shared" si="191"/>
        <v>3.3094124431344962E-2</v>
      </c>
      <c r="X65" s="1207">
        <f t="shared" si="191"/>
        <v>4.8567825430789302E-2</v>
      </c>
      <c r="Y65" s="1207">
        <f t="shared" si="191"/>
        <v>8.6558983433475234E-2</v>
      </c>
      <c r="Z65" s="1207">
        <f t="shared" si="191"/>
        <v>3.9090001814552577E-2</v>
      </c>
      <c r="AA65" s="1208">
        <f t="shared" si="191"/>
        <v>6.2517190044399928E-3</v>
      </c>
      <c r="AB65" s="1207">
        <f t="shared" si="191"/>
        <v>-3.3502683425239321E-2</v>
      </c>
      <c r="AC65" s="1207">
        <f t="shared" si="191"/>
        <v>5.818186715267526E-2</v>
      </c>
      <c r="AD65" s="1207">
        <f t="shared" si="191"/>
        <v>-2.0909692526980383E-2</v>
      </c>
      <c r="AE65" s="1207">
        <f t="shared" si="191"/>
        <v>-3.3864964752880145E-2</v>
      </c>
      <c r="AF65" s="1209">
        <f t="shared" si="191"/>
        <v>1.9732445971216706E-3</v>
      </c>
      <c r="AG65" s="1207">
        <f t="shared" si="191"/>
        <v>1.8377696119020737E-2</v>
      </c>
      <c r="AH65" s="1207">
        <f t="shared" si="191"/>
        <v>8.9570999740693491E-3</v>
      </c>
      <c r="AI65" s="1207">
        <f t="shared" si="191"/>
        <v>-6.8128258852536705E-3</v>
      </c>
      <c r="AJ65" s="1209">
        <f t="shared" si="191"/>
        <v>-2.3153204124507165E-2</v>
      </c>
      <c r="AK65" s="1207">
        <f t="shared" ref="AK65:BG65" si="192">AK64/AJ64-1</f>
        <v>8.0323629245167005E-3</v>
      </c>
      <c r="AL65" s="1207">
        <f t="shared" si="192"/>
        <v>9.8301657365049699E-3</v>
      </c>
      <c r="AM65" s="1207">
        <f t="shared" si="192"/>
        <v>1.1075335215243509E-2</v>
      </c>
      <c r="AN65" s="1209">
        <f t="shared" si="192"/>
        <v>-1.0500324999672905E-2</v>
      </c>
      <c r="AO65" s="1207">
        <f t="shared" si="192"/>
        <v>5.0783867668324545E-2</v>
      </c>
      <c r="AP65" s="1207">
        <f t="shared" si="192"/>
        <v>2.9205808435741609E-2</v>
      </c>
      <c r="AQ65" s="1207">
        <f t="shared" si="192"/>
        <v>9.9125982454423944E-2</v>
      </c>
      <c r="AR65" s="1209">
        <f t="shared" si="192"/>
        <v>-1.9657295452859658E-2</v>
      </c>
      <c r="AS65" s="1207">
        <f t="shared" si="192"/>
        <v>1.9820671912832877E-2</v>
      </c>
      <c r="AT65" s="1207">
        <f t="shared" si="192"/>
        <v>2.0700477446495835E-2</v>
      </c>
      <c r="AU65" s="1207">
        <f t="shared" si="192"/>
        <v>6.0598461141459614E-2</v>
      </c>
      <c r="AV65" s="1209">
        <f t="shared" si="192"/>
        <v>-9.2597288665305144E-2</v>
      </c>
      <c r="AW65" s="1207">
        <f t="shared" si="192"/>
        <v>2.8815178763628824E-2</v>
      </c>
      <c r="AX65" s="1207">
        <f t="shared" si="192"/>
        <v>1.934505783328011E-2</v>
      </c>
      <c r="AY65" s="1207">
        <f t="shared" si="192"/>
        <v>3.1711506674685142E-2</v>
      </c>
      <c r="AZ65" s="1209">
        <f t="shared" si="192"/>
        <v>6.992394335717278E-2</v>
      </c>
      <c r="BA65" s="1282">
        <f t="shared" si="192"/>
        <v>0.23962091801781238</v>
      </c>
      <c r="BB65" s="1282">
        <f t="shared" si="192"/>
        <v>0.15019961524392</v>
      </c>
      <c r="BC65" s="1440">
        <f t="shared" si="192"/>
        <v>-4.766001455197677E-3</v>
      </c>
      <c r="BD65" s="1442">
        <f t="shared" si="192"/>
        <v>2.4918902639486262E-2</v>
      </c>
      <c r="BE65" s="1207">
        <f t="shared" si="192"/>
        <v>-3.0997901892192092E-2</v>
      </c>
      <c r="BF65" s="1207">
        <f t="shared" si="192"/>
        <v>4.3983585520447344E-2</v>
      </c>
      <c r="BG65" s="1208">
        <f t="shared" si="192"/>
        <v>3.3010887310599424E-2</v>
      </c>
      <c r="BH65" s="1422">
        <f t="shared" ref="BH65" si="193">BH64/BG64-1</f>
        <v>-2.6021059425947013E-2</v>
      </c>
      <c r="BI65" s="1420">
        <f t="shared" ref="BI65" si="194">BI64/BH64-1</f>
        <v>2.2859399838498273E-2</v>
      </c>
      <c r="BJ65" s="1420">
        <f t="shared" ref="BJ65" si="195">BJ64/BI64-1</f>
        <v>1.8335313402643605E-2</v>
      </c>
      <c r="BK65" s="1421">
        <f t="shared" ref="BK65" si="196">BK64/BJ64-1</f>
        <v>2.0842085997697657E-2</v>
      </c>
      <c r="BL65" s="1442">
        <f t="shared" ref="BL65" si="197">BL64/BK64-1</f>
        <v>-1.5590446298309413E-2</v>
      </c>
      <c r="BM65" s="1440">
        <f t="shared" ref="BM65" si="198">BM64/BL64-1</f>
        <v>2.1158448752584658E-2</v>
      </c>
      <c r="BN65" s="1440">
        <f t="shared" ref="BN65" si="199">BN64/BM64-1</f>
        <v>1.5776807568041562E-2</v>
      </c>
      <c r="BO65" s="1441">
        <f t="shared" ref="BO65" si="200">BO64/BN64-1</f>
        <v>1.7752293899300664E-2</v>
      </c>
      <c r="BP65" s="253"/>
      <c r="BQ65" s="44"/>
      <c r="BR65" s="1210"/>
      <c r="BS65" s="1210"/>
      <c r="BT65" s="1210"/>
      <c r="BU65" s="1210"/>
      <c r="BV65" s="1210"/>
      <c r="BW65" s="1210"/>
      <c r="BX65" s="1210"/>
      <c r="BY65" s="1210"/>
      <c r="BZ65" s="1444"/>
      <c r="CA65" s="1443"/>
      <c r="CB65" s="1443"/>
      <c r="CC65" s="1440">
        <f t="shared" ref="CC65" si="201">CC64/CB64-1</f>
        <v>0.41504993644452548</v>
      </c>
      <c r="CD65" s="1440">
        <f>CD64/CC64-1</f>
        <v>0.15151084793209812</v>
      </c>
      <c r="CE65" s="1440">
        <f t="shared" ref="CE65:CF65" si="202">CE64/CD64-1</f>
        <v>4.3652855249956213E-2</v>
      </c>
      <c r="CF65" s="1441">
        <f t="shared" si="202"/>
        <v>4.3275008156447692E-2</v>
      </c>
      <c r="CG65" s="23"/>
      <c r="CH65" s="1209"/>
      <c r="CI65" s="1207"/>
      <c r="CJ65" s="1207"/>
      <c r="CK65" s="1207"/>
      <c r="CL65" s="1207"/>
      <c r="CM65" s="1440"/>
      <c r="CN65" s="1440"/>
      <c r="CO65" s="1440"/>
      <c r="CP65" s="1440"/>
      <c r="CQ65" s="1440"/>
      <c r="CR65" s="1440"/>
      <c r="CS65" s="1159">
        <f>CS64/CR64-1</f>
        <v>3.7989614101866742E-2</v>
      </c>
      <c r="CT65" s="1159">
        <f>CT64/CS64-1</f>
        <v>0.48522270694989866</v>
      </c>
      <c r="CU65" s="1447">
        <f>CU64/CT64-1</f>
        <v>6.1727184625470555E-2</v>
      </c>
      <c r="CV65" s="1451">
        <f>CV64/CU64-1</f>
        <v>5.0819060803885874E-2</v>
      </c>
      <c r="CW65" s="17"/>
    </row>
    <row r="66" spans="1:112" ht="14.25" customHeight="1">
      <c r="A66" s="8"/>
      <c r="B66" s="56"/>
      <c r="C66" s="57"/>
      <c r="D66" s="59"/>
      <c r="E66" s="59"/>
      <c r="F66" s="45"/>
      <c r="G66" s="60"/>
      <c r="H66" s="59"/>
      <c r="I66" s="59"/>
      <c r="J66" s="45"/>
      <c r="K66" s="60"/>
      <c r="L66" s="59"/>
      <c r="M66" s="59"/>
      <c r="N66" s="45"/>
      <c r="O66" s="60"/>
      <c r="P66" s="59"/>
      <c r="Q66" s="59"/>
      <c r="R66" s="45"/>
      <c r="S66" s="60"/>
      <c r="T66" s="59"/>
      <c r="U66" s="59"/>
      <c r="V66" s="45"/>
      <c r="W66" s="60"/>
      <c r="X66" s="59"/>
      <c r="Y66" s="59"/>
      <c r="Z66" s="45"/>
      <c r="AA66" s="60"/>
      <c r="AB66" s="59"/>
      <c r="AC66" s="59"/>
      <c r="AD66" s="45"/>
      <c r="AE66" s="59"/>
      <c r="AF66" s="639"/>
      <c r="AG66" s="45"/>
      <c r="AH66" s="45"/>
      <c r="AI66" s="59"/>
      <c r="AJ66" s="47"/>
      <c r="AK66" s="45"/>
      <c r="AL66" s="45"/>
      <c r="AM66" s="59"/>
      <c r="AN66" s="47"/>
      <c r="AO66" s="45"/>
      <c r="AP66" s="45"/>
      <c r="AQ66" s="1105"/>
      <c r="AR66" s="47"/>
      <c r="AS66" s="45"/>
      <c r="AT66" s="45"/>
      <c r="AU66" s="1105"/>
      <c r="AV66" s="47"/>
      <c r="AW66" s="45"/>
      <c r="AX66" s="45"/>
      <c r="AY66" s="1105"/>
      <c r="AZ66" s="47"/>
      <c r="BA66" s="45"/>
      <c r="BB66" s="1025">
        <f>BB64/BB21</f>
        <v>0.29966444471565562</v>
      </c>
      <c r="BC66" s="1026">
        <f>BC64/BC21</f>
        <v>0.28223427655612293</v>
      </c>
      <c r="BD66" s="47"/>
      <c r="BE66" s="1025">
        <f t="shared" ref="BE66" si="203">BE64/BE10</f>
        <v>0.29379639668235064</v>
      </c>
      <c r="BF66" s="1025">
        <f t="shared" ref="BF66" si="204">BF64/BF21</f>
        <v>0.29798109756267821</v>
      </c>
      <c r="BG66" s="1026">
        <f t="shared" ref="BG66" si="205">BG64/BG10</f>
        <v>0.29798109756267815</v>
      </c>
      <c r="BH66" s="1024">
        <f t="shared" ref="BH66" si="206">BH64/BH21</f>
        <v>0.30616055785483426</v>
      </c>
      <c r="BI66" s="1025">
        <f t="shared" ref="BI66" si="207">BI64/BI10</f>
        <v>0.29946789190205314</v>
      </c>
      <c r="BJ66" s="1025">
        <f t="shared" ref="BJ66" si="208">BJ64/BJ21</f>
        <v>0.29417128417528238</v>
      </c>
      <c r="BK66" s="1026">
        <f t="shared" ref="BK66" si="209">BK64/BK10</f>
        <v>0.28828548561208645</v>
      </c>
      <c r="BL66" s="1024">
        <f t="shared" ref="BL66" si="210">BL64/BL21</f>
        <v>0.2993475245853342</v>
      </c>
      <c r="BM66" s="1025">
        <f t="shared" ref="BM66" si="211">BM64/BM10</f>
        <v>0.29327093763436773</v>
      </c>
      <c r="BN66" s="1025">
        <f t="shared" ref="BN66" si="212">BN64/BN21</f>
        <v>0.28878558749796573</v>
      </c>
      <c r="BO66" s="1026">
        <f t="shared" ref="BO66" si="213">BO64/BO10</f>
        <v>0.28383475803419217</v>
      </c>
      <c r="BP66" s="253"/>
      <c r="BQ66" s="58"/>
      <c r="BR66" s="48"/>
      <c r="BS66" s="48"/>
      <c r="BT66" s="48"/>
      <c r="BU66" s="48"/>
      <c r="BV66" s="48"/>
      <c r="BW66" s="48"/>
      <c r="BX66" s="1159"/>
      <c r="BY66" s="48"/>
      <c r="BZ66" s="1436"/>
      <c r="CA66" s="48"/>
      <c r="CB66" s="1447"/>
      <c r="CC66" s="1447"/>
      <c r="CD66" s="1447"/>
      <c r="CE66" s="1447"/>
      <c r="CF66" s="1451"/>
      <c r="CG66" s="23"/>
      <c r="CH66" s="101"/>
      <c r="CI66" s="102"/>
      <c r="CJ66" s="102"/>
      <c r="CK66" s="102"/>
      <c r="CL66" s="102"/>
      <c r="CM66" s="102"/>
      <c r="CN66" s="102"/>
      <c r="CO66" s="102"/>
      <c r="CP66" s="102"/>
      <c r="CQ66" s="102"/>
      <c r="CR66" s="102"/>
      <c r="CV66" s="1451"/>
      <c r="CW66" s="17"/>
    </row>
    <row r="67" spans="1:112" ht="14.25" customHeight="1">
      <c r="A67" s="8"/>
      <c r="B67" s="51" t="s">
        <v>164</v>
      </c>
      <c r="C67" s="52"/>
      <c r="D67" s="54">
        <f t="shared" ref="D67:AI67" si="214">D31-D63</f>
        <v>124.65299999999991</v>
      </c>
      <c r="E67" s="54">
        <f t="shared" si="214"/>
        <v>133.94400000000002</v>
      </c>
      <c r="F67" s="54">
        <f t="shared" si="214"/>
        <v>134.61400000000006</v>
      </c>
      <c r="G67" s="55">
        <f t="shared" si="214"/>
        <v>122.77600000000004</v>
      </c>
      <c r="H67" s="54">
        <f t="shared" si="214"/>
        <v>118.53999999999996</v>
      </c>
      <c r="I67" s="54">
        <f t="shared" si="214"/>
        <v>139.619</v>
      </c>
      <c r="J67" s="54">
        <f t="shared" si="214"/>
        <v>141.03899999999996</v>
      </c>
      <c r="K67" s="55">
        <f t="shared" si="214"/>
        <v>123.197</v>
      </c>
      <c r="L67" s="54">
        <f t="shared" si="214"/>
        <v>169.41099999999997</v>
      </c>
      <c r="M67" s="54">
        <f t="shared" si="214"/>
        <v>134.20599999999996</v>
      </c>
      <c r="N67" s="54">
        <f t="shared" si="214"/>
        <v>145.49300000000008</v>
      </c>
      <c r="O67" s="55">
        <f t="shared" si="214"/>
        <v>119.61300000000006</v>
      </c>
      <c r="P67" s="54">
        <f t="shared" si="214"/>
        <v>145.91300000000001</v>
      </c>
      <c r="Q67" s="54">
        <f t="shared" si="214"/>
        <v>157.18500000000006</v>
      </c>
      <c r="R67" s="54">
        <f t="shared" si="214"/>
        <v>161.19</v>
      </c>
      <c r="S67" s="55">
        <f t="shared" si="214"/>
        <v>160.73700000000005</v>
      </c>
      <c r="T67" s="54">
        <f t="shared" si="214"/>
        <v>19.591000000000008</v>
      </c>
      <c r="U67" s="54">
        <f t="shared" si="214"/>
        <v>57.90900000000002</v>
      </c>
      <c r="V67" s="54">
        <f t="shared" si="214"/>
        <v>78.944999999999993</v>
      </c>
      <c r="W67" s="55">
        <f t="shared" si="214"/>
        <v>128.37200000000004</v>
      </c>
      <c r="X67" s="54">
        <f t="shared" si="214"/>
        <v>149.11399999999995</v>
      </c>
      <c r="Y67" s="54">
        <f t="shared" si="214"/>
        <v>214.07499999999999</v>
      </c>
      <c r="Z67" s="54">
        <f t="shared" si="214"/>
        <v>251.14500000000001</v>
      </c>
      <c r="AA67" s="55">
        <f t="shared" si="214"/>
        <v>285.74000000000007</v>
      </c>
      <c r="AB67" s="54">
        <f t="shared" si="214"/>
        <v>259.40600000000001</v>
      </c>
      <c r="AC67" s="54">
        <f t="shared" si="214"/>
        <v>298.48599999999993</v>
      </c>
      <c r="AD67" s="54">
        <f t="shared" si="214"/>
        <v>278.84100000000007</v>
      </c>
      <c r="AE67" s="54">
        <f t="shared" si="214"/>
        <v>235.292</v>
      </c>
      <c r="AF67" s="53">
        <f t="shared" si="214"/>
        <v>183.37199999999999</v>
      </c>
      <c r="AG67" s="54">
        <f t="shared" si="214"/>
        <v>212.92600000000004</v>
      </c>
      <c r="AH67" s="54">
        <f t="shared" si="214"/>
        <v>212.47099999999995</v>
      </c>
      <c r="AI67" s="54">
        <f t="shared" si="214"/>
        <v>215.27900000000005</v>
      </c>
      <c r="AJ67" s="53">
        <f t="shared" ref="AJ67:BK67" si="215">AJ31-AJ63</f>
        <v>153.489</v>
      </c>
      <c r="AK67" s="54">
        <f t="shared" si="215"/>
        <v>191.38199999999998</v>
      </c>
      <c r="AL67" s="54">
        <f t="shared" si="215"/>
        <v>208.34200000000001</v>
      </c>
      <c r="AM67" s="54">
        <f t="shared" si="215"/>
        <v>199.86200000000002</v>
      </c>
      <c r="AN67" s="53">
        <f t="shared" si="215"/>
        <v>179.60900000000007</v>
      </c>
      <c r="AO67" s="54">
        <f t="shared" si="215"/>
        <v>220.39999999999992</v>
      </c>
      <c r="AP67" s="54">
        <f t="shared" si="215"/>
        <v>202.54599999999994</v>
      </c>
      <c r="AQ67" s="54">
        <f t="shared" si="215"/>
        <v>149.92899999999997</v>
      </c>
      <c r="AR67" s="53">
        <f t="shared" si="215"/>
        <v>207.93399999999997</v>
      </c>
      <c r="AS67" s="54">
        <f t="shared" si="215"/>
        <v>249.00800000000004</v>
      </c>
      <c r="AT67" s="54">
        <f t="shared" si="215"/>
        <v>265.26900000000006</v>
      </c>
      <c r="AU67" s="54">
        <f t="shared" si="215"/>
        <v>108.63000000000011</v>
      </c>
      <c r="AV67" s="53">
        <f t="shared" si="215"/>
        <v>195.04499999999996</v>
      </c>
      <c r="AW67" s="54">
        <f t="shared" si="215"/>
        <v>207.37899999999991</v>
      </c>
      <c r="AX67" s="54">
        <f t="shared" si="215"/>
        <v>268.70699999999994</v>
      </c>
      <c r="AY67" s="54">
        <f t="shared" ref="AY67" si="216">AY31-AY63</f>
        <v>356.98100000000011</v>
      </c>
      <c r="AZ67" s="53">
        <f t="shared" si="215"/>
        <v>266.26799999999992</v>
      </c>
      <c r="BA67" s="54">
        <f t="shared" si="215"/>
        <v>145.83499999999998</v>
      </c>
      <c r="BB67" s="54">
        <f t="shared" ref="BB67:BD67" si="217">BB31-BB63</f>
        <v>194.82100000000003</v>
      </c>
      <c r="BC67" s="54">
        <f t="shared" si="217"/>
        <v>448.21000000000015</v>
      </c>
      <c r="BD67" s="53">
        <f t="shared" si="217"/>
        <v>405.34800000000007</v>
      </c>
      <c r="BE67" s="54">
        <f t="shared" si="215"/>
        <v>452.37002875604321</v>
      </c>
      <c r="BF67" s="54">
        <f t="shared" si="215"/>
        <v>631.9656486466713</v>
      </c>
      <c r="BG67" s="55">
        <f t="shared" si="215"/>
        <v>659.36206493108853</v>
      </c>
      <c r="BH67" s="53">
        <f t="shared" si="215"/>
        <v>596.83682381569702</v>
      </c>
      <c r="BI67" s="54">
        <f t="shared" si="215"/>
        <v>645.69019553758619</v>
      </c>
      <c r="BJ67" s="54">
        <f t="shared" si="215"/>
        <v>687.35832712266222</v>
      </c>
      <c r="BK67" s="55">
        <f t="shared" si="215"/>
        <v>728.41621555199686</v>
      </c>
      <c r="BL67" s="53">
        <f t="shared" ref="BL67:BO67" si="218">BL31-BL63</f>
        <v>656.92911070520063</v>
      </c>
      <c r="BM67" s="54">
        <f t="shared" si="218"/>
        <v>705.40962213371324</v>
      </c>
      <c r="BN67" s="54">
        <f t="shared" si="218"/>
        <v>743.96222051530765</v>
      </c>
      <c r="BO67" s="55">
        <f t="shared" si="218"/>
        <v>780.58565874108911</v>
      </c>
      <c r="BP67" s="253"/>
      <c r="BQ67" s="53">
        <f t="shared" ref="BQ67:CE67" si="219">BQ31-BQ63</f>
        <v>515.98699999999997</v>
      </c>
      <c r="BR67" s="54">
        <f t="shared" si="219"/>
        <v>522.39499999999975</v>
      </c>
      <c r="BS67" s="54">
        <f t="shared" si="219"/>
        <v>568.72300000000007</v>
      </c>
      <c r="BT67" s="54">
        <f t="shared" si="219"/>
        <v>625.02500000000009</v>
      </c>
      <c r="BU67" s="54">
        <f t="shared" si="219"/>
        <v>284.81699999999978</v>
      </c>
      <c r="BV67" s="54">
        <f t="shared" si="219"/>
        <v>900.07399999999984</v>
      </c>
      <c r="BW67" s="54">
        <f t="shared" si="219"/>
        <v>1072.0250000000001</v>
      </c>
      <c r="BX67" s="54">
        <f t="shared" si="219"/>
        <v>824.04799999999966</v>
      </c>
      <c r="BY67" s="54">
        <f t="shared" si="219"/>
        <v>753.07500000000027</v>
      </c>
      <c r="BZ67" s="53">
        <f t="shared" si="219"/>
        <v>752.4839999999997</v>
      </c>
      <c r="CA67" s="54">
        <f t="shared" si="219"/>
        <v>830.84099999999967</v>
      </c>
      <c r="CB67" s="54">
        <f t="shared" si="219"/>
        <v>1028.1120000000003</v>
      </c>
      <c r="CC67" s="54">
        <f t="shared" si="219"/>
        <v>1055.1340000000002</v>
      </c>
      <c r="CD67" s="54">
        <f t="shared" si="219"/>
        <v>2149.045742333803</v>
      </c>
      <c r="CE67" s="54">
        <f t="shared" si="219"/>
        <v>2658.3015620279411</v>
      </c>
      <c r="CF67" s="55">
        <f t="shared" ref="CF67" si="220">CF31-CF63</f>
        <v>2886.8866120953098</v>
      </c>
      <c r="CG67" s="23"/>
      <c r="CH67" s="53">
        <f t="shared" ref="CH67:CU67" si="221">CH31-CH63</f>
        <v>509.87400000000014</v>
      </c>
      <c r="CI67" s="54">
        <f t="shared" si="221"/>
        <v>573.26599999999985</v>
      </c>
      <c r="CJ67" s="54">
        <f t="shared" si="221"/>
        <v>545.22500000000048</v>
      </c>
      <c r="CK67" s="54">
        <f t="shared" si="221"/>
        <v>498.70299999999986</v>
      </c>
      <c r="CL67" s="54">
        <f t="shared" si="221"/>
        <v>414.34000000000003</v>
      </c>
      <c r="CM67" s="54">
        <f t="shared" si="221"/>
        <v>1010.366</v>
      </c>
      <c r="CN67" s="54">
        <f t="shared" si="221"/>
        <v>995.99099999999987</v>
      </c>
      <c r="CO67" s="54">
        <f t="shared" si="221"/>
        <v>794.16499999999996</v>
      </c>
      <c r="CP67" s="54">
        <f t="shared" si="221"/>
        <v>779.19500000000016</v>
      </c>
      <c r="CQ67" s="54">
        <f t="shared" si="221"/>
        <v>780.80899999999951</v>
      </c>
      <c r="CR67" s="54">
        <f t="shared" si="221"/>
        <v>817.95199999999977</v>
      </c>
      <c r="CS67" s="54">
        <f t="shared" si="221"/>
        <v>1099.335</v>
      </c>
      <c r="CT67" s="54">
        <f t="shared" si="221"/>
        <v>1194.2139999999995</v>
      </c>
      <c r="CU67" s="54">
        <f t="shared" si="221"/>
        <v>2340.5345661495012</v>
      </c>
      <c r="CV67" s="55">
        <f t="shared" ref="CV67" si="222">CV31-CV63</f>
        <v>2718.3938489174448</v>
      </c>
      <c r="CW67" s="17"/>
    </row>
    <row r="68" spans="1:112" ht="14.25" customHeight="1">
      <c r="A68" s="8"/>
      <c r="B68" s="38" t="s">
        <v>438</v>
      </c>
      <c r="C68" s="39"/>
      <c r="D68" s="40">
        <f t="shared" ref="D68:AI68" si="223">D67/D10</f>
        <v>0.21472053412708242</v>
      </c>
      <c r="E68" s="40">
        <f t="shared" si="223"/>
        <v>0.22186223551743675</v>
      </c>
      <c r="F68" s="40">
        <f t="shared" si="223"/>
        <v>0.23113032608994266</v>
      </c>
      <c r="G68" s="41">
        <f t="shared" si="223"/>
        <v>0.19734782119492716</v>
      </c>
      <c r="H68" s="40">
        <f t="shared" si="223"/>
        <v>0.21296166546298587</v>
      </c>
      <c r="I68" s="40">
        <f t="shared" si="223"/>
        <v>0.24170004881815066</v>
      </c>
      <c r="J68" s="40">
        <f t="shared" si="223"/>
        <v>0.23549084594641972</v>
      </c>
      <c r="K68" s="41">
        <f t="shared" si="223"/>
        <v>0.20205371610761588</v>
      </c>
      <c r="L68" s="40">
        <f t="shared" si="223"/>
        <v>0.27051008758273254</v>
      </c>
      <c r="M68" s="40">
        <f t="shared" si="223"/>
        <v>0.22461894313311001</v>
      </c>
      <c r="N68" s="40">
        <f t="shared" si="223"/>
        <v>0.23564252523763801</v>
      </c>
      <c r="O68" s="41">
        <f t="shared" si="223"/>
        <v>0.19182829705136151</v>
      </c>
      <c r="P68" s="40">
        <f t="shared" si="223"/>
        <v>0.23767854844936304</v>
      </c>
      <c r="Q68" s="40">
        <f t="shared" si="223"/>
        <v>0.24206886992946691</v>
      </c>
      <c r="R68" s="40">
        <f t="shared" si="223"/>
        <v>0.24460307199242473</v>
      </c>
      <c r="S68" s="41">
        <f t="shared" si="223"/>
        <v>0.24328435468051879</v>
      </c>
      <c r="T68" s="40">
        <f t="shared" si="223"/>
        <v>4.110842291462518E-2</v>
      </c>
      <c r="U68" s="40">
        <f t="shared" si="223"/>
        <v>0.1219783969600715</v>
      </c>
      <c r="V68" s="40">
        <f t="shared" si="223"/>
        <v>0.16046025232168881</v>
      </c>
      <c r="W68" s="41">
        <f t="shared" si="223"/>
        <v>0.22458362491252631</v>
      </c>
      <c r="X68" s="40">
        <f t="shared" si="223"/>
        <v>0.24729387063980238</v>
      </c>
      <c r="Y68" s="40">
        <f t="shared" si="223"/>
        <v>0.32035645875733265</v>
      </c>
      <c r="Z68" s="40">
        <f t="shared" si="223"/>
        <v>0.34867206264143613</v>
      </c>
      <c r="AA68" s="41">
        <f t="shared" si="223"/>
        <v>0.37109572851595485</v>
      </c>
      <c r="AB68" s="40">
        <f t="shared" si="223"/>
        <v>0.35608040587285728</v>
      </c>
      <c r="AC68" s="40">
        <f t="shared" si="223"/>
        <v>0.37745769999241247</v>
      </c>
      <c r="AD68" s="40">
        <f t="shared" si="223"/>
        <v>0.36791168251304263</v>
      </c>
      <c r="AE68" s="40">
        <f t="shared" si="223"/>
        <v>0.32855862171046202</v>
      </c>
      <c r="AF68" s="42">
        <f t="shared" si="223"/>
        <v>0.28295615515895178</v>
      </c>
      <c r="AG68" s="40">
        <f t="shared" si="223"/>
        <v>0.3154020032765808</v>
      </c>
      <c r="AH68" s="40">
        <f t="shared" si="223"/>
        <v>0.3110730777452102</v>
      </c>
      <c r="AI68" s="40">
        <f t="shared" si="223"/>
        <v>0.3097700024749484</v>
      </c>
      <c r="AJ68" s="42">
        <f t="shared" ref="AJ68:BK68" si="224">AJ67/AJ10</f>
        <v>0.24671373048250056</v>
      </c>
      <c r="AK68" s="40">
        <f t="shared" si="224"/>
        <v>0.29030261660978379</v>
      </c>
      <c r="AL68" s="40">
        <f t="shared" si="224"/>
        <v>0.30903389639439194</v>
      </c>
      <c r="AM68" s="40">
        <f t="shared" si="224"/>
        <v>0.29472389634481733</v>
      </c>
      <c r="AN68" s="42">
        <f t="shared" si="224"/>
        <v>0.2858932442800341</v>
      </c>
      <c r="AO68" s="40">
        <f t="shared" si="224"/>
        <v>0.31733416266399428</v>
      </c>
      <c r="AP68" s="40">
        <f t="shared" si="224"/>
        <v>0.27831733887368215</v>
      </c>
      <c r="AQ68" s="40">
        <f t="shared" si="224"/>
        <v>0.18413208768346703</v>
      </c>
      <c r="AR68" s="42">
        <f t="shared" si="224"/>
        <v>0.26934944416090445</v>
      </c>
      <c r="AS68" s="40">
        <f t="shared" si="224"/>
        <v>0.30329139764122393</v>
      </c>
      <c r="AT68" s="40">
        <f t="shared" si="224"/>
        <v>0.3072501201693375</v>
      </c>
      <c r="AU68" s="40">
        <f t="shared" si="224"/>
        <v>0.11099168098806414</v>
      </c>
      <c r="AV68" s="1209">
        <f t="shared" si="224"/>
        <v>0.2534931748088517</v>
      </c>
      <c r="AW68" s="1207">
        <f t="shared" si="224"/>
        <v>0.2662918001042674</v>
      </c>
      <c r="AX68" s="1207">
        <f t="shared" si="224"/>
        <v>0.30900388803471968</v>
      </c>
      <c r="AY68" s="1207">
        <f t="shared" ref="AY68" si="225">AY67/AY10</f>
        <v>0.35569232670036466</v>
      </c>
      <c r="AZ68" s="1209">
        <f t="shared" si="224"/>
        <v>0.27047414340407672</v>
      </c>
      <c r="BA68" s="1282">
        <f t="shared" si="224"/>
        <v>0.12703596397852926</v>
      </c>
      <c r="BB68" s="1282">
        <f t="shared" ref="BB68" si="226">BB67/BB10</f>
        <v>0.13586772317773463</v>
      </c>
      <c r="BC68" s="1440">
        <f>BC67/BC10</f>
        <v>0.29082450346165584</v>
      </c>
      <c r="BD68" s="1442">
        <f t="shared" ref="BD68" si="227">BD67/BD10</f>
        <v>0.26691794677286812</v>
      </c>
      <c r="BE68" s="40">
        <f t="shared" si="224"/>
        <v>0.30765626632382204</v>
      </c>
      <c r="BF68" s="40">
        <f t="shared" si="224"/>
        <v>0.41755529376742606</v>
      </c>
      <c r="BG68" s="41">
        <f t="shared" si="224"/>
        <v>0.42173493734604878</v>
      </c>
      <c r="BH68" s="1422">
        <f t="shared" si="224"/>
        <v>0.40270052147555119</v>
      </c>
      <c r="BI68" s="1420">
        <f t="shared" si="224"/>
        <v>0.41661591635173367</v>
      </c>
      <c r="BJ68" s="1420">
        <f t="shared" si="224"/>
        <v>0.42781309199563777</v>
      </c>
      <c r="BK68" s="1421">
        <f t="shared" si="224"/>
        <v>0.43522557964785374</v>
      </c>
      <c r="BL68" s="1442">
        <f t="shared" ref="BL68:BO68" si="228">BL67/BL10</f>
        <v>0.41402864410785573</v>
      </c>
      <c r="BM68" s="1440">
        <f t="shared" si="228"/>
        <v>0.42653382960686492</v>
      </c>
      <c r="BN68" s="1440">
        <f t="shared" si="228"/>
        <v>0.43608503083233857</v>
      </c>
      <c r="BO68" s="1441">
        <f t="shared" si="228"/>
        <v>0.44186422190910241</v>
      </c>
      <c r="BP68" s="253"/>
      <c r="BQ68" s="1283">
        <f t="shared" ref="BQ68:CE68" si="229">BQ67/BQ10</f>
        <v>0.21600187206338892</v>
      </c>
      <c r="BR68" s="1282">
        <f t="shared" si="229"/>
        <v>0.22296758872159037</v>
      </c>
      <c r="BS68" s="1282">
        <f t="shared" si="229"/>
        <v>0.23074538659750946</v>
      </c>
      <c r="BT68" s="1282">
        <f t="shared" si="229"/>
        <v>0.24198284816745011</v>
      </c>
      <c r="BU68" s="1282">
        <f t="shared" si="229"/>
        <v>0.14135484101507353</v>
      </c>
      <c r="BV68" s="1282">
        <f t="shared" si="229"/>
        <v>0.32593627455773178</v>
      </c>
      <c r="BW68" s="1282">
        <f t="shared" si="229"/>
        <v>0.35813912311413415</v>
      </c>
      <c r="BX68" s="1282">
        <f t="shared" si="229"/>
        <v>0.30507392799045724</v>
      </c>
      <c r="BY68" s="1282">
        <f t="shared" si="229"/>
        <v>0.2859392282080383</v>
      </c>
      <c r="BZ68" s="1442">
        <f t="shared" si="229"/>
        <v>0.26266793215378664</v>
      </c>
      <c r="CA68" s="1440">
        <f t="shared" si="229"/>
        <v>0.24186863117494373</v>
      </c>
      <c r="CB68" s="1440">
        <f t="shared" si="229"/>
        <v>0.30049374395168782</v>
      </c>
      <c r="CC68" s="1440">
        <f t="shared" si="229"/>
        <v>0.20658509647473533</v>
      </c>
      <c r="CD68" s="1440">
        <f t="shared" si="229"/>
        <v>0.35428074949514943</v>
      </c>
      <c r="CE68" s="1440">
        <f t="shared" si="229"/>
        <v>0.42113292709611777</v>
      </c>
      <c r="CF68" s="1441">
        <f t="shared" ref="CF68" si="230">CF67/CF10</f>
        <v>0.43003967230866103</v>
      </c>
      <c r="CG68" s="23"/>
      <c r="CH68" s="42">
        <f t="shared" ref="CH68:CU68" si="231">CH67/CH10</f>
        <v>0.21560084198134555</v>
      </c>
      <c r="CI68" s="40">
        <f t="shared" si="231"/>
        <v>0.23761749976580868</v>
      </c>
      <c r="CJ68" s="40">
        <f t="shared" si="231"/>
        <v>0.22232620348112961</v>
      </c>
      <c r="CK68" s="40">
        <f t="shared" si="231"/>
        <v>0.20391921625488477</v>
      </c>
      <c r="CL68" s="40">
        <f t="shared" si="231"/>
        <v>0.19349728812387862</v>
      </c>
      <c r="CM68" s="1440">
        <f t="shared" si="231"/>
        <v>0.34996799472397877</v>
      </c>
      <c r="CN68" s="1440">
        <f t="shared" si="231"/>
        <v>0.34192725123022827</v>
      </c>
      <c r="CO68" s="1440">
        <f t="shared" si="231"/>
        <v>0.29685991945329315</v>
      </c>
      <c r="CP68" s="1440">
        <f t="shared" si="231"/>
        <v>0.29517276544032056</v>
      </c>
      <c r="CQ68" s="1440">
        <f t="shared" si="231"/>
        <v>0.25953250783358323</v>
      </c>
      <c r="CR68" s="1440">
        <f t="shared" si="231"/>
        <v>0.23829385570722508</v>
      </c>
      <c r="CS68" s="1207">
        <f t="shared" si="231"/>
        <v>0.30231169094735522</v>
      </c>
      <c r="CT68" s="1207">
        <f t="shared" si="231"/>
        <v>0.21167709323360878</v>
      </c>
      <c r="CU68" s="1440">
        <f t="shared" si="231"/>
        <v>0.38818685135748987</v>
      </c>
      <c r="CV68" s="1441">
        <f t="shared" ref="CV68" si="232">CV67/CV10</f>
        <v>0.42363356440906363</v>
      </c>
      <c r="CW68" s="17"/>
    </row>
    <row r="69" spans="1:112" ht="14.25" customHeight="1">
      <c r="A69" s="8"/>
      <c r="B69" s="51"/>
      <c r="C69" s="52"/>
      <c r="D69" s="54"/>
      <c r="E69" s="54"/>
      <c r="F69" s="54"/>
      <c r="G69" s="55"/>
      <c r="H69" s="54"/>
      <c r="I69" s="54"/>
      <c r="J69" s="54"/>
      <c r="K69" s="55"/>
      <c r="L69" s="54"/>
      <c r="M69" s="54"/>
      <c r="N69" s="54"/>
      <c r="O69" s="55"/>
      <c r="P69" s="54"/>
      <c r="Q69" s="54"/>
      <c r="R69" s="54"/>
      <c r="S69" s="55"/>
      <c r="T69" s="54"/>
      <c r="U69" s="54"/>
      <c r="V69" s="54"/>
      <c r="W69" s="55"/>
      <c r="X69" s="54"/>
      <c r="Y69" s="54"/>
      <c r="Z69" s="54"/>
      <c r="AA69" s="55"/>
      <c r="AB69" s="54"/>
      <c r="AC69" s="54"/>
      <c r="AD69" s="54"/>
      <c r="AE69" s="54"/>
      <c r="AF69" s="53"/>
      <c r="AG69" s="54"/>
      <c r="AH69" s="54"/>
      <c r="AI69" s="54"/>
      <c r="AJ69" s="53"/>
      <c r="AK69" s="54"/>
      <c r="AL69" s="54"/>
      <c r="AM69" s="54"/>
      <c r="AN69" s="53"/>
      <c r="AO69" s="54"/>
      <c r="AP69" s="54">
        <f>AP70-234.808</f>
        <v>0</v>
      </c>
      <c r="AQ69" s="54"/>
      <c r="AR69" s="53"/>
      <c r="AS69" s="54"/>
      <c r="AT69" s="54"/>
      <c r="AU69" s="54"/>
      <c r="AV69" s="53"/>
      <c r="AW69" s="54"/>
      <c r="AX69" s="54"/>
      <c r="AY69" s="54"/>
      <c r="AZ69" s="53"/>
      <c r="BA69" s="54"/>
      <c r="BB69" s="54"/>
      <c r="BC69" s="54"/>
      <c r="BD69" s="53"/>
      <c r="BE69" s="54"/>
      <c r="BF69" s="54"/>
      <c r="BG69" s="55"/>
      <c r="BH69" s="53"/>
      <c r="BI69" s="54"/>
      <c r="BJ69" s="54"/>
      <c r="BK69" s="55"/>
      <c r="BL69" s="53"/>
      <c r="BM69" s="54"/>
      <c r="BN69" s="54"/>
      <c r="BO69" s="55"/>
      <c r="BP69" s="253"/>
      <c r="BQ69" s="53"/>
      <c r="BR69" s="54"/>
      <c r="BS69" s="54"/>
      <c r="BT69" s="54"/>
      <c r="BU69" s="54"/>
      <c r="BV69" s="54"/>
      <c r="BW69" s="54"/>
      <c r="BX69" s="54"/>
      <c r="BY69" s="54"/>
      <c r="BZ69" s="53"/>
      <c r="CA69" s="54"/>
      <c r="CB69" s="54"/>
      <c r="CC69" s="54"/>
      <c r="CD69" s="54"/>
      <c r="CE69" s="54"/>
      <c r="CF69" s="55"/>
      <c r="CG69" s="23"/>
      <c r="CH69" s="53"/>
      <c r="CI69" s="54"/>
      <c r="CJ69" s="54"/>
      <c r="CK69" s="54"/>
      <c r="CL69" s="54"/>
      <c r="CM69" s="54"/>
      <c r="CN69" s="54"/>
      <c r="CO69" s="54"/>
      <c r="CP69" s="54"/>
      <c r="CQ69" s="54"/>
      <c r="CR69" s="54"/>
      <c r="CS69" s="54"/>
      <c r="CT69" s="54"/>
      <c r="CU69" s="54"/>
      <c r="CV69" s="55"/>
      <c r="CW69" s="17"/>
    </row>
    <row r="70" spans="1:112" ht="14.25" hidden="1" customHeight="1" outlineLevel="1">
      <c r="A70" s="8"/>
      <c r="B70" s="51" t="s">
        <v>6</v>
      </c>
      <c r="C70" s="52"/>
      <c r="D70" s="54">
        <f t="shared" ref="D70:AI70" si="233">D34-D64</f>
        <v>124.65299999999991</v>
      </c>
      <c r="E70" s="54">
        <f t="shared" si="233"/>
        <v>133.94400000000002</v>
      </c>
      <c r="F70" s="54">
        <f t="shared" si="233"/>
        <v>134.61400000000006</v>
      </c>
      <c r="G70" s="55">
        <f t="shared" si="233"/>
        <v>154.25600000000003</v>
      </c>
      <c r="H70" s="54">
        <f t="shared" si="233"/>
        <v>119.55299999999997</v>
      </c>
      <c r="I70" s="54">
        <f t="shared" si="233"/>
        <v>139.619</v>
      </c>
      <c r="J70" s="54">
        <f t="shared" si="233"/>
        <v>146.53899999999996</v>
      </c>
      <c r="K70" s="55">
        <f t="shared" si="233"/>
        <v>140.185</v>
      </c>
      <c r="L70" s="54">
        <f t="shared" si="233"/>
        <v>174.60699999999997</v>
      </c>
      <c r="M70" s="54">
        <f t="shared" si="233"/>
        <v>144.32199999999995</v>
      </c>
      <c r="N70" s="54">
        <f t="shared" si="233"/>
        <v>145.49300000000008</v>
      </c>
      <c r="O70" s="55">
        <f t="shared" si="233"/>
        <v>144.79600000000005</v>
      </c>
      <c r="P70" s="54">
        <f t="shared" si="233"/>
        <v>145.91300000000001</v>
      </c>
      <c r="Q70" s="54">
        <f t="shared" si="233"/>
        <v>157.18500000000006</v>
      </c>
      <c r="R70" s="54">
        <f t="shared" si="233"/>
        <v>161.19</v>
      </c>
      <c r="S70" s="55">
        <f t="shared" si="233"/>
        <v>163.82500000000005</v>
      </c>
      <c r="T70" s="54">
        <f t="shared" si="233"/>
        <v>61.328000000000003</v>
      </c>
      <c r="U70" s="54">
        <f t="shared" si="233"/>
        <v>69.828000000000031</v>
      </c>
      <c r="V70" s="54">
        <f t="shared" si="233"/>
        <v>78.944999999999993</v>
      </c>
      <c r="W70" s="55">
        <f t="shared" si="233"/>
        <v>128.37200000000004</v>
      </c>
      <c r="X70" s="54">
        <f t="shared" si="233"/>
        <v>165.59699999999995</v>
      </c>
      <c r="Y70" s="54">
        <f t="shared" si="233"/>
        <v>214.07499999999999</v>
      </c>
      <c r="Z70" s="54">
        <f t="shared" si="233"/>
        <v>251.14500000000001</v>
      </c>
      <c r="AA70" s="55">
        <f t="shared" si="233"/>
        <v>285.74000000000007</v>
      </c>
      <c r="AB70" s="54">
        <f t="shared" si="233"/>
        <v>259.40600000000001</v>
      </c>
      <c r="AC70" s="54">
        <f t="shared" si="233"/>
        <v>298.48599999999993</v>
      </c>
      <c r="AD70" s="54">
        <f t="shared" si="233"/>
        <v>278.84100000000007</v>
      </c>
      <c r="AE70" s="54">
        <f t="shared" si="233"/>
        <v>237.53100000000001</v>
      </c>
      <c r="AF70" s="53">
        <f t="shared" si="233"/>
        <v>185.96699999999998</v>
      </c>
      <c r="AG70" s="54">
        <f t="shared" si="233"/>
        <v>212.92600000000004</v>
      </c>
      <c r="AH70" s="54">
        <f t="shared" si="233"/>
        <v>218.30699999999996</v>
      </c>
      <c r="AI70" s="54">
        <f t="shared" si="233"/>
        <v>215.27900000000005</v>
      </c>
      <c r="AJ70" s="53">
        <f t="shared" ref="AJ70:BK70" si="234">AJ34-AJ64</f>
        <v>167.56</v>
      </c>
      <c r="AK70" s="54">
        <f t="shared" si="234"/>
        <v>197.68199999999996</v>
      </c>
      <c r="AL70" s="54">
        <f t="shared" si="234"/>
        <v>208.34200000000001</v>
      </c>
      <c r="AM70" s="54">
        <f t="shared" si="234"/>
        <v>215.63900000000001</v>
      </c>
      <c r="AN70" s="53">
        <f t="shared" si="234"/>
        <v>182.29400000000007</v>
      </c>
      <c r="AO70" s="54">
        <f t="shared" si="234"/>
        <v>220.39999999999992</v>
      </c>
      <c r="AP70" s="54">
        <f t="shared" si="234"/>
        <v>234.80799999999996</v>
      </c>
      <c r="AQ70" s="54">
        <f t="shared" si="234"/>
        <v>270.69199999999989</v>
      </c>
      <c r="AR70" s="53">
        <f t="shared" si="234"/>
        <v>242.26</v>
      </c>
      <c r="AS70" s="54">
        <f t="shared" si="234"/>
        <v>276.78300000000002</v>
      </c>
      <c r="AT70" s="54">
        <f t="shared" si="234"/>
        <v>295.2050000000001</v>
      </c>
      <c r="AU70" s="54">
        <f t="shared" si="234"/>
        <v>351.38299999999992</v>
      </c>
      <c r="AV70" s="53">
        <f t="shared" si="234"/>
        <v>213.94699999999995</v>
      </c>
      <c r="AW70" s="54">
        <f t="shared" si="234"/>
        <v>239.95799999999986</v>
      </c>
      <c r="AX70" s="54">
        <f t="shared" si="234"/>
        <v>296.48699999999997</v>
      </c>
      <c r="AY70" s="54">
        <f t="shared" ref="AY70" si="235">AY34-AY64</f>
        <v>382.23000000000008</v>
      </c>
      <c r="AZ70" s="53">
        <f t="shared" si="234"/>
        <v>344.15200000000004</v>
      </c>
      <c r="BA70" s="54">
        <f t="shared" si="234"/>
        <v>457.67399999999998</v>
      </c>
      <c r="BB70" s="54">
        <f t="shared" ref="BB70:BD70" si="236">BB34-BB64</f>
        <v>590.90600000000006</v>
      </c>
      <c r="BC70" s="54">
        <f t="shared" si="236"/>
        <v>657.02800000000002</v>
      </c>
      <c r="BD70" s="53">
        <f t="shared" si="236"/>
        <v>633.15599999999995</v>
      </c>
      <c r="BE70" s="54">
        <f t="shared" si="234"/>
        <v>621.3700287560431</v>
      </c>
      <c r="BF70" s="54">
        <f t="shared" si="234"/>
        <v>631.9656486466713</v>
      </c>
      <c r="BG70" s="55">
        <f t="shared" si="234"/>
        <v>659.36206493108853</v>
      </c>
      <c r="BH70" s="53">
        <f t="shared" si="234"/>
        <v>596.83682381569702</v>
      </c>
      <c r="BI70" s="54">
        <f t="shared" si="234"/>
        <v>645.69019553758619</v>
      </c>
      <c r="BJ70" s="54">
        <f t="shared" si="234"/>
        <v>687.35832712266222</v>
      </c>
      <c r="BK70" s="55">
        <f t="shared" si="234"/>
        <v>728.41621555199686</v>
      </c>
      <c r="BL70" s="53">
        <f t="shared" ref="BL70:BO70" si="237">BL34-BL64</f>
        <v>656.92911070520063</v>
      </c>
      <c r="BM70" s="54">
        <f t="shared" si="237"/>
        <v>705.40962213371324</v>
      </c>
      <c r="BN70" s="54">
        <f t="shared" si="237"/>
        <v>743.96222051530765</v>
      </c>
      <c r="BO70" s="55">
        <f t="shared" si="237"/>
        <v>780.58565874108911</v>
      </c>
      <c r="BP70" s="253"/>
      <c r="BQ70" s="53">
        <f t="shared" ref="BQ70:CE70" si="238">BQ34-BQ64</f>
        <v>547.46699999999998</v>
      </c>
      <c r="BR70" s="54">
        <f t="shared" si="238"/>
        <v>545.89599999999973</v>
      </c>
      <c r="BS70" s="54">
        <f t="shared" si="238"/>
        <v>609.21800000000007</v>
      </c>
      <c r="BT70" s="54">
        <f t="shared" si="238"/>
        <v>628.11300000000006</v>
      </c>
      <c r="BU70" s="54">
        <f t="shared" si="238"/>
        <v>338.47299999999973</v>
      </c>
      <c r="BV70" s="54">
        <f t="shared" si="238"/>
        <v>916.55699999999979</v>
      </c>
      <c r="BW70" s="54">
        <f t="shared" si="238"/>
        <v>1074.2640000000001</v>
      </c>
      <c r="BX70" s="54">
        <f t="shared" si="238"/>
        <v>832.4789999999997</v>
      </c>
      <c r="BY70" s="54">
        <f t="shared" si="238"/>
        <v>789.2230000000003</v>
      </c>
      <c r="BZ70" s="53">
        <f t="shared" si="238"/>
        <v>908.19399999999962</v>
      </c>
      <c r="CA70" s="54">
        <f t="shared" si="238"/>
        <v>1165.6309999999996</v>
      </c>
      <c r="CB70" s="54">
        <f t="shared" si="238"/>
        <v>1132.6220000000001</v>
      </c>
      <c r="CC70" s="54">
        <f t="shared" si="238"/>
        <v>2049.7600000000007</v>
      </c>
      <c r="CD70" s="54">
        <f t="shared" si="238"/>
        <v>2545.853742333803</v>
      </c>
      <c r="CE70" s="54">
        <f t="shared" si="238"/>
        <v>2658.3015620279411</v>
      </c>
      <c r="CF70" s="55">
        <f t="shared" ref="CF70" si="239">CF34-CF64</f>
        <v>2886.8866120953098</v>
      </c>
      <c r="CG70" s="23"/>
      <c r="CH70" s="53">
        <f t="shared" ref="CH70:CU70" si="240">CH34-CH64</f>
        <v>542.36700000000019</v>
      </c>
      <c r="CI70" s="54">
        <f t="shared" si="240"/>
        <v>600.94999999999982</v>
      </c>
      <c r="CJ70" s="54">
        <f t="shared" si="240"/>
        <v>580.52400000000046</v>
      </c>
      <c r="CK70" s="54">
        <f t="shared" si="240"/>
        <v>543.52799999999991</v>
      </c>
      <c r="CL70" s="54">
        <f t="shared" si="240"/>
        <v>442.74200000000008</v>
      </c>
      <c r="CM70" s="54">
        <f t="shared" si="240"/>
        <v>1010.366</v>
      </c>
      <c r="CN70" s="54">
        <f t="shared" si="240"/>
        <v>1000.8249999999998</v>
      </c>
      <c r="CO70" s="54">
        <f t="shared" si="240"/>
        <v>814.072</v>
      </c>
      <c r="CP70" s="54">
        <f t="shared" si="240"/>
        <v>803.95700000000011</v>
      </c>
      <c r="CQ70" s="54">
        <f t="shared" si="240"/>
        <v>968.15999999999974</v>
      </c>
      <c r="CR70" s="54">
        <f t="shared" si="240"/>
        <v>1137.3179999999998</v>
      </c>
      <c r="CS70" s="54">
        <f t="shared" si="240"/>
        <v>1262.8270000000005</v>
      </c>
      <c r="CT70" s="54">
        <f t="shared" si="240"/>
        <v>2338.7640000000001</v>
      </c>
      <c r="CU70" s="54">
        <f t="shared" si="240"/>
        <v>2509.5345661495012</v>
      </c>
      <c r="CV70" s="55">
        <f t="shared" ref="CV70" si="241">CV34-CV64</f>
        <v>2718.3938489174448</v>
      </c>
      <c r="CW70" s="17"/>
    </row>
    <row r="71" spans="1:112" ht="14.25" hidden="1" customHeight="1" outlineLevel="1">
      <c r="A71" s="8"/>
      <c r="B71" s="38" t="s">
        <v>7</v>
      </c>
      <c r="C71" s="39"/>
      <c r="D71" s="40">
        <f t="shared" ref="D71:AI71" si="242">D70/D10</f>
        <v>0.21472053412708242</v>
      </c>
      <c r="E71" s="40">
        <f t="shared" si="242"/>
        <v>0.22186223551743675</v>
      </c>
      <c r="F71" s="40">
        <f t="shared" si="242"/>
        <v>0.23113032608994266</v>
      </c>
      <c r="G71" s="41">
        <f t="shared" si="242"/>
        <v>0.24794817803353003</v>
      </c>
      <c r="H71" s="40">
        <f t="shared" si="242"/>
        <v>0.21478155889232622</v>
      </c>
      <c r="I71" s="40">
        <f t="shared" si="242"/>
        <v>0.24170004881815066</v>
      </c>
      <c r="J71" s="40">
        <f t="shared" si="242"/>
        <v>0.24467411903191599</v>
      </c>
      <c r="K71" s="41">
        <f t="shared" si="242"/>
        <v>0.22991550275206485</v>
      </c>
      <c r="L71" s="40">
        <f t="shared" si="242"/>
        <v>0.27880689484483401</v>
      </c>
      <c r="M71" s="40">
        <f t="shared" si="242"/>
        <v>0.24154996878572271</v>
      </c>
      <c r="N71" s="40">
        <f t="shared" si="242"/>
        <v>0.23564252523763801</v>
      </c>
      <c r="O71" s="41">
        <f t="shared" si="242"/>
        <v>0.23221531187955269</v>
      </c>
      <c r="P71" s="40">
        <f t="shared" si="242"/>
        <v>0.23767854844936304</v>
      </c>
      <c r="Q71" s="40">
        <f t="shared" si="242"/>
        <v>0.24206886992946691</v>
      </c>
      <c r="R71" s="40">
        <f t="shared" si="242"/>
        <v>0.24460307199242473</v>
      </c>
      <c r="S71" s="41">
        <f t="shared" si="242"/>
        <v>0.24795821376245661</v>
      </c>
      <c r="T71" s="40">
        <f t="shared" si="242"/>
        <v>0.12868650709550977</v>
      </c>
      <c r="U71" s="40">
        <f t="shared" si="242"/>
        <v>0.14708434790667899</v>
      </c>
      <c r="V71" s="40">
        <f t="shared" si="242"/>
        <v>0.16046025232168881</v>
      </c>
      <c r="W71" s="41">
        <f t="shared" si="242"/>
        <v>0.22458362491252631</v>
      </c>
      <c r="X71" s="40">
        <f t="shared" si="242"/>
        <v>0.27462963300789567</v>
      </c>
      <c r="Y71" s="40">
        <f t="shared" si="242"/>
        <v>0.32035645875733265</v>
      </c>
      <c r="Z71" s="40">
        <f t="shared" si="242"/>
        <v>0.34867206264143613</v>
      </c>
      <c r="AA71" s="41">
        <f t="shared" si="242"/>
        <v>0.37109572851595485</v>
      </c>
      <c r="AB71" s="40">
        <f t="shared" si="242"/>
        <v>0.35608040587285728</v>
      </c>
      <c r="AC71" s="40">
        <f t="shared" si="242"/>
        <v>0.37745769999241247</v>
      </c>
      <c r="AD71" s="40">
        <f t="shared" si="242"/>
        <v>0.36791168251304263</v>
      </c>
      <c r="AE71" s="40">
        <f t="shared" si="242"/>
        <v>0.33168513155359192</v>
      </c>
      <c r="AF71" s="42">
        <f t="shared" si="242"/>
        <v>0.28696042638158931</v>
      </c>
      <c r="AG71" s="40">
        <f t="shared" si="242"/>
        <v>0.3154020032765808</v>
      </c>
      <c r="AH71" s="40">
        <f t="shared" si="242"/>
        <v>0.31961740841490655</v>
      </c>
      <c r="AI71" s="40">
        <f t="shared" si="242"/>
        <v>0.3097700024749484</v>
      </c>
      <c r="AJ71" s="42">
        <f t="shared" ref="AJ71:AZ71" si="243">AJ70/AJ10</f>
        <v>0.26933104443737199</v>
      </c>
      <c r="AK71" s="40">
        <f t="shared" si="243"/>
        <v>0.29985893060295782</v>
      </c>
      <c r="AL71" s="40">
        <f t="shared" si="243"/>
        <v>0.30903389639439194</v>
      </c>
      <c r="AM71" s="40">
        <f t="shared" si="243"/>
        <v>0.31798924399785883</v>
      </c>
      <c r="AN71" s="42">
        <f t="shared" si="243"/>
        <v>0.29016710227652587</v>
      </c>
      <c r="AO71" s="40">
        <f t="shared" si="243"/>
        <v>0.31733416266399428</v>
      </c>
      <c r="AP71" s="40">
        <f t="shared" si="243"/>
        <v>0.32264837472105878</v>
      </c>
      <c r="AQ71" s="40">
        <f t="shared" si="243"/>
        <v>0.33244457762816432</v>
      </c>
      <c r="AR71" s="42">
        <f t="shared" si="243"/>
        <v>0.31381398108255848</v>
      </c>
      <c r="AS71" s="40">
        <f t="shared" si="243"/>
        <v>0.33712130900746512</v>
      </c>
      <c r="AT71" s="40">
        <f t="shared" si="243"/>
        <v>0.34192375183149665</v>
      </c>
      <c r="AU71" s="40">
        <f t="shared" si="243"/>
        <v>0.35902227598848285</v>
      </c>
      <c r="AV71" s="1209">
        <f t="shared" si="243"/>
        <v>0.27805944408126021</v>
      </c>
      <c r="AW71" s="1207">
        <f t="shared" si="243"/>
        <v>0.30812593256510923</v>
      </c>
      <c r="AX71" s="1207">
        <f t="shared" si="243"/>
        <v>0.34094994083425423</v>
      </c>
      <c r="AY71" s="1207">
        <f t="shared" ref="AY71" si="244">AY70/AY10</f>
        <v>0.38085017979858976</v>
      </c>
      <c r="AZ71" s="1209">
        <f t="shared" si="243"/>
        <v>0.34958844998572813</v>
      </c>
      <c r="BA71" s="1282">
        <f t="shared" ref="BA71:BG71" si="245">BA70/BA21</f>
        <v>0.37863694538366777</v>
      </c>
      <c r="BB71" s="1282">
        <f>BB70/BB21</f>
        <v>0.40515249458682273</v>
      </c>
      <c r="BC71" s="1440">
        <f>BC70/BC21</f>
        <v>0.42631766774593327</v>
      </c>
      <c r="BD71" s="1442">
        <f t="shared" ref="BD71" si="246">BD70/BD10</f>
        <v>0.41692742904102659</v>
      </c>
      <c r="BE71" s="40">
        <f t="shared" si="245"/>
        <v>0.42259294581981377</v>
      </c>
      <c r="BF71" s="40">
        <f t="shared" si="245"/>
        <v>0.41755529376742606</v>
      </c>
      <c r="BG71" s="41">
        <f t="shared" si="245"/>
        <v>0.42173493734604878</v>
      </c>
      <c r="BH71" s="1422">
        <f t="shared" ref="BH71:BO71" si="247">BH70/BH10</f>
        <v>0.40270052147555119</v>
      </c>
      <c r="BI71" s="1420">
        <f t="shared" si="247"/>
        <v>0.41661591635173367</v>
      </c>
      <c r="BJ71" s="1420">
        <f t="shared" si="247"/>
        <v>0.42781309199563777</v>
      </c>
      <c r="BK71" s="1421">
        <f t="shared" si="247"/>
        <v>0.43522557964785374</v>
      </c>
      <c r="BL71" s="1442">
        <f t="shared" si="247"/>
        <v>0.41402864410785573</v>
      </c>
      <c r="BM71" s="1440">
        <f t="shared" si="247"/>
        <v>0.42653382960686492</v>
      </c>
      <c r="BN71" s="1440">
        <f t="shared" si="247"/>
        <v>0.43608503083233857</v>
      </c>
      <c r="BO71" s="1441">
        <f t="shared" si="247"/>
        <v>0.44186422190910241</v>
      </c>
      <c r="BP71" s="253"/>
      <c r="BQ71" s="1283">
        <f t="shared" ref="BQ71:CB71" si="248">BQ70/BQ10</f>
        <v>0.22917999269928768</v>
      </c>
      <c r="BR71" s="1282">
        <f t="shared" si="248"/>
        <v>0.23299823852211696</v>
      </c>
      <c r="BS71" s="1282">
        <f t="shared" si="248"/>
        <v>0.24717523808982844</v>
      </c>
      <c r="BT71" s="1282">
        <f t="shared" si="248"/>
        <v>0.24317838920203444</v>
      </c>
      <c r="BU71" s="1282">
        <f t="shared" si="248"/>
        <v>0.16798434469464599</v>
      </c>
      <c r="BV71" s="1282">
        <f t="shared" si="248"/>
        <v>0.3319051255783535</v>
      </c>
      <c r="BW71" s="1282">
        <f t="shared" si="248"/>
        <v>0.35888712199163475</v>
      </c>
      <c r="BX71" s="1282">
        <f t="shared" si="248"/>
        <v>0.30819520040042314</v>
      </c>
      <c r="BY71" s="1282">
        <f t="shared" si="248"/>
        <v>0.29966446304024513</v>
      </c>
      <c r="BZ71" s="1442">
        <f t="shared" si="248"/>
        <v>0.31702127882383691</v>
      </c>
      <c r="CA71" s="1440">
        <f t="shared" si="248"/>
        <v>0.33933035854643767</v>
      </c>
      <c r="CB71" s="1440">
        <f t="shared" si="248"/>
        <v>0.33103963893238136</v>
      </c>
      <c r="CC71" s="1440">
        <f>CC70/CC21</f>
        <v>0.39472827767783258</v>
      </c>
      <c r="CD71" s="1440">
        <f>CD70/CD21</f>
        <v>0.4196964979254289</v>
      </c>
      <c r="CE71" s="1440">
        <f>CE70/CE21</f>
        <v>0.42113292709611777</v>
      </c>
      <c r="CF71" s="1441">
        <f>CF70/CF21</f>
        <v>0.43003967230866103</v>
      </c>
      <c r="CG71" s="23"/>
      <c r="CH71" s="42">
        <f t="shared" ref="CH71:CT71" si="249">CH70/CH10</f>
        <v>0.2293405466113127</v>
      </c>
      <c r="CI71" s="40">
        <f t="shared" si="249"/>
        <v>0.24909245705180966</v>
      </c>
      <c r="CJ71" s="40">
        <f t="shared" si="249"/>
        <v>0.23672006410138802</v>
      </c>
      <c r="CK71" s="40">
        <f t="shared" si="249"/>
        <v>0.22224811916628739</v>
      </c>
      <c r="CL71" s="40">
        <f t="shared" si="249"/>
        <v>0.20676105695453559</v>
      </c>
      <c r="CM71" s="1440">
        <f t="shared" si="249"/>
        <v>0.34996799472397877</v>
      </c>
      <c r="CN71" s="1440">
        <f t="shared" si="249"/>
        <v>0.34358678061598269</v>
      </c>
      <c r="CO71" s="1440">
        <f t="shared" si="249"/>
        <v>0.30430118218403135</v>
      </c>
      <c r="CP71" s="1440">
        <f t="shared" si="249"/>
        <v>0.30455304639416808</v>
      </c>
      <c r="CQ71" s="1440">
        <f t="shared" si="249"/>
        <v>0.32180596379416992</v>
      </c>
      <c r="CR71" s="1440">
        <f t="shared" si="249"/>
        <v>0.33133471326585157</v>
      </c>
      <c r="CS71" s="1207">
        <f t="shared" si="249"/>
        <v>0.3472711828004893</v>
      </c>
      <c r="CT71" s="1207">
        <f t="shared" si="249"/>
        <v>0.41455113177320652</v>
      </c>
      <c r="CU71" s="1440">
        <f>CU70/CU21</f>
        <v>0.41621616518528887</v>
      </c>
      <c r="CV71" s="1441">
        <f>CV70/CV21</f>
        <v>0.42363356440906363</v>
      </c>
      <c r="CW71" s="17"/>
    </row>
    <row r="72" spans="1:112" ht="14.25" hidden="1" customHeight="1" outlineLevel="1">
      <c r="A72" s="8"/>
      <c r="B72" s="26"/>
      <c r="C72" s="27"/>
      <c r="D72" s="45"/>
      <c r="E72" s="45"/>
      <c r="F72" s="45"/>
      <c r="G72" s="46"/>
      <c r="H72" s="45"/>
      <c r="I72" s="45"/>
      <c r="J72" s="45"/>
      <c r="K72" s="46"/>
      <c r="L72" s="45"/>
      <c r="M72" s="45"/>
      <c r="N72" s="45"/>
      <c r="O72" s="46"/>
      <c r="P72" s="45"/>
      <c r="Q72" s="45"/>
      <c r="R72" s="45"/>
      <c r="S72" s="46"/>
      <c r="T72" s="45"/>
      <c r="U72" s="45"/>
      <c r="V72" s="45"/>
      <c r="W72" s="46"/>
      <c r="X72" s="45"/>
      <c r="Y72" s="45"/>
      <c r="Z72" s="45"/>
      <c r="AA72" s="46"/>
      <c r="AB72" s="45"/>
      <c r="AC72" s="45"/>
      <c r="AD72" s="45"/>
      <c r="AE72" s="45"/>
      <c r="AF72" s="47"/>
      <c r="AG72" s="45"/>
      <c r="AH72" s="45"/>
      <c r="AI72" s="45"/>
      <c r="AJ72" s="47"/>
      <c r="AK72" s="45"/>
      <c r="AL72" s="45"/>
      <c r="AM72" s="45"/>
      <c r="AN72" s="47"/>
      <c r="AO72" s="45"/>
      <c r="AP72" s="45"/>
      <c r="AQ72" s="45"/>
      <c r="AR72" s="47"/>
      <c r="AS72" s="45"/>
      <c r="AT72" s="45"/>
      <c r="AU72" s="45"/>
      <c r="AV72" s="47"/>
      <c r="AW72" s="45"/>
      <c r="AX72" s="45"/>
      <c r="AY72" s="45"/>
      <c r="AZ72" s="47"/>
      <c r="BA72" s="45"/>
      <c r="BB72" s="45"/>
      <c r="BC72" s="45"/>
      <c r="BD72" s="47"/>
      <c r="BE72" s="45"/>
      <c r="BF72" s="45"/>
      <c r="BG72" s="46"/>
      <c r="BH72" s="47"/>
      <c r="BI72" s="45"/>
      <c r="BJ72" s="45"/>
      <c r="BK72" s="46"/>
      <c r="BL72" s="47"/>
      <c r="BM72" s="45"/>
      <c r="BN72" s="45"/>
      <c r="BO72" s="46"/>
      <c r="BP72" s="253"/>
      <c r="BQ72" s="47"/>
      <c r="BR72" s="45"/>
      <c r="BS72" s="45"/>
      <c r="BT72" s="45"/>
      <c r="BU72" s="45"/>
      <c r="BV72" s="45"/>
      <c r="BW72" s="45"/>
      <c r="BX72" s="45"/>
      <c r="BY72" s="45"/>
      <c r="BZ72" s="47"/>
      <c r="CA72" s="45"/>
      <c r="CB72" s="45"/>
      <c r="CC72" s="45"/>
      <c r="CD72" s="45"/>
      <c r="CE72" s="45"/>
      <c r="CF72" s="46"/>
      <c r="CG72" s="23"/>
      <c r="CH72" s="397"/>
      <c r="CI72" s="396"/>
      <c r="CJ72" s="396"/>
      <c r="CK72" s="396"/>
      <c r="CL72" s="396"/>
      <c r="CM72" s="396"/>
      <c r="CN72" s="396"/>
      <c r="CO72" s="396"/>
      <c r="CP72" s="396"/>
      <c r="CQ72" s="396"/>
      <c r="CR72" s="396"/>
      <c r="CS72" s="396"/>
      <c r="CT72" s="396"/>
      <c r="CU72" s="396"/>
      <c r="CV72" s="1023"/>
      <c r="CW72" s="17"/>
    </row>
    <row r="73" spans="1:112" ht="14.25" customHeight="1" collapsed="1">
      <c r="A73" s="675"/>
      <c r="B73" s="676" t="s">
        <v>439</v>
      </c>
      <c r="C73" s="677"/>
      <c r="D73" s="682">
        <f t="shared" ref="D73:AL73" si="250">D74+D75+D76</f>
        <v>13.983000000000001</v>
      </c>
      <c r="E73" s="682">
        <f t="shared" si="250"/>
        <v>16.768000000000001</v>
      </c>
      <c r="F73" s="682">
        <f t="shared" si="250"/>
        <v>19.061999999999998</v>
      </c>
      <c r="G73" s="683">
        <f t="shared" si="250"/>
        <v>21.89</v>
      </c>
      <c r="H73" s="682">
        <f t="shared" si="250"/>
        <v>20.591000000000001</v>
      </c>
      <c r="I73" s="682">
        <f t="shared" si="250"/>
        <v>39.225999999999999</v>
      </c>
      <c r="J73" s="682">
        <f t="shared" si="250"/>
        <v>26.277000000000001</v>
      </c>
      <c r="K73" s="683">
        <f t="shared" si="250"/>
        <v>24.494999999999997</v>
      </c>
      <c r="L73" s="682">
        <f t="shared" si="250"/>
        <v>32.302</v>
      </c>
      <c r="M73" s="682">
        <f t="shared" si="250"/>
        <v>31.091999999999999</v>
      </c>
      <c r="N73" s="682">
        <f t="shared" si="250"/>
        <v>16.449000000000002</v>
      </c>
      <c r="O73" s="683">
        <f t="shared" si="250"/>
        <v>12.891</v>
      </c>
      <c r="P73" s="682">
        <f t="shared" si="250"/>
        <v>12.353</v>
      </c>
      <c r="Q73" s="682">
        <f t="shared" si="250"/>
        <v>10.555</v>
      </c>
      <c r="R73" s="682">
        <f t="shared" si="250"/>
        <v>7.5410000000000004</v>
      </c>
      <c r="S73" s="683">
        <f t="shared" si="250"/>
        <v>10.628</v>
      </c>
      <c r="T73" s="682">
        <f t="shared" si="250"/>
        <v>8.3670000000000009</v>
      </c>
      <c r="U73" s="682">
        <f t="shared" si="250"/>
        <v>4.3239999999999998</v>
      </c>
      <c r="V73" s="682">
        <f t="shared" si="250"/>
        <v>1.0819999999999996</v>
      </c>
      <c r="W73" s="683">
        <f t="shared" si="250"/>
        <v>-1.1459999999999999</v>
      </c>
      <c r="X73" s="682">
        <f t="shared" si="250"/>
        <v>-0.84699999999999964</v>
      </c>
      <c r="Y73" s="682">
        <f t="shared" si="250"/>
        <v>-5.500000000000016E-2</v>
      </c>
      <c r="Z73" s="682">
        <f t="shared" si="250"/>
        <v>0.1760000000000001</v>
      </c>
      <c r="AA73" s="683">
        <f t="shared" si="250"/>
        <v>2.3170000000000002</v>
      </c>
      <c r="AB73" s="682">
        <f t="shared" si="250"/>
        <v>-0.58599999999999997</v>
      </c>
      <c r="AC73" s="682">
        <f t="shared" si="250"/>
        <v>-1.7300000000000002</v>
      </c>
      <c r="AD73" s="682">
        <f t="shared" si="250"/>
        <v>-3.9699999999999998</v>
      </c>
      <c r="AE73" s="682">
        <f t="shared" si="250"/>
        <v>-4.2919999999999998</v>
      </c>
      <c r="AF73" s="684">
        <f t="shared" si="250"/>
        <v>-3.2860000000000005</v>
      </c>
      <c r="AG73" s="682">
        <f t="shared" si="250"/>
        <v>-1.4719999999999995</v>
      </c>
      <c r="AH73" s="682">
        <f t="shared" si="250"/>
        <v>-3.0019999999999998</v>
      </c>
      <c r="AI73" s="682">
        <f t="shared" si="250"/>
        <v>-2.7550000000000012</v>
      </c>
      <c r="AJ73" s="684">
        <f t="shared" si="250"/>
        <v>-3.3799999999999994</v>
      </c>
      <c r="AK73" s="682">
        <f t="shared" si="250"/>
        <v>-3.7210000000000001</v>
      </c>
      <c r="AL73" s="682">
        <f t="shared" si="250"/>
        <v>-13.300999999999998</v>
      </c>
      <c r="AM73" s="682">
        <f>AM74+AM75+AM76</f>
        <v>82.65</v>
      </c>
      <c r="AN73" s="684">
        <f>AN74+AN75+AN76</f>
        <v>-3.718</v>
      </c>
      <c r="AO73" s="682">
        <f>AO74+AO75+AO76</f>
        <v>-3.032</v>
      </c>
      <c r="AP73" s="682">
        <f>AP74+AP75+AP76</f>
        <v>-5.1580000000000004</v>
      </c>
      <c r="AQ73" s="682">
        <f>AQ74+AQ75</f>
        <v>-11.231</v>
      </c>
      <c r="AR73" s="684">
        <f t="shared" ref="AR73:AW73" si="251">AR74+AR75+AR76</f>
        <v>-7.1639999999999997</v>
      </c>
      <c r="AS73" s="682">
        <f t="shared" si="251"/>
        <v>-3.819</v>
      </c>
      <c r="AT73" s="682">
        <f t="shared" si="251"/>
        <v>-5.7909999999999995</v>
      </c>
      <c r="AU73" s="682">
        <f t="shared" si="251"/>
        <v>-3.9529999999999998</v>
      </c>
      <c r="AV73" s="684">
        <f t="shared" si="251"/>
        <v>-12.867999999999999</v>
      </c>
      <c r="AW73" s="682">
        <f t="shared" si="251"/>
        <v>-12.468999999999999</v>
      </c>
      <c r="AX73" s="682">
        <f t="shared" ref="AX73:BC73" si="252">AX74+AX75+AX76</f>
        <v>-12.307</v>
      </c>
      <c r="AY73" s="682">
        <f t="shared" si="252"/>
        <v>-33.546999999999997</v>
      </c>
      <c r="AZ73" s="684">
        <f t="shared" si="252"/>
        <v>-32.958999999999996</v>
      </c>
      <c r="BA73" s="682">
        <f t="shared" si="252"/>
        <v>-59.121000000000002</v>
      </c>
      <c r="BB73" s="682">
        <f t="shared" si="252"/>
        <v>-68.022999999999996</v>
      </c>
      <c r="BC73" s="682">
        <f t="shared" si="252"/>
        <v>-66.546000000000006</v>
      </c>
      <c r="BD73" s="684">
        <f t="shared" ref="BD73" si="253">BD74+BD75+BD76</f>
        <v>-66.494</v>
      </c>
      <c r="BE73" s="682">
        <f t="shared" ref="BE73:BG73" si="254">BE74+BE75+BE76</f>
        <v>-60</v>
      </c>
      <c r="BF73" s="682">
        <f t="shared" si="254"/>
        <v>-57</v>
      </c>
      <c r="BG73" s="683">
        <f t="shared" si="254"/>
        <v>-54</v>
      </c>
      <c r="BH73" s="684">
        <f t="shared" ref="BH73:BK73" si="255">BH74+BH75+BH76</f>
        <v>-52</v>
      </c>
      <c r="BI73" s="682">
        <f t="shared" si="255"/>
        <v>-50</v>
      </c>
      <c r="BJ73" s="682">
        <f t="shared" si="255"/>
        <v>-48</v>
      </c>
      <c r="BK73" s="683">
        <f t="shared" si="255"/>
        <v>-46</v>
      </c>
      <c r="BL73" s="684">
        <f t="shared" ref="BL73:BO73" si="256">BL74+BL75+BL76</f>
        <v>-44</v>
      </c>
      <c r="BM73" s="682">
        <f t="shared" si="256"/>
        <v>-42</v>
      </c>
      <c r="BN73" s="682">
        <f t="shared" si="256"/>
        <v>-40</v>
      </c>
      <c r="BO73" s="683">
        <f t="shared" si="256"/>
        <v>-38</v>
      </c>
      <c r="BP73" s="1073"/>
      <c r="BQ73" s="684">
        <f t="shared" ref="BQ73:CE73" si="257">BQ74+BQ75+BQ76</f>
        <v>71.703000000000003</v>
      </c>
      <c r="BR73" s="682">
        <f t="shared" si="257"/>
        <v>110.58899999999998</v>
      </c>
      <c r="BS73" s="682">
        <f t="shared" si="257"/>
        <v>92.734000000000009</v>
      </c>
      <c r="BT73" s="682">
        <f t="shared" si="257"/>
        <v>41.076999999999998</v>
      </c>
      <c r="BU73" s="682">
        <f t="shared" si="257"/>
        <v>12.627000000000001</v>
      </c>
      <c r="BV73" s="682">
        <f t="shared" si="257"/>
        <v>1.5909999999999997</v>
      </c>
      <c r="BW73" s="682">
        <f t="shared" si="257"/>
        <v>-10.577999999999999</v>
      </c>
      <c r="BX73" s="682">
        <f t="shared" si="257"/>
        <v>-10.515000000000001</v>
      </c>
      <c r="BY73" s="682">
        <f t="shared" si="257"/>
        <v>62.24799999999999</v>
      </c>
      <c r="BZ73" s="684">
        <f t="shared" si="257"/>
        <v>-23.138999999999999</v>
      </c>
      <c r="CA73" s="682">
        <f>CA74+CA75+CA76</f>
        <v>-20.727</v>
      </c>
      <c r="CB73" s="682">
        <f>CB74+CB75+CB76</f>
        <v>-71.190999999999988</v>
      </c>
      <c r="CC73" s="682">
        <f>CC74+CC75+CC76</f>
        <v>-226.64899999999997</v>
      </c>
      <c r="CD73" s="682">
        <f t="shared" si="257"/>
        <v>-237.494</v>
      </c>
      <c r="CE73" s="682">
        <f t="shared" si="257"/>
        <v>-196</v>
      </c>
      <c r="CF73" s="683">
        <f t="shared" ref="CF73" si="258">CF74+CF75+CF76</f>
        <v>-164</v>
      </c>
      <c r="CG73" s="681"/>
      <c r="CH73" s="684">
        <f t="shared" ref="CH73:CP73" si="259">CH74+CH75+CH76</f>
        <v>78.310999999999993</v>
      </c>
      <c r="CI73" s="682">
        <f t="shared" si="259"/>
        <v>122.30000000000001</v>
      </c>
      <c r="CJ73" s="682">
        <f t="shared" si="259"/>
        <v>72.784999999999997</v>
      </c>
      <c r="CK73" s="682">
        <f t="shared" si="259"/>
        <v>37.091000000000001</v>
      </c>
      <c r="CL73" s="682">
        <f t="shared" si="259"/>
        <v>3.4130000000000011</v>
      </c>
      <c r="CM73" s="682">
        <f t="shared" si="259"/>
        <v>1.8520000000000003</v>
      </c>
      <c r="CN73" s="682">
        <f t="shared" si="259"/>
        <v>-13.277999999999997</v>
      </c>
      <c r="CO73" s="682">
        <f t="shared" si="259"/>
        <v>-10.609000000000002</v>
      </c>
      <c r="CP73" s="682">
        <f t="shared" si="259"/>
        <v>61.91</v>
      </c>
      <c r="CQ73" s="682">
        <f t="shared" ref="CQ73:CV73" si="260">CQ74+CQ75+CQ76</f>
        <v>-26.585000000000001</v>
      </c>
      <c r="CR73" s="682">
        <f t="shared" si="260"/>
        <v>-26.430999999999997</v>
      </c>
      <c r="CS73" s="682">
        <f t="shared" si="260"/>
        <v>-91.282000000000011</v>
      </c>
      <c r="CT73" s="682">
        <f t="shared" si="260"/>
        <v>-260.18399999999997</v>
      </c>
      <c r="CU73" s="682">
        <f t="shared" si="260"/>
        <v>-223</v>
      </c>
      <c r="CV73" s="683">
        <f t="shared" si="260"/>
        <v>-188</v>
      </c>
      <c r="CW73" s="799"/>
      <c r="DD73" s="686"/>
      <c r="DE73" s="686"/>
      <c r="DF73" s="686"/>
      <c r="DG73" s="686"/>
      <c r="DH73" s="686"/>
    </row>
    <row r="74" spans="1:112" ht="14.25" hidden="1" customHeight="1" outlineLevel="1">
      <c r="A74" s="8"/>
      <c r="B74" s="99" t="s">
        <v>461</v>
      </c>
      <c r="C74" s="32"/>
      <c r="D74" s="33">
        <v>14.563000000000001</v>
      </c>
      <c r="E74" s="33">
        <v>16.684000000000001</v>
      </c>
      <c r="F74" s="33">
        <v>19.155999999999999</v>
      </c>
      <c r="G74" s="34">
        <v>21.285</v>
      </c>
      <c r="H74" s="33">
        <v>23.257000000000001</v>
      </c>
      <c r="I74" s="33">
        <v>25.895</v>
      </c>
      <c r="J74" s="33">
        <v>26.716000000000001</v>
      </c>
      <c r="K74" s="34">
        <v>24.300999999999998</v>
      </c>
      <c r="L74" s="33">
        <v>24.837</v>
      </c>
      <c r="M74" s="33">
        <v>20.870999999999999</v>
      </c>
      <c r="N74" s="33">
        <v>17.721</v>
      </c>
      <c r="O74" s="34">
        <v>13.577999999999999</v>
      </c>
      <c r="P74" s="33">
        <v>12.526</v>
      </c>
      <c r="Q74" s="33">
        <v>10.669</v>
      </c>
      <c r="R74" s="33">
        <v>8.2050000000000001</v>
      </c>
      <c r="S74" s="34">
        <v>9.641</v>
      </c>
      <c r="T74" s="33">
        <v>7.7960000000000003</v>
      </c>
      <c r="U74" s="33">
        <v>3.5270000000000001</v>
      </c>
      <c r="V74" s="33">
        <v>2.5579999999999998</v>
      </c>
      <c r="W74" s="34">
        <v>1.74</v>
      </c>
      <c r="X74" s="33">
        <v>2.1800000000000002</v>
      </c>
      <c r="Y74" s="33">
        <v>2.0249999999999999</v>
      </c>
      <c r="Z74" s="33">
        <v>3.206</v>
      </c>
      <c r="AA74" s="34">
        <v>2.4260000000000002</v>
      </c>
      <c r="AB74" s="33">
        <v>2.2850000000000001</v>
      </c>
      <c r="AC74" s="33">
        <v>2.1970000000000001</v>
      </c>
      <c r="AD74" s="33">
        <v>2.395</v>
      </c>
      <c r="AE74" s="33">
        <v>2.1829999999999998</v>
      </c>
      <c r="AF74" s="638">
        <v>3.3479999999999999</v>
      </c>
      <c r="AG74" s="33">
        <v>3.9670000000000001</v>
      </c>
      <c r="AH74" s="33">
        <v>3.5059999999999998</v>
      </c>
      <c r="AI74" s="33">
        <f>14.448-SUM(AF74:AH74)</f>
        <v>3.6270000000000007</v>
      </c>
      <c r="AJ74" s="638">
        <v>3.2330000000000001</v>
      </c>
      <c r="AK74" s="33">
        <v>3.044</v>
      </c>
      <c r="AL74" s="33">
        <v>3.125</v>
      </c>
      <c r="AM74" s="33">
        <f>12.753-SUM(AJ74:AL74)</f>
        <v>3.3509999999999991</v>
      </c>
      <c r="AN74" s="638">
        <v>3.2839999999999998</v>
      </c>
      <c r="AO74" s="33">
        <f>AN74</f>
        <v>3.2839999999999998</v>
      </c>
      <c r="AP74" s="33">
        <v>3.4420000000000002</v>
      </c>
      <c r="AQ74" s="1106">
        <v>-11.231</v>
      </c>
      <c r="AR74" s="638">
        <v>0</v>
      </c>
      <c r="AS74" s="33">
        <f>AR74</f>
        <v>0</v>
      </c>
      <c r="AT74" s="33">
        <v>2.2290000000000001</v>
      </c>
      <c r="AU74" s="1106">
        <v>0</v>
      </c>
      <c r="AV74" s="638">
        <v>3.1989999999999998</v>
      </c>
      <c r="AW74" s="33">
        <v>0</v>
      </c>
      <c r="AX74" s="33">
        <v>5.665</v>
      </c>
      <c r="AY74" s="33">
        <v>0</v>
      </c>
      <c r="AZ74" s="638">
        <v>10</v>
      </c>
      <c r="BA74" s="33">
        <v>0</v>
      </c>
      <c r="BB74" s="33">
        <v>0</v>
      </c>
      <c r="BC74" s="33">
        <v>0</v>
      </c>
      <c r="BD74" s="638">
        <v>0</v>
      </c>
      <c r="BE74" s="362">
        <v>0</v>
      </c>
      <c r="BF74" s="362">
        <v>0</v>
      </c>
      <c r="BG74" s="882">
        <v>0</v>
      </c>
      <c r="BH74" s="881">
        <v>0</v>
      </c>
      <c r="BI74" s="362">
        <v>0</v>
      </c>
      <c r="BJ74" s="362">
        <v>0</v>
      </c>
      <c r="BK74" s="882">
        <v>0</v>
      </c>
      <c r="BL74" s="881">
        <v>0</v>
      </c>
      <c r="BM74" s="362">
        <v>0</v>
      </c>
      <c r="BN74" s="362">
        <v>0</v>
      </c>
      <c r="BO74" s="882">
        <v>0</v>
      </c>
      <c r="BP74" s="253"/>
      <c r="BQ74" s="37">
        <f>SUM(D74:G74)</f>
        <v>71.688000000000002</v>
      </c>
      <c r="BR74" s="35">
        <f>SUM(H74:K74)</f>
        <v>100.169</v>
      </c>
      <c r="BS74" s="35">
        <f>SUM(L74:O74)</f>
        <v>77.007000000000005</v>
      </c>
      <c r="BT74" s="35">
        <f>SUM(P74:S74)</f>
        <v>41.040999999999997</v>
      </c>
      <c r="BU74" s="35">
        <f>SUM(T74:W74)</f>
        <v>15.621</v>
      </c>
      <c r="BV74" s="35">
        <f>SUM(X74:AA74)</f>
        <v>9.8369999999999997</v>
      </c>
      <c r="BW74" s="35">
        <f>SUM(AB74:AE74)</f>
        <v>9.06</v>
      </c>
      <c r="BX74" s="35">
        <f>SUM(AF74:AI74)</f>
        <v>14.448</v>
      </c>
      <c r="BY74" s="35">
        <f>SUM(AJ74:AM74)</f>
        <v>12.753</v>
      </c>
      <c r="BZ74" s="37">
        <f>SUM(AN74:AQ74)</f>
        <v>-1.2210000000000001</v>
      </c>
      <c r="CA74" s="35">
        <f>SUM(AR74:AU74)</f>
        <v>2.2290000000000001</v>
      </c>
      <c r="CB74" s="35">
        <f>SUM(AV74:AY74)</f>
        <v>8.8640000000000008</v>
      </c>
      <c r="CC74" s="35">
        <f>SUM(AZ74:BC74)</f>
        <v>10</v>
      </c>
      <c r="CD74" s="35">
        <f>SUM(BD74:BG74)</f>
        <v>0</v>
      </c>
      <c r="CE74" s="35">
        <f t="shared" ref="CE74:CE76" si="261">SUM(BH74:BK74)</f>
        <v>0</v>
      </c>
      <c r="CF74" s="882">
        <f>SUM(BL74:BO74)</f>
        <v>0</v>
      </c>
      <c r="CG74" s="23"/>
      <c r="CH74" s="37">
        <f>SUM(E74:H74)</f>
        <v>80.382000000000005</v>
      </c>
      <c r="CI74" s="35">
        <f>SUM(I74:L74)</f>
        <v>101.74900000000001</v>
      </c>
      <c r="CJ74" s="35">
        <f>SUM(M74:P74)</f>
        <v>64.695999999999998</v>
      </c>
      <c r="CK74" s="35">
        <f>SUM(Q74:T74)</f>
        <v>36.311</v>
      </c>
      <c r="CL74" s="35">
        <f>SUM(U74:X74)</f>
        <v>10.005000000000001</v>
      </c>
      <c r="CM74" s="35">
        <f>SUM(Y74:AB74)</f>
        <v>9.9420000000000002</v>
      </c>
      <c r="CN74" s="35">
        <f>SUM(AC74:AF74)</f>
        <v>10.123000000000001</v>
      </c>
      <c r="CO74" s="35">
        <f>SUM(AG74:AJ74)</f>
        <v>14.333000000000002</v>
      </c>
      <c r="CP74" s="35">
        <f>SUM(AK74:AN74)</f>
        <v>12.803999999999998</v>
      </c>
      <c r="CQ74" s="35">
        <f>SUM(AO74:AR74)</f>
        <v>-4.5049999999999999</v>
      </c>
      <c r="CR74" s="35">
        <f>SUM(AS74:AV74)</f>
        <v>5.4279999999999999</v>
      </c>
      <c r="CS74" s="35">
        <f>SUM(AW74:AZ74)</f>
        <v>15.664999999999999</v>
      </c>
      <c r="CT74" s="35">
        <f>SUM(BA74:BD74)</f>
        <v>0</v>
      </c>
      <c r="CU74" s="35">
        <f>SUM(BE74:BH74)</f>
        <v>0</v>
      </c>
      <c r="CV74" s="36">
        <f>SUM(BI74:BL74)</f>
        <v>0</v>
      </c>
      <c r="CW74" s="17"/>
    </row>
    <row r="75" spans="1:112" ht="14.25" hidden="1" customHeight="1" outlineLevel="1">
      <c r="A75" s="8"/>
      <c r="B75" s="99" t="s">
        <v>462</v>
      </c>
      <c r="C75" s="32"/>
      <c r="D75" s="33">
        <v>-1.2E-2</v>
      </c>
      <c r="E75" s="33">
        <v>-0.01</v>
      </c>
      <c r="F75" s="33">
        <v>0</v>
      </c>
      <c r="G75" s="34">
        <v>-5.0000000000000001E-3</v>
      </c>
      <c r="H75" s="33">
        <v>-0.01</v>
      </c>
      <c r="I75" s="33">
        <v>-2.1000000000000001E-2</v>
      </c>
      <c r="J75" s="33">
        <v>-4.0000000000000001E-3</v>
      </c>
      <c r="K75" s="34">
        <v>-1.7000000000000001E-2</v>
      </c>
      <c r="L75" s="33">
        <v>0</v>
      </c>
      <c r="M75" s="33">
        <v>0</v>
      </c>
      <c r="N75" s="33">
        <v>0</v>
      </c>
      <c r="O75" s="34">
        <v>0</v>
      </c>
      <c r="P75" s="33">
        <v>0</v>
      </c>
      <c r="Q75" s="33">
        <v>0</v>
      </c>
      <c r="R75" s="33">
        <v>0</v>
      </c>
      <c r="S75" s="34">
        <v>0</v>
      </c>
      <c r="T75" s="33">
        <v>0</v>
      </c>
      <c r="U75" s="33">
        <v>0</v>
      </c>
      <c r="V75" s="33">
        <v>-1.3680000000000001</v>
      </c>
      <c r="W75" s="34">
        <v>-2.726</v>
      </c>
      <c r="X75" s="33">
        <v>-2.5379999999999998</v>
      </c>
      <c r="Y75" s="33">
        <v>-2.5680000000000001</v>
      </c>
      <c r="Z75" s="33">
        <v>-2.6139999999999999</v>
      </c>
      <c r="AA75" s="34">
        <v>-2.7090000000000001</v>
      </c>
      <c r="AB75" s="33">
        <v>-2.83</v>
      </c>
      <c r="AC75" s="33">
        <v>-4.0780000000000003</v>
      </c>
      <c r="AD75" s="33">
        <v>-6.1589999999999998</v>
      </c>
      <c r="AE75" s="33">
        <v>-6.0789999999999997</v>
      </c>
      <c r="AF75" s="638">
        <v>-6.6820000000000004</v>
      </c>
      <c r="AG75" s="33">
        <v>-6.89</v>
      </c>
      <c r="AH75" s="33">
        <v>-6.4589999999999996</v>
      </c>
      <c r="AI75" s="33">
        <f>-26.422-SUM(AF75:AH75)</f>
        <v>-6.3910000000000018</v>
      </c>
      <c r="AJ75" s="638">
        <v>-6.4139999999999997</v>
      </c>
      <c r="AK75" s="33">
        <v>-6.3570000000000002</v>
      </c>
      <c r="AL75" s="33">
        <v>-7.6719999999999997</v>
      </c>
      <c r="AM75" s="33">
        <f>-27.102-SUM(AJ75:AL75)</f>
        <v>-6.6589999999999989</v>
      </c>
      <c r="AN75" s="638">
        <v>-6.5709999999999997</v>
      </c>
      <c r="AO75" s="33">
        <f>AN75</f>
        <v>-6.5709999999999997</v>
      </c>
      <c r="AP75" s="33">
        <v>-8.1780000000000008</v>
      </c>
      <c r="AQ75" s="1106">
        <v>0</v>
      </c>
      <c r="AR75" s="638">
        <v>0</v>
      </c>
      <c r="AS75" s="33">
        <f>AR75</f>
        <v>0</v>
      </c>
      <c r="AT75" s="33">
        <v>-6.7549999999999999</v>
      </c>
      <c r="AU75" s="1106">
        <v>0</v>
      </c>
      <c r="AV75" s="638">
        <v>-13.061999999999999</v>
      </c>
      <c r="AW75" s="33">
        <v>-12.468999999999999</v>
      </c>
      <c r="AX75" s="33">
        <v>-18.475999999999999</v>
      </c>
      <c r="AY75" s="33">
        <v>-19.882000000000001</v>
      </c>
      <c r="AZ75" s="638">
        <v>-42.613999999999997</v>
      </c>
      <c r="BA75" s="33">
        <v>-59.121000000000002</v>
      </c>
      <c r="BB75" s="33">
        <v>-68.022999999999996</v>
      </c>
      <c r="BC75" s="33">
        <v>-66.546000000000006</v>
      </c>
      <c r="BD75" s="638">
        <v>-66.494</v>
      </c>
      <c r="BE75" s="1372">
        <v>-60</v>
      </c>
      <c r="BF75" s="1372">
        <f t="shared" ref="BF75:BG75" si="262">BE75+3</f>
        <v>-57</v>
      </c>
      <c r="BG75" s="1372">
        <f t="shared" si="262"/>
        <v>-54</v>
      </c>
      <c r="BH75" s="1374">
        <f t="shared" ref="BH75:BK75" si="263">BG75+2</f>
        <v>-52</v>
      </c>
      <c r="BI75" s="1372">
        <f t="shared" si="263"/>
        <v>-50</v>
      </c>
      <c r="BJ75" s="1372">
        <f t="shared" si="263"/>
        <v>-48</v>
      </c>
      <c r="BK75" s="1373">
        <f t="shared" si="263"/>
        <v>-46</v>
      </c>
      <c r="BL75" s="1374">
        <f t="shared" ref="BL75" si="264">BK75+2</f>
        <v>-44</v>
      </c>
      <c r="BM75" s="1372">
        <f t="shared" ref="BM75" si="265">BL75+2</f>
        <v>-42</v>
      </c>
      <c r="BN75" s="1372">
        <f t="shared" ref="BN75" si="266">BM75+2</f>
        <v>-40</v>
      </c>
      <c r="BO75" s="1373">
        <f t="shared" ref="BO75" si="267">BN75+2</f>
        <v>-38</v>
      </c>
      <c r="BP75" s="253"/>
      <c r="BQ75" s="37">
        <f>SUM(D75:G75)</f>
        <v>-2.7E-2</v>
      </c>
      <c r="BR75" s="35">
        <f>SUM(H75:K75)</f>
        <v>-5.2000000000000005E-2</v>
      </c>
      <c r="BS75" s="35">
        <f>SUM(L75:O75)</f>
        <v>0</v>
      </c>
      <c r="BT75" s="35">
        <f>SUM(P75:S75)</f>
        <v>0</v>
      </c>
      <c r="BU75" s="35">
        <f>SUM(T75:W75)</f>
        <v>-4.0940000000000003</v>
      </c>
      <c r="BV75" s="35">
        <f>SUM(X75:AA75)</f>
        <v>-10.429</v>
      </c>
      <c r="BW75" s="35">
        <f>SUM(AB75:AE75)</f>
        <v>-19.146000000000001</v>
      </c>
      <c r="BX75" s="35">
        <f>SUM(AF75:AI75)</f>
        <v>-26.422000000000001</v>
      </c>
      <c r="BY75" s="35">
        <f>SUM(AJ75:AM75)</f>
        <v>-27.102</v>
      </c>
      <c r="BZ75" s="37">
        <f>SUM(AN75:AQ75)</f>
        <v>-21.32</v>
      </c>
      <c r="CA75" s="35">
        <f>SUM(AR75:AU75)</f>
        <v>-6.7549999999999999</v>
      </c>
      <c r="CB75" s="35">
        <f>SUM(AV75:AY75)</f>
        <v>-63.888999999999996</v>
      </c>
      <c r="CC75" s="35">
        <f>SUM(AZ75:BC75)</f>
        <v>-236.30399999999997</v>
      </c>
      <c r="CD75" s="35">
        <f>SUM(BD75:BG75)</f>
        <v>-237.494</v>
      </c>
      <c r="CE75" s="35">
        <f t="shared" si="261"/>
        <v>-196</v>
      </c>
      <c r="CF75" s="36">
        <f>SUM(BL75:BO75)</f>
        <v>-164</v>
      </c>
      <c r="CG75" s="23"/>
      <c r="CH75" s="37">
        <f>SUM(E75:H75)</f>
        <v>-2.5000000000000001E-2</v>
      </c>
      <c r="CI75" s="35">
        <f>SUM(I75:L75)</f>
        <v>-4.2000000000000003E-2</v>
      </c>
      <c r="CJ75" s="35">
        <f>SUM(M75:P75)</f>
        <v>0</v>
      </c>
      <c r="CK75" s="35">
        <f>SUM(Q75:T75)</f>
        <v>0</v>
      </c>
      <c r="CL75" s="35">
        <f>SUM(U75:X75)</f>
        <v>-6.6319999999999997</v>
      </c>
      <c r="CM75" s="35">
        <f>SUM(Y75:AB75)</f>
        <v>-10.721</v>
      </c>
      <c r="CN75" s="35">
        <f>SUM(AC75:AF75)</f>
        <v>-22.997999999999998</v>
      </c>
      <c r="CO75" s="35">
        <f>SUM(AG75:AJ75)</f>
        <v>-26.154000000000003</v>
      </c>
      <c r="CP75" s="35">
        <f>SUM(AK75:AN75)</f>
        <v>-27.259</v>
      </c>
      <c r="CQ75" s="35">
        <f>SUM(AO75:AR75)</f>
        <v>-14.749000000000001</v>
      </c>
      <c r="CR75" s="35">
        <f>SUM(AS75:AV75)</f>
        <v>-19.817</v>
      </c>
      <c r="CS75" s="35">
        <f>SUM(AW75:AZ75)</f>
        <v>-93.441000000000003</v>
      </c>
      <c r="CT75" s="35">
        <f>SUM(BA75:BD75)</f>
        <v>-260.18399999999997</v>
      </c>
      <c r="CU75" s="35">
        <f>SUM(BE75:BH75)</f>
        <v>-223</v>
      </c>
      <c r="CV75" s="36">
        <f>SUM(BI75:BL75)</f>
        <v>-188</v>
      </c>
      <c r="CW75" s="17"/>
    </row>
    <row r="76" spans="1:112" ht="14.25" hidden="1" customHeight="1" outlineLevel="1">
      <c r="A76" s="675"/>
      <c r="B76" s="851" t="s">
        <v>8</v>
      </c>
      <c r="C76" s="852"/>
      <c r="D76" s="678">
        <v>-0.56799999999999995</v>
      </c>
      <c r="E76" s="678">
        <v>9.4E-2</v>
      </c>
      <c r="F76" s="678">
        <v>-9.4E-2</v>
      </c>
      <c r="G76" s="679">
        <v>0.61</v>
      </c>
      <c r="H76" s="678">
        <v>-2.6560000000000001</v>
      </c>
      <c r="I76" s="678">
        <v>13.352</v>
      </c>
      <c r="J76" s="678">
        <v>-0.435</v>
      </c>
      <c r="K76" s="679">
        <v>0.21099999999999999</v>
      </c>
      <c r="L76" s="678">
        <v>7.4649999999999999</v>
      </c>
      <c r="M76" s="678">
        <v>10.221</v>
      </c>
      <c r="N76" s="678">
        <v>-1.272</v>
      </c>
      <c r="O76" s="679">
        <v>-0.68700000000000006</v>
      </c>
      <c r="P76" s="678">
        <v>-0.17299999999999999</v>
      </c>
      <c r="Q76" s="678">
        <v>-0.114</v>
      </c>
      <c r="R76" s="678">
        <v>-0.66400000000000003</v>
      </c>
      <c r="S76" s="679">
        <v>0.98699999999999999</v>
      </c>
      <c r="T76" s="678">
        <v>0.57099999999999995</v>
      </c>
      <c r="U76" s="678">
        <v>0.79700000000000004</v>
      </c>
      <c r="V76" s="678">
        <v>-0.108</v>
      </c>
      <c r="W76" s="679">
        <v>-0.16</v>
      </c>
      <c r="X76" s="678">
        <v>-0.48899999999999999</v>
      </c>
      <c r="Y76" s="678">
        <v>0.48799999999999999</v>
      </c>
      <c r="Z76" s="678">
        <v>-0.41599999999999998</v>
      </c>
      <c r="AA76" s="679">
        <v>2.6</v>
      </c>
      <c r="AB76" s="678">
        <v>-4.1000000000000002E-2</v>
      </c>
      <c r="AC76" s="678">
        <v>0.151</v>
      </c>
      <c r="AD76" s="678">
        <v>-0.20599999999999999</v>
      </c>
      <c r="AE76" s="678">
        <v>-0.39600000000000002</v>
      </c>
      <c r="AF76" s="680">
        <v>4.8000000000000001E-2</v>
      </c>
      <c r="AG76" s="678">
        <v>1.4510000000000001</v>
      </c>
      <c r="AH76" s="678">
        <v>-4.9000000000000002E-2</v>
      </c>
      <c r="AI76" s="678">
        <f>1.459-SUM(AF76:AH76)</f>
        <v>8.999999999999897E-3</v>
      </c>
      <c r="AJ76" s="680">
        <v>-0.19900000000000001</v>
      </c>
      <c r="AK76" s="678">
        <v>-0.40799999999999997</v>
      </c>
      <c r="AL76" s="678">
        <v>-8.7539999999999996</v>
      </c>
      <c r="AM76" s="678">
        <f>76.597-SUM(AJ76:AL76)</f>
        <v>85.957999999999998</v>
      </c>
      <c r="AN76" s="680">
        <v>-0.43099999999999999</v>
      </c>
      <c r="AO76" s="678">
        <f>-3.032-AO75-AO74</f>
        <v>0.25499999999999989</v>
      </c>
      <c r="AP76" s="678">
        <v>-0.42199999999999999</v>
      </c>
      <c r="AQ76" s="1107">
        <v>0</v>
      </c>
      <c r="AR76" s="680">
        <v>-7.1639999999999997</v>
      </c>
      <c r="AS76" s="678">
        <v>-3.819</v>
      </c>
      <c r="AT76" s="678">
        <v>-1.2649999999999999</v>
      </c>
      <c r="AU76" s="1107">
        <v>-3.9529999999999998</v>
      </c>
      <c r="AV76" s="680">
        <v>-3.0049999999999999</v>
      </c>
      <c r="AW76" s="678">
        <v>0</v>
      </c>
      <c r="AX76" s="678">
        <v>0.504</v>
      </c>
      <c r="AY76" s="678">
        <v>-13.664999999999999</v>
      </c>
      <c r="AZ76" s="680">
        <v>-0.34499999999999997</v>
      </c>
      <c r="BA76" s="678">
        <v>0</v>
      </c>
      <c r="BB76" s="678">
        <v>0</v>
      </c>
      <c r="BC76" s="678">
        <v>0</v>
      </c>
      <c r="BD76" s="680">
        <v>0</v>
      </c>
      <c r="BE76" s="678">
        <v>0</v>
      </c>
      <c r="BF76" s="678">
        <v>0</v>
      </c>
      <c r="BG76" s="679">
        <v>0</v>
      </c>
      <c r="BH76" s="680">
        <v>0</v>
      </c>
      <c r="BI76" s="678">
        <v>0</v>
      </c>
      <c r="BJ76" s="678">
        <v>0</v>
      </c>
      <c r="BK76" s="679">
        <v>0</v>
      </c>
      <c r="BL76" s="680">
        <v>0</v>
      </c>
      <c r="BM76" s="678">
        <v>0</v>
      </c>
      <c r="BN76" s="678">
        <v>0</v>
      </c>
      <c r="BO76" s="679">
        <v>0</v>
      </c>
      <c r="BP76" s="946"/>
      <c r="BQ76" s="684">
        <f>SUM(D76:G76)</f>
        <v>4.2000000000000037E-2</v>
      </c>
      <c r="BR76" s="682">
        <f>SUM(H76:K76)</f>
        <v>10.472</v>
      </c>
      <c r="BS76" s="682">
        <f>SUM(L76:O76)</f>
        <v>15.727000000000002</v>
      </c>
      <c r="BT76" s="682">
        <f>SUM(P76:S76)</f>
        <v>3.5999999999999921E-2</v>
      </c>
      <c r="BU76" s="682">
        <f>SUM(T76:W76)</f>
        <v>1.0999999999999999</v>
      </c>
      <c r="BV76" s="682">
        <f>SUM(X76:AA76)</f>
        <v>2.1830000000000003</v>
      </c>
      <c r="BW76" s="682">
        <f>SUM(AB76:AE76)</f>
        <v>-0.49199999999999999</v>
      </c>
      <c r="BX76" s="682">
        <f>SUM(AF76:AI76)</f>
        <v>1.4590000000000001</v>
      </c>
      <c r="BY76" s="682">
        <f>SUM(AJ76:AM76)</f>
        <v>76.596999999999994</v>
      </c>
      <c r="BZ76" s="684">
        <f>SUM(AN76:AQ76)</f>
        <v>-0.59800000000000009</v>
      </c>
      <c r="CA76" s="682">
        <f>SUM(AR76:AU76)</f>
        <v>-16.201000000000001</v>
      </c>
      <c r="CB76" s="682">
        <f>SUM(AV76:AY76)</f>
        <v>-16.166</v>
      </c>
      <c r="CC76" s="682">
        <f>SUM(AZ76:BC76)</f>
        <v>-0.34499999999999997</v>
      </c>
      <c r="CD76" s="682">
        <f>SUM(BD76:BG76)</f>
        <v>0</v>
      </c>
      <c r="CE76" s="682">
        <f t="shared" si="261"/>
        <v>0</v>
      </c>
      <c r="CF76" s="1223">
        <f>SUM(BL76:BO76)</f>
        <v>0</v>
      </c>
      <c r="CG76" s="681"/>
      <c r="CH76" s="684">
        <f>SUM(E76:H76)</f>
        <v>-2.0460000000000003</v>
      </c>
      <c r="CI76" s="682">
        <f>SUM(I76:L76)</f>
        <v>20.593</v>
      </c>
      <c r="CJ76" s="682">
        <f>SUM(M76:P76)</f>
        <v>8.0890000000000004</v>
      </c>
      <c r="CK76" s="682">
        <f>SUM(Q76:T76)</f>
        <v>0.77999999999999992</v>
      </c>
      <c r="CL76" s="682">
        <f>SUM(U76:X76)</f>
        <v>4.0000000000000036E-2</v>
      </c>
      <c r="CM76" s="682">
        <f>SUM(Y76:AB76)</f>
        <v>2.6310000000000002</v>
      </c>
      <c r="CN76" s="682">
        <f>SUM(AC76:AF76)</f>
        <v>-0.40300000000000002</v>
      </c>
      <c r="CO76" s="682">
        <f>SUM(AG76:AJ76)</f>
        <v>1.212</v>
      </c>
      <c r="CP76" s="682">
        <f>SUM(AK76:AN76)</f>
        <v>76.364999999999995</v>
      </c>
      <c r="CQ76" s="682">
        <f>SUM(AO76:AR76)</f>
        <v>-7.3309999999999995</v>
      </c>
      <c r="CR76" s="682">
        <f>SUM(AS76:AV76)</f>
        <v>-12.041999999999998</v>
      </c>
      <c r="CS76" s="682">
        <f>SUM(AW76:AZ76)</f>
        <v>-13.506</v>
      </c>
      <c r="CT76" s="682">
        <f>SUM(BA76:BD76)</f>
        <v>0</v>
      </c>
      <c r="CU76" s="682">
        <f>SUM(BE76:BH76)</f>
        <v>0</v>
      </c>
      <c r="CV76" s="683">
        <f>SUM(BI76:BL76)</f>
        <v>0</v>
      </c>
      <c r="CW76" s="799"/>
      <c r="DD76" s="686"/>
      <c r="DE76" s="686"/>
      <c r="DF76" s="686"/>
      <c r="DG76" s="686"/>
      <c r="DH76" s="686"/>
    </row>
    <row r="77" spans="1:112" ht="14.25" hidden="1" customHeight="1" outlineLevel="1">
      <c r="A77" s="8"/>
      <c r="B77" s="26" t="s">
        <v>9</v>
      </c>
      <c r="C77" s="27"/>
      <c r="D77" s="35">
        <f>SUM(D74:D75)</f>
        <v>14.551</v>
      </c>
      <c r="E77" s="35">
        <f t="shared" ref="E77:CO77" si="268">SUM(E74:E75)</f>
        <v>16.673999999999999</v>
      </c>
      <c r="F77" s="35">
        <f>SUM(F74:F75)</f>
        <v>19.155999999999999</v>
      </c>
      <c r="G77" s="36">
        <f>SUM(G74:G75)</f>
        <v>21.28</v>
      </c>
      <c r="H77" s="35">
        <f>SUM(H74:H75)</f>
        <v>23.247</v>
      </c>
      <c r="I77" s="35">
        <f>SUM(I74:I75)</f>
        <v>25.873999999999999</v>
      </c>
      <c r="J77" s="35">
        <f t="shared" si="268"/>
        <v>26.712</v>
      </c>
      <c r="K77" s="36">
        <f t="shared" si="268"/>
        <v>24.283999999999999</v>
      </c>
      <c r="L77" s="35">
        <f t="shared" si="268"/>
        <v>24.837</v>
      </c>
      <c r="M77" s="35">
        <f t="shared" si="268"/>
        <v>20.870999999999999</v>
      </c>
      <c r="N77" s="35">
        <f t="shared" si="268"/>
        <v>17.721</v>
      </c>
      <c r="O77" s="36">
        <f t="shared" si="268"/>
        <v>13.577999999999999</v>
      </c>
      <c r="P77" s="35">
        <f t="shared" si="268"/>
        <v>12.526</v>
      </c>
      <c r="Q77" s="35">
        <f t="shared" si="268"/>
        <v>10.669</v>
      </c>
      <c r="R77" s="35">
        <f t="shared" si="268"/>
        <v>8.2050000000000001</v>
      </c>
      <c r="S77" s="36">
        <f t="shared" si="268"/>
        <v>9.641</v>
      </c>
      <c r="T77" s="35">
        <f t="shared" si="268"/>
        <v>7.7960000000000003</v>
      </c>
      <c r="U77" s="35">
        <f t="shared" si="268"/>
        <v>3.5270000000000001</v>
      </c>
      <c r="V77" s="35">
        <f t="shared" si="268"/>
        <v>1.1899999999999997</v>
      </c>
      <c r="W77" s="36">
        <f t="shared" si="268"/>
        <v>-0.98599999999999999</v>
      </c>
      <c r="X77" s="35">
        <f t="shared" si="268"/>
        <v>-0.35799999999999965</v>
      </c>
      <c r="Y77" s="35">
        <f t="shared" si="268"/>
        <v>-0.54300000000000015</v>
      </c>
      <c r="Z77" s="35">
        <f t="shared" si="268"/>
        <v>0.59200000000000008</v>
      </c>
      <c r="AA77" s="36">
        <f t="shared" si="268"/>
        <v>-0.28299999999999992</v>
      </c>
      <c r="AB77" s="35">
        <f t="shared" si="268"/>
        <v>-0.54499999999999993</v>
      </c>
      <c r="AC77" s="35">
        <f t="shared" si="268"/>
        <v>-1.8810000000000002</v>
      </c>
      <c r="AD77" s="35">
        <f t="shared" si="268"/>
        <v>-3.7639999999999998</v>
      </c>
      <c r="AE77" s="35">
        <f t="shared" si="268"/>
        <v>-3.8959999999999999</v>
      </c>
      <c r="AF77" s="37">
        <f t="shared" si="268"/>
        <v>-3.3340000000000005</v>
      </c>
      <c r="AG77" s="35">
        <f t="shared" si="268"/>
        <v>-2.9229999999999996</v>
      </c>
      <c r="AH77" s="35">
        <f>SUM(AH74:AH75)</f>
        <v>-2.9529999999999998</v>
      </c>
      <c r="AI77" s="35">
        <f t="shared" si="268"/>
        <v>-2.7640000000000011</v>
      </c>
      <c r="AJ77" s="37">
        <f t="shared" si="268"/>
        <v>-3.1809999999999996</v>
      </c>
      <c r="AK77" s="35">
        <f t="shared" si="268"/>
        <v>-3.3130000000000002</v>
      </c>
      <c r="AL77" s="35">
        <f>SUM(AL74:AL75)</f>
        <v>-4.5469999999999997</v>
      </c>
      <c r="AM77" s="35">
        <f>SUM(AM74:AM75)</f>
        <v>-3.3079999999999998</v>
      </c>
      <c r="AN77" s="37">
        <f>SUM(AN74:AN75)</f>
        <v>-3.2869999999999999</v>
      </c>
      <c r="AO77" s="35">
        <f>SUM(AO74:AO75)</f>
        <v>-3.2869999999999999</v>
      </c>
      <c r="AP77" s="35">
        <f>SUM(AP75:AP76)</f>
        <v>-8.6000000000000014</v>
      </c>
      <c r="AQ77" s="1108">
        <f>SUM(AQ74:AQ76)</f>
        <v>-11.231</v>
      </c>
      <c r="AR77" s="37">
        <f>SUM(AR74:AR75)</f>
        <v>0</v>
      </c>
      <c r="AS77" s="35">
        <f>SUM(AS74:AS75)</f>
        <v>0</v>
      </c>
      <c r="AT77" s="35">
        <f>SUM(AT74:AT76)</f>
        <v>-5.7909999999999995</v>
      </c>
      <c r="AU77" s="1108">
        <f>SUM(AU74:AU75)</f>
        <v>0</v>
      </c>
      <c r="AV77" s="37">
        <f>SUM(AV74:AV75)</f>
        <v>-9.8629999999999995</v>
      </c>
      <c r="AW77" s="35">
        <f>SUM(AW74:AW75)</f>
        <v>-12.468999999999999</v>
      </c>
      <c r="AX77" s="35">
        <f>SUM(AX74:AX76)</f>
        <v>-12.307</v>
      </c>
      <c r="AY77" s="1108">
        <f>SUM(AY74:AY75)</f>
        <v>-19.882000000000001</v>
      </c>
      <c r="AZ77" s="37">
        <f>SUM(AZ74:AZ76)</f>
        <v>-32.958999999999996</v>
      </c>
      <c r="BA77" s="35">
        <f>SUM(BA74:BA75)</f>
        <v>-59.121000000000002</v>
      </c>
      <c r="BB77" s="35">
        <f>SUM(BB74:BB76)</f>
        <v>-68.022999999999996</v>
      </c>
      <c r="BC77" s="35">
        <f>SUM(BC74:BC76)</f>
        <v>-66.546000000000006</v>
      </c>
      <c r="BD77" s="37">
        <f>SUM(BD74:BD76)</f>
        <v>-66.494</v>
      </c>
      <c r="BE77" s="35">
        <f t="shared" ref="BE77:BG77" si="269">SUM(BE74:BE75)</f>
        <v>-60</v>
      </c>
      <c r="BF77" s="35">
        <f t="shared" si="269"/>
        <v>-57</v>
      </c>
      <c r="BG77" s="36">
        <f t="shared" si="269"/>
        <v>-54</v>
      </c>
      <c r="BH77" s="37">
        <f t="shared" ref="BH77:BK77" si="270">SUM(BH74:BH75)</f>
        <v>-52</v>
      </c>
      <c r="BI77" s="35">
        <f t="shared" si="270"/>
        <v>-50</v>
      </c>
      <c r="BJ77" s="35">
        <f t="shared" si="270"/>
        <v>-48</v>
      </c>
      <c r="BK77" s="36">
        <f t="shared" si="270"/>
        <v>-46</v>
      </c>
      <c r="BL77" s="37">
        <f t="shared" ref="BL77:BO77" si="271">SUM(BL74:BL75)</f>
        <v>-44</v>
      </c>
      <c r="BM77" s="35">
        <f t="shared" si="271"/>
        <v>-42</v>
      </c>
      <c r="BN77" s="35">
        <f t="shared" si="271"/>
        <v>-40</v>
      </c>
      <c r="BO77" s="36">
        <f t="shared" si="271"/>
        <v>-38</v>
      </c>
      <c r="BP77" s="253"/>
      <c r="BQ77" s="37">
        <f t="shared" si="268"/>
        <v>71.661000000000001</v>
      </c>
      <c r="BR77" s="35">
        <f t="shared" si="268"/>
        <v>100.11699999999999</v>
      </c>
      <c r="BS77" s="35">
        <f t="shared" si="268"/>
        <v>77.007000000000005</v>
      </c>
      <c r="BT77" s="35">
        <f t="shared" si="268"/>
        <v>41.040999999999997</v>
      </c>
      <c r="BU77" s="35">
        <f t="shared" si="268"/>
        <v>11.527000000000001</v>
      </c>
      <c r="BV77" s="35">
        <f t="shared" si="268"/>
        <v>-0.59200000000000053</v>
      </c>
      <c r="BW77" s="35">
        <f t="shared" si="268"/>
        <v>-10.086</v>
      </c>
      <c r="BX77" s="35">
        <f t="shared" si="268"/>
        <v>-11.974</v>
      </c>
      <c r="BY77" s="35">
        <f t="shared" si="268"/>
        <v>-14.349</v>
      </c>
      <c r="BZ77" s="37">
        <f t="shared" si="268"/>
        <v>-22.541</v>
      </c>
      <c r="CA77" s="35">
        <f>SUM(CA74:CA75)</f>
        <v>-4.5259999999999998</v>
      </c>
      <c r="CB77" s="35">
        <f>SUM(CB74:CB75)</f>
        <v>-55.024999999999991</v>
      </c>
      <c r="CC77" s="35">
        <f>SUM(CC74:CC76)</f>
        <v>-226.64899999999997</v>
      </c>
      <c r="CD77" s="35">
        <f t="shared" si="268"/>
        <v>-237.494</v>
      </c>
      <c r="CE77" s="35">
        <f t="shared" si="268"/>
        <v>-196</v>
      </c>
      <c r="CF77" s="36">
        <f t="shared" ref="CF77" si="272">SUM(CF74:CF75)</f>
        <v>-164</v>
      </c>
      <c r="CG77" s="23"/>
      <c r="CH77" s="37">
        <f t="shared" si="268"/>
        <v>80.356999999999999</v>
      </c>
      <c r="CI77" s="35">
        <f t="shared" si="268"/>
        <v>101.70700000000001</v>
      </c>
      <c r="CJ77" s="35">
        <f t="shared" si="268"/>
        <v>64.695999999999998</v>
      </c>
      <c r="CK77" s="35">
        <f t="shared" si="268"/>
        <v>36.311</v>
      </c>
      <c r="CL77" s="35">
        <f t="shared" si="268"/>
        <v>3.3730000000000011</v>
      </c>
      <c r="CM77" s="35">
        <f t="shared" si="268"/>
        <v>-0.77899999999999991</v>
      </c>
      <c r="CN77" s="35">
        <f t="shared" si="268"/>
        <v>-12.874999999999996</v>
      </c>
      <c r="CO77" s="35">
        <f t="shared" si="268"/>
        <v>-11.821000000000002</v>
      </c>
      <c r="CP77" s="35">
        <f t="shared" ref="CP77:CU77" si="273">SUM(CP74:CP75)</f>
        <v>-14.455000000000002</v>
      </c>
      <c r="CQ77" s="35">
        <f t="shared" si="273"/>
        <v>-19.254000000000001</v>
      </c>
      <c r="CR77" s="35">
        <f t="shared" si="273"/>
        <v>-14.388999999999999</v>
      </c>
      <c r="CS77" s="35">
        <f t="shared" si="273"/>
        <v>-77.77600000000001</v>
      </c>
      <c r="CT77" s="35">
        <f t="shared" si="273"/>
        <v>-260.18399999999997</v>
      </c>
      <c r="CU77" s="35">
        <f t="shared" si="273"/>
        <v>-223</v>
      </c>
      <c r="CV77" s="36">
        <f t="shared" ref="CV77" si="274">SUM(CV74:CV75)</f>
        <v>-188</v>
      </c>
      <c r="CW77" s="17"/>
    </row>
    <row r="78" spans="1:112" ht="14.25" hidden="1" customHeight="1" outlineLevel="1">
      <c r="A78" s="8"/>
      <c r="B78" s="38"/>
      <c r="C78" s="39"/>
      <c r="D78" s="40"/>
      <c r="E78" s="40"/>
      <c r="F78" s="40"/>
      <c r="G78" s="41"/>
      <c r="H78" s="40"/>
      <c r="I78" s="40"/>
      <c r="J78" s="40"/>
      <c r="K78" s="41"/>
      <c r="L78" s="40"/>
      <c r="M78" s="40"/>
      <c r="N78" s="40"/>
      <c r="O78" s="41"/>
      <c r="P78" s="40"/>
      <c r="Q78" s="40"/>
      <c r="R78" s="40"/>
      <c r="S78" s="41"/>
      <c r="T78" s="40"/>
      <c r="U78" s="40"/>
      <c r="V78" s="40"/>
      <c r="W78" s="41"/>
      <c r="X78" s="40"/>
      <c r="Y78" s="40"/>
      <c r="Z78" s="40"/>
      <c r="AA78" s="41"/>
      <c r="AB78" s="40"/>
      <c r="AC78" s="40"/>
      <c r="AD78" s="40"/>
      <c r="AE78" s="40"/>
      <c r="AF78" s="42"/>
      <c r="AG78" s="40"/>
      <c r="AH78" s="40"/>
      <c r="AI78" s="40"/>
      <c r="AJ78" s="42"/>
      <c r="AK78" s="40"/>
      <c r="AL78" s="40"/>
      <c r="AM78" s="40"/>
      <c r="AN78" s="42"/>
      <c r="AO78" s="40"/>
      <c r="AP78" s="40"/>
      <c r="AQ78" s="40"/>
      <c r="AR78" s="42"/>
      <c r="AS78" s="40"/>
      <c r="AT78" s="40"/>
      <c r="AU78" s="1440"/>
      <c r="AV78" s="1209"/>
      <c r="AW78" s="1207"/>
      <c r="AX78" s="1207"/>
      <c r="AY78" s="1207"/>
      <c r="AZ78" s="1209"/>
      <c r="BA78" s="1282"/>
      <c r="BB78" s="1282"/>
      <c r="BC78" s="1440"/>
      <c r="BD78" s="1442"/>
      <c r="BE78" s="40"/>
      <c r="BF78" s="40"/>
      <c r="BG78" s="41"/>
      <c r="BH78" s="1422"/>
      <c r="BI78" s="1420"/>
      <c r="BJ78" s="1420"/>
      <c r="BK78" s="1421"/>
      <c r="BL78" s="1442"/>
      <c r="BM78" s="1440"/>
      <c r="BN78" s="1440"/>
      <c r="BO78" s="1441"/>
      <c r="BP78" s="253"/>
      <c r="BQ78" s="1283"/>
      <c r="BR78" s="1282"/>
      <c r="BS78" s="1282"/>
      <c r="BT78" s="1282"/>
      <c r="BU78" s="1282"/>
      <c r="BV78" s="1282"/>
      <c r="BW78" s="1282"/>
      <c r="BX78" s="1282"/>
      <c r="BY78" s="1282"/>
      <c r="BZ78" s="1442"/>
      <c r="CA78" s="1440"/>
      <c r="CB78" s="1440"/>
      <c r="CC78" s="1440"/>
      <c r="CD78" s="1440"/>
      <c r="CE78" s="1440"/>
      <c r="CF78" s="1441"/>
      <c r="CG78" s="23"/>
      <c r="CH78" s="42"/>
      <c r="CI78" s="40"/>
      <c r="CJ78" s="40"/>
      <c r="CK78" s="40"/>
      <c r="CL78" s="40"/>
      <c r="CM78" s="1440"/>
      <c r="CN78" s="1440"/>
      <c r="CO78" s="1440"/>
      <c r="CP78" s="1440"/>
      <c r="CQ78" s="1440"/>
      <c r="CR78" s="1440"/>
      <c r="CS78" s="1207"/>
      <c r="CT78" s="1207"/>
      <c r="CU78" s="1440"/>
      <c r="CV78" s="1441"/>
      <c r="CW78" s="17"/>
    </row>
    <row r="79" spans="1:112" ht="14.25" customHeight="1" collapsed="1">
      <c r="A79" s="8"/>
      <c r="B79" s="51" t="s">
        <v>440</v>
      </c>
      <c r="C79" s="52"/>
      <c r="D79" s="54">
        <f t="shared" ref="D79:AI79" si="275">D67+D73</f>
        <v>138.63599999999991</v>
      </c>
      <c r="E79" s="54">
        <f t="shared" si="275"/>
        <v>150.71200000000002</v>
      </c>
      <c r="F79" s="54">
        <f t="shared" si="275"/>
        <v>153.67600000000004</v>
      </c>
      <c r="G79" s="55">
        <f t="shared" si="275"/>
        <v>144.66600000000005</v>
      </c>
      <c r="H79" s="54">
        <f t="shared" si="275"/>
        <v>139.13099999999997</v>
      </c>
      <c r="I79" s="54">
        <f t="shared" si="275"/>
        <v>178.845</v>
      </c>
      <c r="J79" s="54">
        <f t="shared" si="275"/>
        <v>167.31599999999997</v>
      </c>
      <c r="K79" s="55">
        <f t="shared" si="275"/>
        <v>147.69200000000001</v>
      </c>
      <c r="L79" s="54">
        <f t="shared" si="275"/>
        <v>201.71299999999997</v>
      </c>
      <c r="M79" s="54">
        <f t="shared" si="275"/>
        <v>165.29799999999994</v>
      </c>
      <c r="N79" s="54">
        <f t="shared" si="275"/>
        <v>161.94200000000009</v>
      </c>
      <c r="O79" s="55">
        <f t="shared" si="275"/>
        <v>132.50400000000005</v>
      </c>
      <c r="P79" s="54">
        <f t="shared" si="275"/>
        <v>158.26600000000002</v>
      </c>
      <c r="Q79" s="54">
        <f t="shared" si="275"/>
        <v>167.74000000000007</v>
      </c>
      <c r="R79" s="54">
        <f t="shared" si="275"/>
        <v>168.73099999999999</v>
      </c>
      <c r="S79" s="55">
        <f t="shared" si="275"/>
        <v>171.36500000000007</v>
      </c>
      <c r="T79" s="54">
        <f t="shared" si="275"/>
        <v>27.958000000000009</v>
      </c>
      <c r="U79" s="54">
        <f t="shared" si="275"/>
        <v>62.233000000000018</v>
      </c>
      <c r="V79" s="54">
        <f t="shared" si="275"/>
        <v>80.026999999999987</v>
      </c>
      <c r="W79" s="55">
        <f t="shared" si="275"/>
        <v>127.22600000000004</v>
      </c>
      <c r="X79" s="54">
        <f t="shared" si="275"/>
        <v>148.26699999999994</v>
      </c>
      <c r="Y79" s="54">
        <f t="shared" si="275"/>
        <v>214.01999999999998</v>
      </c>
      <c r="Z79" s="54">
        <f t="shared" si="275"/>
        <v>251.321</v>
      </c>
      <c r="AA79" s="55">
        <f t="shared" si="275"/>
        <v>288.05700000000007</v>
      </c>
      <c r="AB79" s="54">
        <f t="shared" si="275"/>
        <v>258.82</v>
      </c>
      <c r="AC79" s="54">
        <f t="shared" si="275"/>
        <v>296.75599999999991</v>
      </c>
      <c r="AD79" s="54">
        <f t="shared" si="275"/>
        <v>274.87100000000004</v>
      </c>
      <c r="AE79" s="54">
        <f t="shared" si="275"/>
        <v>231</v>
      </c>
      <c r="AF79" s="53">
        <f t="shared" si="275"/>
        <v>180.08599999999998</v>
      </c>
      <c r="AG79" s="54">
        <f t="shared" si="275"/>
        <v>211.45400000000004</v>
      </c>
      <c r="AH79" s="54">
        <f t="shared" si="275"/>
        <v>209.46899999999994</v>
      </c>
      <c r="AI79" s="54">
        <f t="shared" si="275"/>
        <v>212.52400000000006</v>
      </c>
      <c r="AJ79" s="53">
        <f t="shared" ref="AJ79:BG79" si="276">AJ67+AJ73</f>
        <v>150.10900000000001</v>
      </c>
      <c r="AK79" s="54">
        <f t="shared" si="276"/>
        <v>187.66099999999997</v>
      </c>
      <c r="AL79" s="54">
        <f t="shared" si="276"/>
        <v>195.04100000000003</v>
      </c>
      <c r="AM79" s="54">
        <f t="shared" si="276"/>
        <v>282.51200000000006</v>
      </c>
      <c r="AN79" s="53">
        <f t="shared" si="276"/>
        <v>175.89100000000008</v>
      </c>
      <c r="AO79" s="54">
        <f t="shared" si="276"/>
        <v>217.36799999999991</v>
      </c>
      <c r="AP79" s="54">
        <f t="shared" si="276"/>
        <v>197.38799999999995</v>
      </c>
      <c r="AQ79" s="54">
        <f t="shared" si="276"/>
        <v>138.69799999999998</v>
      </c>
      <c r="AR79" s="53">
        <f t="shared" si="276"/>
        <v>200.76999999999998</v>
      </c>
      <c r="AS79" s="54">
        <f t="shared" si="276"/>
        <v>245.18900000000005</v>
      </c>
      <c r="AT79" s="54">
        <f t="shared" si="276"/>
        <v>259.47800000000007</v>
      </c>
      <c r="AU79" s="54">
        <f t="shared" ref="AU79" si="277">AU67+AU73</f>
        <v>104.67700000000011</v>
      </c>
      <c r="AV79" s="53">
        <f t="shared" si="276"/>
        <v>182.17699999999996</v>
      </c>
      <c r="AW79" s="54">
        <f t="shared" si="276"/>
        <v>194.90999999999991</v>
      </c>
      <c r="AX79" s="54">
        <f t="shared" si="276"/>
        <v>256.39999999999992</v>
      </c>
      <c r="AY79" s="54">
        <f t="shared" ref="AY79" si="278">AY67+AY73</f>
        <v>323.43400000000008</v>
      </c>
      <c r="AZ79" s="53">
        <f t="shared" si="276"/>
        <v>233.30899999999991</v>
      </c>
      <c r="BA79" s="54">
        <f>BA67+BA73</f>
        <v>86.71399999999997</v>
      </c>
      <c r="BB79" s="54">
        <f t="shared" ref="BB79:BD79" si="279">BB67+BB73</f>
        <v>126.79800000000003</v>
      </c>
      <c r="BC79" s="54">
        <f t="shared" si="279"/>
        <v>381.66400000000016</v>
      </c>
      <c r="BD79" s="53">
        <f t="shared" si="279"/>
        <v>338.85400000000004</v>
      </c>
      <c r="BE79" s="54">
        <f t="shared" si="276"/>
        <v>392.37002875604321</v>
      </c>
      <c r="BF79" s="54">
        <f t="shared" si="276"/>
        <v>574.9656486466713</v>
      </c>
      <c r="BG79" s="55">
        <f t="shared" si="276"/>
        <v>605.36206493108853</v>
      </c>
      <c r="BH79" s="53">
        <f t="shared" ref="BH79:BK79" si="280">BH67+BH73</f>
        <v>544.83682381569702</v>
      </c>
      <c r="BI79" s="54">
        <f t="shared" si="280"/>
        <v>595.69019553758619</v>
      </c>
      <c r="BJ79" s="54">
        <f t="shared" si="280"/>
        <v>639.35832712266222</v>
      </c>
      <c r="BK79" s="55">
        <f t="shared" si="280"/>
        <v>682.41621555199686</v>
      </c>
      <c r="BL79" s="53">
        <f t="shared" ref="BL79:BO79" si="281">BL67+BL73</f>
        <v>612.92911070520063</v>
      </c>
      <c r="BM79" s="54">
        <f t="shared" si="281"/>
        <v>663.40962213371324</v>
      </c>
      <c r="BN79" s="54">
        <f t="shared" si="281"/>
        <v>703.96222051530765</v>
      </c>
      <c r="BO79" s="55">
        <f t="shared" si="281"/>
        <v>742.58565874108911</v>
      </c>
      <c r="BP79" s="253"/>
      <c r="BQ79" s="53">
        <f t="shared" ref="BQ79:CE79" si="282">BQ67+BQ73</f>
        <v>587.68999999999994</v>
      </c>
      <c r="BR79" s="54">
        <f t="shared" si="282"/>
        <v>632.9839999999997</v>
      </c>
      <c r="BS79" s="54">
        <f t="shared" si="282"/>
        <v>661.45700000000011</v>
      </c>
      <c r="BT79" s="54">
        <f t="shared" si="282"/>
        <v>666.10200000000009</v>
      </c>
      <c r="BU79" s="54">
        <f t="shared" si="282"/>
        <v>297.44399999999979</v>
      </c>
      <c r="BV79" s="54">
        <f t="shared" si="282"/>
        <v>901.66499999999985</v>
      </c>
      <c r="BW79" s="54">
        <f t="shared" si="282"/>
        <v>1061.4470000000001</v>
      </c>
      <c r="BX79" s="54">
        <f t="shared" si="282"/>
        <v>813.53299999999967</v>
      </c>
      <c r="BY79" s="54">
        <f t="shared" si="282"/>
        <v>815.32300000000032</v>
      </c>
      <c r="BZ79" s="53">
        <f t="shared" si="282"/>
        <v>729.34499999999969</v>
      </c>
      <c r="CA79" s="54">
        <f t="shared" si="282"/>
        <v>810.11399999999969</v>
      </c>
      <c r="CB79" s="54">
        <f t="shared" si="282"/>
        <v>956.92100000000028</v>
      </c>
      <c r="CC79" s="54">
        <f t="shared" si="282"/>
        <v>828.48500000000024</v>
      </c>
      <c r="CD79" s="54">
        <f t="shared" si="282"/>
        <v>1911.5517423338031</v>
      </c>
      <c r="CE79" s="54">
        <f t="shared" si="282"/>
        <v>2462.3015620279411</v>
      </c>
      <c r="CF79" s="55">
        <f t="shared" ref="CF79" si="283">CF67+CF73</f>
        <v>2722.8866120953098</v>
      </c>
      <c r="CG79" s="23"/>
      <c r="CH79" s="53">
        <f t="shared" ref="CH79:CT79" si="284">CH67+CH73</f>
        <v>588.18500000000017</v>
      </c>
      <c r="CI79" s="54">
        <f t="shared" si="284"/>
        <v>695.5659999999998</v>
      </c>
      <c r="CJ79" s="54">
        <f t="shared" si="284"/>
        <v>618.01000000000045</v>
      </c>
      <c r="CK79" s="54">
        <f t="shared" si="284"/>
        <v>535.79399999999987</v>
      </c>
      <c r="CL79" s="54">
        <f t="shared" si="284"/>
        <v>417.75300000000004</v>
      </c>
      <c r="CM79" s="54">
        <f t="shared" si="284"/>
        <v>1012.218</v>
      </c>
      <c r="CN79" s="54">
        <f t="shared" si="284"/>
        <v>982.71299999999985</v>
      </c>
      <c r="CO79" s="54">
        <f t="shared" si="284"/>
        <v>783.55599999999993</v>
      </c>
      <c r="CP79" s="54">
        <f t="shared" si="284"/>
        <v>841.10500000000013</v>
      </c>
      <c r="CQ79" s="54">
        <f t="shared" si="284"/>
        <v>754.22399999999948</v>
      </c>
      <c r="CR79" s="54">
        <f t="shared" si="284"/>
        <v>791.52099999999973</v>
      </c>
      <c r="CS79" s="54">
        <f t="shared" si="284"/>
        <v>1008.053</v>
      </c>
      <c r="CT79" s="54">
        <f t="shared" si="284"/>
        <v>934.02999999999952</v>
      </c>
      <c r="CU79" s="54">
        <f t="shared" ref="CU79:CV79" si="285">CU67+CU73</f>
        <v>2117.5345661495012</v>
      </c>
      <c r="CV79" s="55">
        <f t="shared" si="285"/>
        <v>2530.3938489174448</v>
      </c>
      <c r="CW79" s="17"/>
    </row>
    <row r="80" spans="1:112" ht="14.25" hidden="1" customHeight="1" outlineLevel="1">
      <c r="A80" s="8"/>
      <c r="B80" s="38" t="s">
        <v>458</v>
      </c>
      <c r="C80" s="39"/>
      <c r="D80" s="40">
        <f t="shared" ref="D80:AI80" si="286">D79/D10</f>
        <v>0.2388068956963908</v>
      </c>
      <c r="E80" s="40">
        <f t="shared" si="286"/>
        <v>0.24963642447070364</v>
      </c>
      <c r="F80" s="40">
        <f t="shared" si="286"/>
        <v>0.26385950935413865</v>
      </c>
      <c r="G80" s="41">
        <f t="shared" si="286"/>
        <v>0.23253339334222758</v>
      </c>
      <c r="H80" s="40">
        <f t="shared" si="286"/>
        <v>0.24995418827004123</v>
      </c>
      <c r="I80" s="40">
        <f t="shared" si="286"/>
        <v>0.30960575015493702</v>
      </c>
      <c r="J80" s="40">
        <f t="shared" si="286"/>
        <v>0.27936518537688987</v>
      </c>
      <c r="K80" s="41">
        <f t="shared" si="286"/>
        <v>0.24222763086248861</v>
      </c>
      <c r="L80" s="40">
        <f t="shared" si="286"/>
        <v>0.32208889208242514</v>
      </c>
      <c r="M80" s="40">
        <f t="shared" si="286"/>
        <v>0.27665724380442619</v>
      </c>
      <c r="N80" s="40">
        <f t="shared" si="286"/>
        <v>0.26228355881062027</v>
      </c>
      <c r="O80" s="41">
        <f t="shared" si="286"/>
        <v>0.2125021249571</v>
      </c>
      <c r="P80" s="40">
        <f t="shared" si="286"/>
        <v>0.25780042318975616</v>
      </c>
      <c r="Q80" s="40">
        <f t="shared" si="286"/>
        <v>0.25832383651091889</v>
      </c>
      <c r="R80" s="40">
        <f t="shared" si="286"/>
        <v>0.25604641069764761</v>
      </c>
      <c r="S80" s="41">
        <f t="shared" si="286"/>
        <v>0.25937042149490847</v>
      </c>
      <c r="T80" s="40">
        <f t="shared" si="286"/>
        <v>5.8665167058705052E-2</v>
      </c>
      <c r="U80" s="40">
        <f t="shared" si="286"/>
        <v>0.13108638688314647</v>
      </c>
      <c r="V80" s="40">
        <f t="shared" si="286"/>
        <v>0.16265947954332496</v>
      </c>
      <c r="W80" s="41">
        <f t="shared" si="286"/>
        <v>0.22257872638208545</v>
      </c>
      <c r="X80" s="40">
        <f t="shared" si="286"/>
        <v>0.24588918758903644</v>
      </c>
      <c r="Y80" s="40">
        <f t="shared" si="286"/>
        <v>0.32027415299892253</v>
      </c>
      <c r="Z80" s="40">
        <f t="shared" si="286"/>
        <v>0.34891640866873064</v>
      </c>
      <c r="AA80" s="41">
        <f t="shared" si="286"/>
        <v>0.37410485850465597</v>
      </c>
      <c r="AB80" s="40">
        <f t="shared" si="286"/>
        <v>0.35527601770203043</v>
      </c>
      <c r="AC80" s="40">
        <f t="shared" si="286"/>
        <v>0.37526998659551319</v>
      </c>
      <c r="AD80" s="40">
        <f t="shared" si="286"/>
        <v>0.3626735382674805</v>
      </c>
      <c r="AE80" s="40">
        <f t="shared" si="286"/>
        <v>0.32256532995221565</v>
      </c>
      <c r="AF80" s="42">
        <f t="shared" si="286"/>
        <v>0.27788562134870642</v>
      </c>
      <c r="AG80" s="40">
        <f t="shared" si="286"/>
        <v>0.31322156618189467</v>
      </c>
      <c r="AH80" s="40">
        <f t="shared" si="286"/>
        <v>0.30667793026912588</v>
      </c>
      <c r="AI80" s="40">
        <f t="shared" si="286"/>
        <v>0.3058057683563466</v>
      </c>
      <c r="AJ80" s="42">
        <f t="shared" ref="AJ80:BK80" si="287">AJ79/AJ10</f>
        <v>0.24128081731588372</v>
      </c>
      <c r="AK80" s="40">
        <f t="shared" si="287"/>
        <v>0.28465832385286305</v>
      </c>
      <c r="AL80" s="40">
        <f t="shared" si="287"/>
        <v>0.28930450982835243</v>
      </c>
      <c r="AM80" s="40">
        <f t="shared" si="287"/>
        <v>0.41660264284439785</v>
      </c>
      <c r="AN80" s="42">
        <f t="shared" si="287"/>
        <v>0.2799751049761397</v>
      </c>
      <c r="AO80" s="40">
        <f t="shared" si="287"/>
        <v>0.31296865821210124</v>
      </c>
      <c r="AP80" s="40">
        <f t="shared" si="287"/>
        <v>0.27122975958843115</v>
      </c>
      <c r="AQ80" s="40">
        <f t="shared" si="287"/>
        <v>0.17033897576533899</v>
      </c>
      <c r="AR80" s="42">
        <f t="shared" si="287"/>
        <v>0.26006948312534162</v>
      </c>
      <c r="AS80" s="40">
        <f t="shared" si="287"/>
        <v>0.29863986095327882</v>
      </c>
      <c r="AT80" s="40">
        <f t="shared" si="287"/>
        <v>0.30054264418872673</v>
      </c>
      <c r="AU80" s="1440">
        <f t="shared" ref="AU80" si="288">AU79/AU10</f>
        <v>0.10695274041045374</v>
      </c>
      <c r="AV80" s="1209">
        <f t="shared" si="287"/>
        <v>0.23676908460689677</v>
      </c>
      <c r="AW80" s="1207">
        <f t="shared" si="287"/>
        <v>0.25028057208455418</v>
      </c>
      <c r="AX80" s="1207">
        <f t="shared" si="287"/>
        <v>0.29485125766021025</v>
      </c>
      <c r="AY80" s="1440">
        <f t="shared" ref="AY80" si="289">AY79/AY10</f>
        <v>0.32226642872871591</v>
      </c>
      <c r="AZ80" s="1442">
        <f t="shared" si="287"/>
        <v>0.23699450149271312</v>
      </c>
      <c r="BA80" s="1282">
        <f t="shared" si="287"/>
        <v>7.553602756837649E-2</v>
      </c>
      <c r="BB80" s="1282">
        <f t="shared" ref="BB80:BD80" si="290">BB79/BB10</f>
        <v>8.8428637382471059E-2</v>
      </c>
      <c r="BC80" s="1440">
        <f t="shared" si="290"/>
        <v>0.24764561988619047</v>
      </c>
      <c r="BD80" s="1442">
        <f t="shared" si="290"/>
        <v>0.22313225656910468</v>
      </c>
      <c r="BE80" s="40">
        <f t="shared" si="287"/>
        <v>0.26685034460926876</v>
      </c>
      <c r="BF80" s="40">
        <f t="shared" si="287"/>
        <v>0.37989398765733695</v>
      </c>
      <c r="BG80" s="41">
        <f t="shared" si="287"/>
        <v>0.38719596729009514</v>
      </c>
      <c r="BH80" s="1422">
        <f t="shared" si="287"/>
        <v>0.36761483929050714</v>
      </c>
      <c r="BI80" s="1420">
        <f t="shared" si="287"/>
        <v>0.38435463073589204</v>
      </c>
      <c r="BJ80" s="1420">
        <f t="shared" si="287"/>
        <v>0.39793780336452172</v>
      </c>
      <c r="BK80" s="1421">
        <f t="shared" si="287"/>
        <v>0.40774077599252906</v>
      </c>
      <c r="BL80" s="1442">
        <f t="shared" ref="BL80:BO80" si="291">BL79/BL10</f>
        <v>0.3862977062579715</v>
      </c>
      <c r="BM80" s="1440">
        <f t="shared" si="291"/>
        <v>0.40113805914756634</v>
      </c>
      <c r="BN80" s="1440">
        <f t="shared" si="291"/>
        <v>0.4126384084739998</v>
      </c>
      <c r="BO80" s="1441">
        <f t="shared" si="291"/>
        <v>0.42035365449792839</v>
      </c>
      <c r="BP80" s="253"/>
      <c r="BQ80" s="1283">
        <f t="shared" ref="BQ80:CE80" si="292">BQ79/BQ10</f>
        <v>0.24601809772907657</v>
      </c>
      <c r="BR80" s="1282">
        <f t="shared" si="292"/>
        <v>0.27016896444136557</v>
      </c>
      <c r="BS80" s="1282">
        <f t="shared" si="292"/>
        <v>0.26836992909136576</v>
      </c>
      <c r="BT80" s="1282">
        <f t="shared" si="292"/>
        <v>0.25788609916408922</v>
      </c>
      <c r="BU80" s="1282">
        <f t="shared" si="292"/>
        <v>0.14762162838204018</v>
      </c>
      <c r="BV80" s="1282">
        <f t="shared" si="292"/>
        <v>0.32651241008972287</v>
      </c>
      <c r="BW80" s="1282">
        <f t="shared" si="292"/>
        <v>0.35460525436638918</v>
      </c>
      <c r="BX80" s="1282">
        <f t="shared" si="292"/>
        <v>0.30118113005536168</v>
      </c>
      <c r="BY80" s="1282">
        <f t="shared" si="292"/>
        <v>0.30957451696081056</v>
      </c>
      <c r="BZ80" s="1442">
        <f t="shared" si="292"/>
        <v>0.25459085239912543</v>
      </c>
      <c r="CA80" s="1440">
        <f t="shared" si="292"/>
        <v>0.23583473164619748</v>
      </c>
      <c r="CB80" s="1440">
        <f t="shared" si="292"/>
        <v>0.2796862345308615</v>
      </c>
      <c r="CC80" s="1440">
        <f t="shared" si="292"/>
        <v>0.16220940056227087</v>
      </c>
      <c r="CD80" s="1440">
        <f t="shared" si="292"/>
        <v>0.3151286967197498</v>
      </c>
      <c r="CE80" s="1440">
        <f t="shared" si="292"/>
        <v>0.39008225365488858</v>
      </c>
      <c r="CF80" s="1441">
        <f t="shared" ref="CF80" si="293">CF79/CF10</f>
        <v>0.40560971861282391</v>
      </c>
      <c r="CG80" s="23"/>
      <c r="CH80" s="42">
        <f t="shared" ref="CH80:CU80" si="294">CH79/CH10</f>
        <v>0.2487147437225623</v>
      </c>
      <c r="CI80" s="40">
        <f t="shared" si="294"/>
        <v>0.28831058154871292</v>
      </c>
      <c r="CJ80" s="40">
        <f t="shared" si="294"/>
        <v>0.25200571693039187</v>
      </c>
      <c r="CK80" s="40">
        <f t="shared" si="294"/>
        <v>0.21908569339681078</v>
      </c>
      <c r="CL80" s="40">
        <f t="shared" si="294"/>
        <v>0.19509116330939485</v>
      </c>
      <c r="CM80" s="1440">
        <f t="shared" si="294"/>
        <v>0.35060948575418838</v>
      </c>
      <c r="CN80" s="1440">
        <f t="shared" si="294"/>
        <v>0.33736886662450899</v>
      </c>
      <c r="CO80" s="1440">
        <f t="shared" si="294"/>
        <v>0.29289426132748808</v>
      </c>
      <c r="CP80" s="1440">
        <f t="shared" si="294"/>
        <v>0.31862536191284702</v>
      </c>
      <c r="CQ80" s="1440">
        <f t="shared" si="294"/>
        <v>0.25069593996518541</v>
      </c>
      <c r="CR80" s="1440">
        <f t="shared" si="294"/>
        <v>0.23059371572321907</v>
      </c>
      <c r="CS80" s="1207">
        <f t="shared" si="294"/>
        <v>0.27720959215758095</v>
      </c>
      <c r="CT80" s="1207">
        <f t="shared" si="294"/>
        <v>0.16555889932037943</v>
      </c>
      <c r="CU80" s="1440">
        <f t="shared" si="294"/>
        <v>0.35120142541903315</v>
      </c>
      <c r="CV80" s="1441">
        <f t="shared" ref="CV80" si="295">CV79/CV10</f>
        <v>0.39433570893436098</v>
      </c>
      <c r="CW80" s="17"/>
    </row>
    <row r="81" spans="1:112" ht="14.25" hidden="1" customHeight="1" outlineLevel="1">
      <c r="A81" s="8"/>
      <c r="B81" s="51"/>
      <c r="C81" s="52"/>
      <c r="D81" s="54"/>
      <c r="E81" s="54"/>
      <c r="F81" s="54"/>
      <c r="G81" s="55"/>
      <c r="H81" s="54"/>
      <c r="I81" s="54"/>
      <c r="J81" s="54"/>
      <c r="K81" s="55"/>
      <c r="L81" s="54"/>
      <c r="M81" s="54"/>
      <c r="N81" s="54"/>
      <c r="O81" s="55"/>
      <c r="P81" s="54"/>
      <c r="Q81" s="54"/>
      <c r="R81" s="54"/>
      <c r="S81" s="55"/>
      <c r="T81" s="54"/>
      <c r="U81" s="54"/>
      <c r="V81" s="54"/>
      <c r="W81" s="55"/>
      <c r="X81" s="54"/>
      <c r="Y81" s="54"/>
      <c r="Z81" s="54"/>
      <c r="AA81" s="55"/>
      <c r="AB81" s="54"/>
      <c r="AC81" s="54"/>
      <c r="AD81" s="54"/>
      <c r="AE81" s="54"/>
      <c r="AF81" s="53"/>
      <c r="AG81" s="54"/>
      <c r="AH81" s="54"/>
      <c r="AI81" s="54"/>
      <c r="AJ81" s="53"/>
      <c r="AK81" s="54"/>
      <c r="AL81" s="54"/>
      <c r="AM81" s="54"/>
      <c r="AN81" s="53"/>
      <c r="AO81" s="54"/>
      <c r="AP81" s="54"/>
      <c r="AQ81" s="54"/>
      <c r="AR81" s="53"/>
      <c r="AS81" s="54"/>
      <c r="AT81" s="54"/>
      <c r="AU81" s="54"/>
      <c r="AV81" s="53"/>
      <c r="AW81" s="54"/>
      <c r="AX81" s="54"/>
      <c r="AY81" s="54"/>
      <c r="AZ81" s="53"/>
      <c r="BA81" s="54"/>
      <c r="BB81" s="54"/>
      <c r="BC81" s="54"/>
      <c r="BD81" s="53"/>
      <c r="BE81" s="54"/>
      <c r="BF81" s="54"/>
      <c r="BG81" s="55"/>
      <c r="BH81" s="53"/>
      <c r="BI81" s="54"/>
      <c r="BJ81" s="54"/>
      <c r="BK81" s="55"/>
      <c r="BL81" s="53"/>
      <c r="BM81" s="54"/>
      <c r="BN81" s="54"/>
      <c r="BO81" s="55"/>
      <c r="BP81" s="253"/>
      <c r="BQ81" s="53"/>
      <c r="BR81" s="54"/>
      <c r="BS81" s="54"/>
      <c r="BT81" s="54"/>
      <c r="BU81" s="54"/>
      <c r="BV81" s="54"/>
      <c r="BW81" s="54"/>
      <c r="BX81" s="54"/>
      <c r="BY81" s="54"/>
      <c r="BZ81" s="53"/>
      <c r="CA81" s="54"/>
      <c r="CB81" s="54"/>
      <c r="CC81" s="54"/>
      <c r="CD81" s="54"/>
      <c r="CE81" s="54"/>
      <c r="CF81" s="55"/>
      <c r="CG81" s="23"/>
      <c r="CH81" s="53"/>
      <c r="CI81" s="54"/>
      <c r="CJ81" s="54"/>
      <c r="CK81" s="54"/>
      <c r="CL81" s="54"/>
      <c r="CM81" s="54"/>
      <c r="CN81" s="54"/>
      <c r="CO81" s="54"/>
      <c r="CP81" s="54"/>
      <c r="CQ81" s="54"/>
      <c r="CR81" s="54"/>
      <c r="CS81" s="54"/>
      <c r="CT81" s="54"/>
      <c r="CU81" s="54"/>
      <c r="CV81" s="55"/>
      <c r="CW81" s="17"/>
    </row>
    <row r="82" spans="1:112" ht="14.25" hidden="1" customHeight="1" outlineLevel="1">
      <c r="A82" s="8"/>
      <c r="B82" s="51" t="s">
        <v>10</v>
      </c>
      <c r="C82" s="52"/>
      <c r="D82" s="54">
        <f t="shared" ref="D82:AI82" si="296">D70+D77</f>
        <v>139.20399999999989</v>
      </c>
      <c r="E82" s="54">
        <f t="shared" si="296"/>
        <v>150.61800000000002</v>
      </c>
      <c r="F82" s="54">
        <f t="shared" si="296"/>
        <v>153.77000000000007</v>
      </c>
      <c r="G82" s="55">
        <f t="shared" si="296"/>
        <v>175.53600000000003</v>
      </c>
      <c r="H82" s="54">
        <f t="shared" si="296"/>
        <v>142.79999999999995</v>
      </c>
      <c r="I82" s="54">
        <f t="shared" si="296"/>
        <v>165.49299999999999</v>
      </c>
      <c r="J82" s="54">
        <f t="shared" si="296"/>
        <v>173.25099999999995</v>
      </c>
      <c r="K82" s="55">
        <f t="shared" si="296"/>
        <v>164.46899999999999</v>
      </c>
      <c r="L82" s="54">
        <f t="shared" si="296"/>
        <v>199.44399999999996</v>
      </c>
      <c r="M82" s="54">
        <f t="shared" si="296"/>
        <v>165.19299999999996</v>
      </c>
      <c r="N82" s="54">
        <f t="shared" si="296"/>
        <v>163.21400000000008</v>
      </c>
      <c r="O82" s="55">
        <f t="shared" si="296"/>
        <v>158.37400000000005</v>
      </c>
      <c r="P82" s="54">
        <f t="shared" si="296"/>
        <v>158.43900000000002</v>
      </c>
      <c r="Q82" s="54">
        <f t="shared" si="296"/>
        <v>167.85400000000007</v>
      </c>
      <c r="R82" s="54">
        <f t="shared" si="296"/>
        <v>169.39500000000001</v>
      </c>
      <c r="S82" s="55">
        <f t="shared" si="296"/>
        <v>173.46600000000004</v>
      </c>
      <c r="T82" s="54">
        <f t="shared" si="296"/>
        <v>69.124000000000009</v>
      </c>
      <c r="U82" s="54">
        <f t="shared" si="296"/>
        <v>73.355000000000032</v>
      </c>
      <c r="V82" s="54">
        <f t="shared" si="296"/>
        <v>80.134999999999991</v>
      </c>
      <c r="W82" s="55">
        <f t="shared" si="296"/>
        <v>127.38600000000004</v>
      </c>
      <c r="X82" s="54">
        <f t="shared" si="296"/>
        <v>165.23899999999995</v>
      </c>
      <c r="Y82" s="54">
        <f t="shared" si="296"/>
        <v>213.53199999999998</v>
      </c>
      <c r="Z82" s="54">
        <f t="shared" si="296"/>
        <v>251.73700000000002</v>
      </c>
      <c r="AA82" s="55">
        <f t="shared" si="296"/>
        <v>285.45700000000005</v>
      </c>
      <c r="AB82" s="54">
        <f t="shared" si="296"/>
        <v>258.86099999999999</v>
      </c>
      <c r="AC82" s="54">
        <f t="shared" si="296"/>
        <v>296.6049999999999</v>
      </c>
      <c r="AD82" s="54">
        <f t="shared" si="296"/>
        <v>275.07700000000006</v>
      </c>
      <c r="AE82" s="54">
        <f t="shared" si="296"/>
        <v>233.63500000000002</v>
      </c>
      <c r="AF82" s="53">
        <f t="shared" si="296"/>
        <v>182.63299999999998</v>
      </c>
      <c r="AG82" s="54">
        <f t="shared" si="296"/>
        <v>210.00300000000004</v>
      </c>
      <c r="AH82" s="54">
        <f t="shared" si="296"/>
        <v>215.35399999999996</v>
      </c>
      <c r="AI82" s="54">
        <f t="shared" si="296"/>
        <v>212.51500000000004</v>
      </c>
      <c r="AJ82" s="53">
        <f t="shared" ref="AJ82:BG82" si="297">AJ70+AJ77</f>
        <v>164.37899999999999</v>
      </c>
      <c r="AK82" s="54">
        <f t="shared" si="297"/>
        <v>194.36899999999997</v>
      </c>
      <c r="AL82" s="54">
        <f t="shared" si="297"/>
        <v>203.79500000000002</v>
      </c>
      <c r="AM82" s="54">
        <f t="shared" si="297"/>
        <v>212.33100000000002</v>
      </c>
      <c r="AN82" s="53">
        <f t="shared" si="297"/>
        <v>179.00700000000006</v>
      </c>
      <c r="AO82" s="54">
        <f t="shared" si="297"/>
        <v>217.11299999999991</v>
      </c>
      <c r="AP82" s="54">
        <f t="shared" si="297"/>
        <v>226.20799999999997</v>
      </c>
      <c r="AQ82" s="54">
        <f t="shared" si="297"/>
        <v>259.4609999999999</v>
      </c>
      <c r="AR82" s="53">
        <f t="shared" si="297"/>
        <v>242.26</v>
      </c>
      <c r="AS82" s="54">
        <f t="shared" si="297"/>
        <v>276.78300000000002</v>
      </c>
      <c r="AT82" s="54">
        <f t="shared" si="297"/>
        <v>289.4140000000001</v>
      </c>
      <c r="AU82" s="54">
        <f t="shared" ref="AU82" si="298">AU70+AU77</f>
        <v>351.38299999999992</v>
      </c>
      <c r="AV82" s="53">
        <f t="shared" si="297"/>
        <v>204.08399999999995</v>
      </c>
      <c r="AW82" s="54">
        <f t="shared" si="297"/>
        <v>227.48899999999986</v>
      </c>
      <c r="AX82" s="54">
        <f t="shared" si="297"/>
        <v>284.17999999999995</v>
      </c>
      <c r="AY82" s="54">
        <f t="shared" ref="AY82" si="299">AY70+AY77</f>
        <v>362.34800000000007</v>
      </c>
      <c r="AZ82" s="53">
        <f>AZ70+AZ77</f>
        <v>311.19300000000004</v>
      </c>
      <c r="BA82" s="54">
        <f t="shared" si="297"/>
        <v>398.553</v>
      </c>
      <c r="BB82" s="54">
        <f t="shared" ref="BB82:BC82" si="300">BB70+BB77</f>
        <v>522.88300000000004</v>
      </c>
      <c r="BC82" s="54">
        <f t="shared" si="300"/>
        <v>590.48199999999997</v>
      </c>
      <c r="BD82" s="53">
        <f>BD70+BD77</f>
        <v>566.66199999999992</v>
      </c>
      <c r="BE82" s="54">
        <f t="shared" si="297"/>
        <v>561.3700287560431</v>
      </c>
      <c r="BF82" s="54">
        <f t="shared" si="297"/>
        <v>574.9656486466713</v>
      </c>
      <c r="BG82" s="55">
        <f t="shared" si="297"/>
        <v>605.36206493108853</v>
      </c>
      <c r="BH82" s="53">
        <f t="shared" ref="BH82:BK82" si="301">BH70+BH77</f>
        <v>544.83682381569702</v>
      </c>
      <c r="BI82" s="54">
        <f t="shared" si="301"/>
        <v>595.69019553758619</v>
      </c>
      <c r="BJ82" s="54">
        <f t="shared" si="301"/>
        <v>639.35832712266222</v>
      </c>
      <c r="BK82" s="55">
        <f t="shared" si="301"/>
        <v>682.41621555199686</v>
      </c>
      <c r="BL82" s="53">
        <f t="shared" ref="BL82:BO82" si="302">BL70+BL77</f>
        <v>612.92911070520063</v>
      </c>
      <c r="BM82" s="54">
        <f t="shared" si="302"/>
        <v>663.40962213371324</v>
      </c>
      <c r="BN82" s="54">
        <f t="shared" si="302"/>
        <v>703.96222051530765</v>
      </c>
      <c r="BO82" s="55">
        <f t="shared" si="302"/>
        <v>742.58565874108911</v>
      </c>
      <c r="BP82" s="253"/>
      <c r="BQ82" s="53">
        <f t="shared" ref="BQ82:CE82" si="303">BQ70+BQ77</f>
        <v>619.12799999999993</v>
      </c>
      <c r="BR82" s="54">
        <f t="shared" si="303"/>
        <v>646.01299999999969</v>
      </c>
      <c r="BS82" s="54">
        <f t="shared" si="303"/>
        <v>686.22500000000014</v>
      </c>
      <c r="BT82" s="54">
        <f t="shared" si="303"/>
        <v>669.154</v>
      </c>
      <c r="BU82" s="54">
        <f t="shared" si="303"/>
        <v>349.99999999999972</v>
      </c>
      <c r="BV82" s="54">
        <f t="shared" si="303"/>
        <v>915.9649999999998</v>
      </c>
      <c r="BW82" s="54">
        <f t="shared" si="303"/>
        <v>1064.1780000000001</v>
      </c>
      <c r="BX82" s="54">
        <f t="shared" si="303"/>
        <v>820.50499999999965</v>
      </c>
      <c r="BY82" s="54">
        <f t="shared" si="303"/>
        <v>774.87400000000025</v>
      </c>
      <c r="BZ82" s="53">
        <f t="shared" si="303"/>
        <v>885.65299999999957</v>
      </c>
      <c r="CA82" s="54">
        <f t="shared" si="303"/>
        <v>1161.1049999999996</v>
      </c>
      <c r="CB82" s="54">
        <f t="shared" si="303"/>
        <v>1077.597</v>
      </c>
      <c r="CC82" s="54">
        <f t="shared" si="303"/>
        <v>1823.1110000000008</v>
      </c>
      <c r="CD82" s="54">
        <f t="shared" si="303"/>
        <v>2308.3597423338028</v>
      </c>
      <c r="CE82" s="54">
        <f t="shared" si="303"/>
        <v>2462.3015620279411</v>
      </c>
      <c r="CF82" s="55">
        <f t="shared" ref="CF82" si="304">CF70+CF77</f>
        <v>2722.8866120953098</v>
      </c>
      <c r="CG82" s="23"/>
      <c r="CH82" s="53">
        <f t="shared" ref="CH82:CT82" si="305">CH70+CH77</f>
        <v>622.72400000000016</v>
      </c>
      <c r="CI82" s="54">
        <f t="shared" si="305"/>
        <v>702.65699999999981</v>
      </c>
      <c r="CJ82" s="54">
        <f t="shared" si="305"/>
        <v>645.22000000000048</v>
      </c>
      <c r="CK82" s="54">
        <f t="shared" si="305"/>
        <v>579.83899999999994</v>
      </c>
      <c r="CL82" s="54">
        <f t="shared" si="305"/>
        <v>446.11500000000007</v>
      </c>
      <c r="CM82" s="54">
        <f t="shared" si="305"/>
        <v>1009.587</v>
      </c>
      <c r="CN82" s="54">
        <f t="shared" si="305"/>
        <v>987.94999999999982</v>
      </c>
      <c r="CO82" s="54">
        <f t="shared" si="305"/>
        <v>802.25099999999998</v>
      </c>
      <c r="CP82" s="54">
        <f t="shared" si="305"/>
        <v>789.50200000000007</v>
      </c>
      <c r="CQ82" s="54">
        <f t="shared" si="305"/>
        <v>948.90599999999972</v>
      </c>
      <c r="CR82" s="54">
        <f t="shared" si="305"/>
        <v>1122.9289999999999</v>
      </c>
      <c r="CS82" s="54">
        <f t="shared" si="305"/>
        <v>1185.0510000000004</v>
      </c>
      <c r="CT82" s="54">
        <f t="shared" si="305"/>
        <v>2078.58</v>
      </c>
      <c r="CU82" s="54">
        <f t="shared" ref="CU82:CV82" si="306">CU70+CU77</f>
        <v>2286.5345661495012</v>
      </c>
      <c r="CV82" s="55">
        <f t="shared" si="306"/>
        <v>2530.3938489174448</v>
      </c>
      <c r="CW82" s="17"/>
    </row>
    <row r="83" spans="1:112" ht="14.25" hidden="1" customHeight="1" outlineLevel="1">
      <c r="A83" s="8"/>
      <c r="B83" s="38" t="s">
        <v>459</v>
      </c>
      <c r="C83" s="39"/>
      <c r="D83" s="40">
        <f t="shared" ref="D83:AI83" si="307">D82/D10</f>
        <v>0.23978530185897154</v>
      </c>
      <c r="E83" s="40">
        <f t="shared" si="307"/>
        <v>0.24948072469961544</v>
      </c>
      <c r="F83" s="40">
        <f t="shared" si="307"/>
        <v>0.26402090601906553</v>
      </c>
      <c r="G83" s="41">
        <f t="shared" si="307"/>
        <v>0.28215324771350042</v>
      </c>
      <c r="H83" s="40">
        <f t="shared" si="307"/>
        <v>0.25654568776880698</v>
      </c>
      <c r="I83" s="40">
        <f t="shared" si="307"/>
        <v>0.28649156761660094</v>
      </c>
      <c r="J83" s="40">
        <f t="shared" si="307"/>
        <v>0.28927477187914807</v>
      </c>
      <c r="K83" s="41">
        <f t="shared" si="307"/>
        <v>0.26974335929043303</v>
      </c>
      <c r="L83" s="40">
        <f t="shared" si="307"/>
        <v>0.31846582516985616</v>
      </c>
      <c r="M83" s="40">
        <f t="shared" si="307"/>
        <v>0.27648150658679821</v>
      </c>
      <c r="N83" s="40">
        <f t="shared" si="307"/>
        <v>0.26434370804187041</v>
      </c>
      <c r="O83" s="41">
        <f t="shared" si="307"/>
        <v>0.25399090999483603</v>
      </c>
      <c r="P83" s="40">
        <f t="shared" si="307"/>
        <v>0.25808222391266461</v>
      </c>
      <c r="Q83" s="40">
        <f t="shared" si="307"/>
        <v>0.2584993993901501</v>
      </c>
      <c r="R83" s="40">
        <f t="shared" si="307"/>
        <v>0.25705401935701216</v>
      </c>
      <c r="S83" s="41">
        <f t="shared" si="307"/>
        <v>0.26255040139489272</v>
      </c>
      <c r="T83" s="40">
        <f t="shared" si="307"/>
        <v>0.14504510364711093</v>
      </c>
      <c r="U83" s="40">
        <f t="shared" si="307"/>
        <v>0.15451355245309098</v>
      </c>
      <c r="V83" s="40">
        <f t="shared" si="307"/>
        <v>0.16287899575398734</v>
      </c>
      <c r="W83" s="41">
        <f t="shared" si="307"/>
        <v>0.22285864240727787</v>
      </c>
      <c r="X83" s="40">
        <f t="shared" si="307"/>
        <v>0.27403591809387656</v>
      </c>
      <c r="Y83" s="40">
        <f t="shared" si="307"/>
        <v>0.31954387645157423</v>
      </c>
      <c r="Z83" s="40">
        <f t="shared" si="307"/>
        <v>0.34949395382415421</v>
      </c>
      <c r="AA83" s="41">
        <f t="shared" si="307"/>
        <v>0.37072819127521145</v>
      </c>
      <c r="AB83" s="40">
        <f t="shared" si="307"/>
        <v>0.35533229742046712</v>
      </c>
      <c r="AC83" s="40">
        <f t="shared" si="307"/>
        <v>0.37507903588861619</v>
      </c>
      <c r="AD83" s="40">
        <f t="shared" si="307"/>
        <v>0.36294534121825783</v>
      </c>
      <c r="AE83" s="40">
        <f t="shared" si="307"/>
        <v>0.32624480893240654</v>
      </c>
      <c r="AF83" s="42">
        <f t="shared" si="307"/>
        <v>0.28181582512676334</v>
      </c>
      <c r="AG83" s="40">
        <f t="shared" si="307"/>
        <v>0.31107223586641269</v>
      </c>
      <c r="AH83" s="40">
        <f t="shared" si="307"/>
        <v>0.31529400052120998</v>
      </c>
      <c r="AI83" s="40">
        <f t="shared" si="307"/>
        <v>0.30579281804525132</v>
      </c>
      <c r="AJ83" s="42">
        <f t="shared" ref="AJ83:BK83" si="308">AJ82/AJ10</f>
        <v>0.26421799805186663</v>
      </c>
      <c r="AK83" s="40">
        <f t="shared" si="308"/>
        <v>0.2948335229427379</v>
      </c>
      <c r="AL83" s="40">
        <f t="shared" si="308"/>
        <v>0.30228932675934334</v>
      </c>
      <c r="AM83" s="40">
        <f t="shared" si="308"/>
        <v>0.31311114486391312</v>
      </c>
      <c r="AN83" s="42">
        <f t="shared" si="308"/>
        <v>0.28493500870689142</v>
      </c>
      <c r="AO83" s="40">
        <f t="shared" si="308"/>
        <v>0.31260150661736746</v>
      </c>
      <c r="AP83" s="40">
        <f t="shared" si="308"/>
        <v>0.31083116226406798</v>
      </c>
      <c r="AQ83" s="40">
        <f t="shared" si="308"/>
        <v>0.31865146571003627</v>
      </c>
      <c r="AR83" s="42">
        <f t="shared" si="308"/>
        <v>0.31381398108255848</v>
      </c>
      <c r="AS83" s="40">
        <f t="shared" si="308"/>
        <v>0.33712130900746512</v>
      </c>
      <c r="AT83" s="40">
        <f t="shared" si="308"/>
        <v>0.33521627585088587</v>
      </c>
      <c r="AU83" s="1440">
        <f t="shared" ref="AU83" si="309">AU82/AU10</f>
        <v>0.35902227598848285</v>
      </c>
      <c r="AV83" s="1209">
        <f t="shared" si="308"/>
        <v>0.26524084743361631</v>
      </c>
      <c r="AW83" s="1207">
        <f t="shared" si="308"/>
        <v>0.29211470454539601</v>
      </c>
      <c r="AX83" s="1207">
        <f t="shared" si="308"/>
        <v>0.32679731045974481</v>
      </c>
      <c r="AY83" s="1440">
        <f t="shared" ref="AY83" si="310">AY82/AY10</f>
        <v>0.36103995225298746</v>
      </c>
      <c r="AZ83" s="1442">
        <f t="shared" si="308"/>
        <v>0.31610880807436448</v>
      </c>
      <c r="BA83" s="1282">
        <f t="shared" si="308"/>
        <v>0.34717704632999474</v>
      </c>
      <c r="BB83" s="1282">
        <f t="shared" ref="BB83:BD83" si="311">BB82/BB10</f>
        <v>0.36465741731303813</v>
      </c>
      <c r="BC83" s="1440">
        <f t="shared" si="311"/>
        <v>0.38313878417046787</v>
      </c>
      <c r="BD83" s="1442">
        <f t="shared" si="311"/>
        <v>0.37314173883726315</v>
      </c>
      <c r="BE83" s="40">
        <f t="shared" si="308"/>
        <v>0.3817870241052605</v>
      </c>
      <c r="BF83" s="40">
        <f t="shared" si="308"/>
        <v>0.37989398765733695</v>
      </c>
      <c r="BG83" s="41">
        <f t="shared" si="308"/>
        <v>0.38719596729009514</v>
      </c>
      <c r="BH83" s="1422">
        <f t="shared" si="308"/>
        <v>0.36761483929050714</v>
      </c>
      <c r="BI83" s="1420">
        <f t="shared" si="308"/>
        <v>0.38435463073589204</v>
      </c>
      <c r="BJ83" s="1420">
        <f t="shared" si="308"/>
        <v>0.39793780336452172</v>
      </c>
      <c r="BK83" s="1421">
        <f t="shared" si="308"/>
        <v>0.40774077599252906</v>
      </c>
      <c r="BL83" s="1442">
        <f t="shared" ref="BL83:BO83" si="312">BL82/BL10</f>
        <v>0.3862977062579715</v>
      </c>
      <c r="BM83" s="1440">
        <f t="shared" si="312"/>
        <v>0.40113805914756634</v>
      </c>
      <c r="BN83" s="1440">
        <f t="shared" si="312"/>
        <v>0.4126384084739998</v>
      </c>
      <c r="BO83" s="1441">
        <f t="shared" si="312"/>
        <v>0.42035365449792839</v>
      </c>
      <c r="BP83" s="253"/>
      <c r="BQ83" s="1283">
        <f t="shared" ref="BQ83:CE83" si="313">BQ82/BQ10</f>
        <v>0.25917863637429206</v>
      </c>
      <c r="BR83" s="1282">
        <f t="shared" si="313"/>
        <v>0.27572997615367828</v>
      </c>
      <c r="BS83" s="1282">
        <f t="shared" si="313"/>
        <v>0.2784189366666654</v>
      </c>
      <c r="BT83" s="1282">
        <f t="shared" si="313"/>
        <v>0.25906770254412526</v>
      </c>
      <c r="BU83" s="1282">
        <f t="shared" si="313"/>
        <v>0.17370520142855145</v>
      </c>
      <c r="BV83" s="1282">
        <f t="shared" si="313"/>
        <v>0.33169074956644984</v>
      </c>
      <c r="BW83" s="1282">
        <f t="shared" si="313"/>
        <v>0.35551761923215697</v>
      </c>
      <c r="BX83" s="1282">
        <f t="shared" si="313"/>
        <v>0.30376226055497996</v>
      </c>
      <c r="BY83" s="1282">
        <f t="shared" si="313"/>
        <v>0.29421621155724925</v>
      </c>
      <c r="BZ83" s="1442">
        <f t="shared" si="313"/>
        <v>0.30915294161177853</v>
      </c>
      <c r="CA83" s="1440">
        <f t="shared" si="313"/>
        <v>0.33801278102595206</v>
      </c>
      <c r="CB83" s="1440">
        <f t="shared" si="313"/>
        <v>0.31495708347058182</v>
      </c>
      <c r="CC83" s="1440">
        <f t="shared" si="313"/>
        <v>0.35694761216978249</v>
      </c>
      <c r="CD83" s="1440">
        <f t="shared" si="313"/>
        <v>0.38054444515002922</v>
      </c>
      <c r="CE83" s="1440">
        <f t="shared" si="313"/>
        <v>0.39008225365488858</v>
      </c>
      <c r="CF83" s="1441">
        <f t="shared" ref="CF83" si="314">CF82/CF10</f>
        <v>0.40560971861282391</v>
      </c>
      <c r="CG83" s="23"/>
      <c r="CH83" s="42">
        <f t="shared" ref="CH83:CU83" si="315">CH82/CH10</f>
        <v>0.26331960194477738</v>
      </c>
      <c r="CI83" s="40">
        <f t="shared" si="315"/>
        <v>0.29124978549738484</v>
      </c>
      <c r="CJ83" s="40">
        <f t="shared" si="315"/>
        <v>0.26310112891025617</v>
      </c>
      <c r="CK83" s="40">
        <f t="shared" si="315"/>
        <v>0.23709565499709476</v>
      </c>
      <c r="CL83" s="40">
        <f t="shared" si="315"/>
        <v>0.20833625209099801</v>
      </c>
      <c r="CM83" s="1440">
        <f t="shared" si="315"/>
        <v>0.34969816669345322</v>
      </c>
      <c r="CN83" s="1440">
        <f t="shared" si="315"/>
        <v>0.33916674734300212</v>
      </c>
      <c r="CO83" s="1440">
        <f t="shared" si="315"/>
        <v>0.29988247686730579</v>
      </c>
      <c r="CP83" s="1440">
        <f t="shared" si="315"/>
        <v>0.29907723825315091</v>
      </c>
      <c r="CQ83" s="1440">
        <f t="shared" si="315"/>
        <v>0.31540614142297818</v>
      </c>
      <c r="CR83" s="1440">
        <f t="shared" si="315"/>
        <v>0.32714276766296624</v>
      </c>
      <c r="CS83" s="1207">
        <f t="shared" si="315"/>
        <v>0.32588316725006877</v>
      </c>
      <c r="CT83" s="1207">
        <f t="shared" si="315"/>
        <v>0.36843293785997711</v>
      </c>
      <c r="CU83" s="1440">
        <f t="shared" si="315"/>
        <v>0.3792307392468322</v>
      </c>
      <c r="CV83" s="1441">
        <f t="shared" ref="CV83" si="316">CV82/CV10</f>
        <v>0.39433570893436098</v>
      </c>
      <c r="CW83" s="17"/>
    </row>
    <row r="84" spans="1:112" ht="14.25" customHeight="1" collapsed="1">
      <c r="A84" s="8"/>
      <c r="B84" s="26"/>
      <c r="C84" s="27"/>
      <c r="D84" s="45"/>
      <c r="E84" s="45"/>
      <c r="F84" s="45"/>
      <c r="G84" s="46"/>
      <c r="H84" s="45"/>
      <c r="I84" s="45"/>
      <c r="J84" s="45"/>
      <c r="K84" s="46"/>
      <c r="L84" s="45"/>
      <c r="M84" s="45"/>
      <c r="N84" s="45"/>
      <c r="O84" s="46"/>
      <c r="P84" s="45"/>
      <c r="Q84" s="45"/>
      <c r="R84" s="45"/>
      <c r="S84" s="46"/>
      <c r="T84" s="45"/>
      <c r="U84" s="45"/>
      <c r="V84" s="45"/>
      <c r="W84" s="46"/>
      <c r="X84" s="45"/>
      <c r="Y84" s="45"/>
      <c r="Z84" s="45"/>
      <c r="AA84" s="46"/>
      <c r="AB84" s="45"/>
      <c r="AC84" s="45"/>
      <c r="AD84" s="45"/>
      <c r="AE84" s="45"/>
      <c r="AF84" s="47"/>
      <c r="AG84" s="45"/>
      <c r="AH84" s="45"/>
      <c r="AI84" s="45"/>
      <c r="AJ84" s="47"/>
      <c r="AK84" s="45"/>
      <c r="AL84" s="45"/>
      <c r="AM84" s="45"/>
      <c r="AN84" s="47"/>
      <c r="AO84" s="45"/>
      <c r="AP84" s="45"/>
      <c r="AQ84" s="45"/>
      <c r="AR84" s="47"/>
      <c r="AS84" s="45"/>
      <c r="AT84" s="45"/>
      <c r="AU84" s="45"/>
      <c r="AV84" s="47"/>
      <c r="AW84" s="45"/>
      <c r="AX84" s="45"/>
      <c r="AY84" s="45"/>
      <c r="AZ84" s="47"/>
      <c r="BA84" s="45"/>
      <c r="BB84" s="45"/>
      <c r="BC84" s="45"/>
      <c r="BD84" s="47"/>
      <c r="BE84" s="45"/>
      <c r="BF84" s="45"/>
      <c r="BG84" s="46"/>
      <c r="BH84" s="47"/>
      <c r="BI84" s="45"/>
      <c r="BJ84" s="45"/>
      <c r="BK84" s="46"/>
      <c r="BL84" s="47"/>
      <c r="BM84" s="45"/>
      <c r="BN84" s="45"/>
      <c r="BO84" s="46"/>
      <c r="BP84" s="253"/>
      <c r="BQ84" s="58"/>
      <c r="BR84" s="48"/>
      <c r="BS84" s="48"/>
      <c r="BT84" s="48"/>
      <c r="BU84" s="48"/>
      <c r="BV84" s="48"/>
      <c r="BW84" s="48"/>
      <c r="BX84" s="48"/>
      <c r="BY84" s="48"/>
      <c r="BZ84" s="58"/>
      <c r="CA84" s="48"/>
      <c r="CB84" s="48"/>
      <c r="CC84" s="48"/>
      <c r="CD84" s="48"/>
      <c r="CE84" s="48"/>
      <c r="CF84" s="49"/>
      <c r="CG84" s="23"/>
      <c r="CH84" s="101"/>
      <c r="CI84" s="102"/>
      <c r="CJ84" s="102"/>
      <c r="CK84" s="102"/>
      <c r="CL84" s="102"/>
      <c r="CM84" s="102"/>
      <c r="CN84" s="102"/>
      <c r="CO84" s="102"/>
      <c r="CP84" s="102"/>
      <c r="CQ84" s="102"/>
      <c r="CR84" s="102"/>
      <c r="CS84" s="102"/>
      <c r="CT84" s="102"/>
      <c r="CU84" s="102"/>
      <c r="CV84" s="103"/>
      <c r="CW84" s="17"/>
    </row>
    <row r="85" spans="1:112" ht="14.25" customHeight="1">
      <c r="A85" s="8"/>
      <c r="B85" s="26" t="s">
        <v>441</v>
      </c>
      <c r="C85" s="27"/>
      <c r="D85" s="33">
        <v>31.193000000000001</v>
      </c>
      <c r="E85" s="33">
        <v>33.113</v>
      </c>
      <c r="F85" s="33">
        <v>32.271999999999998</v>
      </c>
      <c r="G85" s="34">
        <v>76.325000000000003</v>
      </c>
      <c r="H85" s="33">
        <v>32.317999999999998</v>
      </c>
      <c r="I85" s="33">
        <v>45.128</v>
      </c>
      <c r="J85" s="33">
        <v>31.548999999999999</v>
      </c>
      <c r="K85" s="34">
        <v>8.423</v>
      </c>
      <c r="L85" s="33">
        <v>45.478999999999999</v>
      </c>
      <c r="M85" s="33">
        <v>39.72</v>
      </c>
      <c r="N85" s="33">
        <v>36.536000000000001</v>
      </c>
      <c r="O85" s="34">
        <v>37.817999999999998</v>
      </c>
      <c r="P85" s="33">
        <v>36.417999999999999</v>
      </c>
      <c r="Q85" s="33">
        <v>37.847999999999999</v>
      </c>
      <c r="R85" s="33">
        <v>39.536000000000001</v>
      </c>
      <c r="S85" s="34">
        <v>27.123000000000001</v>
      </c>
      <c r="T85" s="33">
        <v>3.3730000000000002</v>
      </c>
      <c r="U85" s="33">
        <v>10.478999999999999</v>
      </c>
      <c r="V85" s="33">
        <v>14.567</v>
      </c>
      <c r="W85" s="34">
        <v>21.617000000000001</v>
      </c>
      <c r="X85" s="33">
        <v>28.667000000000002</v>
      </c>
      <c r="Y85" s="33">
        <v>46.88</v>
      </c>
      <c r="Z85" s="33">
        <v>51.83</v>
      </c>
      <c r="AA85" s="34">
        <v>63.063000000000002</v>
      </c>
      <c r="AB85" s="33">
        <v>43.213999999999999</v>
      </c>
      <c r="AC85" s="33">
        <v>54.93</v>
      </c>
      <c r="AD85" s="33">
        <v>54.936</v>
      </c>
      <c r="AE85" s="33">
        <v>47.472999999999999</v>
      </c>
      <c r="AF85" s="638">
        <v>40.704000000000001</v>
      </c>
      <c r="AG85" s="33">
        <v>48.555</v>
      </c>
      <c r="AH85" s="33">
        <v>39.701000000000001</v>
      </c>
      <c r="AI85" s="33">
        <v>33.337000000000003</v>
      </c>
      <c r="AJ85" s="638">
        <v>18.887</v>
      </c>
      <c r="AK85" s="33">
        <v>23.189</v>
      </c>
      <c r="AL85" s="33">
        <v>18.802</v>
      </c>
      <c r="AM85" s="33">
        <v>80.957999999999998</v>
      </c>
      <c r="AN85" s="638">
        <v>23.305</v>
      </c>
      <c r="AO85" s="33">
        <v>29.934999999999999</v>
      </c>
      <c r="AP85" s="33">
        <v>16.782</v>
      </c>
      <c r="AQ85" s="33">
        <v>30.003</v>
      </c>
      <c r="AR85" s="638">
        <v>22.013000000000002</v>
      </c>
      <c r="AS85" s="33">
        <v>39.850999999999999</v>
      </c>
      <c r="AT85" s="33">
        <v>43</v>
      </c>
      <c r="AU85" s="33">
        <v>8.3719999999999999</v>
      </c>
      <c r="AV85" s="638">
        <v>17.672999999999998</v>
      </c>
      <c r="AW85" s="33">
        <v>24.337</v>
      </c>
      <c r="AX85" s="33">
        <v>25.97</v>
      </c>
      <c r="AY85" s="33">
        <v>27.277000000000001</v>
      </c>
      <c r="AZ85" s="638">
        <v>16.18</v>
      </c>
      <c r="BA85" s="33">
        <v>-6.85</v>
      </c>
      <c r="BB85" s="33">
        <v>57.881999999999998</v>
      </c>
      <c r="BC85" s="33">
        <v>34.014000000000003</v>
      </c>
      <c r="BD85" s="638">
        <v>70.682000000000002</v>
      </c>
      <c r="BE85" s="35">
        <f t="shared" ref="BE85:BG85" si="317">BE79*BE86</f>
        <v>31.389602300483457</v>
      </c>
      <c r="BF85" s="35">
        <f t="shared" si="317"/>
        <v>45.997251891733704</v>
      </c>
      <c r="BG85" s="36">
        <f t="shared" si="317"/>
        <v>48.428965194487084</v>
      </c>
      <c r="BH85" s="37">
        <f t="shared" ref="BH85:BK85" si="318">BH79*BH86</f>
        <v>65.38041885788364</v>
      </c>
      <c r="BI85" s="35">
        <f t="shared" si="318"/>
        <v>71.482823464510346</v>
      </c>
      <c r="BJ85" s="35">
        <f t="shared" si="318"/>
        <v>76.722999254719468</v>
      </c>
      <c r="BK85" s="36">
        <f t="shared" si="318"/>
        <v>81.889945866239614</v>
      </c>
      <c r="BL85" s="37">
        <f t="shared" ref="BL85:BO85" si="319">BL79*BL86</f>
        <v>73.551493284624073</v>
      </c>
      <c r="BM85" s="35">
        <f t="shared" si="319"/>
        <v>79.60915465604559</v>
      </c>
      <c r="BN85" s="35">
        <f t="shared" si="319"/>
        <v>84.475466461836916</v>
      </c>
      <c r="BO85" s="36">
        <f t="shared" si="319"/>
        <v>89.110279048930693</v>
      </c>
      <c r="BP85" s="253"/>
      <c r="BQ85" s="37">
        <f>SUM(D85:G85)</f>
        <v>172.90300000000002</v>
      </c>
      <c r="BR85" s="35">
        <f>SUM(H85:K85)</f>
        <v>117.41800000000001</v>
      </c>
      <c r="BS85" s="35">
        <f>SUM(L85:O85)</f>
        <v>159.553</v>
      </c>
      <c r="BT85" s="35">
        <f>SUM(P85:S85)</f>
        <v>140.92499999999998</v>
      </c>
      <c r="BU85" s="35">
        <f>SUM(T85:W85)</f>
        <v>50.036000000000001</v>
      </c>
      <c r="BV85" s="35">
        <f>SUM(X85:AA85)</f>
        <v>190.44</v>
      </c>
      <c r="BW85" s="35">
        <f>SUM(AB85:AE85)</f>
        <v>200.553</v>
      </c>
      <c r="BX85" s="35">
        <f>SUM(AF85:AI85)</f>
        <v>162.29700000000003</v>
      </c>
      <c r="BY85" s="35">
        <f>SUM(AJ85:AM85)</f>
        <v>141.83600000000001</v>
      </c>
      <c r="BZ85" s="37">
        <f>SUM(AN85:AQ85)</f>
        <v>100.02499999999999</v>
      </c>
      <c r="CA85" s="35">
        <f>SUM(AR85:AU85)</f>
        <v>113.236</v>
      </c>
      <c r="CB85" s="35">
        <f>SUM(AV85:AY85)</f>
        <v>95.256999999999991</v>
      </c>
      <c r="CC85" s="35">
        <f>SUM(AZ85:BC85)</f>
        <v>101.226</v>
      </c>
      <c r="CD85" s="35">
        <f>SUM(BD85:BG85)</f>
        <v>196.49781938670426</v>
      </c>
      <c r="CE85" s="35">
        <f>SUM(BH85:BK85)</f>
        <v>295.47618744335307</v>
      </c>
      <c r="CF85" s="36">
        <f>SUM(BL85:BO85)</f>
        <v>326.74639345143726</v>
      </c>
      <c r="CG85" s="23"/>
      <c r="CH85" s="37">
        <f>SUM(E85:H85)</f>
        <v>174.02799999999996</v>
      </c>
      <c r="CI85" s="35">
        <f>SUM(I85:L85)</f>
        <v>130.57900000000001</v>
      </c>
      <c r="CJ85" s="35">
        <f>SUM(M85:P85)</f>
        <v>150.49199999999999</v>
      </c>
      <c r="CK85" s="35">
        <f>SUM(Q85:T85)</f>
        <v>107.88000000000001</v>
      </c>
      <c r="CL85" s="35">
        <f>SUM(U85:X85)</f>
        <v>75.33</v>
      </c>
      <c r="CM85" s="35">
        <f>SUM(Y85:AB85)</f>
        <v>204.98700000000002</v>
      </c>
      <c r="CN85" s="35">
        <f>SUM(AC85:AF85)</f>
        <v>198.04300000000001</v>
      </c>
      <c r="CO85" s="35">
        <f>SUM(AG85:AJ85)</f>
        <v>140.48000000000002</v>
      </c>
      <c r="CP85" s="35">
        <f>SUM(AK85:AN85)</f>
        <v>146.25399999999999</v>
      </c>
      <c r="CQ85" s="35">
        <f>SUM(AO85:AR85)</f>
        <v>98.733000000000004</v>
      </c>
      <c r="CR85" s="35">
        <f>SUM(AS85:AV85)</f>
        <v>108.896</v>
      </c>
      <c r="CS85" s="35">
        <f>SUM(AW85:AZ85)</f>
        <v>93.76400000000001</v>
      </c>
      <c r="CT85" s="35">
        <f>SUM(BA85:BD85)</f>
        <v>155.72800000000001</v>
      </c>
      <c r="CU85" s="35">
        <f>SUM(BE85:BH85)</f>
        <v>191.1962382445879</v>
      </c>
      <c r="CV85" s="36">
        <f>SUM(BI85:BL85)</f>
        <v>303.64726187009353</v>
      </c>
      <c r="CW85" s="17"/>
    </row>
    <row r="86" spans="1:112" ht="14.25" customHeight="1">
      <c r="A86" s="8"/>
      <c r="B86" s="38" t="s">
        <v>442</v>
      </c>
      <c r="C86" s="39"/>
      <c r="D86" s="61">
        <f t="shared" ref="D86:AJ86" si="320">D85/D79</f>
        <v>0.22499927868663278</v>
      </c>
      <c r="E86" s="40">
        <f t="shared" si="320"/>
        <v>0.21971044110621579</v>
      </c>
      <c r="F86" s="40">
        <f t="shared" si="320"/>
        <v>0.21000026028787833</v>
      </c>
      <c r="G86" s="41">
        <f t="shared" si="320"/>
        <v>0.52759459721012525</v>
      </c>
      <c r="H86" s="61">
        <f t="shared" si="320"/>
        <v>0.23228468134348207</v>
      </c>
      <c r="I86" s="40">
        <f t="shared" si="320"/>
        <v>0.25233023008750594</v>
      </c>
      <c r="J86" s="40">
        <f t="shared" si="320"/>
        <v>0.18855937268402306</v>
      </c>
      <c r="K86" s="41">
        <f t="shared" si="320"/>
        <v>5.7030847980933289E-2</v>
      </c>
      <c r="L86" s="61">
        <f t="shared" si="320"/>
        <v>0.2254639016820929</v>
      </c>
      <c r="M86" s="40">
        <f t="shared" si="320"/>
        <v>0.24029328848503922</v>
      </c>
      <c r="N86" s="40">
        <f t="shared" si="320"/>
        <v>0.22561163873485557</v>
      </c>
      <c r="O86" s="41">
        <f t="shared" si="320"/>
        <v>0.28541025176598428</v>
      </c>
      <c r="P86" s="61">
        <f t="shared" si="320"/>
        <v>0.23010627677454409</v>
      </c>
      <c r="Q86" s="40">
        <f t="shared" si="320"/>
        <v>0.22563491117205189</v>
      </c>
      <c r="R86" s="40">
        <f t="shared" si="320"/>
        <v>0.23431378940443667</v>
      </c>
      <c r="S86" s="41">
        <f t="shared" si="320"/>
        <v>0.15827619408864116</v>
      </c>
      <c r="T86" s="61">
        <f t="shared" si="320"/>
        <v>0.1206452535946777</v>
      </c>
      <c r="U86" s="40">
        <f t="shared" si="320"/>
        <v>0.16838333360114402</v>
      </c>
      <c r="V86" s="40">
        <f t="shared" si="320"/>
        <v>0.18202606620265663</v>
      </c>
      <c r="W86" s="41">
        <f t="shared" si="320"/>
        <v>0.169910238473268</v>
      </c>
      <c r="X86" s="61">
        <f t="shared" si="320"/>
        <v>0.19334713725913394</v>
      </c>
      <c r="Y86" s="40">
        <f t="shared" si="320"/>
        <v>0.21904494907018038</v>
      </c>
      <c r="Z86" s="40">
        <f t="shared" si="320"/>
        <v>0.20623027920468245</v>
      </c>
      <c r="AA86" s="41">
        <f t="shared" si="320"/>
        <v>0.21892542101042498</v>
      </c>
      <c r="AB86" s="61">
        <f t="shared" si="320"/>
        <v>0.16696545861989026</v>
      </c>
      <c r="AC86" s="40">
        <f t="shared" si="320"/>
        <v>0.18510156492202354</v>
      </c>
      <c r="AD86" s="40">
        <f t="shared" si="320"/>
        <v>0.19986102571751838</v>
      </c>
      <c r="AE86" s="40">
        <f t="shared" si="320"/>
        <v>0.20551082251082251</v>
      </c>
      <c r="AF86" s="640">
        <f t="shared" si="320"/>
        <v>0.22602534344701977</v>
      </c>
      <c r="AG86" s="40">
        <f t="shared" si="320"/>
        <v>0.22962441003717116</v>
      </c>
      <c r="AH86" s="40">
        <f t="shared" si="320"/>
        <v>0.18953162520468428</v>
      </c>
      <c r="AI86" s="40">
        <f>AI85/AI79</f>
        <v>0.15686228378912498</v>
      </c>
      <c r="AJ86" s="640">
        <f t="shared" si="320"/>
        <v>0.12582190275066785</v>
      </c>
      <c r="AK86" s="40">
        <f t="shared" ref="AK86:AP86" si="321">AK85/AK79</f>
        <v>0.12356856246103348</v>
      </c>
      <c r="AL86" s="40">
        <f t="shared" si="321"/>
        <v>9.640024405125075E-2</v>
      </c>
      <c r="AM86" s="40">
        <f t="shared" si="321"/>
        <v>0.2865648184855864</v>
      </c>
      <c r="AN86" s="640">
        <f t="shared" si="321"/>
        <v>0.13249683042338714</v>
      </c>
      <c r="AO86" s="40">
        <f t="shared" si="321"/>
        <v>0.13771576312980757</v>
      </c>
      <c r="AP86" s="40">
        <f t="shared" si="321"/>
        <v>8.502036597969484E-2</v>
      </c>
      <c r="AQ86" s="40">
        <f t="shared" ref="AQ86:AV86" si="322">AQ85/AQ79</f>
        <v>0.21631890870812848</v>
      </c>
      <c r="AR86" s="640">
        <f t="shared" si="322"/>
        <v>0.10964287493151369</v>
      </c>
      <c r="AS86" s="40">
        <f t="shared" si="322"/>
        <v>0.16253176121277868</v>
      </c>
      <c r="AT86" s="40">
        <f t="shared" si="322"/>
        <v>0.16571732478283319</v>
      </c>
      <c r="AU86" s="1440">
        <f t="shared" si="322"/>
        <v>7.9979365094528798E-2</v>
      </c>
      <c r="AV86" s="640">
        <f t="shared" si="322"/>
        <v>9.7010050665012601E-2</v>
      </c>
      <c r="AW86" s="1207">
        <f>AW85/AW79</f>
        <v>0.12486275716997594</v>
      </c>
      <c r="AX86" s="1207">
        <f>AX85/AX79</f>
        <v>0.10128705148205931</v>
      </c>
      <c r="AY86" s="1440">
        <f t="shared" ref="AY86:AZ86" si="323">AY85/AY79</f>
        <v>8.4335598607443843E-2</v>
      </c>
      <c r="AZ86" s="640">
        <f t="shared" si="323"/>
        <v>6.9350089366462531E-2</v>
      </c>
      <c r="BA86" s="1282">
        <f>BA85/BA79</f>
        <v>-7.8995317941739529E-2</v>
      </c>
      <c r="BB86" s="1282">
        <f>BB85/BB79</f>
        <v>0.45648984999763392</v>
      </c>
      <c r="BC86" s="1440">
        <f>BC85/BC79</f>
        <v>8.9120273329420616E-2</v>
      </c>
      <c r="BD86" s="640">
        <f t="shared" ref="BD86" si="324">BD85/BD79</f>
        <v>0.20859131071198803</v>
      </c>
      <c r="BE86" s="1193">
        <v>0.08</v>
      </c>
      <c r="BF86" s="1193">
        <f t="shared" ref="BF86:BG86" si="325">BE86</f>
        <v>0.08</v>
      </c>
      <c r="BG86" s="1194">
        <f t="shared" si="325"/>
        <v>0.08</v>
      </c>
      <c r="BH86" s="1195">
        <v>0.12</v>
      </c>
      <c r="BI86" s="1193">
        <f t="shared" ref="BI86" si="326">BH86</f>
        <v>0.12</v>
      </c>
      <c r="BJ86" s="1193">
        <f t="shared" ref="BJ86" si="327">BI86</f>
        <v>0.12</v>
      </c>
      <c r="BK86" s="1194">
        <f t="shared" ref="BK86" si="328">BJ86</f>
        <v>0.12</v>
      </c>
      <c r="BL86" s="1195">
        <f t="shared" ref="BL86" si="329">BK86</f>
        <v>0.12</v>
      </c>
      <c r="BM86" s="1193">
        <f t="shared" ref="BM86" si="330">BL86</f>
        <v>0.12</v>
      </c>
      <c r="BN86" s="1193">
        <f t="shared" ref="BN86" si="331">BM86</f>
        <v>0.12</v>
      </c>
      <c r="BO86" s="1194">
        <f t="shared" ref="BO86" si="332">BN86</f>
        <v>0.12</v>
      </c>
      <c r="BP86" s="253"/>
      <c r="BQ86" s="1283">
        <f t="shared" ref="BQ86:CB86" si="333">BQ85/BQ79</f>
        <v>0.29420783065902095</v>
      </c>
      <c r="BR86" s="1282">
        <f t="shared" si="333"/>
        <v>0.18549915953641807</v>
      </c>
      <c r="BS86" s="1282">
        <f t="shared" si="333"/>
        <v>0.24121447047956249</v>
      </c>
      <c r="BT86" s="1282">
        <f t="shared" si="333"/>
        <v>0.21156669699235248</v>
      </c>
      <c r="BU86" s="1282">
        <f t="shared" si="333"/>
        <v>0.16821990021651145</v>
      </c>
      <c r="BV86" s="1282">
        <f t="shared" si="333"/>
        <v>0.21120926286370217</v>
      </c>
      <c r="BW86" s="1282">
        <f t="shared" si="333"/>
        <v>0.18894301835136373</v>
      </c>
      <c r="BX86" s="1282">
        <f t="shared" si="333"/>
        <v>0.19949651704356197</v>
      </c>
      <c r="BY86" s="1282">
        <f t="shared" si="333"/>
        <v>0.17396295701212888</v>
      </c>
      <c r="BZ86" s="1442">
        <f t="shared" si="333"/>
        <v>0.13714360145061669</v>
      </c>
      <c r="CA86" s="1440">
        <f t="shared" si="333"/>
        <v>0.13977785842486373</v>
      </c>
      <c r="CB86" s="1440">
        <f t="shared" si="333"/>
        <v>9.9545312517961212E-2</v>
      </c>
      <c r="CC86" s="1440">
        <f>CC85/CC79</f>
        <v>0.1221820551971369</v>
      </c>
      <c r="CD86" s="1440">
        <f>CD85/CD79</f>
        <v>0.10279492573232736</v>
      </c>
      <c r="CE86" s="1440">
        <f>CE85/CE79</f>
        <v>0.12000000000000005</v>
      </c>
      <c r="CF86" s="1441">
        <f>CF85/CF79</f>
        <v>0.12000000000000002</v>
      </c>
      <c r="CG86" s="23"/>
      <c r="CH86" s="42">
        <f t="shared" ref="CH86:CR86" si="334">CH85/CH79</f>
        <v>0.2958728971327047</v>
      </c>
      <c r="CI86" s="40">
        <f t="shared" si="334"/>
        <v>0.18773056762406448</v>
      </c>
      <c r="CJ86" s="40">
        <f t="shared" si="334"/>
        <v>0.24351062280545602</v>
      </c>
      <c r="CK86" s="40">
        <f t="shared" si="334"/>
        <v>0.20134603970929132</v>
      </c>
      <c r="CL86" s="40">
        <f t="shared" si="334"/>
        <v>0.18032186483400475</v>
      </c>
      <c r="CM86" s="1440">
        <f t="shared" si="334"/>
        <v>0.20251269983343512</v>
      </c>
      <c r="CN86" s="1440">
        <f t="shared" si="334"/>
        <v>0.20152679368238746</v>
      </c>
      <c r="CO86" s="1440">
        <f t="shared" si="334"/>
        <v>0.17928520743890677</v>
      </c>
      <c r="CP86" s="1440">
        <f t="shared" si="334"/>
        <v>0.17388316559763639</v>
      </c>
      <c r="CQ86" s="1440">
        <f t="shared" si="334"/>
        <v>0.1309067332781774</v>
      </c>
      <c r="CR86" s="1440">
        <f t="shared" si="334"/>
        <v>0.13757815648605665</v>
      </c>
      <c r="CS86" s="1207">
        <f>CS85/CS79</f>
        <v>9.3014950602795701E-2</v>
      </c>
      <c r="CT86" s="1207">
        <f>CT85/CT79</f>
        <v>0.16672697879083123</v>
      </c>
      <c r="CU86" s="1440">
        <f>CU85/CU79</f>
        <v>9.0291908949688027E-2</v>
      </c>
      <c r="CV86" s="1441">
        <f>CV85/CV79</f>
        <v>0.12000000000000006</v>
      </c>
      <c r="CW86" s="17"/>
    </row>
    <row r="87" spans="1:112" ht="14.25" customHeight="1">
      <c r="A87" s="11"/>
      <c r="B87" s="31"/>
      <c r="C87" s="32"/>
      <c r="D87" s="33"/>
      <c r="E87" s="33"/>
      <c r="F87" s="33"/>
      <c r="G87" s="34"/>
      <c r="H87" s="33"/>
      <c r="I87" s="33"/>
      <c r="J87" s="33"/>
      <c r="K87" s="34"/>
      <c r="L87" s="33"/>
      <c r="M87" s="33"/>
      <c r="N87" s="33"/>
      <c r="O87" s="34"/>
      <c r="P87" s="33"/>
      <c r="Q87" s="33"/>
      <c r="R87" s="33"/>
      <c r="S87" s="34"/>
      <c r="T87" s="33"/>
      <c r="U87" s="33"/>
      <c r="V87" s="33"/>
      <c r="W87" s="34"/>
      <c r="X87" s="33"/>
      <c r="Y87" s="33"/>
      <c r="Z87" s="33"/>
      <c r="AA87" s="34"/>
      <c r="AB87" s="33"/>
      <c r="AC87" s="33"/>
      <c r="AD87" s="33"/>
      <c r="AE87" s="33"/>
      <c r="AF87" s="638"/>
      <c r="AG87" s="35"/>
      <c r="AH87" s="35"/>
      <c r="AI87" s="33"/>
      <c r="AJ87" s="37"/>
      <c r="AK87" s="35"/>
      <c r="AL87" s="35"/>
      <c r="AM87" s="33"/>
      <c r="AN87" s="37"/>
      <c r="AO87" s="35"/>
      <c r="AP87" s="35"/>
      <c r="AQ87" s="33"/>
      <c r="AR87" s="37"/>
      <c r="AS87" s="35"/>
      <c r="AT87" s="35"/>
      <c r="AU87" s="33"/>
      <c r="AV87" s="37"/>
      <c r="AW87" s="35"/>
      <c r="AX87" s="35"/>
      <c r="AY87" s="33"/>
      <c r="AZ87" s="37"/>
      <c r="BA87" s="35"/>
      <c r="BB87" s="35"/>
      <c r="BC87" s="35"/>
      <c r="BD87" s="37"/>
      <c r="BE87" s="35"/>
      <c r="BF87" s="35"/>
      <c r="BG87" s="36"/>
      <c r="BH87" s="37"/>
      <c r="BI87" s="35"/>
      <c r="BJ87" s="35"/>
      <c r="BK87" s="36"/>
      <c r="BL87" s="37"/>
      <c r="BM87" s="35"/>
      <c r="BN87" s="35"/>
      <c r="BO87" s="36"/>
      <c r="BP87" s="27"/>
      <c r="BQ87" s="37"/>
      <c r="BR87" s="35"/>
      <c r="BS87" s="35"/>
      <c r="BT87" s="35"/>
      <c r="BU87" s="35"/>
      <c r="BV87" s="35"/>
      <c r="BW87" s="35"/>
      <c r="BX87" s="35"/>
      <c r="BY87" s="35"/>
      <c r="BZ87" s="37"/>
      <c r="CA87" s="35"/>
      <c r="CB87" s="35"/>
      <c r="CC87" s="35"/>
      <c r="CD87" s="35"/>
      <c r="CE87" s="35"/>
      <c r="CF87" s="36"/>
      <c r="CG87" s="176"/>
      <c r="CH87" s="37"/>
      <c r="CI87" s="35"/>
      <c r="CJ87" s="35"/>
      <c r="CK87" s="35"/>
      <c r="CL87" s="35"/>
      <c r="CM87" s="35"/>
      <c r="CN87" s="35"/>
      <c r="CO87" s="35"/>
      <c r="CP87" s="35"/>
      <c r="CQ87" s="35"/>
      <c r="CR87" s="35"/>
      <c r="CS87" s="35"/>
      <c r="CT87" s="35"/>
      <c r="CU87" s="35"/>
      <c r="CV87" s="36"/>
      <c r="CW87" s="70"/>
      <c r="DD87" s="394"/>
      <c r="DE87" s="394"/>
      <c r="DF87" s="394"/>
      <c r="DG87" s="394"/>
      <c r="DH87" s="394"/>
    </row>
    <row r="88" spans="1:112" ht="14.25" hidden="1" customHeight="1" outlineLevel="1">
      <c r="A88" s="8"/>
      <c r="B88" s="26" t="s">
        <v>11</v>
      </c>
      <c r="C88" s="27"/>
      <c r="D88" s="35">
        <f>+D82*D89</f>
        <v>31.320799590294005</v>
      </c>
      <c r="E88" s="35">
        <f t="shared" ref="E88:AK88" si="335">+E82*E89</f>
        <v>33.092347218536013</v>
      </c>
      <c r="F88" s="35">
        <f t="shared" si="335"/>
        <v>32.291740024467067</v>
      </c>
      <c r="G88" s="36">
        <f>+G82*G89</f>
        <v>92.611845215876556</v>
      </c>
      <c r="H88" s="35">
        <f t="shared" si="335"/>
        <v>33.170252495849226</v>
      </c>
      <c r="I88" s="35">
        <f t="shared" si="335"/>
        <v>41.758886767871616</v>
      </c>
      <c r="J88" s="35">
        <f t="shared" si="335"/>
        <v>32.668099876879673</v>
      </c>
      <c r="K88" s="36">
        <f t="shared" si="335"/>
        <v>9.3798065365761172</v>
      </c>
      <c r="L88" s="35">
        <f t="shared" si="335"/>
        <v>44.967422407083326</v>
      </c>
      <c r="M88" s="35">
        <f t="shared" si="335"/>
        <v>39.694769204709075</v>
      </c>
      <c r="N88" s="35">
        <f t="shared" si="335"/>
        <v>36.822978004470734</v>
      </c>
      <c r="O88" s="36">
        <f t="shared" si="335"/>
        <v>45.201563213186006</v>
      </c>
      <c r="P88" s="35">
        <f t="shared" si="335"/>
        <v>36.457808385881997</v>
      </c>
      <c r="Q88" s="35">
        <f t="shared" si="335"/>
        <v>37.873722379873612</v>
      </c>
      <c r="R88" s="35">
        <f t="shared" si="335"/>
        <v>39.691584356164554</v>
      </c>
      <c r="S88" s="36">
        <f t="shared" si="335"/>
        <v>27.455538283780232</v>
      </c>
      <c r="T88" s="35">
        <f t="shared" si="335"/>
        <v>8.3394825094785023</v>
      </c>
      <c r="U88" s="35">
        <f t="shared" si="335"/>
        <v>12.351759436311925</v>
      </c>
      <c r="V88" s="35">
        <f t="shared" si="335"/>
        <v>14.586658815149887</v>
      </c>
      <c r="W88" s="36">
        <f t="shared" si="335"/>
        <v>21.644185638155722</v>
      </c>
      <c r="X88" s="35">
        <f t="shared" si="335"/>
        <v>31.948487613562023</v>
      </c>
      <c r="Y88" s="35">
        <f t="shared" si="335"/>
        <v>46.773106064853749</v>
      </c>
      <c r="Z88" s="35">
        <f t="shared" si="335"/>
        <v>51.915791796149151</v>
      </c>
      <c r="AA88" s="36">
        <f t="shared" si="335"/>
        <v>62.49379390537289</v>
      </c>
      <c r="AB88" s="35">
        <f t="shared" si="335"/>
        <v>43.22084558380341</v>
      </c>
      <c r="AC88" s="35">
        <f t="shared" si="335"/>
        <v>54.902049663696772</v>
      </c>
      <c r="AD88" s="35">
        <f t="shared" si="335"/>
        <v>54.977171371297814</v>
      </c>
      <c r="AE88" s="35">
        <f t="shared" si="335"/>
        <v>48.014521017316021</v>
      </c>
      <c r="AF88" s="37">
        <f t="shared" si="335"/>
        <v>41.27968654975956</v>
      </c>
      <c r="AG88" s="35">
        <f t="shared" si="335"/>
        <v>48.221814981036061</v>
      </c>
      <c r="AH88" s="35">
        <f t="shared" si="335"/>
        <v>40.81639361432957</v>
      </c>
      <c r="AI88" s="35">
        <f t="shared" si="335"/>
        <v>33.335588239445904</v>
      </c>
      <c r="AJ88" s="37">
        <f t="shared" si="335"/>
        <v>27.122534999999999</v>
      </c>
      <c r="AK88" s="35">
        <f t="shared" si="335"/>
        <v>32.070884999999997</v>
      </c>
      <c r="AL88" s="35">
        <f>+AL82*AL89</f>
        <v>19.645887736424648</v>
      </c>
      <c r="AM88" s="35">
        <f>AM82*AM89</f>
        <v>19.746783000000001</v>
      </c>
      <c r="AN88" s="37">
        <f>+AN82*AN89</f>
        <v>25.060980000000011</v>
      </c>
      <c r="AO88" s="35">
        <f>+AO82*AO89</f>
        <v>30.39581999999999</v>
      </c>
      <c r="AP88" s="35">
        <v>30</v>
      </c>
      <c r="AQ88" s="35">
        <v>40</v>
      </c>
      <c r="AR88" s="638">
        <v>42</v>
      </c>
      <c r="AS88" s="33">
        <v>45</v>
      </c>
      <c r="AT88" s="33">
        <v>45</v>
      </c>
      <c r="AU88" s="33">
        <v>25</v>
      </c>
      <c r="AV88" s="638">
        <v>28</v>
      </c>
      <c r="AW88" s="33">
        <f>AW82*AW89</f>
        <v>27.298679999999983</v>
      </c>
      <c r="AX88" s="33">
        <v>30</v>
      </c>
      <c r="AY88" s="33">
        <v>35</v>
      </c>
      <c r="AZ88" s="638">
        <v>16.899999999999999</v>
      </c>
      <c r="BA88" s="33">
        <v>41</v>
      </c>
      <c r="BB88" s="33">
        <v>55.222659999999998</v>
      </c>
      <c r="BC88" s="33">
        <v>51.00515</v>
      </c>
      <c r="BD88" s="638">
        <v>35.299999999999997</v>
      </c>
      <c r="BE88" s="35">
        <f t="shared" ref="BE88:BG88" si="336">+BE82*BE89</f>
        <v>39.295902012923023</v>
      </c>
      <c r="BF88" s="35">
        <f t="shared" si="336"/>
        <v>45.997251891733704</v>
      </c>
      <c r="BG88" s="36">
        <f t="shared" si="336"/>
        <v>48.428965194487084</v>
      </c>
      <c r="BH88" s="37">
        <f t="shared" ref="BH88:BK88" si="337">+BH82*BH89</f>
        <v>65.38041885788364</v>
      </c>
      <c r="BI88" s="35">
        <f t="shared" si="337"/>
        <v>71.482823464510346</v>
      </c>
      <c r="BJ88" s="35">
        <f t="shared" si="337"/>
        <v>76.722999254719468</v>
      </c>
      <c r="BK88" s="36">
        <f t="shared" si="337"/>
        <v>81.889945866239614</v>
      </c>
      <c r="BL88" s="37">
        <f t="shared" ref="BL88:BO88" si="338">+BL82*BL89</f>
        <v>73.551493284624073</v>
      </c>
      <c r="BM88" s="35">
        <f t="shared" si="338"/>
        <v>79.60915465604559</v>
      </c>
      <c r="BN88" s="35">
        <f t="shared" si="338"/>
        <v>84.475466461836916</v>
      </c>
      <c r="BO88" s="36">
        <f t="shared" si="338"/>
        <v>89.110279048930693</v>
      </c>
      <c r="BP88" s="253"/>
      <c r="BQ88" s="37">
        <f>SUM(D88:G88)</f>
        <v>189.31673204917365</v>
      </c>
      <c r="BR88" s="35">
        <f>SUM(H88:K88)</f>
        <v>116.97704567717663</v>
      </c>
      <c r="BS88" s="35">
        <f>SUM(L88:O88)</f>
        <v>166.68673282944914</v>
      </c>
      <c r="BT88" s="35">
        <f>SUM(P88:S88)</f>
        <v>141.47865340570041</v>
      </c>
      <c r="BU88" s="35">
        <f>SUM(T88:W88)</f>
        <v>56.922086399096031</v>
      </c>
      <c r="BV88" s="35">
        <f>SUM(X88:AA88)</f>
        <v>193.13117937993781</v>
      </c>
      <c r="BW88" s="35">
        <f>SUM(AB88:AE88)</f>
        <v>201.11458763611401</v>
      </c>
      <c r="BX88" s="35">
        <f>SUM(AF88:AI88)</f>
        <v>163.6534833845711</v>
      </c>
      <c r="BY88" s="35">
        <f>SUM(AJ88:AM88)</f>
        <v>98.586090736424637</v>
      </c>
      <c r="BZ88" s="37">
        <f>SUM(AN88:AQ88)</f>
        <v>125.4568</v>
      </c>
      <c r="CA88" s="35">
        <f>SUM(AR88:AU88)</f>
        <v>157</v>
      </c>
      <c r="CB88" s="35">
        <f>SUM(AV88:AY88)</f>
        <v>120.29867999999999</v>
      </c>
      <c r="CC88" s="35">
        <f>SUM(AZ88:BC88)</f>
        <v>164.12781000000001</v>
      </c>
      <c r="CD88" s="35">
        <f>SUM(BD88:BG88)</f>
        <v>169.02211909914382</v>
      </c>
      <c r="CE88" s="35">
        <f>SUM(BH88:BK88)</f>
        <v>295.47618744335307</v>
      </c>
      <c r="CF88" s="36">
        <f>SUM(BL88:BO88)</f>
        <v>326.74639345143726</v>
      </c>
      <c r="CG88" s="23"/>
      <c r="CH88" s="37">
        <f>SUM(E88:H88)</f>
        <v>191.16618495472886</v>
      </c>
      <c r="CI88" s="35">
        <f>SUM(I88:L88)</f>
        <v>128.77421558841073</v>
      </c>
      <c r="CJ88" s="35">
        <f>SUM(M88:P88)</f>
        <v>158.17711880824783</v>
      </c>
      <c r="CK88" s="35">
        <f>SUM(Q88:T88)</f>
        <v>113.3603275292969</v>
      </c>
      <c r="CL88" s="35">
        <f>SUM(U88:X88)</f>
        <v>80.531091503179553</v>
      </c>
      <c r="CM88" s="35">
        <f>SUM(Y88:AB88)</f>
        <v>204.40353735017919</v>
      </c>
      <c r="CN88" s="35">
        <f>SUM(AC88:AF88)</f>
        <v>199.17342860207017</v>
      </c>
      <c r="CO88" s="35">
        <f>SUM(AG88:AJ88)</f>
        <v>149.49633183481154</v>
      </c>
      <c r="CP88" s="35">
        <f>SUM(AK88:AN88)</f>
        <v>96.524535736424653</v>
      </c>
      <c r="CQ88" s="35">
        <f>SUM(AO88:AR88)</f>
        <v>142.39581999999999</v>
      </c>
      <c r="CR88" s="35">
        <f>SUM(AS88:AV88)</f>
        <v>143</v>
      </c>
      <c r="CS88" s="35">
        <f>SUM(AW88:AZ88)</f>
        <v>109.19868</v>
      </c>
      <c r="CT88" s="35">
        <f>SUM(BA88:BD88)</f>
        <v>182.52780999999999</v>
      </c>
      <c r="CU88" s="35">
        <f>SUM(BE88:BH88)</f>
        <v>199.10253795702744</v>
      </c>
      <c r="CV88" s="36">
        <f>SUM(BI88:BL88)</f>
        <v>303.64726187009353</v>
      </c>
      <c r="CW88" s="17"/>
    </row>
    <row r="89" spans="1:112" ht="14.25" hidden="1" customHeight="1" outlineLevel="1">
      <c r="A89" s="8"/>
      <c r="B89" s="38" t="s">
        <v>12</v>
      </c>
      <c r="C89" s="39"/>
      <c r="D89" s="40">
        <f>+D86</f>
        <v>0.22499927868663278</v>
      </c>
      <c r="E89" s="40">
        <f t="shared" ref="E89:AI89" si="339">+E86</f>
        <v>0.21971044110621579</v>
      </c>
      <c r="F89" s="40">
        <f t="shared" si="339"/>
        <v>0.21000026028787833</v>
      </c>
      <c r="G89" s="41">
        <f>+G86</f>
        <v>0.52759459721012525</v>
      </c>
      <c r="H89" s="40">
        <f t="shared" si="339"/>
        <v>0.23228468134348207</v>
      </c>
      <c r="I89" s="40">
        <f t="shared" si="339"/>
        <v>0.25233023008750594</v>
      </c>
      <c r="J89" s="40">
        <f t="shared" si="339"/>
        <v>0.18855937268402306</v>
      </c>
      <c r="K89" s="41">
        <f t="shared" si="339"/>
        <v>5.7030847980933289E-2</v>
      </c>
      <c r="L89" s="40">
        <f t="shared" si="339"/>
        <v>0.2254639016820929</v>
      </c>
      <c r="M89" s="40">
        <f t="shared" si="339"/>
        <v>0.24029328848503922</v>
      </c>
      <c r="N89" s="40">
        <f t="shared" si="339"/>
        <v>0.22561163873485557</v>
      </c>
      <c r="O89" s="41">
        <f t="shared" si="339"/>
        <v>0.28541025176598428</v>
      </c>
      <c r="P89" s="40">
        <f t="shared" si="339"/>
        <v>0.23010627677454409</v>
      </c>
      <c r="Q89" s="40">
        <f t="shared" si="339"/>
        <v>0.22563491117205189</v>
      </c>
      <c r="R89" s="40">
        <f t="shared" si="339"/>
        <v>0.23431378940443667</v>
      </c>
      <c r="S89" s="41">
        <f t="shared" si="339"/>
        <v>0.15827619408864116</v>
      </c>
      <c r="T89" s="40">
        <f t="shared" si="339"/>
        <v>0.1206452535946777</v>
      </c>
      <c r="U89" s="40">
        <f t="shared" si="339"/>
        <v>0.16838333360114402</v>
      </c>
      <c r="V89" s="40">
        <f t="shared" si="339"/>
        <v>0.18202606620265663</v>
      </c>
      <c r="W89" s="41">
        <f t="shared" si="339"/>
        <v>0.169910238473268</v>
      </c>
      <c r="X89" s="40">
        <f t="shared" si="339"/>
        <v>0.19334713725913394</v>
      </c>
      <c r="Y89" s="40">
        <f t="shared" si="339"/>
        <v>0.21904494907018038</v>
      </c>
      <c r="Z89" s="40">
        <f t="shared" si="339"/>
        <v>0.20623027920468245</v>
      </c>
      <c r="AA89" s="41">
        <f t="shared" si="339"/>
        <v>0.21892542101042498</v>
      </c>
      <c r="AB89" s="40">
        <f t="shared" si="339"/>
        <v>0.16696545861989026</v>
      </c>
      <c r="AC89" s="40">
        <f t="shared" si="339"/>
        <v>0.18510156492202354</v>
      </c>
      <c r="AD89" s="40">
        <f t="shared" si="339"/>
        <v>0.19986102571751838</v>
      </c>
      <c r="AE89" s="40">
        <f t="shared" si="339"/>
        <v>0.20551082251082251</v>
      </c>
      <c r="AF89" s="42">
        <f t="shared" si="339"/>
        <v>0.22602534344701977</v>
      </c>
      <c r="AG89" s="40">
        <f t="shared" si="339"/>
        <v>0.22962441003717116</v>
      </c>
      <c r="AH89" s="40">
        <f t="shared" si="339"/>
        <v>0.18953162520468428</v>
      </c>
      <c r="AI89" s="40">
        <f t="shared" si="339"/>
        <v>0.15686228378912498</v>
      </c>
      <c r="AJ89" s="42">
        <v>0.16500000000000001</v>
      </c>
      <c r="AK89" s="40">
        <v>0.16500000000000001</v>
      </c>
      <c r="AL89" s="40">
        <f>+AL86</f>
        <v>9.640024405125075E-2</v>
      </c>
      <c r="AM89" s="40">
        <v>9.2999999999999999E-2</v>
      </c>
      <c r="AN89" s="42">
        <v>0.14000000000000001</v>
      </c>
      <c r="AO89" s="40">
        <v>0.14000000000000001</v>
      </c>
      <c r="AP89" s="40">
        <f t="shared" ref="AP89:AV89" si="340">+AP86</f>
        <v>8.502036597969484E-2</v>
      </c>
      <c r="AQ89" s="40">
        <f t="shared" si="340"/>
        <v>0.21631890870812848</v>
      </c>
      <c r="AR89" s="42">
        <f t="shared" si="340"/>
        <v>0.10964287493151369</v>
      </c>
      <c r="AS89" s="40">
        <f t="shared" si="340"/>
        <v>0.16253176121277868</v>
      </c>
      <c r="AT89" s="40">
        <f t="shared" si="340"/>
        <v>0.16571732478283319</v>
      </c>
      <c r="AU89" s="1440">
        <f t="shared" si="340"/>
        <v>7.9979365094528798E-2</v>
      </c>
      <c r="AV89" s="1209">
        <f t="shared" si="340"/>
        <v>9.7010050665012601E-2</v>
      </c>
      <c r="AW89" s="1207">
        <v>0.12</v>
      </c>
      <c r="AX89" s="1207">
        <f>+AX86</f>
        <v>0.10128705148205931</v>
      </c>
      <c r="AY89" s="1440">
        <f t="shared" ref="AY89:AZ89" si="341">+AY86</f>
        <v>8.4335598607443843E-2</v>
      </c>
      <c r="AZ89" s="1442">
        <f t="shared" si="341"/>
        <v>6.9350089366462531E-2</v>
      </c>
      <c r="BA89" s="1282">
        <f t="shared" ref="BA89:BG89" si="342">+BA86</f>
        <v>-7.8995317941739529E-2</v>
      </c>
      <c r="BB89" s="1282">
        <f>BB88/BB82</f>
        <v>0.10561188640671047</v>
      </c>
      <c r="BC89" s="1440">
        <f>BC88/BC82</f>
        <v>8.637883965980335E-2</v>
      </c>
      <c r="BD89" s="1442">
        <f>BD88/BD82</f>
        <v>6.2294630661664276E-2</v>
      </c>
      <c r="BE89" s="40">
        <v>7.0000000000000007E-2</v>
      </c>
      <c r="BF89" s="40">
        <f t="shared" si="342"/>
        <v>0.08</v>
      </c>
      <c r="BG89" s="41">
        <f t="shared" si="342"/>
        <v>0.08</v>
      </c>
      <c r="BH89" s="1422">
        <f t="shared" ref="BH89:BK89" si="343">+BH86</f>
        <v>0.12</v>
      </c>
      <c r="BI89" s="1420">
        <f t="shared" si="343"/>
        <v>0.12</v>
      </c>
      <c r="BJ89" s="1420">
        <f t="shared" si="343"/>
        <v>0.12</v>
      </c>
      <c r="BK89" s="1421">
        <f t="shared" si="343"/>
        <v>0.12</v>
      </c>
      <c r="BL89" s="1442">
        <f t="shared" ref="BL89:BO89" si="344">+BL86</f>
        <v>0.12</v>
      </c>
      <c r="BM89" s="1440">
        <f t="shared" si="344"/>
        <v>0.12</v>
      </c>
      <c r="BN89" s="1440">
        <f t="shared" si="344"/>
        <v>0.12</v>
      </c>
      <c r="BO89" s="1441">
        <f t="shared" si="344"/>
        <v>0.12</v>
      </c>
      <c r="BP89" s="253"/>
      <c r="BQ89" s="1283">
        <f t="shared" ref="BQ89:CB89" si="345">BQ88/BQ82</f>
        <v>0.30577963207797687</v>
      </c>
      <c r="BR89" s="1282">
        <f t="shared" si="345"/>
        <v>0.18107537414444708</v>
      </c>
      <c r="BS89" s="1282">
        <f t="shared" si="345"/>
        <v>0.24290390590469468</v>
      </c>
      <c r="BT89" s="1282">
        <f t="shared" si="345"/>
        <v>0.21142913799469243</v>
      </c>
      <c r="BU89" s="1282">
        <f t="shared" si="345"/>
        <v>0.16263453256884594</v>
      </c>
      <c r="BV89" s="1282">
        <f t="shared" si="345"/>
        <v>0.21084995538032331</v>
      </c>
      <c r="BW89" s="1282">
        <f t="shared" si="345"/>
        <v>0.18898585352837025</v>
      </c>
      <c r="BX89" s="1282">
        <f t="shared" si="345"/>
        <v>0.19945458392644916</v>
      </c>
      <c r="BY89" s="1282">
        <f t="shared" si="345"/>
        <v>0.12722854391349381</v>
      </c>
      <c r="BZ89" s="1442">
        <f t="shared" si="345"/>
        <v>0.14165457577629167</v>
      </c>
      <c r="CA89" s="1440">
        <f t="shared" si="345"/>
        <v>0.13521602266806193</v>
      </c>
      <c r="CB89" s="1440">
        <f t="shared" si="345"/>
        <v>0.11163605689325415</v>
      </c>
      <c r="CC89" s="1440">
        <f>CC88/CC82</f>
        <v>9.0026229889458145E-2</v>
      </c>
      <c r="CD89" s="1440">
        <f t="shared" ref="CD89:CE89" si="346">CD88/CD82</f>
        <v>7.322174096151006E-2</v>
      </c>
      <c r="CE89" s="1440">
        <f t="shared" si="346"/>
        <v>0.12000000000000005</v>
      </c>
      <c r="CF89" s="1441">
        <f t="shared" ref="CF89" si="347">CF88/CF82</f>
        <v>0.12000000000000002</v>
      </c>
      <c r="CG89" s="23"/>
      <c r="CH89" s="42">
        <f t="shared" ref="CH89:CR89" si="348">CH88/CH82</f>
        <v>0.30698380816337384</v>
      </c>
      <c r="CI89" s="40">
        <f t="shared" si="348"/>
        <v>0.18326753392965667</v>
      </c>
      <c r="CJ89" s="40">
        <f t="shared" si="348"/>
        <v>0.24515222530028163</v>
      </c>
      <c r="CK89" s="40">
        <f t="shared" si="348"/>
        <v>0.19550310953436542</v>
      </c>
      <c r="CL89" s="40">
        <f t="shared" si="348"/>
        <v>0.18051643971437756</v>
      </c>
      <c r="CM89" s="1440">
        <f t="shared" si="348"/>
        <v>0.20246252908385232</v>
      </c>
      <c r="CN89" s="1440">
        <f t="shared" si="348"/>
        <v>0.20160274163881797</v>
      </c>
      <c r="CO89" s="1440">
        <f t="shared" si="348"/>
        <v>0.18634608350106333</v>
      </c>
      <c r="CP89" s="1440">
        <f t="shared" si="348"/>
        <v>0.12226002687317403</v>
      </c>
      <c r="CQ89" s="1440">
        <f t="shared" si="348"/>
        <v>0.15006314640227802</v>
      </c>
      <c r="CR89" s="1440">
        <f t="shared" si="348"/>
        <v>0.12734554010093249</v>
      </c>
      <c r="CS89" s="1207">
        <f>CS88/CS82</f>
        <v>9.214681899766336E-2</v>
      </c>
      <c r="CT89" s="1207">
        <f>CT88/CT82</f>
        <v>8.7813704548297386E-2</v>
      </c>
      <c r="CU89" s="1440">
        <f>CU88/CU82</f>
        <v>8.7076111117932453E-2</v>
      </c>
      <c r="CV89" s="1441">
        <f>CV88/CV82</f>
        <v>0.12000000000000006</v>
      </c>
      <c r="CW89" s="17"/>
    </row>
    <row r="90" spans="1:112" ht="14.25" hidden="1" customHeight="1" outlineLevel="1">
      <c r="A90" s="8"/>
      <c r="B90" s="26"/>
      <c r="C90" s="27"/>
      <c r="D90" s="45"/>
      <c r="E90" s="45"/>
      <c r="F90" s="62"/>
      <c r="G90" s="46"/>
      <c r="H90" s="45"/>
      <c r="I90" s="45"/>
      <c r="J90" s="62"/>
      <c r="K90" s="46"/>
      <c r="L90" s="45"/>
      <c r="M90" s="45"/>
      <c r="N90" s="62"/>
      <c r="O90" s="46"/>
      <c r="P90" s="45"/>
      <c r="Q90" s="45"/>
      <c r="R90" s="62"/>
      <c r="S90" s="46"/>
      <c r="T90" s="45"/>
      <c r="U90" s="45"/>
      <c r="V90" s="62"/>
      <c r="W90" s="46"/>
      <c r="X90" s="45"/>
      <c r="Y90" s="45"/>
      <c r="Z90" s="62"/>
      <c r="AA90" s="46"/>
      <c r="AB90" s="45"/>
      <c r="AC90" s="45"/>
      <c r="AD90" s="62"/>
      <c r="AE90" s="45"/>
      <c r="AF90" s="47"/>
      <c r="AG90" s="45"/>
      <c r="AH90" s="62"/>
      <c r="AI90" s="45"/>
      <c r="AJ90" s="636"/>
      <c r="AK90" s="45"/>
      <c r="AL90" s="62"/>
      <c r="AM90" s="45"/>
      <c r="AN90" s="636"/>
      <c r="AO90" s="45"/>
      <c r="AP90" s="62"/>
      <c r="AQ90" s="45"/>
      <c r="AR90" s="636"/>
      <c r="AS90" s="45"/>
      <c r="AT90" s="62"/>
      <c r="AU90" s="45"/>
      <c r="AV90" s="636"/>
      <c r="AW90" s="45"/>
      <c r="AX90" s="62"/>
      <c r="AY90" s="45"/>
      <c r="AZ90" s="636"/>
      <c r="BA90" s="45"/>
      <c r="BB90" s="62"/>
      <c r="BC90" s="62"/>
      <c r="BD90" s="636"/>
      <c r="BE90" s="45"/>
      <c r="BF90" s="45"/>
      <c r="BG90" s="1027"/>
      <c r="BH90" s="636"/>
      <c r="BI90" s="45"/>
      <c r="BJ90" s="45"/>
      <c r="BK90" s="1027"/>
      <c r="BL90" s="636"/>
      <c r="BM90" s="45"/>
      <c r="BN90" s="45"/>
      <c r="BO90" s="1027"/>
      <c r="BP90" s="253"/>
      <c r="BQ90" s="47"/>
      <c r="BR90" s="45"/>
      <c r="BS90" s="45"/>
      <c r="BT90" s="45"/>
      <c r="BU90" s="45"/>
      <c r="BV90" s="45"/>
      <c r="BW90" s="45"/>
      <c r="BX90" s="45"/>
      <c r="BY90" s="45"/>
      <c r="BZ90" s="47"/>
      <c r="CA90" s="45"/>
      <c r="CB90" s="45"/>
      <c r="CC90" s="45"/>
      <c r="CD90" s="45"/>
      <c r="CE90" s="45"/>
      <c r="CF90" s="46"/>
      <c r="CG90" s="23"/>
      <c r="CH90" s="397"/>
      <c r="CI90" s="396"/>
      <c r="CJ90" s="396"/>
      <c r="CK90" s="396"/>
      <c r="CL90" s="396"/>
      <c r="CM90" s="396"/>
      <c r="CN90" s="396"/>
      <c r="CO90" s="396"/>
      <c r="CP90" s="396"/>
      <c r="CQ90" s="396"/>
      <c r="CR90" s="396"/>
      <c r="CS90" s="396"/>
      <c r="CT90" s="396"/>
      <c r="CU90" s="396"/>
      <c r="CV90" s="1023"/>
      <c r="CW90" s="17"/>
    </row>
    <row r="91" spans="1:112" ht="14.25" customHeight="1" collapsed="1">
      <c r="A91" s="8"/>
      <c r="B91" s="51" t="s">
        <v>469</v>
      </c>
      <c r="C91" s="52"/>
      <c r="D91" s="54">
        <f t="shared" ref="D91:AK91" si="349">D79-D85</f>
        <v>107.44299999999991</v>
      </c>
      <c r="E91" s="54">
        <f t="shared" si="349"/>
        <v>117.59900000000002</v>
      </c>
      <c r="F91" s="54">
        <f t="shared" si="349"/>
        <v>121.40400000000005</v>
      </c>
      <c r="G91" s="55">
        <f t="shared" si="349"/>
        <v>68.341000000000051</v>
      </c>
      <c r="H91" s="54">
        <f t="shared" si="349"/>
        <v>106.81299999999997</v>
      </c>
      <c r="I91" s="54">
        <f t="shared" si="349"/>
        <v>133.71699999999998</v>
      </c>
      <c r="J91" s="54">
        <f t="shared" si="349"/>
        <v>135.76699999999997</v>
      </c>
      <c r="K91" s="55">
        <f t="shared" si="349"/>
        <v>139.26900000000001</v>
      </c>
      <c r="L91" s="54">
        <f t="shared" si="349"/>
        <v>156.23399999999998</v>
      </c>
      <c r="M91" s="54">
        <f t="shared" si="349"/>
        <v>125.57799999999995</v>
      </c>
      <c r="N91" s="54">
        <f t="shared" si="349"/>
        <v>125.40600000000009</v>
      </c>
      <c r="O91" s="55">
        <f t="shared" si="349"/>
        <v>94.68600000000005</v>
      </c>
      <c r="P91" s="54">
        <f t="shared" si="349"/>
        <v>121.84800000000001</v>
      </c>
      <c r="Q91" s="54">
        <f t="shared" si="349"/>
        <v>129.89200000000005</v>
      </c>
      <c r="R91" s="54">
        <f t="shared" si="349"/>
        <v>129.19499999999999</v>
      </c>
      <c r="S91" s="55">
        <f t="shared" si="349"/>
        <v>144.24200000000008</v>
      </c>
      <c r="T91" s="54">
        <f t="shared" si="349"/>
        <v>24.585000000000008</v>
      </c>
      <c r="U91" s="54">
        <f t="shared" si="349"/>
        <v>51.754000000000019</v>
      </c>
      <c r="V91" s="54">
        <f t="shared" si="349"/>
        <v>65.45999999999998</v>
      </c>
      <c r="W91" s="55">
        <f t="shared" si="349"/>
        <v>105.60900000000004</v>
      </c>
      <c r="X91" s="54">
        <f t="shared" si="349"/>
        <v>119.59999999999994</v>
      </c>
      <c r="Y91" s="54">
        <f t="shared" si="349"/>
        <v>167.14</v>
      </c>
      <c r="Z91" s="54">
        <f t="shared" si="349"/>
        <v>199.49099999999999</v>
      </c>
      <c r="AA91" s="55">
        <f t="shared" si="349"/>
        <v>224.99400000000009</v>
      </c>
      <c r="AB91" s="54">
        <f t="shared" si="349"/>
        <v>215.60599999999999</v>
      </c>
      <c r="AC91" s="54">
        <f t="shared" si="349"/>
        <v>241.82599999999991</v>
      </c>
      <c r="AD91" s="54">
        <f t="shared" si="349"/>
        <v>219.93500000000003</v>
      </c>
      <c r="AE91" s="54">
        <f t="shared" si="349"/>
        <v>183.52699999999999</v>
      </c>
      <c r="AF91" s="53">
        <f t="shared" si="349"/>
        <v>139.38199999999998</v>
      </c>
      <c r="AG91" s="54">
        <f t="shared" si="349"/>
        <v>162.89900000000003</v>
      </c>
      <c r="AH91" s="54">
        <f t="shared" si="349"/>
        <v>169.76799999999994</v>
      </c>
      <c r="AI91" s="54">
        <f t="shared" si="349"/>
        <v>179.18700000000007</v>
      </c>
      <c r="AJ91" s="53">
        <f t="shared" si="349"/>
        <v>131.22200000000001</v>
      </c>
      <c r="AK91" s="54">
        <f t="shared" si="349"/>
        <v>164.47199999999998</v>
      </c>
      <c r="AL91" s="54">
        <f t="shared" ref="AL91:AQ91" si="350">AL79-AL85</f>
        <v>176.23900000000003</v>
      </c>
      <c r="AM91" s="54">
        <f t="shared" si="350"/>
        <v>201.55400000000006</v>
      </c>
      <c r="AN91" s="53">
        <f t="shared" si="350"/>
        <v>152.58600000000007</v>
      </c>
      <c r="AO91" s="54">
        <f t="shared" si="350"/>
        <v>187.43299999999991</v>
      </c>
      <c r="AP91" s="54">
        <f t="shared" si="350"/>
        <v>180.60599999999994</v>
      </c>
      <c r="AQ91" s="54">
        <f t="shared" si="350"/>
        <v>108.69499999999998</v>
      </c>
      <c r="AR91" s="53">
        <f t="shared" ref="AR91:AU91" si="351">AR79-AR85</f>
        <v>178.75699999999998</v>
      </c>
      <c r="AS91" s="54">
        <f t="shared" si="351"/>
        <v>205.33800000000005</v>
      </c>
      <c r="AT91" s="54">
        <f t="shared" si="351"/>
        <v>216.47800000000007</v>
      </c>
      <c r="AU91" s="54">
        <f t="shared" si="351"/>
        <v>96.305000000000106</v>
      </c>
      <c r="AV91" s="53">
        <f>AV79-AV85</f>
        <v>164.50399999999996</v>
      </c>
      <c r="AW91" s="54">
        <f>AW79-AW85</f>
        <v>170.57299999999992</v>
      </c>
      <c r="AX91" s="54">
        <f>AX79-AX85</f>
        <v>230.42999999999992</v>
      </c>
      <c r="AY91" s="54">
        <f t="shared" ref="AY91" si="352">AY79-AY85</f>
        <v>296.1570000000001</v>
      </c>
      <c r="AZ91" s="53">
        <f>AZ79-AZ85</f>
        <v>217.12899999999991</v>
      </c>
      <c r="BA91" s="54">
        <f>BA79-BA85</f>
        <v>93.563999999999965</v>
      </c>
      <c r="BB91" s="54">
        <f>BB79-BB85</f>
        <v>68.916000000000025</v>
      </c>
      <c r="BC91" s="54">
        <f>BC79-BC85</f>
        <v>347.65000000000015</v>
      </c>
      <c r="BD91" s="53">
        <f>BD79-BD85</f>
        <v>268.17200000000003</v>
      </c>
      <c r="BE91" s="54">
        <f t="shared" ref="BE91:BG91" si="353">BE79-BE85</f>
        <v>360.98042645555978</v>
      </c>
      <c r="BF91" s="54">
        <f t="shared" si="353"/>
        <v>528.96839675493754</v>
      </c>
      <c r="BG91" s="55">
        <f t="shared" si="353"/>
        <v>556.93309973660143</v>
      </c>
      <c r="BH91" s="53">
        <f t="shared" ref="BH91:BK91" si="354">BH79-BH85</f>
        <v>479.45640495781339</v>
      </c>
      <c r="BI91" s="54">
        <f t="shared" si="354"/>
        <v>524.20737207307582</v>
      </c>
      <c r="BJ91" s="54">
        <f t="shared" si="354"/>
        <v>562.63532786794281</v>
      </c>
      <c r="BK91" s="55">
        <f t="shared" si="354"/>
        <v>600.52626968575726</v>
      </c>
      <c r="BL91" s="53">
        <f t="shared" ref="BL91:BO91" si="355">BL79-BL85</f>
        <v>539.3776174205766</v>
      </c>
      <c r="BM91" s="54">
        <f t="shared" si="355"/>
        <v>583.80046747766767</v>
      </c>
      <c r="BN91" s="54">
        <f t="shared" si="355"/>
        <v>619.48675405347069</v>
      </c>
      <c r="BO91" s="55">
        <f t="shared" si="355"/>
        <v>653.47537969215841</v>
      </c>
      <c r="BP91" s="253"/>
      <c r="BQ91" s="53">
        <f t="shared" ref="BQ91:CE91" si="356">BQ79-BQ85</f>
        <v>414.78699999999992</v>
      </c>
      <c r="BR91" s="54">
        <f t="shared" si="356"/>
        <v>515.56599999999969</v>
      </c>
      <c r="BS91" s="54">
        <f t="shared" si="356"/>
        <v>501.90400000000011</v>
      </c>
      <c r="BT91" s="54">
        <f t="shared" si="356"/>
        <v>525.17700000000013</v>
      </c>
      <c r="BU91" s="54">
        <f t="shared" si="356"/>
        <v>247.40799999999979</v>
      </c>
      <c r="BV91" s="54">
        <f t="shared" si="356"/>
        <v>711.22499999999991</v>
      </c>
      <c r="BW91" s="54">
        <f t="shared" si="356"/>
        <v>860.89400000000012</v>
      </c>
      <c r="BX91" s="54">
        <f t="shared" si="356"/>
        <v>651.23599999999965</v>
      </c>
      <c r="BY91" s="54">
        <f t="shared" si="356"/>
        <v>673.48700000000031</v>
      </c>
      <c r="BZ91" s="53">
        <f t="shared" si="356"/>
        <v>629.31999999999971</v>
      </c>
      <c r="CA91" s="54">
        <f>CA79-CA85</f>
        <v>696.8779999999997</v>
      </c>
      <c r="CB91" s="54">
        <f>CB79-CB85</f>
        <v>861.66400000000033</v>
      </c>
      <c r="CC91" s="54">
        <f>CC79-CC85</f>
        <v>727.25900000000024</v>
      </c>
      <c r="CD91" s="54">
        <f t="shared" si="356"/>
        <v>1715.0539229470987</v>
      </c>
      <c r="CE91" s="54">
        <f t="shared" si="356"/>
        <v>2166.8253745845882</v>
      </c>
      <c r="CF91" s="55">
        <f t="shared" ref="CF91" si="357">CF79-CF85</f>
        <v>2396.1402186438727</v>
      </c>
      <c r="CG91" s="23"/>
      <c r="CH91" s="53">
        <f t="shared" ref="CH91:CP91" si="358">CH79-CH85</f>
        <v>414.15700000000021</v>
      </c>
      <c r="CI91" s="54">
        <f t="shared" si="358"/>
        <v>564.98699999999985</v>
      </c>
      <c r="CJ91" s="54">
        <f t="shared" si="358"/>
        <v>467.51800000000048</v>
      </c>
      <c r="CK91" s="54">
        <f t="shared" si="358"/>
        <v>427.91399999999987</v>
      </c>
      <c r="CL91" s="54">
        <f t="shared" si="358"/>
        <v>342.42300000000006</v>
      </c>
      <c r="CM91" s="54">
        <f t="shared" si="358"/>
        <v>807.23099999999999</v>
      </c>
      <c r="CN91" s="54">
        <f t="shared" si="358"/>
        <v>784.66999999999985</v>
      </c>
      <c r="CO91" s="54">
        <f t="shared" si="358"/>
        <v>643.07599999999991</v>
      </c>
      <c r="CP91" s="54">
        <f t="shared" si="358"/>
        <v>694.85100000000011</v>
      </c>
      <c r="CQ91" s="54">
        <f t="shared" ref="CQ91:CV91" si="359">CQ79-CQ85</f>
        <v>655.49099999999953</v>
      </c>
      <c r="CR91" s="54">
        <f t="shared" si="359"/>
        <v>682.62499999999977</v>
      </c>
      <c r="CS91" s="54">
        <f t="shared" si="359"/>
        <v>914.28899999999999</v>
      </c>
      <c r="CT91" s="54">
        <f t="shared" si="359"/>
        <v>778.30199999999945</v>
      </c>
      <c r="CU91" s="54">
        <f t="shared" si="359"/>
        <v>1926.3383279049133</v>
      </c>
      <c r="CV91" s="55">
        <f t="shared" si="359"/>
        <v>2226.7465870473511</v>
      </c>
      <c r="CW91" s="17"/>
    </row>
    <row r="92" spans="1:112" ht="14.25" hidden="1" customHeight="1" outlineLevel="1">
      <c r="A92" s="8"/>
      <c r="B92" s="38" t="s">
        <v>463</v>
      </c>
      <c r="C92" s="39"/>
      <c r="D92" s="40">
        <f t="shared" ref="D92:W92" si="360">D91/D$10</f>
        <v>0.18507551641930892</v>
      </c>
      <c r="E92" s="40">
        <f t="shared" si="360"/>
        <v>0.1947886955340668</v>
      </c>
      <c r="F92" s="40">
        <f t="shared" si="360"/>
        <v>0.2084489437103377</v>
      </c>
      <c r="G92" s="41">
        <f t="shared" si="360"/>
        <v>0.10985003134393141</v>
      </c>
      <c r="H92" s="40">
        <f t="shared" si="360"/>
        <v>0.19189365929726598</v>
      </c>
      <c r="I92" s="40">
        <f t="shared" si="360"/>
        <v>0.23148285998192686</v>
      </c>
      <c r="J92" s="40">
        <f t="shared" si="360"/>
        <v>0.22668826127246766</v>
      </c>
      <c r="K92" s="41">
        <f t="shared" si="360"/>
        <v>0.22841318366998839</v>
      </c>
      <c r="L92" s="40">
        <f t="shared" si="360"/>
        <v>0.24946947378505901</v>
      </c>
      <c r="M92" s="40">
        <f t="shared" si="360"/>
        <v>0.21017836490745337</v>
      </c>
      <c r="N92" s="40">
        <f t="shared" si="360"/>
        <v>0.20310933529414638</v>
      </c>
      <c r="O92" s="41">
        <f t="shared" si="360"/>
        <v>0.15185183997228743</v>
      </c>
      <c r="P92" s="40">
        <f t="shared" si="360"/>
        <v>0.19847892765865954</v>
      </c>
      <c r="Q92" s="40">
        <f t="shared" si="360"/>
        <v>0.200036960606154</v>
      </c>
      <c r="R92" s="40">
        <f t="shared" si="360"/>
        <v>0.19605120594367709</v>
      </c>
      <c r="S92" s="41">
        <f t="shared" si="360"/>
        <v>0.21831825832152771</v>
      </c>
      <c r="T92" s="40">
        <f t="shared" si="360"/>
        <v>5.1587493101733446E-2</v>
      </c>
      <c r="U92" s="40">
        <f t="shared" si="360"/>
        <v>0.10901362407003298</v>
      </c>
      <c r="V92" s="40">
        <f t="shared" si="360"/>
        <v>0.13305121435148201</v>
      </c>
      <c r="W92" s="41">
        <f t="shared" si="360"/>
        <v>0.18476032190342903</v>
      </c>
      <c r="X92" s="40">
        <f t="shared" ref="X92:AN92" si="361">X91/X$10</f>
        <v>0.19834721708572206</v>
      </c>
      <c r="Y92" s="40">
        <f t="shared" si="361"/>
        <v>0.25011971746677836</v>
      </c>
      <c r="Z92" s="40">
        <f t="shared" si="361"/>
        <v>0.27695928028988326</v>
      </c>
      <c r="AA92" s="41">
        <f t="shared" si="361"/>
        <v>0.29220379485447873</v>
      </c>
      <c r="AB92" s="40">
        <f t="shared" si="361"/>
        <v>0.29595719446976265</v>
      </c>
      <c r="AC92" s="40">
        <f>AC91/AC$10</f>
        <v>0.30580692480841692</v>
      </c>
      <c r="AD92" s="40">
        <f>AD91/AD$10</f>
        <v>0.29018923290874021</v>
      </c>
      <c r="AE92" s="40">
        <f t="shared" si="361"/>
        <v>0.25627466368026092</v>
      </c>
      <c r="AF92" s="42">
        <f t="shared" si="361"/>
        <v>0.21507642834437654</v>
      </c>
      <c r="AG92" s="40">
        <f t="shared" si="361"/>
        <v>0.24129824883645837</v>
      </c>
      <c r="AH92" s="40">
        <f>AH91/AH$10</f>
        <v>0.24855276373080959</v>
      </c>
      <c r="AI92" s="40">
        <f t="shared" si="361"/>
        <v>0.25783637713608193</v>
      </c>
      <c r="AJ92" s="42">
        <f t="shared" si="361"/>
        <v>0.21092240578396296</v>
      </c>
      <c r="AK92" s="40">
        <f t="shared" si="361"/>
        <v>0.24948350398179747</v>
      </c>
      <c r="AL92" s="40">
        <f>AL91/AL$10</f>
        <v>0.26141548447577179</v>
      </c>
      <c r="AM92" s="40">
        <f t="shared" si="361"/>
        <v>0.29721898211707742</v>
      </c>
      <c r="AN92" s="42">
        <f t="shared" si="361"/>
        <v>0.2428792909693461</v>
      </c>
      <c r="AO92" s="40">
        <f t="shared" ref="AO92:AX92" si="362">AO91/AO$10</f>
        <v>0.26986794061070979</v>
      </c>
      <c r="AP92" s="40">
        <f t="shared" si="362"/>
        <v>0.24816970616363809</v>
      </c>
      <c r="AQ92" s="40">
        <f t="shared" si="362"/>
        <v>0.13349143441732053</v>
      </c>
      <c r="AR92" s="42">
        <f t="shared" si="362"/>
        <v>0.23155471731352639</v>
      </c>
      <c r="AS92" s="40">
        <f t="shared" si="362"/>
        <v>0.25010139838420309</v>
      </c>
      <c r="AT92" s="40">
        <f t="shared" si="362"/>
        <v>0.25073752121061205</v>
      </c>
      <c r="AU92" s="1440">
        <f t="shared" si="362"/>
        <v>9.8398728137305699E-2</v>
      </c>
      <c r="AV92" s="1209">
        <f t="shared" si="362"/>
        <v>0.21380010371327304</v>
      </c>
      <c r="AW92" s="1207">
        <f t="shared" si="362"/>
        <v>0.21902984978799783</v>
      </c>
      <c r="AX92" s="1207">
        <f t="shared" si="362"/>
        <v>0.26498664314603065</v>
      </c>
      <c r="AY92" s="1440">
        <f t="shared" ref="AY92" si="363">AY91/AY$10</f>
        <v>0.29508789655079654</v>
      </c>
      <c r="AZ92" s="1442">
        <f t="shared" ref="AZ92" si="364">AZ91/AZ$10</f>
        <v>0.22055891163483321</v>
      </c>
      <c r="BA92" s="1282">
        <f t="shared" ref="BA92:BG92" si="365">BA91/BA$10</f>
        <v>8.1503020082196384E-2</v>
      </c>
      <c r="BB92" s="1282">
        <f t="shared" si="365"/>
        <v>4.8061861968251685E-2</v>
      </c>
      <c r="BC92" s="1440">
        <f t="shared" ref="BC92:BD92" si="366">BC91/BC$10</f>
        <v>0.22557537455309937</v>
      </c>
      <c r="BD92" s="1442">
        <f t="shared" si="366"/>
        <v>0.17658880670923152</v>
      </c>
      <c r="BE92" s="40">
        <f t="shared" si="365"/>
        <v>0.24550231704052727</v>
      </c>
      <c r="BF92" s="40">
        <f t="shared" si="365"/>
        <v>0.34950246864474999</v>
      </c>
      <c r="BG92" s="41">
        <f t="shared" si="365"/>
        <v>0.35622028990688753</v>
      </c>
      <c r="BH92" s="1422">
        <f t="shared" ref="BH92:BK92" si="367">BH91/BH$10</f>
        <v>0.32350105857564632</v>
      </c>
      <c r="BI92" s="1420">
        <f t="shared" si="367"/>
        <v>0.33823207504758501</v>
      </c>
      <c r="BJ92" s="1420">
        <f t="shared" si="367"/>
        <v>0.35018526696077917</v>
      </c>
      <c r="BK92" s="1421">
        <f t="shared" si="367"/>
        <v>0.35881188287342558</v>
      </c>
      <c r="BL92" s="1442">
        <f t="shared" ref="BL92:BO92" si="368">BL91/BL$10</f>
        <v>0.33994198150701493</v>
      </c>
      <c r="BM92" s="1440">
        <f t="shared" si="368"/>
        <v>0.35300149204985842</v>
      </c>
      <c r="BN92" s="1440">
        <f t="shared" si="368"/>
        <v>0.36312179945711981</v>
      </c>
      <c r="BO92" s="1441">
        <f t="shared" si="368"/>
        <v>0.36991121595817694</v>
      </c>
      <c r="BP92" s="253"/>
      <c r="BQ92" s="1283">
        <f t="shared" ref="BQ92:BW92" si="369">BQ91/BQ$10</f>
        <v>0.17363764689334593</v>
      </c>
      <c r="BR92" s="1282">
        <f t="shared" si="369"/>
        <v>0.22005284860466781</v>
      </c>
      <c r="BS92" s="1282">
        <f t="shared" si="369"/>
        <v>0.20363521875295423</v>
      </c>
      <c r="BT92" s="1282">
        <f t="shared" si="369"/>
        <v>0.20332598896370058</v>
      </c>
      <c r="BU92" s="1282">
        <f t="shared" si="369"/>
        <v>0.12278873278581444</v>
      </c>
      <c r="BV92" s="1282">
        <f t="shared" si="369"/>
        <v>0.25754996463882168</v>
      </c>
      <c r="BW92" s="1282">
        <f t="shared" si="369"/>
        <v>0.2876050672831505</v>
      </c>
      <c r="BX92" s="1282">
        <f t="shared" ref="BX92:CE92" si="370">BX91/BX$10</f>
        <v>0.24109654361007296</v>
      </c>
      <c r="BY92" s="1282">
        <f t="shared" si="370"/>
        <v>0.2557200185747065</v>
      </c>
      <c r="BZ92" s="1442">
        <f t="shared" si="370"/>
        <v>0.21967534600472699</v>
      </c>
      <c r="CA92" s="1440">
        <f t="shared" si="370"/>
        <v>0.20287025791448957</v>
      </c>
      <c r="CB92" s="1440">
        <f t="shared" si="370"/>
        <v>0.25184478090751511</v>
      </c>
      <c r="CC92" s="1440">
        <f>CC91/CC$10</f>
        <v>0.14239032262927701</v>
      </c>
      <c r="CD92" s="1440">
        <f t="shared" si="370"/>
        <v>0.282735065744318</v>
      </c>
      <c r="CE92" s="1440">
        <f t="shared" si="370"/>
        <v>0.34327238321630194</v>
      </c>
      <c r="CF92" s="1441">
        <f t="shared" ref="CF92" si="371">CF91/CF$10</f>
        <v>0.35693655237928507</v>
      </c>
      <c r="CG92" s="23"/>
      <c r="CH92" s="42">
        <f t="shared" ref="CH92:CN92" si="372">CH91/CH$10</f>
        <v>0.1751267919377496</v>
      </c>
      <c r="CI92" s="40">
        <f t="shared" si="372"/>
        <v>0.23418587242254896</v>
      </c>
      <c r="CJ92" s="40">
        <f t="shared" si="372"/>
        <v>0.19063964785013668</v>
      </c>
      <c r="CK92" s="40">
        <f t="shared" si="372"/>
        <v>0.1749736566743989</v>
      </c>
      <c r="CL92" s="40">
        <f t="shared" si="372"/>
        <v>0.15991196092880941</v>
      </c>
      <c r="CM92" s="1440">
        <f t="shared" si="372"/>
        <v>0.27960661220689542</v>
      </c>
      <c r="CN92" s="1440">
        <f t="shared" si="372"/>
        <v>0.26938000064541062</v>
      </c>
      <c r="CO92" s="1440">
        <f t="shared" ref="CO92:CT92" si="373">CO91/CO$10</f>
        <v>0.24038265292772401</v>
      </c>
      <c r="CP92" s="1440">
        <f t="shared" si="373"/>
        <v>0.26322177534374858</v>
      </c>
      <c r="CQ92" s="1440">
        <f t="shared" si="373"/>
        <v>0.21787815341824093</v>
      </c>
      <c r="CR92" s="1440">
        <f t="shared" si="373"/>
        <v>0.19886905741674879</v>
      </c>
      <c r="CS92" s="1207">
        <f t="shared" si="373"/>
        <v>0.25142495563642242</v>
      </c>
      <c r="CT92" s="1207">
        <f t="shared" si="373"/>
        <v>0.13795576422475714</v>
      </c>
      <c r="CU92" s="1440">
        <f t="shared" ref="CU92:CV92" si="374">CU91/CU$10</f>
        <v>0.31949077829209716</v>
      </c>
      <c r="CV92" s="1441">
        <f t="shared" si="374"/>
        <v>0.34701542386223766</v>
      </c>
      <c r="CW92" s="17"/>
    </row>
    <row r="93" spans="1:112" ht="14.25" hidden="1" customHeight="1" outlineLevel="1">
      <c r="A93" s="8"/>
      <c r="B93" s="38"/>
      <c r="C93" s="39"/>
      <c r="D93" s="40"/>
      <c r="E93" s="40"/>
      <c r="F93" s="40"/>
      <c r="G93" s="41"/>
      <c r="H93" s="40"/>
      <c r="I93" s="40"/>
      <c r="J93" s="40"/>
      <c r="K93" s="41"/>
      <c r="L93" s="40"/>
      <c r="M93" s="40"/>
      <c r="N93" s="40"/>
      <c r="O93" s="41"/>
      <c r="P93" s="40"/>
      <c r="Q93" s="40"/>
      <c r="R93" s="40"/>
      <c r="S93" s="41"/>
      <c r="T93" s="40"/>
      <c r="U93" s="40"/>
      <c r="V93" s="40"/>
      <c r="W93" s="41"/>
      <c r="X93" s="40"/>
      <c r="Y93" s="40"/>
      <c r="Z93" s="40"/>
      <c r="AA93" s="41"/>
      <c r="AB93" s="40"/>
      <c r="AC93" s="40"/>
      <c r="AD93" s="40"/>
      <c r="AE93" s="40"/>
      <c r="AF93" s="42"/>
      <c r="AG93" s="40"/>
      <c r="AH93" s="40"/>
      <c r="AI93" s="40"/>
      <c r="AJ93" s="42"/>
      <c r="AK93" s="40"/>
      <c r="AL93" s="40"/>
      <c r="AM93" s="40"/>
      <c r="AN93" s="42"/>
      <c r="AO93" s="40"/>
      <c r="AP93" s="40"/>
      <c r="AQ93" s="40"/>
      <c r="AR93" s="42"/>
      <c r="AS93" s="40"/>
      <c r="AT93" s="40"/>
      <c r="AU93" s="1440"/>
      <c r="AV93" s="1209"/>
      <c r="AW93" s="1207"/>
      <c r="AX93" s="1207"/>
      <c r="AY93" s="1440"/>
      <c r="AZ93" s="1442"/>
      <c r="BA93" s="1282"/>
      <c r="BB93" s="1282"/>
      <c r="BC93" s="1440"/>
      <c r="BD93" s="1442"/>
      <c r="BE93" s="40"/>
      <c r="BF93" s="40"/>
      <c r="BG93" s="41"/>
      <c r="BH93" s="1422"/>
      <c r="BI93" s="1420"/>
      <c r="BJ93" s="1420"/>
      <c r="BK93" s="1421"/>
      <c r="BL93" s="1442"/>
      <c r="BM93" s="1440"/>
      <c r="BN93" s="1440"/>
      <c r="BO93" s="1441"/>
      <c r="BP93" s="253"/>
      <c r="BQ93" s="1283"/>
      <c r="BR93" s="1282"/>
      <c r="BS93" s="1282"/>
      <c r="BT93" s="1282"/>
      <c r="BU93" s="1282"/>
      <c r="BV93" s="1282"/>
      <c r="BW93" s="1282"/>
      <c r="BX93" s="1282"/>
      <c r="BY93" s="1282"/>
      <c r="BZ93" s="1442"/>
      <c r="CA93" s="1440"/>
      <c r="CB93" s="1440"/>
      <c r="CC93" s="1440"/>
      <c r="CD93" s="1440"/>
      <c r="CE93" s="1440"/>
      <c r="CF93" s="1441"/>
      <c r="CG93" s="23"/>
      <c r="CH93" s="42"/>
      <c r="CI93" s="40"/>
      <c r="CJ93" s="40"/>
      <c r="CK93" s="40"/>
      <c r="CL93" s="40"/>
      <c r="CM93" s="1440"/>
      <c r="CN93" s="1440"/>
      <c r="CO93" s="1440"/>
      <c r="CP93" s="1440"/>
      <c r="CQ93" s="1440"/>
      <c r="CR93" s="1440"/>
      <c r="CS93" s="1207"/>
      <c r="CT93" s="1207"/>
      <c r="CU93" s="1440"/>
      <c r="CV93" s="1441"/>
      <c r="CW93" s="17"/>
    </row>
    <row r="94" spans="1:112" ht="14.25" hidden="1" customHeight="1" outlineLevel="1">
      <c r="A94" s="8"/>
      <c r="B94" s="26" t="s">
        <v>466</v>
      </c>
      <c r="C94" s="27"/>
      <c r="D94" s="35">
        <f t="shared" ref="D94:AO94" si="375">(D27+D42+D51+D55-D76)</f>
        <v>0.56799999999999995</v>
      </c>
      <c r="E94" s="35">
        <f t="shared" si="375"/>
        <v>-9.4E-2</v>
      </c>
      <c r="F94" s="35">
        <f t="shared" si="375"/>
        <v>9.4E-2</v>
      </c>
      <c r="G94" s="36">
        <f t="shared" si="375"/>
        <v>30.87</v>
      </c>
      <c r="H94" s="35">
        <f t="shared" si="375"/>
        <v>3.669</v>
      </c>
      <c r="I94" s="35">
        <f t="shared" si="375"/>
        <v>-13.352</v>
      </c>
      <c r="J94" s="35">
        <f t="shared" si="375"/>
        <v>5.9349999999999996</v>
      </c>
      <c r="K94" s="36">
        <f t="shared" si="375"/>
        <v>16.777000000000001</v>
      </c>
      <c r="L94" s="35">
        <f t="shared" si="375"/>
        <v>-2.2690000000000001</v>
      </c>
      <c r="M94" s="35">
        <f t="shared" si="375"/>
        <v>-0.10500000000000043</v>
      </c>
      <c r="N94" s="35">
        <f t="shared" si="375"/>
        <v>1.272</v>
      </c>
      <c r="O94" s="36">
        <f t="shared" si="375"/>
        <v>25.87</v>
      </c>
      <c r="P94" s="35">
        <f t="shared" si="375"/>
        <v>0.17299999999999999</v>
      </c>
      <c r="Q94" s="35">
        <f t="shared" si="375"/>
        <v>0.114</v>
      </c>
      <c r="R94" s="35">
        <f t="shared" si="375"/>
        <v>0.66400000000000003</v>
      </c>
      <c r="S94" s="36">
        <f t="shared" si="375"/>
        <v>2.101</v>
      </c>
      <c r="T94" s="35">
        <f t="shared" si="375"/>
        <v>41.166000000000004</v>
      </c>
      <c r="U94" s="35">
        <f t="shared" si="375"/>
        <v>11.122</v>
      </c>
      <c r="V94" s="35">
        <f t="shared" si="375"/>
        <v>0.108</v>
      </c>
      <c r="W94" s="36">
        <f t="shared" si="375"/>
        <v>0.16</v>
      </c>
      <c r="X94" s="35">
        <f t="shared" si="375"/>
        <v>16.972000000000001</v>
      </c>
      <c r="Y94" s="35">
        <f t="shared" si="375"/>
        <v>-0.48799999999999999</v>
      </c>
      <c r="Z94" s="35">
        <f t="shared" si="375"/>
        <v>0.41599999999999998</v>
      </c>
      <c r="AA94" s="36">
        <f t="shared" si="375"/>
        <v>-2.6</v>
      </c>
      <c r="AB94" s="35">
        <f t="shared" si="375"/>
        <v>4.1000000000000002E-2</v>
      </c>
      <c r="AC94" s="35">
        <f t="shared" si="375"/>
        <v>-0.151</v>
      </c>
      <c r="AD94" s="35">
        <f t="shared" si="375"/>
        <v>0.20599999999999999</v>
      </c>
      <c r="AE94" s="35">
        <f t="shared" si="375"/>
        <v>2.6349999999999998</v>
      </c>
      <c r="AF94" s="37">
        <f t="shared" si="375"/>
        <v>2.5470000000000002</v>
      </c>
      <c r="AG94" s="35">
        <f t="shared" si="375"/>
        <v>-1.4510000000000001</v>
      </c>
      <c r="AH94" s="35">
        <f t="shared" si="375"/>
        <v>5.8850000000000007</v>
      </c>
      <c r="AI94" s="35">
        <f t="shared" si="375"/>
        <v>-8.999999999999897E-3</v>
      </c>
      <c r="AJ94" s="37">
        <f t="shared" si="375"/>
        <v>14.27</v>
      </c>
      <c r="AK94" s="35">
        <f t="shared" si="375"/>
        <v>6.7080000000000002</v>
      </c>
      <c r="AL94" s="35">
        <f t="shared" si="375"/>
        <v>8.7539999999999996</v>
      </c>
      <c r="AM94" s="35">
        <f t="shared" si="375"/>
        <v>-70.180999999999997</v>
      </c>
      <c r="AN94" s="37">
        <f t="shared" si="375"/>
        <v>3.1160000000000001</v>
      </c>
      <c r="AO94" s="35">
        <f t="shared" si="375"/>
        <v>-0.25499999999999989</v>
      </c>
      <c r="AP94" s="35">
        <f>(AP27+AP42+AP51+AP55-AP60)</f>
        <v>32.262</v>
      </c>
      <c r="AQ94" s="35">
        <f>(AQ27+AQ42+AQ51+AQ55-AQ60)</f>
        <v>120.76299999999999</v>
      </c>
      <c r="AR94" s="37">
        <f>(AR27+AR42+AR51+AR55-AR76)</f>
        <v>33.933</v>
      </c>
      <c r="AS94" s="35">
        <f>(AS27+AS42+AS51+AS55-AS76)</f>
        <v>29.548999999999999</v>
      </c>
      <c r="AT94" s="35">
        <f>(AT27+AT42+AT51+AT55-AT60)</f>
        <v>29.935999999999996</v>
      </c>
      <c r="AU94" s="35">
        <f>(AU27+AU42+AU51+AU55-AU76-AU60)</f>
        <v>246.70599999999999</v>
      </c>
      <c r="AV94" s="37">
        <f>(AV27+AV42+AV51+AV55-AV76)</f>
        <v>21.808</v>
      </c>
      <c r="AW94" s="35">
        <f>(AW27+AW42+AW51+AW55-AW76)</f>
        <v>32.579000000000001</v>
      </c>
      <c r="AX94" s="35">
        <f>(AX27+AX42+AX51+AX55-AX60)</f>
        <v>27.780000000000005</v>
      </c>
      <c r="AY94" s="35">
        <f>(AY27+AY42+AY51+AY55-AY60-AY76)</f>
        <v>38.914000000000001</v>
      </c>
      <c r="AZ94" s="37">
        <f>(AZ27+AZ42+AZ51+AZ55-AZ60-AZ76)</f>
        <v>78.228999999999999</v>
      </c>
      <c r="BA94" s="35">
        <f>(BA27+BA42+BA51+BA55-BA60)</f>
        <v>311.839</v>
      </c>
      <c r="BB94" s="35">
        <f>(BB27+BB42+BB51+BB55-BB60)</f>
        <v>396.08500000000004</v>
      </c>
      <c r="BC94" s="35">
        <f>(BC27+BC42+BC51+BC55-BC60)</f>
        <v>208.81800000000001</v>
      </c>
      <c r="BD94" s="37">
        <f>(BD27+BD42+BD51+BD55-BD60-BD76)</f>
        <v>227.80799999999999</v>
      </c>
      <c r="BE94" s="35">
        <f t="shared" ref="BE94:BK94" si="376">(BE19+BE27+BE42+BE51+BE55-BE76)</f>
        <v>169</v>
      </c>
      <c r="BF94" s="35">
        <f t="shared" si="376"/>
        <v>0</v>
      </c>
      <c r="BG94" s="36">
        <f t="shared" si="376"/>
        <v>0</v>
      </c>
      <c r="BH94" s="37">
        <f t="shared" si="376"/>
        <v>0</v>
      </c>
      <c r="BI94" s="35">
        <f t="shared" si="376"/>
        <v>0</v>
      </c>
      <c r="BJ94" s="35">
        <f t="shared" si="376"/>
        <v>0</v>
      </c>
      <c r="BK94" s="36">
        <f t="shared" si="376"/>
        <v>0</v>
      </c>
      <c r="BL94" s="37">
        <f t="shared" ref="BL94:BO94" si="377">(BL19+BL27+BL42+BL51+BL55-BL76)</f>
        <v>0</v>
      </c>
      <c r="BM94" s="35">
        <f t="shared" si="377"/>
        <v>0</v>
      </c>
      <c r="BN94" s="35">
        <f t="shared" si="377"/>
        <v>0</v>
      </c>
      <c r="BO94" s="36">
        <f t="shared" si="377"/>
        <v>0</v>
      </c>
      <c r="BP94" s="253"/>
      <c r="BQ94" s="37">
        <f t="shared" ref="BQ94:BY94" si="378">(BQ27+BQ42+BQ51+BQ55-BQ76)</f>
        <v>31.437999999999999</v>
      </c>
      <c r="BR94" s="35">
        <f t="shared" si="378"/>
        <v>13.028999999999998</v>
      </c>
      <c r="BS94" s="35">
        <f t="shared" si="378"/>
        <v>24.767999999999994</v>
      </c>
      <c r="BT94" s="35">
        <f t="shared" si="378"/>
        <v>3.052</v>
      </c>
      <c r="BU94" s="35">
        <f t="shared" si="378"/>
        <v>52.556000000000004</v>
      </c>
      <c r="BV94" s="35">
        <f t="shared" si="378"/>
        <v>14.3</v>
      </c>
      <c r="BW94" s="35">
        <f t="shared" si="378"/>
        <v>2.7309999999999999</v>
      </c>
      <c r="BX94" s="35">
        <f t="shared" si="378"/>
        <v>6.9720000000000013</v>
      </c>
      <c r="BY94" s="35">
        <f t="shared" si="378"/>
        <v>-40.448999999999998</v>
      </c>
      <c r="BZ94" s="37">
        <f>(BZ27+BZ42+BZ51+BZ55-BZ76-BZ60)</f>
        <v>156.30799999999999</v>
      </c>
      <c r="CA94" s="35">
        <f t="shared" ref="CA94:CC94" si="379">(CA27+CA42+CA51+CA55-CA76-CA60)</f>
        <v>350.99100000000004</v>
      </c>
      <c r="CB94" s="35">
        <f t="shared" si="379"/>
        <v>120.676</v>
      </c>
      <c r="CC94" s="35">
        <f t="shared" si="379"/>
        <v>994.97100000000012</v>
      </c>
      <c r="CD94" s="35">
        <f>(CD19+CD27+CD42+CD51+CD55-CD76-CD60)</f>
        <v>396.80799999999999</v>
      </c>
      <c r="CE94" s="35">
        <f>(CE19+CE27+CE42+CE51+CE55-CE76)</f>
        <v>0</v>
      </c>
      <c r="CF94" s="36">
        <f>(CF19+CF27+CF42+CF51+CF55-CF76)</f>
        <v>0</v>
      </c>
      <c r="CG94" s="23"/>
      <c r="CH94" s="37">
        <f t="shared" ref="CH94:CR94" si="380">(CH27+CH42+CH51+CH55-CH76)</f>
        <v>34.539000000000001</v>
      </c>
      <c r="CI94" s="35">
        <f t="shared" si="380"/>
        <v>7.0909999999999975</v>
      </c>
      <c r="CJ94" s="35">
        <f t="shared" si="380"/>
        <v>27.21</v>
      </c>
      <c r="CK94" s="35">
        <f t="shared" si="380"/>
        <v>44.045000000000002</v>
      </c>
      <c r="CL94" s="35">
        <f t="shared" si="380"/>
        <v>28.362000000000002</v>
      </c>
      <c r="CM94" s="35">
        <f t="shared" si="380"/>
        <v>-2.6310000000000002</v>
      </c>
      <c r="CN94" s="35">
        <f t="shared" si="380"/>
        <v>5.2370000000000001</v>
      </c>
      <c r="CO94" s="35">
        <f t="shared" si="380"/>
        <v>18.695</v>
      </c>
      <c r="CP94" s="35">
        <f t="shared" si="380"/>
        <v>-51.602999999999994</v>
      </c>
      <c r="CQ94" s="35">
        <f t="shared" si="380"/>
        <v>152.74399999999997</v>
      </c>
      <c r="CR94" s="35">
        <f t="shared" si="380"/>
        <v>323.26499999999999</v>
      </c>
      <c r="CS94" s="35">
        <f>(CS19+CS27+CS42+CS51+CS55-CS76)</f>
        <v>155.16</v>
      </c>
      <c r="CT94" s="35">
        <f>(CT19+CT27+CT42+CT51+CT55-CT76)</f>
        <v>1117.1610000000001</v>
      </c>
      <c r="CU94" s="35">
        <f>(CU19+CU27+CU42+CU51+CU55-CU76)</f>
        <v>169</v>
      </c>
      <c r="CV94" s="36">
        <f>(CV19+CV27+CV42+CV51+CV55-CV76)</f>
        <v>0</v>
      </c>
      <c r="CW94" s="17"/>
      <c r="DD94" s="496"/>
      <c r="DE94" s="496"/>
      <c r="DF94" s="496"/>
      <c r="DG94" s="496"/>
      <c r="DH94" s="496"/>
    </row>
    <row r="95" spans="1:112" ht="14.25" hidden="1" customHeight="1" outlineLevel="1">
      <c r="A95" s="675"/>
      <c r="B95" s="676" t="s">
        <v>467</v>
      </c>
      <c r="C95" s="677"/>
      <c r="D95" s="682">
        <f t="shared" ref="D95:AK95" si="381">-D88+D85</f>
        <v>-0.12779959029400345</v>
      </c>
      <c r="E95" s="682">
        <f t="shared" si="381"/>
        <v>2.0652781463986969E-2</v>
      </c>
      <c r="F95" s="682">
        <f t="shared" si="381"/>
        <v>-1.9740024467068906E-2</v>
      </c>
      <c r="G95" s="683">
        <f t="shared" si="381"/>
        <v>-16.286845215876554</v>
      </c>
      <c r="H95" s="682">
        <f t="shared" si="381"/>
        <v>-0.85225249584922835</v>
      </c>
      <c r="I95" s="682">
        <f t="shared" si="381"/>
        <v>3.3691132321283845</v>
      </c>
      <c r="J95" s="682">
        <f t="shared" si="381"/>
        <v>-1.1190998768796732</v>
      </c>
      <c r="K95" s="683">
        <f t="shared" si="381"/>
        <v>-0.95680653657611714</v>
      </c>
      <c r="L95" s="682">
        <f t="shared" si="381"/>
        <v>0.51157759291667304</v>
      </c>
      <c r="M95" s="682">
        <f t="shared" si="381"/>
        <v>2.5230795290923425E-2</v>
      </c>
      <c r="N95" s="682">
        <f t="shared" si="381"/>
        <v>-0.28697800447073263</v>
      </c>
      <c r="O95" s="683">
        <f t="shared" si="381"/>
        <v>-7.3835632131860081</v>
      </c>
      <c r="P95" s="682">
        <f t="shared" si="381"/>
        <v>-3.980838588199731E-2</v>
      </c>
      <c r="Q95" s="682">
        <f t="shared" si="381"/>
        <v>-2.5722379873613477E-2</v>
      </c>
      <c r="R95" s="682">
        <f t="shared" si="381"/>
        <v>-0.15558435616455313</v>
      </c>
      <c r="S95" s="683">
        <f t="shared" si="381"/>
        <v>-0.33253828378023087</v>
      </c>
      <c r="T95" s="682">
        <f t="shared" si="381"/>
        <v>-4.9664825094785021</v>
      </c>
      <c r="U95" s="682">
        <f t="shared" si="381"/>
        <v>-1.8727594363119255</v>
      </c>
      <c r="V95" s="682">
        <f t="shared" si="381"/>
        <v>-1.9658815149886877E-2</v>
      </c>
      <c r="W95" s="683">
        <f t="shared" si="381"/>
        <v>-2.7185638155721392E-2</v>
      </c>
      <c r="X95" s="682">
        <f t="shared" si="381"/>
        <v>-3.281487613562021</v>
      </c>
      <c r="Y95" s="682">
        <f t="shared" si="381"/>
        <v>0.10689393514625323</v>
      </c>
      <c r="Z95" s="682">
        <f t="shared" si="381"/>
        <v>-8.5791796149152333E-2</v>
      </c>
      <c r="AA95" s="683">
        <f t="shared" si="381"/>
        <v>0.56920609462711269</v>
      </c>
      <c r="AB95" s="682">
        <f t="shared" si="381"/>
        <v>-6.8455838034111594E-3</v>
      </c>
      <c r="AC95" s="682">
        <f t="shared" si="381"/>
        <v>2.795033630322763E-2</v>
      </c>
      <c r="AD95" s="682">
        <f t="shared" si="381"/>
        <v>-4.1171371297814119E-2</v>
      </c>
      <c r="AE95" s="682">
        <f t="shared" si="381"/>
        <v>-0.54152101731602187</v>
      </c>
      <c r="AF95" s="684">
        <f t="shared" si="381"/>
        <v>-0.5756865497595598</v>
      </c>
      <c r="AG95" s="682">
        <f t="shared" si="381"/>
        <v>0.33318501896393826</v>
      </c>
      <c r="AH95" s="682">
        <f t="shared" si="381"/>
        <v>-1.1153936143295695</v>
      </c>
      <c r="AI95" s="682">
        <f t="shared" si="381"/>
        <v>1.411760554098862E-3</v>
      </c>
      <c r="AJ95" s="684">
        <f>-AJ88+AJ85</f>
        <v>-8.2355349999999987</v>
      </c>
      <c r="AK95" s="682">
        <f t="shared" si="381"/>
        <v>-8.8818849999999969</v>
      </c>
      <c r="AL95" s="682">
        <f t="shared" ref="AL95:AQ95" si="382">-AL88+AL85</f>
        <v>-0.84388773642464798</v>
      </c>
      <c r="AM95" s="682">
        <f t="shared" si="382"/>
        <v>61.211216999999998</v>
      </c>
      <c r="AN95" s="684">
        <f t="shared" si="382"/>
        <v>-1.7559800000000116</v>
      </c>
      <c r="AO95" s="682">
        <f t="shared" si="382"/>
        <v>-0.46081999999999113</v>
      </c>
      <c r="AP95" s="682">
        <f t="shared" si="382"/>
        <v>-13.218</v>
      </c>
      <c r="AQ95" s="682">
        <f t="shared" si="382"/>
        <v>-9.9969999999999999</v>
      </c>
      <c r="AR95" s="684">
        <f t="shared" ref="AR95:AU95" si="383">-AR88+AR85</f>
        <v>-19.986999999999998</v>
      </c>
      <c r="AS95" s="682">
        <f t="shared" si="383"/>
        <v>-5.1490000000000009</v>
      </c>
      <c r="AT95" s="682">
        <f t="shared" si="383"/>
        <v>-2</v>
      </c>
      <c r="AU95" s="682">
        <f t="shared" si="383"/>
        <v>-16.628</v>
      </c>
      <c r="AV95" s="684">
        <f>-AV88+AV85</f>
        <v>-10.327000000000002</v>
      </c>
      <c r="AW95" s="682">
        <f>-AW88+AW85</f>
        <v>-2.9616799999999834</v>
      </c>
      <c r="AX95" s="682">
        <f>-AX88+AX85</f>
        <v>-4.0300000000000011</v>
      </c>
      <c r="AY95" s="682">
        <f t="shared" ref="AY95" si="384">-AY88+AY85</f>
        <v>-7.722999999999999</v>
      </c>
      <c r="AZ95" s="684">
        <f>-AZ88+AZ85</f>
        <v>-0.71999999999999886</v>
      </c>
      <c r="BA95" s="682">
        <f t="shared" ref="BA95:BG95" si="385">-BA88+BA85</f>
        <v>-47.85</v>
      </c>
      <c r="BB95" s="682">
        <f>-BB88+BB85</f>
        <v>2.6593400000000003</v>
      </c>
      <c r="BC95" s="682">
        <f>-BC88+BC85</f>
        <v>-16.991149999999998</v>
      </c>
      <c r="BD95" s="684">
        <f>-BD88+BD85</f>
        <v>35.382000000000005</v>
      </c>
      <c r="BE95" s="682">
        <f t="shared" si="385"/>
        <v>-7.9062997124395658</v>
      </c>
      <c r="BF95" s="682">
        <f t="shared" si="385"/>
        <v>0</v>
      </c>
      <c r="BG95" s="683">
        <f t="shared" si="385"/>
        <v>0</v>
      </c>
      <c r="BH95" s="684">
        <f t="shared" ref="BH95:BK95" si="386">-BH88+BH85</f>
        <v>0</v>
      </c>
      <c r="BI95" s="682">
        <f t="shared" si="386"/>
        <v>0</v>
      </c>
      <c r="BJ95" s="682">
        <f t="shared" si="386"/>
        <v>0</v>
      </c>
      <c r="BK95" s="683">
        <f t="shared" si="386"/>
        <v>0</v>
      </c>
      <c r="BL95" s="684">
        <f t="shared" ref="BL95:BO95" si="387">-BL88+BL85</f>
        <v>0</v>
      </c>
      <c r="BM95" s="682">
        <f t="shared" si="387"/>
        <v>0</v>
      </c>
      <c r="BN95" s="682">
        <f t="shared" si="387"/>
        <v>0</v>
      </c>
      <c r="BO95" s="683">
        <f t="shared" si="387"/>
        <v>0</v>
      </c>
      <c r="BP95" s="946"/>
      <c r="BQ95" s="684">
        <f>-BQ88+BQ85</f>
        <v>-16.413732049173632</v>
      </c>
      <c r="BR95" s="682">
        <f>-BR88+BR85</f>
        <v>0.44095432282337299</v>
      </c>
      <c r="BS95" s="682">
        <f>-BS88+BS85</f>
        <v>-7.1337328294491442</v>
      </c>
      <c r="BT95" s="682">
        <f>-BT88+BT85</f>
        <v>-0.55365340570043031</v>
      </c>
      <c r="BU95" s="682">
        <f>-BU88+BU85</f>
        <v>-6.8860863990960297</v>
      </c>
      <c r="BV95" s="682">
        <f t="shared" ref="BV95:CE95" si="388">-BV88+BV85</f>
        <v>-2.6911793799378074</v>
      </c>
      <c r="BW95" s="682">
        <f t="shared" si="388"/>
        <v>-0.56158763611401241</v>
      </c>
      <c r="BX95" s="682">
        <f t="shared" si="388"/>
        <v>-1.356483384571078</v>
      </c>
      <c r="BY95" s="682">
        <f t="shared" si="388"/>
        <v>43.249909263575375</v>
      </c>
      <c r="BZ95" s="684">
        <f t="shared" si="388"/>
        <v>-25.43180000000001</v>
      </c>
      <c r="CA95" s="682">
        <f>-CA88+CA85</f>
        <v>-43.763999999999996</v>
      </c>
      <c r="CB95" s="682">
        <f>-CB88+CB85</f>
        <v>-25.041679999999999</v>
      </c>
      <c r="CC95" s="682">
        <f>-CC88+CC85</f>
        <v>-62.901810000000012</v>
      </c>
      <c r="CD95" s="682">
        <f t="shared" si="388"/>
        <v>27.475700287560443</v>
      </c>
      <c r="CE95" s="682">
        <f t="shared" si="388"/>
        <v>0</v>
      </c>
      <c r="CF95" s="683">
        <f t="shared" ref="CF95" si="389">-CF88+CF85</f>
        <v>0</v>
      </c>
      <c r="CG95" s="681"/>
      <c r="CH95" s="684">
        <f t="shared" ref="CH95:CP95" si="390">-CH88+CH85</f>
        <v>-17.138184954728899</v>
      </c>
      <c r="CI95" s="682">
        <f t="shared" si="390"/>
        <v>1.8047844115892815</v>
      </c>
      <c r="CJ95" s="682">
        <f t="shared" si="390"/>
        <v>-7.6851188082478359</v>
      </c>
      <c r="CK95" s="682">
        <f t="shared" si="390"/>
        <v>-5.4803275292968863</v>
      </c>
      <c r="CL95" s="682">
        <f t="shared" si="390"/>
        <v>-5.2010915031795548</v>
      </c>
      <c r="CM95" s="682">
        <f t="shared" si="390"/>
        <v>0.58346264982083085</v>
      </c>
      <c r="CN95" s="682">
        <f t="shared" si="390"/>
        <v>-1.1304286020701682</v>
      </c>
      <c r="CO95" s="682">
        <f t="shared" si="390"/>
        <v>-9.016331834811524</v>
      </c>
      <c r="CP95" s="682">
        <f t="shared" si="390"/>
        <v>49.729464263575338</v>
      </c>
      <c r="CQ95" s="682">
        <f t="shared" ref="CQ95:CV95" si="391">-CQ88+CQ85</f>
        <v>-43.662819999999982</v>
      </c>
      <c r="CR95" s="682">
        <f t="shared" si="391"/>
        <v>-34.103999999999999</v>
      </c>
      <c r="CS95" s="682">
        <f t="shared" si="391"/>
        <v>-15.434679999999986</v>
      </c>
      <c r="CT95" s="682">
        <f t="shared" si="391"/>
        <v>-26.799809999999979</v>
      </c>
      <c r="CU95" s="682">
        <f t="shared" si="391"/>
        <v>-7.9062997124395338</v>
      </c>
      <c r="CV95" s="683">
        <f t="shared" si="391"/>
        <v>0</v>
      </c>
      <c r="CW95" s="799"/>
      <c r="DD95" s="686"/>
      <c r="DE95" s="686"/>
      <c r="DF95" s="686"/>
      <c r="DG95" s="686"/>
      <c r="DH95" s="686"/>
    </row>
    <row r="96" spans="1:112" ht="14.25" customHeight="1" collapsed="1">
      <c r="A96" s="675"/>
      <c r="B96" s="676" t="s">
        <v>468</v>
      </c>
      <c r="C96" s="677"/>
      <c r="D96" s="682">
        <f>+SUM(D94:D95)</f>
        <v>0.4402004097059965</v>
      </c>
      <c r="E96" s="682">
        <f>+SUM(E94:E95)</f>
        <v>-7.3347218536013031E-2</v>
      </c>
      <c r="F96" s="682">
        <f>+SUM(F94:F95)</f>
        <v>7.4259975532931094E-2</v>
      </c>
      <c r="G96" s="683">
        <f>+SUM(G94:G95)</f>
        <v>14.583154784123447</v>
      </c>
      <c r="H96" s="682">
        <f t="shared" ref="H96:AM96" si="392">+SUM(H94:H95)</f>
        <v>2.8167475041507717</v>
      </c>
      <c r="I96" s="682">
        <f t="shared" si="392"/>
        <v>-9.9828867678716158</v>
      </c>
      <c r="J96" s="682">
        <f t="shared" si="392"/>
        <v>4.8159001231203264</v>
      </c>
      <c r="K96" s="683">
        <f t="shared" si="392"/>
        <v>15.820193463423884</v>
      </c>
      <c r="L96" s="682">
        <f t="shared" si="392"/>
        <v>-1.7574224070833271</v>
      </c>
      <c r="M96" s="682">
        <f t="shared" si="392"/>
        <v>-7.9769204709077002E-2</v>
      </c>
      <c r="N96" s="682">
        <f t="shared" si="392"/>
        <v>0.98502199552926739</v>
      </c>
      <c r="O96" s="683">
        <f t="shared" si="392"/>
        <v>18.486436786813993</v>
      </c>
      <c r="P96" s="682">
        <f t="shared" si="392"/>
        <v>0.13319161411800268</v>
      </c>
      <c r="Q96" s="682">
        <f t="shared" si="392"/>
        <v>8.8277620126386527E-2</v>
      </c>
      <c r="R96" s="682">
        <f t="shared" si="392"/>
        <v>0.50841564383544691</v>
      </c>
      <c r="S96" s="683">
        <f t="shared" si="392"/>
        <v>1.7684617162197691</v>
      </c>
      <c r="T96" s="682">
        <f t="shared" si="392"/>
        <v>36.199517490521501</v>
      </c>
      <c r="U96" s="682">
        <f t="shared" si="392"/>
        <v>9.2492405636880743</v>
      </c>
      <c r="V96" s="682">
        <f t="shared" si="392"/>
        <v>8.8341184850113122E-2</v>
      </c>
      <c r="W96" s="683">
        <f t="shared" si="392"/>
        <v>0.13281436184427861</v>
      </c>
      <c r="X96" s="682">
        <f t="shared" si="392"/>
        <v>13.69051238643798</v>
      </c>
      <c r="Y96" s="682">
        <f t="shared" si="392"/>
        <v>-0.38110606485374676</v>
      </c>
      <c r="Z96" s="682">
        <f t="shared" si="392"/>
        <v>0.33020820385084765</v>
      </c>
      <c r="AA96" s="683">
        <f t="shared" si="392"/>
        <v>-2.0307939053728874</v>
      </c>
      <c r="AB96" s="682">
        <f t="shared" si="392"/>
        <v>3.4154416196588842E-2</v>
      </c>
      <c r="AC96" s="682">
        <f t="shared" si="392"/>
        <v>-0.12304966369677237</v>
      </c>
      <c r="AD96" s="682">
        <f t="shared" si="392"/>
        <v>0.16482862870218587</v>
      </c>
      <c r="AE96" s="682">
        <f t="shared" si="392"/>
        <v>2.0934789826839779</v>
      </c>
      <c r="AF96" s="684">
        <f t="shared" si="392"/>
        <v>1.9713134502404404</v>
      </c>
      <c r="AG96" s="682">
        <f t="shared" si="392"/>
        <v>-1.1178149810360618</v>
      </c>
      <c r="AH96" s="682">
        <f t="shared" si="392"/>
        <v>4.7696063856704312</v>
      </c>
      <c r="AI96" s="682">
        <f t="shared" si="392"/>
        <v>-7.5882394459010349E-3</v>
      </c>
      <c r="AJ96" s="684">
        <f>+SUM(AJ94:AJ95)</f>
        <v>6.0344650000000009</v>
      </c>
      <c r="AK96" s="682">
        <f t="shared" si="392"/>
        <v>-2.1738849999999967</v>
      </c>
      <c r="AL96" s="682">
        <f t="shared" si="392"/>
        <v>7.9101122635753516</v>
      </c>
      <c r="AM96" s="682">
        <f t="shared" si="392"/>
        <v>-8.9697829999999996</v>
      </c>
      <c r="AN96" s="684">
        <f t="shared" ref="AN96:AX96" si="393">+SUM(AN94:AN95)</f>
        <v>1.3600199999999885</v>
      </c>
      <c r="AO96" s="682">
        <f t="shared" si="393"/>
        <v>-0.71581999999999102</v>
      </c>
      <c r="AP96" s="682">
        <f t="shared" si="393"/>
        <v>19.044</v>
      </c>
      <c r="AQ96" s="682">
        <f t="shared" si="393"/>
        <v>110.76599999999999</v>
      </c>
      <c r="AR96" s="684">
        <f t="shared" si="393"/>
        <v>13.946000000000002</v>
      </c>
      <c r="AS96" s="682">
        <f t="shared" si="393"/>
        <v>24.4</v>
      </c>
      <c r="AT96" s="682">
        <f t="shared" si="393"/>
        <v>27.935999999999996</v>
      </c>
      <c r="AU96" s="682">
        <f t="shared" ref="AU96" si="394">+SUM(AU94:AU95)</f>
        <v>230.07799999999997</v>
      </c>
      <c r="AV96" s="684">
        <f t="shared" si="393"/>
        <v>11.480999999999998</v>
      </c>
      <c r="AW96" s="682">
        <f t="shared" si="393"/>
        <v>29.617320000000017</v>
      </c>
      <c r="AX96" s="682">
        <f t="shared" si="393"/>
        <v>23.750000000000004</v>
      </c>
      <c r="AY96" s="682">
        <f t="shared" ref="AY96" si="395">+SUM(AY94:AY95)</f>
        <v>31.191000000000003</v>
      </c>
      <c r="AZ96" s="684">
        <f t="shared" ref="AZ96" si="396">+SUM(AZ94:AZ95)</f>
        <v>77.509</v>
      </c>
      <c r="BA96" s="682">
        <f t="shared" ref="BA96:BG96" si="397">+SUM(BA94:BA95)</f>
        <v>263.98899999999998</v>
      </c>
      <c r="BB96" s="682">
        <f t="shared" si="397"/>
        <v>398.74434000000002</v>
      </c>
      <c r="BC96" s="682">
        <f t="shared" ref="BC96:BD96" si="398">+SUM(BC94:BC95)</f>
        <v>191.82685000000001</v>
      </c>
      <c r="BD96" s="684">
        <f t="shared" si="398"/>
        <v>263.19</v>
      </c>
      <c r="BE96" s="682">
        <f t="shared" si="397"/>
        <v>161.09370028756044</v>
      </c>
      <c r="BF96" s="682">
        <f t="shared" si="397"/>
        <v>0</v>
      </c>
      <c r="BG96" s="683">
        <f t="shared" si="397"/>
        <v>0</v>
      </c>
      <c r="BH96" s="684">
        <f t="shared" ref="BH96:BK96" si="399">+SUM(BH94:BH95)</f>
        <v>0</v>
      </c>
      <c r="BI96" s="682">
        <f t="shared" si="399"/>
        <v>0</v>
      </c>
      <c r="BJ96" s="682">
        <f t="shared" si="399"/>
        <v>0</v>
      </c>
      <c r="BK96" s="683">
        <f t="shared" si="399"/>
        <v>0</v>
      </c>
      <c r="BL96" s="684">
        <f t="shared" ref="BL96:BO96" si="400">+SUM(BL94:BL95)</f>
        <v>0</v>
      </c>
      <c r="BM96" s="682">
        <f t="shared" si="400"/>
        <v>0</v>
      </c>
      <c r="BN96" s="682">
        <f t="shared" si="400"/>
        <v>0</v>
      </c>
      <c r="BO96" s="683">
        <f t="shared" si="400"/>
        <v>0</v>
      </c>
      <c r="BP96" s="946"/>
      <c r="BQ96" s="684">
        <f t="shared" ref="BQ96:CE96" si="401">+SUM(BQ94:BQ95)</f>
        <v>15.024267950826367</v>
      </c>
      <c r="BR96" s="682">
        <f t="shared" si="401"/>
        <v>13.469954322823371</v>
      </c>
      <c r="BS96" s="682">
        <f t="shared" si="401"/>
        <v>17.634267170550849</v>
      </c>
      <c r="BT96" s="682">
        <f t="shared" si="401"/>
        <v>2.4983465942995697</v>
      </c>
      <c r="BU96" s="682">
        <f t="shared" si="401"/>
        <v>45.669913600903975</v>
      </c>
      <c r="BV96" s="682">
        <f t="shared" si="401"/>
        <v>11.608820620062193</v>
      </c>
      <c r="BW96" s="682">
        <f t="shared" si="401"/>
        <v>2.1694123638859875</v>
      </c>
      <c r="BX96" s="682">
        <f t="shared" si="401"/>
        <v>5.6155166154289233</v>
      </c>
      <c r="BY96" s="682">
        <f t="shared" si="401"/>
        <v>2.8009092635753774</v>
      </c>
      <c r="BZ96" s="684">
        <f t="shared" si="401"/>
        <v>130.87619999999998</v>
      </c>
      <c r="CA96" s="682">
        <f t="shared" si="401"/>
        <v>307.22700000000003</v>
      </c>
      <c r="CB96" s="682">
        <f t="shared" si="401"/>
        <v>95.634320000000002</v>
      </c>
      <c r="CC96" s="682">
        <f>+SUM(CC94:CC95)</f>
        <v>932.06919000000016</v>
      </c>
      <c r="CD96" s="682">
        <f t="shared" si="401"/>
        <v>424.28370028756046</v>
      </c>
      <c r="CE96" s="682">
        <f t="shared" si="401"/>
        <v>0</v>
      </c>
      <c r="CF96" s="683">
        <f t="shared" ref="CF96" si="402">+SUM(CF94:CF95)</f>
        <v>0</v>
      </c>
      <c r="CG96" s="681"/>
      <c r="CH96" s="684">
        <f t="shared" ref="CH96:CR96" si="403">+SUM(CH94:CH95)</f>
        <v>17.400815045271102</v>
      </c>
      <c r="CI96" s="682">
        <f t="shared" si="403"/>
        <v>8.895784411589279</v>
      </c>
      <c r="CJ96" s="682">
        <f t="shared" si="403"/>
        <v>19.524881191752165</v>
      </c>
      <c r="CK96" s="682">
        <f t="shared" si="403"/>
        <v>38.564672470703115</v>
      </c>
      <c r="CL96" s="682">
        <f t="shared" si="403"/>
        <v>23.160908496820447</v>
      </c>
      <c r="CM96" s="682">
        <f t="shared" si="403"/>
        <v>-2.0475373501791694</v>
      </c>
      <c r="CN96" s="682">
        <f t="shared" si="403"/>
        <v>4.1065713979298319</v>
      </c>
      <c r="CO96" s="682">
        <f t="shared" si="403"/>
        <v>9.6786681651884763</v>
      </c>
      <c r="CP96" s="682">
        <f t="shared" si="403"/>
        <v>-1.8735357364246568</v>
      </c>
      <c r="CQ96" s="682">
        <f t="shared" si="403"/>
        <v>109.08117999999999</v>
      </c>
      <c r="CR96" s="682">
        <f t="shared" si="403"/>
        <v>289.161</v>
      </c>
      <c r="CS96" s="682">
        <f>+SUM(CS94:CS95)</f>
        <v>139.72532000000001</v>
      </c>
      <c r="CT96" s="682">
        <f>+SUM(CT94:CT95)</f>
        <v>1090.3611900000001</v>
      </c>
      <c r="CU96" s="682">
        <f>+SUM(CU94:CU95)</f>
        <v>161.09370028756047</v>
      </c>
      <c r="CV96" s="683">
        <f>+SUM(CV94:CV95)</f>
        <v>0</v>
      </c>
      <c r="CW96" s="799"/>
      <c r="DD96" s="686"/>
      <c r="DE96" s="686"/>
      <c r="DF96" s="686"/>
      <c r="DG96" s="686"/>
      <c r="DH96" s="686"/>
    </row>
    <row r="97" spans="1:112" ht="14.25" hidden="1" customHeight="1" outlineLevel="1">
      <c r="A97" s="8"/>
      <c r="B97" s="26"/>
      <c r="C97" s="27"/>
      <c r="D97" s="33"/>
      <c r="E97" s="33"/>
      <c r="F97" s="33"/>
      <c r="G97" s="34"/>
      <c r="H97" s="33"/>
      <c r="I97" s="33"/>
      <c r="J97" s="33"/>
      <c r="K97" s="34"/>
      <c r="L97" s="33"/>
      <c r="M97" s="33"/>
      <c r="N97" s="33"/>
      <c r="O97" s="34"/>
      <c r="P97" s="33"/>
      <c r="Q97" s="33"/>
      <c r="R97" s="33"/>
      <c r="S97" s="34"/>
      <c r="T97" s="33"/>
      <c r="U97" s="33"/>
      <c r="V97" s="33"/>
      <c r="W97" s="34"/>
      <c r="X97" s="33"/>
      <c r="Y97" s="33"/>
      <c r="Z97" s="33"/>
      <c r="AA97" s="34"/>
      <c r="AB97" s="33"/>
      <c r="AC97" s="33"/>
      <c r="AD97" s="33"/>
      <c r="AE97" s="33"/>
      <c r="AF97" s="638"/>
      <c r="AG97" s="35"/>
      <c r="AH97" s="33"/>
      <c r="AI97" s="33"/>
      <c r="AJ97" s="37"/>
      <c r="AK97" s="35"/>
      <c r="AL97" s="33"/>
      <c r="AM97" s="33"/>
      <c r="AN97" s="37"/>
      <c r="AO97" s="35"/>
      <c r="AP97" s="33"/>
      <c r="AQ97" s="33"/>
      <c r="AR97" s="37"/>
      <c r="AS97" s="35"/>
      <c r="AT97" s="33"/>
      <c r="AU97" s="33"/>
      <c r="AV97" s="37"/>
      <c r="AW97" s="1311"/>
      <c r="AX97" s="1311"/>
      <c r="AY97" s="1311"/>
      <c r="AZ97" s="1312"/>
      <c r="BA97" s="1311"/>
      <c r="BB97" s="1311"/>
      <c r="BC97" s="1311"/>
      <c r="BD97" s="1312"/>
      <c r="BE97" s="35"/>
      <c r="BF97" s="35"/>
      <c r="BG97" s="36"/>
      <c r="BH97" s="37"/>
      <c r="BI97" s="35"/>
      <c r="BJ97" s="35"/>
      <c r="BK97" s="36"/>
      <c r="BL97" s="37"/>
      <c r="BM97" s="35"/>
      <c r="BN97" s="35"/>
      <c r="BO97" s="36"/>
      <c r="BP97" s="253"/>
      <c r="BQ97" s="638"/>
      <c r="BR97" s="35"/>
      <c r="BS97" s="35"/>
      <c r="BT97" s="35"/>
      <c r="BU97" s="35"/>
      <c r="BV97" s="35"/>
      <c r="BW97" s="35"/>
      <c r="BX97" s="35"/>
      <c r="BY97" s="35"/>
      <c r="BZ97" s="37"/>
      <c r="CA97" s="35"/>
      <c r="CB97" s="35"/>
      <c r="CC97" s="35"/>
      <c r="CD97" s="35"/>
      <c r="CE97" s="35"/>
      <c r="CF97" s="36"/>
      <c r="CG97" s="23"/>
      <c r="CH97" s="37"/>
      <c r="CI97" s="35"/>
      <c r="CJ97" s="35"/>
      <c r="CK97" s="35"/>
      <c r="CL97" s="35"/>
      <c r="CM97" s="35"/>
      <c r="CN97" s="35"/>
      <c r="CO97" s="35"/>
      <c r="CP97" s="35"/>
      <c r="CQ97" s="35"/>
      <c r="CR97" s="35"/>
      <c r="CS97" s="35"/>
      <c r="CT97" s="35"/>
      <c r="CU97" s="35"/>
      <c r="CV97" s="36"/>
      <c r="CW97" s="17"/>
    </row>
    <row r="98" spans="1:112" ht="14.25" customHeight="1" collapsed="1">
      <c r="A98" s="8"/>
      <c r="B98" s="51" t="s">
        <v>464</v>
      </c>
      <c r="C98" s="52"/>
      <c r="D98" s="54">
        <f>D82-D88+D97</f>
        <v>107.88320040970589</v>
      </c>
      <c r="E98" s="54">
        <f t="shared" ref="E98:AM98" si="404">E82-E88+E97</f>
        <v>117.525652781464</v>
      </c>
      <c r="F98" s="54">
        <f t="shared" si="404"/>
        <v>121.47825997553301</v>
      </c>
      <c r="G98" s="55">
        <f t="shared" si="404"/>
        <v>82.924154784123473</v>
      </c>
      <c r="H98" s="54">
        <f t="shared" si="404"/>
        <v>109.62974750415073</v>
      </c>
      <c r="I98" s="54">
        <f t="shared" si="404"/>
        <v>123.73411323212838</v>
      </c>
      <c r="J98" s="54">
        <f t="shared" si="404"/>
        <v>140.58290012312028</v>
      </c>
      <c r="K98" s="55">
        <f t="shared" si="404"/>
        <v>155.08919346342387</v>
      </c>
      <c r="L98" s="54">
        <f t="shared" si="404"/>
        <v>154.47657759291664</v>
      </c>
      <c r="M98" s="54">
        <f t="shared" si="404"/>
        <v>125.49823079529088</v>
      </c>
      <c r="N98" s="54">
        <f t="shared" si="404"/>
        <v>126.39102199552934</v>
      </c>
      <c r="O98" s="55">
        <f t="shared" si="404"/>
        <v>113.17243678681405</v>
      </c>
      <c r="P98" s="54">
        <f t="shared" si="404"/>
        <v>121.98119161411802</v>
      </c>
      <c r="Q98" s="54">
        <f t="shared" si="404"/>
        <v>129.98027762012646</v>
      </c>
      <c r="R98" s="54">
        <f t="shared" si="404"/>
        <v>129.70341564383546</v>
      </c>
      <c r="S98" s="55">
        <f t="shared" si="404"/>
        <v>146.01046171621979</v>
      </c>
      <c r="T98" s="54">
        <f t="shared" si="404"/>
        <v>60.784517490521509</v>
      </c>
      <c r="U98" s="54">
        <f t="shared" si="404"/>
        <v>61.003240563688109</v>
      </c>
      <c r="V98" s="54">
        <f t="shared" si="404"/>
        <v>65.548341184850102</v>
      </c>
      <c r="W98" s="55">
        <f t="shared" si="404"/>
        <v>105.74181436184432</v>
      </c>
      <c r="X98" s="54">
        <f t="shared" si="404"/>
        <v>133.29051238643791</v>
      </c>
      <c r="Y98" s="54">
        <f t="shared" si="404"/>
        <v>166.75889393514623</v>
      </c>
      <c r="Z98" s="54">
        <f t="shared" si="404"/>
        <v>199.82120820385086</v>
      </c>
      <c r="AA98" s="55">
        <f t="shared" si="404"/>
        <v>222.96320609462717</v>
      </c>
      <c r="AB98" s="54">
        <f t="shared" si="404"/>
        <v>215.64015441619659</v>
      </c>
      <c r="AC98" s="54">
        <f t="shared" si="404"/>
        <v>241.70295033630313</v>
      </c>
      <c r="AD98" s="54">
        <f t="shared" si="404"/>
        <v>220.09982862870226</v>
      </c>
      <c r="AE98" s="54">
        <f t="shared" si="404"/>
        <v>185.62047898268401</v>
      </c>
      <c r="AF98" s="53">
        <f t="shared" si="404"/>
        <v>141.35331345024042</v>
      </c>
      <c r="AG98" s="54">
        <f t="shared" si="404"/>
        <v>161.78118501896398</v>
      </c>
      <c r="AH98" s="54">
        <f t="shared" si="404"/>
        <v>174.53760638567039</v>
      </c>
      <c r="AI98" s="54">
        <f t="shared" si="404"/>
        <v>179.17941176055413</v>
      </c>
      <c r="AJ98" s="53">
        <f t="shared" si="404"/>
        <v>137.25646499999999</v>
      </c>
      <c r="AK98" s="54">
        <f t="shared" si="404"/>
        <v>162.29811499999997</v>
      </c>
      <c r="AL98" s="54">
        <f t="shared" si="404"/>
        <v>184.14911226357538</v>
      </c>
      <c r="AM98" s="54">
        <f t="shared" si="404"/>
        <v>192.58421700000002</v>
      </c>
      <c r="AN98" s="53">
        <f t="shared" ref="AN98:AX98" si="405">AN82-AN88+AN97</f>
        <v>153.94602000000006</v>
      </c>
      <c r="AO98" s="54">
        <f t="shared" si="405"/>
        <v>186.71717999999993</v>
      </c>
      <c r="AP98" s="54">
        <f t="shared" si="405"/>
        <v>196.20799999999997</v>
      </c>
      <c r="AQ98" s="54">
        <f t="shared" si="405"/>
        <v>219.4609999999999</v>
      </c>
      <c r="AR98" s="53">
        <f t="shared" si="405"/>
        <v>200.26</v>
      </c>
      <c r="AS98" s="54">
        <f t="shared" si="405"/>
        <v>231.78300000000002</v>
      </c>
      <c r="AT98" s="54">
        <f t="shared" si="405"/>
        <v>244.4140000000001</v>
      </c>
      <c r="AU98" s="54">
        <f t="shared" ref="AU98" si="406">AU82-AU88+AU97</f>
        <v>326.38299999999992</v>
      </c>
      <c r="AV98" s="53">
        <f t="shared" si="405"/>
        <v>176.08399999999995</v>
      </c>
      <c r="AW98" s="54">
        <f t="shared" si="405"/>
        <v>200.19031999999987</v>
      </c>
      <c r="AX98" s="54">
        <f t="shared" si="405"/>
        <v>254.17999999999995</v>
      </c>
      <c r="AY98" s="54">
        <f t="shared" ref="AY98" si="407">AY82-AY88+AY97</f>
        <v>327.34800000000007</v>
      </c>
      <c r="AZ98" s="53">
        <f>AZ82-AZ88+AZ97</f>
        <v>294.29300000000006</v>
      </c>
      <c r="BA98" s="54">
        <f t="shared" ref="BA98:BG98" si="408">BA82-BA88+BA97</f>
        <v>357.553</v>
      </c>
      <c r="BB98" s="54">
        <f t="shared" si="408"/>
        <v>467.66034000000002</v>
      </c>
      <c r="BC98" s="54">
        <f t="shared" ref="BC98" si="409">BC82-BC88+BC97</f>
        <v>539.47685000000001</v>
      </c>
      <c r="BD98" s="53">
        <f>BD82-BD88+BD97</f>
        <v>531.36199999999997</v>
      </c>
      <c r="BE98" s="54">
        <f t="shared" si="408"/>
        <v>522.07412674312013</v>
      </c>
      <c r="BF98" s="54">
        <f t="shared" si="408"/>
        <v>528.96839675493754</v>
      </c>
      <c r="BG98" s="55">
        <f t="shared" si="408"/>
        <v>556.93309973660143</v>
      </c>
      <c r="BH98" s="53">
        <f t="shared" ref="BH98:BK98" si="410">BH82-BH88+BH97</f>
        <v>479.45640495781339</v>
      </c>
      <c r="BI98" s="54">
        <f t="shared" si="410"/>
        <v>524.20737207307582</v>
      </c>
      <c r="BJ98" s="54">
        <f t="shared" si="410"/>
        <v>562.63532786794281</v>
      </c>
      <c r="BK98" s="55">
        <f t="shared" si="410"/>
        <v>600.52626968575726</v>
      </c>
      <c r="BL98" s="53">
        <f t="shared" ref="BL98:BO98" si="411">BL82-BL88+BL97</f>
        <v>539.3776174205766</v>
      </c>
      <c r="BM98" s="54">
        <f t="shared" si="411"/>
        <v>583.80046747766767</v>
      </c>
      <c r="BN98" s="54">
        <f t="shared" si="411"/>
        <v>619.48675405347069</v>
      </c>
      <c r="BO98" s="55">
        <f t="shared" si="411"/>
        <v>653.47537969215841</v>
      </c>
      <c r="BP98" s="253"/>
      <c r="BQ98" s="53">
        <f t="shared" ref="BQ98:CE98" si="412">BQ82-BQ88+BQ97</f>
        <v>429.81126795082628</v>
      </c>
      <c r="BR98" s="54">
        <f t="shared" si="412"/>
        <v>529.03595432282305</v>
      </c>
      <c r="BS98" s="54">
        <f t="shared" si="412"/>
        <v>519.53826717055097</v>
      </c>
      <c r="BT98" s="54">
        <f t="shared" si="412"/>
        <v>527.67534659429953</v>
      </c>
      <c r="BU98" s="54">
        <f t="shared" si="412"/>
        <v>293.07791360090368</v>
      </c>
      <c r="BV98" s="54">
        <f t="shared" si="412"/>
        <v>722.83382062006194</v>
      </c>
      <c r="BW98" s="54">
        <f t="shared" si="412"/>
        <v>863.06341236388607</v>
      </c>
      <c r="BX98" s="54">
        <f t="shared" si="412"/>
        <v>656.85151661542852</v>
      </c>
      <c r="BY98" s="54">
        <f t="shared" si="412"/>
        <v>676.28790926357556</v>
      </c>
      <c r="BZ98" s="53">
        <f t="shared" si="412"/>
        <v>760.19619999999952</v>
      </c>
      <c r="CA98" s="54">
        <f t="shared" si="412"/>
        <v>1004.1049999999996</v>
      </c>
      <c r="CB98" s="54">
        <f t="shared" si="412"/>
        <v>957.29831999999999</v>
      </c>
      <c r="CC98" s="54">
        <f>CC82-CC88+CC97</f>
        <v>1658.9831900000008</v>
      </c>
      <c r="CD98" s="54">
        <f t="shared" si="412"/>
        <v>2139.3376232346591</v>
      </c>
      <c r="CE98" s="54">
        <f t="shared" si="412"/>
        <v>2166.8253745845882</v>
      </c>
      <c r="CF98" s="55">
        <f t="shared" ref="CF98" si="413">CF82-CF88+CF97</f>
        <v>2396.1402186438727</v>
      </c>
      <c r="CG98" s="23"/>
      <c r="CH98" s="53">
        <f t="shared" ref="CH98:CR98" si="414">CH82-CH88+CH97</f>
        <v>431.5578150452713</v>
      </c>
      <c r="CI98" s="54">
        <f t="shared" si="414"/>
        <v>573.88278441158911</v>
      </c>
      <c r="CJ98" s="54">
        <f t="shared" si="414"/>
        <v>487.04288119175266</v>
      </c>
      <c r="CK98" s="54">
        <f t="shared" si="414"/>
        <v>466.47867247070303</v>
      </c>
      <c r="CL98" s="54">
        <f t="shared" si="414"/>
        <v>365.58390849682053</v>
      </c>
      <c r="CM98" s="54">
        <f t="shared" si="414"/>
        <v>805.18346264982074</v>
      </c>
      <c r="CN98" s="54">
        <f t="shared" si="414"/>
        <v>788.77657139792962</v>
      </c>
      <c r="CO98" s="54">
        <f t="shared" si="414"/>
        <v>652.75466816518838</v>
      </c>
      <c r="CP98" s="54">
        <f t="shared" si="414"/>
        <v>692.97746426357537</v>
      </c>
      <c r="CQ98" s="54">
        <f t="shared" si="414"/>
        <v>806.51017999999976</v>
      </c>
      <c r="CR98" s="54">
        <f t="shared" si="414"/>
        <v>979.92899999999986</v>
      </c>
      <c r="CS98" s="54">
        <f>CS82-CS88+CS97</f>
        <v>1075.8523200000004</v>
      </c>
      <c r="CT98" s="54">
        <f>CT82-CT88+CT97</f>
        <v>1896.0521899999999</v>
      </c>
      <c r="CU98" s="54">
        <f>CU82-CU88+CU97</f>
        <v>2087.4320281924738</v>
      </c>
      <c r="CV98" s="55">
        <f>CV82-CV88+CV97</f>
        <v>2226.7465870473511</v>
      </c>
      <c r="CW98" s="17"/>
    </row>
    <row r="99" spans="1:112" ht="14.25" hidden="1" customHeight="1" outlineLevel="1">
      <c r="A99" s="8"/>
      <c r="B99" s="38" t="s">
        <v>465</v>
      </c>
      <c r="C99" s="39"/>
      <c r="D99" s="40">
        <f t="shared" ref="D99:AI99" si="415">D98/D10</f>
        <v>0.18583378190104646</v>
      </c>
      <c r="E99" s="40">
        <f t="shared" si="415"/>
        <v>0.19466720462836454</v>
      </c>
      <c r="F99" s="40">
        <f t="shared" si="415"/>
        <v>0.2085764470336203</v>
      </c>
      <c r="G99" s="41">
        <f t="shared" si="415"/>
        <v>0.13329071863456748</v>
      </c>
      <c r="H99" s="40">
        <f t="shared" si="415"/>
        <v>0.19695405443538522</v>
      </c>
      <c r="I99" s="40">
        <f t="shared" si="415"/>
        <v>0.21420108444177377</v>
      </c>
      <c r="J99" s="40">
        <f t="shared" si="415"/>
        <v>0.23472930236030204</v>
      </c>
      <c r="K99" s="41">
        <f t="shared" si="415"/>
        <v>0.25435966677287403</v>
      </c>
      <c r="L99" s="40">
        <f t="shared" si="415"/>
        <v>0.24666327767465313</v>
      </c>
      <c r="M99" s="40">
        <f t="shared" si="415"/>
        <v>0.21004485616375845</v>
      </c>
      <c r="N99" s="40">
        <f t="shared" si="415"/>
        <v>0.20470469088129578</v>
      </c>
      <c r="O99" s="41">
        <f t="shared" si="415"/>
        <v>0.18149930042693843</v>
      </c>
      <c r="P99" s="40">
        <f t="shared" si="415"/>
        <v>0.19869588426642715</v>
      </c>
      <c r="Q99" s="40">
        <f t="shared" si="415"/>
        <v>0.20017291037072482</v>
      </c>
      <c r="R99" s="40">
        <f t="shared" si="415"/>
        <v>0.19682271799982923</v>
      </c>
      <c r="S99" s="41">
        <f t="shared" si="415"/>
        <v>0.22099492310566402</v>
      </c>
      <c r="T99" s="40">
        <f t="shared" si="415"/>
        <v>0.12754610033493893</v>
      </c>
      <c r="U99" s="40">
        <f t="shared" si="415"/>
        <v>0.12849604540448428</v>
      </c>
      <c r="V99" s="40">
        <f t="shared" si="415"/>
        <v>0.13323077288984983</v>
      </c>
      <c r="W99" s="41">
        <f t="shared" si="415"/>
        <v>0.18499267733002855</v>
      </c>
      <c r="X99" s="40">
        <f t="shared" si="415"/>
        <v>0.22105185782424699</v>
      </c>
      <c r="Y99" s="40">
        <f t="shared" si="415"/>
        <v>0.24954940430855116</v>
      </c>
      <c r="Z99" s="40">
        <f t="shared" si="415"/>
        <v>0.27741771814665045</v>
      </c>
      <c r="AA99" s="41">
        <f t="shared" si="415"/>
        <v>0.28956636591985241</v>
      </c>
      <c r="AB99" s="40">
        <f t="shared" si="415"/>
        <v>0.2960040774191996</v>
      </c>
      <c r="AC99" s="40">
        <f t="shared" si="415"/>
        <v>0.3056513193761895</v>
      </c>
      <c r="AD99" s="40">
        <f t="shared" si="415"/>
        <v>0.29040671304298216</v>
      </c>
      <c r="AE99" s="40">
        <f t="shared" si="415"/>
        <v>0.25919796990882155</v>
      </c>
      <c r="AF99" s="42">
        <f t="shared" si="415"/>
        <v>0.21811830646368138</v>
      </c>
      <c r="AG99" s="40">
        <f t="shared" si="415"/>
        <v>0.23964245722664396</v>
      </c>
      <c r="AH99" s="40">
        <f t="shared" si="415"/>
        <v>0.25553581618513849</v>
      </c>
      <c r="AI99" s="40">
        <f t="shared" si="415"/>
        <v>0.25782545824036079</v>
      </c>
      <c r="AJ99" s="42">
        <f t="shared" ref="AJ99:BK99" si="416">AJ98/AJ10</f>
        <v>0.22062202837330863</v>
      </c>
      <c r="AK99" s="40">
        <f t="shared" si="416"/>
        <v>0.24618599165718616</v>
      </c>
      <c r="AL99" s="40">
        <f t="shared" si="416"/>
        <v>0.27314856188565434</v>
      </c>
      <c r="AM99" s="40">
        <f t="shared" si="416"/>
        <v>0.28399180839156923</v>
      </c>
      <c r="AN99" s="42">
        <f t="shared" si="416"/>
        <v>0.24504410748792663</v>
      </c>
      <c r="AO99" s="40">
        <f t="shared" si="416"/>
        <v>0.26883729569093601</v>
      </c>
      <c r="AP99" s="40">
        <f t="shared" si="416"/>
        <v>0.26960832811177432</v>
      </c>
      <c r="AQ99" s="40">
        <f t="shared" si="416"/>
        <v>0.26952632309360663</v>
      </c>
      <c r="AR99" s="42">
        <f t="shared" si="416"/>
        <v>0.25940884938327896</v>
      </c>
      <c r="AS99" s="40">
        <f t="shared" si="416"/>
        <v>0.28231137160041364</v>
      </c>
      <c r="AT99" s="40">
        <f t="shared" si="416"/>
        <v>0.2830946355249519</v>
      </c>
      <c r="AU99" s="40">
        <f t="shared" ref="AU99" si="417">AU98/AU10</f>
        <v>0.33347876107822233</v>
      </c>
      <c r="AV99" s="1209">
        <f t="shared" si="416"/>
        <v>0.22885022529694091</v>
      </c>
      <c r="AW99" s="1207">
        <f t="shared" si="416"/>
        <v>0.2570609399999485</v>
      </c>
      <c r="AX99" s="1207">
        <f t="shared" si="416"/>
        <v>0.29229833335441596</v>
      </c>
      <c r="AY99" s="1207">
        <f t="shared" ref="AY99" si="418">AY98/AY10</f>
        <v>0.32616629949692272</v>
      </c>
      <c r="AZ99" s="1209">
        <f t="shared" si="416"/>
        <v>0.2989418446257755</v>
      </c>
      <c r="BA99" s="1282">
        <f t="shared" si="416"/>
        <v>0.3114622006268391</v>
      </c>
      <c r="BB99" s="1282">
        <f t="shared" ref="BB99:BD99" si="419">BB98/BB10</f>
        <v>0.32614525957840912</v>
      </c>
      <c r="BC99" s="1440">
        <f t="shared" si="419"/>
        <v>0.35004370056515505</v>
      </c>
      <c r="BD99" s="1442">
        <f t="shared" si="419"/>
        <v>0.34989701203194468</v>
      </c>
      <c r="BE99" s="40">
        <f t="shared" si="416"/>
        <v>0.35506193241789225</v>
      </c>
      <c r="BF99" s="40">
        <f t="shared" si="416"/>
        <v>0.34950246864474999</v>
      </c>
      <c r="BG99" s="41">
        <f t="shared" si="416"/>
        <v>0.35622028990688753</v>
      </c>
      <c r="BH99" s="1422">
        <f t="shared" si="416"/>
        <v>0.32350105857564632</v>
      </c>
      <c r="BI99" s="1420">
        <f t="shared" si="416"/>
        <v>0.33823207504758501</v>
      </c>
      <c r="BJ99" s="1420">
        <f t="shared" si="416"/>
        <v>0.35018526696077917</v>
      </c>
      <c r="BK99" s="1421">
        <f t="shared" si="416"/>
        <v>0.35881188287342558</v>
      </c>
      <c r="BL99" s="1442">
        <f t="shared" ref="BL99:BO99" si="420">BL98/BL10</f>
        <v>0.33994198150701493</v>
      </c>
      <c r="BM99" s="1440">
        <f t="shared" si="420"/>
        <v>0.35300149204985842</v>
      </c>
      <c r="BN99" s="1440">
        <f t="shared" si="420"/>
        <v>0.36312179945711981</v>
      </c>
      <c r="BO99" s="1441">
        <f t="shared" si="420"/>
        <v>0.36991121595817694</v>
      </c>
      <c r="BP99" s="253"/>
      <c r="BQ99" s="1283">
        <f t="shared" ref="BQ99:CE99" si="421">BQ98/BQ10</f>
        <v>0.17992708830128928</v>
      </c>
      <c r="BR99" s="1282">
        <f t="shared" si="421"/>
        <v>0.22580206755881149</v>
      </c>
      <c r="BS99" s="1282">
        <f t="shared" si="421"/>
        <v>0.21078988947250052</v>
      </c>
      <c r="BT99" s="1282">
        <f t="shared" si="421"/>
        <v>0.20429324151295544</v>
      </c>
      <c r="BU99" s="1282">
        <f t="shared" si="421"/>
        <v>0.14545473718944174</v>
      </c>
      <c r="BV99" s="1282">
        <f t="shared" si="421"/>
        <v>0.26175376982029785</v>
      </c>
      <c r="BW99" s="1282">
        <f t="shared" si="421"/>
        <v>0.28832981851719364</v>
      </c>
      <c r="BX99" s="1282">
        <f t="shared" si="421"/>
        <v>0.24317548526342878</v>
      </c>
      <c r="BY99" s="1282">
        <f t="shared" si="421"/>
        <v>0.25678351136507593</v>
      </c>
      <c r="BZ99" s="1442">
        <f t="shared" si="421"/>
        <v>0.26536001281776939</v>
      </c>
      <c r="CA99" s="1440">
        <f t="shared" si="421"/>
        <v>0.29230803716465226</v>
      </c>
      <c r="CB99" s="1440">
        <f t="shared" si="421"/>
        <v>0.27979651658132659</v>
      </c>
      <c r="CC99" s="1440">
        <f t="shared" si="421"/>
        <v>0.32481296437809248</v>
      </c>
      <c r="CD99" s="1440">
        <f t="shared" si="421"/>
        <v>0.35268031836291219</v>
      </c>
      <c r="CE99" s="1440">
        <f t="shared" si="421"/>
        <v>0.34327238321630194</v>
      </c>
      <c r="CF99" s="1441">
        <f t="shared" ref="CF99" si="422">CF98/CF10</f>
        <v>0.35693655237928507</v>
      </c>
      <c r="CG99" s="23"/>
      <c r="CH99" s="42">
        <f t="shared" ref="CH99:CU99" si="423">CH98/CH10</f>
        <v>0.18248474777570586</v>
      </c>
      <c r="CI99" s="40">
        <f t="shared" si="423"/>
        <v>0.23787315555173766</v>
      </c>
      <c r="CJ99" s="40">
        <f t="shared" si="423"/>
        <v>0.19860130167889062</v>
      </c>
      <c r="CK99" s="40">
        <f t="shared" si="423"/>
        <v>0.19074271718807562</v>
      </c>
      <c r="CL99" s="40">
        <f t="shared" si="423"/>
        <v>0.17072813360009401</v>
      </c>
      <c r="CM99" s="1440">
        <f t="shared" si="423"/>
        <v>0.27889739144871006</v>
      </c>
      <c r="CN99" s="1440">
        <f t="shared" si="423"/>
        <v>0.2707898012059326</v>
      </c>
      <c r="CO99" s="1440">
        <f t="shared" si="423"/>
        <v>0.24400055179248512</v>
      </c>
      <c r="CP99" s="1440">
        <f t="shared" si="423"/>
        <v>0.26251204706716602</v>
      </c>
      <c r="CQ99" s="1440">
        <f t="shared" si="423"/>
        <v>0.2680753034464442</v>
      </c>
      <c r="CR99" s="1440">
        <f t="shared" si="423"/>
        <v>0.28548259522481195</v>
      </c>
      <c r="CS99" s="1207">
        <f t="shared" si="423"/>
        <v>0.29585407002309144</v>
      </c>
      <c r="CT99" s="1207">
        <f t="shared" si="423"/>
        <v>0.33607947670887989</v>
      </c>
      <c r="CU99" s="1440">
        <f t="shared" si="423"/>
        <v>0.34620880125683939</v>
      </c>
      <c r="CV99" s="1441">
        <f t="shared" ref="CV99" si="424">CV98/CV10</f>
        <v>0.34701542386223766</v>
      </c>
      <c r="CW99" s="17"/>
    </row>
    <row r="100" spans="1:112" ht="14.25" customHeight="1" collapsed="1">
      <c r="A100" s="8"/>
      <c r="B100" s="38"/>
      <c r="C100" s="39"/>
      <c r="D100" s="40"/>
      <c r="E100" s="40"/>
      <c r="F100" s="40"/>
      <c r="G100" s="41"/>
      <c r="H100" s="40"/>
      <c r="I100" s="40"/>
      <c r="J100" s="40"/>
      <c r="K100" s="41"/>
      <c r="L100" s="40"/>
      <c r="M100" s="40"/>
      <c r="N100" s="40"/>
      <c r="O100" s="41"/>
      <c r="P100" s="40"/>
      <c r="Q100" s="40"/>
      <c r="R100" s="40"/>
      <c r="S100" s="41"/>
      <c r="T100" s="40"/>
      <c r="U100" s="40"/>
      <c r="V100" s="40"/>
      <c r="W100" s="41"/>
      <c r="X100" s="40"/>
      <c r="Y100" s="40"/>
      <c r="Z100" s="40"/>
      <c r="AA100" s="41"/>
      <c r="AB100" s="40"/>
      <c r="AC100" s="40"/>
      <c r="AD100" s="40"/>
      <c r="AE100" s="40"/>
      <c r="AF100" s="42"/>
      <c r="AG100" s="40"/>
      <c r="AH100" s="40"/>
      <c r="AI100" s="40"/>
      <c r="AJ100" s="42"/>
      <c r="AK100" s="40"/>
      <c r="AL100" s="40"/>
      <c r="AM100" s="40"/>
      <c r="AN100" s="42"/>
      <c r="AO100" s="40"/>
      <c r="AP100" s="40"/>
      <c r="AQ100" s="40"/>
      <c r="AR100" s="42"/>
      <c r="AS100" s="40"/>
      <c r="AT100" s="40"/>
      <c r="AU100" s="40"/>
      <c r="AV100" s="1209"/>
      <c r="AW100" s="1207"/>
      <c r="AX100" s="1207"/>
      <c r="AY100" s="1207"/>
      <c r="AZ100" s="1209"/>
      <c r="BA100" s="1282"/>
      <c r="BB100" s="1282"/>
      <c r="BC100" s="1440"/>
      <c r="BD100" s="1442"/>
      <c r="BE100" s="40"/>
      <c r="BF100" s="40"/>
      <c r="BG100" s="41"/>
      <c r="BH100" s="1422"/>
      <c r="BI100" s="1420"/>
      <c r="BJ100" s="1420"/>
      <c r="BK100" s="1421"/>
      <c r="BL100" s="1442"/>
      <c r="BM100" s="1440"/>
      <c r="BN100" s="1440"/>
      <c r="BO100" s="1441"/>
      <c r="BP100" s="253"/>
      <c r="BQ100" s="1283"/>
      <c r="BR100" s="1282"/>
      <c r="BS100" s="1282"/>
      <c r="BT100" s="1282"/>
      <c r="BU100" s="1282"/>
      <c r="BV100" s="1282"/>
      <c r="BW100" s="1282"/>
      <c r="BX100" s="1282"/>
      <c r="BY100" s="1282"/>
      <c r="BZ100" s="1442"/>
      <c r="CA100" s="1440"/>
      <c r="CB100" s="1440"/>
      <c r="CC100" s="1440"/>
      <c r="CD100" s="1440"/>
      <c r="CE100" s="1440"/>
      <c r="CF100" s="1441"/>
      <c r="CG100" s="23"/>
      <c r="CH100" s="42"/>
      <c r="CI100" s="40"/>
      <c r="CJ100" s="40"/>
      <c r="CK100" s="40"/>
      <c r="CL100" s="40"/>
      <c r="CM100" s="1440"/>
      <c r="CN100" s="1440"/>
      <c r="CO100" s="1440"/>
      <c r="CP100" s="1440"/>
      <c r="CQ100" s="1440"/>
      <c r="CR100" s="1440"/>
      <c r="CS100" s="1207"/>
      <c r="CT100" s="1207"/>
      <c r="CU100" s="1440"/>
      <c r="CV100" s="1441"/>
      <c r="CW100" s="17"/>
    </row>
    <row r="101" spans="1:112" ht="14.25" customHeight="1">
      <c r="A101" s="675"/>
      <c r="B101" s="676" t="s">
        <v>443</v>
      </c>
      <c r="C101" s="677"/>
      <c r="D101" s="678">
        <v>0</v>
      </c>
      <c r="E101" s="678">
        <v>0</v>
      </c>
      <c r="F101" s="678">
        <v>0</v>
      </c>
      <c r="G101" s="679">
        <v>0</v>
      </c>
      <c r="H101" s="678">
        <v>13.744</v>
      </c>
      <c r="I101" s="678">
        <v>12.103999999999999</v>
      </c>
      <c r="J101" s="678">
        <v>8.9179999999999993</v>
      </c>
      <c r="K101" s="679">
        <v>-1.5980000000000001</v>
      </c>
      <c r="L101" s="678">
        <v>-3.226</v>
      </c>
      <c r="M101" s="678">
        <v>-0.222</v>
      </c>
      <c r="N101" s="678">
        <v>-4.9710000000000001</v>
      </c>
      <c r="O101" s="679">
        <v>3.2029999999999998</v>
      </c>
      <c r="P101" s="678">
        <f>1.888+246.983</f>
        <v>248.87100000000001</v>
      </c>
      <c r="Q101" s="678">
        <v>3.194</v>
      </c>
      <c r="R101" s="678">
        <f>5.611+3.802</f>
        <v>9.4130000000000003</v>
      </c>
      <c r="S101" s="679">
        <f>2.086-2.457</f>
        <v>-0.371</v>
      </c>
      <c r="T101" s="678">
        <v>0.36399999999999999</v>
      </c>
      <c r="U101" s="678">
        <v>0</v>
      </c>
      <c r="V101" s="678">
        <v>0</v>
      </c>
      <c r="W101" s="679">
        <v>0</v>
      </c>
      <c r="X101" s="678">
        <v>0.85899999999999999</v>
      </c>
      <c r="Y101" s="678">
        <v>0</v>
      </c>
      <c r="Z101" s="678">
        <v>0</v>
      </c>
      <c r="AA101" s="679">
        <v>0</v>
      </c>
      <c r="AB101" s="678">
        <v>6.5</v>
      </c>
      <c r="AC101" s="678">
        <v>0</v>
      </c>
      <c r="AD101" s="678">
        <v>0</v>
      </c>
      <c r="AE101" s="678">
        <v>0</v>
      </c>
      <c r="AF101" s="680">
        <v>0</v>
      </c>
      <c r="AG101" s="682">
        <v>0</v>
      </c>
      <c r="AH101" s="678">
        <v>0</v>
      </c>
      <c r="AI101" s="678">
        <v>0</v>
      </c>
      <c r="AJ101" s="680">
        <v>0</v>
      </c>
      <c r="AK101" s="678">
        <v>0</v>
      </c>
      <c r="AL101" s="678">
        <v>0</v>
      </c>
      <c r="AM101" s="678">
        <v>0</v>
      </c>
      <c r="AN101" s="680">
        <v>0</v>
      </c>
      <c r="AO101" s="678">
        <v>0</v>
      </c>
      <c r="AP101" s="678">
        <v>0</v>
      </c>
      <c r="AQ101" s="678">
        <v>0</v>
      </c>
      <c r="AR101" s="680">
        <v>0</v>
      </c>
      <c r="AS101" s="678">
        <v>0</v>
      </c>
      <c r="AT101" s="678">
        <v>0</v>
      </c>
      <c r="AU101" s="678">
        <v>0</v>
      </c>
      <c r="AV101" s="680">
        <v>0</v>
      </c>
      <c r="AW101" s="678">
        <v>0</v>
      </c>
      <c r="AX101" s="678">
        <v>0</v>
      </c>
      <c r="AY101" s="678">
        <v>0</v>
      </c>
      <c r="AZ101" s="680">
        <v>0</v>
      </c>
      <c r="BA101" s="678">
        <v>0</v>
      </c>
      <c r="BB101" s="678">
        <v>0</v>
      </c>
      <c r="BC101" s="678">
        <v>0</v>
      </c>
      <c r="BD101" s="680">
        <v>0</v>
      </c>
      <c r="BE101" s="678">
        <v>0</v>
      </c>
      <c r="BF101" s="678">
        <v>0</v>
      </c>
      <c r="BG101" s="679">
        <v>0</v>
      </c>
      <c r="BH101" s="680">
        <v>0</v>
      </c>
      <c r="BI101" s="678">
        <v>0</v>
      </c>
      <c r="BJ101" s="678">
        <v>0</v>
      </c>
      <c r="BK101" s="679">
        <v>0</v>
      </c>
      <c r="BL101" s="680">
        <v>0</v>
      </c>
      <c r="BM101" s="678">
        <v>0</v>
      </c>
      <c r="BN101" s="678">
        <v>0</v>
      </c>
      <c r="BO101" s="679">
        <v>0</v>
      </c>
      <c r="BP101" s="946"/>
      <c r="BQ101" s="684">
        <f>SUM(D101:G101)</f>
        <v>0</v>
      </c>
      <c r="BR101" s="682">
        <f>SUM(H101:K101)</f>
        <v>33.167999999999999</v>
      </c>
      <c r="BS101" s="682">
        <f>SUM(L101:O101)</f>
        <v>-5.2160000000000011</v>
      </c>
      <c r="BT101" s="682">
        <f>SUM(P101:S101)</f>
        <v>261.10700000000003</v>
      </c>
      <c r="BU101" s="682">
        <f>SUM(T101:W101)</f>
        <v>0.36399999999999999</v>
      </c>
      <c r="BV101" s="682">
        <f>SUM(X101:AA101)</f>
        <v>0.85899999999999999</v>
      </c>
      <c r="BW101" s="682">
        <f>SUM(AB101:AE101)</f>
        <v>6.5</v>
      </c>
      <c r="BX101" s="682">
        <f>SUM(AF101:AI101)</f>
        <v>0</v>
      </c>
      <c r="BY101" s="682">
        <f>SUM(AJ101:AM101)</f>
        <v>0</v>
      </c>
      <c r="BZ101" s="684">
        <f>SUM(AN101:AQ101)</f>
        <v>0</v>
      </c>
      <c r="CA101" s="682">
        <f>SUM(AR101:AU101)</f>
        <v>0</v>
      </c>
      <c r="CB101" s="682">
        <f>SUM(AV101:AY101)</f>
        <v>0</v>
      </c>
      <c r="CC101" s="682">
        <f>SUM(AZ101:BC101)</f>
        <v>0</v>
      </c>
      <c r="CD101" s="682">
        <f>SUM(BD101:BG101)</f>
        <v>0</v>
      </c>
      <c r="CE101" s="682">
        <f>SUM(BH101:BK101)</f>
        <v>0</v>
      </c>
      <c r="CF101" s="1223">
        <f>SUM(BL101:BO101)</f>
        <v>0</v>
      </c>
      <c r="CG101" s="681"/>
      <c r="CH101" s="684">
        <f>SUM(E101:H101)</f>
        <v>13.744</v>
      </c>
      <c r="CI101" s="682">
        <f>SUM(I101:L101)</f>
        <v>16.198</v>
      </c>
      <c r="CJ101" s="682">
        <f>SUM(M101:P101)</f>
        <v>246.881</v>
      </c>
      <c r="CK101" s="682">
        <f>SUM(Q101:T101)</f>
        <v>12.6</v>
      </c>
      <c r="CL101" s="682">
        <f>SUM(U101:X101)</f>
        <v>0.85899999999999999</v>
      </c>
      <c r="CM101" s="682">
        <f>SUM(Y101:AB101)</f>
        <v>6.5</v>
      </c>
      <c r="CN101" s="682">
        <f>SUM(AC101:AF101)</f>
        <v>0</v>
      </c>
      <c r="CO101" s="682">
        <f>SUM(AG101:AJ101)</f>
        <v>0</v>
      </c>
      <c r="CP101" s="682">
        <f>SUM(AK101:AN101)</f>
        <v>0</v>
      </c>
      <c r="CQ101" s="682">
        <f>SUM(AO101:AR101)</f>
        <v>0</v>
      </c>
      <c r="CR101" s="682">
        <f>SUM(AS101:AV101)</f>
        <v>0</v>
      </c>
      <c r="CS101" s="682">
        <f>SUM(AW101:AZ101)</f>
        <v>0</v>
      </c>
      <c r="CT101" s="682">
        <f>SUM(BA101:BD101)</f>
        <v>0</v>
      </c>
      <c r="CU101" s="682">
        <f>SUM(BE101:BH101)</f>
        <v>0</v>
      </c>
      <c r="CV101" s="683">
        <f>SUM(BI101:BL101)</f>
        <v>0</v>
      </c>
      <c r="CW101" s="799"/>
      <c r="DD101" s="686"/>
      <c r="DE101" s="686"/>
      <c r="DF101" s="686"/>
      <c r="DG101" s="686"/>
      <c r="DH101" s="686"/>
    </row>
    <row r="102" spans="1:112" ht="14.25" customHeight="1">
      <c r="A102" s="8"/>
      <c r="B102" s="51" t="s">
        <v>165</v>
      </c>
      <c r="C102" s="52"/>
      <c r="D102" s="54">
        <f t="shared" ref="D102:AN102" si="425">D91+D101</f>
        <v>107.44299999999991</v>
      </c>
      <c r="E102" s="54">
        <f t="shared" si="425"/>
        <v>117.59900000000002</v>
      </c>
      <c r="F102" s="54">
        <f t="shared" si="425"/>
        <v>121.40400000000005</v>
      </c>
      <c r="G102" s="55">
        <f t="shared" si="425"/>
        <v>68.341000000000051</v>
      </c>
      <c r="H102" s="54">
        <f t="shared" si="425"/>
        <v>120.55699999999997</v>
      </c>
      <c r="I102" s="54">
        <f t="shared" si="425"/>
        <v>145.82099999999997</v>
      </c>
      <c r="J102" s="54">
        <f t="shared" si="425"/>
        <v>144.68499999999997</v>
      </c>
      <c r="K102" s="55">
        <f t="shared" si="425"/>
        <v>137.67099999999999</v>
      </c>
      <c r="L102" s="54">
        <f t="shared" si="425"/>
        <v>153.00799999999998</v>
      </c>
      <c r="M102" s="54">
        <f t="shared" si="425"/>
        <v>125.35599999999995</v>
      </c>
      <c r="N102" s="54">
        <f t="shared" si="425"/>
        <v>120.43500000000009</v>
      </c>
      <c r="O102" s="55">
        <f t="shared" si="425"/>
        <v>97.889000000000053</v>
      </c>
      <c r="P102" s="54">
        <f t="shared" si="425"/>
        <v>370.71900000000005</v>
      </c>
      <c r="Q102" s="54">
        <f t="shared" si="425"/>
        <v>133.08600000000004</v>
      </c>
      <c r="R102" s="54">
        <f t="shared" si="425"/>
        <v>138.608</v>
      </c>
      <c r="S102" s="55">
        <f t="shared" si="425"/>
        <v>143.87100000000007</v>
      </c>
      <c r="T102" s="54">
        <f t="shared" si="425"/>
        <v>24.949000000000009</v>
      </c>
      <c r="U102" s="54">
        <f t="shared" si="425"/>
        <v>51.754000000000019</v>
      </c>
      <c r="V102" s="54">
        <f t="shared" si="425"/>
        <v>65.45999999999998</v>
      </c>
      <c r="W102" s="55">
        <f t="shared" si="425"/>
        <v>105.60900000000004</v>
      </c>
      <c r="X102" s="54">
        <f t="shared" si="425"/>
        <v>120.45899999999993</v>
      </c>
      <c r="Y102" s="54">
        <f t="shared" si="425"/>
        <v>167.14</v>
      </c>
      <c r="Z102" s="54">
        <f t="shared" si="425"/>
        <v>199.49099999999999</v>
      </c>
      <c r="AA102" s="55">
        <f t="shared" si="425"/>
        <v>224.99400000000009</v>
      </c>
      <c r="AB102" s="54">
        <f t="shared" si="425"/>
        <v>222.10599999999999</v>
      </c>
      <c r="AC102" s="54">
        <f t="shared" si="425"/>
        <v>241.82599999999991</v>
      </c>
      <c r="AD102" s="54">
        <f t="shared" si="425"/>
        <v>219.93500000000003</v>
      </c>
      <c r="AE102" s="54">
        <f t="shared" si="425"/>
        <v>183.52699999999999</v>
      </c>
      <c r="AF102" s="53">
        <f t="shared" si="425"/>
        <v>139.38199999999998</v>
      </c>
      <c r="AG102" s="54">
        <f t="shared" si="425"/>
        <v>162.89900000000003</v>
      </c>
      <c r="AH102" s="54">
        <f t="shared" si="425"/>
        <v>169.76799999999994</v>
      </c>
      <c r="AI102" s="54">
        <f t="shared" si="425"/>
        <v>179.18700000000007</v>
      </c>
      <c r="AJ102" s="53">
        <f t="shared" si="425"/>
        <v>131.22200000000001</v>
      </c>
      <c r="AK102" s="54">
        <f t="shared" si="425"/>
        <v>164.47199999999998</v>
      </c>
      <c r="AL102" s="54">
        <f t="shared" si="425"/>
        <v>176.23900000000003</v>
      </c>
      <c r="AM102" s="54">
        <f t="shared" si="425"/>
        <v>201.55400000000006</v>
      </c>
      <c r="AN102" s="53">
        <f t="shared" si="425"/>
        <v>152.58600000000007</v>
      </c>
      <c r="AO102" s="54">
        <f t="shared" ref="AO102:AX102" si="426">AO91+AO101</f>
        <v>187.43299999999991</v>
      </c>
      <c r="AP102" s="54">
        <f t="shared" si="426"/>
        <v>180.60599999999994</v>
      </c>
      <c r="AQ102" s="54">
        <f t="shared" si="426"/>
        <v>108.69499999999998</v>
      </c>
      <c r="AR102" s="53">
        <f t="shared" si="426"/>
        <v>178.75699999999998</v>
      </c>
      <c r="AS102" s="54">
        <f t="shared" si="426"/>
        <v>205.33800000000005</v>
      </c>
      <c r="AT102" s="54">
        <f t="shared" si="426"/>
        <v>216.47800000000007</v>
      </c>
      <c r="AU102" s="54">
        <f t="shared" si="426"/>
        <v>96.305000000000106</v>
      </c>
      <c r="AV102" s="53">
        <f t="shared" si="426"/>
        <v>164.50399999999996</v>
      </c>
      <c r="AW102" s="54">
        <f t="shared" si="426"/>
        <v>170.57299999999992</v>
      </c>
      <c r="AX102" s="54">
        <f t="shared" si="426"/>
        <v>230.42999999999992</v>
      </c>
      <c r="AY102" s="54">
        <f t="shared" ref="AY102:AZ102" si="427">AY91+AY101</f>
        <v>296.1570000000001</v>
      </c>
      <c r="AZ102" s="53">
        <f t="shared" si="427"/>
        <v>217.12899999999991</v>
      </c>
      <c r="BA102" s="54">
        <f t="shared" ref="BA102:BG102" si="428">BA91+BA101</f>
        <v>93.563999999999965</v>
      </c>
      <c r="BB102" s="54">
        <f t="shared" si="428"/>
        <v>68.916000000000025</v>
      </c>
      <c r="BC102" s="54">
        <f t="shared" ref="BC102:BD102" si="429">BC91+BC101</f>
        <v>347.65000000000015</v>
      </c>
      <c r="BD102" s="53">
        <f t="shared" si="429"/>
        <v>268.17200000000003</v>
      </c>
      <c r="BE102" s="54">
        <f t="shared" si="428"/>
        <v>360.98042645555978</v>
      </c>
      <c r="BF102" s="54">
        <f t="shared" si="428"/>
        <v>528.96839675493754</v>
      </c>
      <c r="BG102" s="55">
        <f t="shared" si="428"/>
        <v>556.93309973660143</v>
      </c>
      <c r="BH102" s="53">
        <f t="shared" ref="BH102:BK102" si="430">BH91+BH101</f>
        <v>479.45640495781339</v>
      </c>
      <c r="BI102" s="54">
        <f t="shared" si="430"/>
        <v>524.20737207307582</v>
      </c>
      <c r="BJ102" s="54">
        <f t="shared" si="430"/>
        <v>562.63532786794281</v>
      </c>
      <c r="BK102" s="55">
        <f t="shared" si="430"/>
        <v>600.52626968575726</v>
      </c>
      <c r="BL102" s="53">
        <f t="shared" ref="BL102:BO102" si="431">BL91+BL101</f>
        <v>539.3776174205766</v>
      </c>
      <c r="BM102" s="54">
        <f t="shared" si="431"/>
        <v>583.80046747766767</v>
      </c>
      <c r="BN102" s="54">
        <f t="shared" si="431"/>
        <v>619.48675405347069</v>
      </c>
      <c r="BO102" s="55">
        <f t="shared" si="431"/>
        <v>653.47537969215841</v>
      </c>
      <c r="BP102" s="253"/>
      <c r="BQ102" s="53">
        <f t="shared" ref="BQ102:CE102" si="432">BQ91+BQ101</f>
        <v>414.78699999999992</v>
      </c>
      <c r="BR102" s="54">
        <f t="shared" si="432"/>
        <v>548.7339999999997</v>
      </c>
      <c r="BS102" s="54">
        <f t="shared" si="432"/>
        <v>496.6880000000001</v>
      </c>
      <c r="BT102" s="54">
        <f t="shared" si="432"/>
        <v>786.28400000000011</v>
      </c>
      <c r="BU102" s="54">
        <f t="shared" si="432"/>
        <v>247.77199999999979</v>
      </c>
      <c r="BV102" s="54">
        <f t="shared" si="432"/>
        <v>712.08399999999995</v>
      </c>
      <c r="BW102" s="54">
        <f t="shared" si="432"/>
        <v>867.39400000000012</v>
      </c>
      <c r="BX102" s="54">
        <f t="shared" si="432"/>
        <v>651.23599999999965</v>
      </c>
      <c r="BY102" s="54">
        <f t="shared" si="432"/>
        <v>673.48700000000031</v>
      </c>
      <c r="BZ102" s="53">
        <f t="shared" si="432"/>
        <v>629.31999999999971</v>
      </c>
      <c r="CA102" s="54">
        <f t="shared" si="432"/>
        <v>696.8779999999997</v>
      </c>
      <c r="CB102" s="54">
        <f t="shared" si="432"/>
        <v>861.66400000000033</v>
      </c>
      <c r="CC102" s="54">
        <f>CC91+CC101</f>
        <v>727.25900000000024</v>
      </c>
      <c r="CD102" s="54">
        <f t="shared" si="432"/>
        <v>1715.0539229470987</v>
      </c>
      <c r="CE102" s="54">
        <f t="shared" si="432"/>
        <v>2166.8253745845882</v>
      </c>
      <c r="CF102" s="55">
        <f t="shared" ref="CF102" si="433">CF91+CF101</f>
        <v>2396.1402186438727</v>
      </c>
      <c r="CG102" s="23"/>
      <c r="CH102" s="53">
        <f t="shared" ref="CH102:CR102" si="434">CH91+CH101</f>
        <v>427.90100000000018</v>
      </c>
      <c r="CI102" s="54">
        <f t="shared" si="434"/>
        <v>581.18499999999983</v>
      </c>
      <c r="CJ102" s="54">
        <f t="shared" si="434"/>
        <v>714.39900000000046</v>
      </c>
      <c r="CK102" s="54">
        <f t="shared" si="434"/>
        <v>440.5139999999999</v>
      </c>
      <c r="CL102" s="54">
        <f t="shared" si="434"/>
        <v>343.28200000000004</v>
      </c>
      <c r="CM102" s="54">
        <f t="shared" si="434"/>
        <v>813.73099999999999</v>
      </c>
      <c r="CN102" s="54">
        <f t="shared" si="434"/>
        <v>784.66999999999985</v>
      </c>
      <c r="CO102" s="54">
        <f t="shared" si="434"/>
        <v>643.07599999999991</v>
      </c>
      <c r="CP102" s="54">
        <f t="shared" si="434"/>
        <v>694.85100000000011</v>
      </c>
      <c r="CQ102" s="54">
        <f t="shared" si="434"/>
        <v>655.49099999999953</v>
      </c>
      <c r="CR102" s="54">
        <f t="shared" si="434"/>
        <v>682.62499999999977</v>
      </c>
      <c r="CS102" s="54">
        <f>CS91+CS101</f>
        <v>914.28899999999999</v>
      </c>
      <c r="CT102" s="54">
        <f>CT91+CT101</f>
        <v>778.30199999999945</v>
      </c>
      <c r="CU102" s="54">
        <f>CU91+CU101</f>
        <v>1926.3383279049133</v>
      </c>
      <c r="CV102" s="55">
        <f>CV91+CV101</f>
        <v>2226.7465870473511</v>
      </c>
      <c r="CW102" s="17"/>
    </row>
    <row r="103" spans="1:112" ht="14.25" customHeight="1">
      <c r="A103" s="8"/>
      <c r="B103" s="364"/>
      <c r="C103" s="52"/>
      <c r="D103" s="369"/>
      <c r="E103" s="369"/>
      <c r="F103" s="369"/>
      <c r="G103" s="370"/>
      <c r="H103" s="369"/>
      <c r="I103" s="369"/>
      <c r="J103" s="369"/>
      <c r="K103" s="370"/>
      <c r="L103" s="369"/>
      <c r="M103" s="369"/>
      <c r="N103" s="369"/>
      <c r="O103" s="370"/>
      <c r="P103" s="369"/>
      <c r="Q103" s="369"/>
      <c r="R103" s="369"/>
      <c r="S103" s="370"/>
      <c r="T103" s="369"/>
      <c r="U103" s="369"/>
      <c r="V103" s="369"/>
      <c r="W103" s="370"/>
      <c r="X103" s="369"/>
      <c r="Y103" s="369"/>
      <c r="Z103" s="369"/>
      <c r="AA103" s="370"/>
      <c r="AB103" s="369"/>
      <c r="AC103" s="369"/>
      <c r="AD103" s="369"/>
      <c r="AE103" s="369"/>
      <c r="AF103" s="371"/>
      <c r="AG103" s="369"/>
      <c r="AH103" s="369"/>
      <c r="AI103" s="369"/>
      <c r="AJ103" s="371"/>
      <c r="AK103" s="369"/>
      <c r="AL103" s="369"/>
      <c r="AM103" s="369"/>
      <c r="AN103" s="371"/>
      <c r="AO103" s="369"/>
      <c r="AP103" s="369"/>
      <c r="AQ103" s="369"/>
      <c r="AR103" s="371"/>
      <c r="AS103" s="369"/>
      <c r="AT103" s="369"/>
      <c r="AU103" s="369"/>
      <c r="AV103" s="371"/>
      <c r="AW103" s="369"/>
      <c r="AX103" s="369"/>
      <c r="AY103" s="369"/>
      <c r="AZ103" s="371"/>
      <c r="BA103" s="369"/>
      <c r="BB103" s="369"/>
      <c r="BC103" s="369"/>
      <c r="BD103" s="371"/>
      <c r="BE103" s="369"/>
      <c r="BF103" s="369"/>
      <c r="BG103" s="370"/>
      <c r="BH103" s="371"/>
      <c r="BI103" s="369"/>
      <c r="BJ103" s="369"/>
      <c r="BK103" s="370"/>
      <c r="BL103" s="371"/>
      <c r="BM103" s="369"/>
      <c r="BN103" s="369"/>
      <c r="BO103" s="370"/>
      <c r="BP103" s="253"/>
      <c r="BQ103" s="371"/>
      <c r="BR103" s="369"/>
      <c r="BS103" s="369"/>
      <c r="BT103" s="369"/>
      <c r="BU103" s="369"/>
      <c r="BV103" s="369"/>
      <c r="BW103" s="369"/>
      <c r="BX103" s="369"/>
      <c r="BY103" s="369"/>
      <c r="BZ103" s="371"/>
      <c r="CA103" s="369"/>
      <c r="CB103" s="369"/>
      <c r="CC103" s="369"/>
      <c r="CD103" s="369"/>
      <c r="CE103" s="369"/>
      <c r="CF103" s="370"/>
      <c r="CG103" s="23"/>
      <c r="CH103" s="37"/>
      <c r="CI103" s="35"/>
      <c r="CJ103" s="35"/>
      <c r="CK103" s="35"/>
      <c r="CL103" s="35"/>
      <c r="CM103" s="35"/>
      <c r="CN103" s="35"/>
      <c r="CO103" s="35"/>
      <c r="CP103" s="35"/>
      <c r="CQ103" s="35"/>
      <c r="CR103" s="35"/>
      <c r="CS103" s="35"/>
      <c r="CT103" s="35"/>
      <c r="CU103" s="35"/>
      <c r="CV103" s="36"/>
      <c r="CW103" s="17"/>
    </row>
    <row r="104" spans="1:112" ht="14.25" customHeight="1">
      <c r="A104" s="859"/>
      <c r="B104" s="851" t="s">
        <v>222</v>
      </c>
      <c r="C104" s="861"/>
      <c r="D104" s="678">
        <v>0</v>
      </c>
      <c r="E104" s="678">
        <v>0</v>
      </c>
      <c r="F104" s="678">
        <v>0</v>
      </c>
      <c r="G104" s="679">
        <v>0</v>
      </c>
      <c r="H104" s="678">
        <v>0</v>
      </c>
      <c r="I104" s="678">
        <v>0</v>
      </c>
      <c r="J104" s="678">
        <v>0</v>
      </c>
      <c r="K104" s="679">
        <v>-0.748</v>
      </c>
      <c r="L104" s="678">
        <v>-0.219</v>
      </c>
      <c r="M104" s="678">
        <v>0</v>
      </c>
      <c r="N104" s="678">
        <v>0</v>
      </c>
      <c r="O104" s="679">
        <v>0</v>
      </c>
      <c r="P104" s="678">
        <v>0</v>
      </c>
      <c r="Q104" s="678">
        <v>0</v>
      </c>
      <c r="R104" s="678">
        <v>0</v>
      </c>
      <c r="S104" s="679">
        <v>0</v>
      </c>
      <c r="T104" s="678">
        <v>0</v>
      </c>
      <c r="U104" s="678">
        <v>0</v>
      </c>
      <c r="V104" s="678">
        <v>0</v>
      </c>
      <c r="W104" s="679">
        <v>0</v>
      </c>
      <c r="X104" s="678">
        <v>0</v>
      </c>
      <c r="Y104" s="678">
        <v>0</v>
      </c>
      <c r="Z104" s="678">
        <v>0</v>
      </c>
      <c r="AA104" s="679">
        <v>0</v>
      </c>
      <c r="AB104" s="678">
        <v>0</v>
      </c>
      <c r="AC104" s="678">
        <v>0</v>
      </c>
      <c r="AD104" s="678">
        <v>0</v>
      </c>
      <c r="AE104" s="678">
        <v>0</v>
      </c>
      <c r="AF104" s="680">
        <v>0</v>
      </c>
      <c r="AG104" s="678">
        <v>0</v>
      </c>
      <c r="AH104" s="678">
        <v>0</v>
      </c>
      <c r="AI104" s="678">
        <v>0</v>
      </c>
      <c r="AJ104" s="680">
        <v>0</v>
      </c>
      <c r="AK104" s="678">
        <v>0</v>
      </c>
      <c r="AL104" s="678">
        <v>0</v>
      </c>
      <c r="AM104" s="678">
        <v>0</v>
      </c>
      <c r="AN104" s="680">
        <v>0</v>
      </c>
      <c r="AO104" s="678">
        <v>0</v>
      </c>
      <c r="AP104" s="678">
        <v>0</v>
      </c>
      <c r="AQ104" s="678">
        <v>0</v>
      </c>
      <c r="AR104" s="680">
        <v>0</v>
      </c>
      <c r="AS104" s="678">
        <v>0</v>
      </c>
      <c r="AT104" s="678">
        <v>0</v>
      </c>
      <c r="AU104" s="678">
        <v>0</v>
      </c>
      <c r="AV104" s="680">
        <v>0</v>
      </c>
      <c r="AW104" s="678">
        <v>0</v>
      </c>
      <c r="AX104" s="678">
        <v>0</v>
      </c>
      <c r="AY104" s="678">
        <v>0</v>
      </c>
      <c r="AZ104" s="680">
        <v>0</v>
      </c>
      <c r="BA104" s="678">
        <v>0</v>
      </c>
      <c r="BB104" s="678">
        <v>0.98099999999999499</v>
      </c>
      <c r="BC104" s="678">
        <v>0</v>
      </c>
      <c r="BD104" s="680">
        <v>0</v>
      </c>
      <c r="BE104" s="678">
        <v>0</v>
      </c>
      <c r="BF104" s="678">
        <v>0</v>
      </c>
      <c r="BG104" s="679">
        <v>0</v>
      </c>
      <c r="BH104" s="680">
        <v>0</v>
      </c>
      <c r="BI104" s="678">
        <v>0</v>
      </c>
      <c r="BJ104" s="678">
        <v>0</v>
      </c>
      <c r="BK104" s="679">
        <v>0</v>
      </c>
      <c r="BL104" s="680">
        <v>0</v>
      </c>
      <c r="BM104" s="678">
        <v>0</v>
      </c>
      <c r="BN104" s="678">
        <v>0</v>
      </c>
      <c r="BO104" s="679">
        <v>0</v>
      </c>
      <c r="BP104" s="677"/>
      <c r="BQ104" s="684">
        <f>SUM(D104:G104)</f>
        <v>0</v>
      </c>
      <c r="BR104" s="682">
        <f>SUM(H104:K104)</f>
        <v>-0.748</v>
      </c>
      <c r="BS104" s="682">
        <f>SUM(L104:O104)</f>
        <v>-0.219</v>
      </c>
      <c r="BT104" s="682">
        <f>SUM(P104:S104)</f>
        <v>0</v>
      </c>
      <c r="BU104" s="682">
        <f>SUM(T104:W104)</f>
        <v>0</v>
      </c>
      <c r="BV104" s="682">
        <f>SUM(X104:AA104)</f>
        <v>0</v>
      </c>
      <c r="BW104" s="682">
        <f>SUM(AB104:AE104)</f>
        <v>0</v>
      </c>
      <c r="BX104" s="682">
        <f>SUM(AF104:AI104)</f>
        <v>0</v>
      </c>
      <c r="BY104" s="682">
        <f>SUM(AJ104:AM104)</f>
        <v>0</v>
      </c>
      <c r="BZ104" s="684">
        <f>SUM(AN104:AQ104)</f>
        <v>0</v>
      </c>
      <c r="CA104" s="682">
        <f>SUM(AR104:AU104)</f>
        <v>0</v>
      </c>
      <c r="CB104" s="682">
        <f>SUM(AV104:AY104)</f>
        <v>0</v>
      </c>
      <c r="CC104" s="682">
        <f>SUM(AZ104:BC104)</f>
        <v>0.98099999999999499</v>
      </c>
      <c r="CD104" s="682">
        <f>SUM(BD104:BG104)</f>
        <v>0</v>
      </c>
      <c r="CE104" s="682">
        <f>SUM(BH104:BK104)</f>
        <v>0</v>
      </c>
      <c r="CF104" s="1223">
        <f>SUM(BL104:BO104)</f>
        <v>0</v>
      </c>
      <c r="CG104" s="860"/>
      <c r="CH104" s="684">
        <f>SUM(E104:H104)</f>
        <v>0</v>
      </c>
      <c r="CI104" s="682">
        <f>SUM(I104:L104)</f>
        <v>-0.96699999999999997</v>
      </c>
      <c r="CJ104" s="682">
        <f>SUM(M104:P104)</f>
        <v>0</v>
      </c>
      <c r="CK104" s="682">
        <f>SUM(Q104:T104)</f>
        <v>0</v>
      </c>
      <c r="CL104" s="682">
        <f>SUM(U104:X104)</f>
        <v>0</v>
      </c>
      <c r="CM104" s="682">
        <f>SUM(Y104:AB104)</f>
        <v>0</v>
      </c>
      <c r="CN104" s="682">
        <f>SUM(AC104:AF104)</f>
        <v>0</v>
      </c>
      <c r="CO104" s="682">
        <f>SUM(AG104:AJ104)</f>
        <v>0</v>
      </c>
      <c r="CP104" s="682">
        <f>SUM(AK104:AN104)</f>
        <v>0</v>
      </c>
      <c r="CQ104" s="682">
        <f>SUM(AO104:AR104)</f>
        <v>0</v>
      </c>
      <c r="CR104" s="682">
        <f>SUM(AS104:AV104)</f>
        <v>0</v>
      </c>
      <c r="CS104" s="682">
        <f>SUM(AW104:AZ104)</f>
        <v>0</v>
      </c>
      <c r="CT104" s="682">
        <f>SUM(BA104:BD104)</f>
        <v>0.98099999999999499</v>
      </c>
      <c r="CU104" s="682">
        <f>SUM(BE104:BH104)</f>
        <v>0</v>
      </c>
      <c r="CV104" s="683">
        <f>SUM(BI104:BL104)</f>
        <v>0</v>
      </c>
      <c r="CW104" s="1096"/>
      <c r="DD104" s="691"/>
      <c r="DE104" s="691"/>
      <c r="DF104" s="691"/>
      <c r="DG104" s="691"/>
      <c r="DH104" s="691"/>
    </row>
    <row r="105" spans="1:112" ht="14.25" customHeight="1">
      <c r="A105" s="8"/>
      <c r="B105" s="51" t="s">
        <v>470</v>
      </c>
      <c r="C105" s="52"/>
      <c r="D105" s="54">
        <f t="shared" ref="D105:AN105" si="435">D102-D104</f>
        <v>107.44299999999991</v>
      </c>
      <c r="E105" s="54">
        <f t="shared" si="435"/>
        <v>117.59900000000002</v>
      </c>
      <c r="F105" s="54">
        <f t="shared" si="435"/>
        <v>121.40400000000005</v>
      </c>
      <c r="G105" s="55">
        <f t="shared" si="435"/>
        <v>68.341000000000051</v>
      </c>
      <c r="H105" s="54">
        <f t="shared" si="435"/>
        <v>120.55699999999997</v>
      </c>
      <c r="I105" s="54">
        <f t="shared" si="435"/>
        <v>145.82099999999997</v>
      </c>
      <c r="J105" s="54">
        <f t="shared" si="435"/>
        <v>144.68499999999997</v>
      </c>
      <c r="K105" s="55">
        <f t="shared" si="435"/>
        <v>138.41899999999998</v>
      </c>
      <c r="L105" s="54">
        <f t="shared" si="435"/>
        <v>153.22699999999998</v>
      </c>
      <c r="M105" s="54">
        <f t="shared" si="435"/>
        <v>125.35599999999995</v>
      </c>
      <c r="N105" s="54">
        <f t="shared" si="435"/>
        <v>120.43500000000009</v>
      </c>
      <c r="O105" s="55">
        <f t="shared" si="435"/>
        <v>97.889000000000053</v>
      </c>
      <c r="P105" s="54">
        <f t="shared" si="435"/>
        <v>370.71900000000005</v>
      </c>
      <c r="Q105" s="54">
        <f t="shared" si="435"/>
        <v>133.08600000000004</v>
      </c>
      <c r="R105" s="54">
        <f t="shared" si="435"/>
        <v>138.608</v>
      </c>
      <c r="S105" s="55">
        <f t="shared" si="435"/>
        <v>143.87100000000007</v>
      </c>
      <c r="T105" s="54">
        <f t="shared" si="435"/>
        <v>24.949000000000009</v>
      </c>
      <c r="U105" s="54">
        <f t="shared" si="435"/>
        <v>51.754000000000019</v>
      </c>
      <c r="V105" s="54">
        <f t="shared" si="435"/>
        <v>65.45999999999998</v>
      </c>
      <c r="W105" s="55">
        <f t="shared" si="435"/>
        <v>105.60900000000004</v>
      </c>
      <c r="X105" s="54">
        <f t="shared" si="435"/>
        <v>120.45899999999993</v>
      </c>
      <c r="Y105" s="54">
        <f t="shared" si="435"/>
        <v>167.14</v>
      </c>
      <c r="Z105" s="54">
        <f t="shared" si="435"/>
        <v>199.49099999999999</v>
      </c>
      <c r="AA105" s="55">
        <f t="shared" si="435"/>
        <v>224.99400000000009</v>
      </c>
      <c r="AB105" s="54">
        <f t="shared" si="435"/>
        <v>222.10599999999999</v>
      </c>
      <c r="AC105" s="54">
        <f t="shared" si="435"/>
        <v>241.82599999999991</v>
      </c>
      <c r="AD105" s="54">
        <f t="shared" si="435"/>
        <v>219.93500000000003</v>
      </c>
      <c r="AE105" s="54">
        <f t="shared" si="435"/>
        <v>183.52699999999999</v>
      </c>
      <c r="AF105" s="53">
        <f t="shared" si="435"/>
        <v>139.38199999999998</v>
      </c>
      <c r="AG105" s="54">
        <f t="shared" si="435"/>
        <v>162.89900000000003</v>
      </c>
      <c r="AH105" s="54">
        <f t="shared" si="435"/>
        <v>169.76799999999994</v>
      </c>
      <c r="AI105" s="54">
        <f t="shared" si="435"/>
        <v>179.18700000000007</v>
      </c>
      <c r="AJ105" s="53">
        <f t="shared" si="435"/>
        <v>131.22200000000001</v>
      </c>
      <c r="AK105" s="54">
        <f t="shared" si="435"/>
        <v>164.47199999999998</v>
      </c>
      <c r="AL105" s="54">
        <f t="shared" si="435"/>
        <v>176.23900000000003</v>
      </c>
      <c r="AM105" s="54">
        <f t="shared" si="435"/>
        <v>201.55400000000006</v>
      </c>
      <c r="AN105" s="53">
        <f t="shared" si="435"/>
        <v>152.58600000000007</v>
      </c>
      <c r="AO105" s="54">
        <f t="shared" ref="AO105:AX105" si="436">AO102-AO104</f>
        <v>187.43299999999991</v>
      </c>
      <c r="AP105" s="54">
        <f t="shared" si="436"/>
        <v>180.60599999999994</v>
      </c>
      <c r="AQ105" s="54">
        <f t="shared" si="436"/>
        <v>108.69499999999998</v>
      </c>
      <c r="AR105" s="53">
        <f t="shared" si="436"/>
        <v>178.75699999999998</v>
      </c>
      <c r="AS105" s="54">
        <f t="shared" si="436"/>
        <v>205.33800000000005</v>
      </c>
      <c r="AT105" s="54">
        <f t="shared" si="436"/>
        <v>216.47800000000007</v>
      </c>
      <c r="AU105" s="54">
        <f t="shared" si="436"/>
        <v>96.305000000000106</v>
      </c>
      <c r="AV105" s="53">
        <f t="shared" si="436"/>
        <v>164.50399999999996</v>
      </c>
      <c r="AW105" s="54">
        <f t="shared" si="436"/>
        <v>170.57299999999992</v>
      </c>
      <c r="AX105" s="54">
        <f t="shared" si="436"/>
        <v>230.42999999999992</v>
      </c>
      <c r="AY105" s="54">
        <f t="shared" ref="AY105:AZ105" si="437">AY102-AY104</f>
        <v>296.1570000000001</v>
      </c>
      <c r="AZ105" s="53">
        <f t="shared" si="437"/>
        <v>217.12899999999991</v>
      </c>
      <c r="BA105" s="54">
        <f t="shared" ref="BA105:BG105" si="438">BA102-BA104</f>
        <v>93.563999999999965</v>
      </c>
      <c r="BB105" s="54">
        <v>67.935000000000002</v>
      </c>
      <c r="BC105" s="54">
        <f t="shared" ref="BC105:BD105" si="439">BC102-BC104</f>
        <v>347.65000000000015</v>
      </c>
      <c r="BD105" s="53">
        <f t="shared" si="439"/>
        <v>268.17200000000003</v>
      </c>
      <c r="BE105" s="54">
        <f t="shared" si="438"/>
        <v>360.98042645555978</v>
      </c>
      <c r="BF105" s="54">
        <f t="shared" si="438"/>
        <v>528.96839675493754</v>
      </c>
      <c r="BG105" s="55">
        <f t="shared" si="438"/>
        <v>556.93309973660143</v>
      </c>
      <c r="BH105" s="53">
        <f t="shared" ref="BH105:BK105" si="440">BH102-BH104</f>
        <v>479.45640495781339</v>
      </c>
      <c r="BI105" s="54">
        <f t="shared" si="440"/>
        <v>524.20737207307582</v>
      </c>
      <c r="BJ105" s="54">
        <f t="shared" si="440"/>
        <v>562.63532786794281</v>
      </c>
      <c r="BK105" s="55">
        <f t="shared" si="440"/>
        <v>600.52626968575726</v>
      </c>
      <c r="BL105" s="53">
        <f t="shared" ref="BL105:BO105" si="441">BL102-BL104</f>
        <v>539.3776174205766</v>
      </c>
      <c r="BM105" s="54">
        <f t="shared" si="441"/>
        <v>583.80046747766767</v>
      </c>
      <c r="BN105" s="54">
        <f t="shared" si="441"/>
        <v>619.48675405347069</v>
      </c>
      <c r="BO105" s="55">
        <f t="shared" si="441"/>
        <v>653.47537969215841</v>
      </c>
      <c r="BP105" s="253"/>
      <c r="BQ105" s="53">
        <f t="shared" ref="BQ105:CE105" si="442">BQ102-BQ104</f>
        <v>414.78699999999992</v>
      </c>
      <c r="BR105" s="54">
        <f t="shared" si="442"/>
        <v>549.48199999999974</v>
      </c>
      <c r="BS105" s="54">
        <f t="shared" si="442"/>
        <v>496.9070000000001</v>
      </c>
      <c r="BT105" s="54">
        <f t="shared" si="442"/>
        <v>786.28400000000011</v>
      </c>
      <c r="BU105" s="54">
        <f t="shared" si="442"/>
        <v>247.77199999999979</v>
      </c>
      <c r="BV105" s="54">
        <f t="shared" si="442"/>
        <v>712.08399999999995</v>
      </c>
      <c r="BW105" s="54">
        <f t="shared" si="442"/>
        <v>867.39400000000012</v>
      </c>
      <c r="BX105" s="54">
        <f t="shared" si="442"/>
        <v>651.23599999999965</v>
      </c>
      <c r="BY105" s="54">
        <f t="shared" si="442"/>
        <v>673.48700000000031</v>
      </c>
      <c r="BZ105" s="53">
        <f t="shared" si="442"/>
        <v>629.31999999999971</v>
      </c>
      <c r="CA105" s="54">
        <f t="shared" si="442"/>
        <v>696.8779999999997</v>
      </c>
      <c r="CB105" s="54">
        <f t="shared" si="442"/>
        <v>861.66400000000033</v>
      </c>
      <c r="CC105" s="54">
        <f>CC102-CC104</f>
        <v>726.27800000000025</v>
      </c>
      <c r="CD105" s="54">
        <f t="shared" si="442"/>
        <v>1715.0539229470987</v>
      </c>
      <c r="CE105" s="54">
        <f t="shared" si="442"/>
        <v>2166.8253745845882</v>
      </c>
      <c r="CF105" s="55">
        <f t="shared" ref="CF105" si="443">CF102-CF104</f>
        <v>2396.1402186438727</v>
      </c>
      <c r="CG105" s="23"/>
      <c r="CH105" s="515">
        <f t="shared" ref="CH105:CR105" si="444">CH102-CH104</f>
        <v>427.90100000000018</v>
      </c>
      <c r="CI105" s="516">
        <f t="shared" si="444"/>
        <v>582.15199999999982</v>
      </c>
      <c r="CJ105" s="516">
        <f t="shared" si="444"/>
        <v>714.39900000000046</v>
      </c>
      <c r="CK105" s="516">
        <f t="shared" si="444"/>
        <v>440.5139999999999</v>
      </c>
      <c r="CL105" s="516">
        <f t="shared" si="444"/>
        <v>343.28200000000004</v>
      </c>
      <c r="CM105" s="516">
        <f t="shared" si="444"/>
        <v>813.73099999999999</v>
      </c>
      <c r="CN105" s="516">
        <f t="shared" si="444"/>
        <v>784.66999999999985</v>
      </c>
      <c r="CO105" s="516">
        <f t="shared" si="444"/>
        <v>643.07599999999991</v>
      </c>
      <c r="CP105" s="516">
        <f t="shared" si="444"/>
        <v>694.85100000000011</v>
      </c>
      <c r="CQ105" s="516">
        <f t="shared" si="444"/>
        <v>655.49099999999953</v>
      </c>
      <c r="CR105" s="516">
        <f t="shared" si="444"/>
        <v>682.62499999999977</v>
      </c>
      <c r="CS105" s="516">
        <f>CS102-CS104</f>
        <v>914.28899999999999</v>
      </c>
      <c r="CT105" s="516">
        <f>CT102-CT104</f>
        <v>777.32099999999946</v>
      </c>
      <c r="CU105" s="516">
        <f>CU102-CU104</f>
        <v>1926.3383279049133</v>
      </c>
      <c r="CV105" s="517">
        <f>CV102-CV104</f>
        <v>2226.7465870473511</v>
      </c>
      <c r="CW105" s="17"/>
    </row>
    <row r="106" spans="1:112" ht="14.25" customHeight="1">
      <c r="A106" s="8"/>
      <c r="B106" s="38"/>
      <c r="C106" s="39"/>
      <c r="D106" s="336"/>
      <c r="E106" s="337"/>
      <c r="F106" s="337"/>
      <c r="G106" s="338"/>
      <c r="H106" s="336"/>
      <c r="I106" s="337"/>
      <c r="J106" s="337"/>
      <c r="K106" s="338"/>
      <c r="L106" s="336"/>
      <c r="M106" s="337"/>
      <c r="N106" s="337"/>
      <c r="O106" s="338"/>
      <c r="P106" s="336"/>
      <c r="Q106" s="337"/>
      <c r="R106" s="337"/>
      <c r="S106" s="338"/>
      <c r="T106" s="336"/>
      <c r="U106" s="337"/>
      <c r="V106" s="337"/>
      <c r="W106" s="338"/>
      <c r="X106" s="336"/>
      <c r="Y106" s="337"/>
      <c r="Z106" s="337"/>
      <c r="AA106" s="338"/>
      <c r="AB106" s="336"/>
      <c r="AC106" s="337"/>
      <c r="AD106" s="337"/>
      <c r="AE106" s="337"/>
      <c r="AF106" s="336"/>
      <c r="AG106" s="43"/>
      <c r="AH106" s="337"/>
      <c r="AI106" s="337"/>
      <c r="AJ106" s="44"/>
      <c r="AK106" s="43"/>
      <c r="AL106" s="337"/>
      <c r="AM106" s="337"/>
      <c r="AN106" s="44"/>
      <c r="AO106" s="43"/>
      <c r="AP106" s="337"/>
      <c r="AQ106" s="337"/>
      <c r="AR106" s="44"/>
      <c r="AS106" s="43"/>
      <c r="AT106" s="337"/>
      <c r="AU106" s="337"/>
      <c r="AV106" s="44"/>
      <c r="AW106" s="1210"/>
      <c r="AX106" s="337"/>
      <c r="AY106" s="337"/>
      <c r="AZ106" s="1444"/>
      <c r="BA106" s="1210"/>
      <c r="BB106" s="337"/>
      <c r="BC106" s="337"/>
      <c r="BD106" s="1444"/>
      <c r="BE106" s="43"/>
      <c r="BF106" s="43"/>
      <c r="BG106" s="1071"/>
      <c r="BH106" s="1431"/>
      <c r="BI106" s="1423"/>
      <c r="BJ106" s="1423"/>
      <c r="BK106" s="1430"/>
      <c r="BL106" s="1431"/>
      <c r="BM106" s="1443"/>
      <c r="BN106" s="1443"/>
      <c r="BO106" s="1430"/>
      <c r="BP106" s="253"/>
      <c r="BQ106" s="44"/>
      <c r="BR106" s="1210"/>
      <c r="BS106" s="1210"/>
      <c r="BT106" s="1210"/>
      <c r="BU106" s="1210"/>
      <c r="BV106" s="1210"/>
      <c r="BW106" s="1210"/>
      <c r="BX106" s="1210"/>
      <c r="BY106" s="1210"/>
      <c r="BZ106" s="1444"/>
      <c r="CA106" s="1443"/>
      <c r="CB106" s="1443"/>
      <c r="CC106" s="1443"/>
      <c r="CD106" s="1443"/>
      <c r="CE106" s="1443"/>
      <c r="CF106" s="1445"/>
      <c r="CG106" s="23"/>
      <c r="CH106" s="42"/>
      <c r="CI106" s="40"/>
      <c r="CJ106" s="40"/>
      <c r="CK106" s="40"/>
      <c r="CL106" s="40"/>
      <c r="CM106" s="1440"/>
      <c r="CN106" s="1440"/>
      <c r="CO106" s="1440"/>
      <c r="CP106" s="1440"/>
      <c r="CQ106" s="1440"/>
      <c r="CR106" s="1440"/>
      <c r="CS106" s="1207"/>
      <c r="CT106" s="1207"/>
      <c r="CU106" s="1440"/>
      <c r="CV106" s="1441"/>
      <c r="CW106" s="17"/>
    </row>
    <row r="107" spans="1:112" ht="14.25" customHeight="1">
      <c r="A107" s="8"/>
      <c r="B107" s="26" t="s">
        <v>13</v>
      </c>
      <c r="C107" s="27"/>
      <c r="D107" s="65">
        <f t="shared" ref="D107:AI107" si="445">D105/D114</f>
        <v>0.27683860378709968</v>
      </c>
      <c r="E107" s="65">
        <f t="shared" si="445"/>
        <v>0.30757943908122942</v>
      </c>
      <c r="F107" s="65">
        <f t="shared" si="445"/>
        <v>0.3171224825640625</v>
      </c>
      <c r="G107" s="66">
        <f t="shared" si="445"/>
        <v>0.17955791669622484</v>
      </c>
      <c r="H107" s="65">
        <f t="shared" si="445"/>
        <v>0.31697415712907234</v>
      </c>
      <c r="I107" s="65">
        <f t="shared" si="445"/>
        <v>0.38698711024890459</v>
      </c>
      <c r="J107" s="65">
        <f t="shared" si="445"/>
        <v>0.39152518522928376</v>
      </c>
      <c r="K107" s="66">
        <f t="shared" si="445"/>
        <v>0.38755025702478407</v>
      </c>
      <c r="L107" s="65">
        <f t="shared" si="445"/>
        <v>0.43878433483768975</v>
      </c>
      <c r="M107" s="65">
        <f t="shared" si="445"/>
        <v>0.36995632156770147</v>
      </c>
      <c r="N107" s="65">
        <f t="shared" si="445"/>
        <v>0.36793032129556957</v>
      </c>
      <c r="O107" s="66">
        <f t="shared" si="445"/>
        <v>0.31192224966143567</v>
      </c>
      <c r="P107" s="65">
        <f t="shared" si="445"/>
        <v>1.2184283178860187</v>
      </c>
      <c r="Q107" s="65">
        <f t="shared" si="445"/>
        <v>0.45058911159263282</v>
      </c>
      <c r="R107" s="65">
        <f t="shared" si="445"/>
        <v>0.46985603438632417</v>
      </c>
      <c r="S107" s="66">
        <f t="shared" si="445"/>
        <v>0.48965693281601003</v>
      </c>
      <c r="T107" s="65">
        <f t="shared" si="445"/>
        <v>8.5662390814700909E-2</v>
      </c>
      <c r="U107" s="65">
        <f t="shared" si="445"/>
        <v>0.17696942341492108</v>
      </c>
      <c r="V107" s="65">
        <f t="shared" si="445"/>
        <v>0.2233489375059709</v>
      </c>
      <c r="W107" s="66">
        <f t="shared" si="445"/>
        <v>0.35919473770134969</v>
      </c>
      <c r="X107" s="65">
        <f t="shared" si="445"/>
        <v>0.39529747645456609</v>
      </c>
      <c r="Y107" s="65">
        <f t="shared" si="445"/>
        <v>0.54650204684863779</v>
      </c>
      <c r="Z107" s="65">
        <f t="shared" si="445"/>
        <v>0.65157364584149868</v>
      </c>
      <c r="AA107" s="66">
        <f t="shared" si="445"/>
        <v>0.73357003824447142</v>
      </c>
      <c r="AB107" s="65">
        <f t="shared" si="445"/>
        <v>0.71914339739936795</v>
      </c>
      <c r="AC107" s="65">
        <f t="shared" si="445"/>
        <v>0.78104379899166354</v>
      </c>
      <c r="AD107" s="65">
        <f t="shared" si="445"/>
        <v>0.71235392428678779</v>
      </c>
      <c r="AE107" s="65">
        <f t="shared" si="445"/>
        <v>0.60028325276220507</v>
      </c>
      <c r="AF107" s="64">
        <f t="shared" si="445"/>
        <v>0.45619593429144661</v>
      </c>
      <c r="AG107" s="65">
        <f t="shared" si="445"/>
        <v>0.53248714537413266</v>
      </c>
      <c r="AH107" s="65">
        <f t="shared" si="445"/>
        <v>0.55596199882760933</v>
      </c>
      <c r="AI107" s="65">
        <f t="shared" si="445"/>
        <v>0.58186287562428174</v>
      </c>
      <c r="AJ107" s="64">
        <f t="shared" ref="AJ107:BA107" si="446">AJ105/AJ114</f>
        <v>0.42292160180485061</v>
      </c>
      <c r="AK107" s="65">
        <f t="shared" si="446"/>
        <v>0.52485256950294856</v>
      </c>
      <c r="AL107" s="65">
        <f t="shared" si="446"/>
        <v>0.55894414015546756</v>
      </c>
      <c r="AM107" s="65">
        <f t="shared" si="446"/>
        <v>0.63538409159689313</v>
      </c>
      <c r="AN107" s="64">
        <f t="shared" si="446"/>
        <v>0.47980453875107326</v>
      </c>
      <c r="AO107" s="65">
        <f t="shared" si="446"/>
        <v>0.58876948738326396</v>
      </c>
      <c r="AP107" s="65">
        <f t="shared" si="446"/>
        <v>0.56638317088774304</v>
      </c>
      <c r="AQ107" s="65">
        <f t="shared" si="446"/>
        <v>0.34302927401946548</v>
      </c>
      <c r="AR107" s="64">
        <f>AR105/AR114</f>
        <v>0.566252961822582</v>
      </c>
      <c r="AS107" s="65">
        <f>AS105/AS114</f>
        <v>0.64765791822663532</v>
      </c>
      <c r="AT107" s="65">
        <f>AT105/AT114</f>
        <v>0.68034834861260851</v>
      </c>
      <c r="AU107" s="65">
        <f t="shared" ref="AU107" si="447">AU105/AU114</f>
        <v>0.30421295696699979</v>
      </c>
      <c r="AV107" s="64">
        <f>AV105/AV114</f>
        <v>0.52257832925128567</v>
      </c>
      <c r="AW107" s="65">
        <f>AW105/AW114</f>
        <v>0.54627061649319431</v>
      </c>
      <c r="AX107" s="65">
        <f>AX105/AX114</f>
        <v>0.74198700403789286</v>
      </c>
      <c r="AY107" s="65">
        <f t="shared" ref="AY107" si="448">AY105/AY114</f>
        <v>0.9503390205786939</v>
      </c>
      <c r="AZ107" s="64">
        <f>AZ105/AZ114</f>
        <v>0.69353447725152961</v>
      </c>
      <c r="BA107" s="65">
        <f t="shared" si="446"/>
        <v>0.2706868718429411</v>
      </c>
      <c r="BB107" s="65">
        <f>BB105/BB114</f>
        <v>0.18303476407685118</v>
      </c>
      <c r="BC107" s="65">
        <f>BC105/BC114</f>
        <v>0.93440988246298284</v>
      </c>
      <c r="BD107" s="64">
        <f>BD105/BD114</f>
        <v>0.71667526303552487</v>
      </c>
      <c r="BE107" s="65">
        <f t="shared" ref="BE107:BK107" si="449">BE105/BE114</f>
        <v>0.96212955725130467</v>
      </c>
      <c r="BF107" s="65">
        <f t="shared" si="449"/>
        <v>1.4061240407213862</v>
      </c>
      <c r="BG107" s="66">
        <f t="shared" si="449"/>
        <v>1.4765359004016592</v>
      </c>
      <c r="BH107" s="64">
        <f t="shared" si="449"/>
        <v>1.2677693030675492</v>
      </c>
      <c r="BI107" s="65">
        <f t="shared" si="449"/>
        <v>1.3824435098936831</v>
      </c>
      <c r="BJ107" s="65">
        <f t="shared" si="449"/>
        <v>1.4798832366742403</v>
      </c>
      <c r="BK107" s="66">
        <f t="shared" si="449"/>
        <v>1.5754029357766284</v>
      </c>
      <c r="BL107" s="64">
        <f t="shared" ref="BL107:BO107" si="450">BL105/BL114</f>
        <v>1.4112850380847606</v>
      </c>
      <c r="BM107" s="65">
        <f t="shared" si="450"/>
        <v>1.5235313839323874</v>
      </c>
      <c r="BN107" s="65">
        <f t="shared" si="450"/>
        <v>1.61245312607459</v>
      </c>
      <c r="BO107" s="66">
        <f t="shared" si="450"/>
        <v>1.6965058184220172</v>
      </c>
      <c r="BP107" s="253"/>
      <c r="BQ107" s="64">
        <f t="shared" ref="BQ107:CE107" si="451">BQ105/BQ114</f>
        <v>1.0816667003502878</v>
      </c>
      <c r="BR107" s="65">
        <f t="shared" si="451"/>
        <v>1.4812292853609581</v>
      </c>
      <c r="BS107" s="65">
        <f t="shared" si="451"/>
        <v>1.4953521054706429</v>
      </c>
      <c r="BT107" s="65">
        <f t="shared" si="451"/>
        <v>2.6464384853770615</v>
      </c>
      <c r="BU107" s="65">
        <f t="shared" si="451"/>
        <v>0.84650929198475489</v>
      </c>
      <c r="BV107" s="65">
        <f t="shared" si="451"/>
        <v>2.328127541491444</v>
      </c>
      <c r="BW107" s="65">
        <f t="shared" si="451"/>
        <v>2.8140557770216841</v>
      </c>
      <c r="BX107" s="65">
        <f t="shared" si="451"/>
        <v>2.126892914150877</v>
      </c>
      <c r="BY107" s="65">
        <f t="shared" si="451"/>
        <v>2.1445796176619978</v>
      </c>
      <c r="BZ107" s="64">
        <f t="shared" si="451"/>
        <v>1.9788256971892315</v>
      </c>
      <c r="CA107" s="65">
        <f t="shared" si="451"/>
        <v>2.19923959892354</v>
      </c>
      <c r="CB107" s="65">
        <f t="shared" si="451"/>
        <v>2.7590155247135457</v>
      </c>
      <c r="CC107" s="65">
        <f>CC105/CC114</f>
        <v>2.0722055548660365</v>
      </c>
      <c r="CD107" s="65">
        <f t="shared" si="451"/>
        <v>4.56508953668353</v>
      </c>
      <c r="CE107" s="65">
        <f t="shared" si="451"/>
        <v>5.7068426385399311</v>
      </c>
      <c r="CF107" s="66">
        <f t="shared" ref="CF107" si="452">CF105/CF114</f>
        <v>6.2450062906256694</v>
      </c>
      <c r="CG107" s="23"/>
      <c r="CH107" s="64">
        <f t="shared" ref="CH107:CS107" si="453">CH105/CH114</f>
        <v>1.1215462046993967</v>
      </c>
      <c r="CI107" s="65">
        <f t="shared" si="453"/>
        <v>1.6029241597687101</v>
      </c>
      <c r="CJ107" s="65">
        <f t="shared" si="453"/>
        <v>2.2250984227443764</v>
      </c>
      <c r="CK107" s="65">
        <f t="shared" si="453"/>
        <v>1.4990748058793848</v>
      </c>
      <c r="CL107" s="65">
        <f t="shared" si="453"/>
        <v>1.1594662055129041</v>
      </c>
      <c r="CM107" s="65">
        <f t="shared" si="453"/>
        <v>2.6515331596015845</v>
      </c>
      <c r="CN107" s="65">
        <f t="shared" si="453"/>
        <v>2.5525443467455196</v>
      </c>
      <c r="CO107" s="65">
        <f t="shared" si="453"/>
        <v>2.0921392198023763</v>
      </c>
      <c r="CP107" s="65">
        <f t="shared" si="453"/>
        <v>2.1990556274665565</v>
      </c>
      <c r="CQ107" s="65">
        <f t="shared" si="453"/>
        <v>2.0649044121990103</v>
      </c>
      <c r="CR107" s="65">
        <f t="shared" si="453"/>
        <v>2.1557747604212221</v>
      </c>
      <c r="CS107" s="65">
        <f t="shared" si="453"/>
        <v>2.9315480270008343</v>
      </c>
      <c r="CT107" s="65">
        <f>CT105/CT114</f>
        <v>2.1251996678183649</v>
      </c>
      <c r="CU107" s="65">
        <f>CU105/CU114</f>
        <v>5.1138693402380033</v>
      </c>
      <c r="CV107" s="66">
        <f>CV105/CV114</f>
        <v>5.8492538188583092</v>
      </c>
      <c r="CW107" s="17"/>
    </row>
    <row r="108" spans="1:112" ht="14.25" hidden="1" customHeight="1" outlineLevel="1">
      <c r="A108" s="8"/>
      <c r="B108" s="26" t="s">
        <v>280</v>
      </c>
      <c r="C108" s="52"/>
      <c r="D108" s="508"/>
      <c r="E108" s="508"/>
      <c r="F108" s="508"/>
      <c r="G108" s="509"/>
      <c r="H108" s="508"/>
      <c r="I108" s="508"/>
      <c r="J108" s="508"/>
      <c r="K108" s="509"/>
      <c r="L108" s="508"/>
      <c r="M108" s="508"/>
      <c r="N108" s="508"/>
      <c r="O108" s="509"/>
      <c r="P108" s="508"/>
      <c r="Q108" s="508"/>
      <c r="R108" s="508"/>
      <c r="S108" s="509"/>
      <c r="T108" s="508"/>
      <c r="U108" s="508"/>
      <c r="V108" s="508"/>
      <c r="W108" s="509"/>
      <c r="X108" s="508"/>
      <c r="Y108" s="508"/>
      <c r="Z108" s="508"/>
      <c r="AA108" s="509"/>
      <c r="AB108" s="508"/>
      <c r="AC108" s="508"/>
      <c r="AD108" s="508"/>
      <c r="AE108" s="508"/>
      <c r="AF108" s="628"/>
      <c r="AG108" s="508"/>
      <c r="AH108" s="508"/>
      <c r="AI108" s="508"/>
      <c r="AJ108" s="628"/>
      <c r="AK108" s="508"/>
      <c r="AL108" s="508"/>
      <c r="AM108" s="508"/>
      <c r="AN108" s="628"/>
      <c r="AO108" s="508"/>
      <c r="AP108" s="508"/>
      <c r="AQ108" s="508"/>
      <c r="AR108" s="628"/>
      <c r="AS108" s="508"/>
      <c r="AT108" s="508"/>
      <c r="AU108" s="508"/>
      <c r="AV108" s="628"/>
      <c r="AW108" s="508"/>
      <c r="AX108" s="508"/>
      <c r="AY108" s="508"/>
      <c r="AZ108" s="628"/>
      <c r="BA108" s="508"/>
      <c r="BB108" s="508"/>
      <c r="BC108" s="509"/>
      <c r="BD108" s="628"/>
      <c r="BE108" s="1196" t="s">
        <v>629</v>
      </c>
      <c r="BF108" s="1196" t="s">
        <v>629</v>
      </c>
      <c r="BG108" s="1197" t="s">
        <v>629</v>
      </c>
      <c r="BH108" s="1382" t="s">
        <v>629</v>
      </c>
      <c r="BI108" s="1196" t="s">
        <v>629</v>
      </c>
      <c r="BJ108" s="1196" t="s">
        <v>629</v>
      </c>
      <c r="BK108" s="1197" t="s">
        <v>629</v>
      </c>
      <c r="BL108" s="1382" t="s">
        <v>628</v>
      </c>
      <c r="BM108" s="1196" t="s">
        <v>628</v>
      </c>
      <c r="BN108" s="1196" t="s">
        <v>628</v>
      </c>
      <c r="BO108" s="1197" t="s">
        <v>628</v>
      </c>
      <c r="BP108" s="253"/>
      <c r="BQ108" s="1310">
        <f>BQ109</f>
        <v>1.1208464488466219</v>
      </c>
      <c r="BR108" s="1146">
        <f t="shared" ref="BR108:BW108" si="454">BR109</f>
        <v>1.4261132276432131</v>
      </c>
      <c r="BS108" s="1146">
        <f t="shared" si="454"/>
        <v>1.5634568273058191</v>
      </c>
      <c r="BT108" s="1146">
        <f t="shared" si="454"/>
        <v>1.7760253865166198</v>
      </c>
      <c r="BU108" s="1146">
        <f t="shared" si="454"/>
        <v>1.001296260831209</v>
      </c>
      <c r="BV108" s="1146">
        <f t="shared" si="454"/>
        <v>2.3632736105670848</v>
      </c>
      <c r="BW108" s="1196">
        <f t="shared" si="454"/>
        <v>2.8000062042147409</v>
      </c>
      <c r="BX108" s="1196" t="s">
        <v>628</v>
      </c>
      <c r="BY108" s="1196" t="s">
        <v>628</v>
      </c>
      <c r="BZ108" s="1382" t="s">
        <v>628</v>
      </c>
      <c r="CA108" s="1196" t="s">
        <v>628</v>
      </c>
      <c r="CB108" s="1196" t="s">
        <v>628</v>
      </c>
      <c r="CC108" s="1196" t="s">
        <v>629</v>
      </c>
      <c r="CD108" s="1196" t="s">
        <v>629</v>
      </c>
      <c r="CE108" s="1196" t="s">
        <v>629</v>
      </c>
      <c r="CF108" s="1480" t="s">
        <v>628</v>
      </c>
      <c r="CG108" s="23"/>
      <c r="CH108" s="1196" t="s">
        <v>628</v>
      </c>
      <c r="CI108" s="1196" t="s">
        <v>628</v>
      </c>
      <c r="CJ108" s="1196" t="s">
        <v>628</v>
      </c>
      <c r="CK108" s="1196" t="s">
        <v>628</v>
      </c>
      <c r="CL108" s="1196" t="s">
        <v>628</v>
      </c>
      <c r="CM108" s="1196" t="s">
        <v>628</v>
      </c>
      <c r="CN108" s="1196" t="s">
        <v>628</v>
      </c>
      <c r="CO108" s="1196" t="s">
        <v>628</v>
      </c>
      <c r="CP108" s="1196" t="s">
        <v>628</v>
      </c>
      <c r="CQ108" s="1196" t="s">
        <v>628</v>
      </c>
      <c r="CR108" s="1196" t="s">
        <v>628</v>
      </c>
      <c r="CS108" s="1196" t="s">
        <v>628</v>
      </c>
      <c r="CT108" s="1196" t="s">
        <v>629</v>
      </c>
      <c r="CU108" s="1196" t="s">
        <v>629</v>
      </c>
      <c r="CV108" s="1197" t="s">
        <v>629</v>
      </c>
      <c r="CW108" s="17"/>
    </row>
    <row r="109" spans="1:112" ht="14.25" customHeight="1" collapsed="1">
      <c r="A109" s="107"/>
      <c r="B109" s="629" t="s">
        <v>471</v>
      </c>
      <c r="C109" s="630"/>
      <c r="D109" s="631">
        <f t="shared" ref="D109:AI109" si="455">D98/D114</f>
        <v>0.27797282813684343</v>
      </c>
      <c r="E109" s="631">
        <f t="shared" si="455"/>
        <v>0.30738759989607078</v>
      </c>
      <c r="F109" s="631">
        <f t="shared" si="455"/>
        <v>0.31731645893877963</v>
      </c>
      <c r="G109" s="632">
        <f t="shared" si="455"/>
        <v>0.21787343581206722</v>
      </c>
      <c r="H109" s="631">
        <f t="shared" si="455"/>
        <v>0.28824370887962708</v>
      </c>
      <c r="I109" s="631">
        <f t="shared" si="455"/>
        <v>0.32837181831774653</v>
      </c>
      <c r="J109" s="631">
        <f t="shared" si="455"/>
        <v>0.38042468819003061</v>
      </c>
      <c r="K109" s="632">
        <f t="shared" si="455"/>
        <v>0.43422403563467726</v>
      </c>
      <c r="L109" s="631">
        <f t="shared" si="455"/>
        <v>0.44236265375626166</v>
      </c>
      <c r="M109" s="631">
        <f t="shared" si="455"/>
        <v>0.37037607955167895</v>
      </c>
      <c r="N109" s="631">
        <f t="shared" si="455"/>
        <v>0.38612603754465458</v>
      </c>
      <c r="O109" s="632">
        <f t="shared" si="455"/>
        <v>0.36062275722716181</v>
      </c>
      <c r="P109" s="631">
        <f t="shared" si="455"/>
        <v>0.40091103534515882</v>
      </c>
      <c r="Q109" s="631">
        <f t="shared" si="455"/>
        <v>0.4400740710323891</v>
      </c>
      <c r="R109" s="631">
        <f t="shared" si="455"/>
        <v>0.43967110499230672</v>
      </c>
      <c r="S109" s="632">
        <f t="shared" si="455"/>
        <v>0.49693847156837451</v>
      </c>
      <c r="T109" s="631">
        <f t="shared" si="455"/>
        <v>0.2087036391340765</v>
      </c>
      <c r="U109" s="631">
        <f t="shared" si="455"/>
        <v>0.20859659753830828</v>
      </c>
      <c r="V109" s="631">
        <f t="shared" si="455"/>
        <v>0.22365035684257789</v>
      </c>
      <c r="W109" s="632">
        <f t="shared" si="455"/>
        <v>0.35964646264776173</v>
      </c>
      <c r="X109" s="631">
        <f t="shared" si="455"/>
        <v>0.43740528463373446</v>
      </c>
      <c r="Y109" s="631">
        <f t="shared" si="455"/>
        <v>0.54525593434110509</v>
      </c>
      <c r="Z109" s="631">
        <f t="shared" si="455"/>
        <v>0.65265216549035454</v>
      </c>
      <c r="AA109" s="632">
        <f t="shared" si="455"/>
        <v>0.72694884139997318</v>
      </c>
      <c r="AB109" s="631">
        <f t="shared" si="455"/>
        <v>0.69820803248263408</v>
      </c>
      <c r="AC109" s="631">
        <f t="shared" si="455"/>
        <v>0.78064637614714572</v>
      </c>
      <c r="AD109" s="631">
        <f t="shared" si="455"/>
        <v>0.71288779256828383</v>
      </c>
      <c r="AE109" s="631">
        <f t="shared" si="455"/>
        <v>0.6071306396497741</v>
      </c>
      <c r="AF109" s="633">
        <f t="shared" si="455"/>
        <v>0.46264802409654149</v>
      </c>
      <c r="AG109" s="631">
        <f t="shared" si="455"/>
        <v>0.5288332119042628</v>
      </c>
      <c r="AH109" s="631">
        <f t="shared" si="455"/>
        <v>0.57158166743298999</v>
      </c>
      <c r="AI109" s="631">
        <f t="shared" si="455"/>
        <v>0.58183823480310093</v>
      </c>
      <c r="AJ109" s="633">
        <f t="shared" ref="AJ109:AQ109" si="456">AJ98/AJ114</f>
        <v>0.4423703649987914</v>
      </c>
      <c r="AK109" s="631">
        <f t="shared" si="456"/>
        <v>0.51791540616782816</v>
      </c>
      <c r="AL109" s="631">
        <f t="shared" si="456"/>
        <v>0.58403115777187109</v>
      </c>
      <c r="AM109" s="631">
        <f t="shared" si="456"/>
        <v>0.60710751349238379</v>
      </c>
      <c r="AN109" s="633">
        <f t="shared" si="456"/>
        <v>0.48408110258256654</v>
      </c>
      <c r="AO109" s="631">
        <f t="shared" si="456"/>
        <v>0.58652093470332667</v>
      </c>
      <c r="AP109" s="631">
        <f t="shared" si="456"/>
        <v>0.61531128087407017</v>
      </c>
      <c r="AQ109" s="631">
        <f t="shared" si="456"/>
        <v>0.69259439261774591</v>
      </c>
      <c r="AR109" s="633">
        <f>AR98/AR114</f>
        <v>0.6343685457609507</v>
      </c>
      <c r="AS109" s="631">
        <f>AS98/AS114</f>
        <v>0.73106826432674021</v>
      </c>
      <c r="AT109" s="631">
        <f>AT98/AT114</f>
        <v>0.76814577591164968</v>
      </c>
      <c r="AU109" s="631">
        <f t="shared" ref="AU109" si="457">AU98/AU114</f>
        <v>1.0309946267977796</v>
      </c>
      <c r="AV109" s="633">
        <f t="shared" ref="AV109:BA109" si="458">AV98/AV114</f>
        <v>0.55936440772189966</v>
      </c>
      <c r="AW109" s="631">
        <f t="shared" si="458"/>
        <v>0.64112192153722936</v>
      </c>
      <c r="AX109" s="631">
        <f t="shared" si="458"/>
        <v>0.81846225181769572</v>
      </c>
      <c r="AY109" s="631">
        <f t="shared" si="458"/>
        <v>1.0504279071856963</v>
      </c>
      <c r="AZ109" s="633">
        <f t="shared" si="458"/>
        <v>0.94000498281567424</v>
      </c>
      <c r="BA109" s="631">
        <f t="shared" si="458"/>
        <v>1.034424598008413</v>
      </c>
      <c r="BB109" s="631">
        <f t="shared" ref="BB109:BD109" si="459">BB98/BB114</f>
        <v>1.26</v>
      </c>
      <c r="BC109" s="631">
        <f t="shared" si="459"/>
        <v>1.45</v>
      </c>
      <c r="BD109" s="633">
        <f t="shared" si="459"/>
        <v>1.4200363987182947</v>
      </c>
      <c r="BE109" s="631">
        <f t="shared" ref="BE109:BK109" si="460">BE98/BE114</f>
        <v>1.3914963571509829</v>
      </c>
      <c r="BF109" s="631">
        <f t="shared" si="460"/>
        <v>1.4061240407213862</v>
      </c>
      <c r="BG109" s="632">
        <f t="shared" si="460"/>
        <v>1.4765359004016592</v>
      </c>
      <c r="BH109" s="633">
        <f t="shared" si="460"/>
        <v>1.2677693030675492</v>
      </c>
      <c r="BI109" s="631">
        <f t="shared" si="460"/>
        <v>1.3824435098936831</v>
      </c>
      <c r="BJ109" s="631">
        <f t="shared" si="460"/>
        <v>1.4798832366742403</v>
      </c>
      <c r="BK109" s="632">
        <f t="shared" si="460"/>
        <v>1.5754029357766284</v>
      </c>
      <c r="BL109" s="633">
        <f t="shared" ref="BL109:BO109" si="461">BL98/BL114</f>
        <v>1.4112850380847606</v>
      </c>
      <c r="BM109" s="631">
        <f t="shared" si="461"/>
        <v>1.5235313839323874</v>
      </c>
      <c r="BN109" s="631">
        <f t="shared" si="461"/>
        <v>1.61245312607459</v>
      </c>
      <c r="BO109" s="632">
        <f t="shared" si="461"/>
        <v>1.6965058184220172</v>
      </c>
      <c r="BP109" s="345"/>
      <c r="BQ109" s="633">
        <f t="shared" ref="BQ109:CE109" si="462">BQ98/BQ114</f>
        <v>1.1208464488466219</v>
      </c>
      <c r="BR109" s="631">
        <f t="shared" si="462"/>
        <v>1.4261132276432131</v>
      </c>
      <c r="BS109" s="631">
        <f t="shared" si="462"/>
        <v>1.5634568273058191</v>
      </c>
      <c r="BT109" s="631">
        <f t="shared" si="462"/>
        <v>1.7760253865166198</v>
      </c>
      <c r="BU109" s="631">
        <f t="shared" si="462"/>
        <v>1.001296260831209</v>
      </c>
      <c r="BV109" s="631">
        <f t="shared" si="462"/>
        <v>2.3632736105670848</v>
      </c>
      <c r="BW109" s="631">
        <f t="shared" si="462"/>
        <v>2.8000062042147409</v>
      </c>
      <c r="BX109" s="631">
        <f t="shared" si="462"/>
        <v>2.1452328132022993</v>
      </c>
      <c r="BY109" s="631">
        <f t="shared" si="462"/>
        <v>2.1534985320843756</v>
      </c>
      <c r="BZ109" s="633">
        <f t="shared" si="462"/>
        <v>2.3903511337087719</v>
      </c>
      <c r="CA109" s="631">
        <f t="shared" si="462"/>
        <v>3.1688006759821965</v>
      </c>
      <c r="CB109" s="631">
        <f t="shared" si="462"/>
        <v>3.0652329987816533</v>
      </c>
      <c r="CC109" s="631">
        <f t="shared" si="462"/>
        <v>4.7333860887254993</v>
      </c>
      <c r="CD109" s="631">
        <f t="shared" si="462"/>
        <v>5.6944377483361475</v>
      </c>
      <c r="CE109" s="631">
        <f t="shared" si="462"/>
        <v>5.7068426385399311</v>
      </c>
      <c r="CF109" s="632">
        <f t="shared" ref="CF109" si="463">CF98/CF114</f>
        <v>6.2450062906256694</v>
      </c>
      <c r="CG109" s="343"/>
      <c r="CH109" s="633">
        <f t="shared" ref="CH109:CS109" si="464">CH98/CH114</f>
        <v>1.1311308680568355</v>
      </c>
      <c r="CI109" s="631">
        <f t="shared" si="464"/>
        <v>1.5801553202749017</v>
      </c>
      <c r="CJ109" s="631">
        <f t="shared" si="464"/>
        <v>1.5169650947840698</v>
      </c>
      <c r="CK109" s="631">
        <f t="shared" si="464"/>
        <v>1.5874329201362327</v>
      </c>
      <c r="CL109" s="631">
        <f t="shared" si="464"/>
        <v>1.234792931704503</v>
      </c>
      <c r="CM109" s="631">
        <f t="shared" si="464"/>
        <v>2.6236811068753969</v>
      </c>
      <c r="CN109" s="631">
        <f t="shared" si="464"/>
        <v>2.5659030906841083</v>
      </c>
      <c r="CO109" s="631">
        <f t="shared" si="464"/>
        <v>2.1236271329943528</v>
      </c>
      <c r="CP109" s="631">
        <f t="shared" si="464"/>
        <v>2.1931262853422098</v>
      </c>
      <c r="CQ109" s="631">
        <f t="shared" si="464"/>
        <v>2.5406396566320799</v>
      </c>
      <c r="CR109" s="631">
        <f t="shared" si="464"/>
        <v>3.0946803958319844</v>
      </c>
      <c r="CS109" s="631">
        <f t="shared" si="464"/>
        <v>3.4495796690546112</v>
      </c>
      <c r="CT109" s="631">
        <f>CT98/CT114</f>
        <v>5.1838165755901171</v>
      </c>
      <c r="CU109" s="631">
        <f>CU98/CU114</f>
        <v>5.5415263737260014</v>
      </c>
      <c r="CV109" s="632">
        <f>CV98/CV114</f>
        <v>5.8492538188583092</v>
      </c>
      <c r="CW109" s="17"/>
      <c r="DD109" s="106"/>
      <c r="DE109" s="106"/>
      <c r="DF109" s="106"/>
      <c r="DG109" s="106"/>
      <c r="DH109" s="106"/>
    </row>
    <row r="110" spans="1:112" ht="14.25" customHeight="1">
      <c r="A110" s="8"/>
      <c r="B110" s="70"/>
      <c r="C110" s="70"/>
      <c r="D110" s="48"/>
      <c r="E110" s="48"/>
      <c r="F110" s="48"/>
      <c r="G110" s="48"/>
      <c r="H110" s="48"/>
      <c r="I110" s="48"/>
      <c r="J110" s="48"/>
      <c r="K110" s="48"/>
      <c r="L110" s="48"/>
      <c r="M110" s="48"/>
      <c r="N110" s="48"/>
      <c r="O110" s="48"/>
      <c r="P110" s="48"/>
      <c r="Q110" s="48"/>
      <c r="R110" s="48"/>
      <c r="S110" s="48"/>
      <c r="T110" s="48"/>
      <c r="U110" s="48"/>
      <c r="V110" s="48"/>
      <c r="W110" s="48"/>
      <c r="X110" s="48"/>
      <c r="Y110" s="48"/>
      <c r="Z110" s="48"/>
      <c r="AA110" s="48"/>
      <c r="AB110" s="383"/>
      <c r="AC110" s="383"/>
      <c r="AD110" s="383"/>
      <c r="AE110" s="383"/>
      <c r="AF110" s="383"/>
      <c r="AG110" s="48"/>
      <c r="AH110" s="383"/>
      <c r="AI110" s="48"/>
      <c r="AJ110" s="63"/>
      <c r="AK110" s="48"/>
      <c r="AL110" s="48"/>
      <c r="AM110" s="71"/>
      <c r="AN110" s="48"/>
      <c r="AO110" s="48"/>
      <c r="AP110" s="48"/>
      <c r="AQ110" s="71"/>
      <c r="AR110" s="48"/>
      <c r="AS110" s="48"/>
      <c r="AT110" s="48"/>
      <c r="AU110" s="71"/>
      <c r="AV110" s="48"/>
      <c r="AW110" s="1168"/>
      <c r="AX110" s="1168"/>
      <c r="AY110" s="1219"/>
      <c r="AZ110" s="48"/>
      <c r="BA110" s="1168"/>
      <c r="BB110" s="1219"/>
      <c r="BC110" s="1219"/>
      <c r="BD110" s="1219"/>
      <c r="BE110" s="1219"/>
      <c r="BF110" s="1219"/>
      <c r="BG110" s="1219"/>
      <c r="BH110" s="1219"/>
      <c r="BI110" s="1219"/>
      <c r="BJ110" s="1219"/>
      <c r="BK110" s="1219"/>
      <c r="BL110" s="1219"/>
      <c r="BM110" s="1219"/>
      <c r="BN110" s="1219"/>
      <c r="BO110" s="1219"/>
      <c r="BP110" s="17"/>
      <c r="BQ110" s="48"/>
      <c r="BR110" s="48"/>
      <c r="BS110" s="48"/>
      <c r="BT110" s="48"/>
      <c r="BU110" s="48"/>
      <c r="BV110" s="48"/>
      <c r="BW110" s="48"/>
      <c r="BX110" s="1220"/>
      <c r="BY110" s="48"/>
      <c r="BZ110" s="1220"/>
      <c r="CA110" s="48"/>
      <c r="CB110" s="1220"/>
      <c r="CC110" s="1220"/>
      <c r="CD110" s="1220"/>
      <c r="CE110" s="1220"/>
      <c r="CF110" s="1220"/>
      <c r="CG110" s="17"/>
      <c r="CH110" s="102"/>
      <c r="CI110" s="102"/>
      <c r="CJ110" s="102"/>
      <c r="CK110" s="102"/>
      <c r="CL110" s="102"/>
      <c r="CM110" s="102"/>
      <c r="CN110" s="102"/>
      <c r="CO110" s="102"/>
      <c r="CP110" s="102"/>
      <c r="CQ110" s="102"/>
      <c r="CR110" s="102"/>
      <c r="CS110" s="1220"/>
      <c r="CT110" s="1220"/>
      <c r="CU110" s="1220"/>
      <c r="CV110" s="1220"/>
      <c r="CW110" s="17"/>
    </row>
    <row r="111" spans="1:112" ht="14.25" customHeight="1">
      <c r="A111" s="8"/>
      <c r="B111" s="70"/>
      <c r="C111" s="70"/>
      <c r="D111" s="48"/>
      <c r="E111" s="48"/>
      <c r="F111" s="73"/>
      <c r="G111" s="73"/>
      <c r="H111" s="48"/>
      <c r="I111" s="48"/>
      <c r="J111" s="73"/>
      <c r="K111" s="73"/>
      <c r="L111" s="48"/>
      <c r="M111" s="48"/>
      <c r="N111" s="73"/>
      <c r="O111" s="73"/>
      <c r="P111" s="48"/>
      <c r="Q111" s="48"/>
      <c r="R111" s="73"/>
      <c r="S111" s="73"/>
      <c r="T111" s="48"/>
      <c r="U111" s="48"/>
      <c r="V111" s="73"/>
      <c r="W111" s="73"/>
      <c r="X111" s="383"/>
      <c r="Y111" s="383"/>
      <c r="Z111" s="383"/>
      <c r="AA111" s="383"/>
      <c r="AB111" s="73"/>
      <c r="AC111" s="73"/>
      <c r="AD111" s="73"/>
      <c r="AE111" s="73"/>
      <c r="AF111" s="73"/>
      <c r="AG111" s="383"/>
      <c r="AH111" s="73"/>
      <c r="AI111" s="383"/>
      <c r="AJ111" s="48"/>
      <c r="AK111" s="48"/>
      <c r="AL111" s="48"/>
      <c r="AM111" s="48"/>
      <c r="AN111" s="48"/>
      <c r="AO111" s="48"/>
      <c r="AP111" s="48"/>
      <c r="AQ111" s="48"/>
      <c r="AR111" s="48"/>
      <c r="AS111" s="48"/>
      <c r="AT111" s="48"/>
      <c r="AU111" s="48"/>
      <c r="AV111" s="48"/>
      <c r="AW111" s="383"/>
      <c r="AX111" s="383"/>
      <c r="AY111" s="48"/>
      <c r="AZ111" s="48"/>
      <c r="BA111" s="383"/>
      <c r="BB111" s="383"/>
      <c r="BC111" s="383"/>
      <c r="BD111" s="383"/>
      <c r="BE111" s="383"/>
      <c r="BF111" s="383"/>
      <c r="BG111" s="383"/>
      <c r="BH111" s="383"/>
      <c r="BI111" s="383"/>
      <c r="BJ111" s="383"/>
      <c r="BK111" s="383"/>
      <c r="BL111" s="383"/>
      <c r="BM111" s="383"/>
      <c r="BN111" s="383"/>
      <c r="BO111" s="383"/>
      <c r="BP111" s="8"/>
      <c r="BQ111" s="48"/>
      <c r="BR111" s="48"/>
      <c r="BS111" s="48"/>
      <c r="BT111" s="48"/>
      <c r="BU111" s="48"/>
      <c r="BV111" s="382"/>
      <c r="BW111" s="382"/>
      <c r="BX111" s="65"/>
      <c r="BY111" s="382"/>
      <c r="BZ111" s="65"/>
      <c r="CA111" s="382"/>
      <c r="CB111" s="65"/>
      <c r="CC111" s="65"/>
      <c r="CD111" s="65"/>
      <c r="CE111" s="65"/>
      <c r="CF111" s="65"/>
      <c r="CG111" s="384"/>
      <c r="CH111" s="398"/>
      <c r="CI111" s="398"/>
      <c r="CJ111" s="398"/>
      <c r="CK111" s="398"/>
      <c r="CL111" s="398"/>
      <c r="CM111" s="398"/>
      <c r="CN111" s="398"/>
      <c r="CO111" s="398"/>
      <c r="CP111" s="398"/>
      <c r="CQ111" s="398"/>
      <c r="CR111" s="398"/>
      <c r="CS111" s="65"/>
      <c r="CT111" s="65"/>
      <c r="CU111" s="65"/>
      <c r="CV111" s="65"/>
      <c r="CW111" s="1177"/>
    </row>
    <row r="112" spans="1:112" ht="14.25" customHeight="1">
      <c r="A112" s="8"/>
      <c r="B112" s="858" t="s">
        <v>453</v>
      </c>
      <c r="C112" s="739"/>
      <c r="D112" s="20" t="str">
        <f>+D$9</f>
        <v>F1Q05A</v>
      </c>
      <c r="E112" s="21" t="str">
        <f t="shared" ref="E112:BO112" si="465">+E$9</f>
        <v>F2Q05A</v>
      </c>
      <c r="F112" s="21" t="str">
        <f t="shared" si="465"/>
        <v>F3Q05A</v>
      </c>
      <c r="G112" s="22" t="str">
        <f t="shared" si="465"/>
        <v>F4Q05A</v>
      </c>
      <c r="H112" s="20" t="str">
        <f t="shared" si="465"/>
        <v>F1Q06A</v>
      </c>
      <c r="I112" s="21" t="str">
        <f t="shared" si="465"/>
        <v>F2Q06A</v>
      </c>
      <c r="J112" s="21" t="str">
        <f t="shared" si="465"/>
        <v>F3Q06A</v>
      </c>
      <c r="K112" s="22" t="str">
        <f t="shared" si="465"/>
        <v>F4Q06A</v>
      </c>
      <c r="L112" s="20" t="str">
        <f t="shared" si="465"/>
        <v>F1Q07A</v>
      </c>
      <c r="M112" s="21" t="str">
        <f t="shared" si="465"/>
        <v>F2Q07A</v>
      </c>
      <c r="N112" s="21" t="str">
        <f t="shared" si="465"/>
        <v>F3Q07A</v>
      </c>
      <c r="O112" s="22" t="str">
        <f t="shared" si="465"/>
        <v>F4Q07A</v>
      </c>
      <c r="P112" s="20" t="str">
        <f t="shared" si="465"/>
        <v>F1Q08A</v>
      </c>
      <c r="Q112" s="21" t="str">
        <f t="shared" si="465"/>
        <v>F2Q08A</v>
      </c>
      <c r="R112" s="21" t="str">
        <f t="shared" si="465"/>
        <v>F3Q08A</v>
      </c>
      <c r="S112" s="22" t="str">
        <f t="shared" si="465"/>
        <v>F4Q08A</v>
      </c>
      <c r="T112" s="20" t="str">
        <f t="shared" si="465"/>
        <v>F1Q09A</v>
      </c>
      <c r="U112" s="21" t="str">
        <f t="shared" si="465"/>
        <v>F2Q09A</v>
      </c>
      <c r="V112" s="21" t="str">
        <f t="shared" si="465"/>
        <v>F3Q09A</v>
      </c>
      <c r="W112" s="22" t="str">
        <f t="shared" si="465"/>
        <v>F4Q09A</v>
      </c>
      <c r="X112" s="20" t="str">
        <f t="shared" si="465"/>
        <v>F1Q10A</v>
      </c>
      <c r="Y112" s="21" t="str">
        <f t="shared" si="465"/>
        <v>F2Q10A</v>
      </c>
      <c r="Z112" s="21" t="str">
        <f t="shared" si="465"/>
        <v>F3Q10A</v>
      </c>
      <c r="AA112" s="22" t="str">
        <f t="shared" si="465"/>
        <v>F4Q10A</v>
      </c>
      <c r="AB112" s="21" t="str">
        <f t="shared" si="465"/>
        <v>F1Q11A</v>
      </c>
      <c r="AC112" s="21" t="str">
        <f t="shared" si="465"/>
        <v>F2Q11A</v>
      </c>
      <c r="AD112" s="21" t="str">
        <f t="shared" si="465"/>
        <v>F3Q11A</v>
      </c>
      <c r="AE112" s="21" t="str">
        <f t="shared" si="465"/>
        <v>F4Q11A</v>
      </c>
      <c r="AF112" s="20" t="str">
        <f t="shared" si="465"/>
        <v>F1Q12A</v>
      </c>
      <c r="AG112" s="21" t="str">
        <f t="shared" si="465"/>
        <v>F2Q12A</v>
      </c>
      <c r="AH112" s="21" t="str">
        <f t="shared" si="465"/>
        <v>F3Q12A</v>
      </c>
      <c r="AI112" s="22" t="str">
        <f t="shared" si="465"/>
        <v>F4Q12A</v>
      </c>
      <c r="AJ112" s="21" t="str">
        <f t="shared" si="465"/>
        <v>F1Q13A</v>
      </c>
      <c r="AK112" s="21" t="str">
        <f t="shared" si="465"/>
        <v>F2Q13A</v>
      </c>
      <c r="AL112" s="21" t="str">
        <f t="shared" si="465"/>
        <v>F3Q13A</v>
      </c>
      <c r="AM112" s="22" t="str">
        <f t="shared" si="465"/>
        <v>F4Q13A</v>
      </c>
      <c r="AN112" s="20" t="str">
        <f t="shared" si="465"/>
        <v>F1Q14A</v>
      </c>
      <c r="AO112" s="21" t="str">
        <f t="shared" si="465"/>
        <v>F2Q14A</v>
      </c>
      <c r="AP112" s="21" t="str">
        <f t="shared" si="465"/>
        <v>F3Q14A</v>
      </c>
      <c r="AQ112" s="21" t="str">
        <f t="shared" si="465"/>
        <v>F4Q14A</v>
      </c>
      <c r="AR112" s="20" t="str">
        <f t="shared" si="465"/>
        <v>F1Q15A</v>
      </c>
      <c r="AS112" s="21" t="str">
        <f t="shared" si="465"/>
        <v>F2Q15A</v>
      </c>
      <c r="AT112" s="21" t="str">
        <f t="shared" si="465"/>
        <v>F3Q15A</v>
      </c>
      <c r="AU112" s="21" t="str">
        <f t="shared" si="465"/>
        <v>F4Q15A</v>
      </c>
      <c r="AV112" s="20" t="str">
        <f t="shared" si="465"/>
        <v>F1Q16A</v>
      </c>
      <c r="AW112" s="21" t="str">
        <f t="shared" si="465"/>
        <v>F2Q16A</v>
      </c>
      <c r="AX112" s="21" t="str">
        <f t="shared" si="465"/>
        <v>F3Q16A</v>
      </c>
      <c r="AY112" s="21" t="str">
        <f t="shared" si="465"/>
        <v>F4Q16A</v>
      </c>
      <c r="AZ112" s="1204" t="str">
        <f t="shared" si="465"/>
        <v>F1Q17A</v>
      </c>
      <c r="BA112" s="1205" t="str">
        <f t="shared" si="465"/>
        <v>F2Q17A</v>
      </c>
      <c r="BB112" s="1205" t="str">
        <f t="shared" si="465"/>
        <v>F3Q17A</v>
      </c>
      <c r="BC112" s="1206" t="str">
        <f t="shared" si="465"/>
        <v>F4Q17A</v>
      </c>
      <c r="BD112" s="20" t="str">
        <f t="shared" si="465"/>
        <v>F1Q18A</v>
      </c>
      <c r="BE112" s="21" t="str">
        <f t="shared" si="465"/>
        <v>F2Q18E</v>
      </c>
      <c r="BF112" s="21" t="str">
        <f t="shared" si="465"/>
        <v>F3Q18E</v>
      </c>
      <c r="BG112" s="22" t="str">
        <f t="shared" si="465"/>
        <v>F4Q18E</v>
      </c>
      <c r="BH112" s="1204" t="str">
        <f t="shared" si="465"/>
        <v>F1Q19E</v>
      </c>
      <c r="BI112" s="1205" t="str">
        <f t="shared" si="465"/>
        <v>F2Q19E</v>
      </c>
      <c r="BJ112" s="1205" t="str">
        <f t="shared" si="465"/>
        <v>F3Q19E</v>
      </c>
      <c r="BK112" s="1206" t="str">
        <f t="shared" si="465"/>
        <v>F4Q19E</v>
      </c>
      <c r="BL112" s="1437" t="str">
        <f t="shared" si="465"/>
        <v>F1Q20E</v>
      </c>
      <c r="BM112" s="1438" t="str">
        <f t="shared" si="465"/>
        <v>F2Q20E</v>
      </c>
      <c r="BN112" s="1438" t="str">
        <f t="shared" si="465"/>
        <v>F3Q20E</v>
      </c>
      <c r="BO112" s="1439" t="str">
        <f t="shared" si="465"/>
        <v>F4Q20E</v>
      </c>
      <c r="BP112" s="253"/>
      <c r="BQ112" s="20" t="str">
        <f>+BQ$9</f>
        <v>FY2005A</v>
      </c>
      <c r="BR112" s="21" t="str">
        <f t="shared" ref="BR112:CF112" si="466">+BR$9</f>
        <v>FY2006A</v>
      </c>
      <c r="BS112" s="21" t="str">
        <f t="shared" si="466"/>
        <v>FY2007A</v>
      </c>
      <c r="BT112" s="21" t="str">
        <f t="shared" si="466"/>
        <v>FY2008A</v>
      </c>
      <c r="BU112" s="21" t="str">
        <f t="shared" si="466"/>
        <v>FY2009A</v>
      </c>
      <c r="BV112" s="21" t="str">
        <f t="shared" si="466"/>
        <v>FY2010A</v>
      </c>
      <c r="BW112" s="1205" t="str">
        <f t="shared" si="466"/>
        <v>FY2011A</v>
      </c>
      <c r="BX112" s="1205" t="str">
        <f t="shared" si="466"/>
        <v>FY2012A</v>
      </c>
      <c r="BY112" s="1205" t="str">
        <f t="shared" si="466"/>
        <v>FY2013A</v>
      </c>
      <c r="BZ112" s="1205" t="str">
        <f t="shared" si="466"/>
        <v>FY2014A</v>
      </c>
      <c r="CA112" s="1205" t="str">
        <f t="shared" si="466"/>
        <v>FY2015A</v>
      </c>
      <c r="CB112" s="1205" t="str">
        <f t="shared" si="466"/>
        <v>FY2016A</v>
      </c>
      <c r="CC112" s="1205" t="str">
        <f t="shared" si="466"/>
        <v>FY2017A</v>
      </c>
      <c r="CD112" s="1205" t="str">
        <f t="shared" si="466"/>
        <v>FY2018E</v>
      </c>
      <c r="CE112" s="1438" t="str">
        <f t="shared" si="466"/>
        <v>FY2019E</v>
      </c>
      <c r="CF112" s="1439" t="str">
        <f t="shared" si="466"/>
        <v>FY2020E</v>
      </c>
      <c r="CG112" s="1467"/>
      <c r="CH112" s="643" t="str">
        <f t="shared" ref="CH112:CV112" si="467">+CH$7</f>
        <v>CY2005</v>
      </c>
      <c r="CI112" s="644" t="str">
        <f t="shared" si="467"/>
        <v>CY2006</v>
      </c>
      <c r="CJ112" s="644" t="str">
        <f t="shared" si="467"/>
        <v>CY2007</v>
      </c>
      <c r="CK112" s="644" t="str">
        <f t="shared" si="467"/>
        <v>CY2008</v>
      </c>
      <c r="CL112" s="644" t="str">
        <f t="shared" si="467"/>
        <v>CY2009</v>
      </c>
      <c r="CM112" s="1399" t="str">
        <f t="shared" si="467"/>
        <v>CY2010</v>
      </c>
      <c r="CN112" s="1399" t="str">
        <f t="shared" si="467"/>
        <v>CY2011</v>
      </c>
      <c r="CO112" s="1399" t="str">
        <f t="shared" si="467"/>
        <v>CY2012</v>
      </c>
      <c r="CP112" s="1399" t="str">
        <f t="shared" si="467"/>
        <v>CY2013</v>
      </c>
      <c r="CQ112" s="1399" t="str">
        <f t="shared" si="467"/>
        <v>CY2014</v>
      </c>
      <c r="CR112" s="1399" t="str">
        <f t="shared" si="467"/>
        <v>CY2015</v>
      </c>
      <c r="CS112" s="21" t="str">
        <f t="shared" si="467"/>
        <v>CY2016</v>
      </c>
      <c r="CT112" s="1205" t="str">
        <f t="shared" si="467"/>
        <v>CY2017</v>
      </c>
      <c r="CU112" s="1438" t="str">
        <f t="shared" si="467"/>
        <v>CY2018</v>
      </c>
      <c r="CV112" s="1439" t="str">
        <f t="shared" si="467"/>
        <v>CY2019</v>
      </c>
      <c r="CW112" s="17"/>
    </row>
    <row r="113" spans="1:101" ht="14.25" customHeight="1">
      <c r="A113" s="8"/>
      <c r="B113" s="75" t="s">
        <v>451</v>
      </c>
      <c r="C113" s="69"/>
      <c r="D113" s="77">
        <v>375.56099999999998</v>
      </c>
      <c r="E113" s="78">
        <v>370.67399999999998</v>
      </c>
      <c r="F113" s="78">
        <v>370.98500000000001</v>
      </c>
      <c r="G113" s="79">
        <v>369.94499999999999</v>
      </c>
      <c r="H113" s="77">
        <v>366.13499999999999</v>
      </c>
      <c r="I113" s="78">
        <v>364.22500000000002</v>
      </c>
      <c r="J113" s="78">
        <v>357.887</v>
      </c>
      <c r="K113" s="79">
        <v>346.803</v>
      </c>
      <c r="L113" s="77">
        <v>338.69799999999998</v>
      </c>
      <c r="M113" s="78">
        <v>329.988</v>
      </c>
      <c r="N113" s="78">
        <v>318.46499999999997</v>
      </c>
      <c r="O113" s="79">
        <v>305.86700000000002</v>
      </c>
      <c r="P113" s="77">
        <v>299.14100000000002</v>
      </c>
      <c r="Q113" s="78">
        <v>290.38900000000001</v>
      </c>
      <c r="R113" s="78">
        <v>290.37599999999998</v>
      </c>
      <c r="S113" s="79">
        <v>290.84699999999998</v>
      </c>
      <c r="T113" s="77">
        <v>291.18700000000001</v>
      </c>
      <c r="U113" s="78">
        <v>291.22699999999998</v>
      </c>
      <c r="V113" s="78">
        <v>291.387</v>
      </c>
      <c r="W113" s="79">
        <v>291.73899999999998</v>
      </c>
      <c r="X113" s="77">
        <v>295.46899999999999</v>
      </c>
      <c r="Y113" s="78">
        <v>297.82499999999999</v>
      </c>
      <c r="Z113" s="78">
        <v>298.02699999999999</v>
      </c>
      <c r="AA113" s="79">
        <v>298.22800000000001</v>
      </c>
      <c r="AB113" s="78">
        <v>299.21800000000002</v>
      </c>
      <c r="AC113" s="78">
        <v>299.923</v>
      </c>
      <c r="AD113" s="78">
        <v>299.61599999999999</v>
      </c>
      <c r="AE113" s="78">
        <v>298.91000000000003</v>
      </c>
      <c r="AF113" s="77">
        <v>297.78800000000001</v>
      </c>
      <c r="AG113" s="78">
        <v>298.13</v>
      </c>
      <c r="AH113" s="78">
        <v>298.44499999999999</v>
      </c>
      <c r="AI113" s="911">
        <v>300.67899999999997</v>
      </c>
      <c r="AJ113" s="918">
        <v>303.48399999999998</v>
      </c>
      <c r="AK113" s="78">
        <v>307.44400000000002</v>
      </c>
      <c r="AL113" s="78">
        <v>309.11700000000002</v>
      </c>
      <c r="AM113" s="911">
        <v>311.00900000000001</v>
      </c>
      <c r="AN113" s="918">
        <v>312.286</v>
      </c>
      <c r="AO113" s="78">
        <v>313.488</v>
      </c>
      <c r="AP113" s="78">
        <v>314.19</v>
      </c>
      <c r="AQ113" s="911">
        <v>312.815</v>
      </c>
      <c r="AR113" s="918">
        <v>311.274</v>
      </c>
      <c r="AS113" s="89">
        <v>312.66000000000003</v>
      </c>
      <c r="AT113" s="78">
        <v>313.87700000000001</v>
      </c>
      <c r="AU113" s="911">
        <v>312.82900000000001</v>
      </c>
      <c r="AV113" s="1179">
        <v>311.166</v>
      </c>
      <c r="AW113" s="89">
        <v>308.79000000000002</v>
      </c>
      <c r="AX113" s="89">
        <v>307.13499999999999</v>
      </c>
      <c r="AY113" s="911">
        <v>307.85399999999998</v>
      </c>
      <c r="AZ113" s="1179">
        <v>308.786</v>
      </c>
      <c r="BA113" s="89">
        <v>341.31599999999997</v>
      </c>
      <c r="BB113" s="89">
        <v>367.315</v>
      </c>
      <c r="BC113" s="90">
        <v>368.04300000000001</v>
      </c>
      <c r="BD113" s="856">
        <v>369.09300000000002</v>
      </c>
      <c r="BE113" s="89">
        <f t="shared" ref="BE113:BG113" si="468">BD113+(BE114-BD114)</f>
        <v>370.09300000000002</v>
      </c>
      <c r="BF113" s="89">
        <f t="shared" si="468"/>
        <v>371.09300000000002</v>
      </c>
      <c r="BG113" s="90">
        <f t="shared" si="468"/>
        <v>372.09300000000002</v>
      </c>
      <c r="BH113" s="856">
        <f t="shared" ref="BH113" si="469">BG113+(BH114-BG114)</f>
        <v>373.09300000000002</v>
      </c>
      <c r="BI113" s="89">
        <f t="shared" ref="BI113" si="470">BH113+(BI114-BH114)</f>
        <v>374.09300000000002</v>
      </c>
      <c r="BJ113" s="89">
        <f t="shared" ref="BJ113" si="471">BI113+(BJ114-BI114)</f>
        <v>375.09300000000002</v>
      </c>
      <c r="BK113" s="90">
        <f t="shared" ref="BK113" si="472">BJ113+(BK114-BJ114)</f>
        <v>376.09300000000002</v>
      </c>
      <c r="BL113" s="856">
        <f t="shared" ref="BL113" si="473">BK113+(BL114-BK114)</f>
        <v>377.09300000000002</v>
      </c>
      <c r="BM113" s="89">
        <f t="shared" ref="BM113" si="474">BL113+(BM114-BL114)</f>
        <v>378.09300000000002</v>
      </c>
      <c r="BN113" s="89">
        <f t="shared" ref="BN113" si="475">BM113+(BN114-BM114)</f>
        <v>379.09300000000002</v>
      </c>
      <c r="BO113" s="90">
        <f t="shared" ref="BO113" si="476">BN113+(BO114-BN114)</f>
        <v>380.09300000000002</v>
      </c>
      <c r="BP113" s="253"/>
      <c r="BQ113" s="399">
        <f>AVERAGE(D113:G113)</f>
        <v>371.79124999999993</v>
      </c>
      <c r="BR113" s="80">
        <f>AVERAGE(H113:K113)</f>
        <v>358.76250000000005</v>
      </c>
      <c r="BS113" s="80">
        <f>AVERAGE(L113:O113)</f>
        <v>323.25449999999995</v>
      </c>
      <c r="BT113" s="80">
        <f>AVERAGE(P113:S113)</f>
        <v>292.68824999999998</v>
      </c>
      <c r="BU113" s="80">
        <f>AVERAGE(T113:W113)</f>
        <v>291.38499999999999</v>
      </c>
      <c r="BV113" s="80">
        <f>AVERAGE(X113:AA113)</f>
        <v>297.38724999999999</v>
      </c>
      <c r="BW113" s="87">
        <f>AVERAGE(AB113:AE113)</f>
        <v>299.41675000000004</v>
      </c>
      <c r="BX113" s="87">
        <f>AVERAGE(AF113:AI113)</f>
        <v>298.76049999999998</v>
      </c>
      <c r="BY113" s="87">
        <f>AVERAGE(AJ113:AM113)</f>
        <v>307.76350000000002</v>
      </c>
      <c r="BZ113" s="87">
        <f>AVERAGE(AN113:AQ113)</f>
        <v>313.19475</v>
      </c>
      <c r="CA113" s="87">
        <f>AVERAGE(AR113:AU113)</f>
        <v>312.65999999999997</v>
      </c>
      <c r="CB113" s="87">
        <f>AVERAGE(AV113:AY113)</f>
        <v>308.73624999999998</v>
      </c>
      <c r="CC113" s="87">
        <f>AVERAGE(AZ113:BC113)</f>
        <v>346.36500000000001</v>
      </c>
      <c r="CD113" s="87">
        <f>AVERAGE(BD113:BG113)</f>
        <v>370.59300000000002</v>
      </c>
      <c r="CE113" s="87">
        <f>AVERAGE(BH113:BK113)</f>
        <v>374.59300000000002</v>
      </c>
      <c r="CF113" s="88">
        <f>AVERAGE(BL113:BO113)</f>
        <v>378.59300000000002</v>
      </c>
      <c r="CG113" s="23"/>
      <c r="CH113" s="399">
        <f>AVERAGE(E113:H113)</f>
        <v>369.43475000000001</v>
      </c>
      <c r="CI113" s="80">
        <f>AVERAGE(I113:L113)</f>
        <v>351.90324999999996</v>
      </c>
      <c r="CJ113" s="80">
        <f>AVERAGE(M113:P113)</f>
        <v>313.36525</v>
      </c>
      <c r="CK113" s="80">
        <f>AVERAGE(Q113:T113)</f>
        <v>290.69974999999999</v>
      </c>
      <c r="CL113" s="80">
        <f>AVERAGE(U113:X113)</f>
        <v>292.45550000000003</v>
      </c>
      <c r="CM113" s="80">
        <f>AVERAGE(Y113:AB113)</f>
        <v>298.3245</v>
      </c>
      <c r="CN113" s="80">
        <f>AVERAGE(AC113:AF113)</f>
        <v>299.05925000000002</v>
      </c>
      <c r="CO113" s="80">
        <f>AVERAGE(AG113:AJ113)</f>
        <v>300.18450000000001</v>
      </c>
      <c r="CP113" s="80">
        <f>AVERAGE(AK113:AN113)</f>
        <v>309.964</v>
      </c>
      <c r="CQ113" s="80">
        <f>AVERAGE(AO113:AR113)</f>
        <v>312.94174999999996</v>
      </c>
      <c r="CR113" s="80">
        <f>AVERAGE(AS113:AV113)</f>
        <v>312.63299999999998</v>
      </c>
      <c r="CS113" s="87">
        <f>AVERAGE(AW113:AZ113)</f>
        <v>308.14125000000001</v>
      </c>
      <c r="CT113" s="87">
        <f>AVERAGE(BA113:BD113)</f>
        <v>361.44175000000001</v>
      </c>
      <c r="CU113" s="87">
        <f>AVERAGE(BE113:BH113)</f>
        <v>371.59300000000002</v>
      </c>
      <c r="CV113" s="88">
        <f>AVERAGE(BI113:BL113)</f>
        <v>375.59300000000002</v>
      </c>
      <c r="CW113" s="17"/>
    </row>
    <row r="114" spans="1:101" ht="14.25" customHeight="1">
      <c r="A114" s="8"/>
      <c r="B114" s="26" t="s">
        <v>452</v>
      </c>
      <c r="C114" s="70"/>
      <c r="D114" s="84">
        <v>388.10700000000003</v>
      </c>
      <c r="E114" s="85">
        <v>382.33699999999999</v>
      </c>
      <c r="F114" s="85">
        <v>382.83</v>
      </c>
      <c r="G114" s="34">
        <v>380.60700000000003</v>
      </c>
      <c r="H114" s="84">
        <v>380.33699999999999</v>
      </c>
      <c r="I114" s="85">
        <v>376.81099999999998</v>
      </c>
      <c r="J114" s="85">
        <v>369.54199999999997</v>
      </c>
      <c r="K114" s="34">
        <v>357.16399999999999</v>
      </c>
      <c r="L114" s="84">
        <v>349.20800000000003</v>
      </c>
      <c r="M114" s="85">
        <v>338.84</v>
      </c>
      <c r="N114" s="85">
        <v>327.33100000000002</v>
      </c>
      <c r="O114" s="34">
        <v>313.82499999999999</v>
      </c>
      <c r="P114" s="84">
        <v>304.26</v>
      </c>
      <c r="Q114" s="85">
        <v>295.36</v>
      </c>
      <c r="R114" s="85">
        <v>295.00099999999998</v>
      </c>
      <c r="S114" s="34">
        <v>293.82</v>
      </c>
      <c r="T114" s="84">
        <v>291.24799999999999</v>
      </c>
      <c r="U114" s="85">
        <v>292.44600000000003</v>
      </c>
      <c r="V114" s="85">
        <v>293.084</v>
      </c>
      <c r="W114" s="34">
        <v>294.01600000000002</v>
      </c>
      <c r="X114" s="84">
        <v>304.73</v>
      </c>
      <c r="Y114" s="85">
        <v>305.83600000000001</v>
      </c>
      <c r="Z114" s="85">
        <v>306.16800000000001</v>
      </c>
      <c r="AA114" s="34">
        <v>306.71100000000001</v>
      </c>
      <c r="AB114" s="85">
        <v>308.84800000000001</v>
      </c>
      <c r="AC114" s="85">
        <v>309.61900000000003</v>
      </c>
      <c r="AD114" s="85">
        <v>308.74400000000003</v>
      </c>
      <c r="AE114" s="33">
        <v>305.73399999999998</v>
      </c>
      <c r="AF114" s="84">
        <v>305.53100000000001</v>
      </c>
      <c r="AG114" s="85">
        <v>305.92099999999999</v>
      </c>
      <c r="AH114" s="85">
        <v>305.35899999999998</v>
      </c>
      <c r="AI114" s="90">
        <v>307.95400000000001</v>
      </c>
      <c r="AJ114" s="89">
        <v>310.27499999999998</v>
      </c>
      <c r="AK114" s="85">
        <v>313.36799999999999</v>
      </c>
      <c r="AL114" s="85">
        <v>315.30700000000002</v>
      </c>
      <c r="AM114" s="90">
        <v>317.21600000000001</v>
      </c>
      <c r="AN114" s="89">
        <v>318.017</v>
      </c>
      <c r="AO114" s="85">
        <v>318.34699999999998</v>
      </c>
      <c r="AP114" s="85">
        <v>318.87599999999998</v>
      </c>
      <c r="AQ114" s="90">
        <v>316.86799999999999</v>
      </c>
      <c r="AR114" s="89">
        <v>315.68400000000003</v>
      </c>
      <c r="AS114" s="89">
        <v>317.04700000000003</v>
      </c>
      <c r="AT114" s="85">
        <v>318.18700000000001</v>
      </c>
      <c r="AU114" s="90">
        <v>316.57100000000003</v>
      </c>
      <c r="AV114" s="856">
        <v>314.79300000000001</v>
      </c>
      <c r="AW114" s="89">
        <v>312.25</v>
      </c>
      <c r="AX114" s="89">
        <v>310.55799999999999</v>
      </c>
      <c r="AY114" s="90">
        <v>311.63299999999998</v>
      </c>
      <c r="AZ114" s="856">
        <v>313.07600000000002</v>
      </c>
      <c r="BA114" s="89">
        <v>345.654</v>
      </c>
      <c r="BB114" s="89">
        <v>371.15899999999999</v>
      </c>
      <c r="BC114" s="90">
        <v>372.053</v>
      </c>
      <c r="BD114" s="856">
        <v>374.18900000000002</v>
      </c>
      <c r="BE114" s="89">
        <f t="shared" ref="BE114:BK114" si="477">BD114+1</f>
        <v>375.18900000000002</v>
      </c>
      <c r="BF114" s="89">
        <f t="shared" si="477"/>
        <v>376.18900000000002</v>
      </c>
      <c r="BG114" s="89">
        <f t="shared" si="477"/>
        <v>377.18900000000002</v>
      </c>
      <c r="BH114" s="856">
        <f t="shared" si="477"/>
        <v>378.18900000000002</v>
      </c>
      <c r="BI114" s="89">
        <f t="shared" si="477"/>
        <v>379.18900000000002</v>
      </c>
      <c r="BJ114" s="89">
        <f t="shared" si="477"/>
        <v>380.18900000000002</v>
      </c>
      <c r="BK114" s="90">
        <f t="shared" si="477"/>
        <v>381.18900000000002</v>
      </c>
      <c r="BL114" s="856">
        <f t="shared" ref="BL114" si="478">BK114+1</f>
        <v>382.18900000000002</v>
      </c>
      <c r="BM114" s="89">
        <f t="shared" ref="BM114" si="479">BL114+1</f>
        <v>383.18900000000002</v>
      </c>
      <c r="BN114" s="89">
        <f t="shared" ref="BN114" si="480">BM114+1</f>
        <v>384.18900000000002</v>
      </c>
      <c r="BO114" s="90">
        <f t="shared" ref="BO114" si="481">BN114+1</f>
        <v>385.18900000000002</v>
      </c>
      <c r="BP114" s="253"/>
      <c r="BQ114" s="324">
        <f>AVERAGE(D114:G114)</f>
        <v>383.47024999999996</v>
      </c>
      <c r="BR114" s="87">
        <f>AVERAGE(H114:K114)</f>
        <v>370.96349999999995</v>
      </c>
      <c r="BS114" s="87">
        <f>AVERAGE(L114:O114)</f>
        <v>332.30099999999999</v>
      </c>
      <c r="BT114" s="87">
        <f>AVERAGE(P114:S114)</f>
        <v>297.11025000000001</v>
      </c>
      <c r="BU114" s="87">
        <f>AVERAGE(T114:W114)</f>
        <v>292.69850000000002</v>
      </c>
      <c r="BV114" s="87">
        <f>AVERAGE(X114:AA114)</f>
        <v>305.86125000000004</v>
      </c>
      <c r="BW114" s="87">
        <f>AVERAGE(AB114:AE114)</f>
        <v>308.23625000000004</v>
      </c>
      <c r="BX114" s="87">
        <f>AVERAGE(AF114:AI114)</f>
        <v>306.19124999999997</v>
      </c>
      <c r="BY114" s="87">
        <f>AVERAGE(AJ114:AM114)</f>
        <v>314.04150000000004</v>
      </c>
      <c r="BZ114" s="87">
        <f>AVERAGE(AN114:AQ114)</f>
        <v>318.02699999999999</v>
      </c>
      <c r="CA114" s="87">
        <f>AVERAGE(AR114:AU114)</f>
        <v>316.87225000000001</v>
      </c>
      <c r="CB114" s="87">
        <f>AVERAGE(AV114:AY114)</f>
        <v>312.30849999999998</v>
      </c>
      <c r="CC114" s="87">
        <f>AVERAGE(AZ114:BC114)</f>
        <v>350.4855</v>
      </c>
      <c r="CD114" s="87">
        <f>AVERAGE(BD114:BG114)</f>
        <v>375.68900000000002</v>
      </c>
      <c r="CE114" s="87">
        <f>AVERAGE(BH114:BK114)</f>
        <v>379.68900000000002</v>
      </c>
      <c r="CF114" s="88">
        <f>AVERAGE(BL114:BO114)</f>
        <v>383.68900000000002</v>
      </c>
      <c r="CG114" s="23"/>
      <c r="CH114" s="324">
        <f>AVERAGE(E114:H114)</f>
        <v>381.52774999999997</v>
      </c>
      <c r="CI114" s="87">
        <f>AVERAGE(I114:L114)</f>
        <v>363.18124999999998</v>
      </c>
      <c r="CJ114" s="87">
        <f>AVERAGE(M114:P114)</f>
        <v>321.06400000000002</v>
      </c>
      <c r="CK114" s="87">
        <f>AVERAGE(Q114:T114)</f>
        <v>293.85725000000002</v>
      </c>
      <c r="CL114" s="87">
        <f>AVERAGE(U114:X114)</f>
        <v>296.06900000000002</v>
      </c>
      <c r="CM114" s="87">
        <f>AVERAGE(Y114:AB114)</f>
        <v>306.89075000000003</v>
      </c>
      <c r="CN114" s="87">
        <f>AVERAGE(AC114:AF114)</f>
        <v>307.40699999999998</v>
      </c>
      <c r="CO114" s="87">
        <f>AVERAGE(AG114:AJ114)</f>
        <v>307.37725</v>
      </c>
      <c r="CP114" s="87">
        <f>AVERAGE(AK114:AN114)</f>
        <v>315.97699999999998</v>
      </c>
      <c r="CQ114" s="87">
        <f>AVERAGE(AO114:AR114)</f>
        <v>317.44374999999997</v>
      </c>
      <c r="CR114" s="87">
        <f>AVERAGE(AS114:AV114)</f>
        <v>316.64949999999999</v>
      </c>
      <c r="CS114" s="87">
        <f>AVERAGE(AW114:AZ114)</f>
        <v>311.87925000000001</v>
      </c>
      <c r="CT114" s="87">
        <f>AVERAGE(BA114:BD114)</f>
        <v>365.76375000000002</v>
      </c>
      <c r="CU114" s="87">
        <f>AVERAGE(BE114:BH114)</f>
        <v>376.68900000000002</v>
      </c>
      <c r="CV114" s="88">
        <f>AVERAGE(BI114:BL114)</f>
        <v>380.68900000000002</v>
      </c>
      <c r="CW114" s="17"/>
    </row>
    <row r="115" spans="1:101" ht="14.25" customHeight="1">
      <c r="A115" s="8"/>
      <c r="B115" s="31" t="s">
        <v>160</v>
      </c>
      <c r="C115" s="70"/>
      <c r="D115" s="81">
        <f>+D114-D113</f>
        <v>12.546000000000049</v>
      </c>
      <c r="E115" s="82">
        <f t="shared" ref="E115:AH115" si="482">+E114-E113</f>
        <v>11.663000000000011</v>
      </c>
      <c r="F115" s="82">
        <f t="shared" si="482"/>
        <v>11.84499999999997</v>
      </c>
      <c r="G115" s="36">
        <f t="shared" si="482"/>
        <v>10.662000000000035</v>
      </c>
      <c r="H115" s="81">
        <f t="shared" si="482"/>
        <v>14.201999999999998</v>
      </c>
      <c r="I115" s="82">
        <f t="shared" si="482"/>
        <v>12.585999999999956</v>
      </c>
      <c r="J115" s="82">
        <f t="shared" si="482"/>
        <v>11.654999999999973</v>
      </c>
      <c r="K115" s="36">
        <f t="shared" si="482"/>
        <v>10.36099999999999</v>
      </c>
      <c r="L115" s="81">
        <f t="shared" si="482"/>
        <v>10.510000000000048</v>
      </c>
      <c r="M115" s="82">
        <f t="shared" si="482"/>
        <v>8.8519999999999754</v>
      </c>
      <c r="N115" s="82">
        <f t="shared" si="482"/>
        <v>8.8660000000000423</v>
      </c>
      <c r="O115" s="36">
        <f t="shared" si="482"/>
        <v>7.95799999999997</v>
      </c>
      <c r="P115" s="81">
        <f t="shared" si="482"/>
        <v>5.1189999999999714</v>
      </c>
      <c r="Q115" s="82">
        <f t="shared" si="482"/>
        <v>4.9710000000000036</v>
      </c>
      <c r="R115" s="82">
        <f t="shared" si="482"/>
        <v>4.625</v>
      </c>
      <c r="S115" s="36">
        <f t="shared" si="482"/>
        <v>2.9730000000000132</v>
      </c>
      <c r="T115" s="81">
        <f t="shared" si="482"/>
        <v>6.0999999999978627E-2</v>
      </c>
      <c r="U115" s="82">
        <f t="shared" si="482"/>
        <v>1.2190000000000509</v>
      </c>
      <c r="V115" s="82">
        <f t="shared" si="482"/>
        <v>1.6970000000000027</v>
      </c>
      <c r="W115" s="36">
        <f t="shared" si="482"/>
        <v>2.2770000000000437</v>
      </c>
      <c r="X115" s="81">
        <f t="shared" si="482"/>
        <v>9.2610000000000241</v>
      </c>
      <c r="Y115" s="82">
        <f t="shared" si="482"/>
        <v>8.0110000000000241</v>
      </c>
      <c r="Z115" s="82">
        <f t="shared" si="482"/>
        <v>8.1410000000000196</v>
      </c>
      <c r="AA115" s="36">
        <f t="shared" si="482"/>
        <v>8.4830000000000041</v>
      </c>
      <c r="AB115" s="82">
        <f t="shared" si="482"/>
        <v>9.6299999999999955</v>
      </c>
      <c r="AC115" s="82">
        <f t="shared" si="482"/>
        <v>9.6960000000000264</v>
      </c>
      <c r="AD115" s="82">
        <f t="shared" si="482"/>
        <v>9.1280000000000427</v>
      </c>
      <c r="AE115" s="35">
        <f t="shared" si="482"/>
        <v>6.8239999999999554</v>
      </c>
      <c r="AF115" s="81">
        <f t="shared" si="482"/>
        <v>7.742999999999995</v>
      </c>
      <c r="AG115" s="82">
        <f t="shared" si="482"/>
        <v>7.7909999999999968</v>
      </c>
      <c r="AH115" s="82">
        <f t="shared" si="482"/>
        <v>6.9139999999999873</v>
      </c>
      <c r="AI115" s="88">
        <f t="shared" ref="AI115:AX115" si="483">+AI114-AI113</f>
        <v>7.2750000000000341</v>
      </c>
      <c r="AJ115" s="87">
        <f t="shared" si="483"/>
        <v>6.7909999999999968</v>
      </c>
      <c r="AK115" s="82">
        <f t="shared" si="483"/>
        <v>5.9239999999999782</v>
      </c>
      <c r="AL115" s="82">
        <f t="shared" si="483"/>
        <v>6.1899999999999977</v>
      </c>
      <c r="AM115" s="88">
        <f t="shared" si="483"/>
        <v>6.2069999999999936</v>
      </c>
      <c r="AN115" s="87">
        <f t="shared" si="483"/>
        <v>5.7309999999999945</v>
      </c>
      <c r="AO115" s="82">
        <f>+AO114-AO113</f>
        <v>4.8589999999999804</v>
      </c>
      <c r="AP115" s="82">
        <f>+AP114-AP113</f>
        <v>4.6859999999999786</v>
      </c>
      <c r="AQ115" s="88">
        <f>+AQ114-AQ113</f>
        <v>4.0529999999999973</v>
      </c>
      <c r="AR115" s="87">
        <f t="shared" si="483"/>
        <v>4.410000000000025</v>
      </c>
      <c r="AS115" s="87">
        <f>+AS114-AS113</f>
        <v>4.3870000000000005</v>
      </c>
      <c r="AT115" s="82">
        <f t="shared" si="483"/>
        <v>4.3100000000000023</v>
      </c>
      <c r="AU115" s="88">
        <f t="shared" si="483"/>
        <v>3.7420000000000186</v>
      </c>
      <c r="AV115" s="324">
        <f>+AV114-AV113</f>
        <v>3.6270000000000095</v>
      </c>
      <c r="AW115" s="87">
        <f>+AW114-AW113</f>
        <v>3.4599999999999795</v>
      </c>
      <c r="AX115" s="87">
        <f t="shared" si="483"/>
        <v>3.4230000000000018</v>
      </c>
      <c r="AY115" s="88">
        <f t="shared" ref="AY115" si="484">+AY114-AY113</f>
        <v>3.7789999999999964</v>
      </c>
      <c r="AZ115" s="324">
        <f>+AZ114-AZ113</f>
        <v>4.2900000000000205</v>
      </c>
      <c r="BA115" s="87">
        <f t="shared" ref="BA115:BG115" si="485">+BA114-BA113</f>
        <v>4.3380000000000223</v>
      </c>
      <c r="BB115" s="87">
        <f t="shared" si="485"/>
        <v>3.8439999999999941</v>
      </c>
      <c r="BC115" s="88">
        <f t="shared" si="485"/>
        <v>4.0099999999999909</v>
      </c>
      <c r="BD115" s="324">
        <f t="shared" si="485"/>
        <v>5.0960000000000036</v>
      </c>
      <c r="BE115" s="87">
        <f t="shared" si="485"/>
        <v>5.0960000000000036</v>
      </c>
      <c r="BF115" s="87">
        <f t="shared" si="485"/>
        <v>5.0960000000000036</v>
      </c>
      <c r="BG115" s="88">
        <f t="shared" si="485"/>
        <v>5.0960000000000036</v>
      </c>
      <c r="BH115" s="324">
        <f t="shared" ref="BH115:BK115" si="486">+BH114-BH113</f>
        <v>5.0960000000000036</v>
      </c>
      <c r="BI115" s="87">
        <f t="shared" si="486"/>
        <v>5.0960000000000036</v>
      </c>
      <c r="BJ115" s="87">
        <f t="shared" si="486"/>
        <v>5.0960000000000036</v>
      </c>
      <c r="BK115" s="88">
        <f t="shared" si="486"/>
        <v>5.0960000000000036</v>
      </c>
      <c r="BL115" s="324">
        <f t="shared" ref="BL115:BO115" si="487">+BL114-BL113</f>
        <v>5.0960000000000036</v>
      </c>
      <c r="BM115" s="87">
        <f t="shared" si="487"/>
        <v>5.0960000000000036</v>
      </c>
      <c r="BN115" s="87">
        <f t="shared" si="487"/>
        <v>5.0960000000000036</v>
      </c>
      <c r="BO115" s="88">
        <f t="shared" si="487"/>
        <v>5.0960000000000036</v>
      </c>
      <c r="BP115" s="253"/>
      <c r="BQ115" s="324"/>
      <c r="BR115" s="87"/>
      <c r="BS115" s="87"/>
      <c r="BT115" s="87"/>
      <c r="BU115" s="87"/>
      <c r="BV115" s="87"/>
      <c r="BW115" s="87"/>
      <c r="BX115" s="87"/>
      <c r="BY115" s="87"/>
      <c r="BZ115" s="87"/>
      <c r="CA115" s="87"/>
      <c r="CB115" s="87"/>
      <c r="CC115" s="87"/>
      <c r="CD115" s="87"/>
      <c r="CE115" s="87"/>
      <c r="CF115" s="88"/>
      <c r="CG115" s="23"/>
      <c r="CH115" s="324"/>
      <c r="CI115" s="87"/>
      <c r="CJ115" s="87"/>
      <c r="CK115" s="87"/>
      <c r="CL115" s="87"/>
      <c r="CM115" s="87"/>
      <c r="CN115" s="87"/>
      <c r="CO115" s="87"/>
      <c r="CP115" s="87"/>
      <c r="CQ115" s="87"/>
      <c r="CR115" s="87"/>
      <c r="CS115" s="87"/>
      <c r="CT115" s="87"/>
      <c r="CU115" s="87"/>
      <c r="CV115" s="88"/>
      <c r="CW115" s="17"/>
    </row>
    <row r="116" spans="1:101" ht="14.25" customHeight="1">
      <c r="A116" s="8"/>
      <c r="B116" s="31"/>
      <c r="C116" s="70"/>
      <c r="D116" s="81"/>
      <c r="E116" s="82"/>
      <c r="F116" s="82"/>
      <c r="G116" s="36"/>
      <c r="H116" s="81"/>
      <c r="I116" s="82"/>
      <c r="J116" s="82"/>
      <c r="K116" s="36"/>
      <c r="L116" s="81"/>
      <c r="M116" s="82"/>
      <c r="N116" s="82"/>
      <c r="O116" s="36"/>
      <c r="P116" s="81"/>
      <c r="Q116" s="82"/>
      <c r="R116" s="82"/>
      <c r="S116" s="36"/>
      <c r="T116" s="81"/>
      <c r="U116" s="82"/>
      <c r="V116" s="82"/>
      <c r="W116" s="36"/>
      <c r="X116" s="81"/>
      <c r="Y116" s="82"/>
      <c r="Z116" s="82"/>
      <c r="AA116" s="36"/>
      <c r="AB116" s="82"/>
      <c r="AC116" s="82"/>
      <c r="AD116" s="82"/>
      <c r="AE116" s="35"/>
      <c r="AF116" s="81"/>
      <c r="AG116" s="82"/>
      <c r="AH116" s="82"/>
      <c r="AI116" s="88"/>
      <c r="AJ116" s="87"/>
      <c r="AK116" s="87"/>
      <c r="AL116" s="82"/>
      <c r="AM116" s="88"/>
      <c r="AN116" s="87"/>
      <c r="AO116" s="87"/>
      <c r="AP116" s="82"/>
      <c r="AQ116" s="88"/>
      <c r="AR116" s="87"/>
      <c r="AS116" s="87"/>
      <c r="AT116" s="82"/>
      <c r="AU116" s="88"/>
      <c r="AV116" s="324"/>
      <c r="AW116" s="87"/>
      <c r="AX116" s="87"/>
      <c r="AY116" s="88"/>
      <c r="AZ116" s="324"/>
      <c r="BA116" s="87"/>
      <c r="BB116" s="87"/>
      <c r="BC116" s="88"/>
      <c r="BD116" s="324"/>
      <c r="BE116" s="87"/>
      <c r="BF116" s="87"/>
      <c r="BG116" s="88"/>
      <c r="BH116" s="324"/>
      <c r="BI116" s="87"/>
      <c r="BJ116" s="87"/>
      <c r="BK116" s="88"/>
      <c r="BL116" s="324"/>
      <c r="BM116" s="87"/>
      <c r="BN116" s="87"/>
      <c r="BO116" s="88"/>
      <c r="BP116" s="253"/>
      <c r="BQ116" s="324"/>
      <c r="BR116" s="87"/>
      <c r="BS116" s="87"/>
      <c r="BT116" s="87"/>
      <c r="BU116" s="87"/>
      <c r="BV116" s="87"/>
      <c r="BW116" s="87"/>
      <c r="BX116" s="87"/>
      <c r="BY116" s="87"/>
      <c r="BZ116" s="87"/>
      <c r="CA116" s="87"/>
      <c r="CB116" s="87"/>
      <c r="CC116" s="87"/>
      <c r="CD116" s="87"/>
      <c r="CE116" s="87"/>
      <c r="CF116" s="88"/>
      <c r="CG116" s="23"/>
      <c r="CH116" s="324"/>
      <c r="CI116" s="87"/>
      <c r="CJ116" s="87"/>
      <c r="CK116" s="87"/>
      <c r="CL116" s="87"/>
      <c r="CM116" s="87"/>
      <c r="CN116" s="87"/>
      <c r="CO116" s="87"/>
      <c r="CP116" s="87"/>
      <c r="CQ116" s="87"/>
      <c r="CR116" s="87"/>
      <c r="CS116" s="87"/>
      <c r="CT116" s="87"/>
      <c r="CU116" s="87"/>
      <c r="CV116" s="88"/>
      <c r="CW116" s="17"/>
    </row>
    <row r="117" spans="1:101" ht="14.25" customHeight="1">
      <c r="A117" s="8"/>
      <c r="B117" s="99" t="s">
        <v>479</v>
      </c>
      <c r="C117" s="70"/>
      <c r="D117" s="81"/>
      <c r="E117" s="82"/>
      <c r="F117" s="82"/>
      <c r="G117" s="36"/>
      <c r="H117" s="81"/>
      <c r="I117" s="82"/>
      <c r="J117" s="82"/>
      <c r="K117" s="36"/>
      <c r="L117" s="81"/>
      <c r="M117" s="82"/>
      <c r="N117" s="82"/>
      <c r="O117" s="36"/>
      <c r="P117" s="81"/>
      <c r="Q117" s="82"/>
      <c r="R117" s="82"/>
      <c r="S117" s="36"/>
      <c r="T117" s="81"/>
      <c r="U117" s="82"/>
      <c r="V117" s="82"/>
      <c r="W117" s="36"/>
      <c r="X117" s="81"/>
      <c r="Y117" s="82"/>
      <c r="Z117" s="82"/>
      <c r="AA117" s="36"/>
      <c r="AB117" s="82"/>
      <c r="AC117" s="82"/>
      <c r="AD117" s="82"/>
      <c r="AE117" s="35"/>
      <c r="AF117" s="81"/>
      <c r="AG117" s="82"/>
      <c r="AH117" s="82"/>
      <c r="AI117" s="88"/>
      <c r="AJ117" s="87"/>
      <c r="AK117" s="87"/>
      <c r="AL117" s="82"/>
      <c r="AM117" s="88"/>
      <c r="AN117" s="87"/>
      <c r="AO117" s="87"/>
      <c r="AP117" s="82"/>
      <c r="AQ117" s="88"/>
      <c r="AR117" s="87"/>
      <c r="AS117" s="87"/>
      <c r="AT117" s="82"/>
      <c r="AU117" s="88"/>
      <c r="AV117" s="324"/>
      <c r="AW117" s="87"/>
      <c r="AX117" s="87"/>
      <c r="AY117" s="88"/>
      <c r="AZ117" s="324"/>
      <c r="BA117" s="87"/>
      <c r="BB117" s="87"/>
      <c r="BC117" s="88"/>
      <c r="BD117" s="324"/>
      <c r="BE117" s="87"/>
      <c r="BF117" s="87"/>
      <c r="BG117" s="88"/>
      <c r="BH117" s="324"/>
      <c r="BI117" s="87"/>
      <c r="BJ117" s="87"/>
      <c r="BK117" s="88"/>
      <c r="BL117" s="324"/>
      <c r="BM117" s="87"/>
      <c r="BN117" s="87"/>
      <c r="BO117" s="88"/>
      <c r="BP117" s="253"/>
      <c r="BQ117" s="324"/>
      <c r="BR117" s="87"/>
      <c r="BS117" s="87"/>
      <c r="BT117" s="87"/>
      <c r="BU117" s="87"/>
      <c r="BV117" s="87"/>
      <c r="BW117" s="87"/>
      <c r="BX117" s="87"/>
      <c r="BY117" s="87"/>
      <c r="BZ117" s="87"/>
      <c r="CA117" s="87"/>
      <c r="CB117" s="87"/>
      <c r="CC117" s="87"/>
      <c r="CD117" s="87"/>
      <c r="CE117" s="87"/>
      <c r="CF117" s="88"/>
      <c r="CG117" s="23"/>
      <c r="CH117" s="324"/>
      <c r="CI117" s="87"/>
      <c r="CJ117" s="87"/>
      <c r="CK117" s="87"/>
      <c r="CL117" s="87"/>
      <c r="CM117" s="87"/>
      <c r="CN117" s="87"/>
      <c r="CO117" s="87"/>
      <c r="CP117" s="87"/>
      <c r="CQ117" s="87"/>
      <c r="CR117" s="87"/>
      <c r="CS117" s="87"/>
      <c r="CT117" s="87"/>
      <c r="CU117" s="87"/>
      <c r="CV117" s="88"/>
      <c r="CW117" s="17"/>
    </row>
    <row r="118" spans="1:101" ht="14.25" customHeight="1">
      <c r="A118" s="8"/>
      <c r="B118" s="99" t="s">
        <v>480</v>
      </c>
      <c r="C118" s="70"/>
      <c r="D118" s="81"/>
      <c r="E118" s="82">
        <f t="shared" ref="E118:AG119" si="488">+E113-D113</f>
        <v>-4.8870000000000005</v>
      </c>
      <c r="F118" s="82">
        <f t="shared" si="488"/>
        <v>0.31100000000003547</v>
      </c>
      <c r="G118" s="36">
        <f t="shared" si="488"/>
        <v>-1.0400000000000205</v>
      </c>
      <c r="H118" s="81">
        <f t="shared" si="488"/>
        <v>-3.8100000000000023</v>
      </c>
      <c r="I118" s="82">
        <f t="shared" si="488"/>
        <v>-1.9099999999999682</v>
      </c>
      <c r="J118" s="82">
        <f t="shared" si="488"/>
        <v>-6.3380000000000223</v>
      </c>
      <c r="K118" s="36">
        <f t="shared" si="488"/>
        <v>-11.084000000000003</v>
      </c>
      <c r="L118" s="81">
        <f t="shared" si="488"/>
        <v>-8.1050000000000182</v>
      </c>
      <c r="M118" s="82">
        <f t="shared" si="488"/>
        <v>-8.7099999999999795</v>
      </c>
      <c r="N118" s="82">
        <f t="shared" si="488"/>
        <v>-11.523000000000025</v>
      </c>
      <c r="O118" s="36">
        <f t="shared" si="488"/>
        <v>-12.597999999999956</v>
      </c>
      <c r="P118" s="81">
        <f t="shared" si="488"/>
        <v>-6.7259999999999991</v>
      </c>
      <c r="Q118" s="82">
        <f t="shared" si="488"/>
        <v>-8.7520000000000095</v>
      </c>
      <c r="R118" s="82">
        <f t="shared" si="488"/>
        <v>-1.3000000000033651E-2</v>
      </c>
      <c r="S118" s="36">
        <f t="shared" si="488"/>
        <v>0.47100000000000364</v>
      </c>
      <c r="T118" s="81">
        <f t="shared" si="488"/>
        <v>0.34000000000003183</v>
      </c>
      <c r="U118" s="82">
        <f t="shared" si="488"/>
        <v>3.999999999996362E-2</v>
      </c>
      <c r="V118" s="82">
        <f t="shared" si="488"/>
        <v>0.16000000000002501</v>
      </c>
      <c r="W118" s="36">
        <f t="shared" si="488"/>
        <v>0.35199999999997544</v>
      </c>
      <c r="X118" s="81">
        <f t="shared" si="488"/>
        <v>3.7300000000000182</v>
      </c>
      <c r="Y118" s="82">
        <f t="shared" si="488"/>
        <v>2.3559999999999945</v>
      </c>
      <c r="Z118" s="82">
        <f t="shared" si="488"/>
        <v>0.20199999999999818</v>
      </c>
      <c r="AA118" s="36">
        <f t="shared" si="488"/>
        <v>0.20100000000002183</v>
      </c>
      <c r="AB118" s="82">
        <f t="shared" si="488"/>
        <v>0.99000000000000909</v>
      </c>
      <c r="AC118" s="82">
        <f t="shared" si="488"/>
        <v>0.70499999999998408</v>
      </c>
      <c r="AD118" s="82">
        <f t="shared" si="488"/>
        <v>-0.30700000000001637</v>
      </c>
      <c r="AE118" s="35">
        <f t="shared" si="488"/>
        <v>-0.70599999999996044</v>
      </c>
      <c r="AF118" s="81">
        <f t="shared" si="488"/>
        <v>-1.1220000000000141</v>
      </c>
      <c r="AG118" s="82">
        <f t="shared" si="488"/>
        <v>0.34199999999998454</v>
      </c>
      <c r="AH118" s="82">
        <f t="shared" ref="AH118:AQ119" si="489">+AH113-AG113</f>
        <v>0.31499999999999773</v>
      </c>
      <c r="AI118" s="88">
        <f t="shared" si="489"/>
        <v>2.2339999999999804</v>
      </c>
      <c r="AJ118" s="87">
        <f t="shared" si="489"/>
        <v>2.8050000000000068</v>
      </c>
      <c r="AK118" s="82">
        <f t="shared" si="489"/>
        <v>3.9600000000000364</v>
      </c>
      <c r="AL118" s="82">
        <f t="shared" si="489"/>
        <v>1.6730000000000018</v>
      </c>
      <c r="AM118" s="88">
        <f t="shared" si="489"/>
        <v>1.8919999999999959</v>
      </c>
      <c r="AN118" s="87">
        <f t="shared" si="489"/>
        <v>1.2769999999999868</v>
      </c>
      <c r="AO118" s="82">
        <f t="shared" si="489"/>
        <v>1.2019999999999982</v>
      </c>
      <c r="AP118" s="82">
        <f t="shared" si="489"/>
        <v>0.70199999999999818</v>
      </c>
      <c r="AQ118" s="88">
        <f t="shared" si="489"/>
        <v>-1.375</v>
      </c>
      <c r="AR118" s="87"/>
      <c r="AS118" s="87"/>
      <c r="AT118" s="82"/>
      <c r="AU118" s="88"/>
      <c r="AV118" s="324"/>
      <c r="AW118" s="87"/>
      <c r="AX118" s="87"/>
      <c r="AY118" s="88"/>
      <c r="AZ118" s="324"/>
      <c r="BA118" s="87"/>
      <c r="BB118" s="87"/>
      <c r="BC118" s="88"/>
      <c r="BD118" s="324"/>
      <c r="BE118" s="87"/>
      <c r="BF118" s="87"/>
      <c r="BG118" s="88"/>
      <c r="BH118" s="324"/>
      <c r="BI118" s="87"/>
      <c r="BJ118" s="87"/>
      <c r="BK118" s="88"/>
      <c r="BL118" s="324"/>
      <c r="BM118" s="87"/>
      <c r="BN118" s="87"/>
      <c r="BO118" s="88"/>
      <c r="BP118" s="253"/>
      <c r="BQ118" s="324"/>
      <c r="BR118" s="87"/>
      <c r="BS118" s="87"/>
      <c r="BT118" s="87"/>
      <c r="BU118" s="87"/>
      <c r="BV118" s="87"/>
      <c r="BW118" s="87"/>
      <c r="BX118" s="87"/>
      <c r="BY118" s="87"/>
      <c r="BZ118" s="87"/>
      <c r="CA118" s="87"/>
      <c r="CB118" s="87"/>
      <c r="CC118" s="87"/>
      <c r="CD118" s="87"/>
      <c r="CE118" s="87"/>
      <c r="CF118" s="88"/>
      <c r="CG118" s="23"/>
      <c r="CH118" s="324"/>
      <c r="CI118" s="87"/>
      <c r="CJ118" s="87"/>
      <c r="CK118" s="87"/>
      <c r="CL118" s="87"/>
      <c r="CM118" s="87"/>
      <c r="CN118" s="87"/>
      <c r="CO118" s="87"/>
      <c r="CP118" s="87"/>
      <c r="CQ118" s="87"/>
      <c r="CR118" s="87"/>
      <c r="CS118" s="87"/>
      <c r="CT118" s="87"/>
      <c r="CU118" s="87"/>
      <c r="CV118" s="88"/>
      <c r="CW118" s="17"/>
    </row>
    <row r="119" spans="1:101" ht="14.25" customHeight="1">
      <c r="A119" s="8"/>
      <c r="B119" s="99" t="s">
        <v>481</v>
      </c>
      <c r="C119" s="70"/>
      <c r="D119" s="81"/>
      <c r="E119" s="82">
        <f t="shared" si="488"/>
        <v>-5.7700000000000387</v>
      </c>
      <c r="F119" s="82">
        <f t="shared" si="488"/>
        <v>0.492999999999995</v>
      </c>
      <c r="G119" s="36">
        <f t="shared" si="488"/>
        <v>-2.2229999999999563</v>
      </c>
      <c r="H119" s="81">
        <f t="shared" si="488"/>
        <v>-0.27000000000003865</v>
      </c>
      <c r="I119" s="82">
        <f t="shared" si="488"/>
        <v>-3.5260000000000105</v>
      </c>
      <c r="J119" s="82">
        <f t="shared" si="488"/>
        <v>-7.2690000000000055</v>
      </c>
      <c r="K119" s="36">
        <f t="shared" si="488"/>
        <v>-12.377999999999986</v>
      </c>
      <c r="L119" s="81">
        <f t="shared" si="488"/>
        <v>-7.9559999999999604</v>
      </c>
      <c r="M119" s="82">
        <f t="shared" si="488"/>
        <v>-10.368000000000052</v>
      </c>
      <c r="N119" s="82">
        <f t="shared" si="488"/>
        <v>-11.508999999999958</v>
      </c>
      <c r="O119" s="36">
        <f t="shared" si="488"/>
        <v>-13.506000000000029</v>
      </c>
      <c r="P119" s="81">
        <f t="shared" si="488"/>
        <v>-9.5649999999999977</v>
      </c>
      <c r="Q119" s="82">
        <f t="shared" si="488"/>
        <v>-8.8999999999999773</v>
      </c>
      <c r="R119" s="82">
        <f t="shared" si="488"/>
        <v>-0.35900000000003729</v>
      </c>
      <c r="S119" s="36">
        <f t="shared" si="488"/>
        <v>-1.1809999999999832</v>
      </c>
      <c r="T119" s="81">
        <f t="shared" si="488"/>
        <v>-2.5720000000000027</v>
      </c>
      <c r="U119" s="82">
        <f t="shared" si="488"/>
        <v>1.1980000000000359</v>
      </c>
      <c r="V119" s="82">
        <f t="shared" si="488"/>
        <v>0.63799999999997681</v>
      </c>
      <c r="W119" s="36">
        <f t="shared" si="488"/>
        <v>0.93200000000001637</v>
      </c>
      <c r="X119" s="81">
        <f t="shared" si="488"/>
        <v>10.713999999999999</v>
      </c>
      <c r="Y119" s="82">
        <f t="shared" si="488"/>
        <v>1.1059999999999945</v>
      </c>
      <c r="Z119" s="82">
        <f t="shared" si="488"/>
        <v>0.33199999999999363</v>
      </c>
      <c r="AA119" s="36">
        <f t="shared" si="488"/>
        <v>0.54300000000000637</v>
      </c>
      <c r="AB119" s="82">
        <f t="shared" si="488"/>
        <v>2.1370000000000005</v>
      </c>
      <c r="AC119" s="82">
        <f t="shared" si="488"/>
        <v>0.77100000000001501</v>
      </c>
      <c r="AD119" s="82">
        <f t="shared" si="488"/>
        <v>-0.875</v>
      </c>
      <c r="AE119" s="35">
        <f t="shared" si="488"/>
        <v>-3.0100000000000477</v>
      </c>
      <c r="AF119" s="81">
        <f t="shared" si="488"/>
        <v>-0.20299999999997453</v>
      </c>
      <c r="AG119" s="82">
        <f t="shared" si="488"/>
        <v>0.38999999999998636</v>
      </c>
      <c r="AH119" s="82">
        <f t="shared" si="489"/>
        <v>-0.56200000000001182</v>
      </c>
      <c r="AI119" s="88">
        <f t="shared" si="489"/>
        <v>2.5950000000000273</v>
      </c>
      <c r="AJ119" s="87">
        <f t="shared" si="489"/>
        <v>2.3209999999999695</v>
      </c>
      <c r="AK119" s="82">
        <f t="shared" si="489"/>
        <v>3.0930000000000177</v>
      </c>
      <c r="AL119" s="82">
        <f t="shared" si="489"/>
        <v>1.9390000000000214</v>
      </c>
      <c r="AM119" s="88">
        <f t="shared" si="489"/>
        <v>1.9089999999999918</v>
      </c>
      <c r="AN119" s="87">
        <f t="shared" si="489"/>
        <v>0.80099999999998772</v>
      </c>
      <c r="AO119" s="82">
        <f t="shared" si="489"/>
        <v>0.32999999999998408</v>
      </c>
      <c r="AP119" s="82">
        <f t="shared" si="489"/>
        <v>0.52899999999999636</v>
      </c>
      <c r="AQ119" s="88">
        <f t="shared" si="489"/>
        <v>-2.0079999999999814</v>
      </c>
      <c r="AR119" s="87"/>
      <c r="AS119" s="87"/>
      <c r="AT119" s="82"/>
      <c r="AU119" s="88"/>
      <c r="AV119" s="324"/>
      <c r="AW119" s="87"/>
      <c r="AX119" s="87"/>
      <c r="AY119" s="88"/>
      <c r="AZ119" s="324"/>
      <c r="BA119" s="87"/>
      <c r="BB119" s="87"/>
      <c r="BC119" s="88"/>
      <c r="BD119" s="324"/>
      <c r="BE119" s="87"/>
      <c r="BF119" s="87"/>
      <c r="BG119" s="88"/>
      <c r="BH119" s="324"/>
      <c r="BI119" s="87"/>
      <c r="BJ119" s="87"/>
      <c r="BK119" s="88"/>
      <c r="BL119" s="324"/>
      <c r="BM119" s="87"/>
      <c r="BN119" s="87"/>
      <c r="BO119" s="88"/>
      <c r="BP119" s="253"/>
      <c r="BQ119" s="324"/>
      <c r="BR119" s="87"/>
      <c r="BS119" s="87"/>
      <c r="BT119" s="87"/>
      <c r="BU119" s="87"/>
      <c r="BV119" s="87"/>
      <c r="BW119" s="87"/>
      <c r="BX119" s="87"/>
      <c r="BY119" s="87"/>
      <c r="BZ119" s="87"/>
      <c r="CA119" s="87"/>
      <c r="CB119" s="87"/>
      <c r="CC119" s="87"/>
      <c r="CD119" s="87"/>
      <c r="CE119" s="87"/>
      <c r="CF119" s="88"/>
      <c r="CG119" s="23"/>
      <c r="CH119" s="324"/>
      <c r="CI119" s="87"/>
      <c r="CJ119" s="87"/>
      <c r="CK119" s="87"/>
      <c r="CL119" s="87"/>
      <c r="CM119" s="87"/>
      <c r="CN119" s="87"/>
      <c r="CO119" s="87"/>
      <c r="CP119" s="87"/>
      <c r="CQ119" s="87"/>
      <c r="CR119" s="87"/>
      <c r="CS119" s="87"/>
      <c r="CT119" s="87"/>
      <c r="CU119" s="87"/>
      <c r="CV119" s="88"/>
      <c r="CW119" s="17"/>
    </row>
    <row r="120" spans="1:101" ht="14.25" hidden="1" customHeight="1" outlineLevel="1">
      <c r="A120" s="8"/>
      <c r="B120" s="26"/>
      <c r="C120" s="70"/>
      <c r="D120" s="81"/>
      <c r="E120" s="82"/>
      <c r="F120" s="82"/>
      <c r="G120" s="36"/>
      <c r="H120" s="81"/>
      <c r="I120" s="82"/>
      <c r="J120" s="82"/>
      <c r="K120" s="36"/>
      <c r="L120" s="81"/>
      <c r="M120" s="82"/>
      <c r="N120" s="82"/>
      <c r="O120" s="36"/>
      <c r="P120" s="81"/>
      <c r="Q120" s="82"/>
      <c r="R120" s="82"/>
      <c r="S120" s="36"/>
      <c r="T120" s="81"/>
      <c r="U120" s="82"/>
      <c r="V120" s="82"/>
      <c r="W120" s="36"/>
      <c r="X120" s="81"/>
      <c r="Y120" s="82"/>
      <c r="Z120" s="82"/>
      <c r="AA120" s="36"/>
      <c r="AB120" s="82"/>
      <c r="AC120" s="82"/>
      <c r="AD120" s="82"/>
      <c r="AE120" s="35"/>
      <c r="AF120" s="81"/>
      <c r="AG120" s="82"/>
      <c r="AH120" s="82"/>
      <c r="AI120" s="36"/>
      <c r="AJ120" s="35"/>
      <c r="AK120" s="35"/>
      <c r="AL120" s="82"/>
      <c r="AM120" s="36"/>
      <c r="AN120" s="35"/>
      <c r="AO120" s="35"/>
      <c r="AP120" s="82"/>
      <c r="AQ120" s="36"/>
      <c r="AR120" s="87"/>
      <c r="AS120" s="87"/>
      <c r="AT120" s="82"/>
      <c r="AU120" s="88"/>
      <c r="AV120" s="324"/>
      <c r="AW120" s="87"/>
      <c r="AX120" s="87"/>
      <c r="AY120" s="88"/>
      <c r="AZ120" s="324"/>
      <c r="BA120" s="87"/>
      <c r="BB120" s="35"/>
      <c r="BC120" s="36"/>
      <c r="BD120" s="37"/>
      <c r="BE120" s="35"/>
      <c r="BF120" s="35"/>
      <c r="BG120" s="36"/>
      <c r="BH120" s="37"/>
      <c r="BI120" s="35"/>
      <c r="BJ120" s="35"/>
      <c r="BK120" s="36"/>
      <c r="BL120" s="37"/>
      <c r="BM120" s="35"/>
      <c r="BN120" s="35"/>
      <c r="BO120" s="36"/>
      <c r="BP120" s="253"/>
      <c r="BQ120" s="37"/>
      <c r="BR120" s="35"/>
      <c r="BS120" s="35"/>
      <c r="BT120" s="35"/>
      <c r="BU120" s="35"/>
      <c r="BV120" s="35"/>
      <c r="BW120" s="35"/>
      <c r="BX120" s="35"/>
      <c r="BY120" s="35"/>
      <c r="BZ120" s="35"/>
      <c r="CA120" s="35"/>
      <c r="CB120" s="35"/>
      <c r="CC120" s="35"/>
      <c r="CD120" s="35"/>
      <c r="CE120" s="35"/>
      <c r="CF120" s="36"/>
      <c r="CG120" s="23"/>
      <c r="CH120" s="37"/>
      <c r="CI120" s="35"/>
      <c r="CJ120" s="35"/>
      <c r="CK120" s="35"/>
      <c r="CL120" s="35"/>
      <c r="CM120" s="35"/>
      <c r="CN120" s="35"/>
      <c r="CO120" s="35"/>
      <c r="CP120" s="35"/>
      <c r="CQ120" s="35"/>
      <c r="CR120" s="35"/>
      <c r="CS120" s="35"/>
      <c r="CT120" s="35"/>
      <c r="CU120" s="35"/>
      <c r="CV120" s="36"/>
      <c r="CW120" s="17"/>
    </row>
    <row r="121" spans="1:101" ht="14.25" hidden="1" customHeight="1" outlineLevel="1">
      <c r="A121" s="8"/>
      <c r="B121" s="26" t="s">
        <v>473</v>
      </c>
      <c r="C121" s="70"/>
      <c r="D121" s="81"/>
      <c r="E121" s="82"/>
      <c r="F121" s="82"/>
      <c r="G121" s="36"/>
      <c r="H121" s="81"/>
      <c r="I121" s="82"/>
      <c r="J121" s="82"/>
      <c r="K121" s="36"/>
      <c r="L121" s="81"/>
      <c r="M121" s="82"/>
      <c r="N121" s="82"/>
      <c r="O121" s="36"/>
      <c r="P121" s="81"/>
      <c r="Q121" s="82"/>
      <c r="R121" s="82"/>
      <c r="S121" s="36"/>
      <c r="T121" s="81"/>
      <c r="U121" s="82"/>
      <c r="V121" s="82"/>
      <c r="W121" s="36"/>
      <c r="X121" s="81"/>
      <c r="Y121" s="82"/>
      <c r="Z121" s="82"/>
      <c r="AA121" s="36"/>
      <c r="AB121" s="82"/>
      <c r="AC121" s="82"/>
      <c r="AD121" s="82"/>
      <c r="AE121" s="35"/>
      <c r="AF121" s="81"/>
      <c r="AG121" s="82"/>
      <c r="AH121" s="82"/>
      <c r="AI121" s="36"/>
      <c r="AJ121" s="35"/>
      <c r="AK121" s="35"/>
      <c r="AL121" s="82"/>
      <c r="AM121" s="36"/>
      <c r="AN121" s="35"/>
      <c r="AO121" s="35"/>
      <c r="AP121" s="82"/>
      <c r="AQ121" s="36"/>
      <c r="AR121" s="87"/>
      <c r="AS121" s="87"/>
      <c r="AT121" s="82"/>
      <c r="AU121" s="88"/>
      <c r="AV121" s="324"/>
      <c r="AW121" s="87"/>
      <c r="AX121" s="87"/>
      <c r="AY121" s="88"/>
      <c r="AZ121" s="324"/>
      <c r="BA121" s="87"/>
      <c r="BB121" s="35"/>
      <c r="BC121" s="36"/>
      <c r="BD121" s="37"/>
      <c r="BE121" s="35"/>
      <c r="BF121" s="35"/>
      <c r="BG121" s="36"/>
      <c r="BH121" s="37"/>
      <c r="BI121" s="35"/>
      <c r="BJ121" s="35"/>
      <c r="BK121" s="36"/>
      <c r="BL121" s="37"/>
      <c r="BM121" s="35"/>
      <c r="BN121" s="35"/>
      <c r="BO121" s="36"/>
      <c r="BP121" s="253"/>
      <c r="BQ121" s="37"/>
      <c r="BR121" s="35"/>
      <c r="BS121" s="35"/>
      <c r="BT121" s="35"/>
      <c r="BU121" s="35"/>
      <c r="BV121" s="35"/>
      <c r="BW121" s="35"/>
      <c r="BX121" s="35"/>
      <c r="BY121" s="35"/>
      <c r="BZ121" s="35"/>
      <c r="CA121" s="35"/>
      <c r="CB121" s="35"/>
      <c r="CC121" s="35"/>
      <c r="CD121" s="35"/>
      <c r="CE121" s="35"/>
      <c r="CF121" s="36"/>
      <c r="CG121" s="23"/>
      <c r="CH121" s="37"/>
      <c r="CI121" s="35"/>
      <c r="CJ121" s="35"/>
      <c r="CK121" s="35"/>
      <c r="CL121" s="35"/>
      <c r="CM121" s="35"/>
      <c r="CN121" s="35"/>
      <c r="CO121" s="35"/>
      <c r="CP121" s="35"/>
      <c r="CQ121" s="35"/>
      <c r="CR121" s="35"/>
      <c r="CS121" s="35"/>
      <c r="CT121" s="35"/>
      <c r="CU121" s="35"/>
      <c r="CV121" s="36"/>
      <c r="CW121" s="17"/>
    </row>
    <row r="122" spans="1:101" ht="14.25" hidden="1" customHeight="1" outlineLevel="1">
      <c r="A122" s="8"/>
      <c r="B122" s="26"/>
      <c r="C122" s="70"/>
      <c r="D122" s="81"/>
      <c r="E122" s="82"/>
      <c r="F122" s="82"/>
      <c r="G122" s="36"/>
      <c r="H122" s="81"/>
      <c r="I122" s="82"/>
      <c r="J122" s="82"/>
      <c r="K122" s="36"/>
      <c r="L122" s="81"/>
      <c r="M122" s="82"/>
      <c r="N122" s="82"/>
      <c r="O122" s="36"/>
      <c r="P122" s="81"/>
      <c r="Q122" s="82"/>
      <c r="R122" s="82"/>
      <c r="S122" s="36"/>
      <c r="T122" s="81"/>
      <c r="U122" s="82"/>
      <c r="V122" s="82"/>
      <c r="W122" s="36"/>
      <c r="X122" s="81"/>
      <c r="Y122" s="82"/>
      <c r="Z122" s="82"/>
      <c r="AA122" s="36"/>
      <c r="AB122" s="82"/>
      <c r="AC122" s="82"/>
      <c r="AD122" s="82"/>
      <c r="AE122" s="35"/>
      <c r="AF122" s="81"/>
      <c r="AG122" s="82"/>
      <c r="AH122" s="82"/>
      <c r="AI122" s="36"/>
      <c r="AJ122" s="35"/>
      <c r="AK122" s="35"/>
      <c r="AL122" s="82"/>
      <c r="AM122" s="36"/>
      <c r="AN122" s="35"/>
      <c r="AO122" s="35"/>
      <c r="AP122" s="82"/>
      <c r="AQ122" s="36"/>
      <c r="AR122" s="87"/>
      <c r="AS122" s="87"/>
      <c r="AT122" s="82"/>
      <c r="AU122" s="88"/>
      <c r="AV122" s="324"/>
      <c r="AW122" s="87"/>
      <c r="AX122" s="87"/>
      <c r="AY122" s="88"/>
      <c r="AZ122" s="324"/>
      <c r="BA122" s="87"/>
      <c r="BB122" s="35"/>
      <c r="BC122" s="36"/>
      <c r="BD122" s="37"/>
      <c r="BE122" s="35"/>
      <c r="BF122" s="35"/>
      <c r="BG122" s="36"/>
      <c r="BH122" s="37"/>
      <c r="BI122" s="35"/>
      <c r="BJ122" s="35"/>
      <c r="BK122" s="36"/>
      <c r="BL122" s="37"/>
      <c r="BM122" s="35"/>
      <c r="BN122" s="35"/>
      <c r="BO122" s="36"/>
      <c r="BP122" s="253"/>
      <c r="BQ122" s="37"/>
      <c r="BR122" s="35"/>
      <c r="BS122" s="35"/>
      <c r="BT122" s="35"/>
      <c r="BU122" s="35"/>
      <c r="BV122" s="35"/>
      <c r="BW122" s="35"/>
      <c r="BX122" s="35"/>
      <c r="BY122" s="35"/>
      <c r="BZ122" s="35"/>
      <c r="CA122" s="35"/>
      <c r="CB122" s="35"/>
      <c r="CC122" s="35"/>
      <c r="CD122" s="35"/>
      <c r="CE122" s="35"/>
      <c r="CF122" s="36"/>
      <c r="CG122" s="23"/>
      <c r="CH122" s="37"/>
      <c r="CI122" s="35"/>
      <c r="CJ122" s="35"/>
      <c r="CK122" s="35"/>
      <c r="CL122" s="35"/>
      <c r="CM122" s="35"/>
      <c r="CN122" s="35"/>
      <c r="CO122" s="35"/>
      <c r="CP122" s="35"/>
      <c r="CQ122" s="35"/>
      <c r="CR122" s="35"/>
      <c r="CS122" s="35"/>
      <c r="CT122" s="35"/>
      <c r="CU122" s="35"/>
      <c r="CV122" s="36"/>
      <c r="CW122" s="17"/>
    </row>
    <row r="123" spans="1:101" ht="14.25" hidden="1" customHeight="1" outlineLevel="1">
      <c r="A123" s="8"/>
      <c r="B123" s="26" t="s">
        <v>474</v>
      </c>
      <c r="C123" s="70"/>
      <c r="D123" s="81"/>
      <c r="E123" s="82"/>
      <c r="F123" s="82"/>
      <c r="G123" s="36"/>
      <c r="H123" s="81"/>
      <c r="I123" s="82"/>
      <c r="J123" s="82"/>
      <c r="K123" s="36"/>
      <c r="L123" s="81"/>
      <c r="M123" s="82"/>
      <c r="N123" s="82"/>
      <c r="O123" s="36"/>
      <c r="P123" s="81"/>
      <c r="Q123" s="82"/>
      <c r="R123" s="82"/>
      <c r="S123" s="36"/>
      <c r="T123" s="81"/>
      <c r="U123" s="82"/>
      <c r="V123" s="82"/>
      <c r="W123" s="36"/>
      <c r="X123" s="81"/>
      <c r="Y123" s="82"/>
      <c r="Z123" s="82"/>
      <c r="AA123" s="36"/>
      <c r="AB123" s="82"/>
      <c r="AC123" s="82"/>
      <c r="AD123" s="82"/>
      <c r="AE123" s="35"/>
      <c r="AF123" s="81"/>
      <c r="AG123" s="82"/>
      <c r="AH123" s="82"/>
      <c r="AI123" s="36"/>
      <c r="AJ123" s="35"/>
      <c r="AK123" s="35"/>
      <c r="AL123" s="82"/>
      <c r="AM123" s="36"/>
      <c r="AN123" s="35"/>
      <c r="AO123" s="35"/>
      <c r="AP123" s="82"/>
      <c r="AQ123" s="36"/>
      <c r="AR123" s="87"/>
      <c r="AS123" s="87"/>
      <c r="AT123" s="82"/>
      <c r="AU123" s="88"/>
      <c r="AV123" s="324"/>
      <c r="AW123" s="87"/>
      <c r="AX123" s="87"/>
      <c r="AY123" s="88"/>
      <c r="AZ123" s="324"/>
      <c r="BA123" s="87"/>
      <c r="BB123" s="35"/>
      <c r="BC123" s="36"/>
      <c r="BD123" s="37"/>
      <c r="BE123" s="35"/>
      <c r="BF123" s="35"/>
      <c r="BG123" s="36"/>
      <c r="BH123" s="37"/>
      <c r="BI123" s="35"/>
      <c r="BJ123" s="35"/>
      <c r="BK123" s="36"/>
      <c r="BL123" s="37"/>
      <c r="BM123" s="35"/>
      <c r="BN123" s="35"/>
      <c r="BO123" s="36"/>
      <c r="BP123" s="253"/>
      <c r="BQ123" s="37"/>
      <c r="BR123" s="35"/>
      <c r="BS123" s="35"/>
      <c r="BT123" s="35"/>
      <c r="BU123" s="35"/>
      <c r="BV123" s="35"/>
      <c r="BW123" s="35"/>
      <c r="BX123" s="35"/>
      <c r="BY123" s="35"/>
      <c r="BZ123" s="35"/>
      <c r="CA123" s="35"/>
      <c r="CB123" s="35"/>
      <c r="CC123" s="35"/>
      <c r="CD123" s="35"/>
      <c r="CE123" s="35"/>
      <c r="CF123" s="36"/>
      <c r="CG123" s="23"/>
      <c r="CH123" s="37"/>
      <c r="CI123" s="35"/>
      <c r="CJ123" s="35"/>
      <c r="CK123" s="35"/>
      <c r="CL123" s="35"/>
      <c r="CM123" s="35"/>
      <c r="CN123" s="35"/>
      <c r="CO123" s="35"/>
      <c r="CP123" s="35"/>
      <c r="CQ123" s="35"/>
      <c r="CR123" s="35"/>
      <c r="CS123" s="35"/>
      <c r="CT123" s="35"/>
      <c r="CU123" s="35"/>
      <c r="CV123" s="36"/>
      <c r="CW123" s="17"/>
    </row>
    <row r="124" spans="1:101" ht="14.25" hidden="1" customHeight="1" outlineLevel="1">
      <c r="A124" s="8"/>
      <c r="B124" s="26" t="s">
        <v>455</v>
      </c>
      <c r="C124" s="70"/>
      <c r="D124" s="81">
        <f>+CFS!D48</f>
        <v>-161.20400000000001</v>
      </c>
      <c r="E124" s="82">
        <f>+CFS!E48</f>
        <v>-123.49299999999999</v>
      </c>
      <c r="F124" s="82">
        <f>+CFS!F48</f>
        <v>0</v>
      </c>
      <c r="G124" s="36">
        <f>+CFS!G48</f>
        <v>-240.79600000000005</v>
      </c>
      <c r="H124" s="81">
        <f>+CFS!H48</f>
        <v>-125.098</v>
      </c>
      <c r="I124" s="82">
        <f>+CFS!I48</f>
        <v>-237.709</v>
      </c>
      <c r="J124" s="82">
        <f>+CFS!J48</f>
        <v>-305.16300000000001</v>
      </c>
      <c r="K124" s="36">
        <f>+CFS!K48</f>
        <v>-357.01199999999994</v>
      </c>
      <c r="L124" s="81">
        <f>+CFS!L48</f>
        <v>-333.22300000000001</v>
      </c>
      <c r="M124" s="82">
        <f>+CFS!M48</f>
        <v>-364.59</v>
      </c>
      <c r="N124" s="82">
        <f>+CFS!N48</f>
        <v>-631.70800000000008</v>
      </c>
      <c r="O124" s="36">
        <f>+CFS!O48</f>
        <v>-317.69099999999997</v>
      </c>
      <c r="P124" s="81">
        <f>+CFS!P48</f>
        <v>-359.37599999999998</v>
      </c>
      <c r="Q124" s="82">
        <f>+CFS!Q48</f>
        <v>-165.42600000000004</v>
      </c>
      <c r="R124" s="82">
        <f>+CFS!R48</f>
        <v>-27.577999999999975</v>
      </c>
      <c r="S124" s="36">
        <f>+CFS!S48</f>
        <v>-17.472999999999956</v>
      </c>
      <c r="T124" s="81">
        <f>+CFS!T48</f>
        <v>-0.48899999999999999</v>
      </c>
      <c r="U124" s="82">
        <f>+CFS!U48</f>
        <v>-3.0910000000000002</v>
      </c>
      <c r="V124" s="82">
        <f>+CFS!V48</f>
        <v>-0.18199999999999983</v>
      </c>
      <c r="W124" s="36">
        <f>+CFS!W48</f>
        <v>0</v>
      </c>
      <c r="X124" s="81">
        <f>+CFS!X48</f>
        <v>0</v>
      </c>
      <c r="Y124" s="82">
        <f>+CFS!Y48</f>
        <v>0</v>
      </c>
      <c r="Z124" s="82">
        <f>+CFS!Z48</f>
        <v>-4.0469999999999997</v>
      </c>
      <c r="AA124" s="36">
        <f>+CFS!AA48</f>
        <v>-35.801000000000002</v>
      </c>
      <c r="AB124" s="82">
        <f>+CFS!AB48</f>
        <v>-113.605</v>
      </c>
      <c r="AC124" s="82">
        <f>+CFS!AC48</f>
        <v>-67.552000000000007</v>
      </c>
      <c r="AD124" s="82">
        <f>+CFS!AD48</f>
        <v>-66.282999999999973</v>
      </c>
      <c r="AE124" s="35">
        <f>+CFS!AE48</f>
        <v>-82.815999999999988</v>
      </c>
      <c r="AF124" s="81">
        <f>+CFS!AF48</f>
        <v>-78.38</v>
      </c>
      <c r="AG124" s="82">
        <f>+CFS!AG48</f>
        <v>-44.01700000000001</v>
      </c>
      <c r="AH124" s="82">
        <f>+CFS!AH48</f>
        <v>-17.344000000000008</v>
      </c>
      <c r="AI124" s="36">
        <f>+CFS!AI48</f>
        <v>-20.795000000000002</v>
      </c>
      <c r="AJ124" s="35">
        <f>+CFS!AJ48</f>
        <v>-17.001000000000001</v>
      </c>
      <c r="AK124" s="35">
        <f>+CFS!AK48</f>
        <v>-4.5190000000000019</v>
      </c>
      <c r="AL124" s="82">
        <f>+CFS!AL48</f>
        <v>3.8000000000000043</v>
      </c>
      <c r="AM124" s="36">
        <f>+CFS!AM48</f>
        <v>-42.808999999999997</v>
      </c>
      <c r="AN124" s="35">
        <f>+CFS!AN48</f>
        <v>-88.962999999999994</v>
      </c>
      <c r="AO124" s="35">
        <f>+CFS!AO48</f>
        <v>-22.614000000000004</v>
      </c>
      <c r="AP124" s="82">
        <f>+CFS!AP48</f>
        <v>-57.394000000000005</v>
      </c>
      <c r="AQ124" s="36">
        <f>+CFS!AQ48</f>
        <v>-187.37499999999997</v>
      </c>
      <c r="AR124" s="87"/>
      <c r="AS124" s="87"/>
      <c r="AT124" s="82"/>
      <c r="AU124" s="88"/>
      <c r="AV124" s="324"/>
      <c r="AW124" s="87"/>
      <c r="AX124" s="87"/>
      <c r="AY124" s="88"/>
      <c r="AZ124" s="324"/>
      <c r="BA124" s="87"/>
      <c r="BB124" s="35"/>
      <c r="BC124" s="36"/>
      <c r="BD124" s="37"/>
      <c r="BE124" s="35"/>
      <c r="BF124" s="35"/>
      <c r="BG124" s="36"/>
      <c r="BH124" s="37"/>
      <c r="BI124" s="35"/>
      <c r="BJ124" s="35"/>
      <c r="BK124" s="36"/>
      <c r="BL124" s="37"/>
      <c r="BM124" s="35"/>
      <c r="BN124" s="35"/>
      <c r="BO124" s="36"/>
      <c r="BP124" s="253"/>
      <c r="BQ124" s="37">
        <f>SUM(D124:G124)</f>
        <v>-525.49300000000005</v>
      </c>
      <c r="BR124" s="35">
        <f>SUM(H124:K124)</f>
        <v>-1024.982</v>
      </c>
      <c r="BS124" s="35">
        <f>SUM(L124:O124)</f>
        <v>-1647.2120000000002</v>
      </c>
      <c r="BT124" s="35">
        <f>SUM(P124:S124)</f>
        <v>-569.85299999999995</v>
      </c>
      <c r="BU124" s="35">
        <f>SUM(T124:W124)</f>
        <v>-3.762</v>
      </c>
      <c r="BV124" s="35">
        <f>SUM(X124:AA124)</f>
        <v>-39.847999999999999</v>
      </c>
      <c r="BW124" s="35">
        <f>SUM(AB124:AE124)</f>
        <v>-330.25599999999997</v>
      </c>
      <c r="BX124" s="35">
        <f>SUM(AF124:AI124)</f>
        <v>-160.536</v>
      </c>
      <c r="BY124" s="35">
        <f>SUM(AJ124:AM124)</f>
        <v>-60.528999999999996</v>
      </c>
      <c r="BZ124" s="35">
        <f>SUM(AN124:AQ124)</f>
        <v>-356.346</v>
      </c>
      <c r="CA124" s="35">
        <f>SUM(AR124:AU124)</f>
        <v>0</v>
      </c>
      <c r="CB124" s="35">
        <f>SUM(AV124:AY124)</f>
        <v>0</v>
      </c>
      <c r="CC124" s="35">
        <f>SUM(AZ124:BC124)</f>
        <v>0</v>
      </c>
      <c r="CD124" s="35"/>
      <c r="CE124" s="35"/>
      <c r="CF124" s="36"/>
      <c r="CG124" s="23"/>
      <c r="CH124" s="37"/>
      <c r="CI124" s="35"/>
      <c r="CJ124" s="35"/>
      <c r="CK124" s="35"/>
      <c r="CL124" s="35"/>
      <c r="CM124" s="35"/>
      <c r="CN124" s="35"/>
      <c r="CO124" s="35"/>
      <c r="CP124" s="35"/>
      <c r="CQ124" s="35"/>
      <c r="CR124" s="35"/>
      <c r="CS124" s="35"/>
      <c r="CT124" s="35"/>
      <c r="CU124" s="35"/>
      <c r="CV124" s="36"/>
      <c r="CW124" s="17"/>
    </row>
    <row r="125" spans="1:101" ht="14.25" hidden="1" customHeight="1" outlineLevel="1">
      <c r="A125" s="8"/>
      <c r="B125" s="26" t="s">
        <v>456</v>
      </c>
      <c r="C125" s="70"/>
      <c r="D125" s="81"/>
      <c r="E125" s="82"/>
      <c r="F125" s="82"/>
      <c r="G125" s="36"/>
      <c r="H125" s="81"/>
      <c r="I125" s="82"/>
      <c r="J125" s="82"/>
      <c r="K125" s="36"/>
      <c r="L125" s="81"/>
      <c r="M125" s="82"/>
      <c r="N125" s="82"/>
      <c r="O125" s="36"/>
      <c r="P125" s="81"/>
      <c r="Q125" s="82"/>
      <c r="R125" s="82"/>
      <c r="S125" s="36"/>
      <c r="T125" s="81"/>
      <c r="U125" s="82"/>
      <c r="V125" s="82"/>
      <c r="W125" s="36"/>
      <c r="X125" s="81"/>
      <c r="Y125" s="82"/>
      <c r="Z125" s="82"/>
      <c r="AA125" s="36"/>
      <c r="AB125" s="82"/>
      <c r="AC125" s="82"/>
      <c r="AD125" s="82"/>
      <c r="AE125" s="35"/>
      <c r="AF125" s="81"/>
      <c r="AG125" s="82"/>
      <c r="AH125" s="82"/>
      <c r="AI125" s="36"/>
      <c r="AJ125" s="35"/>
      <c r="AK125" s="35"/>
      <c r="AL125" s="82"/>
      <c r="AM125" s="36"/>
      <c r="AN125" s="37"/>
      <c r="AO125" s="35"/>
      <c r="AP125" s="82"/>
      <c r="AQ125" s="36"/>
      <c r="AR125" s="87"/>
      <c r="AS125" s="87"/>
      <c r="AT125" s="82"/>
      <c r="AU125" s="88"/>
      <c r="AV125" s="324"/>
      <c r="AW125" s="87"/>
      <c r="AX125" s="87"/>
      <c r="AY125" s="88"/>
      <c r="AZ125" s="324"/>
      <c r="BA125" s="87"/>
      <c r="BB125" s="35"/>
      <c r="BC125" s="36"/>
      <c r="BD125" s="37"/>
      <c r="BE125" s="35"/>
      <c r="BF125" s="35"/>
      <c r="BG125" s="36"/>
      <c r="BH125" s="37"/>
      <c r="BI125" s="35"/>
      <c r="BJ125" s="35"/>
      <c r="BK125" s="36"/>
      <c r="BL125" s="37"/>
      <c r="BM125" s="35"/>
      <c r="BN125" s="35"/>
      <c r="BO125" s="36"/>
      <c r="BP125" s="253"/>
      <c r="BQ125" s="37"/>
      <c r="BR125" s="35"/>
      <c r="BS125" s="35"/>
      <c r="BT125" s="35"/>
      <c r="BU125" s="35"/>
      <c r="BV125" s="35"/>
      <c r="BW125" s="35"/>
      <c r="BX125" s="35"/>
      <c r="BY125" s="35"/>
      <c r="BZ125" s="35"/>
      <c r="CA125" s="35"/>
      <c r="CB125" s="35"/>
      <c r="CC125" s="35"/>
      <c r="CD125" s="35"/>
      <c r="CE125" s="35"/>
      <c r="CF125" s="36"/>
      <c r="CG125" s="23"/>
      <c r="CH125" s="37"/>
      <c r="CI125" s="35"/>
      <c r="CJ125" s="35"/>
      <c r="CK125" s="35"/>
      <c r="CL125" s="35"/>
      <c r="CM125" s="35"/>
      <c r="CN125" s="35"/>
      <c r="CO125" s="35"/>
      <c r="CP125" s="35"/>
      <c r="CQ125" s="35"/>
      <c r="CR125" s="35"/>
      <c r="CS125" s="35"/>
      <c r="CT125" s="35"/>
      <c r="CU125" s="35"/>
      <c r="CV125" s="36"/>
      <c r="CW125" s="17"/>
    </row>
    <row r="126" spans="1:101" ht="14.25" hidden="1" customHeight="1" outlineLevel="1">
      <c r="A126" s="8"/>
      <c r="B126" s="26" t="s">
        <v>457</v>
      </c>
      <c r="C126" s="70"/>
      <c r="D126" s="81"/>
      <c r="E126" s="82"/>
      <c r="F126" s="82"/>
      <c r="G126" s="36"/>
      <c r="H126" s="81"/>
      <c r="I126" s="82"/>
      <c r="J126" s="82"/>
      <c r="K126" s="36"/>
      <c r="L126" s="81"/>
      <c r="M126" s="82"/>
      <c r="N126" s="82"/>
      <c r="O126" s="36"/>
      <c r="P126" s="81"/>
      <c r="Q126" s="82"/>
      <c r="R126" s="82"/>
      <c r="S126" s="36"/>
      <c r="T126" s="81"/>
      <c r="U126" s="82"/>
      <c r="V126" s="82"/>
      <c r="W126" s="36"/>
      <c r="X126" s="81"/>
      <c r="Y126" s="82"/>
      <c r="Z126" s="82"/>
      <c r="AA126" s="36"/>
      <c r="AB126" s="82"/>
      <c r="AC126" s="82"/>
      <c r="AD126" s="82"/>
      <c r="AE126" s="35"/>
      <c r="AF126" s="81"/>
      <c r="AG126" s="82"/>
      <c r="AH126" s="82"/>
      <c r="AI126" s="36"/>
      <c r="AJ126" s="35"/>
      <c r="AK126" s="35"/>
      <c r="AL126" s="82"/>
      <c r="AM126" s="36"/>
      <c r="AN126" s="37"/>
      <c r="AO126" s="35"/>
      <c r="AP126" s="82"/>
      <c r="AQ126" s="36"/>
      <c r="AR126" s="87"/>
      <c r="AS126" s="87"/>
      <c r="AT126" s="82"/>
      <c r="AU126" s="88"/>
      <c r="AV126" s="324"/>
      <c r="AW126" s="87"/>
      <c r="AX126" s="87"/>
      <c r="AY126" s="88"/>
      <c r="AZ126" s="324"/>
      <c r="BA126" s="87"/>
      <c r="BB126" s="35"/>
      <c r="BC126" s="36"/>
      <c r="BD126" s="37"/>
      <c r="BE126" s="35"/>
      <c r="BF126" s="35"/>
      <c r="BG126" s="36"/>
      <c r="BH126" s="37"/>
      <c r="BI126" s="35"/>
      <c r="BJ126" s="35"/>
      <c r="BK126" s="36"/>
      <c r="BL126" s="37"/>
      <c r="BM126" s="35"/>
      <c r="BN126" s="35"/>
      <c r="BO126" s="36"/>
      <c r="BP126" s="253"/>
      <c r="BQ126" s="37"/>
      <c r="BR126" s="35"/>
      <c r="BS126" s="35"/>
      <c r="BT126" s="35"/>
      <c r="BU126" s="35"/>
      <c r="BV126" s="35"/>
      <c r="BW126" s="35"/>
      <c r="BX126" s="35"/>
      <c r="BY126" s="35"/>
      <c r="BZ126" s="35"/>
      <c r="CA126" s="35"/>
      <c r="CB126" s="35"/>
      <c r="CC126" s="35"/>
      <c r="CD126" s="35"/>
      <c r="CE126" s="35"/>
      <c r="CF126" s="36"/>
      <c r="CG126" s="23"/>
      <c r="CH126" s="37"/>
      <c r="CI126" s="35"/>
      <c r="CJ126" s="35"/>
      <c r="CK126" s="35"/>
      <c r="CL126" s="35"/>
      <c r="CM126" s="35"/>
      <c r="CN126" s="35"/>
      <c r="CO126" s="35"/>
      <c r="CP126" s="35"/>
      <c r="CQ126" s="35"/>
      <c r="CR126" s="35"/>
      <c r="CS126" s="35"/>
      <c r="CT126" s="35"/>
      <c r="CU126" s="35"/>
      <c r="CV126" s="36"/>
      <c r="CW126" s="17"/>
    </row>
    <row r="127" spans="1:101" ht="14.25" hidden="1" customHeight="1" outlineLevel="1">
      <c r="A127" s="8"/>
      <c r="B127" s="26" t="s">
        <v>475</v>
      </c>
      <c r="C127" s="70"/>
      <c r="D127" s="81"/>
      <c r="E127" s="82"/>
      <c r="F127" s="82"/>
      <c r="G127" s="36"/>
      <c r="H127" s="81"/>
      <c r="I127" s="82"/>
      <c r="J127" s="82"/>
      <c r="K127" s="36"/>
      <c r="L127" s="81"/>
      <c r="M127" s="82"/>
      <c r="N127" s="82"/>
      <c r="O127" s="36"/>
      <c r="P127" s="81"/>
      <c r="Q127" s="82"/>
      <c r="R127" s="82"/>
      <c r="S127" s="36"/>
      <c r="T127" s="81"/>
      <c r="U127" s="82"/>
      <c r="V127" s="82"/>
      <c r="W127" s="36"/>
      <c r="X127" s="81"/>
      <c r="Y127" s="82"/>
      <c r="Z127" s="82"/>
      <c r="AA127" s="36"/>
      <c r="AB127" s="82"/>
      <c r="AC127" s="82"/>
      <c r="AD127" s="82"/>
      <c r="AE127" s="35"/>
      <c r="AF127" s="81"/>
      <c r="AG127" s="82"/>
      <c r="AH127" s="82"/>
      <c r="AI127" s="36"/>
      <c r="AJ127" s="35"/>
      <c r="AK127" s="35"/>
      <c r="AL127" s="82"/>
      <c r="AM127" s="36"/>
      <c r="AN127" s="37"/>
      <c r="AO127" s="35"/>
      <c r="AP127" s="82"/>
      <c r="AQ127" s="36"/>
      <c r="AR127" s="87"/>
      <c r="AS127" s="87"/>
      <c r="AT127" s="82"/>
      <c r="AU127" s="88"/>
      <c r="AV127" s="324"/>
      <c r="AW127" s="87"/>
      <c r="AX127" s="87"/>
      <c r="AY127" s="88"/>
      <c r="AZ127" s="324"/>
      <c r="BA127" s="87"/>
      <c r="BB127" s="35"/>
      <c r="BC127" s="36"/>
      <c r="BD127" s="37"/>
      <c r="BE127" s="35"/>
      <c r="BF127" s="35"/>
      <c r="BG127" s="36"/>
      <c r="BH127" s="37"/>
      <c r="BI127" s="35"/>
      <c r="BJ127" s="35"/>
      <c r="BK127" s="36"/>
      <c r="BL127" s="37"/>
      <c r="BM127" s="35"/>
      <c r="BN127" s="35"/>
      <c r="BO127" s="36"/>
      <c r="BP127" s="253"/>
      <c r="BQ127" s="37"/>
      <c r="BR127" s="35"/>
      <c r="BS127" s="35"/>
      <c r="BT127" s="35"/>
      <c r="BU127" s="35"/>
      <c r="BV127" s="35"/>
      <c r="BW127" s="35"/>
      <c r="BX127" s="35"/>
      <c r="BY127" s="35"/>
      <c r="BZ127" s="35"/>
      <c r="CA127" s="35"/>
      <c r="CB127" s="35"/>
      <c r="CC127" s="35"/>
      <c r="CD127" s="35"/>
      <c r="CE127" s="35"/>
      <c r="CF127" s="36"/>
      <c r="CG127" s="23"/>
      <c r="CH127" s="37"/>
      <c r="CI127" s="35"/>
      <c r="CJ127" s="35"/>
      <c r="CK127" s="35"/>
      <c r="CL127" s="35"/>
      <c r="CM127" s="35"/>
      <c r="CN127" s="35"/>
      <c r="CO127" s="35"/>
      <c r="CP127" s="35"/>
      <c r="CQ127" s="35"/>
      <c r="CR127" s="35"/>
      <c r="CS127" s="35"/>
      <c r="CT127" s="35"/>
      <c r="CU127" s="35"/>
      <c r="CV127" s="36"/>
      <c r="CW127" s="17"/>
    </row>
    <row r="128" spans="1:101" ht="14.25" hidden="1" customHeight="1" outlineLevel="1">
      <c r="A128" s="8"/>
      <c r="B128" s="26"/>
      <c r="C128" s="70"/>
      <c r="D128" s="58"/>
      <c r="E128" s="48"/>
      <c r="F128" s="48"/>
      <c r="G128" s="49"/>
      <c r="H128" s="58"/>
      <c r="I128" s="48"/>
      <c r="J128" s="48"/>
      <c r="K128" s="49"/>
      <c r="L128" s="58"/>
      <c r="M128" s="48"/>
      <c r="N128" s="48"/>
      <c r="O128" s="49"/>
      <c r="P128" s="58"/>
      <c r="Q128" s="48"/>
      <c r="R128" s="48"/>
      <c r="S128" s="49"/>
      <c r="T128" s="58"/>
      <c r="U128" s="48"/>
      <c r="V128" s="48"/>
      <c r="W128" s="49"/>
      <c r="X128" s="58"/>
      <c r="Y128" s="48"/>
      <c r="Z128" s="48"/>
      <c r="AA128" s="49"/>
      <c r="AB128" s="48"/>
      <c r="AC128" s="48"/>
      <c r="AD128" s="48"/>
      <c r="AE128" s="48"/>
      <c r="AF128" s="58"/>
      <c r="AG128" s="48"/>
      <c r="AH128" s="48"/>
      <c r="AI128" s="49"/>
      <c r="AJ128" s="48"/>
      <c r="AK128" s="48"/>
      <c r="AL128" s="48"/>
      <c r="AM128" s="49"/>
      <c r="AN128" s="58"/>
      <c r="AO128" s="48"/>
      <c r="AP128" s="48"/>
      <c r="AQ128" s="49"/>
      <c r="AR128" s="87"/>
      <c r="AS128" s="87"/>
      <c r="AT128" s="82"/>
      <c r="AU128" s="88"/>
      <c r="AV128" s="324"/>
      <c r="AW128" s="87"/>
      <c r="AX128" s="87"/>
      <c r="AY128" s="88"/>
      <c r="AZ128" s="324"/>
      <c r="BA128" s="87"/>
      <c r="BB128" s="48"/>
      <c r="BC128" s="49"/>
      <c r="BD128" s="58"/>
      <c r="BE128" s="48"/>
      <c r="BF128" s="48"/>
      <c r="BG128" s="49"/>
      <c r="BH128" s="58"/>
      <c r="BI128" s="48"/>
      <c r="BJ128" s="48"/>
      <c r="BK128" s="49"/>
      <c r="BL128" s="58"/>
      <c r="BM128" s="48"/>
      <c r="BN128" s="48"/>
      <c r="BO128" s="49"/>
      <c r="BP128" s="253"/>
      <c r="BQ128" s="58"/>
      <c r="BR128" s="48"/>
      <c r="BS128" s="48"/>
      <c r="BT128" s="48"/>
      <c r="BU128" s="48"/>
      <c r="BV128" s="48"/>
      <c r="BW128" s="48"/>
      <c r="BX128" s="48"/>
      <c r="BY128" s="48"/>
      <c r="BZ128" s="48"/>
      <c r="CA128" s="48"/>
      <c r="CB128" s="48"/>
      <c r="CC128" s="48"/>
      <c r="CD128" s="48"/>
      <c r="CE128" s="48"/>
      <c r="CF128" s="49"/>
      <c r="CG128" s="23"/>
      <c r="CH128" s="101"/>
      <c r="CI128" s="102"/>
      <c r="CJ128" s="102"/>
      <c r="CK128" s="102"/>
      <c r="CL128" s="102"/>
      <c r="CM128" s="102"/>
      <c r="CN128" s="102"/>
      <c r="CO128" s="102"/>
      <c r="CP128" s="102"/>
      <c r="CQ128" s="102"/>
      <c r="CR128" s="102"/>
      <c r="CS128" s="102"/>
      <c r="CT128" s="102"/>
      <c r="CU128" s="102"/>
      <c r="CV128" s="103"/>
      <c r="CW128" s="17"/>
    </row>
    <row r="129" spans="1:107" ht="14.25" hidden="1" customHeight="1" outlineLevel="1">
      <c r="A129" s="8"/>
      <c r="B129" s="26" t="s">
        <v>454</v>
      </c>
      <c r="C129" s="70"/>
      <c r="D129" s="81">
        <f t="shared" ref="D129:V129" si="490">D114</f>
        <v>388.10700000000003</v>
      </c>
      <c r="E129" s="82">
        <f t="shared" si="490"/>
        <v>382.33699999999999</v>
      </c>
      <c r="F129" s="82">
        <f t="shared" si="490"/>
        <v>382.83</v>
      </c>
      <c r="G129" s="36">
        <f t="shared" si="490"/>
        <v>380.60700000000003</v>
      </c>
      <c r="H129" s="81">
        <f t="shared" si="490"/>
        <v>380.33699999999999</v>
      </c>
      <c r="I129" s="82">
        <f t="shared" si="490"/>
        <v>376.81099999999998</v>
      </c>
      <c r="J129" s="82">
        <f t="shared" si="490"/>
        <v>369.54199999999997</v>
      </c>
      <c r="K129" s="36">
        <f t="shared" si="490"/>
        <v>357.16399999999999</v>
      </c>
      <c r="L129" s="81">
        <f t="shared" si="490"/>
        <v>349.20800000000003</v>
      </c>
      <c r="M129" s="82">
        <f t="shared" si="490"/>
        <v>338.84</v>
      </c>
      <c r="N129" s="82">
        <f t="shared" si="490"/>
        <v>327.33100000000002</v>
      </c>
      <c r="O129" s="36">
        <f t="shared" si="490"/>
        <v>313.82499999999999</v>
      </c>
      <c r="P129" s="81">
        <f t="shared" si="490"/>
        <v>304.26</v>
      </c>
      <c r="Q129" s="82">
        <f t="shared" si="490"/>
        <v>295.36</v>
      </c>
      <c r="R129" s="82">
        <f t="shared" si="490"/>
        <v>295.00099999999998</v>
      </c>
      <c r="S129" s="36">
        <f t="shared" si="490"/>
        <v>293.82</v>
      </c>
      <c r="T129" s="81">
        <f t="shared" si="490"/>
        <v>291.24799999999999</v>
      </c>
      <c r="U129" s="82">
        <f t="shared" si="490"/>
        <v>292.44600000000003</v>
      </c>
      <c r="V129" s="82">
        <f t="shared" si="490"/>
        <v>293.084</v>
      </c>
      <c r="W129" s="36">
        <v>291.86176699999999</v>
      </c>
      <c r="X129" s="84">
        <v>297.69073900000001</v>
      </c>
      <c r="Y129" s="85">
        <v>297.98126999999999</v>
      </c>
      <c r="Z129" s="85">
        <v>298.08948500000002</v>
      </c>
      <c r="AA129" s="34">
        <v>298.65299399999998</v>
      </c>
      <c r="AB129" s="85">
        <v>299.61044600000002</v>
      </c>
      <c r="AC129" s="85">
        <v>299.63351999999998</v>
      </c>
      <c r="AD129" s="85">
        <v>299.43792000000002</v>
      </c>
      <c r="AE129" s="33">
        <v>297.96071799999999</v>
      </c>
      <c r="AF129" s="84">
        <v>297.83202799999998</v>
      </c>
      <c r="AG129" s="33">
        <v>298.33792499999998</v>
      </c>
      <c r="AH129" s="85">
        <v>298.90559300000001</v>
      </c>
      <c r="AI129" s="34">
        <v>301.38891760000001</v>
      </c>
      <c r="AJ129" s="33">
        <v>305.98458599999998</v>
      </c>
      <c r="AK129" s="35"/>
      <c r="AL129" s="35"/>
      <c r="AM129" s="35"/>
      <c r="AN129" s="37"/>
      <c r="AO129" s="35"/>
      <c r="AP129" s="35"/>
      <c r="AQ129" s="36"/>
      <c r="AR129" s="87"/>
      <c r="AS129" s="87"/>
      <c r="AT129" s="82"/>
      <c r="AU129" s="88"/>
      <c r="AV129" s="324"/>
      <c r="AW129" s="87"/>
      <c r="AX129" s="87"/>
      <c r="AY129" s="88"/>
      <c r="AZ129" s="324"/>
      <c r="BA129" s="87"/>
      <c r="BB129" s="35"/>
      <c r="BC129" s="36"/>
      <c r="BD129" s="37"/>
      <c r="BE129" s="35"/>
      <c r="BF129" s="35"/>
      <c r="BG129" s="36"/>
      <c r="BH129" s="37"/>
      <c r="BI129" s="35"/>
      <c r="BJ129" s="35"/>
      <c r="BK129" s="36"/>
      <c r="BL129" s="37"/>
      <c r="BM129" s="35"/>
      <c r="BN129" s="35"/>
      <c r="BO129" s="36"/>
      <c r="BP129" s="253"/>
      <c r="BQ129" s="324"/>
      <c r="BR129" s="87"/>
      <c r="BS129" s="87"/>
      <c r="BT129" s="87"/>
      <c r="BU129" s="87"/>
      <c r="BV129" s="87"/>
      <c r="BW129" s="87"/>
      <c r="BX129" s="87"/>
      <c r="BY129" s="87"/>
      <c r="BZ129" s="87"/>
      <c r="CA129" s="87"/>
      <c r="CB129" s="87"/>
      <c r="CC129" s="87"/>
      <c r="CD129" s="87"/>
      <c r="CE129" s="87"/>
      <c r="CF129" s="88"/>
      <c r="CG129" s="23"/>
      <c r="CH129" s="324"/>
      <c r="CI129" s="87"/>
      <c r="CJ129" s="87"/>
      <c r="CK129" s="87"/>
      <c r="CL129" s="87"/>
      <c r="CM129" s="87"/>
      <c r="CN129" s="87"/>
      <c r="CO129" s="87"/>
      <c r="CP129" s="87"/>
      <c r="CQ129" s="87"/>
      <c r="CR129" s="87"/>
      <c r="CS129" s="87"/>
      <c r="CT129" s="87"/>
      <c r="CU129" s="87"/>
      <c r="CV129" s="88"/>
      <c r="CW129" s="17"/>
    </row>
    <row r="130" spans="1:107" ht="14.25" customHeight="1" collapsed="1">
      <c r="A130" s="8"/>
      <c r="B130" s="26"/>
      <c r="C130" s="70"/>
      <c r="D130" s="84"/>
      <c r="E130" s="89"/>
      <c r="F130" s="89"/>
      <c r="G130" s="90"/>
      <c r="H130" s="84"/>
      <c r="I130" s="89"/>
      <c r="J130" s="89"/>
      <c r="K130" s="90"/>
      <c r="L130" s="84"/>
      <c r="M130" s="89"/>
      <c r="N130" s="89"/>
      <c r="O130" s="90"/>
      <c r="P130" s="84"/>
      <c r="Q130" s="89"/>
      <c r="R130" s="89"/>
      <c r="S130" s="90"/>
      <c r="T130" s="84"/>
      <c r="U130" s="89"/>
      <c r="V130" s="89"/>
      <c r="W130" s="90"/>
      <c r="X130" s="84"/>
      <c r="Y130" s="89"/>
      <c r="Z130" s="89"/>
      <c r="AA130" s="90"/>
      <c r="AB130" s="85"/>
      <c r="AC130" s="89"/>
      <c r="AD130" s="89"/>
      <c r="AE130" s="89"/>
      <c r="AF130" s="84"/>
      <c r="AG130" s="89"/>
      <c r="AH130" s="89"/>
      <c r="AI130" s="90"/>
      <c r="AJ130" s="89"/>
      <c r="AK130" s="89"/>
      <c r="AL130" s="89"/>
      <c r="AM130" s="90"/>
      <c r="AN130" s="856"/>
      <c r="AO130" s="89"/>
      <c r="AP130" s="89"/>
      <c r="AQ130" s="90"/>
      <c r="AR130" s="87"/>
      <c r="AS130" s="87"/>
      <c r="AT130" s="82"/>
      <c r="AU130" s="88"/>
      <c r="AV130" s="324"/>
      <c r="AW130" s="87"/>
      <c r="AX130" s="87"/>
      <c r="AY130" s="88"/>
      <c r="AZ130" s="324"/>
      <c r="BA130" s="87"/>
      <c r="BB130" s="89"/>
      <c r="BC130" s="90"/>
      <c r="BD130" s="856"/>
      <c r="BE130" s="89"/>
      <c r="BF130" s="89"/>
      <c r="BG130" s="90"/>
      <c r="BH130" s="856"/>
      <c r="BI130" s="89"/>
      <c r="BJ130" s="89"/>
      <c r="BK130" s="90"/>
      <c r="BL130" s="856"/>
      <c r="BM130" s="89"/>
      <c r="BN130" s="89"/>
      <c r="BO130" s="90"/>
      <c r="BP130" s="253"/>
      <c r="BQ130" s="58"/>
      <c r="BR130" s="48"/>
      <c r="BS130" s="48"/>
      <c r="BT130" s="48"/>
      <c r="BU130" s="48"/>
      <c r="BV130" s="48"/>
      <c r="BW130" s="48"/>
      <c r="BX130" s="48"/>
      <c r="BY130" s="48"/>
      <c r="BZ130" s="48"/>
      <c r="CA130" s="48"/>
      <c r="CB130" s="48"/>
      <c r="CC130" s="48"/>
      <c r="CD130" s="48"/>
      <c r="CE130" s="48"/>
      <c r="CF130" s="49"/>
      <c r="CG130" s="23"/>
      <c r="CH130" s="101"/>
      <c r="CI130" s="102"/>
      <c r="CJ130" s="102"/>
      <c r="CK130" s="102"/>
      <c r="CL130" s="102"/>
      <c r="CM130" s="102"/>
      <c r="CN130" s="102"/>
      <c r="CO130" s="102"/>
      <c r="CP130" s="102"/>
      <c r="CQ130" s="102"/>
      <c r="CR130" s="102"/>
      <c r="CS130" s="102"/>
      <c r="CT130" s="102"/>
      <c r="CU130" s="102"/>
      <c r="CV130" s="103"/>
      <c r="CW130" s="17"/>
    </row>
    <row r="131" spans="1:107" ht="14.25" customHeight="1">
      <c r="A131" s="8"/>
      <c r="B131" s="26" t="s">
        <v>14</v>
      </c>
      <c r="C131" s="70"/>
      <c r="D131" s="900">
        <v>0.06</v>
      </c>
      <c r="E131" s="853">
        <v>0.06</v>
      </c>
      <c r="F131" s="853">
        <v>0.1</v>
      </c>
      <c r="G131" s="901">
        <v>0.1</v>
      </c>
      <c r="H131" s="900">
        <v>0.12</v>
      </c>
      <c r="I131" s="853">
        <v>0.12</v>
      </c>
      <c r="J131" s="853">
        <v>0.16</v>
      </c>
      <c r="K131" s="901">
        <v>0.16</v>
      </c>
      <c r="L131" s="900">
        <v>0.16</v>
      </c>
      <c r="M131" s="853">
        <v>0.18</v>
      </c>
      <c r="N131" s="853">
        <v>0.18</v>
      </c>
      <c r="O131" s="901">
        <v>0.18</v>
      </c>
      <c r="P131" s="900">
        <v>0.18</v>
      </c>
      <c r="Q131" s="853">
        <v>0.18</v>
      </c>
      <c r="R131" s="853">
        <v>0.2</v>
      </c>
      <c r="S131" s="901">
        <v>0.2</v>
      </c>
      <c r="T131" s="900">
        <v>0.2</v>
      </c>
      <c r="U131" s="853">
        <v>0.2</v>
      </c>
      <c r="V131" s="853">
        <v>0.2</v>
      </c>
      <c r="W131" s="901">
        <v>0.2</v>
      </c>
      <c r="X131" s="900">
        <v>0.2</v>
      </c>
      <c r="Y131" s="853">
        <v>0.2</v>
      </c>
      <c r="Z131" s="853">
        <v>0.22</v>
      </c>
      <c r="AA131" s="901">
        <v>0.22</v>
      </c>
      <c r="AB131" s="853">
        <v>0.22</v>
      </c>
      <c r="AC131" s="853">
        <v>0.22</v>
      </c>
      <c r="AD131" s="853">
        <v>0.25</v>
      </c>
      <c r="AE131" s="853">
        <v>0.25</v>
      </c>
      <c r="AF131" s="900">
        <v>0.25</v>
      </c>
      <c r="AG131" s="853">
        <v>0.3</v>
      </c>
      <c r="AH131" s="853">
        <v>0.3</v>
      </c>
      <c r="AI131" s="901">
        <v>0.3</v>
      </c>
      <c r="AJ131" s="853">
        <v>0.3</v>
      </c>
      <c r="AK131" s="853">
        <v>0.34</v>
      </c>
      <c r="AL131" s="853">
        <v>0.34</v>
      </c>
      <c r="AM131" s="901">
        <v>0.34</v>
      </c>
      <c r="AN131" s="853">
        <v>0.34</v>
      </c>
      <c r="AO131" s="853">
        <v>0.37</v>
      </c>
      <c r="AP131" s="853">
        <v>0.37</v>
      </c>
      <c r="AQ131" s="901">
        <v>0.37</v>
      </c>
      <c r="AR131" s="853">
        <f>+AQ131</f>
        <v>0.37</v>
      </c>
      <c r="AS131" s="853">
        <v>0.4</v>
      </c>
      <c r="AT131" s="853">
        <v>0.4</v>
      </c>
      <c r="AU131" s="901">
        <v>0.4</v>
      </c>
      <c r="AV131" s="900">
        <v>0.4</v>
      </c>
      <c r="AW131" s="853">
        <v>0.42</v>
      </c>
      <c r="AX131" s="853">
        <v>0.42</v>
      </c>
      <c r="AY131" s="901">
        <v>0.42</v>
      </c>
      <c r="AZ131" s="900">
        <v>0.42</v>
      </c>
      <c r="BA131" s="853">
        <v>0.45</v>
      </c>
      <c r="BB131" s="853">
        <v>0.45</v>
      </c>
      <c r="BC131" s="901">
        <v>0.45</v>
      </c>
      <c r="BD131" s="900">
        <v>0.45</v>
      </c>
      <c r="BE131" s="854">
        <f t="shared" ref="BB131:BE132" si="491">+BD131</f>
        <v>0.45</v>
      </c>
      <c r="BF131" s="854">
        <f>+BE131</f>
        <v>0.45</v>
      </c>
      <c r="BG131" s="855">
        <f>+BF131</f>
        <v>0.45</v>
      </c>
      <c r="BH131" s="857">
        <f t="shared" ref="BH131:BH132" si="492">+BG131</f>
        <v>0.45</v>
      </c>
      <c r="BI131" s="854">
        <f t="shared" ref="BI131" si="493">+BH131</f>
        <v>0.45</v>
      </c>
      <c r="BJ131" s="854">
        <f>+BI131</f>
        <v>0.45</v>
      </c>
      <c r="BK131" s="855">
        <f>+BJ131</f>
        <v>0.45</v>
      </c>
      <c r="BL131" s="857">
        <f t="shared" ref="BL131:BL132" si="494">+BK131</f>
        <v>0.45</v>
      </c>
      <c r="BM131" s="854">
        <f t="shared" ref="BM131" si="495">+BL131</f>
        <v>0.45</v>
      </c>
      <c r="BN131" s="854">
        <f>+BM131</f>
        <v>0.45</v>
      </c>
      <c r="BO131" s="855">
        <f>+BN131</f>
        <v>0.45</v>
      </c>
      <c r="BP131" s="253"/>
      <c r="BQ131" s="37">
        <f>SUM(D131:G131)</f>
        <v>0.32</v>
      </c>
      <c r="BR131" s="35">
        <f>SUM(H131:K131)</f>
        <v>0.56000000000000005</v>
      </c>
      <c r="BS131" s="35">
        <f>SUM(L131:O131)</f>
        <v>0.7</v>
      </c>
      <c r="BT131" s="574">
        <f>SUM(P131:S131)</f>
        <v>0.76</v>
      </c>
      <c r="BU131" s="574">
        <f>SUM(T131:W131)</f>
        <v>0.8</v>
      </c>
      <c r="BV131" s="574">
        <f>SUM(X131:AA131)</f>
        <v>0.84</v>
      </c>
      <c r="BW131" s="574">
        <f>SUM(AB131:AE131)</f>
        <v>0.94</v>
      </c>
      <c r="BX131" s="574">
        <f>SUM(AF131:AI131)</f>
        <v>1.1500000000000001</v>
      </c>
      <c r="BY131" s="574">
        <f>SUM(AJ131:AM131)</f>
        <v>1.32</v>
      </c>
      <c r="BZ131" s="574">
        <f>SUM(AN131:AQ131)</f>
        <v>1.4500000000000002</v>
      </c>
      <c r="CA131" s="574">
        <f>SUM(AR131:AU131)</f>
        <v>1.5699999999999998</v>
      </c>
      <c r="CB131" s="574">
        <f>SUM(AV131:AY131)</f>
        <v>1.66</v>
      </c>
      <c r="CC131" s="574">
        <f>SUM(AZ131:BC131)</f>
        <v>1.77</v>
      </c>
      <c r="CD131" s="574">
        <f>SUM(BD131:BG131)</f>
        <v>1.8</v>
      </c>
      <c r="CE131" s="574">
        <f>SUM(BH131:BK131)</f>
        <v>1.8</v>
      </c>
      <c r="CF131" s="1083">
        <f>SUM(BL131:BO131)</f>
        <v>1.8</v>
      </c>
      <c r="CG131" s="23"/>
      <c r="CH131" s="613">
        <f>SUM(E131:H131)</f>
        <v>0.38</v>
      </c>
      <c r="CI131" s="574">
        <f>SUM(I131:L131)</f>
        <v>0.60000000000000009</v>
      </c>
      <c r="CJ131" s="574">
        <f>SUM(M131:P131)</f>
        <v>0.72</v>
      </c>
      <c r="CK131" s="574">
        <f>SUM(Q131:T131)</f>
        <v>0.78</v>
      </c>
      <c r="CL131" s="574">
        <f>SUM(U131:X131)</f>
        <v>0.8</v>
      </c>
      <c r="CM131" s="574">
        <f>SUM(Y131:AB131)</f>
        <v>0.86</v>
      </c>
      <c r="CN131" s="574">
        <f>SUM(AC131:AF131)</f>
        <v>0.97</v>
      </c>
      <c r="CO131" s="574">
        <f>SUM(AG131:AJ131)</f>
        <v>1.2</v>
      </c>
      <c r="CP131" s="574">
        <f>SUM(AK131:AN131)</f>
        <v>1.36</v>
      </c>
      <c r="CQ131" s="574">
        <f>SUM(AO131:AR131)</f>
        <v>1.48</v>
      </c>
      <c r="CR131" s="574">
        <f>SUM(AS131:AV131)</f>
        <v>1.6</v>
      </c>
      <c r="CS131" s="1160">
        <f>SUM(AW131:AZ131)</f>
        <v>1.68</v>
      </c>
      <c r="CT131" s="1160">
        <f>SUM(BA131:BD131)</f>
        <v>1.8</v>
      </c>
      <c r="CU131" s="1160">
        <f>SUM(BE131:BH131)</f>
        <v>1.8</v>
      </c>
      <c r="CV131" s="1083">
        <f>SUM(BI131:BL131)</f>
        <v>1.8</v>
      </c>
      <c r="CW131" s="17"/>
    </row>
    <row r="132" spans="1:107" ht="14.25" customHeight="1">
      <c r="A132" s="8"/>
      <c r="B132" s="26" t="s">
        <v>15</v>
      </c>
      <c r="C132" s="70"/>
      <c r="D132" s="902"/>
      <c r="E132" s="91"/>
      <c r="F132" s="92"/>
      <c r="G132" s="903"/>
      <c r="H132" s="902"/>
      <c r="I132" s="91"/>
      <c r="J132" s="92"/>
      <c r="K132" s="903"/>
      <c r="L132" s="902"/>
      <c r="M132" s="91"/>
      <c r="N132" s="92"/>
      <c r="O132" s="903"/>
      <c r="P132" s="902"/>
      <c r="Q132" s="91"/>
      <c r="R132" s="92"/>
      <c r="S132" s="903"/>
      <c r="T132" s="902"/>
      <c r="U132" s="91"/>
      <c r="V132" s="92"/>
      <c r="W132" s="903"/>
      <c r="X132" s="902"/>
      <c r="Y132" s="91"/>
      <c r="Z132" s="92"/>
      <c r="AA132" s="903"/>
      <c r="AB132" s="91"/>
      <c r="AC132" s="362"/>
      <c r="AD132" s="362"/>
      <c r="AE132" s="362"/>
      <c r="AF132" s="881"/>
      <c r="AG132" s="35"/>
      <c r="AH132" s="362">
        <v>30</v>
      </c>
      <c r="AI132" s="36">
        <f t="shared" ref="AI132:AP132" si="496">+AH132</f>
        <v>30</v>
      </c>
      <c r="AJ132" s="35">
        <f t="shared" si="496"/>
        <v>30</v>
      </c>
      <c r="AK132" s="35">
        <f t="shared" si="496"/>
        <v>30</v>
      </c>
      <c r="AL132" s="35">
        <f t="shared" si="496"/>
        <v>30</v>
      </c>
      <c r="AM132" s="36">
        <f>+AL132</f>
        <v>30</v>
      </c>
      <c r="AN132" s="37">
        <f t="shared" si="496"/>
        <v>30</v>
      </c>
      <c r="AO132" s="35">
        <f t="shared" si="496"/>
        <v>30</v>
      </c>
      <c r="AP132" s="35">
        <f t="shared" si="496"/>
        <v>30</v>
      </c>
      <c r="AQ132" s="36">
        <f>+AP132</f>
        <v>30</v>
      </c>
      <c r="AR132" s="37">
        <f>+AQ132</f>
        <v>30</v>
      </c>
      <c r="AS132" s="35">
        <f t="shared" ref="AS132:BA132" si="497">+AR132</f>
        <v>30</v>
      </c>
      <c r="AT132" s="35">
        <f t="shared" si="497"/>
        <v>30</v>
      </c>
      <c r="AU132" s="36">
        <f t="shared" si="497"/>
        <v>30</v>
      </c>
      <c r="AV132" s="37">
        <f t="shared" si="497"/>
        <v>30</v>
      </c>
      <c r="AW132" s="35">
        <f t="shared" si="497"/>
        <v>30</v>
      </c>
      <c r="AX132" s="35">
        <f t="shared" si="497"/>
        <v>30</v>
      </c>
      <c r="AY132" s="36">
        <f t="shared" si="497"/>
        <v>30</v>
      </c>
      <c r="AZ132" s="37">
        <f t="shared" ref="AZ132" si="498">+AY132</f>
        <v>30</v>
      </c>
      <c r="BA132" s="35">
        <f t="shared" si="497"/>
        <v>30</v>
      </c>
      <c r="BB132" s="35">
        <f t="shared" si="491"/>
        <v>30</v>
      </c>
      <c r="BC132" s="36">
        <f t="shared" si="491"/>
        <v>30</v>
      </c>
      <c r="BD132" s="37">
        <f t="shared" si="491"/>
        <v>30</v>
      </c>
      <c r="BE132" s="35">
        <f>+BD132</f>
        <v>30</v>
      </c>
      <c r="BF132" s="35">
        <f>+BE132</f>
        <v>30</v>
      </c>
      <c r="BG132" s="36">
        <f>+BF132</f>
        <v>30</v>
      </c>
      <c r="BH132" s="37">
        <f t="shared" si="492"/>
        <v>30</v>
      </c>
      <c r="BI132" s="35">
        <f>+BH132</f>
        <v>30</v>
      </c>
      <c r="BJ132" s="35">
        <f>+BI132</f>
        <v>30</v>
      </c>
      <c r="BK132" s="36">
        <f>+BJ132</f>
        <v>30</v>
      </c>
      <c r="BL132" s="37">
        <f t="shared" si="494"/>
        <v>30</v>
      </c>
      <c r="BM132" s="35">
        <f>+BL132</f>
        <v>30</v>
      </c>
      <c r="BN132" s="35">
        <f>+BM132</f>
        <v>30</v>
      </c>
      <c r="BO132" s="36">
        <f>+BN132</f>
        <v>30</v>
      </c>
      <c r="BP132" s="253"/>
      <c r="BQ132" s="81">
        <f t="shared" ref="BQ132:BX132" si="499">AB132</f>
        <v>0</v>
      </c>
      <c r="BR132" s="82">
        <f t="shared" si="499"/>
        <v>0</v>
      </c>
      <c r="BS132" s="82">
        <f t="shared" si="499"/>
        <v>0</v>
      </c>
      <c r="BT132" s="82">
        <f t="shared" si="499"/>
        <v>0</v>
      </c>
      <c r="BU132" s="82">
        <f t="shared" si="499"/>
        <v>0</v>
      </c>
      <c r="BV132" s="82">
        <f t="shared" si="499"/>
        <v>0</v>
      </c>
      <c r="BW132" s="82">
        <f t="shared" si="499"/>
        <v>30</v>
      </c>
      <c r="BX132" s="82">
        <f t="shared" si="499"/>
        <v>30</v>
      </c>
      <c r="BY132" s="82">
        <f>AM132</f>
        <v>30</v>
      </c>
      <c r="BZ132" s="82">
        <f>AQ132</f>
        <v>30</v>
      </c>
      <c r="CA132" s="82">
        <f>AU132</f>
        <v>30</v>
      </c>
      <c r="CB132" s="82">
        <f>AY132</f>
        <v>30</v>
      </c>
      <c r="CC132" s="82">
        <f>BC132</f>
        <v>30</v>
      </c>
      <c r="CD132" s="82">
        <f>BH132</f>
        <v>30</v>
      </c>
      <c r="CE132" s="82">
        <f>BK132</f>
        <v>30</v>
      </c>
      <c r="CF132" s="83">
        <f>BO132</f>
        <v>30</v>
      </c>
      <c r="CG132" s="23"/>
      <c r="CH132" s="37"/>
      <c r="CI132" s="35"/>
      <c r="CJ132" s="35"/>
      <c r="CK132" s="35"/>
      <c r="CL132" s="35"/>
      <c r="CM132" s="35"/>
      <c r="CN132" s="35"/>
      <c r="CO132" s="35">
        <f>AVERAGE(AG132:AJ132)</f>
        <v>30</v>
      </c>
      <c r="CP132" s="35">
        <f>AVERAGE(AK132:AN132)</f>
        <v>30</v>
      </c>
      <c r="CQ132" s="35">
        <f>AVERAGE(AO132:AR132)</f>
        <v>30</v>
      </c>
      <c r="CR132" s="35">
        <f>AVERAGE(AS132:AV132)</f>
        <v>30</v>
      </c>
      <c r="CS132" s="35">
        <f>AVERAGE(AW132:AZ132)</f>
        <v>30</v>
      </c>
      <c r="CT132" s="35">
        <f>AVERAGE(BA132:BD132)</f>
        <v>30</v>
      </c>
      <c r="CU132" s="35">
        <f>AVERAGE(BE132:BH132)</f>
        <v>30</v>
      </c>
      <c r="CV132" s="36">
        <f>AVERAGE(BI132:BL132)</f>
        <v>30</v>
      </c>
      <c r="CW132" s="17"/>
    </row>
    <row r="133" spans="1:107" ht="14.25" customHeight="1">
      <c r="A133" s="8"/>
      <c r="B133" s="38"/>
      <c r="C133" s="813"/>
      <c r="D133" s="904"/>
      <c r="E133" s="94"/>
      <c r="F133" s="94"/>
      <c r="G133" s="95"/>
      <c r="H133" s="904"/>
      <c r="I133" s="94"/>
      <c r="J133" s="94"/>
      <c r="K133" s="95"/>
      <c r="L133" s="904"/>
      <c r="M133" s="94"/>
      <c r="N133" s="94"/>
      <c r="O133" s="95"/>
      <c r="P133" s="904"/>
      <c r="Q133" s="94"/>
      <c r="R133" s="94"/>
      <c r="S133" s="95"/>
      <c r="T133" s="904"/>
      <c r="U133" s="94"/>
      <c r="V133" s="94"/>
      <c r="W133" s="95"/>
      <c r="X133" s="904"/>
      <c r="Y133" s="94"/>
      <c r="Z133" s="94"/>
      <c r="AA133" s="95"/>
      <c r="AB133" s="93"/>
      <c r="AC133" s="40"/>
      <c r="AD133" s="40"/>
      <c r="AE133" s="40"/>
      <c r="AF133" s="42"/>
      <c r="AG133" s="40"/>
      <c r="AH133" s="40"/>
      <c r="AI133" s="41"/>
      <c r="AJ133" s="40"/>
      <c r="AK133" s="40"/>
      <c r="AL133" s="40"/>
      <c r="AM133" s="41"/>
      <c r="AN133" s="42"/>
      <c r="AO133" s="40"/>
      <c r="AP133" s="40"/>
      <c r="AQ133" s="41"/>
      <c r="AR133" s="42"/>
      <c r="AS133" s="40"/>
      <c r="AT133" s="40"/>
      <c r="AU133" s="41"/>
      <c r="AV133" s="42"/>
      <c r="AW133" s="40"/>
      <c r="AX133" s="40"/>
      <c r="AY133" s="41"/>
      <c r="AZ133" s="1209"/>
      <c r="BA133" s="1282"/>
      <c r="BB133" s="1207"/>
      <c r="BC133" s="1208"/>
      <c r="BD133" s="1442"/>
      <c r="BE133" s="40"/>
      <c r="BF133" s="40"/>
      <c r="BG133" s="41"/>
      <c r="BH133" s="1209"/>
      <c r="BI133" s="1207"/>
      <c r="BJ133" s="1207"/>
      <c r="BK133" s="1208"/>
      <c r="BL133" s="1442"/>
      <c r="BM133" s="1440"/>
      <c r="BN133" s="1440"/>
      <c r="BO133" s="1441"/>
      <c r="BP133" s="253"/>
      <c r="BQ133" s="98"/>
      <c r="BR133" s="96"/>
      <c r="BS133" s="96"/>
      <c r="BT133" s="96"/>
      <c r="BU133" s="96"/>
      <c r="BV133" s="96"/>
      <c r="BW133" s="96"/>
      <c r="BX133" s="96"/>
      <c r="BY133" s="96"/>
      <c r="BZ133" s="96"/>
      <c r="CA133" s="96"/>
      <c r="CB133" s="96"/>
      <c r="CC133" s="96"/>
      <c r="CD133" s="96"/>
      <c r="CE133" s="1331"/>
      <c r="CF133" s="1322"/>
      <c r="CG133" s="23"/>
      <c r="CH133" s="153"/>
      <c r="CI133" s="94"/>
      <c r="CJ133" s="94"/>
      <c r="CK133" s="94"/>
      <c r="CL133" s="94"/>
      <c r="CM133" s="1389"/>
      <c r="CN133" s="1389"/>
      <c r="CO133" s="1389"/>
      <c r="CP133" s="1389"/>
      <c r="CQ133" s="1389"/>
      <c r="CR133" s="1389"/>
      <c r="CS133" s="94"/>
      <c r="CT133" s="1211"/>
      <c r="CU133" s="1389"/>
      <c r="CV133" s="1322"/>
      <c r="CW133" s="17"/>
    </row>
    <row r="134" spans="1:107" ht="14.25" customHeight="1">
      <c r="A134" s="8"/>
      <c r="B134" s="67" t="s">
        <v>16</v>
      </c>
      <c r="C134" s="74"/>
      <c r="D134" s="817">
        <v>0.35</v>
      </c>
      <c r="E134" s="354">
        <v>0.35</v>
      </c>
      <c r="F134" s="354">
        <v>0.35</v>
      </c>
      <c r="G134" s="355">
        <v>0.35</v>
      </c>
      <c r="H134" s="817">
        <v>0.35</v>
      </c>
      <c r="I134" s="354">
        <v>0.35</v>
      </c>
      <c r="J134" s="354">
        <v>0.35</v>
      </c>
      <c r="K134" s="355">
        <v>0.35</v>
      </c>
      <c r="L134" s="817">
        <v>0.35</v>
      </c>
      <c r="M134" s="354">
        <v>0.35</v>
      </c>
      <c r="N134" s="354">
        <v>0.35</v>
      </c>
      <c r="O134" s="355">
        <v>0.35</v>
      </c>
      <c r="P134" s="817">
        <v>0.35</v>
      </c>
      <c r="Q134" s="354">
        <v>0.35</v>
      </c>
      <c r="R134" s="354">
        <v>0.35</v>
      </c>
      <c r="S134" s="355">
        <v>0.35</v>
      </c>
      <c r="T134" s="817">
        <v>0.35</v>
      </c>
      <c r="U134" s="354">
        <v>0.35</v>
      </c>
      <c r="V134" s="354">
        <v>0.35</v>
      </c>
      <c r="W134" s="355">
        <v>0.35</v>
      </c>
      <c r="X134" s="817">
        <v>0.35</v>
      </c>
      <c r="Y134" s="354">
        <v>0.35</v>
      </c>
      <c r="Z134" s="354">
        <v>0.35</v>
      </c>
      <c r="AA134" s="355">
        <v>0.35</v>
      </c>
      <c r="AB134" s="354">
        <v>0.35</v>
      </c>
      <c r="AC134" s="354">
        <v>0.35</v>
      </c>
      <c r="AD134" s="354">
        <v>0.35</v>
      </c>
      <c r="AE134" s="354">
        <v>0.35</v>
      </c>
      <c r="AF134" s="817">
        <v>0.35</v>
      </c>
      <c r="AG134" s="354">
        <v>0.35</v>
      </c>
      <c r="AH134" s="354">
        <v>0.35</v>
      </c>
      <c r="AI134" s="355">
        <v>0.35</v>
      </c>
      <c r="AJ134" s="354">
        <v>0.35</v>
      </c>
      <c r="AK134" s="354">
        <v>0.35</v>
      </c>
      <c r="AL134" s="354">
        <v>0.35</v>
      </c>
      <c r="AM134" s="355">
        <v>0.35</v>
      </c>
      <c r="AN134" s="817">
        <v>0.35</v>
      </c>
      <c r="AO134" s="354">
        <v>0.35</v>
      </c>
      <c r="AP134" s="354">
        <v>0.35</v>
      </c>
      <c r="AQ134" s="355">
        <v>0.35</v>
      </c>
      <c r="AR134" s="817">
        <v>0.35</v>
      </c>
      <c r="AS134" s="354">
        <v>0.35</v>
      </c>
      <c r="AT134" s="354">
        <v>0.35</v>
      </c>
      <c r="AU134" s="355">
        <v>0.35</v>
      </c>
      <c r="AV134" s="817">
        <v>0.35</v>
      </c>
      <c r="AW134" s="354">
        <v>0.35</v>
      </c>
      <c r="AX134" s="354">
        <v>0.35</v>
      </c>
      <c r="AY134" s="355">
        <v>0.35</v>
      </c>
      <c r="AZ134" s="817">
        <v>0.35</v>
      </c>
      <c r="BA134" s="1289">
        <v>0.35</v>
      </c>
      <c r="BB134" s="1289">
        <v>0.35</v>
      </c>
      <c r="BC134" s="1290">
        <v>0.35</v>
      </c>
      <c r="BD134" s="817">
        <v>0.35</v>
      </c>
      <c r="BE134" s="1116">
        <v>0.35</v>
      </c>
      <c r="BF134" s="1116">
        <v>0.35</v>
      </c>
      <c r="BG134" s="1117">
        <v>0.35</v>
      </c>
      <c r="BH134" s="1118">
        <v>0.35</v>
      </c>
      <c r="BI134" s="1116">
        <v>0.35</v>
      </c>
      <c r="BJ134" s="1116">
        <v>0.35</v>
      </c>
      <c r="BK134" s="1117">
        <v>0.35</v>
      </c>
      <c r="BL134" s="1118">
        <v>0.35</v>
      </c>
      <c r="BM134" s="1116">
        <v>0.35</v>
      </c>
      <c r="BN134" s="1116">
        <v>0.35</v>
      </c>
      <c r="BO134" s="1117">
        <v>0.35</v>
      </c>
      <c r="BP134" s="253"/>
      <c r="BQ134" s="817">
        <v>0.35</v>
      </c>
      <c r="BR134" s="354">
        <v>0.35</v>
      </c>
      <c r="BS134" s="354">
        <v>0.35</v>
      </c>
      <c r="BT134" s="354">
        <v>0.35</v>
      </c>
      <c r="BU134" s="354">
        <v>0.35</v>
      </c>
      <c r="BV134" s="354">
        <v>0.35</v>
      </c>
      <c r="BW134" s="1116">
        <v>0.35</v>
      </c>
      <c r="BX134" s="1116">
        <v>0.35</v>
      </c>
      <c r="BY134" s="1116">
        <v>0.35</v>
      </c>
      <c r="BZ134" s="1116">
        <v>0.35</v>
      </c>
      <c r="CA134" s="1116">
        <v>0.35</v>
      </c>
      <c r="CB134" s="1116">
        <v>0.35</v>
      </c>
      <c r="CC134" s="1116">
        <v>0.35</v>
      </c>
      <c r="CD134" s="1116">
        <v>0.35</v>
      </c>
      <c r="CE134" s="1116">
        <v>0.35</v>
      </c>
      <c r="CF134" s="1117">
        <v>0.35</v>
      </c>
      <c r="CG134" s="23"/>
      <c r="CH134" s="817">
        <v>0.35</v>
      </c>
      <c r="CI134" s="354">
        <v>0.35</v>
      </c>
      <c r="CJ134" s="354">
        <v>0.35</v>
      </c>
      <c r="CK134" s="354">
        <v>0.35</v>
      </c>
      <c r="CL134" s="354">
        <v>0.35</v>
      </c>
      <c r="CM134" s="1289">
        <v>0.35</v>
      </c>
      <c r="CN134" s="1289">
        <v>0.35</v>
      </c>
      <c r="CO134" s="1289">
        <v>0.35</v>
      </c>
      <c r="CP134" s="1289">
        <v>0.35</v>
      </c>
      <c r="CQ134" s="1289">
        <v>0.35</v>
      </c>
      <c r="CR134" s="1289">
        <v>0.35</v>
      </c>
      <c r="CS134" s="354">
        <v>0.35</v>
      </c>
      <c r="CT134" s="354">
        <v>0.35</v>
      </c>
      <c r="CU134" s="1289">
        <v>0.35</v>
      </c>
      <c r="CV134" s="1290">
        <v>0.35</v>
      </c>
      <c r="CW134" s="17"/>
    </row>
    <row r="135" spans="1:107" ht="14.25" customHeight="1">
      <c r="A135" s="8"/>
      <c r="B135" s="8"/>
      <c r="C135" s="8"/>
      <c r="D135" s="11"/>
      <c r="E135" s="11"/>
      <c r="F135" s="11"/>
      <c r="G135" s="11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11"/>
      <c r="V135" s="11"/>
      <c r="W135" s="69"/>
      <c r="X135" s="70"/>
      <c r="Y135" s="70"/>
      <c r="Z135" s="70"/>
      <c r="AA135" s="69"/>
      <c r="AB135" s="11"/>
      <c r="AC135" s="8"/>
      <c r="AD135" s="8"/>
      <c r="AE135" s="69"/>
      <c r="AF135" s="17"/>
      <c r="AG135" s="17"/>
      <c r="AH135" s="17"/>
      <c r="AI135" s="253"/>
      <c r="AJ135" s="8"/>
      <c r="AK135" s="8"/>
      <c r="AL135" s="8"/>
      <c r="AM135" s="8"/>
      <c r="AN135" s="8"/>
      <c r="AO135" s="8"/>
      <c r="AP135" s="8"/>
      <c r="AQ135" s="8"/>
      <c r="AR135" s="8"/>
      <c r="AS135" s="8"/>
      <c r="AT135" s="8"/>
      <c r="AU135" s="8"/>
      <c r="AV135" s="8"/>
      <c r="AW135" s="8"/>
      <c r="AX135" s="8"/>
      <c r="AY135" s="8"/>
      <c r="AZ135" s="8"/>
      <c r="BA135" s="8"/>
      <c r="BB135" s="8"/>
      <c r="BC135" s="8"/>
      <c r="BD135" s="17"/>
      <c r="BE135" s="8"/>
      <c r="BF135" s="8"/>
      <c r="BG135" s="8"/>
      <c r="BH135" s="17"/>
      <c r="BI135" s="8"/>
      <c r="BJ135" s="8"/>
      <c r="BK135" s="8"/>
      <c r="BL135" s="17"/>
      <c r="BM135" s="8"/>
      <c r="BN135" s="8"/>
      <c r="BO135" s="8"/>
      <c r="BP135" s="8"/>
      <c r="BQ135" s="11"/>
      <c r="BR135" s="8"/>
      <c r="BS135" s="8"/>
      <c r="BT135" s="8"/>
      <c r="BU135" s="8"/>
      <c r="BV135" s="8"/>
      <c r="BW135" s="8"/>
      <c r="BX135" s="8"/>
      <c r="BY135" s="8"/>
      <c r="BZ135" s="8"/>
      <c r="CA135" s="8"/>
      <c r="CB135" s="8"/>
      <c r="CC135" s="8"/>
      <c r="CD135" s="8"/>
      <c r="CE135" s="8"/>
      <c r="CF135" s="17"/>
      <c r="CG135" s="8"/>
      <c r="CH135" s="8"/>
      <c r="CI135" s="8"/>
      <c r="CJ135" s="8"/>
      <c r="CK135" s="8"/>
      <c r="CL135" s="8"/>
      <c r="CM135" s="8"/>
      <c r="CN135" s="8"/>
      <c r="CO135" s="8"/>
      <c r="CP135" s="8"/>
      <c r="CQ135" s="8"/>
      <c r="CR135" s="8"/>
      <c r="CS135" s="17"/>
      <c r="CT135" s="17"/>
      <c r="CU135" s="17"/>
      <c r="CV135" s="8"/>
      <c r="CW135" s="8"/>
    </row>
    <row r="136" spans="1:107" ht="14.25" customHeight="1">
      <c r="A136" s="8"/>
      <c r="B136" s="8"/>
      <c r="C136" s="8"/>
      <c r="D136" s="11"/>
      <c r="E136" s="11"/>
      <c r="F136" s="11"/>
      <c r="G136" s="11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11"/>
      <c r="V136" s="11"/>
      <c r="W136" s="11"/>
      <c r="X136" s="70"/>
      <c r="Y136" s="70"/>
      <c r="Z136" s="70"/>
      <c r="AA136" s="70"/>
      <c r="AB136" s="11"/>
      <c r="AC136" s="8"/>
      <c r="AD136" s="8"/>
      <c r="AE136" s="11"/>
      <c r="AF136" s="17"/>
      <c r="AG136" s="17"/>
      <c r="AH136" s="17"/>
      <c r="AI136" s="17"/>
      <c r="AJ136" s="8"/>
      <c r="AK136" s="8"/>
      <c r="AL136" s="8"/>
      <c r="AM136" s="8"/>
      <c r="AN136" s="8"/>
      <c r="AO136" s="8"/>
      <c r="AP136" s="8"/>
      <c r="AQ136" s="8"/>
      <c r="AR136" s="8"/>
      <c r="AS136" s="8"/>
      <c r="AT136" s="8"/>
      <c r="AU136" s="8"/>
      <c r="AV136" s="8"/>
      <c r="AW136" s="8"/>
      <c r="AX136" s="8"/>
      <c r="AY136" s="8"/>
      <c r="AZ136" s="8"/>
      <c r="BA136" s="8"/>
      <c r="BB136" s="8"/>
      <c r="BC136" s="8"/>
      <c r="BD136" s="17"/>
      <c r="BE136" s="8"/>
      <c r="BF136" s="8"/>
      <c r="BG136" s="8"/>
      <c r="BH136" s="17"/>
      <c r="BI136" s="8"/>
      <c r="BJ136" s="8"/>
      <c r="BK136" s="8"/>
      <c r="BL136" s="17"/>
      <c r="BM136" s="8"/>
      <c r="BN136" s="8"/>
      <c r="BO136" s="8"/>
      <c r="BP136" s="8"/>
      <c r="BQ136" s="11"/>
      <c r="BR136" s="8"/>
      <c r="BS136" s="8"/>
      <c r="BT136" s="8"/>
      <c r="BU136" s="8"/>
      <c r="BV136" s="8"/>
      <c r="BW136" s="8"/>
      <c r="BX136" s="8"/>
      <c r="BY136" s="8"/>
      <c r="BZ136" s="8"/>
      <c r="CA136" s="8"/>
      <c r="CB136" s="8"/>
      <c r="CC136" s="8"/>
      <c r="CD136" s="8"/>
      <c r="CE136" s="8"/>
      <c r="CF136" s="17"/>
      <c r="CG136" s="8"/>
      <c r="CH136" s="8"/>
      <c r="CI136" s="8"/>
      <c r="CJ136" s="8"/>
      <c r="CK136" s="8"/>
      <c r="CL136" s="8"/>
      <c r="CM136" s="8"/>
      <c r="CN136" s="8"/>
      <c r="CO136" s="8"/>
      <c r="CP136" s="8"/>
      <c r="CQ136" s="8"/>
      <c r="CR136" s="8"/>
      <c r="CS136" s="17"/>
      <c r="CT136" s="17"/>
      <c r="CU136" s="17"/>
      <c r="CV136" s="17"/>
      <c r="CW136" s="8"/>
    </row>
    <row r="137" spans="1:107" ht="14.25" customHeight="1">
      <c r="A137" s="8"/>
      <c r="B137" s="858" t="s">
        <v>496</v>
      </c>
      <c r="C137" s="739"/>
      <c r="D137" s="20" t="str">
        <f>+D$9</f>
        <v>F1Q05A</v>
      </c>
      <c r="E137" s="21" t="str">
        <f t="shared" ref="E137:BO137" si="500">+E$9</f>
        <v>F2Q05A</v>
      </c>
      <c r="F137" s="21" t="str">
        <f t="shared" si="500"/>
        <v>F3Q05A</v>
      </c>
      <c r="G137" s="22" t="str">
        <f t="shared" si="500"/>
        <v>F4Q05A</v>
      </c>
      <c r="H137" s="20" t="str">
        <f t="shared" si="500"/>
        <v>F1Q06A</v>
      </c>
      <c r="I137" s="21" t="str">
        <f t="shared" si="500"/>
        <v>F2Q06A</v>
      </c>
      <c r="J137" s="21" t="str">
        <f t="shared" si="500"/>
        <v>F3Q06A</v>
      </c>
      <c r="K137" s="22" t="str">
        <f t="shared" si="500"/>
        <v>F4Q06A</v>
      </c>
      <c r="L137" s="20" t="str">
        <f t="shared" si="500"/>
        <v>F1Q07A</v>
      </c>
      <c r="M137" s="21" t="str">
        <f t="shared" si="500"/>
        <v>F2Q07A</v>
      </c>
      <c r="N137" s="21" t="str">
        <f t="shared" si="500"/>
        <v>F3Q07A</v>
      </c>
      <c r="O137" s="22" t="str">
        <f t="shared" si="500"/>
        <v>F4Q07A</v>
      </c>
      <c r="P137" s="20" t="str">
        <f t="shared" si="500"/>
        <v>F1Q08A</v>
      </c>
      <c r="Q137" s="21" t="str">
        <f t="shared" si="500"/>
        <v>F2Q08A</v>
      </c>
      <c r="R137" s="21" t="str">
        <f t="shared" si="500"/>
        <v>F3Q08A</v>
      </c>
      <c r="S137" s="22" t="str">
        <f t="shared" si="500"/>
        <v>F4Q08A</v>
      </c>
      <c r="T137" s="20" t="str">
        <f t="shared" si="500"/>
        <v>F1Q09A</v>
      </c>
      <c r="U137" s="21" t="str">
        <f t="shared" si="500"/>
        <v>F2Q09A</v>
      </c>
      <c r="V137" s="21" t="str">
        <f t="shared" si="500"/>
        <v>F3Q09A</v>
      </c>
      <c r="W137" s="22" t="str">
        <f t="shared" si="500"/>
        <v>F4Q09A</v>
      </c>
      <c r="X137" s="20" t="str">
        <f t="shared" si="500"/>
        <v>F1Q10A</v>
      </c>
      <c r="Y137" s="21" t="str">
        <f t="shared" si="500"/>
        <v>F2Q10A</v>
      </c>
      <c r="Z137" s="21" t="str">
        <f t="shared" si="500"/>
        <v>F3Q10A</v>
      </c>
      <c r="AA137" s="22" t="str">
        <f t="shared" si="500"/>
        <v>F4Q10A</v>
      </c>
      <c r="AB137" s="20" t="str">
        <f t="shared" si="500"/>
        <v>F1Q11A</v>
      </c>
      <c r="AC137" s="21" t="str">
        <f t="shared" si="500"/>
        <v>F2Q11A</v>
      </c>
      <c r="AD137" s="21" t="str">
        <f t="shared" si="500"/>
        <v>F3Q11A</v>
      </c>
      <c r="AE137" s="22" t="str">
        <f t="shared" si="500"/>
        <v>F4Q11A</v>
      </c>
      <c r="AF137" s="20" t="str">
        <f t="shared" si="500"/>
        <v>F1Q12A</v>
      </c>
      <c r="AG137" s="21" t="str">
        <f t="shared" si="500"/>
        <v>F2Q12A</v>
      </c>
      <c r="AH137" s="21" t="str">
        <f t="shared" si="500"/>
        <v>F3Q12A</v>
      </c>
      <c r="AI137" s="21" t="str">
        <f t="shared" si="500"/>
        <v>F4Q12A</v>
      </c>
      <c r="AJ137" s="20" t="str">
        <f t="shared" si="500"/>
        <v>F1Q13A</v>
      </c>
      <c r="AK137" s="21" t="str">
        <f t="shared" si="500"/>
        <v>F2Q13A</v>
      </c>
      <c r="AL137" s="21" t="str">
        <f t="shared" si="500"/>
        <v>F3Q13A</v>
      </c>
      <c r="AM137" s="22" t="str">
        <f t="shared" si="500"/>
        <v>F4Q13A</v>
      </c>
      <c r="AN137" s="21" t="str">
        <f t="shared" si="500"/>
        <v>F1Q14A</v>
      </c>
      <c r="AO137" s="21" t="str">
        <f t="shared" si="500"/>
        <v>F2Q14A</v>
      </c>
      <c r="AP137" s="21" t="str">
        <f t="shared" si="500"/>
        <v>F3Q14A</v>
      </c>
      <c r="AQ137" s="22" t="str">
        <f t="shared" si="500"/>
        <v>F4Q14A</v>
      </c>
      <c r="AR137" s="21" t="str">
        <f t="shared" si="500"/>
        <v>F1Q15A</v>
      </c>
      <c r="AS137" s="21" t="str">
        <f t="shared" si="500"/>
        <v>F2Q15A</v>
      </c>
      <c r="AT137" s="21" t="str">
        <f t="shared" si="500"/>
        <v>F3Q15A</v>
      </c>
      <c r="AU137" s="22" t="str">
        <f t="shared" si="500"/>
        <v>F4Q15A</v>
      </c>
      <c r="AV137" s="21" t="str">
        <f t="shared" si="500"/>
        <v>F1Q16A</v>
      </c>
      <c r="AW137" s="21" t="str">
        <f t="shared" si="500"/>
        <v>F2Q16A</v>
      </c>
      <c r="AX137" s="21" t="str">
        <f t="shared" si="500"/>
        <v>F3Q16A</v>
      </c>
      <c r="AY137" s="22" t="str">
        <f t="shared" si="500"/>
        <v>F4Q16A</v>
      </c>
      <c r="AZ137" s="1205" t="str">
        <f t="shared" si="500"/>
        <v>F1Q17A</v>
      </c>
      <c r="BA137" s="1205" t="str">
        <f t="shared" si="500"/>
        <v>F2Q17A</v>
      </c>
      <c r="BB137" s="21" t="str">
        <f t="shared" si="500"/>
        <v>F3Q17A</v>
      </c>
      <c r="BC137" s="22" t="str">
        <f t="shared" si="500"/>
        <v>F4Q17A</v>
      </c>
      <c r="BD137" s="21" t="str">
        <f t="shared" si="500"/>
        <v>F1Q18A</v>
      </c>
      <c r="BE137" s="21" t="str">
        <f t="shared" si="500"/>
        <v>F2Q18E</v>
      </c>
      <c r="BF137" s="21" t="str">
        <f t="shared" si="500"/>
        <v>F3Q18E</v>
      </c>
      <c r="BG137" s="22" t="str">
        <f t="shared" si="500"/>
        <v>F4Q18E</v>
      </c>
      <c r="BH137" s="1205" t="str">
        <f t="shared" si="500"/>
        <v>F1Q19E</v>
      </c>
      <c r="BI137" s="1205" t="str">
        <f t="shared" si="500"/>
        <v>F2Q19E</v>
      </c>
      <c r="BJ137" s="1205" t="str">
        <f t="shared" si="500"/>
        <v>F3Q19E</v>
      </c>
      <c r="BK137" s="1206" t="str">
        <f t="shared" si="500"/>
        <v>F4Q19E</v>
      </c>
      <c r="BL137" s="1438" t="str">
        <f t="shared" si="500"/>
        <v>F1Q20E</v>
      </c>
      <c r="BM137" s="1438" t="str">
        <f t="shared" si="500"/>
        <v>F2Q20E</v>
      </c>
      <c r="BN137" s="1438" t="str">
        <f t="shared" si="500"/>
        <v>F3Q20E</v>
      </c>
      <c r="BO137" s="1439" t="str">
        <f t="shared" si="500"/>
        <v>F4Q20E</v>
      </c>
      <c r="BP137" s="23"/>
      <c r="BQ137" s="20" t="str">
        <f>+BQ$9</f>
        <v>FY2005A</v>
      </c>
      <c r="BR137" s="21" t="str">
        <f t="shared" ref="BR137:CF137" si="501">+BR$9</f>
        <v>FY2006A</v>
      </c>
      <c r="BS137" s="21" t="str">
        <f t="shared" si="501"/>
        <v>FY2007A</v>
      </c>
      <c r="BT137" s="21" t="str">
        <f t="shared" si="501"/>
        <v>FY2008A</v>
      </c>
      <c r="BU137" s="21" t="str">
        <f t="shared" si="501"/>
        <v>FY2009A</v>
      </c>
      <c r="BV137" s="21" t="str">
        <f t="shared" si="501"/>
        <v>FY2010A</v>
      </c>
      <c r="BW137" s="1205" t="str">
        <f t="shared" si="501"/>
        <v>FY2011A</v>
      </c>
      <c r="BX137" s="1205" t="str">
        <f t="shared" si="501"/>
        <v>FY2012A</v>
      </c>
      <c r="BY137" s="1205" t="str">
        <f t="shared" si="501"/>
        <v>FY2013A</v>
      </c>
      <c r="BZ137" s="1205" t="str">
        <f t="shared" si="501"/>
        <v>FY2014A</v>
      </c>
      <c r="CA137" s="21" t="str">
        <f t="shared" si="501"/>
        <v>FY2015A</v>
      </c>
      <c r="CB137" s="21" t="str">
        <f t="shared" si="501"/>
        <v>FY2016A</v>
      </c>
      <c r="CC137" s="21" t="str">
        <f t="shared" si="501"/>
        <v>FY2017A</v>
      </c>
      <c r="CD137" s="1205" t="str">
        <f t="shared" si="501"/>
        <v>FY2018E</v>
      </c>
      <c r="CE137" s="1438" t="str">
        <f t="shared" si="501"/>
        <v>FY2019E</v>
      </c>
      <c r="CF137" s="1439" t="str">
        <f t="shared" si="501"/>
        <v>FY2020E</v>
      </c>
      <c r="CG137" s="1467"/>
      <c r="CH137" s="20" t="str">
        <f t="shared" ref="CH137:CV137" si="502">+CH$7</f>
        <v>CY2005</v>
      </c>
      <c r="CI137" s="21" t="str">
        <f t="shared" si="502"/>
        <v>CY2006</v>
      </c>
      <c r="CJ137" s="21" t="str">
        <f t="shared" si="502"/>
        <v>CY2007</v>
      </c>
      <c r="CK137" s="21" t="str">
        <f t="shared" si="502"/>
        <v>CY2008</v>
      </c>
      <c r="CL137" s="21" t="str">
        <f t="shared" si="502"/>
        <v>CY2009</v>
      </c>
      <c r="CM137" s="1438" t="str">
        <f t="shared" si="502"/>
        <v>CY2010</v>
      </c>
      <c r="CN137" s="1438" t="str">
        <f t="shared" si="502"/>
        <v>CY2011</v>
      </c>
      <c r="CO137" s="1438" t="str">
        <f t="shared" si="502"/>
        <v>CY2012</v>
      </c>
      <c r="CP137" s="1438" t="str">
        <f t="shared" si="502"/>
        <v>CY2013</v>
      </c>
      <c r="CQ137" s="1438" t="str">
        <f t="shared" si="502"/>
        <v>CY2014</v>
      </c>
      <c r="CR137" s="1438" t="str">
        <f t="shared" si="502"/>
        <v>CY2015</v>
      </c>
      <c r="CS137" s="21" t="str">
        <f t="shared" si="502"/>
        <v>CY2016</v>
      </c>
      <c r="CT137" s="1205" t="str">
        <f t="shared" si="502"/>
        <v>CY2017</v>
      </c>
      <c r="CU137" s="1438" t="str">
        <f t="shared" si="502"/>
        <v>CY2018</v>
      </c>
      <c r="CV137" s="1439" t="str">
        <f t="shared" si="502"/>
        <v>CY2019</v>
      </c>
      <c r="CW137" s="8"/>
    </row>
    <row r="138" spans="1:107" ht="14.25" customHeight="1">
      <c r="A138" s="8"/>
      <c r="B138" s="25"/>
      <c r="C138" s="17"/>
      <c r="D138" s="26"/>
      <c r="E138" s="70"/>
      <c r="F138" s="70"/>
      <c r="G138" s="27"/>
      <c r="H138" s="26"/>
      <c r="I138" s="70"/>
      <c r="J138" s="70"/>
      <c r="K138" s="27"/>
      <c r="L138" s="26"/>
      <c r="M138" s="70"/>
      <c r="N138" s="70"/>
      <c r="O138" s="27"/>
      <c r="P138" s="26"/>
      <c r="Q138" s="70"/>
      <c r="R138" s="70"/>
      <c r="S138" s="27"/>
      <c r="T138" s="26"/>
      <c r="U138" s="70"/>
      <c r="V138" s="70"/>
      <c r="W138" s="27"/>
      <c r="X138" s="26"/>
      <c r="Y138" s="70"/>
      <c r="Z138" s="70"/>
      <c r="AA138" s="27"/>
      <c r="AB138" s="26"/>
      <c r="AC138" s="70"/>
      <c r="AD138" s="70"/>
      <c r="AE138" s="27"/>
      <c r="AF138" s="17"/>
      <c r="AG138" s="17"/>
      <c r="AH138" s="17"/>
      <c r="AI138" s="17"/>
      <c r="AJ138" s="25"/>
      <c r="AK138" s="17"/>
      <c r="AL138" s="17"/>
      <c r="AM138" s="253"/>
      <c r="AN138" s="17"/>
      <c r="AO138" s="17"/>
      <c r="AP138" s="17"/>
      <c r="AQ138" s="253"/>
      <c r="AR138" s="17"/>
      <c r="AS138" s="17"/>
      <c r="AT138" s="17"/>
      <c r="AU138" s="253"/>
      <c r="AV138" s="17"/>
      <c r="AW138" s="17"/>
      <c r="AX138" s="17"/>
      <c r="AY138" s="253"/>
      <c r="AZ138" s="17"/>
      <c r="BA138" s="17"/>
      <c r="BB138" s="17"/>
      <c r="BC138" s="253"/>
      <c r="BD138" s="17"/>
      <c r="BE138" s="17"/>
      <c r="BF138" s="17"/>
      <c r="BG138" s="253"/>
      <c r="BH138" s="17"/>
      <c r="BI138" s="17"/>
      <c r="BJ138" s="17"/>
      <c r="BK138" s="253"/>
      <c r="BL138" s="17"/>
      <c r="BM138" s="17"/>
      <c r="BN138" s="17"/>
      <c r="BO138" s="253"/>
      <c r="BP138" s="23"/>
      <c r="BQ138" s="75"/>
      <c r="BR138" s="17"/>
      <c r="BS138" s="17"/>
      <c r="BT138" s="17"/>
      <c r="BU138" s="17"/>
      <c r="BV138" s="17"/>
      <c r="BW138" s="17"/>
      <c r="BX138" s="17"/>
      <c r="BY138" s="17"/>
      <c r="BZ138" s="17"/>
      <c r="CA138" s="17"/>
      <c r="CB138" s="17"/>
      <c r="CC138" s="17"/>
      <c r="CD138" s="17"/>
      <c r="CE138" s="17"/>
      <c r="CF138" s="253"/>
      <c r="CG138" s="23"/>
      <c r="CH138" s="25"/>
      <c r="CI138" s="17"/>
      <c r="CJ138" s="17"/>
      <c r="CK138" s="17"/>
      <c r="CL138" s="17"/>
      <c r="CM138" s="17"/>
      <c r="CN138" s="17"/>
      <c r="CO138" s="17"/>
      <c r="CP138" s="17"/>
      <c r="CQ138" s="17"/>
      <c r="CR138" s="17"/>
      <c r="CS138" s="17"/>
      <c r="CT138" s="17"/>
      <c r="CU138" s="17"/>
      <c r="CV138" s="253"/>
      <c r="CW138" s="8"/>
    </row>
    <row r="139" spans="1:107" s="688" customFormat="1" ht="14.25" customHeight="1">
      <c r="A139" s="721"/>
      <c r="B139" s="975" t="s">
        <v>164</v>
      </c>
      <c r="C139" s="319"/>
      <c r="D139" s="804">
        <f t="shared" ref="D139:AI139" si="503">+D70</f>
        <v>124.65299999999991</v>
      </c>
      <c r="E139" s="319">
        <f t="shared" si="503"/>
        <v>133.94400000000002</v>
      </c>
      <c r="F139" s="319">
        <f t="shared" si="503"/>
        <v>134.61400000000006</v>
      </c>
      <c r="G139" s="740">
        <f t="shared" si="503"/>
        <v>154.25600000000003</v>
      </c>
      <c r="H139" s="804">
        <f t="shared" si="503"/>
        <v>119.55299999999997</v>
      </c>
      <c r="I139" s="319">
        <f t="shared" si="503"/>
        <v>139.619</v>
      </c>
      <c r="J139" s="319">
        <f t="shared" si="503"/>
        <v>146.53899999999996</v>
      </c>
      <c r="K139" s="740">
        <f t="shared" si="503"/>
        <v>140.185</v>
      </c>
      <c r="L139" s="804">
        <f t="shared" si="503"/>
        <v>174.60699999999997</v>
      </c>
      <c r="M139" s="319">
        <f t="shared" si="503"/>
        <v>144.32199999999995</v>
      </c>
      <c r="N139" s="319">
        <f t="shared" si="503"/>
        <v>145.49300000000008</v>
      </c>
      <c r="O139" s="740">
        <f t="shared" si="503"/>
        <v>144.79600000000005</v>
      </c>
      <c r="P139" s="804">
        <f t="shared" si="503"/>
        <v>145.91300000000001</v>
      </c>
      <c r="Q139" s="319">
        <f t="shared" si="503"/>
        <v>157.18500000000006</v>
      </c>
      <c r="R139" s="319">
        <f t="shared" si="503"/>
        <v>161.19</v>
      </c>
      <c r="S139" s="740">
        <f t="shared" si="503"/>
        <v>163.82500000000005</v>
      </c>
      <c r="T139" s="804">
        <f t="shared" si="503"/>
        <v>61.328000000000003</v>
      </c>
      <c r="U139" s="319">
        <f t="shared" si="503"/>
        <v>69.828000000000031</v>
      </c>
      <c r="V139" s="319">
        <f t="shared" si="503"/>
        <v>78.944999999999993</v>
      </c>
      <c r="W139" s="740">
        <f t="shared" si="503"/>
        <v>128.37200000000004</v>
      </c>
      <c r="X139" s="804">
        <f t="shared" si="503"/>
        <v>165.59699999999995</v>
      </c>
      <c r="Y139" s="319">
        <f t="shared" si="503"/>
        <v>214.07499999999999</v>
      </c>
      <c r="Z139" s="319">
        <f t="shared" si="503"/>
        <v>251.14500000000001</v>
      </c>
      <c r="AA139" s="740">
        <f t="shared" si="503"/>
        <v>285.74000000000007</v>
      </c>
      <c r="AB139" s="804">
        <f t="shared" si="503"/>
        <v>259.40600000000001</v>
      </c>
      <c r="AC139" s="319">
        <f t="shared" si="503"/>
        <v>298.48599999999993</v>
      </c>
      <c r="AD139" s="319">
        <f t="shared" si="503"/>
        <v>278.84100000000007</v>
      </c>
      <c r="AE139" s="740">
        <f t="shared" si="503"/>
        <v>237.53100000000001</v>
      </c>
      <c r="AF139" s="319">
        <f t="shared" si="503"/>
        <v>185.96699999999998</v>
      </c>
      <c r="AG139" s="319">
        <f t="shared" si="503"/>
        <v>212.92600000000004</v>
      </c>
      <c r="AH139" s="319">
        <f t="shared" si="503"/>
        <v>218.30699999999996</v>
      </c>
      <c r="AI139" s="319">
        <f t="shared" si="503"/>
        <v>215.27900000000005</v>
      </c>
      <c r="AJ139" s="804">
        <f t="shared" ref="AJ139:BG139" si="504">+AJ70</f>
        <v>167.56</v>
      </c>
      <c r="AK139" s="319">
        <f t="shared" si="504"/>
        <v>197.68199999999996</v>
      </c>
      <c r="AL139" s="319">
        <f t="shared" si="504"/>
        <v>208.34200000000001</v>
      </c>
      <c r="AM139" s="740">
        <f t="shared" si="504"/>
        <v>215.63900000000001</v>
      </c>
      <c r="AN139" s="319">
        <f t="shared" si="504"/>
        <v>182.29400000000007</v>
      </c>
      <c r="AO139" s="319">
        <f t="shared" si="504"/>
        <v>220.39999999999992</v>
      </c>
      <c r="AP139" s="319">
        <f t="shared" si="504"/>
        <v>234.80799999999996</v>
      </c>
      <c r="AQ139" s="740">
        <f t="shared" si="504"/>
        <v>270.69199999999989</v>
      </c>
      <c r="AR139" s="319">
        <f t="shared" si="504"/>
        <v>242.26</v>
      </c>
      <c r="AS139" s="319">
        <f t="shared" si="504"/>
        <v>276.78300000000002</v>
      </c>
      <c r="AT139" s="319">
        <f t="shared" si="504"/>
        <v>295.2050000000001</v>
      </c>
      <c r="AU139" s="740">
        <f t="shared" si="504"/>
        <v>351.38299999999992</v>
      </c>
      <c r="AV139" s="319">
        <f t="shared" si="504"/>
        <v>213.94699999999995</v>
      </c>
      <c r="AW139" s="319">
        <f t="shared" si="504"/>
        <v>239.95799999999986</v>
      </c>
      <c r="AX139" s="319">
        <f t="shared" si="504"/>
        <v>296.48699999999997</v>
      </c>
      <c r="AY139" s="740">
        <f t="shared" si="504"/>
        <v>382.23000000000008</v>
      </c>
      <c r="AZ139" s="319">
        <f t="shared" si="504"/>
        <v>344.15200000000004</v>
      </c>
      <c r="BA139" s="319">
        <f t="shared" si="504"/>
        <v>457.67399999999998</v>
      </c>
      <c r="BB139" s="319">
        <f t="shared" ref="BB139" si="505">+BB70</f>
        <v>590.90600000000006</v>
      </c>
      <c r="BC139" s="740">
        <f t="shared" si="504"/>
        <v>657.02800000000002</v>
      </c>
      <c r="BD139" s="319">
        <f t="shared" si="504"/>
        <v>633.15599999999995</v>
      </c>
      <c r="BE139" s="319">
        <f t="shared" si="504"/>
        <v>621.3700287560431</v>
      </c>
      <c r="BF139" s="319">
        <f t="shared" si="504"/>
        <v>631.9656486466713</v>
      </c>
      <c r="BG139" s="740">
        <f t="shared" si="504"/>
        <v>659.36206493108853</v>
      </c>
      <c r="BH139" s="319">
        <f t="shared" ref="BH139:BK139" si="506">+BH70</f>
        <v>596.83682381569702</v>
      </c>
      <c r="BI139" s="319">
        <f t="shared" si="506"/>
        <v>645.69019553758619</v>
      </c>
      <c r="BJ139" s="319">
        <f t="shared" si="506"/>
        <v>687.35832712266222</v>
      </c>
      <c r="BK139" s="740">
        <f t="shared" si="506"/>
        <v>728.41621555199686</v>
      </c>
      <c r="BL139" s="319">
        <f t="shared" ref="BL139:BO139" si="507">+BL70</f>
        <v>656.92911070520063</v>
      </c>
      <c r="BM139" s="319">
        <f t="shared" si="507"/>
        <v>705.40962213371324</v>
      </c>
      <c r="BN139" s="319">
        <f t="shared" si="507"/>
        <v>743.96222051530765</v>
      </c>
      <c r="BO139" s="740">
        <f t="shared" si="507"/>
        <v>780.58565874108911</v>
      </c>
      <c r="BP139" s="1162"/>
      <c r="BQ139" s="973">
        <f t="shared" ref="BQ139:CE139" si="508">+BQ70</f>
        <v>547.46699999999998</v>
      </c>
      <c r="BR139" s="970">
        <f t="shared" si="508"/>
        <v>545.89599999999973</v>
      </c>
      <c r="BS139" s="970">
        <f t="shared" si="508"/>
        <v>609.21800000000007</v>
      </c>
      <c r="BT139" s="970">
        <f t="shared" si="508"/>
        <v>628.11300000000006</v>
      </c>
      <c r="BU139" s="970">
        <f t="shared" si="508"/>
        <v>338.47299999999973</v>
      </c>
      <c r="BV139" s="970">
        <f t="shared" si="508"/>
        <v>916.55699999999979</v>
      </c>
      <c r="BW139" s="970">
        <f t="shared" si="508"/>
        <v>1074.2640000000001</v>
      </c>
      <c r="BX139" s="970">
        <f t="shared" si="508"/>
        <v>832.4789999999997</v>
      </c>
      <c r="BY139" s="970">
        <f t="shared" si="508"/>
        <v>789.2230000000003</v>
      </c>
      <c r="BZ139" s="970">
        <f t="shared" si="508"/>
        <v>908.19399999999962</v>
      </c>
      <c r="CA139" s="970">
        <f t="shared" si="508"/>
        <v>1165.6309999999996</v>
      </c>
      <c r="CB139" s="970">
        <f t="shared" si="508"/>
        <v>1132.6220000000001</v>
      </c>
      <c r="CC139" s="970">
        <f t="shared" si="508"/>
        <v>2049.7600000000007</v>
      </c>
      <c r="CD139" s="970">
        <f t="shared" si="508"/>
        <v>2545.853742333803</v>
      </c>
      <c r="CE139" s="970">
        <f t="shared" si="508"/>
        <v>2658.3015620279411</v>
      </c>
      <c r="CF139" s="1092">
        <f t="shared" ref="CF139" si="509">+CF70</f>
        <v>2886.8866120953098</v>
      </c>
      <c r="CG139" s="1162"/>
      <c r="CH139" s="804">
        <f>SUM(E139:H139)</f>
        <v>542.36700000000008</v>
      </c>
      <c r="CI139" s="319">
        <f>SUM(I139:L139)</f>
        <v>600.94999999999993</v>
      </c>
      <c r="CJ139" s="319">
        <f>SUM(M139:P139)</f>
        <v>580.52400000000011</v>
      </c>
      <c r="CK139" s="319">
        <f>SUM(Q139:T139)</f>
        <v>543.52800000000013</v>
      </c>
      <c r="CL139" s="319">
        <f>SUM(U139:X139)</f>
        <v>442.74200000000008</v>
      </c>
      <c r="CM139" s="319">
        <f>SUM(Y139:AB139)</f>
        <v>1010.366</v>
      </c>
      <c r="CN139" s="319">
        <f>SUM(AC139:AF139)</f>
        <v>1000.8249999999999</v>
      </c>
      <c r="CO139" s="319">
        <f>SUM(AG139:AJ139)</f>
        <v>814.07200000000012</v>
      </c>
      <c r="CP139" s="319">
        <f>SUM(AK139:AN139)</f>
        <v>803.95700000000011</v>
      </c>
      <c r="CQ139" s="319">
        <f>SUM(AO139:AR139)</f>
        <v>968.15999999999974</v>
      </c>
      <c r="CR139" s="319">
        <f>SUM(AS139:AV139)</f>
        <v>1137.318</v>
      </c>
      <c r="CS139" s="319">
        <f>SUM(AW139:AZ139)</f>
        <v>1262.827</v>
      </c>
      <c r="CT139" s="319">
        <f>SUM(BA139:BD139)</f>
        <v>2338.7640000000001</v>
      </c>
      <c r="CU139" s="319">
        <f>SUM(BE139:BH139)</f>
        <v>2509.5345661494998</v>
      </c>
      <c r="CV139" s="740">
        <f>SUM(BI139:BL139)</f>
        <v>2718.3938489174461</v>
      </c>
      <c r="CW139" s="721"/>
      <c r="CX139"/>
      <c r="CY139"/>
      <c r="CZ139"/>
      <c r="DA139"/>
      <c r="DB139"/>
      <c r="DC139"/>
    </row>
    <row r="140" spans="1:107" s="689" customFormat="1" ht="14.25" customHeight="1">
      <c r="A140" s="722"/>
      <c r="B140" s="976" t="s">
        <v>491</v>
      </c>
      <c r="C140" s="792"/>
      <c r="D140" s="805">
        <f>+CFS!D13</f>
        <v>38.313000000000002</v>
      </c>
      <c r="E140" s="792">
        <f>+CFS!E13</f>
        <v>39.012999999999991</v>
      </c>
      <c r="F140" s="792">
        <f>+CFS!F13</f>
        <v>37.801000000000002</v>
      </c>
      <c r="G140" s="741">
        <f>+CFS!G13</f>
        <v>38.054000000000016</v>
      </c>
      <c r="H140" s="805">
        <f>+CFS!H13</f>
        <v>43.079000000000001</v>
      </c>
      <c r="I140" s="792">
        <f>+CFS!I13</f>
        <v>42.687000000000005</v>
      </c>
      <c r="J140" s="792">
        <f>+CFS!J13</f>
        <v>42.18099999999999</v>
      </c>
      <c r="K140" s="741">
        <f>+CFS!K13</f>
        <v>38.904000000000003</v>
      </c>
      <c r="L140" s="805">
        <f>+CFS!L13</f>
        <v>35.613</v>
      </c>
      <c r="M140" s="792">
        <f>+CFS!M13</f>
        <v>35.715000000000003</v>
      </c>
      <c r="N140" s="792">
        <f>+CFS!N13</f>
        <v>35.741</v>
      </c>
      <c r="O140" s="741">
        <f>+CFS!O13</f>
        <v>35.103999999999999</v>
      </c>
      <c r="P140" s="805">
        <f>+CFS!P13</f>
        <v>35.551000000000002</v>
      </c>
      <c r="Q140" s="792">
        <f>+CFS!Q13</f>
        <v>36.265999999999991</v>
      </c>
      <c r="R140" s="792">
        <f>+CFS!R13</f>
        <v>36.244000000000014</v>
      </c>
      <c r="S140" s="741">
        <f>+CFS!S13</f>
        <v>36.161000000000001</v>
      </c>
      <c r="T140" s="805">
        <f>+CFS!T13</f>
        <v>38.755000000000003</v>
      </c>
      <c r="U140" s="792">
        <f>+CFS!U13</f>
        <v>33.439999999999991</v>
      </c>
      <c r="V140" s="792">
        <f>+CFS!V13</f>
        <v>30.300000000000004</v>
      </c>
      <c r="W140" s="741">
        <f>+CFS!W13</f>
        <v>29.997999999999983</v>
      </c>
      <c r="X140" s="805">
        <f>+CFS!X13</f>
        <v>29.280999999999999</v>
      </c>
      <c r="Y140" s="792">
        <f>+CFS!Y13</f>
        <v>28.913000000000004</v>
      </c>
      <c r="Z140" s="792">
        <f>+CFS!Z13</f>
        <v>28.581999999999994</v>
      </c>
      <c r="AA140" s="741">
        <f>+CFS!AA13</f>
        <v>29.307000000000002</v>
      </c>
      <c r="AB140" s="805">
        <f>+CFS!AB13</f>
        <v>29.492999999999999</v>
      </c>
      <c r="AC140" s="792">
        <f>+CFS!AC13</f>
        <v>29.466000000000005</v>
      </c>
      <c r="AD140" s="792">
        <f>+CFS!AD13</f>
        <v>29.132999999999992</v>
      </c>
      <c r="AE140" s="741">
        <f>+CFS!AE13</f>
        <v>28.781000000000002</v>
      </c>
      <c r="AF140" s="792">
        <f>+CFS!AF13</f>
        <v>28.242999999999999</v>
      </c>
      <c r="AG140" s="792">
        <f>+CFS!AG13</f>
        <v>26.870999999999999</v>
      </c>
      <c r="AH140" s="792">
        <f>+CFS!AH13</f>
        <v>27.10700000000001</v>
      </c>
      <c r="AI140" s="792">
        <f>+CFS!AI13</f>
        <v>27.483999999999991</v>
      </c>
      <c r="AJ140" s="805">
        <f>+CFS!AJ13</f>
        <v>27.754999999999999</v>
      </c>
      <c r="AK140" s="792">
        <f>+CFS!AK13</f>
        <v>27.478000000000005</v>
      </c>
      <c r="AL140" s="792">
        <f>+CFS!AL13</f>
        <v>27.44799999999999</v>
      </c>
      <c r="AM140" s="741">
        <f>+CFS!AM13</f>
        <v>27.514999999999997</v>
      </c>
      <c r="AN140" s="792">
        <f>+CFS!AN13</f>
        <v>27.335000000000001</v>
      </c>
      <c r="AO140" s="792">
        <f>+CFS!AO13</f>
        <v>27.458999999999996</v>
      </c>
      <c r="AP140" s="792">
        <f>+CFS!AP13</f>
        <v>28.353000000000009</v>
      </c>
      <c r="AQ140" s="741">
        <f>+CFS!AQ13</f>
        <v>30.916999999999987</v>
      </c>
      <c r="AR140" s="792">
        <f>+CFS!AR13</f>
        <v>31.773</v>
      </c>
      <c r="AS140" s="792">
        <f>+CFS!AS13</f>
        <v>32.036000000000001</v>
      </c>
      <c r="AT140" s="792">
        <f>+CFS!AT13</f>
        <v>33.650000000000006</v>
      </c>
      <c r="AU140" s="741">
        <f>+CFS!AU13</f>
        <v>32.687999999999988</v>
      </c>
      <c r="AV140" s="792">
        <f>+CFS!AV13</f>
        <v>33.209000000000003</v>
      </c>
      <c r="AW140" s="792">
        <f>+CFS!AW13</f>
        <v>33.48299999999999</v>
      </c>
      <c r="AX140" s="792">
        <f>+CFS!AX13</f>
        <v>33.732000000000014</v>
      </c>
      <c r="AY140" s="741">
        <f>+CFS!AY13</f>
        <v>34.115999999999985</v>
      </c>
      <c r="AZ140" s="792">
        <f>+CFS!AZ13</f>
        <v>34.378999999999998</v>
      </c>
      <c r="BA140" s="792">
        <f>+CFS!BA13</f>
        <v>48.771999999999998</v>
      </c>
      <c r="BB140" s="792">
        <f>+CFS!BB13</f>
        <v>55.217000000000006</v>
      </c>
      <c r="BC140" s="741">
        <f>+CFS!BC13</f>
        <v>56.297999999999995</v>
      </c>
      <c r="BD140" s="792">
        <f>+CFS!BD13</f>
        <v>56.414999999999999</v>
      </c>
      <c r="BE140" s="792">
        <f>+CFS!BE13</f>
        <v>57.646111661514844</v>
      </c>
      <c r="BF140" s="792">
        <f>+CFS!BF13</f>
        <v>58.913322459729336</v>
      </c>
      <c r="BG140" s="741">
        <f>+CFS!BG13</f>
        <v>60.222365010802449</v>
      </c>
      <c r="BH140" s="792">
        <f>+CFS!BH13</f>
        <v>58.726801575683773</v>
      </c>
      <c r="BI140" s="792">
        <f>+CFS!BI13</f>
        <v>59.966677768973426</v>
      </c>
      <c r="BJ140" s="792">
        <f>+CFS!BJ13</f>
        <v>61.252020999431963</v>
      </c>
      <c r="BK140" s="741">
        <f>+CFS!BK13</f>
        <v>62.590942698182054</v>
      </c>
      <c r="BL140" s="792">
        <f>+CFS!BL13</f>
        <v>63.860283107458798</v>
      </c>
      <c r="BM140" s="792">
        <f>+CFS!BM13</f>
        <v>65.183338064734073</v>
      </c>
      <c r="BN140" s="792">
        <f>+CFS!BN13</f>
        <v>66.548140188935093</v>
      </c>
      <c r="BO140" s="741">
        <f>+CFS!BO13</f>
        <v>67.961399049982532</v>
      </c>
      <c r="BP140" s="1163"/>
      <c r="BQ140" s="974">
        <f>+CFS!BQ13</f>
        <v>153.18100000000001</v>
      </c>
      <c r="BR140" s="971">
        <f>+CFS!BR13</f>
        <v>166.851</v>
      </c>
      <c r="BS140" s="971">
        <f>+CFS!BS13</f>
        <v>142.173</v>
      </c>
      <c r="BT140" s="971">
        <f>+CFS!BT13</f>
        <v>144.22200000000001</v>
      </c>
      <c r="BU140" s="971">
        <f>+CFS!BU13</f>
        <v>132.49299999999999</v>
      </c>
      <c r="BV140" s="971">
        <f>+CFS!BV13</f>
        <v>116.083</v>
      </c>
      <c r="BW140" s="971">
        <f>+CFS!BW13</f>
        <v>116.873</v>
      </c>
      <c r="BX140" s="971">
        <f>+CFS!BX13</f>
        <v>109.705</v>
      </c>
      <c r="BY140" s="971">
        <f>+CFS!BY13</f>
        <v>110.196</v>
      </c>
      <c r="BZ140" s="971">
        <f>+CFS!BZ13</f>
        <v>114.06399999999999</v>
      </c>
      <c r="CA140" s="971">
        <f>+CFS!CA13</f>
        <v>130.14699999999999</v>
      </c>
      <c r="CB140" s="971">
        <f>+CFS!CB13</f>
        <v>134.54</v>
      </c>
      <c r="CC140" s="971">
        <f>+CFS!CC13</f>
        <v>194.666</v>
      </c>
      <c r="CD140" s="971">
        <f>+CFS!CD13</f>
        <v>233.19679913204664</v>
      </c>
      <c r="CE140" s="971">
        <f>+CFS!CE13</f>
        <v>242.53644304227123</v>
      </c>
      <c r="CF140" s="1093">
        <f>+CFS!CG13</f>
        <v>0</v>
      </c>
      <c r="CG140" s="1163"/>
      <c r="CH140" s="805">
        <f>SUM(E140:H140)</f>
        <v>157.947</v>
      </c>
      <c r="CI140" s="792">
        <f>SUM(I140:L140)</f>
        <v>159.38499999999999</v>
      </c>
      <c r="CJ140" s="792">
        <f>SUM(M140:P140)</f>
        <v>142.11099999999999</v>
      </c>
      <c r="CK140" s="792">
        <f>SUM(Q140:T140)</f>
        <v>147.42600000000002</v>
      </c>
      <c r="CL140" s="792">
        <f>SUM(U140:X140)</f>
        <v>123.01899999999998</v>
      </c>
      <c r="CM140" s="792">
        <f>SUM(Y140:AB140)</f>
        <v>116.29499999999999</v>
      </c>
      <c r="CN140" s="792">
        <f>SUM(AC140:AF140)</f>
        <v>115.62299999999999</v>
      </c>
      <c r="CO140" s="792">
        <f>SUM(AG140:AJ140)</f>
        <v>109.217</v>
      </c>
      <c r="CP140" s="792">
        <f>SUM(AK140:AN140)</f>
        <v>109.77599999999998</v>
      </c>
      <c r="CQ140" s="792">
        <f>SUM(AO140:AR140)</f>
        <v>118.50199999999998</v>
      </c>
      <c r="CR140" s="792">
        <f>SUM(AS140:AV140)</f>
        <v>131.583</v>
      </c>
      <c r="CS140" s="792">
        <f>SUM(AW140:AZ140)</f>
        <v>135.70999999999998</v>
      </c>
      <c r="CT140" s="792">
        <f>SUM(BA140:BD140)</f>
        <v>216.702</v>
      </c>
      <c r="CU140" s="792">
        <f>SUM(BE140:BH140)</f>
        <v>235.50860070773038</v>
      </c>
      <c r="CV140" s="741">
        <f>SUM(BI140:BL140)</f>
        <v>247.66992457404623</v>
      </c>
      <c r="CW140" s="722"/>
      <c r="CX140"/>
      <c r="CY140"/>
      <c r="CZ140"/>
      <c r="DA140"/>
      <c r="DB140"/>
      <c r="DC140"/>
    </row>
    <row r="141" spans="1:107" s="690" customFormat="1" ht="14.25" customHeight="1">
      <c r="A141" s="723"/>
      <c r="B141" s="717" t="s">
        <v>496</v>
      </c>
      <c r="C141" s="663"/>
      <c r="D141" s="724">
        <f t="shared" ref="D141:AE141" si="510">+SUM(D139:D140)</f>
        <v>162.96599999999989</v>
      </c>
      <c r="E141" s="663">
        <f t="shared" si="510"/>
        <v>172.95699999999999</v>
      </c>
      <c r="F141" s="663">
        <f t="shared" si="510"/>
        <v>172.41500000000008</v>
      </c>
      <c r="G141" s="664">
        <f t="shared" si="510"/>
        <v>192.31000000000006</v>
      </c>
      <c r="H141" s="724">
        <f t="shared" si="510"/>
        <v>162.63199999999998</v>
      </c>
      <c r="I141" s="663">
        <f t="shared" si="510"/>
        <v>182.30600000000001</v>
      </c>
      <c r="J141" s="663">
        <f t="shared" si="510"/>
        <v>188.71999999999994</v>
      </c>
      <c r="K141" s="664">
        <f t="shared" si="510"/>
        <v>179.089</v>
      </c>
      <c r="L141" s="724">
        <f t="shared" si="510"/>
        <v>210.21999999999997</v>
      </c>
      <c r="M141" s="663">
        <f t="shared" si="510"/>
        <v>180.03699999999995</v>
      </c>
      <c r="N141" s="663">
        <f t="shared" si="510"/>
        <v>181.23400000000009</v>
      </c>
      <c r="O141" s="664">
        <f t="shared" si="510"/>
        <v>179.90000000000003</v>
      </c>
      <c r="P141" s="724">
        <f t="shared" si="510"/>
        <v>181.464</v>
      </c>
      <c r="Q141" s="663">
        <f t="shared" si="510"/>
        <v>193.45100000000005</v>
      </c>
      <c r="R141" s="663">
        <f t="shared" si="510"/>
        <v>197.43400000000003</v>
      </c>
      <c r="S141" s="664">
        <f t="shared" si="510"/>
        <v>199.98600000000005</v>
      </c>
      <c r="T141" s="724">
        <f t="shared" si="510"/>
        <v>100.083</v>
      </c>
      <c r="U141" s="663">
        <f t="shared" si="510"/>
        <v>103.26800000000003</v>
      </c>
      <c r="V141" s="663">
        <f t="shared" si="510"/>
        <v>109.245</v>
      </c>
      <c r="W141" s="664">
        <f t="shared" si="510"/>
        <v>158.37000000000003</v>
      </c>
      <c r="X141" s="724">
        <f t="shared" si="510"/>
        <v>194.87799999999996</v>
      </c>
      <c r="Y141" s="663">
        <f t="shared" si="510"/>
        <v>242.988</v>
      </c>
      <c r="Z141" s="663">
        <f t="shared" si="510"/>
        <v>279.72699999999998</v>
      </c>
      <c r="AA141" s="664">
        <f t="shared" si="510"/>
        <v>315.04700000000008</v>
      </c>
      <c r="AB141" s="724">
        <f t="shared" si="510"/>
        <v>288.899</v>
      </c>
      <c r="AC141" s="663">
        <f t="shared" si="510"/>
        <v>327.95199999999994</v>
      </c>
      <c r="AD141" s="663">
        <f t="shared" si="510"/>
        <v>307.97400000000005</v>
      </c>
      <c r="AE141" s="664">
        <f t="shared" si="510"/>
        <v>266.31200000000001</v>
      </c>
      <c r="AF141" s="663">
        <f t="shared" ref="AF141:AQ141" si="511">+SUM(AF139:AF140)</f>
        <v>214.20999999999998</v>
      </c>
      <c r="AG141" s="663">
        <f t="shared" si="511"/>
        <v>239.79700000000005</v>
      </c>
      <c r="AH141" s="663">
        <f t="shared" si="511"/>
        <v>245.41399999999996</v>
      </c>
      <c r="AI141" s="663">
        <f t="shared" si="511"/>
        <v>242.76300000000003</v>
      </c>
      <c r="AJ141" s="724">
        <f t="shared" si="511"/>
        <v>195.315</v>
      </c>
      <c r="AK141" s="663">
        <f t="shared" si="511"/>
        <v>225.15999999999997</v>
      </c>
      <c r="AL141" s="663">
        <f t="shared" si="511"/>
        <v>235.79</v>
      </c>
      <c r="AM141" s="664">
        <f t="shared" si="511"/>
        <v>243.154</v>
      </c>
      <c r="AN141" s="663">
        <f t="shared" si="511"/>
        <v>209.62900000000008</v>
      </c>
      <c r="AO141" s="663">
        <f t="shared" si="511"/>
        <v>247.85899999999992</v>
      </c>
      <c r="AP141" s="663">
        <f t="shared" si="511"/>
        <v>263.16099999999994</v>
      </c>
      <c r="AQ141" s="664">
        <f t="shared" si="511"/>
        <v>301.60899999999987</v>
      </c>
      <c r="AR141" s="663">
        <f t="shared" ref="AR141:AX141" si="512">+SUM(AR139:AR140)</f>
        <v>274.03300000000002</v>
      </c>
      <c r="AS141" s="663">
        <f t="shared" si="512"/>
        <v>308.81900000000002</v>
      </c>
      <c r="AT141" s="663">
        <f t="shared" si="512"/>
        <v>328.85500000000013</v>
      </c>
      <c r="AU141" s="664">
        <f t="shared" si="512"/>
        <v>384.07099999999991</v>
      </c>
      <c r="AV141" s="663">
        <f>+SUM(AV139:AV140)</f>
        <v>247.15599999999995</v>
      </c>
      <c r="AW141" s="663">
        <f t="shared" si="512"/>
        <v>273.44099999999986</v>
      </c>
      <c r="AX141" s="663">
        <f t="shared" si="512"/>
        <v>330.21899999999999</v>
      </c>
      <c r="AY141" s="664">
        <f t="shared" ref="AY141" si="513">+SUM(AY139:AY140)</f>
        <v>416.34600000000006</v>
      </c>
      <c r="AZ141" s="663">
        <f>+SUM(AZ139:AZ140)</f>
        <v>378.53100000000006</v>
      </c>
      <c r="BA141" s="663">
        <f>+SUM(BA139:BA140)</f>
        <v>506.44599999999997</v>
      </c>
      <c r="BB141" s="663">
        <f t="shared" ref="BB141" si="514">+SUM(BB139:BB140)</f>
        <v>646.12300000000005</v>
      </c>
      <c r="BC141" s="664">
        <f t="shared" ref="BC141:BG141" si="515">+SUM(BC139:BC140)</f>
        <v>713.32600000000002</v>
      </c>
      <c r="BD141" s="663">
        <f t="shared" si="515"/>
        <v>689.57099999999991</v>
      </c>
      <c r="BE141" s="663">
        <f t="shared" si="515"/>
        <v>679.01614041755795</v>
      </c>
      <c r="BF141" s="663">
        <f t="shared" si="515"/>
        <v>690.87897110640063</v>
      </c>
      <c r="BG141" s="664">
        <f t="shared" si="515"/>
        <v>719.58442994189102</v>
      </c>
      <c r="BH141" s="663">
        <f t="shared" ref="BH141:BK141" si="516">+SUM(BH139:BH140)</f>
        <v>655.56362539138081</v>
      </c>
      <c r="BI141" s="663">
        <f t="shared" si="516"/>
        <v>705.65687330655965</v>
      </c>
      <c r="BJ141" s="663">
        <f t="shared" si="516"/>
        <v>748.61034812209414</v>
      </c>
      <c r="BK141" s="664">
        <f t="shared" si="516"/>
        <v>791.00715825017892</v>
      </c>
      <c r="BL141" s="663">
        <f t="shared" ref="BL141:BO141" si="517">+SUM(BL139:BL140)</f>
        <v>720.78939381265945</v>
      </c>
      <c r="BM141" s="663">
        <f t="shared" si="517"/>
        <v>770.59296019844737</v>
      </c>
      <c r="BN141" s="663">
        <f t="shared" si="517"/>
        <v>810.51036070424277</v>
      </c>
      <c r="BO141" s="664">
        <f t="shared" si="517"/>
        <v>848.54705779107167</v>
      </c>
      <c r="BP141" s="1007"/>
      <c r="BQ141" s="977">
        <f>+SUM(BQ139:BQ140)</f>
        <v>700.64800000000002</v>
      </c>
      <c r="BR141" s="972">
        <f t="shared" ref="BR141:CE141" si="518">+SUM(BR139:BR140)</f>
        <v>712.74699999999973</v>
      </c>
      <c r="BS141" s="972">
        <f t="shared" si="518"/>
        <v>751.39100000000008</v>
      </c>
      <c r="BT141" s="972">
        <f t="shared" si="518"/>
        <v>772.33500000000004</v>
      </c>
      <c r="BU141" s="972">
        <f t="shared" si="518"/>
        <v>470.96599999999972</v>
      </c>
      <c r="BV141" s="972">
        <f t="shared" si="518"/>
        <v>1032.6399999999999</v>
      </c>
      <c r="BW141" s="972">
        <f t="shared" si="518"/>
        <v>1191.1370000000002</v>
      </c>
      <c r="BX141" s="972">
        <f t="shared" si="518"/>
        <v>942.18399999999974</v>
      </c>
      <c r="BY141" s="972">
        <f t="shared" si="518"/>
        <v>899.41900000000032</v>
      </c>
      <c r="BZ141" s="972">
        <f t="shared" si="518"/>
        <v>1022.2579999999996</v>
      </c>
      <c r="CA141" s="972">
        <f t="shared" si="518"/>
        <v>1295.7779999999996</v>
      </c>
      <c r="CB141" s="972">
        <f t="shared" si="518"/>
        <v>1267.162</v>
      </c>
      <c r="CC141" s="972">
        <f>+SUM(CC139:CC140)</f>
        <v>2244.4260000000008</v>
      </c>
      <c r="CD141" s="972">
        <f t="shared" si="518"/>
        <v>2779.0505414658496</v>
      </c>
      <c r="CE141" s="972">
        <f t="shared" si="518"/>
        <v>2900.8380050702126</v>
      </c>
      <c r="CF141" s="1094">
        <f t="shared" ref="CF141" si="519">+SUM(CF139:CF140)</f>
        <v>2886.8866120953098</v>
      </c>
      <c r="CG141" s="1007"/>
      <c r="CH141" s="724">
        <f>SUM(E141:H141)</f>
        <v>700.31400000000008</v>
      </c>
      <c r="CI141" s="663">
        <f>SUM(I141:L141)</f>
        <v>760.33500000000004</v>
      </c>
      <c r="CJ141" s="663">
        <f>SUM(M141:P141)</f>
        <v>722.63499999999999</v>
      </c>
      <c r="CK141" s="663">
        <f>SUM(Q141:T141)</f>
        <v>690.95400000000006</v>
      </c>
      <c r="CL141" s="663">
        <f>SUM(U141:X141)</f>
        <v>565.76099999999997</v>
      </c>
      <c r="CM141" s="663">
        <f>SUM(Y141:AB141)</f>
        <v>1126.6610000000001</v>
      </c>
      <c r="CN141" s="663">
        <f>SUM(AC141:AF141)</f>
        <v>1116.4479999999999</v>
      </c>
      <c r="CO141" s="663">
        <f>SUM(AG141:AJ141)</f>
        <v>923.28899999999999</v>
      </c>
      <c r="CP141" s="663">
        <f>SUM(AK141:AN141)</f>
        <v>913.73299999999995</v>
      </c>
      <c r="CQ141" s="663">
        <f>SUM(AO141:AR141)</f>
        <v>1086.6619999999998</v>
      </c>
      <c r="CR141" s="663">
        <f>SUM(AS141:AV141)</f>
        <v>1268.9010000000001</v>
      </c>
      <c r="CS141" s="663">
        <f>SUM(AW141:AZ141)</f>
        <v>1398.5369999999998</v>
      </c>
      <c r="CT141" s="663">
        <f>SUM(BA141:BD141)</f>
        <v>2555.4659999999999</v>
      </c>
      <c r="CU141" s="663">
        <f>SUM(BE141:BH141)</f>
        <v>2745.0431668572305</v>
      </c>
      <c r="CV141" s="664">
        <f>SUM(BI141:BL141)</f>
        <v>2966.0637734914922</v>
      </c>
      <c r="CW141" s="663"/>
      <c r="CX141"/>
      <c r="CY141"/>
      <c r="CZ141"/>
      <c r="DA141"/>
      <c r="DB141"/>
      <c r="DC141"/>
    </row>
    <row r="142" spans="1:107" s="690" customFormat="1" ht="14.25" customHeight="1">
      <c r="A142" s="723"/>
      <c r="B142" s="717"/>
      <c r="C142" s="663"/>
      <c r="D142" s="724"/>
      <c r="E142" s="663"/>
      <c r="F142" s="663"/>
      <c r="G142" s="664"/>
      <c r="H142" s="724"/>
      <c r="I142" s="663"/>
      <c r="J142" s="663"/>
      <c r="K142" s="664"/>
      <c r="L142" s="724"/>
      <c r="M142" s="663"/>
      <c r="N142" s="663"/>
      <c r="O142" s="664"/>
      <c r="P142" s="724"/>
      <c r="Q142" s="663"/>
      <c r="R142" s="663"/>
      <c r="S142" s="664"/>
      <c r="T142" s="724"/>
      <c r="U142" s="663"/>
      <c r="V142" s="663"/>
      <c r="W142" s="664"/>
      <c r="X142" s="724"/>
      <c r="Y142" s="663"/>
      <c r="Z142" s="663"/>
      <c r="AA142" s="664"/>
      <c r="AB142" s="724"/>
      <c r="AC142" s="663"/>
      <c r="AD142" s="663"/>
      <c r="AE142" s="664"/>
      <c r="AF142" s="663"/>
      <c r="AG142" s="663"/>
      <c r="AH142" s="663"/>
      <c r="AI142" s="663"/>
      <c r="AJ142" s="724"/>
      <c r="AK142" s="663"/>
      <c r="AL142" s="663"/>
      <c r="AM142" s="664"/>
      <c r="AN142" s="663"/>
      <c r="AO142" s="663"/>
      <c r="AP142" s="663"/>
      <c r="AQ142" s="664"/>
      <c r="AR142" s="663"/>
      <c r="AS142" s="663"/>
      <c r="AT142" s="663"/>
      <c r="AU142" s="664"/>
      <c r="AV142" s="663"/>
      <c r="AW142" s="663"/>
      <c r="AX142" s="663"/>
      <c r="AY142" s="664"/>
      <c r="AZ142" s="663"/>
      <c r="BA142" s="663"/>
      <c r="BB142" s="663"/>
      <c r="BC142" s="664"/>
      <c r="BD142" s="663"/>
      <c r="BE142" s="663"/>
      <c r="BF142" s="663"/>
      <c r="BG142" s="664"/>
      <c r="BH142" s="663"/>
      <c r="BI142" s="663"/>
      <c r="BJ142" s="663"/>
      <c r="BK142" s="664"/>
      <c r="BL142" s="663"/>
      <c r="BM142" s="663"/>
      <c r="BN142" s="663"/>
      <c r="BO142" s="664"/>
      <c r="BP142" s="1007"/>
      <c r="BQ142" s="977"/>
      <c r="BR142" s="972"/>
      <c r="BS142" s="972"/>
      <c r="BT142" s="972"/>
      <c r="BU142" s="972"/>
      <c r="BV142" s="972"/>
      <c r="BW142" s="972"/>
      <c r="BX142" s="972"/>
      <c r="BY142" s="972"/>
      <c r="BZ142" s="972"/>
      <c r="CA142" s="972"/>
      <c r="CB142" s="972"/>
      <c r="CC142" s="972"/>
      <c r="CD142" s="972"/>
      <c r="CE142" s="972"/>
      <c r="CF142" s="1094"/>
      <c r="CG142" s="1007"/>
      <c r="CH142" s="724"/>
      <c r="CI142" s="663"/>
      <c r="CJ142" s="663"/>
      <c r="CK142" s="663"/>
      <c r="CL142" s="663"/>
      <c r="CM142" s="663"/>
      <c r="CN142" s="663"/>
      <c r="CO142" s="663"/>
      <c r="CP142" s="663"/>
      <c r="CQ142" s="663"/>
      <c r="CR142" s="663"/>
      <c r="CS142" s="663"/>
      <c r="CT142" s="663"/>
      <c r="CU142" s="663"/>
      <c r="CV142" s="664"/>
      <c r="CW142" s="663"/>
      <c r="CX142"/>
      <c r="CY142"/>
      <c r="CZ142"/>
      <c r="DA142"/>
      <c r="DB142"/>
      <c r="DC142"/>
    </row>
    <row r="143" spans="1:107" s="825" customFormat="1" ht="14.25" customHeight="1">
      <c r="A143" s="769"/>
      <c r="B143" s="730" t="s">
        <v>440</v>
      </c>
      <c r="C143" s="793"/>
      <c r="D143" s="806"/>
      <c r="E143" s="793"/>
      <c r="F143" s="793"/>
      <c r="G143" s="794"/>
      <c r="H143" s="806"/>
      <c r="I143" s="793"/>
      <c r="J143" s="793"/>
      <c r="K143" s="794"/>
      <c r="L143" s="806"/>
      <c r="M143" s="793"/>
      <c r="N143" s="793"/>
      <c r="O143" s="794"/>
      <c r="P143" s="806"/>
      <c r="Q143" s="793"/>
      <c r="R143" s="793"/>
      <c r="S143" s="794"/>
      <c r="T143" s="806"/>
      <c r="U143" s="793"/>
      <c r="V143" s="793"/>
      <c r="W143" s="794"/>
      <c r="X143" s="806"/>
      <c r="Y143" s="793"/>
      <c r="Z143" s="793"/>
      <c r="AA143" s="794"/>
      <c r="AB143" s="806"/>
      <c r="AC143" s="793"/>
      <c r="AD143" s="793"/>
      <c r="AE143" s="794"/>
      <c r="AF143" s="793">
        <f t="shared" ref="AF143:BC143" si="520">+AF82</f>
        <v>182.63299999999998</v>
      </c>
      <c r="AG143" s="793">
        <f t="shared" si="520"/>
        <v>210.00300000000004</v>
      </c>
      <c r="AH143" s="793">
        <f t="shared" si="520"/>
        <v>215.35399999999996</v>
      </c>
      <c r="AI143" s="793">
        <f t="shared" si="520"/>
        <v>212.51500000000004</v>
      </c>
      <c r="AJ143" s="806">
        <f t="shared" si="520"/>
        <v>164.37899999999999</v>
      </c>
      <c r="AK143" s="793">
        <f t="shared" si="520"/>
        <v>194.36899999999997</v>
      </c>
      <c r="AL143" s="793">
        <f t="shared" si="520"/>
        <v>203.79500000000002</v>
      </c>
      <c r="AM143" s="794">
        <f t="shared" si="520"/>
        <v>212.33100000000002</v>
      </c>
      <c r="AN143" s="793">
        <f t="shared" si="520"/>
        <v>179.00700000000006</v>
      </c>
      <c r="AO143" s="793">
        <f t="shared" si="520"/>
        <v>217.11299999999991</v>
      </c>
      <c r="AP143" s="793">
        <f t="shared" si="520"/>
        <v>226.20799999999997</v>
      </c>
      <c r="AQ143" s="794">
        <f t="shared" si="520"/>
        <v>259.4609999999999</v>
      </c>
      <c r="AR143" s="793">
        <f t="shared" si="520"/>
        <v>242.26</v>
      </c>
      <c r="AS143" s="793">
        <f t="shared" si="520"/>
        <v>276.78300000000002</v>
      </c>
      <c r="AT143" s="793">
        <f t="shared" si="520"/>
        <v>289.4140000000001</v>
      </c>
      <c r="AU143" s="794">
        <f t="shared" si="520"/>
        <v>351.38299999999992</v>
      </c>
      <c r="AV143" s="793">
        <f>+AV82</f>
        <v>204.08399999999995</v>
      </c>
      <c r="AW143" s="793">
        <f t="shared" si="520"/>
        <v>227.48899999999986</v>
      </c>
      <c r="AX143" s="793">
        <f t="shared" si="520"/>
        <v>284.17999999999995</v>
      </c>
      <c r="AY143" s="794">
        <f t="shared" ref="AY143" si="521">+AY82</f>
        <v>362.34800000000007</v>
      </c>
      <c r="AZ143" s="793">
        <f>+AZ82</f>
        <v>311.19300000000004</v>
      </c>
      <c r="BA143" s="793">
        <f t="shared" si="520"/>
        <v>398.553</v>
      </c>
      <c r="BB143" s="793">
        <f t="shared" ref="BB143" si="522">+BB82</f>
        <v>522.88300000000004</v>
      </c>
      <c r="BC143" s="794">
        <f t="shared" si="520"/>
        <v>590.48199999999997</v>
      </c>
      <c r="BD143" s="793">
        <f t="shared" ref="BD143:BK143" si="523">+BD82</f>
        <v>566.66199999999992</v>
      </c>
      <c r="BE143" s="793">
        <f t="shared" si="523"/>
        <v>561.3700287560431</v>
      </c>
      <c r="BF143" s="793">
        <f t="shared" si="523"/>
        <v>574.9656486466713</v>
      </c>
      <c r="BG143" s="794">
        <f t="shared" si="523"/>
        <v>605.36206493108853</v>
      </c>
      <c r="BH143" s="793">
        <f t="shared" si="523"/>
        <v>544.83682381569702</v>
      </c>
      <c r="BI143" s="793">
        <f t="shared" si="523"/>
        <v>595.69019553758619</v>
      </c>
      <c r="BJ143" s="793">
        <f t="shared" si="523"/>
        <v>639.35832712266222</v>
      </c>
      <c r="BK143" s="794">
        <f t="shared" si="523"/>
        <v>682.41621555199686</v>
      </c>
      <c r="BL143" s="793">
        <f t="shared" ref="BL143:BO143" si="524">+BL82</f>
        <v>612.92911070520063</v>
      </c>
      <c r="BM143" s="793">
        <f t="shared" si="524"/>
        <v>663.40962213371324</v>
      </c>
      <c r="BN143" s="793">
        <f t="shared" si="524"/>
        <v>703.96222051530765</v>
      </c>
      <c r="BO143" s="794">
        <f t="shared" si="524"/>
        <v>742.58565874108911</v>
      </c>
      <c r="BP143" s="1008"/>
      <c r="BQ143" s="996">
        <f t="shared" ref="BQ143:CE143" si="525">+BQ82</f>
        <v>619.12799999999993</v>
      </c>
      <c r="BR143" s="988">
        <f t="shared" si="525"/>
        <v>646.01299999999969</v>
      </c>
      <c r="BS143" s="988">
        <f t="shared" si="525"/>
        <v>686.22500000000014</v>
      </c>
      <c r="BT143" s="988">
        <f t="shared" si="525"/>
        <v>669.154</v>
      </c>
      <c r="BU143" s="988">
        <f t="shared" si="525"/>
        <v>349.99999999999972</v>
      </c>
      <c r="BV143" s="988">
        <f t="shared" si="525"/>
        <v>915.9649999999998</v>
      </c>
      <c r="BW143" s="988">
        <f t="shared" si="525"/>
        <v>1064.1780000000001</v>
      </c>
      <c r="BX143" s="988">
        <f t="shared" si="525"/>
        <v>820.50499999999965</v>
      </c>
      <c r="BY143" s="988">
        <f t="shared" si="525"/>
        <v>774.87400000000025</v>
      </c>
      <c r="BZ143" s="988">
        <f t="shared" si="525"/>
        <v>885.65299999999957</v>
      </c>
      <c r="CA143" s="988">
        <f t="shared" si="525"/>
        <v>1161.1049999999996</v>
      </c>
      <c r="CB143" s="988">
        <f t="shared" si="525"/>
        <v>1077.597</v>
      </c>
      <c r="CC143" s="988">
        <f t="shared" si="525"/>
        <v>1823.1110000000008</v>
      </c>
      <c r="CD143" s="988">
        <f t="shared" si="525"/>
        <v>2308.3597423338028</v>
      </c>
      <c r="CE143" s="988">
        <f t="shared" si="525"/>
        <v>2462.3015620279411</v>
      </c>
      <c r="CF143" s="1095">
        <f t="shared" ref="CF143" si="526">+CF82</f>
        <v>2722.8866120953098</v>
      </c>
      <c r="CG143" s="1008"/>
      <c r="CH143" s="806">
        <f t="shared" ref="CH143:CS143" si="527">+CH82</f>
        <v>622.72400000000016</v>
      </c>
      <c r="CI143" s="793">
        <f t="shared" si="527"/>
        <v>702.65699999999981</v>
      </c>
      <c r="CJ143" s="793">
        <f t="shared" si="527"/>
        <v>645.22000000000048</v>
      </c>
      <c r="CK143" s="793">
        <f t="shared" si="527"/>
        <v>579.83899999999994</v>
      </c>
      <c r="CL143" s="793">
        <f t="shared" si="527"/>
        <v>446.11500000000007</v>
      </c>
      <c r="CM143" s="793">
        <f t="shared" si="527"/>
        <v>1009.587</v>
      </c>
      <c r="CN143" s="793">
        <f t="shared" si="527"/>
        <v>987.94999999999982</v>
      </c>
      <c r="CO143" s="793">
        <f t="shared" si="527"/>
        <v>802.25099999999998</v>
      </c>
      <c r="CP143" s="793">
        <f t="shared" si="527"/>
        <v>789.50200000000007</v>
      </c>
      <c r="CQ143" s="793">
        <f t="shared" si="527"/>
        <v>948.90599999999972</v>
      </c>
      <c r="CR143" s="793">
        <f t="shared" si="527"/>
        <v>1122.9289999999999</v>
      </c>
      <c r="CS143" s="793">
        <f t="shared" si="527"/>
        <v>1185.0510000000004</v>
      </c>
      <c r="CT143" s="793">
        <f>+CT82</f>
        <v>2078.58</v>
      </c>
      <c r="CU143" s="793">
        <f>+CU82</f>
        <v>2286.5345661495012</v>
      </c>
      <c r="CV143" s="794">
        <f>+CV82</f>
        <v>2530.3938489174448</v>
      </c>
      <c r="CW143" s="793"/>
      <c r="CX143"/>
      <c r="CY143"/>
      <c r="CZ143"/>
      <c r="DA143"/>
      <c r="DB143"/>
      <c r="DC143"/>
    </row>
    <row r="144" spans="1:107" s="986" customFormat="1" ht="14.25" customHeight="1">
      <c r="A144" s="984"/>
      <c r="B144" s="978" t="s">
        <v>497</v>
      </c>
      <c r="C144" s="985"/>
      <c r="D144" s="978"/>
      <c r="E144" s="985"/>
      <c r="F144" s="985"/>
      <c r="G144" s="989"/>
      <c r="H144" s="978"/>
      <c r="I144" s="985"/>
      <c r="J144" s="985"/>
      <c r="K144" s="989"/>
      <c r="L144" s="978"/>
      <c r="M144" s="985"/>
      <c r="N144" s="985"/>
      <c r="O144" s="989"/>
      <c r="P144" s="978"/>
      <c r="Q144" s="985"/>
      <c r="R144" s="985"/>
      <c r="S144" s="989"/>
      <c r="T144" s="978"/>
      <c r="U144" s="985"/>
      <c r="V144" s="985"/>
      <c r="W144" s="989"/>
      <c r="X144" s="978"/>
      <c r="Y144" s="985"/>
      <c r="Z144" s="985"/>
      <c r="AA144" s="989"/>
      <c r="AB144" s="978"/>
      <c r="AC144" s="985"/>
      <c r="AD144" s="985"/>
      <c r="AE144" s="989"/>
      <c r="AF144" s="983">
        <v>0.3</v>
      </c>
      <c r="AG144" s="985">
        <f>+AF144</f>
        <v>0.3</v>
      </c>
      <c r="AH144" s="985">
        <f t="shared" ref="AH144:AQ144" si="528">+AG144</f>
        <v>0.3</v>
      </c>
      <c r="AI144" s="985">
        <f t="shared" si="528"/>
        <v>0.3</v>
      </c>
      <c r="AJ144" s="978">
        <f t="shared" si="528"/>
        <v>0.3</v>
      </c>
      <c r="AK144" s="985">
        <f t="shared" si="528"/>
        <v>0.3</v>
      </c>
      <c r="AL144" s="985">
        <f>+AK144</f>
        <v>0.3</v>
      </c>
      <c r="AM144" s="989">
        <f>+AL144</f>
        <v>0.3</v>
      </c>
      <c r="AN144" s="985">
        <f t="shared" si="528"/>
        <v>0.3</v>
      </c>
      <c r="AO144" s="985">
        <f t="shared" si="528"/>
        <v>0.3</v>
      </c>
      <c r="AP144" s="985">
        <f t="shared" si="528"/>
        <v>0.3</v>
      </c>
      <c r="AQ144" s="989">
        <f t="shared" si="528"/>
        <v>0.3</v>
      </c>
      <c r="AR144" s="985">
        <f t="shared" ref="AR144:BB144" si="529">+AQ144</f>
        <v>0.3</v>
      </c>
      <c r="AS144" s="985">
        <f t="shared" si="529"/>
        <v>0.3</v>
      </c>
      <c r="AT144" s="985">
        <f t="shared" si="529"/>
        <v>0.3</v>
      </c>
      <c r="AU144" s="989">
        <f t="shared" si="529"/>
        <v>0.3</v>
      </c>
      <c r="AV144" s="985">
        <f t="shared" si="529"/>
        <v>0.3</v>
      </c>
      <c r="AW144" s="985">
        <f t="shared" si="529"/>
        <v>0.3</v>
      </c>
      <c r="AX144" s="985">
        <f t="shared" si="529"/>
        <v>0.3</v>
      </c>
      <c r="AY144" s="989">
        <f>+AX144</f>
        <v>0.3</v>
      </c>
      <c r="AZ144" s="985">
        <f t="shared" si="529"/>
        <v>0.3</v>
      </c>
      <c r="BA144" s="985">
        <f t="shared" ref="BA144:BG144" si="530">+AZ144</f>
        <v>0.3</v>
      </c>
      <c r="BB144" s="985">
        <f t="shared" si="529"/>
        <v>0.3</v>
      </c>
      <c r="BC144" s="989">
        <f t="shared" si="530"/>
        <v>0.3</v>
      </c>
      <c r="BD144" s="985">
        <f t="shared" si="530"/>
        <v>0.3</v>
      </c>
      <c r="BE144" s="985">
        <f t="shared" si="530"/>
        <v>0.3</v>
      </c>
      <c r="BF144" s="985">
        <f t="shared" si="530"/>
        <v>0.3</v>
      </c>
      <c r="BG144" s="989">
        <f t="shared" si="530"/>
        <v>0.3</v>
      </c>
      <c r="BH144" s="985">
        <f t="shared" ref="BH144" si="531">+BG144</f>
        <v>0.3</v>
      </c>
      <c r="BI144" s="985">
        <f t="shared" ref="BI144" si="532">+BH144</f>
        <v>0.3</v>
      </c>
      <c r="BJ144" s="985">
        <f t="shared" ref="BJ144" si="533">+BI144</f>
        <v>0.3</v>
      </c>
      <c r="BK144" s="989">
        <f t="shared" ref="BK144" si="534">+BJ144</f>
        <v>0.3</v>
      </c>
      <c r="BL144" s="985">
        <f t="shared" ref="BL144" si="535">+BK144</f>
        <v>0.3</v>
      </c>
      <c r="BM144" s="985">
        <f t="shared" ref="BM144" si="536">+BL144</f>
        <v>0.3</v>
      </c>
      <c r="BN144" s="985">
        <f t="shared" ref="BN144" si="537">+BM144</f>
        <v>0.3</v>
      </c>
      <c r="BO144" s="989">
        <f t="shared" ref="BO144" si="538">+BN144</f>
        <v>0.3</v>
      </c>
      <c r="BP144" s="1009"/>
      <c r="BQ144" s="997">
        <f>+AF144</f>
        <v>0.3</v>
      </c>
      <c r="BR144" s="929">
        <f>+BQ144</f>
        <v>0.3</v>
      </c>
      <c r="BS144" s="929">
        <f t="shared" ref="BS144:CF144" si="539">+BR144</f>
        <v>0.3</v>
      </c>
      <c r="BT144" s="929">
        <f t="shared" si="539"/>
        <v>0.3</v>
      </c>
      <c r="BU144" s="929">
        <f t="shared" si="539"/>
        <v>0.3</v>
      </c>
      <c r="BV144" s="929">
        <f t="shared" si="539"/>
        <v>0.3</v>
      </c>
      <c r="BW144" s="929">
        <f t="shared" si="539"/>
        <v>0.3</v>
      </c>
      <c r="BX144" s="929">
        <f t="shared" si="539"/>
        <v>0.3</v>
      </c>
      <c r="BY144" s="929">
        <f t="shared" si="539"/>
        <v>0.3</v>
      </c>
      <c r="BZ144" s="929">
        <f t="shared" si="539"/>
        <v>0.3</v>
      </c>
      <c r="CA144" s="929">
        <f>+BZ144</f>
        <v>0.3</v>
      </c>
      <c r="CB144" s="929">
        <f>+CA144</f>
        <v>0.3</v>
      </c>
      <c r="CC144" s="929">
        <f>+CB144</f>
        <v>0.3</v>
      </c>
      <c r="CD144" s="929">
        <f t="shared" si="539"/>
        <v>0.3</v>
      </c>
      <c r="CE144" s="929">
        <f t="shared" si="539"/>
        <v>0.3</v>
      </c>
      <c r="CF144" s="930">
        <f t="shared" si="539"/>
        <v>0.3</v>
      </c>
      <c r="CG144" s="1009"/>
      <c r="CH144" s="978">
        <f>+AF144</f>
        <v>0.3</v>
      </c>
      <c r="CI144" s="985">
        <f>+CH144</f>
        <v>0.3</v>
      </c>
      <c r="CJ144" s="985">
        <f t="shared" ref="CJ144:CP144" si="540">+CI144</f>
        <v>0.3</v>
      </c>
      <c r="CK144" s="985">
        <f t="shared" si="540"/>
        <v>0.3</v>
      </c>
      <c r="CL144" s="985">
        <f t="shared" si="540"/>
        <v>0.3</v>
      </c>
      <c r="CM144" s="985">
        <f t="shared" si="540"/>
        <v>0.3</v>
      </c>
      <c r="CN144" s="985">
        <f t="shared" si="540"/>
        <v>0.3</v>
      </c>
      <c r="CO144" s="985">
        <f t="shared" si="540"/>
        <v>0.3</v>
      </c>
      <c r="CP144" s="985">
        <f t="shared" si="540"/>
        <v>0.3</v>
      </c>
      <c r="CQ144" s="985">
        <f t="shared" ref="CQ144:CV144" si="541">+CP144</f>
        <v>0.3</v>
      </c>
      <c r="CR144" s="985">
        <f t="shared" si="541"/>
        <v>0.3</v>
      </c>
      <c r="CS144" s="985">
        <f t="shared" si="541"/>
        <v>0.3</v>
      </c>
      <c r="CT144" s="985">
        <f t="shared" si="541"/>
        <v>0.3</v>
      </c>
      <c r="CU144" s="985">
        <f t="shared" si="541"/>
        <v>0.3</v>
      </c>
      <c r="CV144" s="989">
        <f t="shared" si="541"/>
        <v>0.3</v>
      </c>
      <c r="CW144" s="985"/>
      <c r="CX144"/>
      <c r="CY144"/>
      <c r="CZ144"/>
      <c r="DA144"/>
      <c r="DB144"/>
      <c r="DC144"/>
    </row>
    <row r="145" spans="1:112" s="825" customFormat="1" ht="14.25" customHeight="1">
      <c r="A145" s="769"/>
      <c r="B145" s="730" t="s">
        <v>498</v>
      </c>
      <c r="C145" s="793"/>
      <c r="D145" s="806"/>
      <c r="E145" s="793"/>
      <c r="F145" s="793"/>
      <c r="G145" s="794"/>
      <c r="H145" s="806"/>
      <c r="I145" s="793"/>
      <c r="J145" s="793"/>
      <c r="K145" s="794"/>
      <c r="L145" s="806"/>
      <c r="M145" s="793"/>
      <c r="N145" s="793"/>
      <c r="O145" s="794"/>
      <c r="P145" s="806"/>
      <c r="Q145" s="793"/>
      <c r="R145" s="793"/>
      <c r="S145" s="794"/>
      <c r="T145" s="806"/>
      <c r="U145" s="793"/>
      <c r="V145" s="793"/>
      <c r="W145" s="794"/>
      <c r="X145" s="806"/>
      <c r="Y145" s="793"/>
      <c r="Z145" s="793"/>
      <c r="AA145" s="794"/>
      <c r="AB145" s="806"/>
      <c r="AC145" s="793"/>
      <c r="AD145" s="793"/>
      <c r="AE145" s="794"/>
      <c r="AF145" s="793">
        <f>+AF143*AF144</f>
        <v>54.789899999999996</v>
      </c>
      <c r="AG145" s="793">
        <f t="shared" ref="AG145:AQ145" si="542">+AG143*AG144</f>
        <v>63.000900000000009</v>
      </c>
      <c r="AH145" s="793">
        <f t="shared" si="542"/>
        <v>64.606199999999987</v>
      </c>
      <c r="AI145" s="793">
        <f t="shared" si="542"/>
        <v>63.754500000000007</v>
      </c>
      <c r="AJ145" s="806">
        <f t="shared" si="542"/>
        <v>49.313699999999997</v>
      </c>
      <c r="AK145" s="793">
        <f t="shared" si="542"/>
        <v>58.31069999999999</v>
      </c>
      <c r="AL145" s="793">
        <f t="shared" si="542"/>
        <v>61.138500000000001</v>
      </c>
      <c r="AM145" s="794">
        <f t="shared" si="542"/>
        <v>63.699300000000001</v>
      </c>
      <c r="AN145" s="793">
        <f t="shared" si="542"/>
        <v>53.702100000000016</v>
      </c>
      <c r="AO145" s="793">
        <f t="shared" si="542"/>
        <v>65.133899999999969</v>
      </c>
      <c r="AP145" s="793">
        <f t="shared" si="542"/>
        <v>67.862399999999994</v>
      </c>
      <c r="AQ145" s="794">
        <f t="shared" si="542"/>
        <v>77.838299999999961</v>
      </c>
      <c r="AR145" s="793">
        <f t="shared" ref="AR145:AX145" si="543">+AR143*AR144</f>
        <v>72.677999999999997</v>
      </c>
      <c r="AS145" s="793">
        <f t="shared" si="543"/>
        <v>83.034900000000007</v>
      </c>
      <c r="AT145" s="793">
        <f t="shared" si="543"/>
        <v>86.824200000000033</v>
      </c>
      <c r="AU145" s="794">
        <f t="shared" si="543"/>
        <v>105.41489999999997</v>
      </c>
      <c r="AV145" s="793">
        <f>+AV143*AV144</f>
        <v>61.22519999999998</v>
      </c>
      <c r="AW145" s="793">
        <f t="shared" si="543"/>
        <v>68.246699999999962</v>
      </c>
      <c r="AX145" s="793">
        <f t="shared" si="543"/>
        <v>85.253999999999976</v>
      </c>
      <c r="AY145" s="794">
        <f t="shared" ref="AY145" si="544">+AY143*AY144</f>
        <v>108.70440000000002</v>
      </c>
      <c r="AZ145" s="793">
        <f>+AZ143*AZ144</f>
        <v>93.357900000000015</v>
      </c>
      <c r="BA145" s="793">
        <f t="shared" ref="BA145:BG145" si="545">+BA143*BA144</f>
        <v>119.5659</v>
      </c>
      <c r="BB145" s="793">
        <f t="shared" si="545"/>
        <v>156.86490000000001</v>
      </c>
      <c r="BC145" s="794">
        <f t="shared" si="545"/>
        <v>177.1446</v>
      </c>
      <c r="BD145" s="793">
        <f t="shared" si="545"/>
        <v>169.99859999999998</v>
      </c>
      <c r="BE145" s="793">
        <f t="shared" si="545"/>
        <v>168.41100862681293</v>
      </c>
      <c r="BF145" s="793">
        <f t="shared" si="545"/>
        <v>172.48969459400138</v>
      </c>
      <c r="BG145" s="794">
        <f t="shared" si="545"/>
        <v>181.60861947932656</v>
      </c>
      <c r="BH145" s="793">
        <f t="shared" ref="BH145:BK145" si="546">+BH143*BH144</f>
        <v>163.45104714470909</v>
      </c>
      <c r="BI145" s="793">
        <f t="shared" si="546"/>
        <v>178.70705866127585</v>
      </c>
      <c r="BJ145" s="793">
        <f t="shared" si="546"/>
        <v>191.80749813679867</v>
      </c>
      <c r="BK145" s="794">
        <f t="shared" si="546"/>
        <v>204.72486466559906</v>
      </c>
      <c r="BL145" s="793">
        <f t="shared" ref="BL145:BO145" si="547">+BL143*BL144</f>
        <v>183.87873321156019</v>
      </c>
      <c r="BM145" s="793">
        <f t="shared" si="547"/>
        <v>199.02288664011397</v>
      </c>
      <c r="BN145" s="793">
        <f t="shared" si="547"/>
        <v>211.18866615459228</v>
      </c>
      <c r="BO145" s="794">
        <f t="shared" si="547"/>
        <v>222.77569762232673</v>
      </c>
      <c r="BP145" s="1008"/>
      <c r="BQ145" s="996">
        <f t="shared" ref="BQ145:CE145" si="548">+BQ143*BQ144</f>
        <v>185.73839999999998</v>
      </c>
      <c r="BR145" s="988">
        <f t="shared" si="548"/>
        <v>193.80389999999991</v>
      </c>
      <c r="BS145" s="988">
        <f t="shared" si="548"/>
        <v>205.86750000000004</v>
      </c>
      <c r="BT145" s="988">
        <f t="shared" si="548"/>
        <v>200.74619999999999</v>
      </c>
      <c r="BU145" s="988">
        <f t="shared" si="548"/>
        <v>104.99999999999991</v>
      </c>
      <c r="BV145" s="988">
        <f t="shared" si="548"/>
        <v>274.78949999999992</v>
      </c>
      <c r="BW145" s="988">
        <f t="shared" si="548"/>
        <v>319.2534</v>
      </c>
      <c r="BX145" s="988">
        <f t="shared" si="548"/>
        <v>246.15149999999988</v>
      </c>
      <c r="BY145" s="988">
        <f t="shared" si="548"/>
        <v>232.46220000000005</v>
      </c>
      <c r="BZ145" s="988">
        <f t="shared" si="548"/>
        <v>265.69589999999988</v>
      </c>
      <c r="CA145" s="988">
        <f t="shared" si="548"/>
        <v>348.33149999999983</v>
      </c>
      <c r="CB145" s="988">
        <f t="shared" si="548"/>
        <v>323.27909999999997</v>
      </c>
      <c r="CC145" s="988">
        <f>+CC143*CC144</f>
        <v>546.93330000000026</v>
      </c>
      <c r="CD145" s="988">
        <f t="shared" si="548"/>
        <v>692.50792270014085</v>
      </c>
      <c r="CE145" s="988">
        <f t="shared" si="548"/>
        <v>738.69046860838228</v>
      </c>
      <c r="CF145" s="1095">
        <f t="shared" ref="CF145" si="549">+CF143*CF144</f>
        <v>816.86598362859297</v>
      </c>
      <c r="CG145" s="1008"/>
      <c r="CH145" s="806">
        <f t="shared" ref="CH145:CR145" si="550">+CH143*CH144</f>
        <v>186.81720000000004</v>
      </c>
      <c r="CI145" s="793">
        <f t="shared" si="550"/>
        <v>210.79709999999994</v>
      </c>
      <c r="CJ145" s="793">
        <f t="shared" si="550"/>
        <v>193.56600000000014</v>
      </c>
      <c r="CK145" s="793">
        <f t="shared" si="550"/>
        <v>173.95169999999999</v>
      </c>
      <c r="CL145" s="793">
        <f t="shared" si="550"/>
        <v>133.83450000000002</v>
      </c>
      <c r="CM145" s="793">
        <f t="shared" si="550"/>
        <v>302.87610000000001</v>
      </c>
      <c r="CN145" s="793">
        <f t="shared" si="550"/>
        <v>296.38499999999993</v>
      </c>
      <c r="CO145" s="793">
        <f t="shared" si="550"/>
        <v>240.67529999999999</v>
      </c>
      <c r="CP145" s="793">
        <f t="shared" si="550"/>
        <v>236.85060000000001</v>
      </c>
      <c r="CQ145" s="793">
        <f t="shared" si="550"/>
        <v>284.67179999999991</v>
      </c>
      <c r="CR145" s="793">
        <f t="shared" si="550"/>
        <v>336.87869999999992</v>
      </c>
      <c r="CS145" s="793">
        <f>+CS143*CS144</f>
        <v>355.51530000000008</v>
      </c>
      <c r="CT145" s="793">
        <f>+CT143*CT144</f>
        <v>623.57399999999996</v>
      </c>
      <c r="CU145" s="793">
        <f>+CU143*CU144</f>
        <v>685.96036984485033</v>
      </c>
      <c r="CV145" s="794">
        <f>+CV143*CV144</f>
        <v>759.11815467523343</v>
      </c>
      <c r="CW145" s="793"/>
      <c r="CX145"/>
      <c r="CY145"/>
      <c r="CZ145"/>
      <c r="DA145"/>
      <c r="DB145"/>
      <c r="DC145"/>
    </row>
    <row r="146" spans="1:112" s="825" customFormat="1" ht="14.25" customHeight="1">
      <c r="A146" s="769"/>
      <c r="B146" s="979" t="s">
        <v>499</v>
      </c>
      <c r="C146" s="793"/>
      <c r="D146" s="806"/>
      <c r="E146" s="793"/>
      <c r="F146" s="793"/>
      <c r="G146" s="794"/>
      <c r="H146" s="806"/>
      <c r="I146" s="793"/>
      <c r="J146" s="793"/>
      <c r="K146" s="794"/>
      <c r="L146" s="806"/>
      <c r="M146" s="793"/>
      <c r="N146" s="793"/>
      <c r="O146" s="794"/>
      <c r="P146" s="806"/>
      <c r="Q146" s="793"/>
      <c r="R146" s="793"/>
      <c r="S146" s="794"/>
      <c r="T146" s="806"/>
      <c r="U146" s="793"/>
      <c r="V146" s="793"/>
      <c r="W146" s="794"/>
      <c r="X146" s="806"/>
      <c r="Y146" s="793"/>
      <c r="Z146" s="793"/>
      <c r="AA146" s="794"/>
      <c r="AB146" s="806"/>
      <c r="AC146" s="793"/>
      <c r="AD146" s="793"/>
      <c r="AE146" s="794"/>
      <c r="AF146" s="793">
        <f t="shared" ref="AF146:BC146" si="551">+AF88</f>
        <v>41.27968654975956</v>
      </c>
      <c r="AG146" s="793">
        <f t="shared" si="551"/>
        <v>48.221814981036061</v>
      </c>
      <c r="AH146" s="793">
        <f t="shared" si="551"/>
        <v>40.81639361432957</v>
      </c>
      <c r="AI146" s="793">
        <f t="shared" si="551"/>
        <v>33.335588239445904</v>
      </c>
      <c r="AJ146" s="806">
        <f t="shared" si="551"/>
        <v>27.122534999999999</v>
      </c>
      <c r="AK146" s="793">
        <f t="shared" si="551"/>
        <v>32.070884999999997</v>
      </c>
      <c r="AL146" s="793">
        <f t="shared" si="551"/>
        <v>19.645887736424648</v>
      </c>
      <c r="AM146" s="794">
        <f t="shared" si="551"/>
        <v>19.746783000000001</v>
      </c>
      <c r="AN146" s="793">
        <f t="shared" si="551"/>
        <v>25.060980000000011</v>
      </c>
      <c r="AO146" s="793">
        <f t="shared" si="551"/>
        <v>30.39581999999999</v>
      </c>
      <c r="AP146" s="793">
        <f t="shared" si="551"/>
        <v>30</v>
      </c>
      <c r="AQ146" s="794">
        <f t="shared" si="551"/>
        <v>40</v>
      </c>
      <c r="AR146" s="793">
        <f t="shared" si="551"/>
        <v>42</v>
      </c>
      <c r="AS146" s="793">
        <f t="shared" si="551"/>
        <v>45</v>
      </c>
      <c r="AT146" s="793">
        <f t="shared" si="551"/>
        <v>45</v>
      </c>
      <c r="AU146" s="794">
        <f t="shared" si="551"/>
        <v>25</v>
      </c>
      <c r="AV146" s="793">
        <f>+AV88</f>
        <v>28</v>
      </c>
      <c r="AW146" s="793">
        <f t="shared" si="551"/>
        <v>27.298679999999983</v>
      </c>
      <c r="AX146" s="793">
        <f t="shared" si="551"/>
        <v>30</v>
      </c>
      <c r="AY146" s="794">
        <f t="shared" ref="AY146" si="552">+AY88</f>
        <v>35</v>
      </c>
      <c r="AZ146" s="793">
        <f>+AZ88</f>
        <v>16.899999999999999</v>
      </c>
      <c r="BA146" s="793">
        <f t="shared" si="551"/>
        <v>41</v>
      </c>
      <c r="BB146" s="793">
        <f t="shared" ref="BB146" si="553">+BB88</f>
        <v>55.222659999999998</v>
      </c>
      <c r="BC146" s="794">
        <f t="shared" si="551"/>
        <v>51.00515</v>
      </c>
      <c r="BD146" s="793">
        <f t="shared" ref="BD146:BK146" si="554">+BD88</f>
        <v>35.299999999999997</v>
      </c>
      <c r="BE146" s="793">
        <f t="shared" si="554"/>
        <v>39.295902012923023</v>
      </c>
      <c r="BF146" s="793">
        <f t="shared" si="554"/>
        <v>45.997251891733704</v>
      </c>
      <c r="BG146" s="794">
        <f t="shared" si="554"/>
        <v>48.428965194487084</v>
      </c>
      <c r="BH146" s="793">
        <f t="shared" si="554"/>
        <v>65.38041885788364</v>
      </c>
      <c r="BI146" s="793">
        <f t="shared" si="554"/>
        <v>71.482823464510346</v>
      </c>
      <c r="BJ146" s="793">
        <f t="shared" si="554"/>
        <v>76.722999254719468</v>
      </c>
      <c r="BK146" s="794">
        <f t="shared" si="554"/>
        <v>81.889945866239614</v>
      </c>
      <c r="BL146" s="793">
        <f t="shared" ref="BL146:BO146" si="555">+BL88</f>
        <v>73.551493284624073</v>
      </c>
      <c r="BM146" s="793">
        <f t="shared" si="555"/>
        <v>79.60915465604559</v>
      </c>
      <c r="BN146" s="793">
        <f t="shared" si="555"/>
        <v>84.475466461836916</v>
      </c>
      <c r="BO146" s="794">
        <f t="shared" si="555"/>
        <v>89.110279048930693</v>
      </c>
      <c r="BP146" s="1008"/>
      <c r="BQ146" s="996">
        <f t="shared" ref="BQ146:CE146" si="556">+BQ88</f>
        <v>189.31673204917365</v>
      </c>
      <c r="BR146" s="988">
        <f t="shared" si="556"/>
        <v>116.97704567717663</v>
      </c>
      <c r="BS146" s="988">
        <f t="shared" si="556"/>
        <v>166.68673282944914</v>
      </c>
      <c r="BT146" s="988">
        <f t="shared" si="556"/>
        <v>141.47865340570041</v>
      </c>
      <c r="BU146" s="988">
        <f t="shared" si="556"/>
        <v>56.922086399096031</v>
      </c>
      <c r="BV146" s="988">
        <f t="shared" si="556"/>
        <v>193.13117937993781</v>
      </c>
      <c r="BW146" s="988">
        <f t="shared" si="556"/>
        <v>201.11458763611401</v>
      </c>
      <c r="BX146" s="988">
        <f t="shared" si="556"/>
        <v>163.6534833845711</v>
      </c>
      <c r="BY146" s="988">
        <f t="shared" si="556"/>
        <v>98.586090736424637</v>
      </c>
      <c r="BZ146" s="988">
        <f t="shared" si="556"/>
        <v>125.4568</v>
      </c>
      <c r="CA146" s="988">
        <f t="shared" si="556"/>
        <v>157</v>
      </c>
      <c r="CB146" s="988">
        <f t="shared" si="556"/>
        <v>120.29867999999999</v>
      </c>
      <c r="CC146" s="988">
        <f t="shared" si="556"/>
        <v>164.12781000000001</v>
      </c>
      <c r="CD146" s="988">
        <f t="shared" si="556"/>
        <v>169.02211909914382</v>
      </c>
      <c r="CE146" s="988">
        <f t="shared" si="556"/>
        <v>295.47618744335307</v>
      </c>
      <c r="CF146" s="1095">
        <f t="shared" ref="CF146" si="557">+CF88</f>
        <v>326.74639345143726</v>
      </c>
      <c r="CG146" s="1008"/>
      <c r="CH146" s="806">
        <f t="shared" ref="CH146:CS146" si="558">+CH88</f>
        <v>191.16618495472886</v>
      </c>
      <c r="CI146" s="793">
        <f t="shared" si="558"/>
        <v>128.77421558841073</v>
      </c>
      <c r="CJ146" s="793">
        <f t="shared" si="558"/>
        <v>158.17711880824783</v>
      </c>
      <c r="CK146" s="793">
        <f t="shared" si="558"/>
        <v>113.3603275292969</v>
      </c>
      <c r="CL146" s="793">
        <f t="shared" si="558"/>
        <v>80.531091503179553</v>
      </c>
      <c r="CM146" s="793">
        <f t="shared" si="558"/>
        <v>204.40353735017919</v>
      </c>
      <c r="CN146" s="793">
        <f t="shared" si="558"/>
        <v>199.17342860207017</v>
      </c>
      <c r="CO146" s="793">
        <f t="shared" si="558"/>
        <v>149.49633183481154</v>
      </c>
      <c r="CP146" s="793">
        <f t="shared" si="558"/>
        <v>96.524535736424653</v>
      </c>
      <c r="CQ146" s="793">
        <f t="shared" si="558"/>
        <v>142.39581999999999</v>
      </c>
      <c r="CR146" s="793">
        <f t="shared" si="558"/>
        <v>143</v>
      </c>
      <c r="CS146" s="793">
        <f t="shared" si="558"/>
        <v>109.19868</v>
      </c>
      <c r="CT146" s="793">
        <f>+CT88</f>
        <v>182.52780999999999</v>
      </c>
      <c r="CU146" s="793">
        <f>+CU88</f>
        <v>199.10253795702744</v>
      </c>
      <c r="CV146" s="794">
        <f>+CV88</f>
        <v>303.64726187009353</v>
      </c>
      <c r="CW146" s="793"/>
      <c r="CX146"/>
      <c r="CY146"/>
      <c r="CZ146"/>
      <c r="DA146"/>
      <c r="DB146"/>
      <c r="DC146"/>
    </row>
    <row r="147" spans="1:112" s="825" customFormat="1" ht="14.25" customHeight="1">
      <c r="A147" s="769"/>
      <c r="B147" s="730" t="s">
        <v>160</v>
      </c>
      <c r="C147" s="793"/>
      <c r="D147" s="806"/>
      <c r="E147" s="793"/>
      <c r="F147" s="793"/>
      <c r="G147" s="794"/>
      <c r="H147" s="806"/>
      <c r="I147" s="793"/>
      <c r="J147" s="793"/>
      <c r="K147" s="794"/>
      <c r="L147" s="806"/>
      <c r="M147" s="793"/>
      <c r="N147" s="793"/>
      <c r="O147" s="794"/>
      <c r="P147" s="806"/>
      <c r="Q147" s="793"/>
      <c r="R147" s="793"/>
      <c r="S147" s="794"/>
      <c r="T147" s="806"/>
      <c r="U147" s="793"/>
      <c r="V147" s="793"/>
      <c r="W147" s="794"/>
      <c r="X147" s="806"/>
      <c r="Y147" s="793"/>
      <c r="Z147" s="793"/>
      <c r="AA147" s="794"/>
      <c r="AB147" s="806"/>
      <c r="AC147" s="793"/>
      <c r="AD147" s="793"/>
      <c r="AE147" s="794"/>
      <c r="AF147" s="793">
        <f>+AF145-AF146</f>
        <v>13.510213450240435</v>
      </c>
      <c r="AG147" s="793">
        <f t="shared" ref="AG147:AQ147" si="559">+AG145-AG146</f>
        <v>14.779085018963947</v>
      </c>
      <c r="AH147" s="793">
        <f t="shared" si="559"/>
        <v>23.789806385670417</v>
      </c>
      <c r="AI147" s="793">
        <f t="shared" si="559"/>
        <v>30.418911760554103</v>
      </c>
      <c r="AJ147" s="806">
        <f t="shared" si="559"/>
        <v>22.191164999999998</v>
      </c>
      <c r="AK147" s="793">
        <f t="shared" si="559"/>
        <v>26.239814999999993</v>
      </c>
      <c r="AL147" s="793">
        <f t="shared" si="559"/>
        <v>41.492612263575353</v>
      </c>
      <c r="AM147" s="794">
        <f t="shared" si="559"/>
        <v>43.952517</v>
      </c>
      <c r="AN147" s="793">
        <f t="shared" si="559"/>
        <v>28.641120000000004</v>
      </c>
      <c r="AO147" s="793">
        <f t="shared" si="559"/>
        <v>34.738079999999982</v>
      </c>
      <c r="AP147" s="793">
        <f t="shared" si="559"/>
        <v>37.862399999999994</v>
      </c>
      <c r="AQ147" s="794">
        <f t="shared" si="559"/>
        <v>37.838299999999961</v>
      </c>
      <c r="AR147" s="793">
        <f t="shared" ref="AR147:AX147" si="560">+AR145-AR146</f>
        <v>30.677999999999997</v>
      </c>
      <c r="AS147" s="793">
        <f t="shared" si="560"/>
        <v>38.034900000000007</v>
      </c>
      <c r="AT147" s="793">
        <f t="shared" si="560"/>
        <v>41.824200000000033</v>
      </c>
      <c r="AU147" s="794">
        <f t="shared" si="560"/>
        <v>80.414899999999975</v>
      </c>
      <c r="AV147" s="793">
        <f>+AV145-AV146</f>
        <v>33.22519999999998</v>
      </c>
      <c r="AW147" s="793">
        <f t="shared" si="560"/>
        <v>40.948019999999978</v>
      </c>
      <c r="AX147" s="793">
        <f t="shared" si="560"/>
        <v>55.253999999999976</v>
      </c>
      <c r="AY147" s="794">
        <f t="shared" ref="AY147" si="561">+AY145-AY146</f>
        <v>73.704400000000021</v>
      </c>
      <c r="AZ147" s="793">
        <f>+AZ145-AZ146</f>
        <v>76.457900000000024</v>
      </c>
      <c r="BA147" s="793">
        <f t="shared" ref="BA147:BG147" si="562">+BA145-BA146</f>
        <v>78.565899999999999</v>
      </c>
      <c r="BB147" s="793">
        <f t="shared" si="562"/>
        <v>101.64224000000002</v>
      </c>
      <c r="BC147" s="794">
        <f t="shared" si="562"/>
        <v>126.13945</v>
      </c>
      <c r="BD147" s="793">
        <f t="shared" si="562"/>
        <v>134.6986</v>
      </c>
      <c r="BE147" s="793">
        <f t="shared" si="562"/>
        <v>129.11510661388991</v>
      </c>
      <c r="BF147" s="793">
        <f t="shared" si="562"/>
        <v>126.49244270226768</v>
      </c>
      <c r="BG147" s="794">
        <f t="shared" si="562"/>
        <v>133.17965428483947</v>
      </c>
      <c r="BH147" s="793">
        <f t="shared" ref="BH147:BK147" si="563">+BH145-BH146</f>
        <v>98.070628286825453</v>
      </c>
      <c r="BI147" s="793">
        <f t="shared" si="563"/>
        <v>107.22423519676551</v>
      </c>
      <c r="BJ147" s="793">
        <f t="shared" si="563"/>
        <v>115.0844988820792</v>
      </c>
      <c r="BK147" s="794">
        <f t="shared" si="563"/>
        <v>122.83491879935944</v>
      </c>
      <c r="BL147" s="793">
        <f t="shared" ref="BL147:BO147" si="564">+BL145-BL146</f>
        <v>110.32723992693612</v>
      </c>
      <c r="BM147" s="793">
        <f t="shared" si="564"/>
        <v>119.41373198406838</v>
      </c>
      <c r="BN147" s="793">
        <f t="shared" si="564"/>
        <v>126.71319969275537</v>
      </c>
      <c r="BO147" s="794">
        <f t="shared" si="564"/>
        <v>133.66541857339604</v>
      </c>
      <c r="BP147" s="1008"/>
      <c r="BQ147" s="996">
        <f t="shared" ref="BQ147:CE147" si="565">+BQ145-BQ146</f>
        <v>-3.5783320491736674</v>
      </c>
      <c r="BR147" s="988">
        <f t="shared" si="565"/>
        <v>76.82685432282328</v>
      </c>
      <c r="BS147" s="988">
        <f t="shared" si="565"/>
        <v>39.180767170550894</v>
      </c>
      <c r="BT147" s="988">
        <f t="shared" si="565"/>
        <v>59.267546594299574</v>
      </c>
      <c r="BU147" s="988">
        <f t="shared" si="565"/>
        <v>48.077913600903884</v>
      </c>
      <c r="BV147" s="988">
        <f t="shared" si="565"/>
        <v>81.658320620062113</v>
      </c>
      <c r="BW147" s="988">
        <f t="shared" si="565"/>
        <v>118.13881236388599</v>
      </c>
      <c r="BX147" s="988">
        <f t="shared" si="565"/>
        <v>82.498016615428782</v>
      </c>
      <c r="BY147" s="988">
        <f t="shared" si="565"/>
        <v>133.87610926357542</v>
      </c>
      <c r="BZ147" s="988">
        <f t="shared" si="565"/>
        <v>140.23909999999989</v>
      </c>
      <c r="CA147" s="988">
        <f t="shared" si="565"/>
        <v>191.33149999999983</v>
      </c>
      <c r="CB147" s="988">
        <f t="shared" si="565"/>
        <v>202.98041999999998</v>
      </c>
      <c r="CC147" s="988">
        <f>+CC145-CC146</f>
        <v>382.80549000000025</v>
      </c>
      <c r="CD147" s="988">
        <f t="shared" si="565"/>
        <v>523.48580360099709</v>
      </c>
      <c r="CE147" s="988">
        <f t="shared" si="565"/>
        <v>443.21428116502921</v>
      </c>
      <c r="CF147" s="1095">
        <f t="shared" ref="CF147" si="566">+CF145-CF146</f>
        <v>490.11959017715571</v>
      </c>
      <c r="CG147" s="1008"/>
      <c r="CH147" s="806">
        <f t="shared" ref="CH147:CR147" si="567">+CH145-CH146</f>
        <v>-4.3489849547288202</v>
      </c>
      <c r="CI147" s="793">
        <f t="shared" si="567"/>
        <v>82.022884411589217</v>
      </c>
      <c r="CJ147" s="793">
        <f t="shared" si="567"/>
        <v>35.388881191752319</v>
      </c>
      <c r="CK147" s="793">
        <f t="shared" si="567"/>
        <v>60.591372470703092</v>
      </c>
      <c r="CL147" s="793">
        <f t="shared" si="567"/>
        <v>53.303408496820467</v>
      </c>
      <c r="CM147" s="793">
        <f t="shared" si="567"/>
        <v>98.472562649820816</v>
      </c>
      <c r="CN147" s="793">
        <f t="shared" si="567"/>
        <v>97.21157139792976</v>
      </c>
      <c r="CO147" s="793">
        <f t="shared" si="567"/>
        <v>91.178968165188451</v>
      </c>
      <c r="CP147" s="793">
        <f t="shared" si="567"/>
        <v>140.32606426357535</v>
      </c>
      <c r="CQ147" s="793">
        <f t="shared" si="567"/>
        <v>142.27597999999992</v>
      </c>
      <c r="CR147" s="793">
        <f t="shared" si="567"/>
        <v>193.87869999999992</v>
      </c>
      <c r="CS147" s="793">
        <f>+CS145-CS146</f>
        <v>246.31662000000009</v>
      </c>
      <c r="CT147" s="793">
        <f>+CT145-CT146</f>
        <v>441.04618999999997</v>
      </c>
      <c r="CU147" s="793">
        <f>+CU145-CU146</f>
        <v>486.8578318878229</v>
      </c>
      <c r="CV147" s="794">
        <f>+CV145-CV146</f>
        <v>455.4708928051399</v>
      </c>
      <c r="CW147" s="793"/>
      <c r="CX147"/>
      <c r="CY147"/>
      <c r="CZ147"/>
      <c r="DA147"/>
      <c r="DB147"/>
      <c r="DC147"/>
    </row>
    <row r="148" spans="1:112" s="690" customFormat="1" ht="14.25" customHeight="1">
      <c r="A148" s="723"/>
      <c r="B148" s="980" t="s">
        <v>500</v>
      </c>
      <c r="C148" s="663"/>
      <c r="D148" s="724"/>
      <c r="E148" s="663"/>
      <c r="F148" s="663"/>
      <c r="G148" s="664"/>
      <c r="H148" s="724"/>
      <c r="I148" s="663"/>
      <c r="J148" s="663"/>
      <c r="K148" s="664"/>
      <c r="L148" s="724"/>
      <c r="M148" s="663"/>
      <c r="N148" s="663"/>
      <c r="O148" s="664"/>
      <c r="P148" s="724"/>
      <c r="Q148" s="663"/>
      <c r="R148" s="663"/>
      <c r="S148" s="664"/>
      <c r="T148" s="724"/>
      <c r="U148" s="663"/>
      <c r="V148" s="663"/>
      <c r="W148" s="664"/>
      <c r="X148" s="724"/>
      <c r="Y148" s="663"/>
      <c r="Z148" s="663"/>
      <c r="AA148" s="664"/>
      <c r="AB148" s="724"/>
      <c r="AC148" s="663"/>
      <c r="AD148" s="663"/>
      <c r="AE148" s="664"/>
      <c r="AF148" s="983">
        <v>0.5</v>
      </c>
      <c r="AG148" s="985">
        <f>+AF148</f>
        <v>0.5</v>
      </c>
      <c r="AH148" s="985">
        <f t="shared" ref="AH148:AQ148" si="568">+AG148</f>
        <v>0.5</v>
      </c>
      <c r="AI148" s="985">
        <f t="shared" si="568"/>
        <v>0.5</v>
      </c>
      <c r="AJ148" s="978">
        <f t="shared" si="568"/>
        <v>0.5</v>
      </c>
      <c r="AK148" s="985">
        <f t="shared" si="568"/>
        <v>0.5</v>
      </c>
      <c r="AL148" s="985">
        <f>+AK148</f>
        <v>0.5</v>
      </c>
      <c r="AM148" s="989">
        <f>+AL148</f>
        <v>0.5</v>
      </c>
      <c r="AN148" s="985">
        <f t="shared" si="568"/>
        <v>0.5</v>
      </c>
      <c r="AO148" s="985">
        <f t="shared" si="568"/>
        <v>0.5</v>
      </c>
      <c r="AP148" s="985">
        <f t="shared" si="568"/>
        <v>0.5</v>
      </c>
      <c r="AQ148" s="989">
        <f t="shared" si="568"/>
        <v>0.5</v>
      </c>
      <c r="AR148" s="985">
        <f t="shared" ref="AR148:BB148" si="569">+AQ148</f>
        <v>0.5</v>
      </c>
      <c r="AS148" s="985">
        <f t="shared" si="569"/>
        <v>0.5</v>
      </c>
      <c r="AT148" s="985">
        <f t="shared" si="569"/>
        <v>0.5</v>
      </c>
      <c r="AU148" s="989">
        <f t="shared" si="569"/>
        <v>0.5</v>
      </c>
      <c r="AV148" s="985">
        <f t="shared" si="569"/>
        <v>0.5</v>
      </c>
      <c r="AW148" s="985">
        <f t="shared" si="569"/>
        <v>0.5</v>
      </c>
      <c r="AX148" s="985">
        <f t="shared" si="569"/>
        <v>0.5</v>
      </c>
      <c r="AY148" s="989">
        <f>+AX148</f>
        <v>0.5</v>
      </c>
      <c r="AZ148" s="985">
        <f t="shared" si="569"/>
        <v>0.5</v>
      </c>
      <c r="BA148" s="985">
        <f t="shared" ref="BA148:BG148" si="570">+AZ148</f>
        <v>0.5</v>
      </c>
      <c r="BB148" s="985">
        <f t="shared" si="569"/>
        <v>0.5</v>
      </c>
      <c r="BC148" s="989">
        <f t="shared" si="570"/>
        <v>0.5</v>
      </c>
      <c r="BD148" s="985">
        <f t="shared" si="570"/>
        <v>0.5</v>
      </c>
      <c r="BE148" s="985">
        <f t="shared" si="570"/>
        <v>0.5</v>
      </c>
      <c r="BF148" s="985">
        <f t="shared" si="570"/>
        <v>0.5</v>
      </c>
      <c r="BG148" s="989">
        <f t="shared" si="570"/>
        <v>0.5</v>
      </c>
      <c r="BH148" s="985">
        <f t="shared" ref="BH148" si="571">+BG148</f>
        <v>0.5</v>
      </c>
      <c r="BI148" s="985">
        <f t="shared" ref="BI148" si="572">+BH148</f>
        <v>0.5</v>
      </c>
      <c r="BJ148" s="985">
        <f t="shared" ref="BJ148" si="573">+BI148</f>
        <v>0.5</v>
      </c>
      <c r="BK148" s="989">
        <f t="shared" ref="BK148" si="574">+BJ148</f>
        <v>0.5</v>
      </c>
      <c r="BL148" s="985">
        <f t="shared" ref="BL148" si="575">+BK148</f>
        <v>0.5</v>
      </c>
      <c r="BM148" s="985">
        <f t="shared" ref="BM148" si="576">+BL148</f>
        <v>0.5</v>
      </c>
      <c r="BN148" s="985">
        <f t="shared" ref="BN148" si="577">+BM148</f>
        <v>0.5</v>
      </c>
      <c r="BO148" s="989">
        <f t="shared" ref="BO148" si="578">+BN148</f>
        <v>0.5</v>
      </c>
      <c r="BP148" s="1009"/>
      <c r="BQ148" s="997">
        <f>+AF148</f>
        <v>0.5</v>
      </c>
      <c r="BR148" s="929">
        <f>+BQ148</f>
        <v>0.5</v>
      </c>
      <c r="BS148" s="929">
        <f t="shared" ref="BS148:CF148" si="579">+BR148</f>
        <v>0.5</v>
      </c>
      <c r="BT148" s="929">
        <f t="shared" si="579"/>
        <v>0.5</v>
      </c>
      <c r="BU148" s="929">
        <f t="shared" si="579"/>
        <v>0.5</v>
      </c>
      <c r="BV148" s="929">
        <f t="shared" si="579"/>
        <v>0.5</v>
      </c>
      <c r="BW148" s="929">
        <f t="shared" si="579"/>
        <v>0.5</v>
      </c>
      <c r="BX148" s="929">
        <f t="shared" si="579"/>
        <v>0.5</v>
      </c>
      <c r="BY148" s="929">
        <f t="shared" si="579"/>
        <v>0.5</v>
      </c>
      <c r="BZ148" s="929">
        <f t="shared" si="579"/>
        <v>0.5</v>
      </c>
      <c r="CA148" s="929">
        <f>+BZ148</f>
        <v>0.5</v>
      </c>
      <c r="CB148" s="929">
        <f>+CA148</f>
        <v>0.5</v>
      </c>
      <c r="CC148" s="929">
        <f>+CB148</f>
        <v>0.5</v>
      </c>
      <c r="CD148" s="929">
        <f t="shared" si="579"/>
        <v>0.5</v>
      </c>
      <c r="CE148" s="929">
        <f t="shared" si="579"/>
        <v>0.5</v>
      </c>
      <c r="CF148" s="930">
        <f t="shared" si="579"/>
        <v>0.5</v>
      </c>
      <c r="CG148" s="1009"/>
      <c r="CH148" s="978">
        <f>+AF148</f>
        <v>0.5</v>
      </c>
      <c r="CI148" s="985">
        <f>+CH148</f>
        <v>0.5</v>
      </c>
      <c r="CJ148" s="985">
        <f t="shared" ref="CJ148:CP148" si="580">+CI148</f>
        <v>0.5</v>
      </c>
      <c r="CK148" s="985">
        <f t="shared" si="580"/>
        <v>0.5</v>
      </c>
      <c r="CL148" s="985">
        <f t="shared" si="580"/>
        <v>0.5</v>
      </c>
      <c r="CM148" s="985">
        <f t="shared" si="580"/>
        <v>0.5</v>
      </c>
      <c r="CN148" s="985">
        <f t="shared" si="580"/>
        <v>0.5</v>
      </c>
      <c r="CO148" s="985">
        <f t="shared" si="580"/>
        <v>0.5</v>
      </c>
      <c r="CP148" s="985">
        <f t="shared" si="580"/>
        <v>0.5</v>
      </c>
      <c r="CQ148" s="985">
        <f t="shared" ref="CQ148:CV148" si="581">+CP148</f>
        <v>0.5</v>
      </c>
      <c r="CR148" s="985">
        <f t="shared" si="581"/>
        <v>0.5</v>
      </c>
      <c r="CS148" s="985">
        <f t="shared" si="581"/>
        <v>0.5</v>
      </c>
      <c r="CT148" s="985">
        <f t="shared" si="581"/>
        <v>0.5</v>
      </c>
      <c r="CU148" s="985">
        <f t="shared" si="581"/>
        <v>0.5</v>
      </c>
      <c r="CV148" s="989">
        <f t="shared" si="581"/>
        <v>0.5</v>
      </c>
      <c r="CW148" s="663"/>
      <c r="CX148"/>
      <c r="CY148"/>
      <c r="CZ148"/>
      <c r="DA148"/>
      <c r="DB148"/>
      <c r="DC148"/>
    </row>
    <row r="149" spans="1:112" s="825" customFormat="1" ht="14.25" customHeight="1">
      <c r="A149" s="769"/>
      <c r="B149" s="981" t="s">
        <v>501</v>
      </c>
      <c r="C149" s="793"/>
      <c r="D149" s="806"/>
      <c r="E149" s="793"/>
      <c r="F149" s="793"/>
      <c r="G149" s="794"/>
      <c r="H149" s="806"/>
      <c r="I149" s="793"/>
      <c r="J149" s="793"/>
      <c r="K149" s="794"/>
      <c r="L149" s="806"/>
      <c r="M149" s="793"/>
      <c r="N149" s="793"/>
      <c r="O149" s="794"/>
      <c r="P149" s="806"/>
      <c r="Q149" s="793"/>
      <c r="R149" s="793"/>
      <c r="S149" s="794"/>
      <c r="T149" s="806"/>
      <c r="U149" s="793"/>
      <c r="V149" s="793"/>
      <c r="W149" s="794"/>
      <c r="X149" s="806"/>
      <c r="Y149" s="793"/>
      <c r="Z149" s="793"/>
      <c r="AA149" s="794"/>
      <c r="AB149" s="806"/>
      <c r="AC149" s="793"/>
      <c r="AD149" s="793"/>
      <c r="AE149" s="794"/>
      <c r="AF149" s="793">
        <f>+AF147*AF148</f>
        <v>6.7551067251202177</v>
      </c>
      <c r="AG149" s="793">
        <f t="shared" ref="AG149:AQ149" si="582">+AG147*AG148</f>
        <v>7.3895425094819736</v>
      </c>
      <c r="AH149" s="793">
        <f t="shared" si="582"/>
        <v>11.894903192835208</v>
      </c>
      <c r="AI149" s="793">
        <f t="shared" si="582"/>
        <v>15.209455880277051</v>
      </c>
      <c r="AJ149" s="806">
        <f t="shared" si="582"/>
        <v>11.095582499999999</v>
      </c>
      <c r="AK149" s="793">
        <f t="shared" si="582"/>
        <v>13.119907499999997</v>
      </c>
      <c r="AL149" s="793">
        <f t="shared" si="582"/>
        <v>20.746306131787676</v>
      </c>
      <c r="AM149" s="794">
        <f t="shared" si="582"/>
        <v>21.9762585</v>
      </c>
      <c r="AN149" s="793">
        <f t="shared" si="582"/>
        <v>14.320560000000002</v>
      </c>
      <c r="AO149" s="793">
        <f t="shared" si="582"/>
        <v>17.369039999999991</v>
      </c>
      <c r="AP149" s="793">
        <f t="shared" si="582"/>
        <v>18.931199999999997</v>
      </c>
      <c r="AQ149" s="794">
        <f t="shared" si="582"/>
        <v>18.919149999999981</v>
      </c>
      <c r="AR149" s="793">
        <f t="shared" ref="AR149:AX149" si="583">+AR147*AR148</f>
        <v>15.338999999999999</v>
      </c>
      <c r="AS149" s="793">
        <f t="shared" si="583"/>
        <v>19.017450000000004</v>
      </c>
      <c r="AT149" s="793">
        <f t="shared" si="583"/>
        <v>20.912100000000017</v>
      </c>
      <c r="AU149" s="794">
        <f t="shared" si="583"/>
        <v>40.207449999999987</v>
      </c>
      <c r="AV149" s="793">
        <f>+AV147*AV148</f>
        <v>16.61259999999999</v>
      </c>
      <c r="AW149" s="793">
        <f t="shared" si="583"/>
        <v>20.474009999999989</v>
      </c>
      <c r="AX149" s="793">
        <f t="shared" si="583"/>
        <v>27.626999999999988</v>
      </c>
      <c r="AY149" s="794">
        <f t="shared" ref="AY149" si="584">+AY147*AY148</f>
        <v>36.852200000000011</v>
      </c>
      <c r="AZ149" s="793">
        <f>+AZ147*AZ148</f>
        <v>38.228950000000012</v>
      </c>
      <c r="BA149" s="793">
        <f t="shared" ref="BA149:BG149" si="585">+BA147*BA148</f>
        <v>39.28295</v>
      </c>
      <c r="BB149" s="793">
        <f t="shared" si="585"/>
        <v>50.821120000000008</v>
      </c>
      <c r="BC149" s="794">
        <f t="shared" si="585"/>
        <v>63.069724999999998</v>
      </c>
      <c r="BD149" s="793">
        <f t="shared" si="585"/>
        <v>67.349299999999999</v>
      </c>
      <c r="BE149" s="793">
        <f t="shared" si="585"/>
        <v>64.557553306944953</v>
      </c>
      <c r="BF149" s="793">
        <f t="shared" si="585"/>
        <v>63.24622135113384</v>
      </c>
      <c r="BG149" s="794">
        <f t="shared" si="585"/>
        <v>66.589827142419736</v>
      </c>
      <c r="BH149" s="793">
        <f t="shared" ref="BH149:BK149" si="586">+BH147*BH148</f>
        <v>49.035314143412727</v>
      </c>
      <c r="BI149" s="793">
        <f t="shared" si="586"/>
        <v>53.612117598382753</v>
      </c>
      <c r="BJ149" s="793">
        <f t="shared" si="586"/>
        <v>57.542249441039601</v>
      </c>
      <c r="BK149" s="794">
        <f t="shared" si="586"/>
        <v>61.417459399679721</v>
      </c>
      <c r="BL149" s="793">
        <f t="shared" ref="BL149:BO149" si="587">+BL147*BL148</f>
        <v>55.163619963468058</v>
      </c>
      <c r="BM149" s="793">
        <f t="shared" si="587"/>
        <v>59.706865992034189</v>
      </c>
      <c r="BN149" s="793">
        <f t="shared" si="587"/>
        <v>63.356599846377684</v>
      </c>
      <c r="BO149" s="794">
        <f t="shared" si="587"/>
        <v>66.832709286698019</v>
      </c>
      <c r="BP149" s="1008"/>
      <c r="BQ149" s="996">
        <f t="shared" ref="BQ149:CE149" si="588">+BQ147*BQ148</f>
        <v>-1.7891660245868337</v>
      </c>
      <c r="BR149" s="988">
        <f t="shared" si="588"/>
        <v>38.41342716141164</v>
      </c>
      <c r="BS149" s="988">
        <f t="shared" si="588"/>
        <v>19.590383585275447</v>
      </c>
      <c r="BT149" s="988">
        <f t="shared" si="588"/>
        <v>29.633773297149787</v>
      </c>
      <c r="BU149" s="988">
        <f t="shared" si="588"/>
        <v>24.038956800451942</v>
      </c>
      <c r="BV149" s="988">
        <f t="shared" si="588"/>
        <v>40.829160310031057</v>
      </c>
      <c r="BW149" s="988">
        <f t="shared" si="588"/>
        <v>59.069406181942995</v>
      </c>
      <c r="BX149" s="988">
        <f t="shared" si="588"/>
        <v>41.249008307714391</v>
      </c>
      <c r="BY149" s="988">
        <f t="shared" si="588"/>
        <v>66.938054631787708</v>
      </c>
      <c r="BZ149" s="988">
        <f t="shared" si="588"/>
        <v>70.119549999999947</v>
      </c>
      <c r="CA149" s="988">
        <f t="shared" si="588"/>
        <v>95.665749999999917</v>
      </c>
      <c r="CB149" s="988">
        <f t="shared" si="588"/>
        <v>101.49020999999999</v>
      </c>
      <c r="CC149" s="988">
        <f>+CC147*CC148</f>
        <v>191.40274500000012</v>
      </c>
      <c r="CD149" s="988">
        <f t="shared" si="588"/>
        <v>261.74290180049854</v>
      </c>
      <c r="CE149" s="988">
        <f t="shared" si="588"/>
        <v>221.6071405825146</v>
      </c>
      <c r="CF149" s="1095">
        <f t="shared" ref="CF149" si="589">+CF147*CF148</f>
        <v>245.05979508857786</v>
      </c>
      <c r="CG149" s="1008"/>
      <c r="CH149" s="806">
        <f t="shared" ref="CH149:CR149" si="590">+CH147*CH148</f>
        <v>-2.1744924773644101</v>
      </c>
      <c r="CI149" s="793">
        <f t="shared" si="590"/>
        <v>41.011442205794609</v>
      </c>
      <c r="CJ149" s="793">
        <f t="shared" si="590"/>
        <v>17.694440595876159</v>
      </c>
      <c r="CK149" s="793">
        <f t="shared" si="590"/>
        <v>30.295686235351546</v>
      </c>
      <c r="CL149" s="793">
        <f t="shared" si="590"/>
        <v>26.651704248410233</v>
      </c>
      <c r="CM149" s="793">
        <f t="shared" si="590"/>
        <v>49.236281324910408</v>
      </c>
      <c r="CN149" s="793">
        <f t="shared" si="590"/>
        <v>48.60578569896488</v>
      </c>
      <c r="CO149" s="793">
        <f t="shared" si="590"/>
        <v>45.589484082594225</v>
      </c>
      <c r="CP149" s="793">
        <f t="shared" si="590"/>
        <v>70.163032131787674</v>
      </c>
      <c r="CQ149" s="793">
        <f t="shared" si="590"/>
        <v>71.137989999999959</v>
      </c>
      <c r="CR149" s="793">
        <f t="shared" si="590"/>
        <v>96.939349999999962</v>
      </c>
      <c r="CS149" s="793">
        <f>+CS147*CS148</f>
        <v>123.15831000000004</v>
      </c>
      <c r="CT149" s="793">
        <f>+CT147*CT148</f>
        <v>220.52309499999998</v>
      </c>
      <c r="CU149" s="793">
        <f>+CU147*CU148</f>
        <v>243.42891594391145</v>
      </c>
      <c r="CV149" s="794">
        <f>+CV147*CV148</f>
        <v>227.73544640256995</v>
      </c>
      <c r="CW149" s="793"/>
      <c r="CX149"/>
      <c r="CY149"/>
      <c r="CZ149"/>
      <c r="DA149"/>
      <c r="DB149"/>
      <c r="DC149"/>
    </row>
    <row r="150" spans="1:112" s="825" customFormat="1" ht="14.25" customHeight="1">
      <c r="A150" s="769"/>
      <c r="B150" s="730"/>
      <c r="C150" s="793"/>
      <c r="D150" s="806"/>
      <c r="E150" s="793"/>
      <c r="F150" s="793"/>
      <c r="G150" s="794"/>
      <c r="H150" s="806"/>
      <c r="I150" s="793"/>
      <c r="J150" s="793"/>
      <c r="K150" s="794"/>
      <c r="L150" s="806"/>
      <c r="M150" s="793"/>
      <c r="N150" s="793"/>
      <c r="O150" s="794"/>
      <c r="P150" s="806"/>
      <c r="Q150" s="793"/>
      <c r="R150" s="793"/>
      <c r="S150" s="794"/>
      <c r="T150" s="806"/>
      <c r="U150" s="793"/>
      <c r="V150" s="793"/>
      <c r="W150" s="794"/>
      <c r="X150" s="806"/>
      <c r="Y150" s="793"/>
      <c r="Z150" s="793"/>
      <c r="AA150" s="794"/>
      <c r="AB150" s="806"/>
      <c r="AC150" s="793"/>
      <c r="AD150" s="793"/>
      <c r="AE150" s="794"/>
      <c r="AF150" s="793"/>
      <c r="AG150" s="793"/>
      <c r="AH150" s="793"/>
      <c r="AI150" s="793"/>
      <c r="AJ150" s="806"/>
      <c r="AK150" s="793"/>
      <c r="AL150" s="793"/>
      <c r="AM150" s="794"/>
      <c r="AN150" s="793"/>
      <c r="AO150" s="793"/>
      <c r="AP150" s="793"/>
      <c r="AQ150" s="794"/>
      <c r="AR150" s="793"/>
      <c r="AS150" s="793"/>
      <c r="AT150" s="793"/>
      <c r="AU150" s="794"/>
      <c r="AV150" s="793"/>
      <c r="AW150" s="793"/>
      <c r="AX150" s="793"/>
      <c r="AY150" s="794"/>
      <c r="AZ150" s="793"/>
      <c r="BA150" s="793"/>
      <c r="BB150" s="793"/>
      <c r="BC150" s="794"/>
      <c r="BD150" s="793"/>
      <c r="BE150" s="793"/>
      <c r="BF150" s="793"/>
      <c r="BG150" s="794"/>
      <c r="BH150" s="793"/>
      <c r="BI150" s="793"/>
      <c r="BJ150" s="793"/>
      <c r="BK150" s="794"/>
      <c r="BL150" s="793"/>
      <c r="BM150" s="793"/>
      <c r="BN150" s="793"/>
      <c r="BO150" s="794"/>
      <c r="BP150" s="1008"/>
      <c r="BQ150" s="996"/>
      <c r="BR150" s="988"/>
      <c r="BS150" s="988"/>
      <c r="BT150" s="988"/>
      <c r="BU150" s="988"/>
      <c r="BV150" s="988"/>
      <c r="BW150" s="988"/>
      <c r="BX150" s="988"/>
      <c r="BY150" s="988"/>
      <c r="BZ150" s="988"/>
      <c r="CA150" s="988"/>
      <c r="CB150" s="988"/>
      <c r="CC150" s="988"/>
      <c r="CD150" s="988"/>
      <c r="CE150" s="988"/>
      <c r="CF150" s="1095"/>
      <c r="CG150" s="1008"/>
      <c r="CH150" s="806"/>
      <c r="CI150" s="793"/>
      <c r="CJ150" s="793"/>
      <c r="CK150" s="793"/>
      <c r="CL150" s="793"/>
      <c r="CM150" s="793"/>
      <c r="CN150" s="793"/>
      <c r="CO150" s="793"/>
      <c r="CP150" s="793"/>
      <c r="CQ150" s="793"/>
      <c r="CR150" s="793"/>
      <c r="CS150" s="793"/>
      <c r="CT150" s="793"/>
      <c r="CU150" s="793"/>
      <c r="CV150" s="794"/>
      <c r="CW150" s="793"/>
      <c r="CX150"/>
      <c r="CY150"/>
      <c r="CZ150"/>
      <c r="DA150"/>
      <c r="DB150"/>
      <c r="DC150"/>
    </row>
    <row r="151" spans="1:112" s="825" customFormat="1" ht="14.25" customHeight="1">
      <c r="A151" s="769"/>
      <c r="B151" s="730" t="s">
        <v>502</v>
      </c>
      <c r="C151" s="793"/>
      <c r="D151" s="806"/>
      <c r="E151" s="793"/>
      <c r="F151" s="793"/>
      <c r="G151" s="794"/>
      <c r="H151" s="806"/>
      <c r="I151" s="793"/>
      <c r="J151" s="793"/>
      <c r="K151" s="794"/>
      <c r="L151" s="806"/>
      <c r="M151" s="793"/>
      <c r="N151" s="793"/>
      <c r="O151" s="794"/>
      <c r="P151" s="806"/>
      <c r="Q151" s="793"/>
      <c r="R151" s="793"/>
      <c r="S151" s="794"/>
      <c r="T151" s="806"/>
      <c r="U151" s="793"/>
      <c r="V151" s="793"/>
      <c r="W151" s="794"/>
      <c r="X151" s="806"/>
      <c r="Y151" s="793"/>
      <c r="Z151" s="793"/>
      <c r="AA151" s="794"/>
      <c r="AB151" s="806"/>
      <c r="AC151" s="793"/>
      <c r="AD151" s="793"/>
      <c r="AE151" s="794"/>
      <c r="AF151" s="793">
        <f t="shared" ref="AF151:BC151" si="591">+AF98-AF149</f>
        <v>134.59820672512021</v>
      </c>
      <c r="AG151" s="793">
        <f t="shared" si="591"/>
        <v>154.39164250948201</v>
      </c>
      <c r="AH151" s="793">
        <f t="shared" si="591"/>
        <v>162.64270319283517</v>
      </c>
      <c r="AI151" s="793">
        <f t="shared" si="591"/>
        <v>163.96995588027707</v>
      </c>
      <c r="AJ151" s="806">
        <f t="shared" si="591"/>
        <v>126.16088249999999</v>
      </c>
      <c r="AK151" s="793">
        <f t="shared" si="591"/>
        <v>149.17820749999998</v>
      </c>
      <c r="AL151" s="793">
        <f t="shared" si="591"/>
        <v>163.40280613178771</v>
      </c>
      <c r="AM151" s="794">
        <f t="shared" si="591"/>
        <v>170.60795850000002</v>
      </c>
      <c r="AN151" s="793">
        <f t="shared" si="591"/>
        <v>139.62546000000006</v>
      </c>
      <c r="AO151" s="793">
        <f t="shared" si="591"/>
        <v>169.34813999999994</v>
      </c>
      <c r="AP151" s="793">
        <f t="shared" si="591"/>
        <v>177.27679999999998</v>
      </c>
      <c r="AQ151" s="794">
        <f t="shared" si="591"/>
        <v>200.54184999999993</v>
      </c>
      <c r="AR151" s="793">
        <f t="shared" si="591"/>
        <v>184.92099999999999</v>
      </c>
      <c r="AS151" s="793">
        <f t="shared" si="591"/>
        <v>212.76555000000002</v>
      </c>
      <c r="AT151" s="793">
        <f t="shared" si="591"/>
        <v>223.50190000000009</v>
      </c>
      <c r="AU151" s="794">
        <f t="shared" si="591"/>
        <v>286.17554999999993</v>
      </c>
      <c r="AV151" s="793">
        <f>+AV98-AV149</f>
        <v>159.47139999999996</v>
      </c>
      <c r="AW151" s="793">
        <f t="shared" si="591"/>
        <v>179.71630999999988</v>
      </c>
      <c r="AX151" s="793">
        <f t="shared" si="591"/>
        <v>226.55299999999997</v>
      </c>
      <c r="AY151" s="794">
        <f t="shared" ref="AY151" si="592">+AY98-AY149</f>
        <v>290.49580000000003</v>
      </c>
      <c r="AZ151" s="793">
        <f>+AZ98-AZ149</f>
        <v>256.06405000000007</v>
      </c>
      <c r="BA151" s="793">
        <f t="shared" si="591"/>
        <v>318.27004999999997</v>
      </c>
      <c r="BB151" s="793">
        <f t="shared" ref="BB151" si="593">+BB98-BB149</f>
        <v>416.83922000000001</v>
      </c>
      <c r="BC151" s="794">
        <f t="shared" si="591"/>
        <v>476.40712500000001</v>
      </c>
      <c r="BD151" s="793">
        <f t="shared" ref="BD151:BK151" si="594">+BD98-BD149</f>
        <v>464.0127</v>
      </c>
      <c r="BE151" s="793">
        <f t="shared" si="594"/>
        <v>457.51657343617518</v>
      </c>
      <c r="BF151" s="793">
        <f t="shared" si="594"/>
        <v>465.7221754038037</v>
      </c>
      <c r="BG151" s="794">
        <f t="shared" si="594"/>
        <v>490.34327259418171</v>
      </c>
      <c r="BH151" s="793">
        <f t="shared" si="594"/>
        <v>430.42109081440066</v>
      </c>
      <c r="BI151" s="793">
        <f t="shared" si="594"/>
        <v>470.59525447469309</v>
      </c>
      <c r="BJ151" s="793">
        <f t="shared" si="594"/>
        <v>505.09307842690322</v>
      </c>
      <c r="BK151" s="794">
        <f t="shared" si="594"/>
        <v>539.10881028607753</v>
      </c>
      <c r="BL151" s="793">
        <f t="shared" ref="BL151:BO151" si="595">+BL98-BL149</f>
        <v>484.21399745710852</v>
      </c>
      <c r="BM151" s="793">
        <f t="shared" si="595"/>
        <v>524.09360148563349</v>
      </c>
      <c r="BN151" s="793">
        <f t="shared" si="595"/>
        <v>556.13015420709303</v>
      </c>
      <c r="BO151" s="794">
        <f t="shared" si="595"/>
        <v>586.64267040546042</v>
      </c>
      <c r="BP151" s="1008"/>
      <c r="BQ151" s="996">
        <f t="shared" ref="BQ151:CE151" si="596">+BQ98-BQ149</f>
        <v>431.60043397541313</v>
      </c>
      <c r="BR151" s="988">
        <f t="shared" si="596"/>
        <v>490.62252716141143</v>
      </c>
      <c r="BS151" s="988">
        <f t="shared" si="596"/>
        <v>499.94788358527552</v>
      </c>
      <c r="BT151" s="988">
        <f t="shared" si="596"/>
        <v>498.04157329714974</v>
      </c>
      <c r="BU151" s="988">
        <f t="shared" si="596"/>
        <v>269.03895680045173</v>
      </c>
      <c r="BV151" s="988">
        <f t="shared" si="596"/>
        <v>682.00466031003089</v>
      </c>
      <c r="BW151" s="988">
        <f t="shared" si="596"/>
        <v>803.99400618194306</v>
      </c>
      <c r="BX151" s="988">
        <f t="shared" si="596"/>
        <v>615.60250830771417</v>
      </c>
      <c r="BY151" s="988">
        <f t="shared" si="596"/>
        <v>609.34985463178782</v>
      </c>
      <c r="BZ151" s="988">
        <f t="shared" si="596"/>
        <v>690.07664999999952</v>
      </c>
      <c r="CA151" s="988">
        <f t="shared" si="596"/>
        <v>908.43924999999967</v>
      </c>
      <c r="CB151" s="988">
        <f t="shared" si="596"/>
        <v>855.80810999999994</v>
      </c>
      <c r="CC151" s="988">
        <f t="shared" si="596"/>
        <v>1467.5804450000007</v>
      </c>
      <c r="CD151" s="988">
        <f t="shared" si="596"/>
        <v>1877.5947214341604</v>
      </c>
      <c r="CE151" s="988">
        <f t="shared" si="596"/>
        <v>1945.2182340020736</v>
      </c>
      <c r="CF151" s="1095">
        <f t="shared" ref="CF151" si="597">+CF98-CF149</f>
        <v>2151.0804235552951</v>
      </c>
      <c r="CG151" s="1008"/>
      <c r="CH151" s="806">
        <f t="shared" ref="CH151:CS151" si="598">+CH98-CH149</f>
        <v>433.73230752263572</v>
      </c>
      <c r="CI151" s="793">
        <f t="shared" si="598"/>
        <v>532.87134220579446</v>
      </c>
      <c r="CJ151" s="793">
        <f t="shared" si="598"/>
        <v>469.34844059587647</v>
      </c>
      <c r="CK151" s="793">
        <f t="shared" si="598"/>
        <v>436.18298623535151</v>
      </c>
      <c r="CL151" s="793">
        <f t="shared" si="598"/>
        <v>338.9322042484103</v>
      </c>
      <c r="CM151" s="793">
        <f t="shared" si="598"/>
        <v>755.94718132491039</v>
      </c>
      <c r="CN151" s="793">
        <f t="shared" si="598"/>
        <v>740.17078569896478</v>
      </c>
      <c r="CO151" s="793">
        <f t="shared" si="598"/>
        <v>607.16518408259412</v>
      </c>
      <c r="CP151" s="793">
        <f t="shared" si="598"/>
        <v>622.81443213178773</v>
      </c>
      <c r="CQ151" s="793">
        <f t="shared" si="598"/>
        <v>735.37218999999982</v>
      </c>
      <c r="CR151" s="793">
        <f t="shared" si="598"/>
        <v>882.98964999999987</v>
      </c>
      <c r="CS151" s="793">
        <f t="shared" si="598"/>
        <v>952.69401000000039</v>
      </c>
      <c r="CT151" s="793">
        <f>+CT98-CT149</f>
        <v>1675.5290949999999</v>
      </c>
      <c r="CU151" s="793">
        <f>+CU98-CU149</f>
        <v>1844.0031122485623</v>
      </c>
      <c r="CV151" s="794">
        <f>+CV98-CV149</f>
        <v>1999.0111406447811</v>
      </c>
      <c r="CW151" s="793"/>
      <c r="CX151"/>
      <c r="CY151"/>
      <c r="CZ151"/>
      <c r="DA151"/>
      <c r="DB151"/>
      <c r="DC151"/>
    </row>
    <row r="152" spans="1:112" s="994" customFormat="1" ht="14.25" customHeight="1">
      <c r="A152" s="990"/>
      <c r="B152" s="982" t="s">
        <v>503</v>
      </c>
      <c r="C152" s="991"/>
      <c r="D152" s="998"/>
      <c r="E152" s="992"/>
      <c r="F152" s="992"/>
      <c r="G152" s="1102"/>
      <c r="H152" s="998"/>
      <c r="I152" s="992"/>
      <c r="J152" s="992"/>
      <c r="K152" s="1102"/>
      <c r="L152" s="998"/>
      <c r="M152" s="992"/>
      <c r="N152" s="992"/>
      <c r="O152" s="1102"/>
      <c r="P152" s="998"/>
      <c r="Q152" s="992"/>
      <c r="R152" s="992"/>
      <c r="S152" s="1102"/>
      <c r="T152" s="998"/>
      <c r="U152" s="992"/>
      <c r="V152" s="992"/>
      <c r="W152" s="1102"/>
      <c r="X152" s="998"/>
      <c r="Y152" s="992"/>
      <c r="Z152" s="992"/>
      <c r="AA152" s="1102"/>
      <c r="AB152" s="998"/>
      <c r="AC152" s="992"/>
      <c r="AD152" s="992"/>
      <c r="AE152" s="1102"/>
      <c r="AF152" s="991">
        <f>+AF151/AF114</f>
        <v>0.44053862529537169</v>
      </c>
      <c r="AG152" s="991">
        <f t="shared" ref="AG152:AQ152" si="599">+AG151/AG114</f>
        <v>0.50467814406164346</v>
      </c>
      <c r="AH152" s="991">
        <f t="shared" si="599"/>
        <v>0.53262783540958403</v>
      </c>
      <c r="AI152" s="991">
        <f t="shared" si="599"/>
        <v>0.53244950830408788</v>
      </c>
      <c r="AJ152" s="987">
        <f t="shared" si="599"/>
        <v>0.40660988639110462</v>
      </c>
      <c r="AK152" s="991">
        <f t="shared" si="599"/>
        <v>0.47604799309438101</v>
      </c>
      <c r="AL152" s="991">
        <f t="shared" si="599"/>
        <v>0.51823399458872688</v>
      </c>
      <c r="AM152" s="993">
        <f t="shared" si="599"/>
        <v>0.53782898245990118</v>
      </c>
      <c r="AN152" s="991">
        <f t="shared" si="599"/>
        <v>0.43905030234232778</v>
      </c>
      <c r="AO152" s="991">
        <f t="shared" si="599"/>
        <v>0.53196084775418007</v>
      </c>
      <c r="AP152" s="991">
        <f t="shared" si="599"/>
        <v>0.55594274890553064</v>
      </c>
      <c r="AQ152" s="993">
        <f t="shared" si="599"/>
        <v>0.63288766931340468</v>
      </c>
      <c r="AR152" s="991">
        <f t="shared" ref="AR152:AX152" si="600">+AR151/AR114</f>
        <v>0.58577881679147492</v>
      </c>
      <c r="AS152" s="991">
        <f t="shared" si="600"/>
        <v>0.67108520187858578</v>
      </c>
      <c r="AT152" s="991">
        <f t="shared" si="600"/>
        <v>0.70242310339517355</v>
      </c>
      <c r="AU152" s="993">
        <f t="shared" si="600"/>
        <v>0.90398536189354017</v>
      </c>
      <c r="AV152" s="991">
        <f>+AV151/AV114</f>
        <v>0.50659131556292536</v>
      </c>
      <c r="AW152" s="991">
        <f t="shared" si="600"/>
        <v>0.57555263410728541</v>
      </c>
      <c r="AX152" s="991">
        <f t="shared" si="600"/>
        <v>0.72950302358979635</v>
      </c>
      <c r="AY152" s="993">
        <f t="shared" ref="AY152" si="601">+AY151/AY114</f>
        <v>0.93217278016127958</v>
      </c>
      <c r="AZ152" s="991">
        <f>+AZ151/AZ114</f>
        <v>0.8178974114911397</v>
      </c>
      <c r="BA152" s="991">
        <f t="shared" ref="BA152:BG152" si="602">+BA151/BA114</f>
        <v>0.92077641225040063</v>
      </c>
      <c r="BB152" s="991">
        <f t="shared" si="602"/>
        <v>1.1230745314002895</v>
      </c>
      <c r="BC152" s="993">
        <f t="shared" si="602"/>
        <v>1.2804818802697466</v>
      </c>
      <c r="BD152" s="991">
        <f t="shared" si="602"/>
        <v>1.2400490126647228</v>
      </c>
      <c r="BE152" s="991">
        <f t="shared" si="602"/>
        <v>1.2194296033097323</v>
      </c>
      <c r="BF152" s="991">
        <f t="shared" si="602"/>
        <v>1.2380005141133943</v>
      </c>
      <c r="BG152" s="993">
        <f t="shared" si="602"/>
        <v>1.2999935644840694</v>
      </c>
      <c r="BH152" s="991">
        <f t="shared" ref="BH152:BK152" si="603">+BH151/BH114</f>
        <v>1.1381110788901863</v>
      </c>
      <c r="BI152" s="991">
        <f t="shared" si="603"/>
        <v>1.2410572418363746</v>
      </c>
      <c r="BJ152" s="991">
        <f t="shared" si="603"/>
        <v>1.3285315420143748</v>
      </c>
      <c r="BK152" s="993">
        <f t="shared" si="603"/>
        <v>1.4142821809812913</v>
      </c>
      <c r="BL152" s="991">
        <f t="shared" ref="BL152:BO152" si="604">+BL151/BL114</f>
        <v>1.2669490682806372</v>
      </c>
      <c r="BM152" s="991">
        <f t="shared" si="604"/>
        <v>1.3677156742120298</v>
      </c>
      <c r="BN152" s="991">
        <f t="shared" si="604"/>
        <v>1.447543147271507</v>
      </c>
      <c r="BO152" s="993">
        <f t="shared" si="604"/>
        <v>1.5229995415379474</v>
      </c>
      <c r="BP152" s="1010"/>
      <c r="BQ152" s="998">
        <f t="shared" ref="BQ152:CE152" si="605">+BQ151/BQ114</f>
        <v>1.1255121720013825</v>
      </c>
      <c r="BR152" s="991">
        <f t="shared" si="605"/>
        <v>1.322562805131533</v>
      </c>
      <c r="BS152" s="991">
        <f t="shared" si="605"/>
        <v>1.504503096846761</v>
      </c>
      <c r="BT152" s="991">
        <f t="shared" si="605"/>
        <v>1.6762853967412761</v>
      </c>
      <c r="BU152" s="991">
        <f t="shared" si="605"/>
        <v>0.91916752836263838</v>
      </c>
      <c r="BV152" s="991">
        <f t="shared" si="605"/>
        <v>2.2297844539314178</v>
      </c>
      <c r="BW152" s="991">
        <f t="shared" si="605"/>
        <v>2.6083694120400924</v>
      </c>
      <c r="BX152" s="991">
        <f t="shared" si="605"/>
        <v>2.010516330259974</v>
      </c>
      <c r="BY152" s="991">
        <f t="shared" si="605"/>
        <v>1.940348185293306</v>
      </c>
      <c r="BZ152" s="991">
        <f t="shared" si="605"/>
        <v>2.1698681244045304</v>
      </c>
      <c r="CA152" s="991">
        <f t="shared" si="605"/>
        <v>2.866894308352971</v>
      </c>
      <c r="CB152" s="991">
        <f t="shared" si="605"/>
        <v>2.7402651865062913</v>
      </c>
      <c r="CC152" s="991">
        <f>+CC151/CC114</f>
        <v>4.1872786320689466</v>
      </c>
      <c r="CD152" s="991">
        <f t="shared" si="605"/>
        <v>4.9977367488378963</v>
      </c>
      <c r="CE152" s="991">
        <f t="shared" si="605"/>
        <v>5.1231882777801658</v>
      </c>
      <c r="CF152" s="993">
        <f t="shared" ref="CF152" si="606">+CF151/CF114</f>
        <v>5.6063124654480454</v>
      </c>
      <c r="CG152" s="1010"/>
      <c r="CH152" s="987">
        <f t="shared" ref="CH152:CR152" si="607">+CH151/CH114</f>
        <v>1.1368303027044186</v>
      </c>
      <c r="CI152" s="991">
        <f t="shared" si="607"/>
        <v>1.4672325242720941</v>
      </c>
      <c r="CJ152" s="991">
        <f t="shared" si="607"/>
        <v>1.4618532149224965</v>
      </c>
      <c r="CK152" s="991">
        <f t="shared" si="607"/>
        <v>1.4843363103525657</v>
      </c>
      <c r="CL152" s="991">
        <f t="shared" si="607"/>
        <v>1.1447743743803311</v>
      </c>
      <c r="CM152" s="991">
        <f t="shared" si="607"/>
        <v>2.4632452471275537</v>
      </c>
      <c r="CN152" s="991">
        <f t="shared" si="607"/>
        <v>2.4077876746429485</v>
      </c>
      <c r="CO152" s="991">
        <f t="shared" si="607"/>
        <v>1.9753094416798709</v>
      </c>
      <c r="CP152" s="991">
        <f t="shared" si="607"/>
        <v>1.9710752115875136</v>
      </c>
      <c r="CQ152" s="991">
        <f t="shared" si="607"/>
        <v>2.3165432931031087</v>
      </c>
      <c r="CR152" s="991">
        <f t="shared" si="607"/>
        <v>2.7885395366169847</v>
      </c>
      <c r="CS152" s="991">
        <f>+CS151/CS114</f>
        <v>3.0546886655652798</v>
      </c>
      <c r="CT152" s="991">
        <f>+CT151/CT114</f>
        <v>4.5809052838068283</v>
      </c>
      <c r="CU152" s="991">
        <f>+CU151/CU114</f>
        <v>4.8952932319461473</v>
      </c>
      <c r="CV152" s="993">
        <f>+CV151/CV114</f>
        <v>5.2510346782932551</v>
      </c>
      <c r="CW152" s="990"/>
      <c r="CX152"/>
      <c r="CY152"/>
      <c r="CZ152"/>
      <c r="DA152"/>
      <c r="DB152"/>
      <c r="DC152"/>
    </row>
    <row r="153" spans="1:112" ht="14.25" customHeight="1">
      <c r="A153" s="8"/>
      <c r="B153" s="8"/>
      <c r="C153" s="8"/>
      <c r="D153" s="11"/>
      <c r="E153" s="11"/>
      <c r="F153" s="11"/>
      <c r="G153" s="11"/>
      <c r="H153" s="11"/>
      <c r="I153" s="11"/>
      <c r="J153" s="11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11"/>
      <c r="V153" s="11"/>
      <c r="W153" s="11"/>
      <c r="X153" s="11"/>
      <c r="Y153" s="11"/>
      <c r="Z153" s="11"/>
      <c r="AA153" s="11"/>
      <c r="AB153" s="11"/>
      <c r="AC153" s="8"/>
      <c r="AD153" s="8"/>
      <c r="AE153" s="11"/>
      <c r="AF153" s="17"/>
      <c r="AG153" s="8"/>
      <c r="AH153" s="8"/>
      <c r="AI153" s="8"/>
      <c r="AJ153" s="8"/>
      <c r="AK153" s="8"/>
      <c r="AL153" s="8"/>
      <c r="AM153" s="8"/>
      <c r="AN153" s="8"/>
      <c r="AO153" s="8"/>
      <c r="AP153" s="8"/>
      <c r="AQ153" s="8"/>
      <c r="AR153" s="8"/>
      <c r="AS153" s="8"/>
      <c r="AT153" s="8"/>
      <c r="AU153" s="8"/>
      <c r="AV153" s="8"/>
      <c r="AW153" s="8"/>
      <c r="AX153" s="8"/>
      <c r="AY153" s="8"/>
      <c r="AZ153" s="8"/>
      <c r="BA153" s="8"/>
      <c r="BB153" s="8"/>
      <c r="BC153" s="8"/>
      <c r="BD153" s="17"/>
      <c r="BE153" s="8"/>
      <c r="BF153" s="8"/>
      <c r="BG153" s="8"/>
      <c r="BH153" s="17"/>
      <c r="BI153" s="8"/>
      <c r="BJ153" s="8"/>
      <c r="BK153" s="8"/>
      <c r="BL153" s="17"/>
      <c r="BM153" s="8"/>
      <c r="BN153" s="8"/>
      <c r="BO153" s="8"/>
      <c r="BP153" s="8"/>
      <c r="BQ153" s="11"/>
      <c r="BR153" s="8"/>
      <c r="BS153" s="8"/>
      <c r="BT153" s="8"/>
      <c r="BU153" s="8"/>
      <c r="BV153" s="8"/>
      <c r="BW153" s="8"/>
      <c r="BX153" s="8"/>
      <c r="BY153" s="8"/>
      <c r="BZ153" s="8"/>
      <c r="CA153" s="8"/>
      <c r="CB153" s="8"/>
      <c r="CC153" s="8"/>
      <c r="CD153" s="8"/>
      <c r="CE153" s="8"/>
      <c r="CF153" s="17"/>
      <c r="CG153" s="8"/>
      <c r="CH153" s="8"/>
      <c r="CI153" s="8"/>
      <c r="CJ153" s="8"/>
      <c r="CK153" s="8"/>
      <c r="CL153" s="8"/>
      <c r="CM153" s="8"/>
      <c r="CN153" s="8"/>
      <c r="CO153" s="8"/>
      <c r="CP153" s="8"/>
      <c r="CQ153" s="8"/>
      <c r="CR153" s="8"/>
      <c r="CS153" s="17"/>
      <c r="CT153" s="17"/>
      <c r="CU153" s="17"/>
      <c r="CV153" s="8"/>
      <c r="CW153" s="8"/>
    </row>
    <row r="154" spans="1:112" ht="14.25" customHeight="1">
      <c r="A154" s="8"/>
      <c r="B154" s="8"/>
      <c r="C154" s="8"/>
      <c r="D154" s="11"/>
      <c r="E154" s="11"/>
      <c r="F154" s="11"/>
      <c r="G154" s="11"/>
      <c r="H154" s="11"/>
      <c r="I154" s="11"/>
      <c r="J154" s="11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11"/>
      <c r="V154" s="11"/>
      <c r="W154" s="11"/>
      <c r="X154" s="11"/>
      <c r="Y154" s="11"/>
      <c r="Z154" s="11"/>
      <c r="AA154" s="11"/>
      <c r="AB154" s="11"/>
      <c r="AC154" s="8"/>
      <c r="AD154" s="8"/>
      <c r="AE154" s="11"/>
      <c r="AF154" s="17"/>
      <c r="AG154" s="8"/>
      <c r="AH154" s="8"/>
      <c r="AI154" s="8"/>
      <c r="AJ154" s="8"/>
      <c r="AK154" s="8"/>
      <c r="AL154" s="8"/>
      <c r="AM154" s="8"/>
      <c r="AN154" s="8"/>
      <c r="AO154" s="8"/>
      <c r="AP154" s="8"/>
      <c r="AQ154" s="8"/>
      <c r="AR154" s="8"/>
      <c r="AS154" s="8"/>
      <c r="AT154" s="8"/>
      <c r="AU154" s="8"/>
      <c r="AV154" s="8"/>
      <c r="AW154" s="8"/>
      <c r="AX154" s="8"/>
      <c r="AY154" s="8"/>
      <c r="AZ154" s="8"/>
      <c r="BA154" s="8"/>
      <c r="BB154" s="8"/>
      <c r="BC154" s="8"/>
      <c r="BD154" s="17"/>
      <c r="BE154" s="8"/>
      <c r="BF154" s="8"/>
      <c r="BG154" s="8"/>
      <c r="BH154" s="17"/>
      <c r="BI154" s="8"/>
      <c r="BJ154" s="8"/>
      <c r="BK154" s="8"/>
      <c r="BL154" s="17"/>
      <c r="BM154" s="8"/>
      <c r="BN154" s="8"/>
      <c r="BO154" s="8"/>
      <c r="BP154" s="8"/>
      <c r="BQ154" s="11"/>
      <c r="BR154" s="8"/>
      <c r="BS154" s="8"/>
      <c r="BT154" s="8"/>
      <c r="BU154" s="8"/>
      <c r="BV154" s="8"/>
      <c r="BW154" s="8"/>
      <c r="BX154" s="8"/>
      <c r="BY154" s="8"/>
      <c r="BZ154" s="8"/>
      <c r="CA154" s="8"/>
      <c r="CB154" s="8"/>
      <c r="CC154" s="8"/>
      <c r="CD154" s="8"/>
      <c r="CE154" s="8"/>
      <c r="CF154" s="17"/>
      <c r="CG154" s="8"/>
      <c r="CH154" s="8"/>
      <c r="CI154" s="8"/>
      <c r="CJ154" s="8"/>
      <c r="CK154" s="8"/>
      <c r="CL154" s="8"/>
      <c r="CM154" s="8"/>
      <c r="CN154" s="8"/>
      <c r="CO154" s="8"/>
      <c r="CP154" s="8"/>
      <c r="CQ154" s="8"/>
      <c r="CR154" s="8"/>
      <c r="CS154" s="17"/>
      <c r="CT154" s="17"/>
      <c r="CU154" s="17"/>
      <c r="CV154" s="8"/>
      <c r="CW154" s="8"/>
    </row>
    <row r="155" spans="1:112" ht="14.25" customHeight="1">
      <c r="A155" s="8"/>
      <c r="B155" s="858" t="s">
        <v>472</v>
      </c>
      <c r="C155" s="739"/>
      <c r="D155" s="21" t="str">
        <f>+D$9</f>
        <v>F1Q05A</v>
      </c>
      <c r="E155" s="21" t="str">
        <f t="shared" ref="E155:BO155" si="608">+E$9</f>
        <v>F2Q05A</v>
      </c>
      <c r="F155" s="21" t="str">
        <f t="shared" si="608"/>
        <v>F3Q05A</v>
      </c>
      <c r="G155" s="22" t="str">
        <f t="shared" si="608"/>
        <v>F4Q05A</v>
      </c>
      <c r="H155" s="21" t="str">
        <f t="shared" si="608"/>
        <v>F1Q06A</v>
      </c>
      <c r="I155" s="21" t="str">
        <f t="shared" si="608"/>
        <v>F2Q06A</v>
      </c>
      <c r="J155" s="21" t="str">
        <f t="shared" si="608"/>
        <v>F3Q06A</v>
      </c>
      <c r="K155" s="22" t="str">
        <f t="shared" si="608"/>
        <v>F4Q06A</v>
      </c>
      <c r="L155" s="21" t="str">
        <f t="shared" si="608"/>
        <v>F1Q07A</v>
      </c>
      <c r="M155" s="21" t="str">
        <f t="shared" si="608"/>
        <v>F2Q07A</v>
      </c>
      <c r="N155" s="21" t="str">
        <f t="shared" si="608"/>
        <v>F3Q07A</v>
      </c>
      <c r="O155" s="22" t="str">
        <f t="shared" si="608"/>
        <v>F4Q07A</v>
      </c>
      <c r="P155" s="21" t="str">
        <f t="shared" si="608"/>
        <v>F1Q08A</v>
      </c>
      <c r="Q155" s="21" t="str">
        <f t="shared" si="608"/>
        <v>F2Q08A</v>
      </c>
      <c r="R155" s="21" t="str">
        <f t="shared" si="608"/>
        <v>F3Q08A</v>
      </c>
      <c r="S155" s="22" t="str">
        <f t="shared" si="608"/>
        <v>F4Q08A</v>
      </c>
      <c r="T155" s="21" t="str">
        <f t="shared" si="608"/>
        <v>F1Q09A</v>
      </c>
      <c r="U155" s="21" t="str">
        <f t="shared" si="608"/>
        <v>F2Q09A</v>
      </c>
      <c r="V155" s="21" t="str">
        <f t="shared" si="608"/>
        <v>F3Q09A</v>
      </c>
      <c r="W155" s="22" t="str">
        <f t="shared" si="608"/>
        <v>F4Q09A</v>
      </c>
      <c r="X155" s="21" t="str">
        <f t="shared" si="608"/>
        <v>F1Q10A</v>
      </c>
      <c r="Y155" s="21" t="str">
        <f t="shared" si="608"/>
        <v>F2Q10A</v>
      </c>
      <c r="Z155" s="21" t="str">
        <f t="shared" si="608"/>
        <v>F3Q10A</v>
      </c>
      <c r="AA155" s="22" t="str">
        <f t="shared" si="608"/>
        <v>F4Q10A</v>
      </c>
      <c r="AB155" s="21" t="str">
        <f t="shared" si="608"/>
        <v>F1Q11A</v>
      </c>
      <c r="AC155" s="21" t="str">
        <f t="shared" si="608"/>
        <v>F2Q11A</v>
      </c>
      <c r="AD155" s="21" t="str">
        <f t="shared" si="608"/>
        <v>F3Q11A</v>
      </c>
      <c r="AE155" s="21" t="str">
        <f t="shared" si="608"/>
        <v>F4Q11A</v>
      </c>
      <c r="AF155" s="20" t="str">
        <f t="shared" si="608"/>
        <v>F1Q12A</v>
      </c>
      <c r="AG155" s="21" t="str">
        <f t="shared" si="608"/>
        <v>F2Q12A</v>
      </c>
      <c r="AH155" s="21" t="str">
        <f t="shared" si="608"/>
        <v>F3Q12A</v>
      </c>
      <c r="AI155" s="22" t="str">
        <f t="shared" si="608"/>
        <v>F4Q12A</v>
      </c>
      <c r="AJ155" s="20" t="str">
        <f t="shared" si="608"/>
        <v>F1Q13A</v>
      </c>
      <c r="AK155" s="21" t="str">
        <f t="shared" si="608"/>
        <v>F2Q13A</v>
      </c>
      <c r="AL155" s="21" t="str">
        <f t="shared" si="608"/>
        <v>F3Q13A</v>
      </c>
      <c r="AM155" s="22" t="str">
        <f t="shared" si="608"/>
        <v>F4Q13A</v>
      </c>
      <c r="AN155" s="20" t="str">
        <f t="shared" si="608"/>
        <v>F1Q14A</v>
      </c>
      <c r="AO155" s="21" t="str">
        <f t="shared" si="608"/>
        <v>F2Q14A</v>
      </c>
      <c r="AP155" s="21" t="str">
        <f t="shared" si="608"/>
        <v>F3Q14A</v>
      </c>
      <c r="AQ155" s="22" t="str">
        <f t="shared" si="608"/>
        <v>F4Q14A</v>
      </c>
      <c r="AR155" s="20" t="str">
        <f t="shared" si="608"/>
        <v>F1Q15A</v>
      </c>
      <c r="AS155" s="21" t="str">
        <f t="shared" si="608"/>
        <v>F2Q15A</v>
      </c>
      <c r="AT155" s="21" t="str">
        <f t="shared" si="608"/>
        <v>F3Q15A</v>
      </c>
      <c r="AU155" s="22" t="str">
        <f t="shared" si="608"/>
        <v>F4Q15A</v>
      </c>
      <c r="AV155" s="20" t="str">
        <f t="shared" si="608"/>
        <v>F1Q16A</v>
      </c>
      <c r="AW155" s="21" t="str">
        <f t="shared" si="608"/>
        <v>F2Q16A</v>
      </c>
      <c r="AX155" s="21" t="str">
        <f t="shared" si="608"/>
        <v>F3Q16A</v>
      </c>
      <c r="AY155" s="22" t="str">
        <f t="shared" si="608"/>
        <v>F4Q16A</v>
      </c>
      <c r="AZ155" s="1204" t="str">
        <f t="shared" si="608"/>
        <v>F1Q17A</v>
      </c>
      <c r="BA155" s="1205" t="str">
        <f t="shared" si="608"/>
        <v>F2Q17A</v>
      </c>
      <c r="BB155" s="21" t="str">
        <f t="shared" si="608"/>
        <v>F3Q17A</v>
      </c>
      <c r="BC155" s="22" t="str">
        <f t="shared" si="608"/>
        <v>F4Q17A</v>
      </c>
      <c r="BD155" s="21" t="str">
        <f t="shared" si="608"/>
        <v>F1Q18A</v>
      </c>
      <c r="BE155" s="21" t="str">
        <f t="shared" si="608"/>
        <v>F2Q18E</v>
      </c>
      <c r="BF155" s="21" t="str">
        <f t="shared" si="608"/>
        <v>F3Q18E</v>
      </c>
      <c r="BG155" s="22" t="str">
        <f t="shared" si="608"/>
        <v>F4Q18E</v>
      </c>
      <c r="BH155" s="1205" t="str">
        <f t="shared" si="608"/>
        <v>F1Q19E</v>
      </c>
      <c r="BI155" s="1205" t="str">
        <f t="shared" si="608"/>
        <v>F2Q19E</v>
      </c>
      <c r="BJ155" s="1205" t="str">
        <f t="shared" si="608"/>
        <v>F3Q19E</v>
      </c>
      <c r="BK155" s="1206" t="str">
        <f t="shared" si="608"/>
        <v>F4Q19E</v>
      </c>
      <c r="BL155" s="1438" t="str">
        <f t="shared" si="608"/>
        <v>F1Q20E</v>
      </c>
      <c r="BM155" s="1438" t="str">
        <f t="shared" si="608"/>
        <v>F2Q20E</v>
      </c>
      <c r="BN155" s="1438" t="str">
        <f t="shared" si="608"/>
        <v>F3Q20E</v>
      </c>
      <c r="BO155" s="1439" t="str">
        <f t="shared" si="608"/>
        <v>F4Q20E</v>
      </c>
      <c r="BP155" s="253"/>
      <c r="BQ155" s="20" t="str">
        <f>+BQ$9</f>
        <v>FY2005A</v>
      </c>
      <c r="BR155" s="21" t="str">
        <f t="shared" ref="BR155:CF155" si="609">+BR$9</f>
        <v>FY2006A</v>
      </c>
      <c r="BS155" s="21" t="str">
        <f t="shared" si="609"/>
        <v>FY2007A</v>
      </c>
      <c r="BT155" s="21" t="str">
        <f t="shared" si="609"/>
        <v>FY2008A</v>
      </c>
      <c r="BU155" s="21" t="str">
        <f t="shared" si="609"/>
        <v>FY2009A</v>
      </c>
      <c r="BV155" s="21" t="str">
        <f t="shared" si="609"/>
        <v>FY2010A</v>
      </c>
      <c r="BW155" s="1205" t="str">
        <f t="shared" si="609"/>
        <v>FY2011A</v>
      </c>
      <c r="BX155" s="1205" t="str">
        <f t="shared" si="609"/>
        <v>FY2012A</v>
      </c>
      <c r="BY155" s="1205" t="str">
        <f t="shared" si="609"/>
        <v>FY2013A</v>
      </c>
      <c r="BZ155" s="1205" t="str">
        <f t="shared" si="609"/>
        <v>FY2014A</v>
      </c>
      <c r="CA155" s="1205" t="str">
        <f t="shared" si="609"/>
        <v>FY2015A</v>
      </c>
      <c r="CB155" s="1205" t="str">
        <f t="shared" si="609"/>
        <v>FY2016A</v>
      </c>
      <c r="CC155" s="1205" t="str">
        <f t="shared" si="609"/>
        <v>FY2017A</v>
      </c>
      <c r="CD155" s="1205" t="str">
        <f t="shared" si="609"/>
        <v>FY2018E</v>
      </c>
      <c r="CE155" s="1438" t="str">
        <f t="shared" si="609"/>
        <v>FY2019E</v>
      </c>
      <c r="CF155" s="1439" t="str">
        <f t="shared" si="609"/>
        <v>FY2020E</v>
      </c>
      <c r="CG155" s="1467"/>
      <c r="CH155" s="20" t="str">
        <f t="shared" ref="CH155:CV155" si="610">+CH$7</f>
        <v>CY2005</v>
      </c>
      <c r="CI155" s="21" t="str">
        <f t="shared" si="610"/>
        <v>CY2006</v>
      </c>
      <c r="CJ155" s="21" t="str">
        <f t="shared" si="610"/>
        <v>CY2007</v>
      </c>
      <c r="CK155" s="21" t="str">
        <f t="shared" si="610"/>
        <v>CY2008</v>
      </c>
      <c r="CL155" s="21" t="str">
        <f t="shared" si="610"/>
        <v>CY2009</v>
      </c>
      <c r="CM155" s="1438" t="str">
        <f t="shared" si="610"/>
        <v>CY2010</v>
      </c>
      <c r="CN155" s="1438" t="str">
        <f t="shared" si="610"/>
        <v>CY2011</v>
      </c>
      <c r="CO155" s="1438" t="str">
        <f t="shared" si="610"/>
        <v>CY2012</v>
      </c>
      <c r="CP155" s="1438" t="str">
        <f t="shared" si="610"/>
        <v>CY2013</v>
      </c>
      <c r="CQ155" s="1438" t="str">
        <f t="shared" si="610"/>
        <v>CY2014</v>
      </c>
      <c r="CR155" s="1438" t="str">
        <f t="shared" si="610"/>
        <v>CY2015</v>
      </c>
      <c r="CS155" s="21" t="str">
        <f t="shared" si="610"/>
        <v>CY2016</v>
      </c>
      <c r="CT155" s="1205" t="str">
        <f t="shared" si="610"/>
        <v>CY2017</v>
      </c>
      <c r="CU155" s="1438" t="str">
        <f t="shared" si="610"/>
        <v>CY2018</v>
      </c>
      <c r="CV155" s="1439" t="str">
        <f t="shared" si="610"/>
        <v>CY2019</v>
      </c>
      <c r="CW155" s="8"/>
    </row>
    <row r="156" spans="1:112" ht="14.25" customHeight="1">
      <c r="A156" s="11"/>
      <c r="B156" s="99" t="s">
        <v>460</v>
      </c>
      <c r="C156" s="32"/>
      <c r="D156" s="33">
        <v>0</v>
      </c>
      <c r="E156" s="33">
        <v>0</v>
      </c>
      <c r="F156" s="33">
        <v>0</v>
      </c>
      <c r="G156" s="34">
        <v>0</v>
      </c>
      <c r="H156" s="33">
        <v>0.95399999999999996</v>
      </c>
      <c r="I156" s="33">
        <v>0.99</v>
      </c>
      <c r="J156" s="33">
        <v>2.9489999999999998</v>
      </c>
      <c r="K156" s="34">
        <v>2.8010000000000002</v>
      </c>
      <c r="L156" s="33">
        <v>2.91</v>
      </c>
      <c r="M156" s="33">
        <v>2.6480000000000001</v>
      </c>
      <c r="N156" s="33">
        <v>2.4540000000000002</v>
      </c>
      <c r="O156" s="34">
        <v>2.5790000000000002</v>
      </c>
      <c r="P156" s="33">
        <v>1.9530000000000001</v>
      </c>
      <c r="Q156" s="33">
        <v>1.9059999999999999</v>
      </c>
      <c r="R156" s="33">
        <v>1.9430000000000001</v>
      </c>
      <c r="S156" s="34">
        <v>2.004</v>
      </c>
      <c r="T156" s="33">
        <v>1.58</v>
      </c>
      <c r="U156" s="33">
        <v>1.8120000000000001</v>
      </c>
      <c r="V156" s="33">
        <v>1.9419999999999999</v>
      </c>
      <c r="W156" s="34">
        <v>2.1349999999999998</v>
      </c>
      <c r="X156" s="33">
        <v>1.671</v>
      </c>
      <c r="Y156" s="33">
        <v>1.86</v>
      </c>
      <c r="Z156" s="33">
        <v>1.8779999999999999</v>
      </c>
      <c r="AA156" s="34">
        <v>1.923</v>
      </c>
      <c r="AB156" s="33">
        <v>1.748</v>
      </c>
      <c r="AC156" s="33">
        <v>1.9</v>
      </c>
      <c r="AD156" s="33">
        <v>1.8109999999999999</v>
      </c>
      <c r="AE156" s="33">
        <v>1.835</v>
      </c>
      <c r="AF156" s="638">
        <v>1.8069999999999999</v>
      </c>
      <c r="AG156" s="33">
        <v>1.671</v>
      </c>
      <c r="AH156" s="33">
        <v>1.871</v>
      </c>
      <c r="AI156" s="33">
        <v>1.905</v>
      </c>
      <c r="AJ156" s="638">
        <v>1.667</v>
      </c>
      <c r="AK156" s="33">
        <v>1.5169999999999999</v>
      </c>
      <c r="AL156" s="33">
        <v>1.6719999999999999</v>
      </c>
      <c r="AM156" s="33">
        <v>1.7370000000000001</v>
      </c>
      <c r="AN156" s="638">
        <v>1.5569999999999999</v>
      </c>
      <c r="AO156" s="33">
        <v>1.417</v>
      </c>
      <c r="AP156" s="33">
        <v>1.724</v>
      </c>
      <c r="AQ156" s="33">
        <v>2.371</v>
      </c>
      <c r="AR156" s="638">
        <v>2.3919999999999999</v>
      </c>
      <c r="AS156" s="33">
        <v>2.2069999999999999</v>
      </c>
      <c r="AT156" s="33">
        <v>2.1960000000000002</v>
      </c>
      <c r="AU156" s="33">
        <v>2.1880000000000002</v>
      </c>
      <c r="AV156" s="638">
        <v>2.0920000000000001</v>
      </c>
      <c r="AW156" s="35">
        <f t="shared" ref="AW156:AW158" si="611">AV156</f>
        <v>2.0920000000000001</v>
      </c>
      <c r="AX156" s="33">
        <v>1.8440000000000001</v>
      </c>
      <c r="AY156" s="33">
        <v>1.8859999999999999</v>
      </c>
      <c r="AZ156" s="638">
        <v>1.944</v>
      </c>
      <c r="BA156" s="33">
        <v>2.5659999999999998</v>
      </c>
      <c r="BB156" s="33">
        <v>4.375</v>
      </c>
      <c r="BC156" s="1462">
        <v>3.6840000000000002</v>
      </c>
      <c r="BD156" s="638">
        <v>4.2210000000000001</v>
      </c>
      <c r="BE156" s="35">
        <f t="shared" ref="BE156:BG158" si="612">BD156</f>
        <v>4.2210000000000001</v>
      </c>
      <c r="BF156" s="35">
        <f t="shared" si="612"/>
        <v>4.2210000000000001</v>
      </c>
      <c r="BG156" s="36">
        <f t="shared" si="612"/>
        <v>4.2210000000000001</v>
      </c>
      <c r="BH156" s="35">
        <f t="shared" ref="BH156:BH158" si="613">BG156</f>
        <v>4.2210000000000001</v>
      </c>
      <c r="BI156" s="35">
        <f t="shared" ref="BI156:BI158" si="614">BH156</f>
        <v>4.2210000000000001</v>
      </c>
      <c r="BJ156" s="35">
        <f t="shared" ref="BJ156:BJ158" si="615">BI156</f>
        <v>4.2210000000000001</v>
      </c>
      <c r="BK156" s="36">
        <f t="shared" ref="BK156:BK158" si="616">BJ156</f>
        <v>4.2210000000000001</v>
      </c>
      <c r="BL156" s="35">
        <f t="shared" ref="BL156:BL158" si="617">BK156</f>
        <v>4.2210000000000001</v>
      </c>
      <c r="BM156" s="35">
        <f t="shared" ref="BM156:BM158" si="618">BL156</f>
        <v>4.2210000000000001</v>
      </c>
      <c r="BN156" s="35">
        <f t="shared" ref="BN156:BN158" si="619">BM156</f>
        <v>4.2210000000000001</v>
      </c>
      <c r="BO156" s="36">
        <f t="shared" ref="BO156:BO158" si="620">BN156</f>
        <v>4.2210000000000001</v>
      </c>
      <c r="BP156" s="176"/>
      <c r="BQ156" s="35">
        <f>SUM(D156:G156)</f>
        <v>0</v>
      </c>
      <c r="BR156" s="35">
        <f>SUM(H156:K156)</f>
        <v>7.694</v>
      </c>
      <c r="BS156" s="35">
        <f>SUM(L156:O156)</f>
        <v>10.591000000000001</v>
      </c>
      <c r="BT156" s="35">
        <f>SUM(P156:S156)</f>
        <v>7.8059999999999992</v>
      </c>
      <c r="BU156" s="35">
        <f>SUM(T156:W156)</f>
        <v>7.4690000000000003</v>
      </c>
      <c r="BV156" s="35">
        <f>SUM(X156:AA156)</f>
        <v>7.3319999999999999</v>
      </c>
      <c r="BW156" s="35">
        <f>SUM(AB156:AE156)</f>
        <v>7.2939999999999996</v>
      </c>
      <c r="BX156" s="35">
        <f>SUM(AF156:AI156)</f>
        <v>7.2540000000000004</v>
      </c>
      <c r="BY156" s="35">
        <f>SUM(AJ156:AM156)</f>
        <v>6.593</v>
      </c>
      <c r="BZ156" s="35">
        <f>SUM(AN156:AQ156)</f>
        <v>7.0690000000000008</v>
      </c>
      <c r="CA156" s="35">
        <f>SUM(AR156:AU156)</f>
        <v>8.9830000000000005</v>
      </c>
      <c r="CB156" s="35">
        <f>SUM(AV156:AY156)</f>
        <v>7.9140000000000006</v>
      </c>
      <c r="CC156" s="35">
        <f>SUM(AZ156:BC156)</f>
        <v>12.568999999999999</v>
      </c>
      <c r="CD156" s="35">
        <f>SUM(BD156:BG156)</f>
        <v>16.884</v>
      </c>
      <c r="CE156" s="35">
        <f>SUM(BH156:BK156)</f>
        <v>16.884</v>
      </c>
      <c r="CF156" s="36">
        <f>SUM(BL156:BO156)</f>
        <v>16.884</v>
      </c>
      <c r="CG156" s="176"/>
      <c r="CH156" s="37">
        <f>SUM(E156:H156)</f>
        <v>0.95399999999999996</v>
      </c>
      <c r="CI156" s="35">
        <f>SUM(I156:L156)</f>
        <v>9.65</v>
      </c>
      <c r="CJ156" s="35">
        <f>SUM(M156:P156)</f>
        <v>9.6340000000000003</v>
      </c>
      <c r="CK156" s="35">
        <f>SUM(Q156:T156)</f>
        <v>7.4329999999999998</v>
      </c>
      <c r="CL156" s="35">
        <f>SUM(U156:X156)</f>
        <v>7.56</v>
      </c>
      <c r="CM156" s="35">
        <f>SUM(Y156:AB156)</f>
        <v>7.4089999999999998</v>
      </c>
      <c r="CN156" s="35">
        <f>SUM(AC156:AF156)</f>
        <v>7.3529999999999998</v>
      </c>
      <c r="CO156" s="35">
        <f>SUM(AG156:AJ156)</f>
        <v>7.1139999999999999</v>
      </c>
      <c r="CP156" s="35">
        <f>SUM(AK156:AN156)</f>
        <v>6.4830000000000005</v>
      </c>
      <c r="CQ156" s="35">
        <f>SUM(AO156:AR156)</f>
        <v>7.9039999999999999</v>
      </c>
      <c r="CR156" s="35">
        <f>SUM(AS156:AV156)</f>
        <v>8.6830000000000016</v>
      </c>
      <c r="CS156" s="1028">
        <f>SUM(AW156:AZ156)</f>
        <v>7.766</v>
      </c>
      <c r="CT156" s="1028">
        <f>SUM(BA156:BD156)</f>
        <v>14.846</v>
      </c>
      <c r="CU156" s="1028">
        <f>SUM(BE156:BH156)</f>
        <v>16.884</v>
      </c>
      <c r="CV156" s="1098">
        <f>SUM(BI156:BL156)</f>
        <v>16.884</v>
      </c>
      <c r="CW156" s="11"/>
      <c r="DD156" s="394"/>
      <c r="DE156" s="394"/>
      <c r="DF156" s="394"/>
      <c r="DG156" s="394"/>
      <c r="DH156" s="394"/>
    </row>
    <row r="157" spans="1:112" ht="14.25" customHeight="1">
      <c r="A157" s="11"/>
      <c r="B157" s="99" t="s">
        <v>162</v>
      </c>
      <c r="C157" s="32"/>
      <c r="D157" s="33">
        <v>0</v>
      </c>
      <c r="E157" s="33">
        <v>0</v>
      </c>
      <c r="F157" s="33">
        <v>0</v>
      </c>
      <c r="G157" s="34">
        <v>0</v>
      </c>
      <c r="H157" s="33">
        <v>10.263</v>
      </c>
      <c r="I157" s="33">
        <v>8.5429999999999993</v>
      </c>
      <c r="J157" s="33">
        <v>8.3019999999999996</v>
      </c>
      <c r="K157" s="34">
        <v>6.6029999999999998</v>
      </c>
      <c r="L157" s="33">
        <v>7.7380000000000004</v>
      </c>
      <c r="M157" s="33">
        <v>7.2220000000000004</v>
      </c>
      <c r="N157" s="33">
        <v>7.077</v>
      </c>
      <c r="O157" s="34">
        <v>7.31</v>
      </c>
      <c r="P157" s="33">
        <v>5.524</v>
      </c>
      <c r="Q157" s="33">
        <v>6.1079999999999997</v>
      </c>
      <c r="R157" s="33">
        <v>6.1079999999999997</v>
      </c>
      <c r="S157" s="34">
        <v>5.9580000000000002</v>
      </c>
      <c r="T157" s="33">
        <v>5.3209999999999997</v>
      </c>
      <c r="U157" s="33">
        <v>6.0510000000000002</v>
      </c>
      <c r="V157" s="33">
        <v>5.508</v>
      </c>
      <c r="W157" s="34">
        <v>5.7859999999999996</v>
      </c>
      <c r="X157" s="33">
        <v>5.359</v>
      </c>
      <c r="Y157" s="33">
        <v>5.968</v>
      </c>
      <c r="Z157" s="33">
        <v>5.9960000000000004</v>
      </c>
      <c r="AA157" s="34">
        <v>6.02</v>
      </c>
      <c r="AB157" s="33">
        <v>5.585</v>
      </c>
      <c r="AC157" s="33">
        <v>5.7939999999999996</v>
      </c>
      <c r="AD157" s="33">
        <v>5.8769999999999998</v>
      </c>
      <c r="AE157" s="33">
        <v>6.0330000000000004</v>
      </c>
      <c r="AF157" s="638">
        <v>5.8849999999999998</v>
      </c>
      <c r="AG157" s="33">
        <v>5.1619999999999999</v>
      </c>
      <c r="AH157" s="33">
        <v>5.9989999999999997</v>
      </c>
      <c r="AI157" s="33">
        <v>6.1239999999999997</v>
      </c>
      <c r="AJ157" s="638">
        <v>5.6</v>
      </c>
      <c r="AK157" s="33">
        <v>5.0439999999999996</v>
      </c>
      <c r="AL157" s="33">
        <v>5.5359999999999996</v>
      </c>
      <c r="AM157" s="33">
        <v>5.7210000000000001</v>
      </c>
      <c r="AN157" s="638">
        <v>4.859</v>
      </c>
      <c r="AO157" s="33">
        <v>4.2779999999999996</v>
      </c>
      <c r="AP157" s="33">
        <v>5.415</v>
      </c>
      <c r="AQ157" s="33">
        <v>6.1550000000000002</v>
      </c>
      <c r="AR157" s="638">
        <v>6.8739999999999997</v>
      </c>
      <c r="AS157" s="33">
        <v>6.4160000000000004</v>
      </c>
      <c r="AT157" s="33">
        <v>6.8390000000000004</v>
      </c>
      <c r="AU157" s="33">
        <v>6.4870000000000001</v>
      </c>
      <c r="AV157" s="638">
        <v>6.7039999999999997</v>
      </c>
      <c r="AW157" s="35">
        <f t="shared" si="611"/>
        <v>6.7039999999999997</v>
      </c>
      <c r="AX157" s="33">
        <v>6.6820000000000004</v>
      </c>
      <c r="AY157" s="33">
        <v>7.0069999999999997</v>
      </c>
      <c r="AZ157" s="638">
        <v>7.0209999999999999</v>
      </c>
      <c r="BA157" s="33">
        <v>11.91</v>
      </c>
      <c r="BB157" s="33">
        <v>15.781000000000001</v>
      </c>
      <c r="BC157" s="34">
        <v>16.545999999999999</v>
      </c>
      <c r="BD157" s="638">
        <v>19.728000000000002</v>
      </c>
      <c r="BE157" s="35">
        <f t="shared" si="612"/>
        <v>19.728000000000002</v>
      </c>
      <c r="BF157" s="35">
        <f t="shared" si="612"/>
        <v>19.728000000000002</v>
      </c>
      <c r="BG157" s="36">
        <f t="shared" si="612"/>
        <v>19.728000000000002</v>
      </c>
      <c r="BH157" s="35">
        <f t="shared" si="613"/>
        <v>19.728000000000002</v>
      </c>
      <c r="BI157" s="35">
        <f t="shared" si="614"/>
        <v>19.728000000000002</v>
      </c>
      <c r="BJ157" s="35">
        <f t="shared" si="615"/>
        <v>19.728000000000002</v>
      </c>
      <c r="BK157" s="36">
        <f t="shared" si="616"/>
        <v>19.728000000000002</v>
      </c>
      <c r="BL157" s="35">
        <f t="shared" si="617"/>
        <v>19.728000000000002</v>
      </c>
      <c r="BM157" s="35">
        <f t="shared" si="618"/>
        <v>19.728000000000002</v>
      </c>
      <c r="BN157" s="35">
        <f t="shared" si="619"/>
        <v>19.728000000000002</v>
      </c>
      <c r="BO157" s="36">
        <f t="shared" si="620"/>
        <v>19.728000000000002</v>
      </c>
      <c r="BP157" s="176"/>
      <c r="BQ157" s="35">
        <f>SUM(D157:G157)</f>
        <v>0</v>
      </c>
      <c r="BR157" s="35">
        <f>SUM(H157:K157)</f>
        <v>33.710999999999999</v>
      </c>
      <c r="BS157" s="35">
        <f>SUM(L157:O157)</f>
        <v>29.346999999999998</v>
      </c>
      <c r="BT157" s="35">
        <f>SUM(P157:S157)</f>
        <v>23.698</v>
      </c>
      <c r="BU157" s="35">
        <f>SUM(T157:W157)</f>
        <v>22.665999999999997</v>
      </c>
      <c r="BV157" s="35">
        <f>SUM(X157:AA157)</f>
        <v>23.343</v>
      </c>
      <c r="BW157" s="35">
        <f>SUM(AB157:AE157)</f>
        <v>23.289000000000001</v>
      </c>
      <c r="BX157" s="35">
        <f>SUM(AF157:AI157)</f>
        <v>23.169999999999998</v>
      </c>
      <c r="BY157" s="35">
        <f>SUM(AJ157:AM157)</f>
        <v>21.901</v>
      </c>
      <c r="BZ157" s="35">
        <f>SUM(AN157:AQ157)</f>
        <v>20.707000000000001</v>
      </c>
      <c r="CA157" s="35">
        <f>SUM(AR157:AU157)</f>
        <v>26.616</v>
      </c>
      <c r="CB157" s="35">
        <f>SUM(AV157:AY157)</f>
        <v>27.097000000000001</v>
      </c>
      <c r="CC157" s="35">
        <f>SUM(AZ157:BC157)</f>
        <v>51.258000000000003</v>
      </c>
      <c r="CD157" s="35">
        <f>SUM(BD157:BG157)</f>
        <v>78.912000000000006</v>
      </c>
      <c r="CE157" s="35">
        <f>SUM(BH157:BK157)</f>
        <v>78.912000000000006</v>
      </c>
      <c r="CF157" s="36">
        <f>SUM(BL157:BO157)</f>
        <v>78.912000000000006</v>
      </c>
      <c r="CG157" s="176"/>
      <c r="CH157" s="37">
        <f>SUM(E157:H157)</f>
        <v>10.263</v>
      </c>
      <c r="CI157" s="35">
        <f>SUM(I157:L157)</f>
        <v>31.186</v>
      </c>
      <c r="CJ157" s="35">
        <f>SUM(M157:P157)</f>
        <v>27.132999999999999</v>
      </c>
      <c r="CK157" s="35">
        <f>SUM(Q157:T157)</f>
        <v>23.494999999999997</v>
      </c>
      <c r="CL157" s="35">
        <f>SUM(U157:X157)</f>
        <v>22.704000000000001</v>
      </c>
      <c r="CM157" s="35">
        <f>SUM(Y157:AB157)</f>
        <v>23.569000000000003</v>
      </c>
      <c r="CN157" s="35">
        <f>SUM(AC157:AF157)</f>
        <v>23.588999999999999</v>
      </c>
      <c r="CO157" s="35">
        <f>SUM(AG157:AJ157)</f>
        <v>22.884999999999998</v>
      </c>
      <c r="CP157" s="35">
        <f>SUM(AK157:AN157)</f>
        <v>21.159999999999997</v>
      </c>
      <c r="CQ157" s="35">
        <f>SUM(AO157:AR157)</f>
        <v>22.721999999999998</v>
      </c>
      <c r="CR157" s="35">
        <f>SUM(AS157:AV157)</f>
        <v>26.446000000000002</v>
      </c>
      <c r="CS157" s="35">
        <f>SUM(AW157:AZ157)</f>
        <v>27.414000000000001</v>
      </c>
      <c r="CT157" s="35">
        <f>SUM(BA157:BD157)</f>
        <v>63.965000000000003</v>
      </c>
      <c r="CU157" s="35">
        <f>SUM(BE157:BH157)</f>
        <v>78.912000000000006</v>
      </c>
      <c r="CV157" s="36">
        <f>SUM(BI157:BL157)</f>
        <v>78.912000000000006</v>
      </c>
      <c r="CW157" s="11"/>
      <c r="DD157" s="394"/>
      <c r="DE157" s="394"/>
      <c r="DF157" s="394"/>
      <c r="DG157" s="394"/>
      <c r="DH157" s="394"/>
    </row>
    <row r="158" spans="1:112" ht="14.25" customHeight="1">
      <c r="A158" s="859"/>
      <c r="B158" s="851" t="s">
        <v>163</v>
      </c>
      <c r="C158" s="852"/>
      <c r="D158" s="678">
        <v>0</v>
      </c>
      <c r="E158" s="678">
        <v>0</v>
      </c>
      <c r="F158" s="678">
        <v>0</v>
      </c>
      <c r="G158" s="679">
        <v>0</v>
      </c>
      <c r="H158" s="678">
        <v>10.09</v>
      </c>
      <c r="I158" s="678">
        <v>7.6840000000000002</v>
      </c>
      <c r="J158" s="678">
        <v>8.0549999999999997</v>
      </c>
      <c r="K158" s="679">
        <v>7.2240000000000002</v>
      </c>
      <c r="L158" s="678">
        <v>7.9880000000000004</v>
      </c>
      <c r="M158" s="678">
        <v>6.3840000000000003</v>
      </c>
      <c r="N158" s="678">
        <v>6.6150000000000002</v>
      </c>
      <c r="O158" s="679">
        <v>6.3419999999999996</v>
      </c>
      <c r="P158" s="678">
        <v>5.415</v>
      </c>
      <c r="Q158" s="678">
        <v>4.7130000000000001</v>
      </c>
      <c r="R158" s="678">
        <v>5.452</v>
      </c>
      <c r="S158" s="679">
        <v>5.39</v>
      </c>
      <c r="T158" s="678">
        <v>4.51</v>
      </c>
      <c r="U158" s="678">
        <v>4.7030000000000003</v>
      </c>
      <c r="V158" s="678">
        <v>4.5650000000000004</v>
      </c>
      <c r="W158" s="679">
        <v>4.7</v>
      </c>
      <c r="X158" s="678">
        <v>4.8049999999999997</v>
      </c>
      <c r="Y158" s="678">
        <v>5.4269999999999996</v>
      </c>
      <c r="Z158" s="678">
        <v>5.3019999999999996</v>
      </c>
      <c r="AA158" s="679">
        <v>5.5430000000000001</v>
      </c>
      <c r="AB158" s="678">
        <v>5.27</v>
      </c>
      <c r="AC158" s="678">
        <v>5.1989999999999998</v>
      </c>
      <c r="AD158" s="678">
        <v>5.6219999999999999</v>
      </c>
      <c r="AE158" s="678">
        <v>5.6840000000000002</v>
      </c>
      <c r="AF158" s="680">
        <v>5.64</v>
      </c>
      <c r="AG158" s="678">
        <v>5.2670000000000003</v>
      </c>
      <c r="AH158" s="678">
        <v>5.9210000000000003</v>
      </c>
      <c r="AI158" s="678">
        <v>6.2480000000000002</v>
      </c>
      <c r="AJ158" s="680">
        <v>5.7939999999999996</v>
      </c>
      <c r="AK158" s="678">
        <v>11.395</v>
      </c>
      <c r="AL158" s="678">
        <v>5.5389999999999997</v>
      </c>
      <c r="AM158" s="678">
        <v>5.6639999999999997</v>
      </c>
      <c r="AN158" s="680">
        <v>4.9909999999999997</v>
      </c>
      <c r="AO158" s="678">
        <v>4.8470000000000004</v>
      </c>
      <c r="AP158" s="678">
        <v>6.3310000000000004</v>
      </c>
      <c r="AQ158" s="678">
        <v>6.867</v>
      </c>
      <c r="AR158" s="680">
        <v>11.105</v>
      </c>
      <c r="AS158" s="678">
        <v>7.4779999999999998</v>
      </c>
      <c r="AT158" s="678">
        <v>7.3289999999999997</v>
      </c>
      <c r="AU158" s="678">
        <v>7.4080000000000004</v>
      </c>
      <c r="AV158" s="680">
        <v>6.8129999999999997</v>
      </c>
      <c r="AW158" s="682">
        <f t="shared" si="611"/>
        <v>6.8129999999999997</v>
      </c>
      <c r="AX158" s="678">
        <v>8.093</v>
      </c>
      <c r="AY158" s="678">
        <v>6.3410000000000002</v>
      </c>
      <c r="AZ158" s="680">
        <v>7.5640000000000001</v>
      </c>
      <c r="BA158" s="678">
        <v>8.01</v>
      </c>
      <c r="BB158" s="678">
        <v>12.667999999999999</v>
      </c>
      <c r="BC158" s="679">
        <v>12.119</v>
      </c>
      <c r="BD158" s="680">
        <v>13.952999999999999</v>
      </c>
      <c r="BE158" s="682">
        <f t="shared" si="612"/>
        <v>13.952999999999999</v>
      </c>
      <c r="BF158" s="682">
        <f t="shared" si="612"/>
        <v>13.952999999999999</v>
      </c>
      <c r="BG158" s="683">
        <f t="shared" si="612"/>
        <v>13.952999999999999</v>
      </c>
      <c r="BH158" s="682">
        <f t="shared" si="613"/>
        <v>13.952999999999999</v>
      </c>
      <c r="BI158" s="682">
        <f t="shared" si="614"/>
        <v>13.952999999999999</v>
      </c>
      <c r="BJ158" s="682">
        <f t="shared" si="615"/>
        <v>13.952999999999999</v>
      </c>
      <c r="BK158" s="683">
        <f t="shared" si="616"/>
        <v>13.952999999999999</v>
      </c>
      <c r="BL158" s="682">
        <f t="shared" si="617"/>
        <v>13.952999999999999</v>
      </c>
      <c r="BM158" s="682">
        <f t="shared" si="618"/>
        <v>13.952999999999999</v>
      </c>
      <c r="BN158" s="682">
        <f t="shared" si="619"/>
        <v>13.952999999999999</v>
      </c>
      <c r="BO158" s="683">
        <f t="shared" si="620"/>
        <v>13.952999999999999</v>
      </c>
      <c r="BP158" s="860"/>
      <c r="BQ158" s="682">
        <f>SUM(D158:G158)</f>
        <v>0</v>
      </c>
      <c r="BR158" s="682">
        <f>SUM(H158:K158)</f>
        <v>33.052999999999997</v>
      </c>
      <c r="BS158" s="682">
        <f>SUM(L158:O158)</f>
        <v>27.329000000000001</v>
      </c>
      <c r="BT158" s="682">
        <f>SUM(P158:S158)</f>
        <v>20.97</v>
      </c>
      <c r="BU158" s="682">
        <f>SUM(T158:W158)</f>
        <v>18.478000000000002</v>
      </c>
      <c r="BV158" s="682">
        <f>SUM(X158:AA158)</f>
        <v>21.076999999999998</v>
      </c>
      <c r="BW158" s="682">
        <f>SUM(AB158:AE158)</f>
        <v>21.775000000000002</v>
      </c>
      <c r="BX158" s="682">
        <f>SUM(AF158:AI158)</f>
        <v>23.076000000000001</v>
      </c>
      <c r="BY158" s="682">
        <f>SUM(AJ158:AM158)</f>
        <v>28.392000000000003</v>
      </c>
      <c r="BZ158" s="682">
        <f>SUM(AN158:AQ158)</f>
        <v>23.036000000000001</v>
      </c>
      <c r="CA158" s="682">
        <f>SUM(AR158:AU158)</f>
        <v>33.32</v>
      </c>
      <c r="CB158" s="682">
        <f>SUM(AV158:AY158)</f>
        <v>28.060000000000002</v>
      </c>
      <c r="CC158" s="682">
        <f>SUM(AZ158:BC158)</f>
        <v>40.360999999999997</v>
      </c>
      <c r="CD158" s="682">
        <f>SUM(BD158:BG158)</f>
        <v>55.811999999999998</v>
      </c>
      <c r="CE158" s="682">
        <f>SUM(BH158:BK158)</f>
        <v>55.811999999999998</v>
      </c>
      <c r="CF158" s="683">
        <f>SUM(BL158:BO158)</f>
        <v>55.811999999999998</v>
      </c>
      <c r="CG158" s="860"/>
      <c r="CH158" s="684">
        <f>SUM(E158:H158)</f>
        <v>10.09</v>
      </c>
      <c r="CI158" s="682">
        <f>SUM(I158:L158)</f>
        <v>30.951000000000001</v>
      </c>
      <c r="CJ158" s="682">
        <f>SUM(M158:P158)</f>
        <v>24.756</v>
      </c>
      <c r="CK158" s="682">
        <f>SUM(Q158:T158)</f>
        <v>20.064999999999998</v>
      </c>
      <c r="CL158" s="682">
        <f>SUM(U158:X158)</f>
        <v>18.773</v>
      </c>
      <c r="CM158" s="682">
        <f>SUM(Y158:AB158)</f>
        <v>21.541999999999998</v>
      </c>
      <c r="CN158" s="682">
        <f>SUM(AC158:AF158)</f>
        <v>22.145</v>
      </c>
      <c r="CO158" s="682">
        <f>SUM(AG158:AJ158)</f>
        <v>23.23</v>
      </c>
      <c r="CP158" s="682">
        <f>SUM(AK158:AN158)</f>
        <v>27.588999999999999</v>
      </c>
      <c r="CQ158" s="682">
        <f>SUM(AO158:AR158)</f>
        <v>29.150000000000002</v>
      </c>
      <c r="CR158" s="682">
        <f>SUM(AS158:AV158)</f>
        <v>29.027999999999999</v>
      </c>
      <c r="CS158" s="682">
        <f>SUM(AW158:AZ158)</f>
        <v>28.811</v>
      </c>
      <c r="CT158" s="682">
        <f>SUM(BA158:BD158)</f>
        <v>46.75</v>
      </c>
      <c r="CU158" s="682">
        <f>SUM(BE158:BH158)</f>
        <v>55.811999999999998</v>
      </c>
      <c r="CV158" s="683">
        <f>SUM(BI158:BL158)</f>
        <v>55.811999999999998</v>
      </c>
      <c r="CW158" s="859"/>
      <c r="DD158" s="691"/>
      <c r="DE158" s="691"/>
      <c r="DF158" s="691"/>
      <c r="DG158" s="691"/>
      <c r="DH158" s="691"/>
    </row>
    <row r="159" spans="1:112" ht="14.25" customHeight="1">
      <c r="A159" s="107"/>
      <c r="B159" s="865" t="s">
        <v>343</v>
      </c>
      <c r="C159" s="866"/>
      <c r="D159" s="867">
        <f>+SUM(D156:D158)</f>
        <v>0</v>
      </c>
      <c r="E159" s="867">
        <f t="shared" ref="E159:AN159" si="621">+SUM(E156:E158)</f>
        <v>0</v>
      </c>
      <c r="F159" s="867">
        <f t="shared" si="621"/>
        <v>0</v>
      </c>
      <c r="G159" s="868">
        <f t="shared" si="621"/>
        <v>0</v>
      </c>
      <c r="H159" s="867">
        <f t="shared" si="621"/>
        <v>21.307000000000002</v>
      </c>
      <c r="I159" s="867">
        <f t="shared" si="621"/>
        <v>17.216999999999999</v>
      </c>
      <c r="J159" s="867">
        <f t="shared" si="621"/>
        <v>19.305999999999997</v>
      </c>
      <c r="K159" s="868">
        <f t="shared" si="621"/>
        <v>16.628</v>
      </c>
      <c r="L159" s="867">
        <f t="shared" si="621"/>
        <v>18.635999999999999</v>
      </c>
      <c r="M159" s="867">
        <f t="shared" si="621"/>
        <v>16.254000000000001</v>
      </c>
      <c r="N159" s="867">
        <f t="shared" si="621"/>
        <v>16.146000000000001</v>
      </c>
      <c r="O159" s="868">
        <f t="shared" si="621"/>
        <v>16.230999999999998</v>
      </c>
      <c r="P159" s="867">
        <f t="shared" si="621"/>
        <v>12.891999999999999</v>
      </c>
      <c r="Q159" s="867">
        <f t="shared" si="621"/>
        <v>12.727</v>
      </c>
      <c r="R159" s="867">
        <f t="shared" si="621"/>
        <v>13.503</v>
      </c>
      <c r="S159" s="868">
        <f t="shared" si="621"/>
        <v>13.352</v>
      </c>
      <c r="T159" s="867">
        <f t="shared" si="621"/>
        <v>11.411</v>
      </c>
      <c r="U159" s="867">
        <f t="shared" si="621"/>
        <v>12.566000000000001</v>
      </c>
      <c r="V159" s="867">
        <f t="shared" si="621"/>
        <v>12.015000000000001</v>
      </c>
      <c r="W159" s="868">
        <f t="shared" si="621"/>
        <v>12.620999999999999</v>
      </c>
      <c r="X159" s="867">
        <f t="shared" si="621"/>
        <v>11.835000000000001</v>
      </c>
      <c r="Y159" s="867">
        <f t="shared" si="621"/>
        <v>13.254999999999999</v>
      </c>
      <c r="Z159" s="867">
        <f t="shared" si="621"/>
        <v>13.176</v>
      </c>
      <c r="AA159" s="868">
        <f t="shared" si="621"/>
        <v>13.486000000000001</v>
      </c>
      <c r="AB159" s="867">
        <f t="shared" si="621"/>
        <v>12.603</v>
      </c>
      <c r="AC159" s="867">
        <f t="shared" si="621"/>
        <v>12.892999999999999</v>
      </c>
      <c r="AD159" s="867">
        <f t="shared" si="621"/>
        <v>13.309999999999999</v>
      </c>
      <c r="AE159" s="867">
        <f t="shared" si="621"/>
        <v>13.552</v>
      </c>
      <c r="AF159" s="869">
        <f t="shared" si="621"/>
        <v>13.332000000000001</v>
      </c>
      <c r="AG159" s="867">
        <f t="shared" si="621"/>
        <v>12.100000000000001</v>
      </c>
      <c r="AH159" s="867">
        <f t="shared" si="621"/>
        <v>13.791</v>
      </c>
      <c r="AI159" s="867">
        <f t="shared" si="621"/>
        <v>14.277000000000001</v>
      </c>
      <c r="AJ159" s="869">
        <f t="shared" si="621"/>
        <v>13.061</v>
      </c>
      <c r="AK159" s="867">
        <f t="shared" si="621"/>
        <v>17.956</v>
      </c>
      <c r="AL159" s="867">
        <f t="shared" si="621"/>
        <v>12.747</v>
      </c>
      <c r="AM159" s="867">
        <f t="shared" si="621"/>
        <v>13.122</v>
      </c>
      <c r="AN159" s="869">
        <f t="shared" si="621"/>
        <v>11.407</v>
      </c>
      <c r="AO159" s="867">
        <f>+SUM(AO156:AO158)</f>
        <v>10.542</v>
      </c>
      <c r="AP159" s="867">
        <f>+SUM(AP156:AP158)</f>
        <v>13.47</v>
      </c>
      <c r="AQ159" s="867">
        <f>+SUM(AQ156:AQ158)</f>
        <v>15.393000000000001</v>
      </c>
      <c r="AR159" s="869">
        <f t="shared" ref="AR159:AW159" si="622">+SUM(AR156:AR158)</f>
        <v>20.371000000000002</v>
      </c>
      <c r="AS159" s="867">
        <f>+SUM(AS156:AS158)</f>
        <v>16.100999999999999</v>
      </c>
      <c r="AT159" s="867">
        <f>+SUM(AT156:AT158)</f>
        <v>16.364000000000001</v>
      </c>
      <c r="AU159" s="867">
        <f t="shared" si="622"/>
        <v>16.083000000000002</v>
      </c>
      <c r="AV159" s="869">
        <f>+SUM(AV156:AV158)</f>
        <v>15.608999999999998</v>
      </c>
      <c r="AW159" s="867">
        <f t="shared" si="622"/>
        <v>15.608999999999998</v>
      </c>
      <c r="AX159" s="867">
        <f>+SUM(AX156:AX158)</f>
        <v>16.619</v>
      </c>
      <c r="AY159" s="867">
        <f t="shared" ref="AY159" si="623">+SUM(AY156:AY158)</f>
        <v>15.233999999999998</v>
      </c>
      <c r="AZ159" s="869">
        <f>+SUM(AZ156:AZ158)</f>
        <v>16.529</v>
      </c>
      <c r="BA159" s="867">
        <f t="shared" ref="BA159:BG159" si="624">+SUM(BA156:BA158)</f>
        <v>22.485999999999997</v>
      </c>
      <c r="BB159" s="867">
        <f t="shared" si="624"/>
        <v>32.823999999999998</v>
      </c>
      <c r="BC159" s="868">
        <f t="shared" si="624"/>
        <v>32.349000000000004</v>
      </c>
      <c r="BD159" s="869">
        <f>+SUM(BD156:BD158)</f>
        <v>37.902000000000001</v>
      </c>
      <c r="BE159" s="867">
        <f t="shared" si="624"/>
        <v>37.902000000000001</v>
      </c>
      <c r="BF159" s="867">
        <f t="shared" si="624"/>
        <v>37.902000000000001</v>
      </c>
      <c r="BG159" s="868">
        <f t="shared" si="624"/>
        <v>37.902000000000001</v>
      </c>
      <c r="BH159" s="867">
        <f t="shared" ref="BH159:BK159" si="625">+SUM(BH156:BH158)</f>
        <v>37.902000000000001</v>
      </c>
      <c r="BI159" s="867">
        <f t="shared" si="625"/>
        <v>37.902000000000001</v>
      </c>
      <c r="BJ159" s="867">
        <f t="shared" si="625"/>
        <v>37.902000000000001</v>
      </c>
      <c r="BK159" s="868">
        <f t="shared" si="625"/>
        <v>37.902000000000001</v>
      </c>
      <c r="BL159" s="867">
        <f t="shared" ref="BL159:BO159" si="626">+SUM(BL156:BL158)</f>
        <v>37.902000000000001</v>
      </c>
      <c r="BM159" s="867">
        <f t="shared" si="626"/>
        <v>37.902000000000001</v>
      </c>
      <c r="BN159" s="867">
        <f t="shared" si="626"/>
        <v>37.902000000000001</v>
      </c>
      <c r="BO159" s="868">
        <f t="shared" si="626"/>
        <v>37.902000000000001</v>
      </c>
      <c r="BP159" s="343"/>
      <c r="BQ159" s="862">
        <f t="shared" ref="BQ159:CE159" si="627">+SUM(BQ156:BQ158)</f>
        <v>0</v>
      </c>
      <c r="BR159" s="863">
        <f t="shared" si="627"/>
        <v>74.457999999999998</v>
      </c>
      <c r="BS159" s="863">
        <f t="shared" si="627"/>
        <v>67.266999999999996</v>
      </c>
      <c r="BT159" s="863">
        <f t="shared" si="627"/>
        <v>52.473999999999997</v>
      </c>
      <c r="BU159" s="863">
        <f t="shared" si="627"/>
        <v>48.613</v>
      </c>
      <c r="BV159" s="863">
        <f t="shared" si="627"/>
        <v>51.751999999999995</v>
      </c>
      <c r="BW159" s="863">
        <f t="shared" si="627"/>
        <v>52.358000000000004</v>
      </c>
      <c r="BX159" s="863">
        <f t="shared" si="627"/>
        <v>53.5</v>
      </c>
      <c r="BY159" s="863">
        <f t="shared" si="627"/>
        <v>56.886000000000003</v>
      </c>
      <c r="BZ159" s="863">
        <f t="shared" si="627"/>
        <v>50.812000000000005</v>
      </c>
      <c r="CA159" s="863">
        <f t="shared" si="627"/>
        <v>68.919000000000011</v>
      </c>
      <c r="CB159" s="863">
        <f t="shared" si="627"/>
        <v>63.071000000000005</v>
      </c>
      <c r="CC159" s="863">
        <f>+SUM(CC156:CC158)</f>
        <v>104.18799999999999</v>
      </c>
      <c r="CD159" s="863">
        <f t="shared" si="627"/>
        <v>151.608</v>
      </c>
      <c r="CE159" s="863">
        <f t="shared" si="627"/>
        <v>151.608</v>
      </c>
      <c r="CF159" s="864">
        <f t="shared" ref="CF159" si="628">+SUM(CF156:CF158)</f>
        <v>151.608</v>
      </c>
      <c r="CG159" s="343"/>
      <c r="CH159" s="862">
        <f t="shared" ref="CH159:CR159" si="629">+SUM(CH156:CH158)</f>
        <v>21.307000000000002</v>
      </c>
      <c r="CI159" s="863">
        <f t="shared" si="629"/>
        <v>71.787000000000006</v>
      </c>
      <c r="CJ159" s="863">
        <f t="shared" si="629"/>
        <v>61.522999999999996</v>
      </c>
      <c r="CK159" s="863">
        <f t="shared" si="629"/>
        <v>50.992999999999995</v>
      </c>
      <c r="CL159" s="863">
        <f t="shared" si="629"/>
        <v>49.036999999999999</v>
      </c>
      <c r="CM159" s="863">
        <f t="shared" si="629"/>
        <v>52.519999999999996</v>
      </c>
      <c r="CN159" s="863">
        <f t="shared" si="629"/>
        <v>53.087000000000003</v>
      </c>
      <c r="CO159" s="863">
        <f t="shared" si="629"/>
        <v>53.228999999999999</v>
      </c>
      <c r="CP159" s="863">
        <f t="shared" si="629"/>
        <v>55.231999999999999</v>
      </c>
      <c r="CQ159" s="863">
        <f t="shared" si="629"/>
        <v>59.775999999999996</v>
      </c>
      <c r="CR159" s="863">
        <f t="shared" si="629"/>
        <v>64.157000000000011</v>
      </c>
      <c r="CS159" s="863">
        <f>+SUM(CS156:CS158)</f>
        <v>63.991</v>
      </c>
      <c r="CT159" s="863">
        <f>+SUM(CT156:CT158)</f>
        <v>125.56100000000001</v>
      </c>
      <c r="CU159" s="863">
        <f>+SUM(CU156:CU158)</f>
        <v>151.608</v>
      </c>
      <c r="CV159" s="864">
        <f>+SUM(CV156:CV158)</f>
        <v>151.608</v>
      </c>
      <c r="CW159" s="107"/>
      <c r="DD159" s="106"/>
      <c r="DE159" s="106"/>
      <c r="DF159" s="106"/>
      <c r="DG159" s="106"/>
      <c r="DH159" s="106"/>
    </row>
    <row r="160" spans="1:112" ht="14.25" customHeight="1">
      <c r="A160" s="17"/>
      <c r="B160" s="70"/>
      <c r="C160" s="70"/>
      <c r="D160" s="82"/>
      <c r="E160" s="82"/>
      <c r="F160" s="82"/>
      <c r="G160" s="35"/>
      <c r="H160" s="82"/>
      <c r="I160" s="82"/>
      <c r="J160" s="82"/>
      <c r="K160" s="35"/>
      <c r="L160" s="82"/>
      <c r="M160" s="82"/>
      <c r="N160" s="82"/>
      <c r="O160" s="35"/>
      <c r="P160" s="82"/>
      <c r="Q160" s="82"/>
      <c r="R160" s="82"/>
      <c r="S160" s="35"/>
      <c r="T160" s="82"/>
      <c r="U160" s="82"/>
      <c r="V160" s="82"/>
      <c r="W160" s="35"/>
      <c r="X160" s="82"/>
      <c r="Y160" s="82"/>
      <c r="Z160" s="82"/>
      <c r="AA160" s="35"/>
      <c r="AB160" s="82"/>
      <c r="AC160" s="82"/>
      <c r="AD160" s="82"/>
      <c r="AE160" s="35"/>
      <c r="AF160" s="82"/>
      <c r="AG160" s="82"/>
      <c r="AH160" s="82"/>
      <c r="AI160" s="35"/>
      <c r="AJ160" s="35"/>
      <c r="AK160" s="35"/>
      <c r="AL160" s="35"/>
      <c r="AM160" s="35"/>
      <c r="AN160" s="35"/>
      <c r="AO160" s="35"/>
      <c r="AP160" s="35"/>
      <c r="AQ160" s="35"/>
      <c r="AR160" s="35"/>
      <c r="AS160" s="35"/>
      <c r="AT160" s="35"/>
      <c r="AU160" s="35"/>
      <c r="AV160" s="35"/>
      <c r="AW160" s="35"/>
      <c r="AX160" s="35"/>
      <c r="AY160" s="35"/>
      <c r="AZ160" s="35"/>
      <c r="BA160" s="35"/>
      <c r="BB160" s="35"/>
      <c r="BC160" s="35"/>
      <c r="BD160" s="35"/>
      <c r="BE160" s="35"/>
      <c r="BF160" s="35"/>
      <c r="BG160" s="35"/>
      <c r="BH160" s="35"/>
      <c r="BI160" s="35"/>
      <c r="BJ160" s="35"/>
      <c r="BK160" s="35"/>
      <c r="BL160" s="35"/>
      <c r="BM160" s="35"/>
      <c r="BN160" s="35"/>
      <c r="BO160" s="35"/>
      <c r="BP160" s="17"/>
      <c r="BQ160" s="35"/>
      <c r="BR160" s="35"/>
      <c r="BS160" s="35"/>
      <c r="BT160" s="35"/>
      <c r="BU160" s="35"/>
      <c r="BV160" s="35"/>
      <c r="BW160" s="35"/>
      <c r="BX160" s="35"/>
      <c r="BY160" s="35"/>
      <c r="BZ160" s="35"/>
      <c r="CA160" s="35"/>
      <c r="CB160" s="35"/>
      <c r="CC160" s="35"/>
      <c r="CD160" s="35"/>
      <c r="CE160" s="35"/>
      <c r="CF160" s="35"/>
      <c r="CG160" s="17"/>
      <c r="CH160" s="35"/>
      <c r="CI160" s="35"/>
      <c r="CJ160" s="35"/>
      <c r="CK160" s="35"/>
      <c r="CL160" s="35"/>
      <c r="CM160" s="35"/>
      <c r="CN160" s="35"/>
      <c r="CO160" s="35"/>
      <c r="CP160" s="35"/>
      <c r="CQ160" s="35"/>
      <c r="CR160" s="35"/>
      <c r="CS160" s="35"/>
      <c r="CT160" s="35"/>
      <c r="CU160" s="35"/>
      <c r="CV160" s="35"/>
      <c r="CW160" s="17"/>
      <c r="DD160" s="366"/>
      <c r="DE160" s="366"/>
      <c r="DF160" s="366"/>
      <c r="DG160" s="366"/>
      <c r="DH160" s="366"/>
    </row>
    <row r="161" spans="1:112" ht="14.25" customHeight="1">
      <c r="A161" s="8"/>
      <c r="B161" s="8"/>
      <c r="C161" s="8"/>
      <c r="D161" s="11"/>
      <c r="E161" s="11"/>
      <c r="F161" s="11"/>
      <c r="G161" s="11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11"/>
      <c r="V161" s="11"/>
      <c r="W161" s="11"/>
      <c r="X161" s="11"/>
      <c r="Y161" s="11"/>
      <c r="Z161" s="11"/>
      <c r="AA161" s="11"/>
      <c r="AB161" s="11"/>
      <c r="AC161" s="8"/>
      <c r="AD161" s="8"/>
      <c r="AE161" s="11"/>
      <c r="AF161" s="17"/>
      <c r="AG161" s="8"/>
      <c r="AH161" s="8"/>
      <c r="AI161" s="8"/>
      <c r="AJ161" s="8"/>
      <c r="AK161" s="8"/>
      <c r="AL161" s="8"/>
      <c r="AM161" s="8"/>
      <c r="AN161" s="8"/>
      <c r="AO161" s="8"/>
      <c r="AP161" s="8"/>
      <c r="AQ161" s="8"/>
      <c r="AR161" s="8"/>
      <c r="AS161" s="8"/>
      <c r="AT161" s="8"/>
      <c r="AU161" s="8"/>
      <c r="AV161" s="8"/>
      <c r="AW161" s="8"/>
      <c r="AX161" s="8"/>
      <c r="AY161" s="8"/>
      <c r="AZ161" s="17"/>
      <c r="BA161" s="8"/>
      <c r="BB161" s="8"/>
      <c r="BC161" s="8"/>
      <c r="BD161" s="8"/>
      <c r="BE161" s="8"/>
      <c r="BF161" s="8"/>
      <c r="BG161" s="8"/>
      <c r="BH161" s="8"/>
      <c r="BI161" s="8"/>
      <c r="BJ161" s="8"/>
      <c r="BK161" s="8"/>
      <c r="BL161" s="8"/>
      <c r="BM161" s="8"/>
      <c r="BN161" s="8"/>
      <c r="BO161" s="8"/>
      <c r="BP161" s="8"/>
      <c r="BQ161" s="11"/>
      <c r="BR161" s="8"/>
      <c r="BS161" s="8"/>
      <c r="BT161" s="8"/>
      <c r="BU161" s="8"/>
      <c r="BV161" s="8"/>
      <c r="BW161" s="8"/>
      <c r="BX161" s="8"/>
      <c r="BY161" s="8"/>
      <c r="BZ161" s="8"/>
      <c r="CA161" s="8"/>
      <c r="CB161" s="8"/>
      <c r="CC161" s="8"/>
      <c r="CD161" s="8"/>
      <c r="CE161" s="8"/>
      <c r="CF161" s="17"/>
      <c r="CG161" s="8"/>
      <c r="CH161" s="8"/>
      <c r="CI161" s="8"/>
      <c r="CJ161" s="8"/>
      <c r="CK161" s="8"/>
      <c r="CL161" s="8"/>
      <c r="CM161" s="8"/>
      <c r="CN161" s="8"/>
      <c r="CO161" s="8"/>
      <c r="CP161" s="8"/>
      <c r="CQ161" s="8"/>
      <c r="CR161" s="8"/>
      <c r="CS161" s="8"/>
      <c r="CT161" s="8"/>
      <c r="CU161" s="8"/>
      <c r="CV161" s="8"/>
      <c r="CW161" s="8"/>
    </row>
    <row r="162" spans="1:112" ht="14.25" hidden="1" customHeight="1" outlineLevel="1">
      <c r="A162" s="70"/>
      <c r="B162" s="70" t="str">
        <f t="shared" ref="B162:AG162" si="630">B129</f>
        <v>Period-end Shares (DO NOT DELETE)</v>
      </c>
      <c r="C162" s="70">
        <f t="shared" si="630"/>
        <v>0</v>
      </c>
      <c r="D162" s="82">
        <f t="shared" si="630"/>
        <v>388.10700000000003</v>
      </c>
      <c r="E162" s="82">
        <f t="shared" si="630"/>
        <v>382.33699999999999</v>
      </c>
      <c r="F162" s="82">
        <f t="shared" si="630"/>
        <v>382.83</v>
      </c>
      <c r="G162" s="35">
        <f t="shared" si="630"/>
        <v>380.60700000000003</v>
      </c>
      <c r="H162" s="82">
        <f t="shared" si="630"/>
        <v>380.33699999999999</v>
      </c>
      <c r="I162" s="82">
        <f t="shared" si="630"/>
        <v>376.81099999999998</v>
      </c>
      <c r="J162" s="82">
        <f t="shared" si="630"/>
        <v>369.54199999999997</v>
      </c>
      <c r="K162" s="35">
        <f t="shared" si="630"/>
        <v>357.16399999999999</v>
      </c>
      <c r="L162" s="82">
        <f t="shared" si="630"/>
        <v>349.20800000000003</v>
      </c>
      <c r="M162" s="82">
        <f t="shared" si="630"/>
        <v>338.84</v>
      </c>
      <c r="N162" s="82">
        <f t="shared" si="630"/>
        <v>327.33100000000002</v>
      </c>
      <c r="O162" s="35">
        <f t="shared" si="630"/>
        <v>313.82499999999999</v>
      </c>
      <c r="P162" s="82">
        <f t="shared" si="630"/>
        <v>304.26</v>
      </c>
      <c r="Q162" s="82">
        <f t="shared" si="630"/>
        <v>295.36</v>
      </c>
      <c r="R162" s="82">
        <f t="shared" si="630"/>
        <v>295.00099999999998</v>
      </c>
      <c r="S162" s="35">
        <f t="shared" si="630"/>
        <v>293.82</v>
      </c>
      <c r="T162" s="82">
        <f t="shared" si="630"/>
        <v>291.24799999999999</v>
      </c>
      <c r="U162" s="82">
        <f t="shared" si="630"/>
        <v>292.44600000000003</v>
      </c>
      <c r="V162" s="82">
        <f t="shared" si="630"/>
        <v>293.084</v>
      </c>
      <c r="W162" s="35">
        <f t="shared" si="630"/>
        <v>291.86176699999999</v>
      </c>
      <c r="X162" s="82">
        <f t="shared" si="630"/>
        <v>297.69073900000001</v>
      </c>
      <c r="Y162" s="82">
        <f t="shared" si="630"/>
        <v>297.98126999999999</v>
      </c>
      <c r="Z162" s="82">
        <f t="shared" si="630"/>
        <v>298.08948500000002</v>
      </c>
      <c r="AA162" s="35">
        <f t="shared" si="630"/>
        <v>298.65299399999998</v>
      </c>
      <c r="AB162" s="82">
        <f t="shared" si="630"/>
        <v>299.61044600000002</v>
      </c>
      <c r="AC162" s="82">
        <f t="shared" si="630"/>
        <v>299.63351999999998</v>
      </c>
      <c r="AD162" s="82">
        <f t="shared" si="630"/>
        <v>299.43792000000002</v>
      </c>
      <c r="AE162" s="35">
        <f t="shared" si="630"/>
        <v>297.96071799999999</v>
      </c>
      <c r="AF162" s="82">
        <f t="shared" si="630"/>
        <v>297.83202799999998</v>
      </c>
      <c r="AG162" s="35">
        <f t="shared" si="630"/>
        <v>298.33792499999998</v>
      </c>
      <c r="AH162" s="82">
        <v>298.90559300000001</v>
      </c>
      <c r="AI162" s="35">
        <f t="shared" ref="AI162:AJ162" si="631">AI129</f>
        <v>301.38891760000001</v>
      </c>
      <c r="AJ162" s="35">
        <f t="shared" si="631"/>
        <v>305.98458599999998</v>
      </c>
      <c r="AK162" s="35">
        <f>AK114</f>
        <v>313.36799999999999</v>
      </c>
      <c r="AL162" s="35">
        <f t="shared" ref="AL162:CU162" si="632">AL114</f>
        <v>315.30700000000002</v>
      </c>
      <c r="AM162" s="35">
        <f t="shared" si="632"/>
        <v>317.21600000000001</v>
      </c>
      <c r="AN162" s="35">
        <f t="shared" si="632"/>
        <v>318.017</v>
      </c>
      <c r="AO162" s="35">
        <f t="shared" si="632"/>
        <v>318.34699999999998</v>
      </c>
      <c r="AP162" s="35">
        <f t="shared" si="632"/>
        <v>318.87599999999998</v>
      </c>
      <c r="AQ162" s="35">
        <f t="shared" si="632"/>
        <v>316.86799999999999</v>
      </c>
      <c r="AR162" s="35">
        <f t="shared" si="632"/>
        <v>315.68400000000003</v>
      </c>
      <c r="AS162" s="35">
        <f t="shared" si="632"/>
        <v>317.04700000000003</v>
      </c>
      <c r="AT162" s="35">
        <f t="shared" si="632"/>
        <v>318.18700000000001</v>
      </c>
      <c r="AU162" s="35">
        <f t="shared" si="632"/>
        <v>316.57100000000003</v>
      </c>
      <c r="AV162" s="35">
        <f t="shared" si="632"/>
        <v>314.79300000000001</v>
      </c>
      <c r="AW162" s="35">
        <f t="shared" si="632"/>
        <v>312.25</v>
      </c>
      <c r="AX162" s="35">
        <f t="shared" si="632"/>
        <v>310.55799999999999</v>
      </c>
      <c r="AY162" s="35">
        <f t="shared" si="632"/>
        <v>311.63299999999998</v>
      </c>
      <c r="AZ162" s="35">
        <f t="shared" si="632"/>
        <v>313.07600000000002</v>
      </c>
      <c r="BA162" s="35">
        <f t="shared" si="632"/>
        <v>345.654</v>
      </c>
      <c r="BB162" s="35">
        <f t="shared" si="632"/>
        <v>371.15899999999999</v>
      </c>
      <c r="BC162" s="35">
        <f t="shared" si="632"/>
        <v>372.053</v>
      </c>
      <c r="BD162" s="35">
        <f t="shared" si="632"/>
        <v>374.18900000000002</v>
      </c>
      <c r="BE162" s="35">
        <f t="shared" si="632"/>
        <v>375.18900000000002</v>
      </c>
      <c r="BF162" s="35">
        <f t="shared" si="632"/>
        <v>376.18900000000002</v>
      </c>
      <c r="BG162" s="35">
        <f t="shared" si="632"/>
        <v>377.18900000000002</v>
      </c>
      <c r="BH162" s="35">
        <f t="shared" si="632"/>
        <v>378.18900000000002</v>
      </c>
      <c r="BI162" s="35">
        <f t="shared" si="632"/>
        <v>379.18900000000002</v>
      </c>
      <c r="BJ162" s="35">
        <f t="shared" si="632"/>
        <v>380.18900000000002</v>
      </c>
      <c r="BK162" s="35">
        <f t="shared" si="632"/>
        <v>381.18900000000002</v>
      </c>
      <c r="BL162" s="35">
        <f t="shared" ref="BL162:BO162" si="633">BL114</f>
        <v>382.18900000000002</v>
      </c>
      <c r="BM162" s="35">
        <f t="shared" si="633"/>
        <v>383.18900000000002</v>
      </c>
      <c r="BN162" s="35">
        <f t="shared" si="633"/>
        <v>384.18900000000002</v>
      </c>
      <c r="BO162" s="35">
        <f t="shared" si="633"/>
        <v>385.18900000000002</v>
      </c>
      <c r="BP162" s="35"/>
      <c r="BQ162" s="35">
        <f t="shared" si="632"/>
        <v>383.47024999999996</v>
      </c>
      <c r="BR162" s="35">
        <f t="shared" si="632"/>
        <v>370.96349999999995</v>
      </c>
      <c r="BS162" s="35">
        <f t="shared" si="632"/>
        <v>332.30099999999999</v>
      </c>
      <c r="BT162" s="35">
        <f t="shared" si="632"/>
        <v>297.11025000000001</v>
      </c>
      <c r="BU162" s="35">
        <f t="shared" si="632"/>
        <v>292.69850000000002</v>
      </c>
      <c r="BV162" s="35">
        <f t="shared" si="632"/>
        <v>305.86125000000004</v>
      </c>
      <c r="BW162" s="35">
        <f t="shared" si="632"/>
        <v>308.23625000000004</v>
      </c>
      <c r="BX162" s="35">
        <f t="shared" si="632"/>
        <v>306.19124999999997</v>
      </c>
      <c r="BY162" s="35">
        <f t="shared" si="632"/>
        <v>314.04150000000004</v>
      </c>
      <c r="BZ162" s="35">
        <f t="shared" si="632"/>
        <v>318.02699999999999</v>
      </c>
      <c r="CA162" s="35">
        <f t="shared" si="632"/>
        <v>316.87225000000001</v>
      </c>
      <c r="CB162" s="35">
        <f t="shared" si="632"/>
        <v>312.30849999999998</v>
      </c>
      <c r="CC162" s="35">
        <f t="shared" si="632"/>
        <v>350.4855</v>
      </c>
      <c r="CD162" s="35">
        <f t="shared" si="632"/>
        <v>375.68900000000002</v>
      </c>
      <c r="CE162" s="35">
        <f t="shared" si="632"/>
        <v>379.68900000000002</v>
      </c>
      <c r="CF162" s="35">
        <f t="shared" ref="CF162" si="634">CF114</f>
        <v>383.68900000000002</v>
      </c>
      <c r="CG162" s="35"/>
      <c r="CH162" s="35">
        <f t="shared" si="632"/>
        <v>381.52774999999997</v>
      </c>
      <c r="CI162" s="35">
        <f t="shared" si="632"/>
        <v>363.18124999999998</v>
      </c>
      <c r="CJ162" s="35">
        <f t="shared" si="632"/>
        <v>321.06400000000002</v>
      </c>
      <c r="CK162" s="35">
        <f t="shared" si="632"/>
        <v>293.85725000000002</v>
      </c>
      <c r="CL162" s="35">
        <f t="shared" si="632"/>
        <v>296.06900000000002</v>
      </c>
      <c r="CM162" s="35">
        <f t="shared" si="632"/>
        <v>306.89075000000003</v>
      </c>
      <c r="CN162" s="35">
        <f t="shared" si="632"/>
        <v>307.40699999999998</v>
      </c>
      <c r="CO162" s="35">
        <f t="shared" si="632"/>
        <v>307.37725</v>
      </c>
      <c r="CP162" s="35">
        <f t="shared" si="632"/>
        <v>315.97699999999998</v>
      </c>
      <c r="CQ162" s="35">
        <f t="shared" si="632"/>
        <v>317.44374999999997</v>
      </c>
      <c r="CR162" s="35">
        <f t="shared" si="632"/>
        <v>316.64949999999999</v>
      </c>
      <c r="CS162" s="35">
        <f t="shared" si="632"/>
        <v>311.87925000000001</v>
      </c>
      <c r="CT162" s="35">
        <f t="shared" si="632"/>
        <v>365.76375000000002</v>
      </c>
      <c r="CU162" s="35">
        <f t="shared" si="632"/>
        <v>376.68900000000002</v>
      </c>
      <c r="CV162" s="35">
        <f t="shared" ref="CV162" si="635">CV114</f>
        <v>380.68900000000002</v>
      </c>
      <c r="CW162" s="70"/>
      <c r="DD162" s="445"/>
      <c r="DE162" s="445"/>
      <c r="DF162" s="445"/>
      <c r="DG162" s="445"/>
      <c r="DH162" s="445"/>
    </row>
    <row r="163" spans="1:112" ht="14.25" hidden="1" customHeight="1" outlineLevel="1">
      <c r="A163" s="8"/>
      <c r="B163" s="8"/>
      <c r="C163" s="8"/>
      <c r="D163" s="8"/>
      <c r="E163" s="8"/>
      <c r="F163" s="8"/>
      <c r="G163" s="8"/>
      <c r="H163" s="8"/>
      <c r="I163" s="8"/>
      <c r="J163" s="8"/>
      <c r="K163" s="8"/>
      <c r="L163" s="8"/>
      <c r="M163" s="8"/>
      <c r="N163" s="8"/>
      <c r="O163" s="8"/>
      <c r="P163" s="8"/>
      <c r="Q163" s="8"/>
      <c r="R163" s="8"/>
      <c r="S163" s="8"/>
      <c r="T163" s="8"/>
      <c r="U163" s="8"/>
      <c r="V163" s="8"/>
      <c r="W163" s="8"/>
      <c r="X163" s="8"/>
      <c r="Y163" s="8"/>
      <c r="Z163" s="8"/>
      <c r="AA163" s="8"/>
      <c r="AB163" s="8"/>
      <c r="AC163" s="8"/>
      <c r="AD163" s="8"/>
      <c r="AE163" s="8"/>
      <c r="AF163" s="8"/>
      <c r="AG163" s="8"/>
      <c r="AH163" s="8"/>
      <c r="AI163" s="8"/>
      <c r="AJ163" s="8"/>
      <c r="AK163" s="8"/>
      <c r="AL163" s="8"/>
      <c r="AM163" s="8"/>
      <c r="AN163" s="8"/>
      <c r="AO163" s="8"/>
      <c r="AP163" s="8"/>
      <c r="AQ163" s="8"/>
      <c r="AR163" s="8"/>
      <c r="AS163" s="8"/>
      <c r="AT163" s="8"/>
      <c r="AU163" s="8"/>
      <c r="AV163" s="8"/>
      <c r="AW163" s="8"/>
      <c r="AX163" s="8"/>
      <c r="AY163" s="8"/>
      <c r="AZ163" s="17"/>
      <c r="BA163" s="8"/>
      <c r="BB163" s="8"/>
      <c r="BC163" s="8"/>
      <c r="BD163" s="8"/>
      <c r="BE163" s="8"/>
      <c r="BF163" s="8"/>
      <c r="BG163" s="8"/>
      <c r="BH163" s="8"/>
      <c r="BI163" s="8"/>
      <c r="BJ163" s="8"/>
      <c r="BK163" s="8"/>
      <c r="BL163" s="8"/>
      <c r="BM163" s="8"/>
      <c r="BN163" s="8"/>
      <c r="BO163" s="8"/>
      <c r="BP163" s="8"/>
      <c r="BQ163" s="11"/>
      <c r="BR163" s="11"/>
      <c r="BS163" s="11"/>
      <c r="BT163" s="11"/>
      <c r="BU163" s="11"/>
      <c r="BV163" s="11"/>
      <c r="BW163" s="11"/>
      <c r="BX163" s="11"/>
      <c r="BY163" s="11"/>
      <c r="BZ163" s="11"/>
      <c r="CA163" s="11"/>
      <c r="CB163" s="11"/>
      <c r="CC163" s="11"/>
      <c r="CD163" s="11"/>
      <c r="CE163" s="11"/>
      <c r="CF163" s="8"/>
      <c r="CG163" s="11"/>
      <c r="CH163" s="11"/>
      <c r="CI163" s="11"/>
      <c r="CJ163" s="11"/>
      <c r="CK163" s="11"/>
      <c r="CL163" s="11"/>
      <c r="CM163" s="11"/>
      <c r="CN163" s="11"/>
      <c r="CO163" s="11"/>
      <c r="CP163" s="11"/>
      <c r="CQ163" s="11"/>
      <c r="CR163" s="11"/>
      <c r="CS163" s="11"/>
      <c r="CT163" s="11"/>
      <c r="CU163" s="11"/>
      <c r="CV163" s="11"/>
      <c r="CW163" s="11"/>
    </row>
    <row r="164" spans="1:112" ht="14.25" hidden="1" customHeight="1" outlineLevel="1"/>
    <row r="165" spans="1:112" ht="14.25" hidden="1" customHeight="1" outlineLevel="1">
      <c r="A165" s="8"/>
      <c r="B165" s="104" t="s">
        <v>56</v>
      </c>
      <c r="C165" s="104"/>
      <c r="D165" s="105" t="e">
        <f t="shared" ref="D165:AQ165" si="636">VLOOKUP(D164,ValidDateTable,4,FALSE)</f>
        <v>#NAME?</v>
      </c>
      <c r="E165" s="105" t="e">
        <f t="shared" si="636"/>
        <v>#NAME?</v>
      </c>
      <c r="F165" s="105" t="e">
        <f t="shared" si="636"/>
        <v>#NAME?</v>
      </c>
      <c r="G165" s="105" t="e">
        <f t="shared" si="636"/>
        <v>#NAME?</v>
      </c>
      <c r="H165" s="105" t="e">
        <f t="shared" si="636"/>
        <v>#NAME?</v>
      </c>
      <c r="I165" s="105" t="e">
        <f t="shared" si="636"/>
        <v>#NAME?</v>
      </c>
      <c r="J165" s="105" t="e">
        <f t="shared" si="636"/>
        <v>#NAME?</v>
      </c>
      <c r="K165" s="105" t="e">
        <f t="shared" si="636"/>
        <v>#NAME?</v>
      </c>
      <c r="L165" s="105" t="e">
        <f t="shared" si="636"/>
        <v>#NAME?</v>
      </c>
      <c r="M165" s="105" t="e">
        <f t="shared" si="636"/>
        <v>#NAME?</v>
      </c>
      <c r="N165" s="105" t="e">
        <f t="shared" si="636"/>
        <v>#NAME?</v>
      </c>
      <c r="O165" s="105" t="e">
        <f t="shared" si="636"/>
        <v>#NAME?</v>
      </c>
      <c r="P165" s="105" t="e">
        <f t="shared" si="636"/>
        <v>#NAME?</v>
      </c>
      <c r="Q165" s="105" t="e">
        <f t="shared" si="636"/>
        <v>#NAME?</v>
      </c>
      <c r="R165" s="105" t="e">
        <f t="shared" si="636"/>
        <v>#NAME?</v>
      </c>
      <c r="S165" s="105" t="e">
        <f t="shared" si="636"/>
        <v>#NAME?</v>
      </c>
      <c r="T165" s="105" t="e">
        <f t="shared" si="636"/>
        <v>#NAME?</v>
      </c>
      <c r="U165" s="105" t="e">
        <f t="shared" si="636"/>
        <v>#NAME?</v>
      </c>
      <c r="V165" s="105" t="e">
        <f t="shared" si="636"/>
        <v>#NAME?</v>
      </c>
      <c r="W165" s="105" t="e">
        <f t="shared" si="636"/>
        <v>#NAME?</v>
      </c>
      <c r="X165" s="105" t="e">
        <f t="shared" si="636"/>
        <v>#NAME?</v>
      </c>
      <c r="Y165" s="105" t="e">
        <f t="shared" si="636"/>
        <v>#NAME?</v>
      </c>
      <c r="Z165" s="105" t="e">
        <f t="shared" si="636"/>
        <v>#NAME?</v>
      </c>
      <c r="AA165" s="105" t="e">
        <f t="shared" si="636"/>
        <v>#NAME?</v>
      </c>
      <c r="AB165" s="105" t="e">
        <f t="shared" si="636"/>
        <v>#NAME?</v>
      </c>
      <c r="AC165" s="105" t="e">
        <f t="shared" si="636"/>
        <v>#NAME?</v>
      </c>
      <c r="AD165" s="105" t="e">
        <f t="shared" si="636"/>
        <v>#NAME?</v>
      </c>
      <c r="AE165" s="105" t="e">
        <f t="shared" si="636"/>
        <v>#NAME?</v>
      </c>
      <c r="AF165" s="105" t="e">
        <f t="shared" si="636"/>
        <v>#NAME?</v>
      </c>
      <c r="AG165" s="105" t="s">
        <v>62</v>
      </c>
      <c r="AH165" s="105" t="e">
        <f t="shared" si="636"/>
        <v>#NAME?</v>
      </c>
      <c r="AI165" s="105" t="e">
        <f t="shared" si="636"/>
        <v>#NAME?</v>
      </c>
      <c r="AJ165" s="105" t="e">
        <f t="shared" si="636"/>
        <v>#NAME?</v>
      </c>
      <c r="AK165" s="105" t="e">
        <f t="shared" si="636"/>
        <v>#NAME?</v>
      </c>
      <c r="AL165" s="105" t="e">
        <f t="shared" si="636"/>
        <v>#NAME?</v>
      </c>
      <c r="AM165" s="105" t="e">
        <f t="shared" si="636"/>
        <v>#NAME?</v>
      </c>
      <c r="AN165" s="105" t="e">
        <f t="shared" si="636"/>
        <v>#NAME?</v>
      </c>
      <c r="AO165" s="105" t="e">
        <f t="shared" si="636"/>
        <v>#NAME?</v>
      </c>
      <c r="AP165" s="105" t="e">
        <f t="shared" si="636"/>
        <v>#NAME?</v>
      </c>
      <c r="AQ165" s="105" t="e">
        <f t="shared" si="636"/>
        <v>#NAME?</v>
      </c>
      <c r="AR165" s="105" t="e">
        <f t="shared" ref="AR165:AY165" si="637">VLOOKUP(AR164,ValidDateTable,4,FALSE)</f>
        <v>#NAME?</v>
      </c>
      <c r="AS165" s="105" t="e">
        <f t="shared" si="637"/>
        <v>#NAME?</v>
      </c>
      <c r="AT165" s="105" t="e">
        <f t="shared" si="637"/>
        <v>#NAME?</v>
      </c>
      <c r="AU165" s="105" t="e">
        <f t="shared" si="637"/>
        <v>#NAME?</v>
      </c>
      <c r="AV165" s="105" t="e">
        <f>VLOOKUP(AV164,ValidDateTable,4,FALSE)</f>
        <v>#NAME?</v>
      </c>
      <c r="AW165" s="105" t="e">
        <f t="shared" si="637"/>
        <v>#NAME?</v>
      </c>
      <c r="AX165" s="105" t="e">
        <f t="shared" si="637"/>
        <v>#NAME?</v>
      </c>
      <c r="AY165" s="105" t="e">
        <f t="shared" si="637"/>
        <v>#NAME?</v>
      </c>
      <c r="AZ165" s="1085" t="e">
        <f t="shared" ref="AZ165:BG165" si="638">VLOOKUP(AZ164,ValidDateTable,4,FALSE)</f>
        <v>#NAME?</v>
      </c>
      <c r="BA165" s="105" t="e">
        <f t="shared" si="638"/>
        <v>#NAME?</v>
      </c>
      <c r="BB165" s="105" t="e">
        <f t="shared" si="638"/>
        <v>#NAME?</v>
      </c>
      <c r="BC165" s="105" t="e">
        <f t="shared" si="638"/>
        <v>#NAME?</v>
      </c>
      <c r="BD165" s="105" t="e">
        <f t="shared" si="638"/>
        <v>#NAME?</v>
      </c>
      <c r="BE165" s="105" t="e">
        <f t="shared" si="638"/>
        <v>#NAME?</v>
      </c>
      <c r="BF165" s="105" t="e">
        <f t="shared" si="638"/>
        <v>#NAME?</v>
      </c>
      <c r="BG165" s="105" t="e">
        <f t="shared" si="638"/>
        <v>#NAME?</v>
      </c>
      <c r="BH165" s="105" t="e">
        <f t="shared" ref="BH165:BK165" si="639">VLOOKUP(BH164,ValidDateTable,4,FALSE)</f>
        <v>#NAME?</v>
      </c>
      <c r="BI165" s="105" t="e">
        <f t="shared" si="639"/>
        <v>#NAME?</v>
      </c>
      <c r="BJ165" s="105" t="e">
        <f t="shared" si="639"/>
        <v>#NAME?</v>
      </c>
      <c r="BK165" s="105" t="e">
        <f t="shared" si="639"/>
        <v>#NAME?</v>
      </c>
      <c r="BL165" s="105" t="e">
        <f t="shared" ref="BL165:BO165" si="640">VLOOKUP(BL164,ValidDateTable,4,FALSE)</f>
        <v>#NAME?</v>
      </c>
      <c r="BM165" s="105" t="e">
        <f t="shared" si="640"/>
        <v>#NAME?</v>
      </c>
      <c r="BN165" s="105" t="e">
        <f t="shared" si="640"/>
        <v>#NAME?</v>
      </c>
      <c r="BO165" s="105" t="e">
        <f t="shared" si="640"/>
        <v>#NAME?</v>
      </c>
      <c r="BP165" s="8"/>
      <c r="BQ165" s="11" t="e">
        <f t="shared" ref="BQ165:CE165" si="641">VLOOKUP(BQ164,ValidDateTable,4,FALSE)</f>
        <v>#NAME?</v>
      </c>
      <c r="BR165" s="11" t="e">
        <f t="shared" si="641"/>
        <v>#NAME?</v>
      </c>
      <c r="BS165" s="11" t="e">
        <f t="shared" si="641"/>
        <v>#NAME?</v>
      </c>
      <c r="BT165" s="11" t="e">
        <f t="shared" si="641"/>
        <v>#NAME?</v>
      </c>
      <c r="BU165" s="11" t="e">
        <f t="shared" si="641"/>
        <v>#NAME?</v>
      </c>
      <c r="BV165" s="11" t="e">
        <f t="shared" si="641"/>
        <v>#NAME?</v>
      </c>
      <c r="BW165" s="11" t="e">
        <f t="shared" si="641"/>
        <v>#NAME?</v>
      </c>
      <c r="BX165" s="11" t="e">
        <f t="shared" si="641"/>
        <v>#NAME?</v>
      </c>
      <c r="BY165" s="11" t="e">
        <f t="shared" si="641"/>
        <v>#NAME?</v>
      </c>
      <c r="BZ165" s="11" t="e">
        <f t="shared" si="641"/>
        <v>#NAME?</v>
      </c>
      <c r="CA165" s="11" t="e">
        <f t="shared" si="641"/>
        <v>#NAME?</v>
      </c>
      <c r="CB165" s="11" t="e">
        <f t="shared" si="641"/>
        <v>#NAME?</v>
      </c>
      <c r="CC165" s="11" t="e">
        <f>VLOOKUP(CC164,ValidDateTable,4,FALSE)</f>
        <v>#NAME?</v>
      </c>
      <c r="CD165" s="11" t="e">
        <f t="shared" si="641"/>
        <v>#NAME?</v>
      </c>
      <c r="CE165" s="11" t="e">
        <f t="shared" si="641"/>
        <v>#NAME?</v>
      </c>
      <c r="CF165" s="11" t="e">
        <f t="shared" ref="CF165" si="642">VLOOKUP(CF164,ValidDateTable,4,FALSE)</f>
        <v>#NAME?</v>
      </c>
      <c r="CG165" s="8"/>
      <c r="CH165" s="323" t="e">
        <f>BQ165</f>
        <v>#NAME?</v>
      </c>
      <c r="CI165" s="323" t="e">
        <f t="shared" ref="CI165:CN165" si="643">BR165</f>
        <v>#NAME?</v>
      </c>
      <c r="CJ165" s="323" t="e">
        <f t="shared" si="643"/>
        <v>#NAME?</v>
      </c>
      <c r="CK165" s="323" t="e">
        <f t="shared" si="643"/>
        <v>#NAME?</v>
      </c>
      <c r="CL165" s="323" t="e">
        <f t="shared" si="643"/>
        <v>#NAME?</v>
      </c>
      <c r="CM165" s="323" t="e">
        <f t="shared" si="643"/>
        <v>#NAME?</v>
      </c>
      <c r="CN165" s="323" t="e">
        <f t="shared" si="643"/>
        <v>#NAME?</v>
      </c>
      <c r="CO165" s="323" t="e">
        <f t="shared" ref="CO165:CV165" si="644">BX165</f>
        <v>#NAME?</v>
      </c>
      <c r="CP165" s="323" t="e">
        <f t="shared" si="644"/>
        <v>#NAME?</v>
      </c>
      <c r="CQ165" s="323" t="e">
        <f t="shared" si="644"/>
        <v>#NAME?</v>
      </c>
      <c r="CR165" s="323" t="e">
        <f t="shared" si="644"/>
        <v>#NAME?</v>
      </c>
      <c r="CS165" s="323" t="e">
        <f t="shared" si="644"/>
        <v>#NAME?</v>
      </c>
      <c r="CT165" s="323" t="e">
        <f t="shared" si="644"/>
        <v>#NAME?</v>
      </c>
      <c r="CU165" s="323" t="e">
        <f t="shared" si="644"/>
        <v>#NAME?</v>
      </c>
      <c r="CV165" s="323" t="e">
        <f t="shared" si="644"/>
        <v>#NAME?</v>
      </c>
      <c r="CW165" s="8"/>
    </row>
    <row r="166" spans="1:112" ht="14.25" hidden="1" customHeight="1" outlineLevel="1">
      <c r="A166" s="8"/>
      <c r="B166" s="104" t="s">
        <v>57</v>
      </c>
      <c r="C166" s="104"/>
      <c r="D166" s="8">
        <v>2005</v>
      </c>
      <c r="E166" s="8">
        <v>2005</v>
      </c>
      <c r="F166" s="8">
        <v>2005</v>
      </c>
      <c r="G166" s="8">
        <v>2005</v>
      </c>
      <c r="H166" s="8">
        <v>2006</v>
      </c>
      <c r="I166" s="8">
        <v>2006</v>
      </c>
      <c r="J166" s="8">
        <v>2006</v>
      </c>
      <c r="K166" s="8">
        <v>2006</v>
      </c>
      <c r="L166" s="8">
        <v>2007</v>
      </c>
      <c r="M166" s="8">
        <v>2007</v>
      </c>
      <c r="N166" s="8">
        <v>2007</v>
      </c>
      <c r="O166" s="8">
        <v>2007</v>
      </c>
      <c r="P166" s="8">
        <v>2008</v>
      </c>
      <c r="Q166" s="8">
        <v>2008</v>
      </c>
      <c r="R166" s="8">
        <v>2008</v>
      </c>
      <c r="S166" s="8">
        <v>2008</v>
      </c>
      <c r="T166" s="8">
        <v>2009</v>
      </c>
      <c r="U166" s="8">
        <v>2009</v>
      </c>
      <c r="V166" s="8">
        <v>2009</v>
      </c>
      <c r="W166" s="8">
        <v>2009</v>
      </c>
      <c r="X166" s="8">
        <v>2010</v>
      </c>
      <c r="Y166" s="8">
        <v>2010</v>
      </c>
      <c r="Z166" s="8">
        <v>2010</v>
      </c>
      <c r="AA166" s="8">
        <v>2010</v>
      </c>
      <c r="AB166" s="8">
        <v>2011</v>
      </c>
      <c r="AC166" s="8">
        <v>2011</v>
      </c>
      <c r="AD166" s="8">
        <v>2011</v>
      </c>
      <c r="AE166" s="8">
        <v>2011</v>
      </c>
      <c r="AF166" s="8">
        <v>2012</v>
      </c>
      <c r="AG166" s="8">
        <v>2012</v>
      </c>
      <c r="AH166" s="8">
        <v>2012</v>
      </c>
      <c r="AI166" s="8">
        <v>2012</v>
      </c>
      <c r="AJ166" s="8">
        <v>2013</v>
      </c>
      <c r="AK166" s="8">
        <v>2013</v>
      </c>
      <c r="AL166" s="8">
        <v>2013</v>
      </c>
      <c r="AM166" s="8">
        <v>2013</v>
      </c>
      <c r="AN166" s="8">
        <v>2014</v>
      </c>
      <c r="AO166" s="8">
        <v>2014</v>
      </c>
      <c r="AP166" s="8">
        <v>2014</v>
      </c>
      <c r="AQ166" s="8">
        <v>2014</v>
      </c>
      <c r="AR166" s="8">
        <v>2015</v>
      </c>
      <c r="AS166" s="8">
        <v>2015</v>
      </c>
      <c r="AT166" s="8">
        <v>2015</v>
      </c>
      <c r="AU166" s="8">
        <v>2015</v>
      </c>
      <c r="AV166" s="8">
        <v>2016</v>
      </c>
      <c r="AW166" s="8">
        <v>2016</v>
      </c>
      <c r="AX166" s="8">
        <v>2016</v>
      </c>
      <c r="AY166" s="8">
        <v>2016</v>
      </c>
      <c r="AZ166" s="17">
        <v>2017</v>
      </c>
      <c r="BA166" s="8">
        <v>2017</v>
      </c>
      <c r="BB166" s="8">
        <v>2017</v>
      </c>
      <c r="BC166" s="8">
        <v>2017</v>
      </c>
      <c r="BD166" s="8">
        <v>2018</v>
      </c>
      <c r="BE166" s="8">
        <v>2018</v>
      </c>
      <c r="BF166" s="8">
        <v>2018</v>
      </c>
      <c r="BG166" s="8">
        <v>2018</v>
      </c>
      <c r="BH166" s="8">
        <v>2019</v>
      </c>
      <c r="BI166" s="8">
        <v>2019</v>
      </c>
      <c r="BJ166" s="8">
        <v>2019</v>
      </c>
      <c r="BK166" s="8">
        <v>2019</v>
      </c>
      <c r="BL166" s="8">
        <v>2019</v>
      </c>
      <c r="BM166" s="8">
        <v>2019</v>
      </c>
      <c r="BN166" s="8">
        <v>2019</v>
      </c>
      <c r="BO166" s="8">
        <v>2019</v>
      </c>
      <c r="BP166" s="8"/>
      <c r="BQ166" s="11"/>
      <c r="BR166" s="8"/>
      <c r="BS166" s="8"/>
      <c r="BT166" s="8"/>
      <c r="BU166" s="8"/>
      <c r="BV166" s="8"/>
      <c r="BW166" s="8"/>
      <c r="BX166" s="8"/>
      <c r="BY166" s="8"/>
      <c r="BZ166" s="8"/>
      <c r="CA166" s="8"/>
      <c r="CB166" s="8"/>
      <c r="CC166" s="8"/>
      <c r="CD166" s="8"/>
      <c r="CE166" s="8"/>
      <c r="CF166" s="8"/>
      <c r="CG166" s="8"/>
      <c r="CH166" s="8"/>
      <c r="CI166" s="8"/>
      <c r="CJ166" s="8"/>
      <c r="CK166" s="8"/>
      <c r="CL166" s="8"/>
      <c r="CM166" s="8"/>
      <c r="CN166" s="8"/>
      <c r="CO166" s="8"/>
      <c r="CP166" s="8"/>
      <c r="CQ166" s="8"/>
      <c r="CR166" s="8"/>
      <c r="CS166" s="8"/>
      <c r="CT166" s="8"/>
      <c r="CU166" s="8"/>
      <c r="CV166" s="8"/>
      <c r="CW166" s="8"/>
    </row>
    <row r="167" spans="1:112" ht="14.25" hidden="1" customHeight="1" outlineLevel="1">
      <c r="A167" s="8"/>
      <c r="B167" s="104" t="s">
        <v>58</v>
      </c>
      <c r="C167" s="104"/>
      <c r="D167" s="8">
        <v>1</v>
      </c>
      <c r="E167" s="8">
        <v>2</v>
      </c>
      <c r="F167" s="8">
        <v>3</v>
      </c>
      <c r="G167" s="8">
        <v>4</v>
      </c>
      <c r="H167" s="8">
        <v>1</v>
      </c>
      <c r="I167" s="8">
        <v>2</v>
      </c>
      <c r="J167" s="8">
        <v>3</v>
      </c>
      <c r="K167" s="8">
        <v>4</v>
      </c>
      <c r="L167" s="8">
        <v>1</v>
      </c>
      <c r="M167" s="8">
        <v>2</v>
      </c>
      <c r="N167" s="8">
        <v>3</v>
      </c>
      <c r="O167" s="8">
        <v>4</v>
      </c>
      <c r="P167" s="8">
        <v>1</v>
      </c>
      <c r="Q167" s="8">
        <v>2</v>
      </c>
      <c r="R167" s="8">
        <v>3</v>
      </c>
      <c r="S167" s="8">
        <v>4</v>
      </c>
      <c r="T167" s="8">
        <v>1</v>
      </c>
      <c r="U167" s="8">
        <v>2</v>
      </c>
      <c r="V167" s="8">
        <v>3</v>
      </c>
      <c r="W167" s="8">
        <v>4</v>
      </c>
      <c r="X167" s="8">
        <v>1</v>
      </c>
      <c r="Y167" s="8">
        <v>2</v>
      </c>
      <c r="Z167" s="8">
        <v>3</v>
      </c>
      <c r="AA167" s="8">
        <v>4</v>
      </c>
      <c r="AB167" s="8">
        <v>1</v>
      </c>
      <c r="AC167" s="8">
        <v>2</v>
      </c>
      <c r="AD167" s="8">
        <v>3</v>
      </c>
      <c r="AE167" s="8">
        <v>4</v>
      </c>
      <c r="AF167" s="8">
        <v>1</v>
      </c>
      <c r="AG167" s="8">
        <v>2</v>
      </c>
      <c r="AH167" s="8">
        <v>3</v>
      </c>
      <c r="AI167" s="8">
        <v>4</v>
      </c>
      <c r="AJ167" s="8">
        <v>1</v>
      </c>
      <c r="AK167" s="8">
        <v>2</v>
      </c>
      <c r="AL167" s="8">
        <v>3</v>
      </c>
      <c r="AM167" s="8">
        <v>4</v>
      </c>
      <c r="AN167" s="8">
        <v>1</v>
      </c>
      <c r="AO167" s="8">
        <v>2</v>
      </c>
      <c r="AP167" s="8">
        <v>3</v>
      </c>
      <c r="AQ167" s="8">
        <v>4</v>
      </c>
      <c r="AR167" s="8">
        <v>1</v>
      </c>
      <c r="AS167" s="8">
        <v>2</v>
      </c>
      <c r="AT167" s="8">
        <v>3</v>
      </c>
      <c r="AU167" s="8">
        <v>4</v>
      </c>
      <c r="AV167" s="8">
        <v>1</v>
      </c>
      <c r="AW167" s="8">
        <v>2</v>
      </c>
      <c r="AX167" s="8">
        <v>3</v>
      </c>
      <c r="AY167" s="8">
        <v>4</v>
      </c>
      <c r="AZ167" s="17">
        <v>1</v>
      </c>
      <c r="BA167" s="8">
        <v>2</v>
      </c>
      <c r="BB167" s="8">
        <v>3</v>
      </c>
      <c r="BC167" s="8">
        <v>4</v>
      </c>
      <c r="BD167" s="8">
        <v>1</v>
      </c>
      <c r="BE167" s="8">
        <v>2</v>
      </c>
      <c r="BF167" s="8">
        <v>3</v>
      </c>
      <c r="BG167" s="8">
        <v>4</v>
      </c>
      <c r="BH167" s="8">
        <v>1</v>
      </c>
      <c r="BI167" s="8">
        <v>2</v>
      </c>
      <c r="BJ167" s="8">
        <v>3</v>
      </c>
      <c r="BK167" s="8">
        <v>4</v>
      </c>
      <c r="BL167" s="8">
        <v>1</v>
      </c>
      <c r="BM167" s="8">
        <v>2</v>
      </c>
      <c r="BN167" s="8">
        <v>3</v>
      </c>
      <c r="BO167" s="8">
        <v>4</v>
      </c>
      <c r="BP167" s="8"/>
      <c r="BQ167" s="11"/>
      <c r="BR167" s="8"/>
      <c r="BS167" s="8"/>
      <c r="BT167" s="8"/>
      <c r="BU167" s="8"/>
      <c r="BV167" s="8"/>
      <c r="BW167" s="8"/>
      <c r="BX167" s="8"/>
      <c r="BY167" s="8"/>
      <c r="BZ167" s="8"/>
      <c r="CA167" s="8"/>
      <c r="CB167" s="8"/>
      <c r="CC167" s="8"/>
      <c r="CD167" s="8"/>
      <c r="CE167" s="8"/>
      <c r="CF167" s="8"/>
      <c r="CG167" s="8"/>
      <c r="CH167" s="8"/>
      <c r="CI167" s="8"/>
      <c r="CJ167" s="8"/>
      <c r="CK167" s="8"/>
      <c r="CL167" s="8"/>
      <c r="CM167" s="8"/>
      <c r="CN167" s="8"/>
      <c r="CO167" s="8"/>
      <c r="CP167" s="8"/>
      <c r="CQ167" s="8"/>
      <c r="CR167" s="8"/>
      <c r="CS167" s="8"/>
      <c r="CT167" s="8"/>
      <c r="CU167" s="8"/>
      <c r="CV167" s="8"/>
      <c r="CW167" s="8"/>
    </row>
    <row r="168" spans="1:112" ht="14.25" hidden="1" customHeight="1" outlineLevel="2">
      <c r="A168" s="8"/>
      <c r="B168" s="104" t="s">
        <v>59</v>
      </c>
      <c r="C168" s="104"/>
      <c r="D168" s="8">
        <v>2004</v>
      </c>
      <c r="E168" s="8">
        <f>IF(D169=4,D168+1,D168)</f>
        <v>2005</v>
      </c>
      <c r="F168" s="8">
        <f t="shared" ref="F168:AQ168" si="645">IF(E169=4,E168+1,E168)</f>
        <v>2005</v>
      </c>
      <c r="G168" s="8">
        <f t="shared" si="645"/>
        <v>2005</v>
      </c>
      <c r="H168" s="8">
        <f t="shared" si="645"/>
        <v>2005</v>
      </c>
      <c r="I168" s="8">
        <f t="shared" si="645"/>
        <v>2006</v>
      </c>
      <c r="J168" s="8">
        <f t="shared" si="645"/>
        <v>2006</v>
      </c>
      <c r="K168" s="8">
        <f t="shared" si="645"/>
        <v>2006</v>
      </c>
      <c r="L168" s="8">
        <f t="shared" si="645"/>
        <v>2006</v>
      </c>
      <c r="M168" s="8">
        <f t="shared" si="645"/>
        <v>2007</v>
      </c>
      <c r="N168" s="8">
        <f t="shared" si="645"/>
        <v>2007</v>
      </c>
      <c r="O168" s="8">
        <f t="shared" si="645"/>
        <v>2007</v>
      </c>
      <c r="P168" s="8">
        <f t="shared" si="645"/>
        <v>2007</v>
      </c>
      <c r="Q168" s="8">
        <f t="shared" si="645"/>
        <v>2008</v>
      </c>
      <c r="R168" s="8">
        <f t="shared" si="645"/>
        <v>2008</v>
      </c>
      <c r="S168" s="8">
        <f t="shared" si="645"/>
        <v>2008</v>
      </c>
      <c r="T168" s="8">
        <f t="shared" si="645"/>
        <v>2008</v>
      </c>
      <c r="U168" s="8">
        <f t="shared" si="645"/>
        <v>2009</v>
      </c>
      <c r="V168" s="8">
        <f t="shared" si="645"/>
        <v>2009</v>
      </c>
      <c r="W168" s="8">
        <f t="shared" si="645"/>
        <v>2009</v>
      </c>
      <c r="X168" s="8">
        <f t="shared" si="645"/>
        <v>2009</v>
      </c>
      <c r="Y168" s="8">
        <f t="shared" si="645"/>
        <v>2010</v>
      </c>
      <c r="Z168" s="8">
        <f t="shared" si="645"/>
        <v>2010</v>
      </c>
      <c r="AA168" s="8">
        <f t="shared" si="645"/>
        <v>2010</v>
      </c>
      <c r="AB168" s="8">
        <f t="shared" si="645"/>
        <v>2010</v>
      </c>
      <c r="AC168" s="8">
        <f t="shared" si="645"/>
        <v>2011</v>
      </c>
      <c r="AD168" s="8">
        <f t="shared" si="645"/>
        <v>2011</v>
      </c>
      <c r="AE168" s="8">
        <f t="shared" si="645"/>
        <v>2011</v>
      </c>
      <c r="AF168" s="8">
        <f t="shared" si="645"/>
        <v>2011</v>
      </c>
      <c r="AG168" s="8">
        <f t="shared" si="645"/>
        <v>2012</v>
      </c>
      <c r="AH168" s="8">
        <f t="shared" si="645"/>
        <v>2012</v>
      </c>
      <c r="AI168" s="8">
        <f t="shared" si="645"/>
        <v>2012</v>
      </c>
      <c r="AJ168" s="8">
        <f t="shared" si="645"/>
        <v>2012</v>
      </c>
      <c r="AK168" s="8">
        <f t="shared" si="645"/>
        <v>2013</v>
      </c>
      <c r="AL168" s="8">
        <f t="shared" si="645"/>
        <v>2013</v>
      </c>
      <c r="AM168" s="8">
        <f t="shared" si="645"/>
        <v>2013</v>
      </c>
      <c r="AN168" s="8">
        <f t="shared" si="645"/>
        <v>2013</v>
      </c>
      <c r="AO168" s="8">
        <f t="shared" si="645"/>
        <v>2014</v>
      </c>
      <c r="AP168" s="8">
        <f t="shared" si="645"/>
        <v>2014</v>
      </c>
      <c r="AQ168" s="8">
        <f t="shared" si="645"/>
        <v>2014</v>
      </c>
      <c r="AR168" s="8">
        <f t="shared" ref="AR168:AX168" si="646">IF(AQ169=4,AQ168+1,AQ168)</f>
        <v>2014</v>
      </c>
      <c r="AS168" s="8">
        <f t="shared" si="646"/>
        <v>2015</v>
      </c>
      <c r="AT168" s="8">
        <f t="shared" si="646"/>
        <v>2015</v>
      </c>
      <c r="AU168" s="8">
        <f t="shared" si="646"/>
        <v>2015</v>
      </c>
      <c r="AV168" s="8">
        <f>IF(AU169=4,AU168+1,AU168)</f>
        <v>2015</v>
      </c>
      <c r="AW168" s="8">
        <f t="shared" si="646"/>
        <v>2016</v>
      </c>
      <c r="AX168" s="8">
        <f t="shared" si="646"/>
        <v>2016</v>
      </c>
      <c r="AY168" s="8">
        <f>IF(AX169=4,AX168+1,AX168)</f>
        <v>2016</v>
      </c>
      <c r="AZ168" s="17">
        <f>IF(AY169=4,AY168+1,AY168)</f>
        <v>2016</v>
      </c>
      <c r="BA168" s="8">
        <f t="shared" ref="BA168:BG168" si="647">IF(AZ169=4,AZ168+1,AZ168)</f>
        <v>2017</v>
      </c>
      <c r="BB168" s="8">
        <f t="shared" si="647"/>
        <v>2017</v>
      </c>
      <c r="BC168" s="8">
        <f t="shared" si="647"/>
        <v>2017</v>
      </c>
      <c r="BD168" s="8">
        <f t="shared" si="647"/>
        <v>2017</v>
      </c>
      <c r="BE168" s="8">
        <f t="shared" si="647"/>
        <v>2018</v>
      </c>
      <c r="BF168" s="8">
        <f t="shared" si="647"/>
        <v>2018</v>
      </c>
      <c r="BG168" s="8">
        <f t="shared" si="647"/>
        <v>2018</v>
      </c>
      <c r="BH168" s="8">
        <f t="shared" ref="BH168" si="648">IF(BG169=4,BG168+1,BG168)</f>
        <v>2018</v>
      </c>
      <c r="BI168" s="8">
        <f t="shared" ref="BI168" si="649">IF(BH169=4,BH168+1,BH168)</f>
        <v>2019</v>
      </c>
      <c r="BJ168" s="8">
        <f t="shared" ref="BJ168" si="650">IF(BI169=4,BI168+1,BI168)</f>
        <v>2019</v>
      </c>
      <c r="BK168" s="8">
        <f t="shared" ref="BK168" si="651">IF(BJ169=4,BJ168+1,BJ168)</f>
        <v>2019</v>
      </c>
      <c r="BL168" s="8">
        <f t="shared" ref="BL168" si="652">IF(BK169=4,BK168+1,BK168)</f>
        <v>2019</v>
      </c>
      <c r="BM168" s="8">
        <f t="shared" ref="BM168" si="653">IF(BL169=4,BL168+1,BL168)</f>
        <v>2020</v>
      </c>
      <c r="BN168" s="8">
        <f t="shared" ref="BN168" si="654">IF(BM169=4,BM168+1,BM168)</f>
        <v>2020</v>
      </c>
      <c r="BO168" s="8">
        <f t="shared" ref="BO168" si="655">IF(BN169=4,BN168+1,BN168)</f>
        <v>2020</v>
      </c>
      <c r="BP168" s="8"/>
      <c r="BQ168" s="11"/>
      <c r="BR168" s="8"/>
      <c r="BS168" s="8"/>
      <c r="BT168" s="8"/>
      <c r="BU168" s="8"/>
      <c r="BV168" s="8"/>
      <c r="BW168" s="8"/>
      <c r="BX168" s="8"/>
      <c r="BY168" s="8"/>
      <c r="BZ168" s="8"/>
      <c r="CA168" s="8"/>
      <c r="CB168" s="8"/>
      <c r="CC168" s="8"/>
      <c r="CD168" s="8"/>
      <c r="CE168" s="8"/>
      <c r="CF168" s="8"/>
      <c r="CG168" s="8"/>
      <c r="CH168" s="8">
        <v>2005</v>
      </c>
      <c r="CI168" s="8">
        <v>2006</v>
      </c>
      <c r="CJ168" s="8">
        <v>2007</v>
      </c>
      <c r="CK168" s="8">
        <v>2008</v>
      </c>
      <c r="CL168" s="8">
        <v>2009</v>
      </c>
      <c r="CM168" s="8">
        <v>2010</v>
      </c>
      <c r="CN168" s="8">
        <v>2011</v>
      </c>
      <c r="CO168" s="8">
        <v>2012</v>
      </c>
      <c r="CP168" s="8">
        <v>2013</v>
      </c>
      <c r="CQ168" s="8">
        <v>2014</v>
      </c>
      <c r="CR168" s="8">
        <v>2015</v>
      </c>
      <c r="CS168" s="8">
        <v>2016</v>
      </c>
      <c r="CT168" s="8">
        <v>2017</v>
      </c>
      <c r="CU168" s="8">
        <v>2018</v>
      </c>
      <c r="CV168" s="8">
        <v>2019</v>
      </c>
      <c r="CW168" s="8"/>
    </row>
    <row r="169" spans="1:112" ht="14.25" hidden="1" customHeight="1" outlineLevel="2">
      <c r="A169" s="8"/>
      <c r="B169" s="104" t="s">
        <v>60</v>
      </c>
      <c r="C169" s="104"/>
      <c r="D169" s="8">
        <v>4</v>
      </c>
      <c r="E169" s="8">
        <f>IF(D169=4,1,D169+1)</f>
        <v>1</v>
      </c>
      <c r="F169" s="8">
        <f t="shared" ref="F169:AQ169" si="656">IF(E169=4,1,E169+1)</f>
        <v>2</v>
      </c>
      <c r="G169" s="8">
        <f t="shared" si="656"/>
        <v>3</v>
      </c>
      <c r="H169" s="8">
        <f t="shared" si="656"/>
        <v>4</v>
      </c>
      <c r="I169" s="8">
        <f t="shared" si="656"/>
        <v>1</v>
      </c>
      <c r="J169" s="8">
        <f t="shared" si="656"/>
        <v>2</v>
      </c>
      <c r="K169" s="8">
        <f t="shared" si="656"/>
        <v>3</v>
      </c>
      <c r="L169" s="8">
        <f t="shared" si="656"/>
        <v>4</v>
      </c>
      <c r="M169" s="8">
        <f t="shared" si="656"/>
        <v>1</v>
      </c>
      <c r="N169" s="8">
        <f t="shared" si="656"/>
        <v>2</v>
      </c>
      <c r="O169" s="8">
        <f t="shared" si="656"/>
        <v>3</v>
      </c>
      <c r="P169" s="8">
        <f t="shared" si="656"/>
        <v>4</v>
      </c>
      <c r="Q169" s="8">
        <f t="shared" si="656"/>
        <v>1</v>
      </c>
      <c r="R169" s="8">
        <f t="shared" si="656"/>
        <v>2</v>
      </c>
      <c r="S169" s="8">
        <f t="shared" si="656"/>
        <v>3</v>
      </c>
      <c r="T169" s="8">
        <f t="shared" si="656"/>
        <v>4</v>
      </c>
      <c r="U169" s="8">
        <f t="shared" si="656"/>
        <v>1</v>
      </c>
      <c r="V169" s="8">
        <f t="shared" si="656"/>
        <v>2</v>
      </c>
      <c r="W169" s="8">
        <f t="shared" si="656"/>
        <v>3</v>
      </c>
      <c r="X169" s="8">
        <f t="shared" si="656"/>
        <v>4</v>
      </c>
      <c r="Y169" s="8">
        <f t="shared" si="656"/>
        <v>1</v>
      </c>
      <c r="Z169" s="8">
        <f t="shared" si="656"/>
        <v>2</v>
      </c>
      <c r="AA169" s="8">
        <f t="shared" si="656"/>
        <v>3</v>
      </c>
      <c r="AB169" s="8">
        <f t="shared" si="656"/>
        <v>4</v>
      </c>
      <c r="AC169" s="8">
        <f t="shared" si="656"/>
        <v>1</v>
      </c>
      <c r="AD169" s="8">
        <f t="shared" si="656"/>
        <v>2</v>
      </c>
      <c r="AE169" s="8">
        <f t="shared" si="656"/>
        <v>3</v>
      </c>
      <c r="AF169" s="8">
        <f t="shared" si="656"/>
        <v>4</v>
      </c>
      <c r="AG169" s="8">
        <f t="shared" si="656"/>
        <v>1</v>
      </c>
      <c r="AH169" s="8">
        <f t="shared" si="656"/>
        <v>2</v>
      </c>
      <c r="AI169" s="8">
        <f t="shared" si="656"/>
        <v>3</v>
      </c>
      <c r="AJ169" s="8">
        <f t="shared" si="656"/>
        <v>4</v>
      </c>
      <c r="AK169" s="8">
        <f t="shared" si="656"/>
        <v>1</v>
      </c>
      <c r="AL169" s="8">
        <f t="shared" si="656"/>
        <v>2</v>
      </c>
      <c r="AM169" s="8">
        <f t="shared" si="656"/>
        <v>3</v>
      </c>
      <c r="AN169" s="8">
        <f t="shared" si="656"/>
        <v>4</v>
      </c>
      <c r="AO169" s="8">
        <f t="shared" si="656"/>
        <v>1</v>
      </c>
      <c r="AP169" s="8">
        <f t="shared" si="656"/>
        <v>2</v>
      </c>
      <c r="AQ169" s="8">
        <f t="shared" si="656"/>
        <v>3</v>
      </c>
      <c r="AR169" s="8">
        <f t="shared" ref="AR169:AX169" si="657">IF(AQ169=4,1,AQ169+1)</f>
        <v>4</v>
      </c>
      <c r="AS169" s="8">
        <f t="shared" si="657"/>
        <v>1</v>
      </c>
      <c r="AT169" s="8">
        <f t="shared" si="657"/>
        <v>2</v>
      </c>
      <c r="AU169" s="8">
        <f t="shared" si="657"/>
        <v>3</v>
      </c>
      <c r="AV169" s="8">
        <f t="shared" si="657"/>
        <v>4</v>
      </c>
      <c r="AW169" s="8">
        <f t="shared" si="657"/>
        <v>1</v>
      </c>
      <c r="AX169" s="8">
        <f t="shared" si="657"/>
        <v>2</v>
      </c>
      <c r="AY169" s="8">
        <f>IF(AX169=4,1,AX169+1)</f>
        <v>3</v>
      </c>
      <c r="AZ169" s="17">
        <f>IF(AY169=4,1,AY169+1)</f>
        <v>4</v>
      </c>
      <c r="BA169" s="8">
        <f t="shared" ref="BA169:BG169" si="658">IF(AZ169=4,1,AZ169+1)</f>
        <v>1</v>
      </c>
      <c r="BB169" s="8">
        <f t="shared" si="658"/>
        <v>2</v>
      </c>
      <c r="BC169" s="8">
        <f t="shared" si="658"/>
        <v>3</v>
      </c>
      <c r="BD169" s="8">
        <f t="shared" si="658"/>
        <v>4</v>
      </c>
      <c r="BE169" s="8">
        <f t="shared" si="658"/>
        <v>1</v>
      </c>
      <c r="BF169" s="8">
        <f t="shared" si="658"/>
        <v>2</v>
      </c>
      <c r="BG169" s="8">
        <f t="shared" si="658"/>
        <v>3</v>
      </c>
      <c r="BH169" s="8">
        <f t="shared" ref="BH169" si="659">IF(BG169=4,1,BG169+1)</f>
        <v>4</v>
      </c>
      <c r="BI169" s="8">
        <f t="shared" ref="BI169" si="660">IF(BH169=4,1,BH169+1)</f>
        <v>1</v>
      </c>
      <c r="BJ169" s="8">
        <f t="shared" ref="BJ169" si="661">IF(BI169=4,1,BI169+1)</f>
        <v>2</v>
      </c>
      <c r="BK169" s="8">
        <f t="shared" ref="BK169" si="662">IF(BJ169=4,1,BJ169+1)</f>
        <v>3</v>
      </c>
      <c r="BL169" s="8">
        <f t="shared" ref="BL169" si="663">IF(BK169=4,1,BK169+1)</f>
        <v>4</v>
      </c>
      <c r="BM169" s="8">
        <f t="shared" ref="BM169" si="664">IF(BL169=4,1,BL169+1)</f>
        <v>1</v>
      </c>
      <c r="BN169" s="8">
        <f t="shared" ref="BN169" si="665">IF(BM169=4,1,BM169+1)</f>
        <v>2</v>
      </c>
      <c r="BO169" s="8">
        <f t="shared" ref="BO169" si="666">IF(BN169=4,1,BN169+1)</f>
        <v>3</v>
      </c>
      <c r="BP169" s="8"/>
      <c r="BQ169" s="11"/>
      <c r="BR169" s="8"/>
      <c r="BS169" s="8"/>
      <c r="BT169" s="8"/>
      <c r="BU169" s="8"/>
      <c r="BV169" s="8"/>
      <c r="BW169" s="8"/>
      <c r="BX169" s="8"/>
      <c r="BY169" s="8"/>
      <c r="BZ169" s="8"/>
      <c r="CA169" s="8"/>
      <c r="CB169" s="8"/>
      <c r="CC169" s="8"/>
      <c r="CD169" s="8"/>
      <c r="CE169" s="8"/>
      <c r="CF169" s="8"/>
      <c r="CG169" s="8"/>
      <c r="CH169" s="8"/>
      <c r="CI169" s="8"/>
      <c r="CJ169" s="8"/>
      <c r="CK169" s="8"/>
      <c r="CL169" s="8"/>
      <c r="CM169" s="8"/>
      <c r="CN169" s="8"/>
      <c r="CO169" s="8"/>
      <c r="CP169" s="8"/>
      <c r="CQ169" s="8"/>
      <c r="CR169" s="8"/>
      <c r="CS169" s="8"/>
      <c r="CT169" s="8"/>
      <c r="CU169" s="8"/>
      <c r="CV169" s="8"/>
      <c r="CW169" s="8"/>
    </row>
    <row r="170" spans="1:112" ht="14.25" hidden="1" customHeight="1" outlineLevel="1">
      <c r="A170" s="5"/>
      <c r="B170" s="5"/>
      <c r="C170" s="5"/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302"/>
      <c r="BA170" s="5"/>
      <c r="BB170" s="5"/>
      <c r="BC170" s="5"/>
      <c r="BD170" s="5"/>
      <c r="BE170" s="5"/>
      <c r="BF170" s="5"/>
      <c r="BG170" s="5"/>
      <c r="BH170" s="5"/>
      <c r="BI170" s="5"/>
      <c r="BJ170" s="5"/>
      <c r="BK170" s="5"/>
      <c r="BL170" s="5"/>
      <c r="BM170" s="5"/>
      <c r="BN170" s="5"/>
      <c r="BO170" s="5"/>
      <c r="BP170" s="5"/>
      <c r="BQ170" s="5"/>
      <c r="BR170" s="5"/>
      <c r="BS170" s="5"/>
      <c r="BT170" s="5"/>
      <c r="BU170" s="5"/>
      <c r="BV170" s="5">
        <v>1</v>
      </c>
      <c r="BW170" s="5">
        <v>1</v>
      </c>
      <c r="BX170" s="5">
        <v>1</v>
      </c>
      <c r="BY170" s="5">
        <v>1</v>
      </c>
      <c r="BZ170" s="5"/>
      <c r="CA170" s="5"/>
      <c r="CB170" s="5"/>
      <c r="CC170" s="5"/>
      <c r="CD170" s="5"/>
      <c r="CE170" s="5"/>
      <c r="CF170" s="5"/>
      <c r="CG170" s="5"/>
      <c r="CH170" s="5"/>
      <c r="CI170" s="5"/>
      <c r="CJ170" s="5"/>
      <c r="CK170" s="5"/>
      <c r="CL170" s="5"/>
      <c r="CM170" s="5"/>
      <c r="CN170" s="5">
        <v>1</v>
      </c>
      <c r="CO170" s="5">
        <v>1</v>
      </c>
      <c r="CP170" s="5">
        <v>1</v>
      </c>
      <c r="CQ170" s="5">
        <v>1</v>
      </c>
      <c r="CR170" s="5">
        <v>1</v>
      </c>
      <c r="CS170" s="5">
        <v>1</v>
      </c>
      <c r="CT170" s="5">
        <v>1</v>
      </c>
      <c r="CU170" s="5">
        <v>1</v>
      </c>
      <c r="CV170" s="5">
        <v>1</v>
      </c>
      <c r="CW170" s="5"/>
      <c r="DD170" s="394"/>
      <c r="DE170" s="394"/>
      <c r="DF170" s="394"/>
      <c r="DG170" s="394"/>
      <c r="DH170" s="394"/>
    </row>
    <row r="171" spans="1:112" ht="14.25" hidden="1" customHeight="1" outlineLevel="1">
      <c r="A171" s="394"/>
      <c r="B171" s="394"/>
      <c r="C171" s="394"/>
      <c r="D171" s="394"/>
      <c r="E171" s="394"/>
      <c r="F171" s="394"/>
      <c r="G171" s="394"/>
      <c r="H171" s="394"/>
      <c r="I171" s="394"/>
      <c r="J171" s="394"/>
      <c r="K171" s="394"/>
      <c r="L171" s="394"/>
      <c r="M171" s="394"/>
      <c r="N171" s="394"/>
      <c r="O171" s="394"/>
      <c r="P171" s="394"/>
      <c r="Q171" s="394"/>
      <c r="R171" s="394"/>
      <c r="S171" s="394"/>
      <c r="T171" s="394"/>
      <c r="U171" s="394"/>
      <c r="V171" s="394"/>
      <c r="W171" s="394"/>
      <c r="X171" s="394"/>
      <c r="Y171" s="394"/>
      <c r="Z171" s="394"/>
      <c r="AA171" s="394"/>
      <c r="AB171" s="394"/>
      <c r="AC171" s="394"/>
      <c r="AD171" s="394"/>
      <c r="AE171" s="394"/>
      <c r="AF171" s="394"/>
      <c r="AG171" s="394"/>
      <c r="AH171" s="394"/>
      <c r="AI171" s="394"/>
      <c r="AJ171" s="394"/>
      <c r="AK171" s="394"/>
      <c r="AL171" s="394"/>
      <c r="AM171" s="394"/>
      <c r="AN171" s="394"/>
      <c r="AO171" s="394"/>
      <c r="AP171" s="394"/>
      <c r="AQ171" s="394"/>
      <c r="AR171" s="394"/>
      <c r="AS171" s="394"/>
      <c r="AT171" s="394"/>
      <c r="AU171" s="394"/>
      <c r="AV171" s="394"/>
      <c r="AW171" s="394"/>
      <c r="AX171" s="394"/>
      <c r="AY171" s="394"/>
      <c r="AZ171" s="445"/>
      <c r="BA171" s="394"/>
      <c r="BB171" s="394"/>
      <c r="BC171" s="394"/>
      <c r="BD171" s="394"/>
      <c r="BE171" s="394"/>
      <c r="BF171" s="394"/>
      <c r="BG171" s="394"/>
      <c r="BH171" s="394"/>
      <c r="BI171" s="394"/>
      <c r="BJ171" s="394"/>
      <c r="BK171" s="394"/>
      <c r="BL171" s="394"/>
      <c r="BM171" s="394"/>
      <c r="BN171" s="394"/>
      <c r="BO171" s="394"/>
      <c r="BP171" s="394"/>
      <c r="BQ171" s="394"/>
      <c r="BR171" s="394"/>
      <c r="BS171" s="394"/>
      <c r="BT171" s="394"/>
      <c r="BU171" s="394"/>
      <c r="BV171" s="394">
        <v>0</v>
      </c>
      <c r="BW171" s="394">
        <v>0</v>
      </c>
      <c r="BX171" s="394">
        <v>0</v>
      </c>
      <c r="BY171" s="394">
        <v>0</v>
      </c>
      <c r="BZ171" s="394"/>
      <c r="CA171" s="394"/>
      <c r="CB171" s="394"/>
      <c r="CC171" s="394"/>
      <c r="CD171" s="394"/>
      <c r="CE171" s="394"/>
      <c r="CF171" s="394"/>
      <c r="CG171" s="394"/>
      <c r="CH171" s="394"/>
      <c r="CI171" s="394"/>
      <c r="CJ171" s="394"/>
      <c r="CK171" s="394"/>
      <c r="CL171" s="394"/>
      <c r="CM171" s="394"/>
      <c r="CN171" s="394">
        <v>0</v>
      </c>
      <c r="CO171" s="394">
        <v>0</v>
      </c>
      <c r="CP171" s="394">
        <v>0</v>
      </c>
      <c r="CQ171" s="394">
        <v>0</v>
      </c>
      <c r="CR171" s="394">
        <v>0</v>
      </c>
      <c r="CS171" s="394">
        <v>0</v>
      </c>
      <c r="CT171" s="394">
        <v>0</v>
      </c>
      <c r="CU171" s="394">
        <v>0</v>
      </c>
      <c r="CV171" s="394">
        <v>0</v>
      </c>
      <c r="CW171" s="394"/>
      <c r="DD171" s="394"/>
      <c r="DE171" s="394"/>
      <c r="DF171" s="394"/>
      <c r="DG171" s="394"/>
      <c r="DH171" s="394"/>
    </row>
    <row r="172" spans="1:112" ht="14.25" customHeight="1" collapsed="1">
      <c r="AZ172" s="1005"/>
    </row>
    <row r="173" spans="1:112" ht="14.25" customHeight="1">
      <c r="AZ173" s="1005"/>
    </row>
    <row r="174" spans="1:112" ht="14.25" customHeight="1">
      <c r="AZ174" s="1005"/>
    </row>
    <row r="175" spans="1:112" ht="14.25" customHeight="1">
      <c r="AZ175" s="1005"/>
    </row>
    <row r="176" spans="1:112" ht="14.25" customHeight="1">
      <c r="AZ176" s="1005"/>
    </row>
    <row r="177" spans="52:52" ht="14.25" customHeight="1">
      <c r="AZ177" s="1005"/>
    </row>
    <row r="178" spans="52:52" ht="14.25" customHeight="1">
      <c r="AZ178" s="1005"/>
    </row>
    <row r="179" spans="52:52" ht="14.25" customHeight="1">
      <c r="AZ179" s="1005"/>
    </row>
    <row r="180" spans="52:52" ht="14.25" customHeight="1">
      <c r="AZ180" s="1005"/>
    </row>
    <row r="181" spans="52:52" ht="14.25" customHeight="1">
      <c r="AZ181" s="1005"/>
    </row>
    <row r="182" spans="52:52" ht="14.25" customHeight="1">
      <c r="AZ182" s="1005"/>
    </row>
    <row r="183" spans="52:52" ht="14.25" customHeight="1">
      <c r="AZ183" s="1005"/>
    </row>
    <row r="184" spans="52:52" ht="14.25" customHeight="1">
      <c r="AZ184" s="1005"/>
    </row>
    <row r="185" spans="52:52" ht="14.25" customHeight="1">
      <c r="AZ185" s="1005"/>
    </row>
    <row r="186" spans="52:52" ht="14.25" customHeight="1">
      <c r="AZ186" s="1005"/>
    </row>
    <row r="187" spans="52:52" ht="14.25" customHeight="1">
      <c r="AZ187" s="1005"/>
    </row>
    <row r="188" spans="52:52" ht="14.25" customHeight="1">
      <c r="AZ188" s="1005"/>
    </row>
    <row r="189" spans="52:52" ht="14.25" customHeight="1">
      <c r="AZ189" s="1005"/>
    </row>
    <row r="190" spans="52:52" ht="14.25" customHeight="1">
      <c r="AZ190" s="1005"/>
    </row>
    <row r="191" spans="52:52" ht="14.25" customHeight="1">
      <c r="AZ191" s="1005"/>
    </row>
    <row r="192" spans="52:52" ht="14.25" customHeight="1">
      <c r="AZ192" s="1005"/>
    </row>
    <row r="193" spans="52:52" ht="14.25" customHeight="1">
      <c r="AZ193" s="1005"/>
    </row>
    <row r="194" spans="52:52" ht="14.25" customHeight="1">
      <c r="AZ194" s="1005"/>
    </row>
    <row r="195" spans="52:52" ht="14.25" customHeight="1">
      <c r="AZ195" s="1005"/>
    </row>
    <row r="196" spans="52:52" ht="14.25" customHeight="1">
      <c r="AZ196" s="1005"/>
    </row>
    <row r="197" spans="52:52" ht="14.25" customHeight="1">
      <c r="AZ197" s="1005"/>
    </row>
    <row r="198" spans="52:52" ht="14.25" customHeight="1">
      <c r="AZ198" s="1005"/>
    </row>
    <row r="199" spans="52:52" ht="14.25" customHeight="1">
      <c r="AZ199" s="1005"/>
    </row>
    <row r="200" spans="52:52" ht="14.25" customHeight="1">
      <c r="AZ200" s="1005"/>
    </row>
    <row r="201" spans="52:52" ht="14.25" customHeight="1">
      <c r="AZ201" s="1005"/>
    </row>
    <row r="202" spans="52:52" ht="14.25" customHeight="1">
      <c r="AZ202" s="1005"/>
    </row>
    <row r="203" spans="52:52" ht="14.25" customHeight="1">
      <c r="AZ203" s="1005"/>
    </row>
    <row r="204" spans="52:52" ht="14.25" customHeight="1">
      <c r="AZ204" s="1005"/>
    </row>
    <row r="205" spans="52:52" ht="14.25" customHeight="1">
      <c r="AZ205" s="1005"/>
    </row>
    <row r="206" spans="52:52" ht="14.25" customHeight="1">
      <c r="AZ206" s="1005"/>
    </row>
    <row r="207" spans="52:52" ht="14.25" customHeight="1">
      <c r="AZ207" s="1005"/>
    </row>
    <row r="208" spans="52:52" ht="14.25" customHeight="1">
      <c r="AZ208" s="1005"/>
    </row>
    <row r="209" spans="52:52" ht="14.25" customHeight="1">
      <c r="AZ209" s="1005"/>
    </row>
    <row r="210" spans="52:52" ht="14.25" customHeight="1">
      <c r="AZ210" s="1005"/>
    </row>
    <row r="211" spans="52:52" ht="14.25" customHeight="1">
      <c r="AZ211" s="1005"/>
    </row>
    <row r="212" spans="52:52" ht="14.25" customHeight="1">
      <c r="AZ212" s="1005"/>
    </row>
    <row r="213" spans="52:52" ht="14.25" customHeight="1">
      <c r="AZ213" s="1005"/>
    </row>
    <row r="214" spans="52:52" ht="14.25" customHeight="1">
      <c r="AZ214" s="1005"/>
    </row>
    <row r="215" spans="52:52" ht="14.25" customHeight="1">
      <c r="AZ215" s="1005"/>
    </row>
    <row r="216" spans="52:52" ht="14.25" customHeight="1">
      <c r="AZ216" s="1005"/>
    </row>
    <row r="217" spans="52:52" ht="14.25" customHeight="1">
      <c r="AZ217" s="1005"/>
    </row>
    <row r="218" spans="52:52" ht="14.25" customHeight="1">
      <c r="AZ218" s="1005"/>
    </row>
    <row r="219" spans="52:52" ht="14.25" customHeight="1">
      <c r="AZ219" s="1005"/>
    </row>
    <row r="220" spans="52:52" ht="14.25" customHeight="1">
      <c r="AZ220" s="1005"/>
    </row>
    <row r="221" spans="52:52" ht="14.25" customHeight="1">
      <c r="AZ221" s="1005"/>
    </row>
    <row r="222" spans="52:52" ht="14.25" customHeight="1">
      <c r="AZ222" s="1005"/>
    </row>
    <row r="223" spans="52:52" ht="14.25" customHeight="1">
      <c r="AZ223" s="1005"/>
    </row>
    <row r="224" spans="52:52" ht="14.25" customHeight="1">
      <c r="AZ224" s="1005"/>
    </row>
    <row r="225" spans="52:52" ht="14.25" customHeight="1">
      <c r="AZ225" s="1005"/>
    </row>
    <row r="226" spans="52:52" ht="14.25" customHeight="1">
      <c r="AZ226" s="1005"/>
    </row>
    <row r="227" spans="52:52" ht="14.25" customHeight="1">
      <c r="AZ227" s="1005"/>
    </row>
    <row r="228" spans="52:52" ht="14.25" customHeight="1">
      <c r="AZ228" s="1005"/>
    </row>
    <row r="229" spans="52:52" ht="14.25" customHeight="1">
      <c r="AZ229" s="1005"/>
    </row>
    <row r="230" spans="52:52" ht="14.25" customHeight="1">
      <c r="AZ230" s="1005"/>
    </row>
    <row r="231" spans="52:52" ht="14.25" customHeight="1">
      <c r="AZ231" s="1005"/>
    </row>
    <row r="232" spans="52:52" ht="14.25" customHeight="1">
      <c r="AZ232" s="1005"/>
    </row>
    <row r="233" spans="52:52" ht="14.25" customHeight="1">
      <c r="AZ233" s="1005"/>
    </row>
    <row r="234" spans="52:52" ht="14.25" customHeight="1">
      <c r="AZ234" s="1005"/>
    </row>
    <row r="235" spans="52:52" ht="14.25" customHeight="1">
      <c r="AZ235" s="1005"/>
    </row>
    <row r="236" spans="52:52" ht="14.25" customHeight="1">
      <c r="AZ236" s="1005"/>
    </row>
    <row r="237" spans="52:52" ht="14.25" customHeight="1">
      <c r="AZ237" s="1005"/>
    </row>
    <row r="238" spans="52:52" ht="14.25" customHeight="1">
      <c r="AZ238" s="1005"/>
    </row>
    <row r="239" spans="52:52" ht="14.25" customHeight="1">
      <c r="AZ239" s="1005"/>
    </row>
    <row r="240" spans="52:52" ht="14.25" customHeight="1">
      <c r="AZ240" s="1005"/>
    </row>
    <row r="241" spans="52:52" ht="14.25" customHeight="1">
      <c r="AZ241" s="1005"/>
    </row>
    <row r="242" spans="52:52" ht="14.25" customHeight="1">
      <c r="AZ242" s="1005"/>
    </row>
    <row r="243" spans="52:52" ht="14.25" customHeight="1">
      <c r="AZ243" s="1005"/>
    </row>
  </sheetData>
  <phoneticPr fontId="35" type="noConversion"/>
  <conditionalFormatting sqref="D7:AH9 D112:G112 D155:AH155 D137:G137 AL155 X112:AH112 AF137:AH137">
    <cfRule type="expression" dxfId="96" priority="25" stopIfTrue="1">
      <formula>D$165="A"</formula>
    </cfRule>
    <cfRule type="expression" dxfId="95" priority="26" stopIfTrue="1">
      <formula>D$165="E"</formula>
    </cfRule>
  </conditionalFormatting>
  <conditionalFormatting sqref="B6">
    <cfRule type="cellIs" dxfId="94" priority="27" stopIfTrue="1" operator="equal">
      <formula>"Bear Case"</formula>
    </cfRule>
    <cfRule type="cellIs" dxfId="93" priority="28" stopIfTrue="1" operator="equal">
      <formula>"Bull Case"</formula>
    </cfRule>
    <cfRule type="cellIs" dxfId="92" priority="29" stopIfTrue="1" operator="equal">
      <formula>"Base Case"</formula>
    </cfRule>
  </conditionalFormatting>
  <conditionalFormatting sqref="AP155">
    <cfRule type="expression" dxfId="91" priority="23" stopIfTrue="1">
      <formula>AP$165="A"</formula>
    </cfRule>
    <cfRule type="expression" dxfId="90" priority="24" stopIfTrue="1">
      <formula>AP$165="E"</formula>
    </cfRule>
  </conditionalFormatting>
  <conditionalFormatting sqref="H112:K112">
    <cfRule type="expression" dxfId="89" priority="21" stopIfTrue="1">
      <formula>H$165="A"</formula>
    </cfRule>
    <cfRule type="expression" dxfId="88" priority="22" stopIfTrue="1">
      <formula>H$165="E"</formula>
    </cfRule>
  </conditionalFormatting>
  <conditionalFormatting sqref="L112:O112">
    <cfRule type="expression" dxfId="87" priority="19" stopIfTrue="1">
      <formula>L$165="A"</formula>
    </cfRule>
    <cfRule type="expression" dxfId="86" priority="20" stopIfTrue="1">
      <formula>L$165="E"</formula>
    </cfRule>
  </conditionalFormatting>
  <conditionalFormatting sqref="P112:S112">
    <cfRule type="expression" dxfId="85" priority="17" stopIfTrue="1">
      <formula>P$165="A"</formula>
    </cfRule>
    <cfRule type="expression" dxfId="84" priority="18" stopIfTrue="1">
      <formula>P$165="E"</formula>
    </cfRule>
  </conditionalFormatting>
  <conditionalFormatting sqref="T112:W112">
    <cfRule type="expression" dxfId="83" priority="15" stopIfTrue="1">
      <formula>T$165="A"</formula>
    </cfRule>
    <cfRule type="expression" dxfId="82" priority="16" stopIfTrue="1">
      <formula>T$165="E"</formula>
    </cfRule>
  </conditionalFormatting>
  <conditionalFormatting sqref="H137:K137">
    <cfRule type="expression" dxfId="81" priority="13" stopIfTrue="1">
      <formula>H$165="A"</formula>
    </cfRule>
    <cfRule type="expression" dxfId="80" priority="14" stopIfTrue="1">
      <formula>H$165="E"</formula>
    </cfRule>
  </conditionalFormatting>
  <conditionalFormatting sqref="L137:O137">
    <cfRule type="expression" dxfId="79" priority="11" stopIfTrue="1">
      <formula>L$165="A"</formula>
    </cfRule>
    <cfRule type="expression" dxfId="78" priority="12" stopIfTrue="1">
      <formula>L$165="E"</formula>
    </cfRule>
  </conditionalFormatting>
  <conditionalFormatting sqref="P137:S137">
    <cfRule type="expression" dxfId="77" priority="9" stopIfTrue="1">
      <formula>P$165="A"</formula>
    </cfRule>
    <cfRule type="expression" dxfId="76" priority="10" stopIfTrue="1">
      <formula>P$165="E"</formula>
    </cfRule>
  </conditionalFormatting>
  <conditionalFormatting sqref="T137:W137">
    <cfRule type="expression" dxfId="75" priority="7" stopIfTrue="1">
      <formula>T$165="A"</formula>
    </cfRule>
    <cfRule type="expression" dxfId="74" priority="8" stopIfTrue="1">
      <formula>T$165="E"</formula>
    </cfRule>
  </conditionalFormatting>
  <conditionalFormatting sqref="X137:AA137">
    <cfRule type="expression" dxfId="73" priority="5" stopIfTrue="1">
      <formula>X$165="A"</formula>
    </cfRule>
    <cfRule type="expression" dxfId="72" priority="6" stopIfTrue="1">
      <formula>X$165="E"</formula>
    </cfRule>
  </conditionalFormatting>
  <conditionalFormatting sqref="AB137:AE137">
    <cfRule type="expression" dxfId="71" priority="3" stopIfTrue="1">
      <formula>AB$165="A"</formula>
    </cfRule>
    <cfRule type="expression" dxfId="70" priority="4" stopIfTrue="1">
      <formula>AB$165="E"</formula>
    </cfRule>
  </conditionalFormatting>
  <conditionalFormatting sqref="AT155">
    <cfRule type="expression" dxfId="69" priority="1" stopIfTrue="1">
      <formula>AT$165="A"</formula>
    </cfRule>
    <cfRule type="expression" dxfId="68" priority="2" stopIfTrue="1">
      <formula>AT$165="E"</formula>
    </cfRule>
  </conditionalFormatting>
  <dataValidations count="1">
    <dataValidation type="list" allowBlank="1" showInputMessage="1" showErrorMessage="1" sqref="B6">
      <formula1>$DE$3:$DE$7</formula1>
    </dataValidation>
  </dataValidations>
  <pageMargins left="0" right="0" top="0" bottom="0" header="0" footer="0"/>
  <pageSetup paperSize="5" scale="65" orientation="landscape" r:id="rId1"/>
  <headerFooter alignWithMargins="0"/>
  <colBreaks count="1" manualBreakCount="1">
    <brk id="84" max="1048575" man="1"/>
  </colBreaks>
  <ignoredErrors>
    <ignoredError sqref="AF57:AF58 CG134:CG135 AF70 CG163 CM166:CM167 CM169:CM170 CG165:CG170 AD134 BX134:BZ134 CO134:CP135 AF79:AF80 AF42 AF30:AF32 AF54 CM163:CP163 AF45:AF47 AF66:AF68 AF51 AF90 AF72:AF76 AF36:AF38 AF84 AF27 CD166:CE170 CG132 AF86 CN166:CP169 AG134 AF23:AF24 AF82 AI134:AL134 AN134:AO134 AP35 AF62:AF64 CD163:CE163 CD134:CE135" formula="1"/>
    <ignoredError sqref="CH102:CN102 CG131:CP131 AB90 CG113:CP113 AH55 AC102:AD102 BW106 AC100:AD100 BQ100:BW100 CH55:CP55 D130:W130 BQ102:BW102 AC128:AD128 AC130:AD130 C89:C92 BP112 CG104 CH100:CN100 C128:C131 BQ128:BW128 CM57:CP59 CH57:CK58 C98:C101 B128 CD102:CE102 C104:C106 CD107:CE107 CK59 CO107:CP107 BQ89:BW92 C112:C114 B130:B131 C94 D128:W128 C109 AG107 B106 CH46:CP46 CG105 CG112 CH74:CP76 AC90:AD92 CH27:CP27 CH37:CP37 CH23:CP23 CH85:CP85 AE55 CH128:CN128 CL57 CH42:CP42 BQ131:BZ131 CH130:CN130 AG104 B100 B89:B90 D100:W100 B107:AD107 CN104:CP104 CH51:CP51 BP105 D90:W92 J102:X102 C102:H102 BP104:BR104 D106:AD106 BQ106:BV107 CH106:CN107 CH89:CN90 CH92:CN92 AI104:AK104 AI107:AK107 CI10:CO10 BT104:BZ104 BQ113:BZ114 BX107:BZ107 CA27:CB27 CG114:CP114 BQ130:BW130" formulaRange="1"/>
    <ignoredError sqref="K79:AD80 X167:AQ167 AJ58 X170:AQ170 AB91:AB92 AI30 X130:AB130 B70:B72 CG51 CO102:CP102 AG130 BY102:BZ102 CG98:CG102 X128:AB128 AI27 AG82 C5:C10 AG102 CG28:CG32 AG84 AF55 BU163:BZ163 C51:C55 CG76 CG77 AG106 CG82:CG84 CG128 CG34:CG37 BP94 AG90:AG92 CH5:CM6 CG94 H82 CG55 D62:AD63 AB42 BP88:BP92 B66 BP98:BP102 AG79:AG80 CO128:CP128 CD82:CE82 CG109 C86:AD86 AG27 C37 AG70 BP82:BP84 CD84:CE84 AG128 J82:AD82 B76:C77 CO89:CP92 CG47:CP48 B54 CG79:CP80 AG54:AG55 CG86:CP86 CG23 CO130:CP130 CG85 CH54:CP54 CO106:CP106 X135:AD135 BX135:BZ135 CH84:CP84 B5 X90:AA92 BP6:BP10 AI57:AI58 BP106:BP107 CG106:CG107 BP38:BZ38 AG100 C23 CG38:CP39 CD90:CE92 B34:C36 AG42 B82 C42:C46 BP109 BP46:BZ47 AN128:AO128 CG24:CP24 BP163 BZ166:BZ170 CN6 CG5:CG9 D5:AG6 BU166:BU170 BQ10:BZ10 AG51 AG135 CG59 X132:Z132 BX132:BZ132 AM135:AQ135 AI135:AJ135 BP86:BX86 BQ7:BX8 CG27 BV166:BY169 X163:AG163 AG47 AG38 BP128 CG42 CO100:CP100 B84 AG24 BP113:BP114 G80:J80 BP134:BP135 BX89:BY92 BP77 CD30:CE30 X100:AB100 BP70:BP73 CG88:CG92 B88:C88 BY74 Y102:AB102 B9 AG57:AG59 D30:AD32 AG30 BP28:BP32 D72:AD73 CD100:CE100 BP60:BP63 BQ30:BZ32 CH82:CP82 CD36:CE36 CD70:CE70 CH30:CP32 C82:C85 C70:C75 AG72 C66:AD68 D70:AD70 BP34:BP36 D36:AD36 AG36 C24:AD24 CE45 CH36:CP36 BP39 CD72:CE73 D45:AD45 AG45 CH70:CP70 BP43:BP45 BP59:BU59 B30 E38:AD38 B45 E47:AD47 B28 C38:D39 CG43:CG46 CG67:CP68 B43 C47:D48 D84:AD84 B60 CH45:CP45 C27:C32 B62 CD62:CE62 CH72:CP73 CG70:CG75 CE54 C57:C63 CG60:CG63 CH62:CP63 CD106:CE106 D54:AD55 AG66:AG68 BP52:BP54 AI51:AJ51 CG52:CG54 D82:F82 C79:F80 BQ73:BX74 BZ73:BZ74 AM6:AQ6 AI24 AI55 AI54:AK54 AI72:AK73 AI59:AK59 AI45:AK45 AI70:AK70 AI36:AK36 AK42 AK27 AI84:AK84 AK57:AK58 AK24 AI47:AK47 AI38:AK38 AI100:AK100 AK30 AK55 AN130:AO130 AI66:AK68 AI82:AK82 AI79:AK80 AI90:AK92 AI102:AK102 AI106:AK106 AI128:AK128 AI163:AQ163 AI130:AL130 CO5:CP6 BQ54:BZ54 BQ62:BZ63 BP66:BZ68 BQ72:BZ72 BQ45:BZ45 BQ70:BZ70 BQ36:BZ36 BX100:BZ100 BP42:BZ42 BP27:BZ27 BP57:BZ58 BP23:BZ24 BZ90:BZ92 BP85:BZ85 BP79:BZ80 BQ84:BZ84 BW59:BZ59 BQ82:BZ82 BP55:BZ55 BZ130 BP75:BZ76 BP51:BZ51 BX106:BZ106 BX128:BY128 BZ128 CG64:CO64 CE7 CG66:CP66 BP64:BZ64 AI62:AK64 AG62:AG64 B64:AD64 CG57 CG58 CD63 CG130 BP130:BP132 BX130:BY130 CD130:CE130 CE66 CD67:CE68 CD24:CE24 CD79:CE80 CD128:CE128 BP165:BP170" formula="1" formulaRange="1"/>
  </ignoredErrors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indexed="17"/>
    <pageSetUpPr fitToPage="1"/>
  </sheetPr>
  <dimension ref="A1:DE185"/>
  <sheetViews>
    <sheetView showGridLines="0" zoomScale="85" zoomScaleNormal="85" workbookViewId="0">
      <pane xSplit="3" ySplit="9" topLeftCell="AX25" activePane="bottomRight" state="frozen"/>
      <selection activeCell="BA7" sqref="BA7"/>
      <selection pane="topRight" activeCell="BA7" sqref="BA7"/>
      <selection pane="bottomLeft" activeCell="BA7" sqref="BA7"/>
      <selection pane="bottomRight" activeCell="B7" sqref="B7:BK47"/>
    </sheetView>
  </sheetViews>
  <sheetFormatPr defaultRowHeight="14.25" customHeight="1" outlineLevelRow="1" outlineLevelCol="1"/>
  <cols>
    <col min="1" max="1" width="1.7109375" customWidth="1"/>
    <col min="2" max="2" width="56" customWidth="1"/>
    <col min="3" max="3" width="1.7109375" customWidth="1"/>
    <col min="4" max="38" width="11.42578125" hidden="1" customWidth="1" outlineLevel="1"/>
    <col min="39" max="39" width="12.5703125" hidden="1" customWidth="1" outlineLevel="1"/>
    <col min="40" max="43" width="11.42578125" hidden="1" customWidth="1" outlineLevel="1"/>
    <col min="44" max="44" width="11.42578125" hidden="1" customWidth="1" outlineLevel="1" collapsed="1"/>
    <col min="45" max="51" width="11.42578125" hidden="1" customWidth="1" outlineLevel="1"/>
    <col min="52" max="52" width="11.42578125" customWidth="1" collapsed="1"/>
    <col min="53" max="63" width="11.42578125" customWidth="1"/>
    <col min="64" max="67" width="11.42578125" hidden="1" customWidth="1" outlineLevel="1"/>
    <col min="68" max="68" width="2.7109375" customWidth="1" collapsed="1"/>
    <col min="69" max="73" width="11.42578125" hidden="1" customWidth="1" outlineLevel="1"/>
    <col min="74" max="74" width="11.42578125" hidden="1" customWidth="1" outlineLevel="1" collapsed="1"/>
    <col min="75" max="75" width="11.42578125" hidden="1" customWidth="1" outlineLevel="1"/>
    <col min="76" max="76" width="11.42578125" hidden="1" customWidth="1" collapsed="1"/>
    <col min="77" max="80" width="11.42578125" hidden="1" customWidth="1" outlineLevel="1"/>
    <col min="81" max="81" width="11.42578125" customWidth="1" collapsed="1"/>
    <col min="82" max="83" width="11.42578125" customWidth="1"/>
    <col min="84" max="84" width="11.42578125" hidden="1" customWidth="1" outlineLevel="1"/>
    <col min="85" max="85" width="4.7109375" customWidth="1" collapsed="1"/>
    <col min="86" max="91" width="11.42578125" hidden="1" customWidth="1" outlineLevel="1"/>
    <col min="92" max="92" width="11.42578125" hidden="1" customWidth="1" outlineLevel="1" collapsed="1"/>
    <col min="93" max="97" width="11.42578125" hidden="1" customWidth="1" outlineLevel="1"/>
    <col min="98" max="98" width="11.42578125" customWidth="1" collapsed="1"/>
    <col min="99" max="101" width="11.42578125" customWidth="1"/>
    <col min="102" max="102" width="32.140625" customWidth="1"/>
  </cols>
  <sheetData>
    <row r="1" spans="1:109" ht="67.5" customHeight="1">
      <c r="A1" s="5"/>
      <c r="B1" s="322"/>
      <c r="C1" s="1"/>
      <c r="D1" s="2" t="str">
        <f>IF(SUM(BS)&lt;&gt;0,"BS BREAK","")</f>
        <v/>
      </c>
      <c r="E1" s="1"/>
      <c r="F1" s="2" t="str">
        <f>IF(SUM(BS)&lt;&gt;0,"BS BREAK","")</f>
        <v/>
      </c>
      <c r="G1" s="1"/>
      <c r="H1" s="2" t="str">
        <f>IF(SUM(BS)&lt;&gt;0,"BS BREAK","")</f>
        <v/>
      </c>
      <c r="I1" s="1"/>
      <c r="J1" s="2" t="str">
        <f>IF(SUM(BS)&lt;&gt;0,"BS BREAK","")</f>
        <v/>
      </c>
      <c r="K1" s="1"/>
      <c r="L1" s="2" t="str">
        <f>IF(SUM(BS)&lt;&gt;0,"BS BREAK","")</f>
        <v/>
      </c>
      <c r="M1" s="1"/>
      <c r="N1" s="2" t="str">
        <f>IF(SUM(BS)&lt;&gt;0,"BS BREAK","")</f>
        <v/>
      </c>
      <c r="O1" s="1"/>
      <c r="P1" s="2" t="str">
        <f>IF(SUM(BS)&lt;&gt;0,"BS BREAK","")</f>
        <v/>
      </c>
      <c r="Q1" s="1"/>
      <c r="R1" s="2" t="str">
        <f>IF(SUM(BS)&lt;&gt;0,"BS BREAK","")</f>
        <v/>
      </c>
      <c r="S1" s="1"/>
      <c r="T1" s="2" t="str">
        <f>IF(SUM(BS)&lt;&gt;0,"BS BREAK","")</f>
        <v/>
      </c>
      <c r="U1" s="1"/>
      <c r="V1" s="2" t="str">
        <f>IF(SUM(BS)&lt;&gt;0,"BS BREAK","")</f>
        <v/>
      </c>
      <c r="W1" s="1"/>
      <c r="X1" s="2" t="str">
        <f>IF(SUM(BS)&lt;&gt;0,"BS BREAK","")</f>
        <v/>
      </c>
      <c r="Y1" s="1"/>
      <c r="Z1" s="2" t="str">
        <f>IF(SUM(BS)&lt;&gt;0,"BS BREAK","")</f>
        <v/>
      </c>
      <c r="AA1" s="1"/>
      <c r="AB1" s="2" t="str">
        <f>IF(SUM(BS)&lt;&gt;0,"BS BREAK","")</f>
        <v/>
      </c>
      <c r="AC1" s="1"/>
      <c r="AD1" s="2" t="str">
        <f>IF(SUM(BS)&lt;&gt;0,"BS BREAK","")</f>
        <v/>
      </c>
      <c r="AE1" s="1"/>
      <c r="AF1" s="2" t="str">
        <f>IF(SUM(BS)&lt;&gt;0,"BS BREAK","")</f>
        <v/>
      </c>
      <c r="AG1" s="1"/>
      <c r="AH1" s="2" t="str">
        <f>IF(SUM(BS)&lt;&gt;0,"BS BREAK","")</f>
        <v/>
      </c>
      <c r="AI1" s="1"/>
      <c r="AJ1" s="2" t="str">
        <f>IF(SUM(BS)&lt;&gt;0,"BS BREAK","")</f>
        <v/>
      </c>
      <c r="AK1" s="1"/>
      <c r="AL1" s="2" t="str">
        <f>IF(SUM(BS)&lt;&gt;0,"BS BREAK","")</f>
        <v/>
      </c>
      <c r="AM1" s="1"/>
      <c r="AN1" s="2" t="str">
        <f>IF(SUM(BS)&lt;&gt;0,"BS BREAK","")</f>
        <v/>
      </c>
      <c r="AO1" s="1"/>
      <c r="AP1" s="2" t="str">
        <f>IF(SUM(BS)&lt;&gt;0,"BS BREAK","")</f>
        <v/>
      </c>
      <c r="AQ1" s="1"/>
      <c r="AR1" s="2" t="str">
        <f>IF(SUM(BS)&lt;&gt;0,"BS BREAK","")</f>
        <v/>
      </c>
      <c r="AS1" s="1"/>
      <c r="AT1" s="2" t="str">
        <f>IF(SUM(BS)&lt;&gt;0,"BS BREAK","")</f>
        <v/>
      </c>
      <c r="AU1" s="1"/>
      <c r="AV1" s="2" t="str">
        <f>IF(SUM(BS)&lt;&gt;0,"BS BREAK","")</f>
        <v/>
      </c>
      <c r="AW1" s="1"/>
      <c r="AX1" s="2" t="str">
        <f>IF(SUM(BS)&lt;&gt;0,"BS BREAK","")</f>
        <v/>
      </c>
      <c r="AY1" s="1"/>
      <c r="AZ1" s="2" t="str">
        <f>IF(SUM(BS)&lt;&gt;0,"BS BREAK","")</f>
        <v/>
      </c>
      <c r="BA1" s="1"/>
      <c r="BB1" s="2" t="str">
        <f>IF(SUM(BS)&lt;&gt;0,"BS BREAK","")</f>
        <v/>
      </c>
      <c r="BC1" s="1"/>
      <c r="BD1" s="2" t="str">
        <f>IF(SUM(BS)&lt;&gt;0,"BS BREAK","")</f>
        <v/>
      </c>
      <c r="BE1" s="1"/>
      <c r="BF1" s="2" t="str">
        <f>IF(SUM(BS)&lt;&gt;0,"BS BREAK","")</f>
        <v/>
      </c>
      <c r="BG1" s="1"/>
      <c r="BH1" s="1"/>
      <c r="BI1" s="1"/>
      <c r="BJ1" s="1"/>
      <c r="BK1" s="1"/>
      <c r="BL1" s="1"/>
      <c r="BM1" s="1"/>
      <c r="BN1" s="1"/>
      <c r="BO1" s="1"/>
      <c r="BP1" s="2" t="str">
        <f>IF(SUM(BS)&lt;&gt;0,"BS BREAK","")</f>
        <v/>
      </c>
      <c r="BQ1" s="2" t="str">
        <f>IF(SUM(BS)&lt;&gt;0,"BS BREAK","")</f>
        <v/>
      </c>
      <c r="BR1" s="1"/>
      <c r="BS1" s="2" t="str">
        <f>IF(SUM(BS)&lt;&gt;0,"BS BREAK","")</f>
        <v/>
      </c>
      <c r="BT1" s="1"/>
      <c r="BU1" s="2" t="str">
        <f>IF(SUM(BS)&lt;&gt;0,"BS BREAK","")</f>
        <v/>
      </c>
      <c r="BV1" s="1"/>
      <c r="BW1" s="2" t="str">
        <f>IF(SUM(BS)&lt;&gt;0,"BS BREAK","")</f>
        <v/>
      </c>
      <c r="BX1" s="1"/>
      <c r="BY1" s="2" t="str">
        <f>IF(SUM(BS)&lt;&gt;0,"BS BREAK","")</f>
        <v/>
      </c>
      <c r="BZ1" s="1"/>
      <c r="CA1" s="1"/>
      <c r="CB1" s="1"/>
      <c r="CC1" s="1"/>
      <c r="CD1" s="1"/>
      <c r="CE1" s="1" t="str">
        <f>IF(SUM(BS)&lt;&gt;0,"BS BREAK","")</f>
        <v/>
      </c>
      <c r="CF1" s="1" t="str">
        <f>IF(SUM(BS)&lt;&gt;0,"BS BREAK","")</f>
        <v/>
      </c>
      <c r="CG1" s="1"/>
      <c r="CH1" s="2" t="str">
        <f>IF(SUM(BS)&lt;&gt;0,"BS BREAK","")</f>
        <v/>
      </c>
      <c r="CI1" s="1"/>
      <c r="CJ1" s="2" t="str">
        <f>IF(SUM(BS)&lt;&gt;0,"BS BREAK","")</f>
        <v/>
      </c>
      <c r="CK1" s="1"/>
      <c r="CL1" s="2" t="str">
        <f>IF(SUM(BS)&lt;&gt;0,"BS BREAK","")</f>
        <v/>
      </c>
      <c r="CM1" s="1"/>
      <c r="CN1" s="2" t="str">
        <f>IF(SUM(BS)&lt;&gt;0,"BS BREAK","")</f>
        <v/>
      </c>
      <c r="CO1" s="1"/>
      <c r="CP1" s="1" t="str">
        <f>IF(SUM(BS)&lt;&gt;0,"BS BREAK","")</f>
        <v/>
      </c>
      <c r="CQ1" s="1" t="str">
        <f>IF(SUM(BS)&lt;&gt;0,"BS BREAK","")</f>
        <v/>
      </c>
      <c r="CR1" s="1" t="str">
        <f>IF(SUM(BS)&lt;&gt;0,"BS BREAK","")</f>
        <v/>
      </c>
      <c r="CS1" s="1" t="str">
        <f>IF(SUM(BS)&lt;&gt;0,"BS BREAK","")</f>
        <v/>
      </c>
      <c r="CT1" s="1"/>
      <c r="CU1" s="1"/>
      <c r="CV1" s="1"/>
      <c r="CW1" s="1"/>
    </row>
    <row r="2" spans="1:109" ht="18" customHeight="1">
      <c r="A2" s="1"/>
      <c r="B2" s="4" t="s">
        <v>227</v>
      </c>
      <c r="C2" s="4"/>
      <c r="D2" s="1"/>
      <c r="E2" s="1"/>
      <c r="F2" s="1"/>
      <c r="G2" s="5"/>
      <c r="H2" s="1"/>
      <c r="I2" s="1"/>
      <c r="J2" s="1"/>
      <c r="K2" s="356"/>
      <c r="L2" s="1"/>
      <c r="M2" s="1"/>
      <c r="N2" s="1"/>
      <c r="O2" s="356"/>
      <c r="P2" s="1"/>
      <c r="Q2" s="1"/>
      <c r="R2" s="1"/>
      <c r="S2" s="356"/>
      <c r="T2" s="1"/>
      <c r="U2" s="1"/>
      <c r="V2" s="1"/>
      <c r="W2" s="356"/>
      <c r="X2" s="1"/>
      <c r="Y2" s="1"/>
      <c r="Z2" s="1"/>
      <c r="AA2" s="1"/>
      <c r="AB2" s="1"/>
      <c r="AC2" s="1"/>
      <c r="AD2" s="1"/>
      <c r="AE2" s="1"/>
      <c r="AF2" s="365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5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</row>
    <row r="3" spans="1:109" ht="14.25" customHeight="1">
      <c r="A3" s="1"/>
      <c r="B3" s="1"/>
      <c r="C3" s="1"/>
      <c r="D3" s="1"/>
      <c r="E3" s="1"/>
      <c r="F3" s="1"/>
      <c r="G3" s="5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98"/>
      <c r="AG3" s="507"/>
      <c r="AH3" s="198"/>
      <c r="AI3" s="198"/>
      <c r="AJ3" s="1"/>
      <c r="AK3" s="1"/>
      <c r="AL3" s="1"/>
      <c r="AM3" s="1"/>
      <c r="AN3" s="1"/>
      <c r="AO3" s="1"/>
      <c r="AP3" s="1"/>
      <c r="AQ3" s="1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  <c r="BC3" s="6"/>
      <c r="BD3" s="6"/>
      <c r="BE3" s="6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5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</row>
    <row r="4" spans="1:109" ht="14.25" customHeight="1">
      <c r="A4" s="1"/>
      <c r="B4" s="1"/>
      <c r="C4" s="1"/>
      <c r="D4" s="1"/>
      <c r="E4" s="1"/>
      <c r="F4" s="1"/>
      <c r="G4" s="5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356"/>
      <c r="AC4" s="1"/>
      <c r="AD4" s="1"/>
      <c r="AE4" s="1"/>
      <c r="AF4" s="1"/>
      <c r="AG4" s="198"/>
      <c r="AH4" s="198"/>
      <c r="AI4" s="331"/>
      <c r="AJ4" s="1"/>
      <c r="AK4" s="1"/>
      <c r="AL4" s="116"/>
      <c r="AM4" s="1"/>
      <c r="AN4" s="1"/>
      <c r="AO4" s="1"/>
      <c r="AP4" s="1"/>
      <c r="AQ4" s="1"/>
      <c r="AR4" s="1"/>
      <c r="AS4" s="1"/>
      <c r="AT4" s="1"/>
      <c r="AU4" s="1"/>
      <c r="AV4" s="1178"/>
      <c r="AW4" s="1178"/>
      <c r="AX4" s="1178"/>
      <c r="AY4" s="1178"/>
      <c r="AZ4" s="1178"/>
      <c r="BA4" s="1178"/>
      <c r="BB4" s="1178"/>
      <c r="BC4" s="1178"/>
      <c r="BD4" s="1178"/>
      <c r="BE4" s="1178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5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</row>
    <row r="5" spans="1:109" ht="14.25" customHeight="1">
      <c r="A5" s="1"/>
      <c r="B5" s="1"/>
      <c r="C5" s="1"/>
      <c r="D5" s="1"/>
      <c r="E5" s="1"/>
      <c r="F5" s="1"/>
      <c r="G5" s="5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356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365"/>
      <c r="AW5" s="910"/>
      <c r="AX5" s="910"/>
      <c r="AY5" s="1217"/>
      <c r="AZ5" s="365"/>
      <c r="BA5" s="1217"/>
      <c r="BB5" s="1446"/>
      <c r="BC5" s="1446"/>
      <c r="BD5" s="1446"/>
      <c r="BE5" s="1446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5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</row>
    <row r="6" spans="1:109" ht="14.25" customHeight="1">
      <c r="A6" s="1"/>
      <c r="B6" s="373" t="str">
        <f>IS!$B$6</f>
        <v>Base Case</v>
      </c>
      <c r="C6" s="7"/>
      <c r="D6" s="1"/>
      <c r="E6" s="1"/>
      <c r="F6" s="1"/>
      <c r="G6" s="5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6"/>
      <c r="AS6" s="356"/>
      <c r="AT6" s="1"/>
      <c r="AU6" s="1154"/>
      <c r="AV6" s="1"/>
      <c r="AW6" s="1"/>
      <c r="AX6" s="910"/>
      <c r="AY6" s="1217"/>
      <c r="AZ6" s="1217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379"/>
      <c r="CD6" s="1379"/>
      <c r="CE6" s="1379"/>
      <c r="CF6" s="1"/>
      <c r="CG6" s="1"/>
      <c r="CH6" s="5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</row>
    <row r="7" spans="1:109" ht="14.25" customHeight="1">
      <c r="A7" s="8"/>
      <c r="B7" s="9" t="s">
        <v>228</v>
      </c>
      <c r="C7" s="10"/>
      <c r="D7" s="110" t="str">
        <f>IS!D7</f>
        <v>C4Q04A</v>
      </c>
      <c r="E7" s="108" t="str">
        <f>IS!E7</f>
        <v>C1Q05A</v>
      </c>
      <c r="F7" s="108" t="str">
        <f>IS!F7</f>
        <v>C2Q05A</v>
      </c>
      <c r="G7" s="109" t="str">
        <f>IS!G7</f>
        <v>C3Q05A</v>
      </c>
      <c r="H7" s="110" t="str">
        <f>IS!H7</f>
        <v>C4Q05A</v>
      </c>
      <c r="I7" s="108" t="str">
        <f>IS!I7</f>
        <v>C1Q06A</v>
      </c>
      <c r="J7" s="108" t="str">
        <f>IS!J7</f>
        <v>C2Q06A</v>
      </c>
      <c r="K7" s="109" t="str">
        <f>IS!K7</f>
        <v>C3Q06A</v>
      </c>
      <c r="L7" s="110" t="str">
        <f>IS!L7</f>
        <v>C4Q06A</v>
      </c>
      <c r="M7" s="108" t="str">
        <f>IS!M7</f>
        <v>C1Q07A</v>
      </c>
      <c r="N7" s="108" t="str">
        <f>IS!N7</f>
        <v>C2Q07A</v>
      </c>
      <c r="O7" s="109" t="str">
        <f>IS!O7</f>
        <v>C3Q07A</v>
      </c>
      <c r="P7" s="110" t="str">
        <f>IS!P7</f>
        <v>C4Q07A</v>
      </c>
      <c r="Q7" s="108" t="str">
        <f>IS!Q7</f>
        <v>C1Q08A</v>
      </c>
      <c r="R7" s="108" t="str">
        <f>IS!R7</f>
        <v>C2Q08A</v>
      </c>
      <c r="S7" s="109" t="str">
        <f>IS!S7</f>
        <v>C3Q08A</v>
      </c>
      <c r="T7" s="110" t="str">
        <f>IS!T7</f>
        <v>C4Q08A</v>
      </c>
      <c r="U7" s="108" t="str">
        <f>IS!U7</f>
        <v>C1Q09A</v>
      </c>
      <c r="V7" s="108" t="str">
        <f>IS!V7</f>
        <v>C2Q09A</v>
      </c>
      <c r="W7" s="109" t="str">
        <f>IS!W7</f>
        <v>C3Q09A</v>
      </c>
      <c r="X7" s="110" t="str">
        <f>IS!X7</f>
        <v>C4Q09A</v>
      </c>
      <c r="Y7" s="108" t="str">
        <f>IS!Y7</f>
        <v>C1Q10A</v>
      </c>
      <c r="Z7" s="108" t="str">
        <f>IS!Z7</f>
        <v>C2Q10A</v>
      </c>
      <c r="AA7" s="109" t="str">
        <f>IS!AA7</f>
        <v>C3Q10A</v>
      </c>
      <c r="AB7" s="110" t="str">
        <f>IS!AB7</f>
        <v>C4Q10A</v>
      </c>
      <c r="AC7" s="108" t="str">
        <f>IS!AC7</f>
        <v>C1Q11A</v>
      </c>
      <c r="AD7" s="108" t="str">
        <f>IS!AD7</f>
        <v>C2Q11A</v>
      </c>
      <c r="AE7" s="109" t="str">
        <f>IS!AE7</f>
        <v>C3Q11A</v>
      </c>
      <c r="AF7" s="110" t="str">
        <f>IS!AF7</f>
        <v>C4Q11A</v>
      </c>
      <c r="AG7" s="108" t="str">
        <f>IS!AG7</f>
        <v>C1Q12A</v>
      </c>
      <c r="AH7" s="108" t="str">
        <f>IS!AH7</f>
        <v>C2Q12A</v>
      </c>
      <c r="AI7" s="696" t="str">
        <f>IS!AI7</f>
        <v>C3Q12A</v>
      </c>
      <c r="AJ7" s="697" t="str">
        <f>IS!AJ7</f>
        <v>C4Q12A</v>
      </c>
      <c r="AK7" s="695" t="str">
        <f>IS!AK7</f>
        <v>C1Q13A</v>
      </c>
      <c r="AL7" s="695" t="str">
        <f>IS!AL7</f>
        <v>C2Q13A</v>
      </c>
      <c r="AM7" s="696" t="str">
        <f>IS!AM7</f>
        <v>C3Q13A</v>
      </c>
      <c r="AN7" s="697" t="str">
        <f>IS!AN7</f>
        <v>C4Q13A</v>
      </c>
      <c r="AO7" s="695" t="str">
        <f>IS!AO7</f>
        <v>C1Q14A</v>
      </c>
      <c r="AP7" s="695" t="str">
        <f>IS!AP7</f>
        <v>C2Q14A</v>
      </c>
      <c r="AQ7" s="696" t="str">
        <f>IS!AQ7</f>
        <v>C3Q14A</v>
      </c>
      <c r="AR7" s="697" t="s">
        <v>534</v>
      </c>
      <c r="AS7" s="695" t="s">
        <v>535</v>
      </c>
      <c r="AT7" s="695" t="s">
        <v>530</v>
      </c>
      <c r="AU7" s="696" t="s">
        <v>532</v>
      </c>
      <c r="AV7" s="697" t="str">
        <f>IS!AV7</f>
        <v>C4Q15A</v>
      </c>
      <c r="AW7" s="695" t="s">
        <v>535</v>
      </c>
      <c r="AX7" s="695" t="str">
        <f>IS!AX7</f>
        <v>C2Q16A</v>
      </c>
      <c r="AY7" s="696" t="str">
        <f>IS!AY7</f>
        <v>C3Q16A</v>
      </c>
      <c r="AZ7" s="697" t="str">
        <f>IS!AZ7</f>
        <v>C4Q16P</v>
      </c>
      <c r="BA7" s="695" t="str">
        <f>IS!BA7</f>
        <v>C1Q17A</v>
      </c>
      <c r="BB7" s="695" t="str">
        <f>IS!BB7</f>
        <v>C2Q17A</v>
      </c>
      <c r="BC7" s="696" t="str">
        <f>IS!BC7</f>
        <v>C3Q17A</v>
      </c>
      <c r="BD7" s="697" t="str">
        <f>IS!BD7</f>
        <v>C4Q17A</v>
      </c>
      <c r="BE7" s="695" t="str">
        <f>IS!BE7</f>
        <v>C1Q18E</v>
      </c>
      <c r="BF7" s="695" t="str">
        <f>IS!BF7</f>
        <v>C2Q18E</v>
      </c>
      <c r="BG7" s="696" t="str">
        <f>IS!BG7</f>
        <v>C3Q18E</v>
      </c>
      <c r="BH7" s="697" t="str">
        <f>IS!BH7</f>
        <v>C4Q18E</v>
      </c>
      <c r="BI7" s="695" t="str">
        <f>IS!BI7</f>
        <v>C1Q19E</v>
      </c>
      <c r="BJ7" s="695" t="str">
        <f>IS!BJ7</f>
        <v>C2Q19E</v>
      </c>
      <c r="BK7" s="696" t="str">
        <f>IS!BK7</f>
        <v>C3Q19E</v>
      </c>
      <c r="BL7" s="697" t="str">
        <f>IS!BL7</f>
        <v>C4Q19E</v>
      </c>
      <c r="BM7" s="695" t="str">
        <f>IS!BM7</f>
        <v>C1Q20E</v>
      </c>
      <c r="BN7" s="695" t="str">
        <f>IS!BN7</f>
        <v>C2Q20E</v>
      </c>
      <c r="BO7" s="696" t="str">
        <f>IS!BO7</f>
        <v>C3Q20E</v>
      </c>
      <c r="BP7" s="11"/>
      <c r="BQ7" s="11"/>
      <c r="BR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27"/>
      <c r="CH7" s="708" t="str">
        <f>IS!CH7</f>
        <v>CY2005</v>
      </c>
      <c r="CI7" s="709" t="str">
        <f>IS!CI7</f>
        <v>CY2006</v>
      </c>
      <c r="CJ7" s="709" t="str">
        <f>IS!CJ7</f>
        <v>CY2007</v>
      </c>
      <c r="CK7" s="709" t="str">
        <f>IS!CK7</f>
        <v>CY2008</v>
      </c>
      <c r="CL7" s="709" t="str">
        <f>IS!CL7</f>
        <v>CY2009</v>
      </c>
      <c r="CM7" s="695" t="str">
        <f>IS!CM7</f>
        <v>CY2010</v>
      </c>
      <c r="CN7" s="709" t="str">
        <f>IS!CN7</f>
        <v>CY2011</v>
      </c>
      <c r="CO7" s="709" t="str">
        <f>IS!CO7</f>
        <v>CY2012</v>
      </c>
      <c r="CP7" s="709" t="str">
        <f>IS!CP7</f>
        <v>CY2013</v>
      </c>
      <c r="CQ7" s="709" t="str">
        <f>IS!CQ7</f>
        <v>CY2014</v>
      </c>
      <c r="CR7" s="709" t="str">
        <f>IS!CR7</f>
        <v>CY2015</v>
      </c>
      <c r="CS7" s="709" t="str">
        <f>IS!CS7</f>
        <v>CY2016</v>
      </c>
      <c r="CT7" s="709" t="str">
        <f>IS!CT7</f>
        <v>CY2017</v>
      </c>
      <c r="CU7" s="709" t="str">
        <f>IS!CU7</f>
        <v>CY2018</v>
      </c>
      <c r="CV7" s="710" t="str">
        <f>IS!CV7</f>
        <v>CY2019</v>
      </c>
      <c r="CW7" s="26"/>
    </row>
    <row r="8" spans="1:109" ht="14.25" customHeight="1">
      <c r="A8" s="8"/>
      <c r="B8" s="12" t="s">
        <v>232</v>
      </c>
      <c r="C8" s="13"/>
      <c r="D8" s="110">
        <f>IS!D8</f>
        <v>38383</v>
      </c>
      <c r="E8" s="108">
        <f>IS!E8</f>
        <v>38472</v>
      </c>
      <c r="F8" s="108">
        <f>IS!F8</f>
        <v>38564</v>
      </c>
      <c r="G8" s="109">
        <f>IS!G8</f>
        <v>38656</v>
      </c>
      <c r="H8" s="110">
        <f>IS!H8</f>
        <v>38748</v>
      </c>
      <c r="I8" s="108">
        <f>IS!I8</f>
        <v>38837</v>
      </c>
      <c r="J8" s="108">
        <f>IS!J8</f>
        <v>38929</v>
      </c>
      <c r="K8" s="109">
        <f>IS!K8</f>
        <v>39021</v>
      </c>
      <c r="L8" s="110">
        <f>IS!L8</f>
        <v>39113</v>
      </c>
      <c r="M8" s="108">
        <f>IS!M8</f>
        <v>39202</v>
      </c>
      <c r="N8" s="108">
        <f>IS!N8</f>
        <v>39294</v>
      </c>
      <c r="O8" s="109">
        <f>IS!O8</f>
        <v>39386</v>
      </c>
      <c r="P8" s="110">
        <f>IS!P8</f>
        <v>39478</v>
      </c>
      <c r="Q8" s="108">
        <f>IS!Q8</f>
        <v>39568</v>
      </c>
      <c r="R8" s="108">
        <f>IS!R8</f>
        <v>39660</v>
      </c>
      <c r="S8" s="109">
        <f>IS!S8</f>
        <v>39752</v>
      </c>
      <c r="T8" s="110">
        <f>IS!T8</f>
        <v>39844</v>
      </c>
      <c r="U8" s="108">
        <f>IS!U8</f>
        <v>39933</v>
      </c>
      <c r="V8" s="108">
        <f>IS!V8</f>
        <v>40025</v>
      </c>
      <c r="W8" s="109">
        <f>IS!W8</f>
        <v>40117</v>
      </c>
      <c r="X8" s="110">
        <f>IS!X8</f>
        <v>40209</v>
      </c>
      <c r="Y8" s="108">
        <f>IS!Y8</f>
        <v>40298</v>
      </c>
      <c r="Z8" s="108">
        <f>IS!Z8</f>
        <v>40390</v>
      </c>
      <c r="AA8" s="109">
        <f>IS!AA8</f>
        <v>40482</v>
      </c>
      <c r="AB8" s="110">
        <f>IS!AB8</f>
        <v>40574</v>
      </c>
      <c r="AC8" s="108">
        <f>IS!AC8</f>
        <v>40663</v>
      </c>
      <c r="AD8" s="108">
        <f>IS!AD8</f>
        <v>40755</v>
      </c>
      <c r="AE8" s="109">
        <f>IS!AE8</f>
        <v>40847</v>
      </c>
      <c r="AF8" s="110">
        <f>IS!AF8</f>
        <v>40939</v>
      </c>
      <c r="AG8" s="108">
        <f>IS!AG8</f>
        <v>41029</v>
      </c>
      <c r="AH8" s="108">
        <f>IS!AH8</f>
        <v>41121</v>
      </c>
      <c r="AI8" s="696">
        <f>IS!AI8</f>
        <v>41213</v>
      </c>
      <c r="AJ8" s="697">
        <f>IS!AJ8</f>
        <v>41305</v>
      </c>
      <c r="AK8" s="695">
        <f>IS!AK8</f>
        <v>41394</v>
      </c>
      <c r="AL8" s="695">
        <f>IS!AL8</f>
        <v>41486</v>
      </c>
      <c r="AM8" s="696">
        <f>IS!AM8</f>
        <v>41578</v>
      </c>
      <c r="AN8" s="697">
        <f>IS!AN8</f>
        <v>41670</v>
      </c>
      <c r="AO8" s="695">
        <f>IS!AO8</f>
        <v>41759</v>
      </c>
      <c r="AP8" s="695">
        <f>IS!AP8</f>
        <v>41851</v>
      </c>
      <c r="AQ8" s="696">
        <f>IS!AQ8</f>
        <v>41943</v>
      </c>
      <c r="AR8" s="697">
        <f>IS!AR8</f>
        <v>42035</v>
      </c>
      <c r="AS8" s="695">
        <f>IS!AS8</f>
        <v>42124</v>
      </c>
      <c r="AT8" s="695">
        <f>IS!AT8</f>
        <v>42216</v>
      </c>
      <c r="AU8" s="696">
        <f>IS!AU8</f>
        <v>42308</v>
      </c>
      <c r="AV8" s="697">
        <f>IS!AV8</f>
        <v>42400</v>
      </c>
      <c r="AW8" s="695">
        <f>IS!AW8</f>
        <v>42490</v>
      </c>
      <c r="AX8" s="695">
        <f>IS!AX8</f>
        <v>42582</v>
      </c>
      <c r="AY8" s="696">
        <f>IS!AY8</f>
        <v>42674</v>
      </c>
      <c r="AZ8" s="697">
        <f>IS!AZ8</f>
        <v>42766</v>
      </c>
      <c r="BA8" s="695">
        <f>IS!BA8</f>
        <v>42855</v>
      </c>
      <c r="BB8" s="695">
        <f>IS!BB8</f>
        <v>42947</v>
      </c>
      <c r="BC8" s="696">
        <f>IS!BC8</f>
        <v>43039</v>
      </c>
      <c r="BD8" s="697">
        <f>IS!BD8</f>
        <v>43131</v>
      </c>
      <c r="BE8" s="695">
        <f>IS!BE8</f>
        <v>43220</v>
      </c>
      <c r="BF8" s="695">
        <f>IS!BF8</f>
        <v>43312</v>
      </c>
      <c r="BG8" s="696">
        <f>IS!BG8</f>
        <v>43404</v>
      </c>
      <c r="BH8" s="697">
        <f>IS!BH8</f>
        <v>43496</v>
      </c>
      <c r="BI8" s="695">
        <f>IS!BI8</f>
        <v>43585</v>
      </c>
      <c r="BJ8" s="695">
        <f>IS!BJ8</f>
        <v>43677</v>
      </c>
      <c r="BK8" s="696">
        <f>IS!BK8</f>
        <v>43769</v>
      </c>
      <c r="BL8" s="697">
        <f>IS!BL8</f>
        <v>43861</v>
      </c>
      <c r="BM8" s="695">
        <f>IS!BM8</f>
        <v>43951</v>
      </c>
      <c r="BN8" s="695">
        <f>IS!BN8</f>
        <v>44043</v>
      </c>
      <c r="BO8" s="696">
        <f>IS!BO8</f>
        <v>44135</v>
      </c>
      <c r="BP8" s="26"/>
      <c r="BQ8" s="11"/>
      <c r="BR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27"/>
      <c r="CH8" s="697">
        <f>IS!CH8</f>
        <v>38748</v>
      </c>
      <c r="CI8" s="695">
        <f>IS!CI8</f>
        <v>39113</v>
      </c>
      <c r="CJ8" s="695">
        <f>IS!CJ8</f>
        <v>39478</v>
      </c>
      <c r="CK8" s="695">
        <f>IS!CK8</f>
        <v>39844</v>
      </c>
      <c r="CL8" s="695">
        <f>IS!CL8</f>
        <v>40209</v>
      </c>
      <c r="CM8" s="695">
        <f>IS!CM8</f>
        <v>40574</v>
      </c>
      <c r="CN8" s="695">
        <f>IS!CN8</f>
        <v>40939</v>
      </c>
      <c r="CO8" s="695">
        <f>IS!CO8</f>
        <v>41275</v>
      </c>
      <c r="CP8" s="695">
        <f>IS!CP8</f>
        <v>41640</v>
      </c>
      <c r="CQ8" s="695">
        <f>IS!CQ8</f>
        <v>42005</v>
      </c>
      <c r="CR8" s="695">
        <f>IS!CR8</f>
        <v>42370</v>
      </c>
      <c r="CS8" s="695">
        <f>IS!CS8</f>
        <v>42736</v>
      </c>
      <c r="CT8" s="695">
        <f>IS!CT8</f>
        <v>43101</v>
      </c>
      <c r="CU8" s="695">
        <f>IS!CU8</f>
        <v>43466</v>
      </c>
      <c r="CV8" s="696">
        <f>IS!CV8</f>
        <v>43831</v>
      </c>
      <c r="CW8" s="26"/>
    </row>
    <row r="9" spans="1:109" ht="14.25" customHeight="1">
      <c r="A9" s="8"/>
      <c r="B9" s="334"/>
      <c r="C9" s="199"/>
      <c r="D9" s="20" t="str">
        <f>IS!D9</f>
        <v>F1Q05A</v>
      </c>
      <c r="E9" s="21" t="str">
        <f>IS!E9</f>
        <v>F2Q05A</v>
      </c>
      <c r="F9" s="21" t="str">
        <f>IS!F9</f>
        <v>F3Q05A</v>
      </c>
      <c r="G9" s="22" t="str">
        <f>IS!G9</f>
        <v>F4Q05A</v>
      </c>
      <c r="H9" s="20" t="str">
        <f>IS!H9</f>
        <v>F1Q06A</v>
      </c>
      <c r="I9" s="21" t="str">
        <f>IS!I9</f>
        <v>F2Q06A</v>
      </c>
      <c r="J9" s="21" t="str">
        <f>IS!J9</f>
        <v>F3Q06A</v>
      </c>
      <c r="K9" s="22" t="str">
        <f>IS!K9</f>
        <v>F4Q06A</v>
      </c>
      <c r="L9" s="20" t="str">
        <f>IS!L9</f>
        <v>F1Q07A</v>
      </c>
      <c r="M9" s="21" t="str">
        <f>IS!M9</f>
        <v>F2Q07A</v>
      </c>
      <c r="N9" s="21" t="str">
        <f>IS!N9</f>
        <v>F3Q07A</v>
      </c>
      <c r="O9" s="22" t="str">
        <f>IS!O9</f>
        <v>F4Q07A</v>
      </c>
      <c r="P9" s="20" t="str">
        <f>IS!P9</f>
        <v>F1Q08A</v>
      </c>
      <c r="Q9" s="21" t="str">
        <f>IS!Q9</f>
        <v>F2Q08A</v>
      </c>
      <c r="R9" s="21" t="str">
        <f>IS!R9</f>
        <v>F3Q08A</v>
      </c>
      <c r="S9" s="22" t="str">
        <f>IS!S9</f>
        <v>F4Q08A</v>
      </c>
      <c r="T9" s="20" t="str">
        <f>IS!T9</f>
        <v>F1Q09A</v>
      </c>
      <c r="U9" s="21" t="str">
        <f>IS!U9</f>
        <v>F2Q09A</v>
      </c>
      <c r="V9" s="21" t="str">
        <f>IS!V9</f>
        <v>F3Q09A</v>
      </c>
      <c r="W9" s="22" t="str">
        <f>IS!W9</f>
        <v>F4Q09A</v>
      </c>
      <c r="X9" s="20" t="str">
        <f>IS!X9</f>
        <v>F1Q10A</v>
      </c>
      <c r="Y9" s="21" t="str">
        <f>IS!Y9</f>
        <v>F2Q10A</v>
      </c>
      <c r="Z9" s="21" t="str">
        <f>IS!Z9</f>
        <v>F3Q10A</v>
      </c>
      <c r="AA9" s="22" t="str">
        <f>IS!AA9</f>
        <v>F4Q10A</v>
      </c>
      <c r="AB9" s="20" t="str">
        <f>IS!AB9</f>
        <v>F1Q11A</v>
      </c>
      <c r="AC9" s="21" t="str">
        <f>IS!AC9</f>
        <v>F2Q11A</v>
      </c>
      <c r="AD9" s="21" t="str">
        <f>IS!AD9</f>
        <v>F3Q11A</v>
      </c>
      <c r="AE9" s="22" t="str">
        <f>IS!AE9</f>
        <v>F4Q11A</v>
      </c>
      <c r="AF9" s="20" t="str">
        <f>IS!AF9</f>
        <v>F1Q12A</v>
      </c>
      <c r="AG9" s="21" t="str">
        <f>IS!AG9</f>
        <v>F2Q12A</v>
      </c>
      <c r="AH9" s="21" t="str">
        <f>IS!AH9</f>
        <v>F3Q12A</v>
      </c>
      <c r="AI9" s="22" t="str">
        <f>IS!AI9</f>
        <v>F4Q12A</v>
      </c>
      <c r="AJ9" s="20" t="str">
        <f>IS!AJ9</f>
        <v>F1Q13A</v>
      </c>
      <c r="AK9" s="21" t="str">
        <f>IS!AK9</f>
        <v>F2Q13A</v>
      </c>
      <c r="AL9" s="21" t="str">
        <f>IS!AL9</f>
        <v>F3Q13A</v>
      </c>
      <c r="AM9" s="22" t="str">
        <f>IS!AM9</f>
        <v>F4Q13A</v>
      </c>
      <c r="AN9" s="20" t="str">
        <f>IS!AN9</f>
        <v>F1Q14A</v>
      </c>
      <c r="AO9" s="21" t="str">
        <f>IS!AO9</f>
        <v>F2Q14A</v>
      </c>
      <c r="AP9" s="21" t="str">
        <f>IS!AP9</f>
        <v>F3Q14A</v>
      </c>
      <c r="AQ9" s="22" t="str">
        <f>IS!AQ9</f>
        <v>F4Q14A</v>
      </c>
      <c r="AR9" s="20" t="str">
        <f>IS!AR9</f>
        <v>F1Q15A</v>
      </c>
      <c r="AS9" s="21" t="str">
        <f>IS!AS9</f>
        <v>F2Q15A</v>
      </c>
      <c r="AT9" s="21" t="str">
        <f>IS!AT9</f>
        <v>F3Q15A</v>
      </c>
      <c r="AU9" s="22" t="str">
        <f>IS!AU9</f>
        <v>F4Q15A</v>
      </c>
      <c r="AV9" s="20" t="str">
        <f>IS!AV9</f>
        <v>F1Q16A</v>
      </c>
      <c r="AW9" s="21" t="str">
        <f>IS!AW9</f>
        <v>F2Q16A</v>
      </c>
      <c r="AX9" s="21" t="str">
        <f>IS!AX9</f>
        <v>F3Q16A</v>
      </c>
      <c r="AY9" s="22" t="str">
        <f>IS!AY9</f>
        <v>F4Q16A</v>
      </c>
      <c r="AZ9" s="20" t="str">
        <f>IS!AZ9</f>
        <v>F1Q17A</v>
      </c>
      <c r="BA9" s="1205" t="str">
        <f>IS!BA9</f>
        <v>F2Q17A</v>
      </c>
      <c r="BB9" s="21" t="str">
        <f>IS!BB9</f>
        <v>F3Q17A</v>
      </c>
      <c r="BC9" s="22" t="str">
        <f>IS!BC9</f>
        <v>F4Q17A</v>
      </c>
      <c r="BD9" s="20" t="str">
        <f>IS!BD9</f>
        <v>F1Q18A</v>
      </c>
      <c r="BE9" s="21" t="str">
        <f>IS!BE9</f>
        <v>F2Q18E</v>
      </c>
      <c r="BF9" s="21" t="str">
        <f>IS!BF9</f>
        <v>F3Q18E</v>
      </c>
      <c r="BG9" s="22" t="str">
        <f>IS!BG9</f>
        <v>F4Q18E</v>
      </c>
      <c r="BH9" s="1204" t="str">
        <f>IS!BH9</f>
        <v>F1Q19E</v>
      </c>
      <c r="BI9" s="1205" t="str">
        <f>IS!BI9</f>
        <v>F2Q19E</v>
      </c>
      <c r="BJ9" s="1205" t="str">
        <f>IS!BJ9</f>
        <v>F3Q19E</v>
      </c>
      <c r="BK9" s="1206" t="str">
        <f>IS!BK9</f>
        <v>F4Q19E</v>
      </c>
      <c r="BL9" s="1437" t="str">
        <f>IS!BL9</f>
        <v>F1Q20E</v>
      </c>
      <c r="BM9" s="1438" t="str">
        <f>IS!BM9</f>
        <v>F2Q20E</v>
      </c>
      <c r="BN9" s="1438" t="str">
        <f>IS!BN9</f>
        <v>F3Q20E</v>
      </c>
      <c r="BO9" s="1439" t="str">
        <f>IS!BO9</f>
        <v>F4Q20E</v>
      </c>
      <c r="BP9" s="176"/>
      <c r="BQ9" s="20" t="str">
        <f>IS!BQ9</f>
        <v>FY2005A</v>
      </c>
      <c r="BR9" s="21" t="str">
        <f>IS!BR9</f>
        <v>FY2006A</v>
      </c>
      <c r="BS9" s="21" t="str">
        <f>IS!BS9</f>
        <v>FY2007A</v>
      </c>
      <c r="BT9" s="21" t="str">
        <f>IS!BT9</f>
        <v>FY2008A</v>
      </c>
      <c r="BU9" s="21" t="str">
        <f>IS!BU9</f>
        <v>FY2009A</v>
      </c>
      <c r="BV9" s="21" t="str">
        <f>IS!BV9</f>
        <v>FY2010A</v>
      </c>
      <c r="BW9" s="21" t="str">
        <f>IS!BW9</f>
        <v>FY2011A</v>
      </c>
      <c r="BX9" s="21" t="str">
        <f>IS!BX9</f>
        <v>FY2012A</v>
      </c>
      <c r="BY9" s="20" t="str">
        <f>IS!BY9</f>
        <v>FY2013A</v>
      </c>
      <c r="BZ9" s="21" t="str">
        <f>IS!BZ9</f>
        <v>FY2014A</v>
      </c>
      <c r="CA9" s="21" t="str">
        <f>IS!CA9</f>
        <v>FY2015A</v>
      </c>
      <c r="CB9" s="21" t="str">
        <f>IS!CB9</f>
        <v>FY2016A</v>
      </c>
      <c r="CC9" s="21" t="str">
        <f>IS!CC9</f>
        <v>FY2017A</v>
      </c>
      <c r="CD9" s="1438" t="str">
        <f>IS!CD9</f>
        <v>FY2018E</v>
      </c>
      <c r="CE9" s="1438" t="str">
        <f>IS!CE9</f>
        <v>FY2019E</v>
      </c>
      <c r="CF9" s="1439" t="str">
        <f>IS!CF9</f>
        <v>FY2020E</v>
      </c>
      <c r="CG9" s="176"/>
      <c r="CH9" s="705"/>
      <c r="CI9" s="706"/>
      <c r="CJ9" s="706"/>
      <c r="CK9" s="706"/>
      <c r="CL9" s="706"/>
      <c r="CM9" s="21"/>
      <c r="CN9" s="706"/>
      <c r="CO9" s="706"/>
      <c r="CP9" s="706"/>
      <c r="CQ9" s="706"/>
      <c r="CR9" s="706"/>
      <c r="CS9" s="706"/>
      <c r="CT9" s="706"/>
      <c r="CU9" s="706"/>
      <c r="CV9" s="707"/>
      <c r="CW9" s="26"/>
    </row>
    <row r="10" spans="1:109" ht="14.25" customHeight="1">
      <c r="A10" s="8"/>
      <c r="B10" s="1184" t="s">
        <v>83</v>
      </c>
      <c r="C10" s="1185"/>
      <c r="D10" s="113"/>
      <c r="E10" s="111"/>
      <c r="F10" s="111"/>
      <c r="G10" s="112"/>
      <c r="H10" s="113"/>
      <c r="I10" s="111"/>
      <c r="J10" s="111"/>
      <c r="K10" s="112"/>
      <c r="L10" s="113"/>
      <c r="M10" s="111"/>
      <c r="N10" s="111"/>
      <c r="O10" s="112"/>
      <c r="P10" s="113"/>
      <c r="Q10" s="111"/>
      <c r="R10" s="111"/>
      <c r="S10" s="112"/>
      <c r="T10" s="113"/>
      <c r="U10" s="111"/>
      <c r="V10" s="111"/>
      <c r="W10" s="112"/>
      <c r="X10" s="113"/>
      <c r="Y10" s="111"/>
      <c r="Z10" s="48"/>
      <c r="AA10" s="111"/>
      <c r="AB10" s="113"/>
      <c r="AC10" s="111"/>
      <c r="AD10" s="111"/>
      <c r="AE10" s="112"/>
      <c r="AF10" s="113"/>
      <c r="AG10" s="111"/>
      <c r="AH10" s="111"/>
      <c r="AI10" s="112"/>
      <c r="AJ10" s="113"/>
      <c r="AK10" s="111"/>
      <c r="AL10" s="111"/>
      <c r="AM10" s="112"/>
      <c r="AN10" s="113"/>
      <c r="AO10" s="111"/>
      <c r="AP10" s="111"/>
      <c r="AQ10" s="112"/>
      <c r="AR10" s="113"/>
      <c r="AS10" s="111"/>
      <c r="AT10" s="111"/>
      <c r="AU10" s="112"/>
      <c r="AV10" s="113"/>
      <c r="AW10" s="111"/>
      <c r="AX10" s="111"/>
      <c r="AY10" s="112"/>
      <c r="AZ10" s="113"/>
      <c r="BA10" s="111"/>
      <c r="BB10" s="111"/>
      <c r="BC10" s="112"/>
      <c r="BD10" s="113"/>
      <c r="BE10" s="111"/>
      <c r="BF10" s="111"/>
      <c r="BG10" s="112"/>
      <c r="BH10" s="1224"/>
      <c r="BI10" s="114"/>
      <c r="BJ10" s="114"/>
      <c r="BK10" s="112"/>
      <c r="BL10" s="1224"/>
      <c r="BM10" s="114"/>
      <c r="BN10" s="114"/>
      <c r="BO10" s="112"/>
      <c r="BP10" s="23"/>
      <c r="BQ10" s="114"/>
      <c r="BR10" s="111"/>
      <c r="BS10" s="111"/>
      <c r="BT10" s="111"/>
      <c r="BU10" s="111"/>
      <c r="BV10" s="111"/>
      <c r="BW10" s="111"/>
      <c r="BX10" s="111"/>
      <c r="BY10" s="113"/>
      <c r="BZ10" s="111"/>
      <c r="CA10" s="111"/>
      <c r="CB10" s="111"/>
      <c r="CC10" s="111"/>
      <c r="CD10" s="111"/>
      <c r="CE10" s="111"/>
      <c r="CF10" s="112"/>
      <c r="CG10" s="23"/>
      <c r="CH10" s="113"/>
      <c r="CI10" s="111"/>
      <c r="CJ10" s="111"/>
      <c r="CK10" s="111"/>
      <c r="CL10" s="111"/>
      <c r="CM10" s="111"/>
      <c r="CN10" s="111"/>
      <c r="CO10" s="111"/>
      <c r="CP10" s="111"/>
      <c r="CQ10" s="111"/>
      <c r="CR10" s="111"/>
      <c r="CS10" s="111"/>
      <c r="CT10" s="111"/>
      <c r="CU10" s="111"/>
      <c r="CV10" s="112"/>
      <c r="CW10" s="25"/>
    </row>
    <row r="11" spans="1:109" ht="14.25" customHeight="1">
      <c r="A11" s="8"/>
      <c r="B11" s="31" t="s">
        <v>84</v>
      </c>
      <c r="C11" s="32"/>
      <c r="D11" s="58">
        <v>409.33600000000001</v>
      </c>
      <c r="E11" s="48">
        <v>314.36799999999999</v>
      </c>
      <c r="F11" s="48">
        <v>248.053</v>
      </c>
      <c r="G11" s="49">
        <v>627.59100000000001</v>
      </c>
      <c r="H11" s="58">
        <v>427.85500000000002</v>
      </c>
      <c r="I11" s="48">
        <v>402.49099999999999</v>
      </c>
      <c r="J11" s="48">
        <v>523.125</v>
      </c>
      <c r="K11" s="49">
        <v>343.947</v>
      </c>
      <c r="L11" s="58">
        <v>398.54899999999998</v>
      </c>
      <c r="M11" s="48">
        <v>358.59</v>
      </c>
      <c r="N11" s="48">
        <v>393.89800000000002</v>
      </c>
      <c r="O11" s="49">
        <v>424.97199999999998</v>
      </c>
      <c r="P11" s="58">
        <v>633.08900000000006</v>
      </c>
      <c r="Q11" s="48">
        <v>414.36099999999999</v>
      </c>
      <c r="R11" s="48">
        <v>418.45600000000002</v>
      </c>
      <c r="S11" s="49">
        <v>593.59900000000005</v>
      </c>
      <c r="T11" s="58">
        <v>769.71299999999997</v>
      </c>
      <c r="U11" s="48">
        <v>676.87900000000002</v>
      </c>
      <c r="V11" s="48">
        <v>632.71500000000003</v>
      </c>
      <c r="W11" s="49">
        <v>639.72900000000004</v>
      </c>
      <c r="X11" s="48">
        <v>914.26800000000003</v>
      </c>
      <c r="Y11" s="48">
        <v>1008.372</v>
      </c>
      <c r="Z11" s="48">
        <v>993.42899999999997</v>
      </c>
      <c r="AA11" s="48">
        <v>1070</v>
      </c>
      <c r="AB11" s="58">
        <v>1570.3209999999999</v>
      </c>
      <c r="AC11" s="48">
        <v>1894.761</v>
      </c>
      <c r="AD11" s="48">
        <v>1357.8209999999999</v>
      </c>
      <c r="AE11" s="48">
        <v>1405.1</v>
      </c>
      <c r="AF11" s="58">
        <v>1097.442</v>
      </c>
      <c r="AG11" s="48">
        <v>695.06600000000003</v>
      </c>
      <c r="AH11" s="48">
        <v>462.149</v>
      </c>
      <c r="AI11" s="49">
        <v>528.83299999999997</v>
      </c>
      <c r="AJ11" s="58">
        <v>795.79700000000003</v>
      </c>
      <c r="AK11" s="48">
        <v>595.63099999999997</v>
      </c>
      <c r="AL11" s="48">
        <v>460.06799999999998</v>
      </c>
      <c r="AM11" s="49">
        <v>392.089</v>
      </c>
      <c r="AN11" s="58">
        <v>417.22699999999998</v>
      </c>
      <c r="AO11" s="48">
        <v>402.79</v>
      </c>
      <c r="AP11" s="48">
        <v>2585.4409999999998</v>
      </c>
      <c r="AQ11" s="49">
        <v>569.23299999999995</v>
      </c>
      <c r="AR11" s="58">
        <v>650.202</v>
      </c>
      <c r="AS11" s="48">
        <v>636.21600000000001</v>
      </c>
      <c r="AT11" s="48">
        <v>557.49699999999996</v>
      </c>
      <c r="AU11" s="49">
        <v>884.35299999999995</v>
      </c>
      <c r="AV11" s="58">
        <v>1470.442</v>
      </c>
      <c r="AW11" s="48">
        <v>1119.662</v>
      </c>
      <c r="AX11" s="48">
        <v>1103.67</v>
      </c>
      <c r="AY11" s="49">
        <v>921.13199999999995</v>
      </c>
      <c r="AZ11" s="58">
        <v>4987.2629999999999</v>
      </c>
      <c r="BA11" s="48">
        <f>5697.743</f>
        <v>5697.7430000000004</v>
      </c>
      <c r="BB11" s="48">
        <v>908.56899999999996</v>
      </c>
      <c r="BC11" s="49">
        <v>1047.838</v>
      </c>
      <c r="BD11" s="58">
        <v>827.55</v>
      </c>
      <c r="BE11" s="1132">
        <f>BD11+CFS!BE58</f>
        <v>1111.7053304119615</v>
      </c>
      <c r="BF11" s="1132">
        <f>BE11+CFS!BF58</f>
        <v>1520.3406509803087</v>
      </c>
      <c r="BG11" s="1133">
        <f>BF11+CFS!BG58</f>
        <v>1926.2352739750215</v>
      </c>
      <c r="BH11" s="1134">
        <f>BG11+CFS!BH58</f>
        <v>2319.3313591015026</v>
      </c>
      <c r="BI11" s="1132">
        <f>BH11+CFS!BI58</f>
        <v>2681.4838836572239</v>
      </c>
      <c r="BJ11" s="1132">
        <f>BI11+CFS!BJ58</f>
        <v>3087.1134031443271</v>
      </c>
      <c r="BK11" s="1133">
        <f>BJ11+CFS!BK58</f>
        <v>3516.5028310373932</v>
      </c>
      <c r="BL11" s="1134">
        <f>BK11+CFS!BL58</f>
        <v>3987.7089439085007</v>
      </c>
      <c r="BM11" s="1132">
        <f>BL11+CFS!BM58</f>
        <v>4407.9462268106636</v>
      </c>
      <c r="BN11" s="1132">
        <f>BM11+CFS!BN58</f>
        <v>4871.877877717603</v>
      </c>
      <c r="BO11" s="1133">
        <f>BN11+CFS!BO58</f>
        <v>5357.1166106517285</v>
      </c>
      <c r="BP11" s="23"/>
      <c r="BQ11" s="102">
        <f t="shared" ref="BQ11:BQ16" si="0">G11</f>
        <v>627.59100000000001</v>
      </c>
      <c r="BR11" s="102">
        <f t="shared" ref="BR11:BR16" si="1">K11</f>
        <v>343.947</v>
      </c>
      <c r="BS11" s="102">
        <f t="shared" ref="BS11:BS16" si="2">O11</f>
        <v>424.97199999999998</v>
      </c>
      <c r="BT11" s="102">
        <f t="shared" ref="BT11:BT16" si="3">S11</f>
        <v>593.59900000000005</v>
      </c>
      <c r="BU11" s="102">
        <f t="shared" ref="BU11:BU16" si="4">W11</f>
        <v>639.72900000000004</v>
      </c>
      <c r="BV11" s="102">
        <f t="shared" ref="BV11:BV16" si="5">AA11</f>
        <v>1070</v>
      </c>
      <c r="BW11" s="102">
        <f t="shared" ref="BW11:BW16" si="6">AE11</f>
        <v>1405.1</v>
      </c>
      <c r="BX11" s="102">
        <f t="shared" ref="BX11:BX16" si="7">AI11</f>
        <v>528.83299999999997</v>
      </c>
      <c r="BY11" s="101">
        <f t="shared" ref="BY11:BY16" si="8">AM11</f>
        <v>392.089</v>
      </c>
      <c r="BZ11" s="102">
        <f t="shared" ref="BZ11:BZ16" si="9">AQ11</f>
        <v>569.23299999999995</v>
      </c>
      <c r="CA11" s="102">
        <f t="shared" ref="CA11:CA16" si="10">AU11</f>
        <v>884.35299999999995</v>
      </c>
      <c r="CB11" s="102">
        <f t="shared" ref="CB11:CB16" si="11">AY11</f>
        <v>921.13199999999995</v>
      </c>
      <c r="CC11" s="102">
        <f t="shared" ref="CC11:CC16" si="12">BC11</f>
        <v>1047.838</v>
      </c>
      <c r="CD11" s="102">
        <f t="shared" ref="CD11:CD16" si="13">BG11</f>
        <v>1926.2352739750215</v>
      </c>
      <c r="CE11" s="102">
        <f t="shared" ref="CE11:CE16" si="14">BK11</f>
        <v>3516.5028310373932</v>
      </c>
      <c r="CF11" s="103">
        <f>BO11</f>
        <v>5357.1166106517285</v>
      </c>
      <c r="CG11" s="1075"/>
      <c r="CH11" s="101">
        <f t="shared" ref="CH11:CH16" si="15">H11</f>
        <v>427.85500000000002</v>
      </c>
      <c r="CI11" s="102">
        <f t="shared" ref="CI11:CI16" si="16">L11</f>
        <v>398.54899999999998</v>
      </c>
      <c r="CJ11" s="102">
        <f t="shared" ref="CJ11:CJ16" si="17">P11</f>
        <v>633.08900000000006</v>
      </c>
      <c r="CK11" s="102">
        <f t="shared" ref="CK11:CK16" si="18">T11</f>
        <v>769.71299999999997</v>
      </c>
      <c r="CL11" s="102">
        <f t="shared" ref="CL11:CL16" si="19">X11</f>
        <v>914.26800000000003</v>
      </c>
      <c r="CM11" s="102">
        <f t="shared" ref="CM11:CM16" si="20">AB11</f>
        <v>1570.3209999999999</v>
      </c>
      <c r="CN11" s="102">
        <f t="shared" ref="CN11:CN16" si="21">AF11</f>
        <v>1097.442</v>
      </c>
      <c r="CO11" s="102">
        <f t="shared" ref="CO11:CO16" si="22">AJ11</f>
        <v>795.79700000000003</v>
      </c>
      <c r="CP11" s="102">
        <f t="shared" ref="CP11:CP16" si="23">AN11</f>
        <v>417.22699999999998</v>
      </c>
      <c r="CQ11" s="102">
        <f t="shared" ref="CQ11:CQ16" si="24">AR11</f>
        <v>650.202</v>
      </c>
      <c r="CR11" s="102">
        <f t="shared" ref="CR11:CR16" si="25">AV11</f>
        <v>1470.442</v>
      </c>
      <c r="CS11" s="102">
        <f t="shared" ref="CS11:CS16" si="26">AZ11</f>
        <v>4987.2629999999999</v>
      </c>
      <c r="CT11" s="102">
        <f t="shared" ref="CT11:CT16" si="27">BD11</f>
        <v>827.55</v>
      </c>
      <c r="CU11" s="102">
        <f t="shared" ref="CU11:CU16" si="28">BH11</f>
        <v>2319.3313591015026</v>
      </c>
      <c r="CV11" s="103">
        <f>BL11</f>
        <v>3987.7089439085007</v>
      </c>
      <c r="CW11" s="1149"/>
      <c r="DE11" s="995"/>
    </row>
    <row r="12" spans="1:109" ht="14.25" customHeight="1">
      <c r="A12" s="8"/>
      <c r="B12" s="31" t="s">
        <v>234</v>
      </c>
      <c r="C12" s="32"/>
      <c r="D12" s="84">
        <v>2189.0360000000001</v>
      </c>
      <c r="E12" s="85">
        <v>2302.8910000000001</v>
      </c>
      <c r="F12" s="85">
        <v>2535.8330000000001</v>
      </c>
      <c r="G12" s="86">
        <v>2078.3510000000001</v>
      </c>
      <c r="H12" s="84">
        <v>2307.259</v>
      </c>
      <c r="I12" s="85">
        <v>2290.3049999999998</v>
      </c>
      <c r="J12" s="85">
        <v>1992.9359999999999</v>
      </c>
      <c r="K12" s="86">
        <v>1784.3869999999999</v>
      </c>
      <c r="L12" s="84">
        <v>1555.2719999999999</v>
      </c>
      <c r="M12" s="85">
        <v>1436.0820000000001</v>
      </c>
      <c r="N12" s="85">
        <v>889.69200000000001</v>
      </c>
      <c r="O12" s="86">
        <v>656.23500000000001</v>
      </c>
      <c r="P12" s="84">
        <v>638.67700000000002</v>
      </c>
      <c r="Q12" s="85">
        <v>770.81799999999998</v>
      </c>
      <c r="R12" s="85">
        <v>859.18799999999999</v>
      </c>
      <c r="S12" s="86">
        <v>716.08699999999999</v>
      </c>
      <c r="T12" s="84">
        <v>513.41800000000001</v>
      </c>
      <c r="U12" s="85">
        <v>608.59900000000005</v>
      </c>
      <c r="V12" s="85">
        <v>1091.729</v>
      </c>
      <c r="W12" s="86">
        <v>1176.2439999999999</v>
      </c>
      <c r="X12" s="85">
        <v>1264.6959999999999</v>
      </c>
      <c r="Y12" s="85">
        <v>1378.367</v>
      </c>
      <c r="Z12" s="85">
        <v>1514.886</v>
      </c>
      <c r="AA12" s="86">
        <v>1617.768</v>
      </c>
      <c r="AB12" s="85">
        <v>1390.7950000000001</v>
      </c>
      <c r="AC12" s="85">
        <v>1536.604</v>
      </c>
      <c r="AD12" s="85">
        <v>2156.7170000000001</v>
      </c>
      <c r="AE12" s="86">
        <v>2187.3620000000001</v>
      </c>
      <c r="AF12" s="85">
        <v>2569.9560000000001</v>
      </c>
      <c r="AG12" s="85">
        <v>3057.5590000000002</v>
      </c>
      <c r="AH12" s="85">
        <v>3302.8960000000002</v>
      </c>
      <c r="AI12" s="86">
        <v>3371.5450000000001</v>
      </c>
      <c r="AJ12" s="85">
        <v>3191.1819999999998</v>
      </c>
      <c r="AK12" s="85">
        <v>3576.51</v>
      </c>
      <c r="AL12" s="85">
        <v>3990.2249999999999</v>
      </c>
      <c r="AM12" s="86">
        <v>4290.8230000000003</v>
      </c>
      <c r="AN12" s="85">
        <v>4283.8819999999996</v>
      </c>
      <c r="AO12" s="85">
        <v>4404.4350000000004</v>
      </c>
      <c r="AP12" s="85">
        <v>2346.8180000000002</v>
      </c>
      <c r="AQ12" s="86">
        <f>2866.468-AQ11</f>
        <v>2297.2349999999997</v>
      </c>
      <c r="AR12" s="85">
        <v>2223.0789999999997</v>
      </c>
      <c r="AS12" s="85">
        <v>2438.5619999999999</v>
      </c>
      <c r="AT12" s="85">
        <v>2542.4639999999999</v>
      </c>
      <c r="AU12" s="86">
        <v>2144.5749999999998</v>
      </c>
      <c r="AV12" s="85">
        <v>2319.0259999999998</v>
      </c>
      <c r="AW12" s="85">
        <v>2634.4189999999999</v>
      </c>
      <c r="AX12" s="85">
        <v>2699.7640000000001</v>
      </c>
      <c r="AY12" s="86">
        <v>3134.6610000000001</v>
      </c>
      <c r="AZ12" s="85">
        <v>1329.8029999999999</v>
      </c>
      <c r="BA12" s="85">
        <v>490.62900000000002</v>
      </c>
      <c r="BB12" s="85">
        <v>0</v>
      </c>
      <c r="BC12" s="86">
        <v>0</v>
      </c>
      <c r="BD12" s="85">
        <v>0</v>
      </c>
      <c r="BE12" s="1135">
        <f>BD12+CFS!BE35+CFS!BE36</f>
        <v>0</v>
      </c>
      <c r="BF12" s="1135">
        <f>BE12+CFS!BF35+CFS!BF36</f>
        <v>0</v>
      </c>
      <c r="BG12" s="1136">
        <f>BF12+CFS!BG35+CFS!BG36</f>
        <v>0</v>
      </c>
      <c r="BH12" s="1137">
        <f>BG12+CFS!BH35+CFS!BH36</f>
        <v>0</v>
      </c>
      <c r="BI12" s="1135">
        <f>BH12+CFS!BI35+CFS!BI36</f>
        <v>0</v>
      </c>
      <c r="BJ12" s="1135">
        <f>BI12+CFS!BJ35+CFS!BJ36</f>
        <v>0</v>
      </c>
      <c r="BK12" s="1136">
        <f>BJ12+CFS!BK35+CFS!BK36</f>
        <v>0</v>
      </c>
      <c r="BL12" s="1137">
        <f>BK12+CFS!BL35+CFS!BL36</f>
        <v>0</v>
      </c>
      <c r="BM12" s="1135">
        <f>BL12+CFS!BM35+CFS!BM36</f>
        <v>0</v>
      </c>
      <c r="BN12" s="1135">
        <f>BM12+CFS!BN35+CFS!BN36</f>
        <v>0</v>
      </c>
      <c r="BO12" s="1136">
        <f>BN12+CFS!BO35+CFS!BO36</f>
        <v>0</v>
      </c>
      <c r="BP12" s="115"/>
      <c r="BQ12" s="82">
        <f t="shared" si="0"/>
        <v>2078.3510000000001</v>
      </c>
      <c r="BR12" s="82">
        <f t="shared" si="1"/>
        <v>1784.3869999999999</v>
      </c>
      <c r="BS12" s="82">
        <f t="shared" si="2"/>
        <v>656.23500000000001</v>
      </c>
      <c r="BT12" s="82">
        <f t="shared" si="3"/>
        <v>716.08699999999999</v>
      </c>
      <c r="BU12" s="82">
        <f t="shared" si="4"/>
        <v>1176.2439999999999</v>
      </c>
      <c r="BV12" s="82">
        <f t="shared" si="5"/>
        <v>1617.768</v>
      </c>
      <c r="BW12" s="82">
        <f t="shared" si="6"/>
        <v>2187.3620000000001</v>
      </c>
      <c r="BX12" s="82">
        <f t="shared" si="7"/>
        <v>3371.5450000000001</v>
      </c>
      <c r="BY12" s="81">
        <f t="shared" si="8"/>
        <v>4290.8230000000003</v>
      </c>
      <c r="BZ12" s="82">
        <f t="shared" si="9"/>
        <v>2297.2349999999997</v>
      </c>
      <c r="CA12" s="82">
        <f t="shared" si="10"/>
        <v>2144.5749999999998</v>
      </c>
      <c r="CB12" s="82">
        <f t="shared" si="11"/>
        <v>3134.6610000000001</v>
      </c>
      <c r="CC12" s="82">
        <f t="shared" si="12"/>
        <v>0</v>
      </c>
      <c r="CD12" s="82">
        <f t="shared" si="13"/>
        <v>0</v>
      </c>
      <c r="CE12" s="82">
        <f t="shared" si="14"/>
        <v>0</v>
      </c>
      <c r="CF12" s="83">
        <f t="shared" ref="CF12:CF16" si="29">BO12</f>
        <v>0</v>
      </c>
      <c r="CG12" s="1075"/>
      <c r="CH12" s="81">
        <f t="shared" si="15"/>
        <v>2307.259</v>
      </c>
      <c r="CI12" s="82">
        <f t="shared" si="16"/>
        <v>1555.2719999999999</v>
      </c>
      <c r="CJ12" s="82">
        <f t="shared" si="17"/>
        <v>638.67700000000002</v>
      </c>
      <c r="CK12" s="82">
        <f t="shared" si="18"/>
        <v>513.41800000000001</v>
      </c>
      <c r="CL12" s="82">
        <f t="shared" si="19"/>
        <v>1264.6959999999999</v>
      </c>
      <c r="CM12" s="82">
        <f t="shared" si="20"/>
        <v>1390.7950000000001</v>
      </c>
      <c r="CN12" s="82">
        <f t="shared" si="21"/>
        <v>2569.9560000000001</v>
      </c>
      <c r="CO12" s="82">
        <f t="shared" si="22"/>
        <v>3191.1819999999998</v>
      </c>
      <c r="CP12" s="82">
        <f t="shared" si="23"/>
        <v>4283.8819999999996</v>
      </c>
      <c r="CQ12" s="82">
        <f t="shared" si="24"/>
        <v>2223.0789999999997</v>
      </c>
      <c r="CR12" s="82">
        <f t="shared" si="25"/>
        <v>2319.0259999999998</v>
      </c>
      <c r="CS12" s="82">
        <f t="shared" si="26"/>
        <v>1329.8029999999999</v>
      </c>
      <c r="CT12" s="82">
        <f t="shared" si="27"/>
        <v>0</v>
      </c>
      <c r="CU12" s="82">
        <f t="shared" si="28"/>
        <v>0</v>
      </c>
      <c r="CV12" s="83">
        <f t="shared" ref="CV12:CV16" si="30">BL12</f>
        <v>0</v>
      </c>
      <c r="CW12" s="1149"/>
      <c r="DE12" s="995"/>
    </row>
    <row r="13" spans="1:109" ht="14.25" customHeight="1">
      <c r="A13" s="8"/>
      <c r="B13" s="31" t="s">
        <v>85</v>
      </c>
      <c r="C13" s="32"/>
      <c r="D13" s="84">
        <v>324.03300000000002</v>
      </c>
      <c r="E13" s="85">
        <v>320.36599999999999</v>
      </c>
      <c r="F13" s="85">
        <v>296.08</v>
      </c>
      <c r="G13" s="86">
        <v>320.52300000000002</v>
      </c>
      <c r="H13" s="84">
        <v>317.73</v>
      </c>
      <c r="I13" s="85">
        <v>357.88</v>
      </c>
      <c r="J13" s="85">
        <v>359.774</v>
      </c>
      <c r="K13" s="86">
        <v>329.39299999999997</v>
      </c>
      <c r="L13" s="84">
        <v>344.78300000000002</v>
      </c>
      <c r="M13" s="85">
        <v>332.11599999999999</v>
      </c>
      <c r="N13" s="85">
        <v>350.86799999999999</v>
      </c>
      <c r="O13" s="86">
        <v>323.77699999999999</v>
      </c>
      <c r="P13" s="84">
        <v>340.08</v>
      </c>
      <c r="Q13" s="85">
        <v>332.28800000000001</v>
      </c>
      <c r="R13" s="85">
        <v>326.45600000000002</v>
      </c>
      <c r="S13" s="86">
        <v>315.29000000000002</v>
      </c>
      <c r="T13" s="84">
        <v>235.352</v>
      </c>
      <c r="U13" s="85">
        <v>228.52</v>
      </c>
      <c r="V13" s="85">
        <v>244.02500000000001</v>
      </c>
      <c r="W13" s="86">
        <v>301.036</v>
      </c>
      <c r="X13" s="85">
        <v>313.28800000000001</v>
      </c>
      <c r="Y13" s="85">
        <v>332.15699999999998</v>
      </c>
      <c r="Z13" s="85">
        <v>357.47899999999998</v>
      </c>
      <c r="AA13" s="85">
        <v>387.16899999999998</v>
      </c>
      <c r="AB13" s="84">
        <v>384.27600000000001</v>
      </c>
      <c r="AC13" s="85">
        <v>414.57900000000001</v>
      </c>
      <c r="AD13" s="85">
        <v>375.01100000000002</v>
      </c>
      <c r="AE13" s="85">
        <v>348.416</v>
      </c>
      <c r="AF13" s="84">
        <v>301.99900000000002</v>
      </c>
      <c r="AG13" s="85">
        <v>330.28199999999998</v>
      </c>
      <c r="AH13" s="85">
        <v>345.79500000000002</v>
      </c>
      <c r="AI13" s="86">
        <v>339.88099999999997</v>
      </c>
      <c r="AJ13" s="84">
        <v>329.57799999999997</v>
      </c>
      <c r="AK13" s="85">
        <v>333.92399999999998</v>
      </c>
      <c r="AL13" s="85">
        <v>345.43700000000001</v>
      </c>
      <c r="AM13" s="86">
        <v>325.14400000000001</v>
      </c>
      <c r="AN13" s="84">
        <v>328.78699999999998</v>
      </c>
      <c r="AO13" s="85">
        <v>360.84699999999998</v>
      </c>
      <c r="AP13" s="85">
        <v>394.762</v>
      </c>
      <c r="AQ13" s="86">
        <v>396.60500000000002</v>
      </c>
      <c r="AR13" s="84">
        <v>402.35</v>
      </c>
      <c r="AS13" s="85">
        <v>408.51</v>
      </c>
      <c r="AT13" s="85">
        <v>451.51100000000002</v>
      </c>
      <c r="AU13" s="86">
        <v>466.52699999999999</v>
      </c>
      <c r="AV13" s="84">
        <v>375.08699999999999</v>
      </c>
      <c r="AW13" s="85">
        <v>398.97899999999998</v>
      </c>
      <c r="AX13" s="85">
        <v>452.94400000000002</v>
      </c>
      <c r="AY13" s="86">
        <v>477.60899999999998</v>
      </c>
      <c r="AZ13" s="84">
        <v>472.51100000000002</v>
      </c>
      <c r="BA13" s="85">
        <v>630.35299999999995</v>
      </c>
      <c r="BB13" s="85">
        <v>692.55200000000002</v>
      </c>
      <c r="BC13" s="86">
        <v>688.95299999999997</v>
      </c>
      <c r="BD13" s="84">
        <v>709.76099999999997</v>
      </c>
      <c r="BE13" s="82">
        <f t="shared" ref="BE13:BG13" si="31">BE53/360*BE59*4</f>
        <v>687.21072903287757</v>
      </c>
      <c r="BF13" s="82">
        <f t="shared" si="31"/>
        <v>707.36139028020193</v>
      </c>
      <c r="BG13" s="83">
        <f t="shared" si="31"/>
        <v>730.71201742261064</v>
      </c>
      <c r="BH13" s="81">
        <f t="shared" ref="BH13:BK13" si="32">BH53/360*BH59*4</f>
        <v>708.10777779418197</v>
      </c>
      <c r="BI13" s="82">
        <f t="shared" si="32"/>
        <v>740.48161543687741</v>
      </c>
      <c r="BJ13" s="82">
        <f t="shared" si="32"/>
        <v>767.63554041273937</v>
      </c>
      <c r="BK13" s="83">
        <f t="shared" si="32"/>
        <v>799.63379230908231</v>
      </c>
      <c r="BL13" s="81">
        <f t="shared" ref="BL13:BO13" si="33">BL53/360*BL59*4</f>
        <v>758.07829998472153</v>
      </c>
      <c r="BM13" s="82">
        <f t="shared" si="33"/>
        <v>790.15782170606769</v>
      </c>
      <c r="BN13" s="82">
        <f t="shared" si="33"/>
        <v>815.09015750894685</v>
      </c>
      <c r="BO13" s="83">
        <f t="shared" si="33"/>
        <v>844.02959756999883</v>
      </c>
      <c r="BP13" s="115"/>
      <c r="BQ13" s="82">
        <f t="shared" si="0"/>
        <v>320.52300000000002</v>
      </c>
      <c r="BR13" s="82">
        <f t="shared" si="1"/>
        <v>329.39299999999997</v>
      </c>
      <c r="BS13" s="82">
        <f t="shared" si="2"/>
        <v>323.77699999999999</v>
      </c>
      <c r="BT13" s="82">
        <f t="shared" si="3"/>
        <v>315.29000000000002</v>
      </c>
      <c r="BU13" s="82">
        <f t="shared" si="4"/>
        <v>301.036</v>
      </c>
      <c r="BV13" s="82">
        <f t="shared" si="5"/>
        <v>387.16899999999998</v>
      </c>
      <c r="BW13" s="82">
        <f t="shared" si="6"/>
        <v>348.416</v>
      </c>
      <c r="BX13" s="82">
        <f t="shared" si="7"/>
        <v>339.88099999999997</v>
      </c>
      <c r="BY13" s="81">
        <f t="shared" si="8"/>
        <v>325.14400000000001</v>
      </c>
      <c r="BZ13" s="82">
        <f t="shared" si="9"/>
        <v>396.60500000000002</v>
      </c>
      <c r="CA13" s="82">
        <f t="shared" si="10"/>
        <v>466.52699999999999</v>
      </c>
      <c r="CB13" s="82">
        <f t="shared" si="11"/>
        <v>477.60899999999998</v>
      </c>
      <c r="CC13" s="82">
        <f t="shared" si="12"/>
        <v>688.95299999999997</v>
      </c>
      <c r="CD13" s="82">
        <f t="shared" si="13"/>
        <v>730.71201742261064</v>
      </c>
      <c r="CE13" s="82">
        <f t="shared" si="14"/>
        <v>799.63379230908231</v>
      </c>
      <c r="CF13" s="83">
        <f t="shared" si="29"/>
        <v>844.02959756999883</v>
      </c>
      <c r="CG13" s="1075"/>
      <c r="CH13" s="81">
        <f t="shared" si="15"/>
        <v>317.73</v>
      </c>
      <c r="CI13" s="82">
        <f t="shared" si="16"/>
        <v>344.78300000000002</v>
      </c>
      <c r="CJ13" s="82">
        <f t="shared" si="17"/>
        <v>340.08</v>
      </c>
      <c r="CK13" s="82">
        <f t="shared" si="18"/>
        <v>235.352</v>
      </c>
      <c r="CL13" s="82">
        <f t="shared" si="19"/>
        <v>313.28800000000001</v>
      </c>
      <c r="CM13" s="82">
        <f t="shared" si="20"/>
        <v>384.27600000000001</v>
      </c>
      <c r="CN13" s="82">
        <f t="shared" si="21"/>
        <v>301.99900000000002</v>
      </c>
      <c r="CO13" s="82">
        <f t="shared" si="22"/>
        <v>329.57799999999997</v>
      </c>
      <c r="CP13" s="82">
        <f t="shared" si="23"/>
        <v>328.78699999999998</v>
      </c>
      <c r="CQ13" s="82">
        <f t="shared" si="24"/>
        <v>402.35</v>
      </c>
      <c r="CR13" s="82">
        <f t="shared" si="25"/>
        <v>375.08699999999999</v>
      </c>
      <c r="CS13" s="82">
        <f t="shared" si="26"/>
        <v>472.51100000000002</v>
      </c>
      <c r="CT13" s="82">
        <f t="shared" si="27"/>
        <v>709.76099999999997</v>
      </c>
      <c r="CU13" s="82">
        <f t="shared" si="28"/>
        <v>708.10777779418197</v>
      </c>
      <c r="CV13" s="83">
        <f t="shared" si="30"/>
        <v>758.07829998472153</v>
      </c>
      <c r="CW13" s="1149"/>
      <c r="DE13" s="995"/>
    </row>
    <row r="14" spans="1:109" ht="14.25" customHeight="1">
      <c r="A14" s="8"/>
      <c r="B14" s="31" t="s">
        <v>121</v>
      </c>
      <c r="C14" s="32"/>
      <c r="D14" s="84">
        <v>353.291</v>
      </c>
      <c r="E14" s="85">
        <v>348.44600000000003</v>
      </c>
      <c r="F14" s="85">
        <v>343.68799999999999</v>
      </c>
      <c r="G14" s="86">
        <v>325.60500000000002</v>
      </c>
      <c r="H14" s="84">
        <v>337.83499999999998</v>
      </c>
      <c r="I14" s="85">
        <v>359.42</v>
      </c>
      <c r="J14" s="85">
        <v>377.43400000000003</v>
      </c>
      <c r="K14" s="86">
        <v>378.65100000000001</v>
      </c>
      <c r="L14" s="84">
        <v>385.76600000000002</v>
      </c>
      <c r="M14" s="85">
        <v>382.17700000000002</v>
      </c>
      <c r="N14" s="85">
        <v>371.77300000000002</v>
      </c>
      <c r="O14" s="86">
        <v>324.37299999999999</v>
      </c>
      <c r="P14" s="84">
        <v>330.19600000000003</v>
      </c>
      <c r="Q14" s="85">
        <v>319.42099999999999</v>
      </c>
      <c r="R14" s="85">
        <v>309.87</v>
      </c>
      <c r="S14" s="86">
        <v>314.62900000000002</v>
      </c>
      <c r="T14" s="84">
        <v>320.96699999999998</v>
      </c>
      <c r="U14" s="85">
        <v>304.834</v>
      </c>
      <c r="V14" s="85">
        <v>276.072</v>
      </c>
      <c r="W14" s="86">
        <v>253.161</v>
      </c>
      <c r="X14" s="85">
        <v>243.27500000000001</v>
      </c>
      <c r="Y14" s="85">
        <v>247.66200000000001</v>
      </c>
      <c r="Z14" s="85">
        <v>265.26600000000002</v>
      </c>
      <c r="AA14" s="85">
        <v>277.47800000000001</v>
      </c>
      <c r="AB14" s="84">
        <v>282.98</v>
      </c>
      <c r="AC14" s="85">
        <v>293.77999999999997</v>
      </c>
      <c r="AD14" s="85">
        <v>299.33199999999999</v>
      </c>
      <c r="AE14" s="85">
        <v>295.08100000000002</v>
      </c>
      <c r="AF14" s="84">
        <v>297.16000000000003</v>
      </c>
      <c r="AG14" s="85">
        <v>303.74200000000002</v>
      </c>
      <c r="AH14" s="85">
        <v>312.07900000000001</v>
      </c>
      <c r="AI14" s="86">
        <v>313.72300000000001</v>
      </c>
      <c r="AJ14" s="84">
        <v>307.26299999999998</v>
      </c>
      <c r="AK14" s="85">
        <v>298.96699999999998</v>
      </c>
      <c r="AL14" s="85">
        <v>284.34199999999998</v>
      </c>
      <c r="AM14" s="86">
        <v>283.33699999999999</v>
      </c>
      <c r="AN14" s="84">
        <v>289.935</v>
      </c>
      <c r="AO14" s="85">
        <v>298.43200000000002</v>
      </c>
      <c r="AP14" s="85">
        <v>415.09800000000001</v>
      </c>
      <c r="AQ14" s="86">
        <v>367.92700000000002</v>
      </c>
      <c r="AR14" s="84">
        <v>367.238</v>
      </c>
      <c r="AS14" s="85">
        <v>394.49400000000003</v>
      </c>
      <c r="AT14" s="85">
        <v>424.47500000000002</v>
      </c>
      <c r="AU14" s="86">
        <v>412.31400000000002</v>
      </c>
      <c r="AV14" s="84">
        <v>404.85199999999998</v>
      </c>
      <c r="AW14" s="85">
        <v>399.459</v>
      </c>
      <c r="AX14" s="85">
        <v>392.303</v>
      </c>
      <c r="AY14" s="86">
        <v>376.55500000000001</v>
      </c>
      <c r="AZ14" s="84">
        <v>365.58600000000001</v>
      </c>
      <c r="BA14" s="85">
        <v>647.85799999999995</v>
      </c>
      <c r="BB14" s="85">
        <v>519.69500000000005</v>
      </c>
      <c r="BC14" s="86">
        <v>550.81600000000003</v>
      </c>
      <c r="BD14" s="84">
        <v>559.72</v>
      </c>
      <c r="BE14" s="82">
        <f t="shared" ref="BE14:BG14" si="34">BE55/360*BE60*4</f>
        <v>533.76208496837216</v>
      </c>
      <c r="BF14" s="82">
        <f t="shared" si="34"/>
        <v>498.47092037259205</v>
      </c>
      <c r="BG14" s="83">
        <f t="shared" si="34"/>
        <v>507.36004588527339</v>
      </c>
      <c r="BH14" s="81">
        <f t="shared" ref="BH14:BK14" si="35">BH55/360*BH60*4</f>
        <v>499.58261905525148</v>
      </c>
      <c r="BI14" s="82">
        <f t="shared" si="35"/>
        <v>509.46239114429471</v>
      </c>
      <c r="BJ14" s="82">
        <f t="shared" si="35"/>
        <v>517.16838102051872</v>
      </c>
      <c r="BK14" s="83">
        <f t="shared" si="35"/>
        <v>535.76776761557767</v>
      </c>
      <c r="BL14" s="81">
        <f t="shared" ref="BL14:BO14" si="36">BL55/360*BL60*4</f>
        <v>526.54325060638928</v>
      </c>
      <c r="BM14" s="82">
        <f t="shared" si="36"/>
        <v>536.51550036276637</v>
      </c>
      <c r="BN14" s="82">
        <f t="shared" si="36"/>
        <v>543.4383828308612</v>
      </c>
      <c r="BO14" s="83">
        <f t="shared" si="36"/>
        <v>561.03865804045029</v>
      </c>
      <c r="BP14" s="115"/>
      <c r="BQ14" s="82">
        <f t="shared" si="0"/>
        <v>325.60500000000002</v>
      </c>
      <c r="BR14" s="82">
        <f t="shared" si="1"/>
        <v>378.65100000000001</v>
      </c>
      <c r="BS14" s="82">
        <f t="shared" si="2"/>
        <v>324.37299999999999</v>
      </c>
      <c r="BT14" s="82">
        <f t="shared" si="3"/>
        <v>314.62900000000002</v>
      </c>
      <c r="BU14" s="82">
        <f t="shared" si="4"/>
        <v>253.161</v>
      </c>
      <c r="BV14" s="82">
        <f t="shared" si="5"/>
        <v>277.47800000000001</v>
      </c>
      <c r="BW14" s="82">
        <f t="shared" si="6"/>
        <v>295.08100000000002</v>
      </c>
      <c r="BX14" s="82">
        <f t="shared" si="7"/>
        <v>313.72300000000001</v>
      </c>
      <c r="BY14" s="81">
        <f t="shared" si="8"/>
        <v>283.33699999999999</v>
      </c>
      <c r="BZ14" s="82">
        <f t="shared" si="9"/>
        <v>367.92700000000002</v>
      </c>
      <c r="CA14" s="82">
        <f t="shared" si="10"/>
        <v>412.31400000000002</v>
      </c>
      <c r="CB14" s="82">
        <f t="shared" si="11"/>
        <v>376.55500000000001</v>
      </c>
      <c r="CC14" s="82">
        <f t="shared" si="12"/>
        <v>550.81600000000003</v>
      </c>
      <c r="CD14" s="82">
        <f t="shared" si="13"/>
        <v>507.36004588527339</v>
      </c>
      <c r="CE14" s="82">
        <f t="shared" si="14"/>
        <v>535.76776761557767</v>
      </c>
      <c r="CF14" s="83">
        <f t="shared" si="29"/>
        <v>561.03865804045029</v>
      </c>
      <c r="CG14" s="1075"/>
      <c r="CH14" s="81">
        <f t="shared" si="15"/>
        <v>337.83499999999998</v>
      </c>
      <c r="CI14" s="82">
        <f t="shared" si="16"/>
        <v>385.76600000000002</v>
      </c>
      <c r="CJ14" s="82">
        <f t="shared" si="17"/>
        <v>330.19600000000003</v>
      </c>
      <c r="CK14" s="82">
        <f t="shared" si="18"/>
        <v>320.96699999999998</v>
      </c>
      <c r="CL14" s="82">
        <f t="shared" si="19"/>
        <v>243.27500000000001</v>
      </c>
      <c r="CM14" s="82">
        <f t="shared" si="20"/>
        <v>282.98</v>
      </c>
      <c r="CN14" s="82">
        <f t="shared" si="21"/>
        <v>297.16000000000003</v>
      </c>
      <c r="CO14" s="82">
        <f t="shared" si="22"/>
        <v>307.26299999999998</v>
      </c>
      <c r="CP14" s="82">
        <f t="shared" si="23"/>
        <v>289.935</v>
      </c>
      <c r="CQ14" s="82">
        <f t="shared" si="24"/>
        <v>367.238</v>
      </c>
      <c r="CR14" s="82">
        <f t="shared" si="25"/>
        <v>404.85199999999998</v>
      </c>
      <c r="CS14" s="82">
        <f t="shared" si="26"/>
        <v>365.58600000000001</v>
      </c>
      <c r="CT14" s="82">
        <f t="shared" si="27"/>
        <v>559.72</v>
      </c>
      <c r="CU14" s="82">
        <f t="shared" si="28"/>
        <v>499.58261905525148</v>
      </c>
      <c r="CV14" s="83">
        <f t="shared" si="30"/>
        <v>526.54325060638928</v>
      </c>
      <c r="CW14" s="1149"/>
      <c r="DE14" s="995"/>
    </row>
    <row r="15" spans="1:109" ht="14.25" customHeight="1">
      <c r="A15" s="8"/>
      <c r="B15" s="31" t="s">
        <v>235</v>
      </c>
      <c r="C15" s="32"/>
      <c r="D15" s="84">
        <v>108</v>
      </c>
      <c r="E15" s="85">
        <v>107</v>
      </c>
      <c r="F15" s="85">
        <v>108</v>
      </c>
      <c r="G15" s="86">
        <v>86.43</v>
      </c>
      <c r="H15" s="84">
        <v>82.61</v>
      </c>
      <c r="I15" s="85">
        <v>81.858000000000004</v>
      </c>
      <c r="J15" s="85">
        <v>83.977000000000004</v>
      </c>
      <c r="K15" s="86">
        <v>91.045000000000002</v>
      </c>
      <c r="L15" s="84">
        <v>77.400999999999996</v>
      </c>
      <c r="M15" s="85">
        <v>106.411</v>
      </c>
      <c r="N15" s="85">
        <v>110.67100000000001</v>
      </c>
      <c r="O15" s="86">
        <v>110.675</v>
      </c>
      <c r="P15" s="84">
        <v>79.525999999999996</v>
      </c>
      <c r="Q15" s="85">
        <v>86.064999999999998</v>
      </c>
      <c r="R15" s="85">
        <v>90.087000000000003</v>
      </c>
      <c r="S15" s="86">
        <v>102.676</v>
      </c>
      <c r="T15" s="84">
        <v>91.676000000000002</v>
      </c>
      <c r="U15" s="85">
        <v>82.924999999999997</v>
      </c>
      <c r="V15" s="85">
        <v>76.683000000000007</v>
      </c>
      <c r="W15" s="86">
        <v>78.739999999999995</v>
      </c>
      <c r="X15" s="85">
        <v>74.036000000000001</v>
      </c>
      <c r="Y15" s="85">
        <v>71.647000000000006</v>
      </c>
      <c r="Z15" s="85">
        <v>70.781999999999996</v>
      </c>
      <c r="AA15" s="86">
        <v>74.709999999999994</v>
      </c>
      <c r="AB15" s="85">
        <v>69.275000000000006</v>
      </c>
      <c r="AC15" s="85">
        <f>78.882+13.171</f>
        <v>92.052999999999997</v>
      </c>
      <c r="AD15" s="85">
        <f>83.67+24.979</f>
        <v>108.649</v>
      </c>
      <c r="AE15" s="86">
        <f>82.171+22.002</f>
        <v>104.173</v>
      </c>
      <c r="AF15" s="85">
        <f>67.591+17.838</f>
        <v>85.429000000000002</v>
      </c>
      <c r="AG15" s="85">
        <v>79.897999999999996</v>
      </c>
      <c r="AH15" s="85">
        <f>83.919+9.386</f>
        <v>93.304999999999993</v>
      </c>
      <c r="AI15" s="86">
        <f>142.203-AI16</f>
        <v>97.141999999999996</v>
      </c>
      <c r="AJ15" s="85">
        <f>84.019+49.908</f>
        <v>133.92700000000002</v>
      </c>
      <c r="AK15" s="85">
        <v>98.203999999999994</v>
      </c>
      <c r="AL15" s="85">
        <v>104.43</v>
      </c>
      <c r="AM15" s="86">
        <v>136.29900000000001</v>
      </c>
      <c r="AN15" s="85">
        <v>112.10599999999999</v>
      </c>
      <c r="AO15" s="85">
        <v>119.34699999999999</v>
      </c>
      <c r="AP15" s="85">
        <v>134.684</v>
      </c>
      <c r="AQ15" s="86">
        <v>128.934</v>
      </c>
      <c r="AR15" s="85">
        <v>96.59</v>
      </c>
      <c r="AS15" s="85">
        <v>117.05500000000001</v>
      </c>
      <c r="AT15" s="85">
        <v>126.85599999999999</v>
      </c>
      <c r="AU15" s="86">
        <v>129.24100000000001</v>
      </c>
      <c r="AV15" s="85">
        <v>0</v>
      </c>
      <c r="AW15" s="85">
        <v>0</v>
      </c>
      <c r="AX15" s="85">
        <v>0</v>
      </c>
      <c r="AY15" s="86">
        <v>0</v>
      </c>
      <c r="AZ15" s="85">
        <v>0</v>
      </c>
      <c r="BA15" s="85">
        <v>0</v>
      </c>
      <c r="BB15" s="85">
        <v>0</v>
      </c>
      <c r="BC15" s="86">
        <v>0</v>
      </c>
      <c r="BD15" s="85">
        <v>0</v>
      </c>
      <c r="BE15" s="82">
        <f t="shared" ref="BE15:BG15" si="37">BD15</f>
        <v>0</v>
      </c>
      <c r="BF15" s="82">
        <f t="shared" si="37"/>
        <v>0</v>
      </c>
      <c r="BG15" s="83">
        <f t="shared" si="37"/>
        <v>0</v>
      </c>
      <c r="BH15" s="82">
        <f t="shared" ref="BH15" si="38">BG15</f>
        <v>0</v>
      </c>
      <c r="BI15" s="82">
        <f t="shared" ref="BI15" si="39">BH15</f>
        <v>0</v>
      </c>
      <c r="BJ15" s="82">
        <f t="shared" ref="BJ15" si="40">BI15</f>
        <v>0</v>
      </c>
      <c r="BK15" s="83">
        <f t="shared" ref="BK15" si="41">BJ15</f>
        <v>0</v>
      </c>
      <c r="BL15" s="82">
        <f t="shared" ref="BL15" si="42">BK15</f>
        <v>0</v>
      </c>
      <c r="BM15" s="82">
        <f t="shared" ref="BM15" si="43">BL15</f>
        <v>0</v>
      </c>
      <c r="BN15" s="82">
        <f t="shared" ref="BN15" si="44">BM15</f>
        <v>0</v>
      </c>
      <c r="BO15" s="83">
        <f t="shared" ref="BO15" si="45">BN15</f>
        <v>0</v>
      </c>
      <c r="BP15" s="115"/>
      <c r="BQ15" s="82">
        <f t="shared" si="0"/>
        <v>86.43</v>
      </c>
      <c r="BR15" s="82">
        <f t="shared" si="1"/>
        <v>91.045000000000002</v>
      </c>
      <c r="BS15" s="82">
        <f t="shared" si="2"/>
        <v>110.675</v>
      </c>
      <c r="BT15" s="82">
        <f t="shared" si="3"/>
        <v>102.676</v>
      </c>
      <c r="BU15" s="82">
        <f t="shared" si="4"/>
        <v>78.739999999999995</v>
      </c>
      <c r="BV15" s="82">
        <f t="shared" si="5"/>
        <v>74.709999999999994</v>
      </c>
      <c r="BW15" s="82">
        <f t="shared" si="6"/>
        <v>104.173</v>
      </c>
      <c r="BX15" s="82">
        <f t="shared" si="7"/>
        <v>97.141999999999996</v>
      </c>
      <c r="BY15" s="81">
        <f t="shared" si="8"/>
        <v>136.29900000000001</v>
      </c>
      <c r="BZ15" s="82">
        <f t="shared" si="9"/>
        <v>128.934</v>
      </c>
      <c r="CA15" s="82">
        <f t="shared" si="10"/>
        <v>129.24100000000001</v>
      </c>
      <c r="CB15" s="82">
        <f t="shared" si="11"/>
        <v>0</v>
      </c>
      <c r="CC15" s="82">
        <f t="shared" si="12"/>
        <v>0</v>
      </c>
      <c r="CD15" s="82">
        <f t="shared" si="13"/>
        <v>0</v>
      </c>
      <c r="CE15" s="82">
        <f t="shared" si="14"/>
        <v>0</v>
      </c>
      <c r="CF15" s="83">
        <f t="shared" si="29"/>
        <v>0</v>
      </c>
      <c r="CG15" s="1075"/>
      <c r="CH15" s="81">
        <f t="shared" si="15"/>
        <v>82.61</v>
      </c>
      <c r="CI15" s="82">
        <f t="shared" si="16"/>
        <v>77.400999999999996</v>
      </c>
      <c r="CJ15" s="82">
        <f t="shared" si="17"/>
        <v>79.525999999999996</v>
      </c>
      <c r="CK15" s="82">
        <f t="shared" si="18"/>
        <v>91.676000000000002</v>
      </c>
      <c r="CL15" s="82">
        <f t="shared" si="19"/>
        <v>74.036000000000001</v>
      </c>
      <c r="CM15" s="82">
        <f t="shared" si="20"/>
        <v>69.275000000000006</v>
      </c>
      <c r="CN15" s="82">
        <f t="shared" si="21"/>
        <v>85.429000000000002</v>
      </c>
      <c r="CO15" s="82">
        <f t="shared" si="22"/>
        <v>133.92700000000002</v>
      </c>
      <c r="CP15" s="82">
        <f t="shared" si="23"/>
        <v>112.10599999999999</v>
      </c>
      <c r="CQ15" s="82">
        <f t="shared" si="24"/>
        <v>96.59</v>
      </c>
      <c r="CR15" s="82">
        <f t="shared" si="25"/>
        <v>0</v>
      </c>
      <c r="CS15" s="82">
        <f t="shared" si="26"/>
        <v>0</v>
      </c>
      <c r="CT15" s="82">
        <f t="shared" si="27"/>
        <v>0</v>
      </c>
      <c r="CU15" s="82">
        <f t="shared" si="28"/>
        <v>0</v>
      </c>
      <c r="CV15" s="83">
        <f t="shared" si="30"/>
        <v>0</v>
      </c>
      <c r="CW15" s="1149"/>
      <c r="DE15" s="995"/>
    </row>
    <row r="16" spans="1:109" ht="14.25" customHeight="1">
      <c r="A16" s="8"/>
      <c r="B16" s="117" t="s">
        <v>211</v>
      </c>
      <c r="C16" s="118"/>
      <c r="D16" s="84">
        <v>56.795999999999999</v>
      </c>
      <c r="E16" s="85">
        <v>53.610999999999997</v>
      </c>
      <c r="F16" s="85">
        <v>62.704000000000001</v>
      </c>
      <c r="G16" s="86">
        <f>234.376+59.58</f>
        <v>293.95600000000002</v>
      </c>
      <c r="H16" s="84">
        <f>4.158+64.534</f>
        <v>68.692000000000007</v>
      </c>
      <c r="I16" s="85">
        <f>1.042+64.48</f>
        <v>65.522000000000006</v>
      </c>
      <c r="J16" s="85">
        <f>1.063+94.619</f>
        <v>95.682000000000002</v>
      </c>
      <c r="K16" s="86">
        <f>1.109+82.77</f>
        <v>83.878999999999991</v>
      </c>
      <c r="L16" s="84">
        <f>1.11+74.31</f>
        <v>75.42</v>
      </c>
      <c r="M16" s="85">
        <f>1.178+73.166</f>
        <v>74.343999999999994</v>
      </c>
      <c r="N16" s="85">
        <f>1.181+54.331</f>
        <v>55.512</v>
      </c>
      <c r="O16" s="86">
        <f>1.233+50.13+87.457</f>
        <v>138.82</v>
      </c>
      <c r="P16" s="84">
        <f>1.164+53.811+22.862</f>
        <v>77.837000000000003</v>
      </c>
      <c r="Q16" s="85">
        <f>1.185+53.109+11.122</f>
        <v>65.415999999999997</v>
      </c>
      <c r="R16" s="85">
        <f>3.674+38.876+9.895</f>
        <v>52.444999999999993</v>
      </c>
      <c r="S16" s="86">
        <f>0.942+40.46+5.894</f>
        <v>47.295999999999999</v>
      </c>
      <c r="T16" s="84">
        <f>8.493+34.723</f>
        <v>43.216000000000001</v>
      </c>
      <c r="U16" s="85">
        <f>1.12+39.336</f>
        <v>40.455999999999996</v>
      </c>
      <c r="V16" s="85">
        <f>1.282+37.127</f>
        <v>38.409000000000006</v>
      </c>
      <c r="W16" s="86">
        <f>40.363+1.363</f>
        <v>41.725999999999999</v>
      </c>
      <c r="X16" s="85">
        <f>1.441+29.951</f>
        <v>31.391999999999999</v>
      </c>
      <c r="Y16" s="85">
        <f>1.637+38.466</f>
        <v>40.103000000000002</v>
      </c>
      <c r="Z16" s="85">
        <v>32.695999999999998</v>
      </c>
      <c r="AA16" s="85">
        <v>51.874000000000002</v>
      </c>
      <c r="AB16" s="84">
        <v>39.381999999999998</v>
      </c>
      <c r="AC16" s="85">
        <v>60.960999999999999</v>
      </c>
      <c r="AD16" s="85">
        <v>41.600999999999999</v>
      </c>
      <c r="AE16" s="85">
        <v>46.216000000000001</v>
      </c>
      <c r="AF16" s="84">
        <v>43.182000000000002</v>
      </c>
      <c r="AG16" s="85">
        <f>9.125+46.857</f>
        <v>55.981999999999999</v>
      </c>
      <c r="AH16" s="85">
        <v>45.061</v>
      </c>
      <c r="AI16" s="86">
        <f>+AH16</f>
        <v>45.061</v>
      </c>
      <c r="AJ16" s="84">
        <v>56.188000000000002</v>
      </c>
      <c r="AK16" s="85">
        <f>43.205+16.771</f>
        <v>59.975999999999999</v>
      </c>
      <c r="AL16" s="85">
        <f>10.258+49.73</f>
        <v>59.988</v>
      </c>
      <c r="AM16" s="86">
        <f>2.391+42.342</f>
        <v>44.732999999999997</v>
      </c>
      <c r="AN16" s="84">
        <f>2.363+36.659</f>
        <v>39.021999999999998</v>
      </c>
      <c r="AO16" s="85">
        <f>5.567+46.614</f>
        <v>52.180999999999997</v>
      </c>
      <c r="AP16" s="85">
        <f>43.683+3.398</f>
        <v>47.081000000000003</v>
      </c>
      <c r="AQ16" s="86">
        <f>6.633+45.319</f>
        <v>51.952000000000005</v>
      </c>
      <c r="AR16" s="84">
        <f>16.725+46.853</f>
        <v>63.578000000000003</v>
      </c>
      <c r="AS16" s="85">
        <f>1.707+49.217</f>
        <v>50.923999999999999</v>
      </c>
      <c r="AT16" s="85">
        <f>1.812+45.277</f>
        <v>47.088999999999999</v>
      </c>
      <c r="AU16" s="86">
        <f>40.597+1.941</f>
        <v>42.538000000000004</v>
      </c>
      <c r="AV16" s="84">
        <f>33.212+41.515</f>
        <v>74.727000000000004</v>
      </c>
      <c r="AW16" s="85">
        <f>22.737+52.618</f>
        <v>75.355000000000004</v>
      </c>
      <c r="AX16" s="85">
        <f>25.156+54.051</f>
        <v>79.206999999999994</v>
      </c>
      <c r="AY16" s="86">
        <v>64.906000000000006</v>
      </c>
      <c r="AZ16" s="84">
        <v>78.569999999999993</v>
      </c>
      <c r="BA16" s="85">
        <v>68.884</v>
      </c>
      <c r="BB16" s="85">
        <v>67.826999999999998</v>
      </c>
      <c r="BC16" s="86">
        <v>63.731000000000002</v>
      </c>
      <c r="BD16" s="84">
        <v>80.715000000000003</v>
      </c>
      <c r="BE16" s="82">
        <f t="shared" ref="BE16:BG16" si="46">BE57*BE59</f>
        <v>78.150552078641581</v>
      </c>
      <c r="BF16" s="82">
        <f t="shared" si="46"/>
        <v>80.442113072522304</v>
      </c>
      <c r="BG16" s="83">
        <f t="shared" si="46"/>
        <v>83.097578602185848</v>
      </c>
      <c r="BH16" s="81">
        <f t="shared" ref="BH16:BK16" si="47">BH57*BH59</f>
        <v>78.773004540266285</v>
      </c>
      <c r="BI16" s="82">
        <f t="shared" si="47"/>
        <v>82.374411754797862</v>
      </c>
      <c r="BJ16" s="82">
        <f t="shared" si="47"/>
        <v>85.395133066563119</v>
      </c>
      <c r="BK16" s="83">
        <f t="shared" si="47"/>
        <v>88.95475848087942</v>
      </c>
      <c r="BL16" s="81">
        <f t="shared" ref="BL16:BO16" si="48">BL57*BL59</f>
        <v>84.331943863961968</v>
      </c>
      <c r="BM16" s="82">
        <f t="shared" si="48"/>
        <v>87.900610088864909</v>
      </c>
      <c r="BN16" s="82">
        <f t="shared" si="48"/>
        <v>90.674192109835872</v>
      </c>
      <c r="BO16" s="83">
        <f t="shared" si="48"/>
        <v>93.893541924666764</v>
      </c>
      <c r="BP16" s="115"/>
      <c r="BQ16" s="119">
        <f t="shared" si="0"/>
        <v>293.95600000000002</v>
      </c>
      <c r="BR16" s="119">
        <f t="shared" si="1"/>
        <v>83.878999999999991</v>
      </c>
      <c r="BS16" s="119">
        <f t="shared" si="2"/>
        <v>138.82</v>
      </c>
      <c r="BT16" s="119">
        <f t="shared" si="3"/>
        <v>47.295999999999999</v>
      </c>
      <c r="BU16" s="119">
        <f t="shared" si="4"/>
        <v>41.725999999999999</v>
      </c>
      <c r="BV16" s="119">
        <f t="shared" si="5"/>
        <v>51.874000000000002</v>
      </c>
      <c r="BW16" s="119">
        <f t="shared" si="6"/>
        <v>46.216000000000001</v>
      </c>
      <c r="BX16" s="119">
        <f t="shared" si="7"/>
        <v>45.061</v>
      </c>
      <c r="BY16" s="326">
        <f t="shared" si="8"/>
        <v>44.732999999999997</v>
      </c>
      <c r="BZ16" s="119">
        <f t="shared" si="9"/>
        <v>51.952000000000005</v>
      </c>
      <c r="CA16" s="119">
        <f t="shared" si="10"/>
        <v>42.538000000000004</v>
      </c>
      <c r="CB16" s="119">
        <f t="shared" si="11"/>
        <v>64.906000000000006</v>
      </c>
      <c r="CC16" s="119">
        <f t="shared" si="12"/>
        <v>63.731000000000002</v>
      </c>
      <c r="CD16" s="119">
        <f t="shared" si="13"/>
        <v>83.097578602185848</v>
      </c>
      <c r="CE16" s="119">
        <f t="shared" si="14"/>
        <v>88.95475848087942</v>
      </c>
      <c r="CF16" s="120">
        <f t="shared" si="29"/>
        <v>93.893541924666764</v>
      </c>
      <c r="CG16" s="1075"/>
      <c r="CH16" s="326">
        <f t="shared" si="15"/>
        <v>68.692000000000007</v>
      </c>
      <c r="CI16" s="119">
        <f t="shared" si="16"/>
        <v>75.42</v>
      </c>
      <c r="CJ16" s="119">
        <f t="shared" si="17"/>
        <v>77.837000000000003</v>
      </c>
      <c r="CK16" s="119">
        <f t="shared" si="18"/>
        <v>43.216000000000001</v>
      </c>
      <c r="CL16" s="119">
        <f t="shared" si="19"/>
        <v>31.391999999999999</v>
      </c>
      <c r="CM16" s="119">
        <f t="shared" si="20"/>
        <v>39.381999999999998</v>
      </c>
      <c r="CN16" s="119">
        <f t="shared" si="21"/>
        <v>43.182000000000002</v>
      </c>
      <c r="CO16" s="119">
        <f t="shared" si="22"/>
        <v>56.188000000000002</v>
      </c>
      <c r="CP16" s="119">
        <f t="shared" si="23"/>
        <v>39.021999999999998</v>
      </c>
      <c r="CQ16" s="119">
        <f t="shared" si="24"/>
        <v>63.578000000000003</v>
      </c>
      <c r="CR16" s="119">
        <f t="shared" si="25"/>
        <v>74.727000000000004</v>
      </c>
      <c r="CS16" s="119">
        <f t="shared" si="26"/>
        <v>78.569999999999993</v>
      </c>
      <c r="CT16" s="119">
        <f t="shared" si="27"/>
        <v>80.715000000000003</v>
      </c>
      <c r="CU16" s="119">
        <f t="shared" si="28"/>
        <v>78.773004540266285</v>
      </c>
      <c r="CV16" s="120">
        <f t="shared" si="30"/>
        <v>84.331943863961968</v>
      </c>
      <c r="CW16" s="1149"/>
      <c r="DE16" s="995"/>
    </row>
    <row r="17" spans="1:109" ht="14.25" customHeight="1">
      <c r="A17" s="8"/>
      <c r="B17" s="1186" t="s">
        <v>86</v>
      </c>
      <c r="C17" s="1187"/>
      <c r="D17" s="123">
        <f t="shared" ref="D17:AA17" si="49">SUM(D11:D16)</f>
        <v>3440.4920000000002</v>
      </c>
      <c r="E17" s="121">
        <f t="shared" si="49"/>
        <v>3446.6819999999998</v>
      </c>
      <c r="F17" s="121">
        <f t="shared" si="49"/>
        <v>3594.3580000000002</v>
      </c>
      <c r="G17" s="122">
        <f t="shared" si="49"/>
        <v>3732.4560000000001</v>
      </c>
      <c r="H17" s="123">
        <f t="shared" si="49"/>
        <v>3541.9810000000002</v>
      </c>
      <c r="I17" s="121">
        <f t="shared" si="49"/>
        <v>3557.4760000000001</v>
      </c>
      <c r="J17" s="121">
        <f t="shared" si="49"/>
        <v>3432.9279999999994</v>
      </c>
      <c r="K17" s="122">
        <f t="shared" si="49"/>
        <v>3011.3019999999997</v>
      </c>
      <c r="L17" s="123">
        <f t="shared" si="49"/>
        <v>2837.1909999999998</v>
      </c>
      <c r="M17" s="121">
        <f t="shared" si="49"/>
        <v>2689.7200000000003</v>
      </c>
      <c r="N17" s="121">
        <f t="shared" si="49"/>
        <v>2172.4140000000002</v>
      </c>
      <c r="O17" s="122">
        <f t="shared" si="49"/>
        <v>1978.8519999999999</v>
      </c>
      <c r="P17" s="123">
        <f t="shared" si="49"/>
        <v>2099.4050000000002</v>
      </c>
      <c r="Q17" s="121">
        <f t="shared" si="49"/>
        <v>1988.3690000000001</v>
      </c>
      <c r="R17" s="121">
        <f t="shared" si="49"/>
        <v>2056.502</v>
      </c>
      <c r="S17" s="122">
        <f t="shared" si="49"/>
        <v>2089.5769999999998</v>
      </c>
      <c r="T17" s="123">
        <f t="shared" si="49"/>
        <v>1974.3419999999996</v>
      </c>
      <c r="U17" s="121">
        <f t="shared" si="49"/>
        <v>1942.213</v>
      </c>
      <c r="V17" s="121">
        <f t="shared" si="49"/>
        <v>2359.6330000000003</v>
      </c>
      <c r="W17" s="122">
        <f t="shared" si="49"/>
        <v>2490.636</v>
      </c>
      <c r="X17" s="121">
        <f t="shared" si="49"/>
        <v>2840.9549999999999</v>
      </c>
      <c r="Y17" s="121">
        <f t="shared" si="49"/>
        <v>3078.308</v>
      </c>
      <c r="Z17" s="121">
        <f t="shared" si="49"/>
        <v>3234.538</v>
      </c>
      <c r="AA17" s="122">
        <f t="shared" si="49"/>
        <v>3478.9989999999998</v>
      </c>
      <c r="AB17" s="123">
        <f t="shared" ref="AB17:AP17" si="50">SUM(AB11:AB16)</f>
        <v>3737.029</v>
      </c>
      <c r="AC17" s="121">
        <f t="shared" si="50"/>
        <v>4292.7380000000003</v>
      </c>
      <c r="AD17" s="121">
        <f t="shared" si="50"/>
        <v>4339.1310000000003</v>
      </c>
      <c r="AE17" s="122">
        <f t="shared" si="50"/>
        <v>4386.348</v>
      </c>
      <c r="AF17" s="123">
        <f t="shared" si="50"/>
        <v>4395.1679999999997</v>
      </c>
      <c r="AG17" s="121">
        <f t="shared" si="50"/>
        <v>4522.5290000000005</v>
      </c>
      <c r="AH17" s="121">
        <f t="shared" si="50"/>
        <v>4561.2849999999999</v>
      </c>
      <c r="AI17" s="122">
        <f t="shared" si="50"/>
        <v>4696.1849999999995</v>
      </c>
      <c r="AJ17" s="123">
        <f t="shared" si="50"/>
        <v>4813.9349999999995</v>
      </c>
      <c r="AK17" s="121">
        <f t="shared" si="50"/>
        <v>4963.2119999999995</v>
      </c>
      <c r="AL17" s="121">
        <f t="shared" si="50"/>
        <v>5244.49</v>
      </c>
      <c r="AM17" s="122">
        <f t="shared" si="50"/>
        <v>5472.4250000000002</v>
      </c>
      <c r="AN17" s="123">
        <f t="shared" si="50"/>
        <v>5470.9589999999998</v>
      </c>
      <c r="AO17" s="121">
        <f t="shared" si="50"/>
        <v>5638.0319999999992</v>
      </c>
      <c r="AP17" s="121">
        <f t="shared" si="50"/>
        <v>5923.884</v>
      </c>
      <c r="AQ17" s="122">
        <f>SUM(AQ11:AQ16)</f>
        <v>3811.8860000000004</v>
      </c>
      <c r="AR17" s="123">
        <f t="shared" ref="AR17:AU17" si="51">SUM(AR11:AR16)</f>
        <v>3803.0369999999998</v>
      </c>
      <c r="AS17" s="121">
        <f t="shared" si="51"/>
        <v>4045.7609999999995</v>
      </c>
      <c r="AT17" s="121">
        <f t="shared" si="51"/>
        <v>4149.8919999999998</v>
      </c>
      <c r="AU17" s="122">
        <f t="shared" si="51"/>
        <v>4079.5479999999998</v>
      </c>
      <c r="AV17" s="123">
        <f>SUM(AV11:AV16)</f>
        <v>4644.134</v>
      </c>
      <c r="AW17" s="121">
        <f>SUM(AW11:AW16)</f>
        <v>4627.8739999999998</v>
      </c>
      <c r="AX17" s="121">
        <f>SUM(AX11:AX16)</f>
        <v>4727.8880000000008</v>
      </c>
      <c r="AY17" s="122">
        <f t="shared" ref="AY17" si="52">SUM(AY11:AY16)</f>
        <v>4974.8630000000003</v>
      </c>
      <c r="AZ17" s="123">
        <f>SUM(AZ11:AZ16)</f>
        <v>7233.7330000000002</v>
      </c>
      <c r="BA17" s="121">
        <f t="shared" ref="BA17" si="53">SUM(BA11:BA16)</f>
        <v>7535.4670000000006</v>
      </c>
      <c r="BB17" s="121">
        <f>SUM(BB11:BB16)</f>
        <v>2188.643</v>
      </c>
      <c r="BC17" s="122">
        <f t="shared" ref="BC17" si="54">SUM(BC11:BC16)</f>
        <v>2351.3380000000002</v>
      </c>
      <c r="BD17" s="123">
        <f>SUM(BD11:BD16)</f>
        <v>2177.7460000000001</v>
      </c>
      <c r="BE17" s="121">
        <f t="shared" ref="BE17:BG17" si="55">SUM(BE11:BE16)</f>
        <v>2410.828696491853</v>
      </c>
      <c r="BF17" s="121">
        <f t="shared" si="55"/>
        <v>2806.6150747056249</v>
      </c>
      <c r="BG17" s="122">
        <f t="shared" si="55"/>
        <v>3247.4049158850917</v>
      </c>
      <c r="BH17" s="123">
        <f t="shared" ref="BH17:BK17" si="56">SUM(BH11:BH16)</f>
        <v>3605.7947604912024</v>
      </c>
      <c r="BI17" s="121">
        <f t="shared" si="56"/>
        <v>4013.8023019931939</v>
      </c>
      <c r="BJ17" s="121">
        <f t="shared" si="56"/>
        <v>4457.3124576441487</v>
      </c>
      <c r="BK17" s="122">
        <f t="shared" si="56"/>
        <v>4940.8591494429338</v>
      </c>
      <c r="BL17" s="123">
        <f t="shared" ref="BL17:BO17" si="57">SUM(BL11:BL16)</f>
        <v>5356.6624383635735</v>
      </c>
      <c r="BM17" s="121">
        <f t="shared" si="57"/>
        <v>5822.520158968362</v>
      </c>
      <c r="BN17" s="121">
        <f t="shared" si="57"/>
        <v>6321.080610167246</v>
      </c>
      <c r="BO17" s="122">
        <f t="shared" si="57"/>
        <v>6856.0784081868442</v>
      </c>
      <c r="BP17" s="115"/>
      <c r="BQ17" s="124">
        <f t="shared" ref="BQ17:BW17" si="58">SUM(BQ11:BQ16)</f>
        <v>3732.4560000000001</v>
      </c>
      <c r="BR17" s="124">
        <f t="shared" si="58"/>
        <v>3011.3019999999997</v>
      </c>
      <c r="BS17" s="124">
        <f t="shared" si="58"/>
        <v>1978.8519999999999</v>
      </c>
      <c r="BT17" s="124">
        <f t="shared" si="58"/>
        <v>2089.5769999999998</v>
      </c>
      <c r="BU17" s="124">
        <f t="shared" si="58"/>
        <v>2490.636</v>
      </c>
      <c r="BV17" s="124">
        <f t="shared" si="58"/>
        <v>3478.9989999999998</v>
      </c>
      <c r="BW17" s="124">
        <f t="shared" si="58"/>
        <v>4386.348</v>
      </c>
      <c r="BX17" s="124">
        <f t="shared" ref="BX17:CB17" si="59">SUM(BX11:BX16)</f>
        <v>4696.1849999999995</v>
      </c>
      <c r="BY17" s="135">
        <f t="shared" si="59"/>
        <v>5472.4250000000002</v>
      </c>
      <c r="BZ17" s="124">
        <f t="shared" si="59"/>
        <v>3811.8860000000004</v>
      </c>
      <c r="CA17" s="124">
        <f t="shared" si="59"/>
        <v>4079.5479999999998</v>
      </c>
      <c r="CB17" s="124">
        <f t="shared" si="59"/>
        <v>4974.8630000000003</v>
      </c>
      <c r="CC17" s="124">
        <f>SUM(CC11:CC16)</f>
        <v>2351.3380000000002</v>
      </c>
      <c r="CD17" s="124">
        <f>SUM(CD11:CD16)</f>
        <v>3247.4049158850917</v>
      </c>
      <c r="CE17" s="124">
        <f>SUM(CE11:CE16)</f>
        <v>4940.8591494429338</v>
      </c>
      <c r="CF17" s="125">
        <f>SUM(CF11:CF16)</f>
        <v>6856.0784081868442</v>
      </c>
      <c r="CG17" s="23"/>
      <c r="CH17" s="135">
        <f t="shared" ref="CH17:CN17" si="60">SUM(CH11:CH16)</f>
        <v>3541.9810000000002</v>
      </c>
      <c r="CI17" s="124">
        <f t="shared" si="60"/>
        <v>2837.1909999999998</v>
      </c>
      <c r="CJ17" s="124">
        <f t="shared" si="60"/>
        <v>2099.4050000000002</v>
      </c>
      <c r="CK17" s="124">
        <f t="shared" si="60"/>
        <v>1974.3419999999996</v>
      </c>
      <c r="CL17" s="124">
        <f t="shared" si="60"/>
        <v>2840.9549999999999</v>
      </c>
      <c r="CM17" s="124">
        <f t="shared" si="60"/>
        <v>3737.029</v>
      </c>
      <c r="CN17" s="124">
        <f t="shared" si="60"/>
        <v>4395.1679999999997</v>
      </c>
      <c r="CO17" s="124">
        <f t="shared" ref="CO17:CT17" si="61">SUM(CO11:CO16)</f>
        <v>4813.9349999999995</v>
      </c>
      <c r="CP17" s="124">
        <f t="shared" si="61"/>
        <v>5470.9589999999998</v>
      </c>
      <c r="CQ17" s="124">
        <f t="shared" si="61"/>
        <v>3803.0369999999998</v>
      </c>
      <c r="CR17" s="124">
        <f t="shared" si="61"/>
        <v>4644.134</v>
      </c>
      <c r="CS17" s="124">
        <f t="shared" si="61"/>
        <v>7233.7330000000002</v>
      </c>
      <c r="CT17" s="124">
        <f t="shared" si="61"/>
        <v>2177.7460000000001</v>
      </c>
      <c r="CU17" s="124">
        <f t="shared" ref="CU17:CV17" si="62">SUM(CU11:CU16)</f>
        <v>3605.7947604912024</v>
      </c>
      <c r="CV17" s="125">
        <f t="shared" si="62"/>
        <v>5356.6624383635735</v>
      </c>
      <c r="CW17" s="1149"/>
      <c r="DE17" s="995"/>
    </row>
    <row r="18" spans="1:109" ht="14.25" customHeight="1">
      <c r="A18" s="8"/>
      <c r="B18" s="26"/>
      <c r="C18" s="27"/>
      <c r="D18" s="84"/>
      <c r="E18" s="85"/>
      <c r="F18" s="85"/>
      <c r="G18" s="86"/>
      <c r="H18" s="84"/>
      <c r="I18" s="85"/>
      <c r="J18" s="85"/>
      <c r="K18" s="86"/>
      <c r="L18" s="84"/>
      <c r="M18" s="85"/>
      <c r="N18" s="85"/>
      <c r="O18" s="86"/>
      <c r="P18" s="84"/>
      <c r="Q18" s="85"/>
      <c r="R18" s="85"/>
      <c r="S18" s="86"/>
      <c r="T18" s="84"/>
      <c r="U18" s="85"/>
      <c r="V18" s="85"/>
      <c r="W18" s="86"/>
      <c r="X18" s="85"/>
      <c r="Y18" s="85"/>
      <c r="Z18" s="126"/>
      <c r="AA18" s="126"/>
      <c r="AB18" s="127"/>
      <c r="AC18" s="85"/>
      <c r="AD18" s="126"/>
      <c r="AE18" s="126"/>
      <c r="AF18" s="127"/>
      <c r="AG18" s="126"/>
      <c r="AH18" s="126"/>
      <c r="AI18" s="128"/>
      <c r="AJ18" s="127"/>
      <c r="AK18" s="126"/>
      <c r="AL18" s="126"/>
      <c r="AM18" s="128"/>
      <c r="AN18" s="127"/>
      <c r="AO18" s="126"/>
      <c r="AP18" s="126"/>
      <c r="AQ18" s="128"/>
      <c r="AR18" s="127"/>
      <c r="AS18" s="126"/>
      <c r="AT18" s="126"/>
      <c r="AU18" s="128"/>
      <c r="AV18" s="127"/>
      <c r="AW18" s="126"/>
      <c r="AX18" s="126"/>
      <c r="AY18" s="128"/>
      <c r="AZ18" s="127"/>
      <c r="BA18" s="126"/>
      <c r="BB18" s="126"/>
      <c r="BC18" s="128"/>
      <c r="BD18" s="127"/>
      <c r="BE18" s="126"/>
      <c r="BF18" s="126"/>
      <c r="BG18" s="128"/>
      <c r="BH18" s="127"/>
      <c r="BI18" s="126"/>
      <c r="BJ18" s="126"/>
      <c r="BK18" s="128"/>
      <c r="BL18" s="127"/>
      <c r="BM18" s="126"/>
      <c r="BN18" s="126"/>
      <c r="BO18" s="128"/>
      <c r="BP18" s="115"/>
      <c r="BQ18" s="85"/>
      <c r="BR18" s="85"/>
      <c r="BS18" s="85"/>
      <c r="BT18" s="85"/>
      <c r="BU18" s="85"/>
      <c r="BV18" s="85"/>
      <c r="BW18" s="85"/>
      <c r="BX18" s="85"/>
      <c r="BY18" s="84"/>
      <c r="BZ18" s="85"/>
      <c r="CA18" s="85"/>
      <c r="CB18" s="85"/>
      <c r="CC18" s="85"/>
      <c r="CD18" s="85"/>
      <c r="CE18" s="85"/>
      <c r="CF18" s="86"/>
      <c r="CG18" s="23"/>
      <c r="CH18" s="84"/>
      <c r="CI18" s="85"/>
      <c r="CJ18" s="85"/>
      <c r="CK18" s="85"/>
      <c r="CL18" s="85"/>
      <c r="CM18" s="85"/>
      <c r="CN18" s="85"/>
      <c r="CO18" s="85"/>
      <c r="CP18" s="85"/>
      <c r="CQ18" s="85"/>
      <c r="CR18" s="85"/>
      <c r="CS18" s="85"/>
      <c r="CT18" s="85"/>
      <c r="CU18" s="85"/>
      <c r="CV18" s="86"/>
      <c r="CW18" s="1149"/>
      <c r="DE18" s="995"/>
    </row>
    <row r="19" spans="1:109" ht="14.25" customHeight="1">
      <c r="A19" s="8"/>
      <c r="B19" s="31" t="s">
        <v>236</v>
      </c>
      <c r="C19" s="32"/>
      <c r="D19" s="84">
        <v>653.60799999999995</v>
      </c>
      <c r="E19" s="85">
        <v>636.24900000000002</v>
      </c>
      <c r="F19" s="85">
        <v>617.03800000000001</v>
      </c>
      <c r="G19" s="86">
        <v>599.90599999999995</v>
      </c>
      <c r="H19" s="84">
        <v>576.798</v>
      </c>
      <c r="I19" s="85">
        <v>561.53800000000001</v>
      </c>
      <c r="J19" s="85">
        <v>558.05399999999997</v>
      </c>
      <c r="K19" s="86">
        <v>562.625</v>
      </c>
      <c r="L19" s="84">
        <v>564.971</v>
      </c>
      <c r="M19" s="85">
        <v>569.31799999999998</v>
      </c>
      <c r="N19" s="85">
        <v>564.96</v>
      </c>
      <c r="O19" s="86">
        <v>556.07500000000005</v>
      </c>
      <c r="P19" s="84">
        <v>561.29499999999996</v>
      </c>
      <c r="Q19" s="85">
        <v>555.42999999999995</v>
      </c>
      <c r="R19" s="85">
        <v>558.31200000000001</v>
      </c>
      <c r="S19" s="86">
        <v>567.43899999999996</v>
      </c>
      <c r="T19" s="84">
        <v>537.19799999999998</v>
      </c>
      <c r="U19" s="85">
        <v>515.93700000000001</v>
      </c>
      <c r="V19" s="85">
        <v>491.56400000000002</v>
      </c>
      <c r="W19" s="86">
        <v>476.51600000000002</v>
      </c>
      <c r="X19" s="85">
        <v>464.45600000000002</v>
      </c>
      <c r="Y19" s="85">
        <v>453.34399999999999</v>
      </c>
      <c r="Z19" s="85">
        <v>463.75099999999998</v>
      </c>
      <c r="AA19" s="85">
        <v>472.66500000000002</v>
      </c>
      <c r="AB19" s="84">
        <v>468.541</v>
      </c>
      <c r="AC19" s="85">
        <v>473.66199999999998</v>
      </c>
      <c r="AD19" s="85">
        <v>481.596</v>
      </c>
      <c r="AE19" s="85">
        <v>478.839</v>
      </c>
      <c r="AF19" s="84">
        <v>475.68900000000002</v>
      </c>
      <c r="AG19" s="85">
        <v>478.959</v>
      </c>
      <c r="AH19" s="85">
        <v>490.58100000000002</v>
      </c>
      <c r="AI19" s="86">
        <v>500.86700000000002</v>
      </c>
      <c r="AJ19" s="84">
        <v>491.43099999999998</v>
      </c>
      <c r="AK19" s="85">
        <v>490.04700000000003</v>
      </c>
      <c r="AL19" s="85">
        <v>492.42099999999999</v>
      </c>
      <c r="AM19" s="86">
        <v>508.17099999999999</v>
      </c>
      <c r="AN19" s="84">
        <v>529.01</v>
      </c>
      <c r="AO19" s="85">
        <v>545.48500000000001</v>
      </c>
      <c r="AP19" s="85">
        <v>609.93700000000001</v>
      </c>
      <c r="AQ19" s="86">
        <v>622.42200000000003</v>
      </c>
      <c r="AR19" s="84">
        <v>612.47199999999998</v>
      </c>
      <c r="AS19" s="85">
        <v>629.66499999999996</v>
      </c>
      <c r="AT19" s="85">
        <v>631.26900000000001</v>
      </c>
      <c r="AU19" s="86">
        <v>644.11</v>
      </c>
      <c r="AV19" s="84">
        <v>633.36199999999997</v>
      </c>
      <c r="AW19" s="85">
        <v>626.16200000000003</v>
      </c>
      <c r="AX19" s="85">
        <v>629.09400000000005</v>
      </c>
      <c r="AY19" s="86">
        <v>636.11599999999999</v>
      </c>
      <c r="AZ19" s="84">
        <v>628.92399999999998</v>
      </c>
      <c r="BA19" s="85">
        <v>1089.319</v>
      </c>
      <c r="BB19" s="85">
        <v>1098.848</v>
      </c>
      <c r="BC19" s="86">
        <v>1107.3040000000001</v>
      </c>
      <c r="BD19" s="84">
        <v>1115.4169999999999</v>
      </c>
      <c r="BE19" s="1135">
        <f>CFS!BE74</f>
        <v>1131.2896295884852</v>
      </c>
      <c r="BF19" s="1135">
        <f>CFS!BF74</f>
        <v>1148.050793607506</v>
      </c>
      <c r="BG19" s="1136">
        <f>CFS!BG74</f>
        <v>1166.0009970208907</v>
      </c>
      <c r="BH19" s="1137">
        <f>CFS!BH74</f>
        <v>1181.3784977725054</v>
      </c>
      <c r="BI19" s="1135">
        <f>CFS!BI74</f>
        <v>1198.9040820841351</v>
      </c>
      <c r="BJ19" s="1135">
        <f>CFS!BJ74</f>
        <v>1217.9860129883618</v>
      </c>
      <c r="BK19" s="1136">
        <f>CFS!BK74</f>
        <v>1239.0776764620605</v>
      </c>
      <c r="BL19" s="1137">
        <f>CFS!BL74</f>
        <v>1254.5511689343984</v>
      </c>
      <c r="BM19" s="1135">
        <f>CFS!BM74</f>
        <v>1272.0587656993694</v>
      </c>
      <c r="BN19" s="1135">
        <f>CFS!BN74</f>
        <v>1290.8107582729981</v>
      </c>
      <c r="BO19" s="1136">
        <f>CFS!BO74</f>
        <v>1311.1780380384803</v>
      </c>
      <c r="BP19" s="115"/>
      <c r="BQ19" s="82">
        <f t="shared" ref="BQ19:BQ26" si="63">G19</f>
        <v>599.90599999999995</v>
      </c>
      <c r="BR19" s="82">
        <f t="shared" ref="BR19:BR26" si="64">K19</f>
        <v>562.625</v>
      </c>
      <c r="BS19" s="82">
        <f t="shared" ref="BS19:BS26" si="65">O19</f>
        <v>556.07500000000005</v>
      </c>
      <c r="BT19" s="82">
        <f t="shared" ref="BT19:BT26" si="66">S19</f>
        <v>567.43899999999996</v>
      </c>
      <c r="BU19" s="82">
        <f t="shared" ref="BU19:BU26" si="67">W19</f>
        <v>476.51600000000002</v>
      </c>
      <c r="BV19" s="82">
        <f t="shared" ref="BV19:BV26" si="68">AA19</f>
        <v>472.66500000000002</v>
      </c>
      <c r="BW19" s="82">
        <f t="shared" ref="BW19:BW26" si="69">AE19</f>
        <v>478.839</v>
      </c>
      <c r="BX19" s="82">
        <f t="shared" ref="BX19:BX26" si="70">AI19</f>
        <v>500.86700000000002</v>
      </c>
      <c r="BY19" s="81">
        <f t="shared" ref="BY19:BY26" si="71">AM19</f>
        <v>508.17099999999999</v>
      </c>
      <c r="BZ19" s="82">
        <f t="shared" ref="BZ19:BZ26" si="72">AQ19</f>
        <v>622.42200000000003</v>
      </c>
      <c r="CA19" s="82">
        <f t="shared" ref="CA19:CA26" si="73">AU19</f>
        <v>644.11</v>
      </c>
      <c r="CB19" s="82">
        <f t="shared" ref="CB19:CB26" si="74">AY19</f>
        <v>636.11599999999999</v>
      </c>
      <c r="CC19" s="82">
        <f>BC19</f>
        <v>1107.3040000000001</v>
      </c>
      <c r="CD19" s="82">
        <f t="shared" ref="CD19:CD26" si="75">BG19</f>
        <v>1166.0009970208907</v>
      </c>
      <c r="CE19" s="82">
        <f t="shared" ref="CE19:CE26" si="76">BK19</f>
        <v>1239.0776764620605</v>
      </c>
      <c r="CF19" s="83">
        <f t="shared" ref="CF19:CF26" si="77">BO19</f>
        <v>1311.1780380384803</v>
      </c>
      <c r="CG19" s="1075"/>
      <c r="CH19" s="81">
        <f t="shared" ref="CH19:CH26" si="78">H19</f>
        <v>576.798</v>
      </c>
      <c r="CI19" s="82">
        <f t="shared" ref="CI19:CI26" si="79">L19</f>
        <v>564.971</v>
      </c>
      <c r="CJ19" s="82">
        <f t="shared" ref="CJ19:CJ26" si="80">P19</f>
        <v>561.29499999999996</v>
      </c>
      <c r="CK19" s="82">
        <f t="shared" ref="CK19:CK26" si="81">T19</f>
        <v>537.19799999999998</v>
      </c>
      <c r="CL19" s="82">
        <f t="shared" ref="CL19:CL26" si="82">X19</f>
        <v>464.45600000000002</v>
      </c>
      <c r="CM19" s="82">
        <f t="shared" ref="CM19:CM26" si="83">AB19</f>
        <v>468.541</v>
      </c>
      <c r="CN19" s="82">
        <f t="shared" ref="CN19:CN26" si="84">AF19</f>
        <v>475.68900000000002</v>
      </c>
      <c r="CO19" s="82">
        <f t="shared" ref="CO19:CO26" si="85">AJ19</f>
        <v>491.43099999999998</v>
      </c>
      <c r="CP19" s="82">
        <f t="shared" ref="CP19:CP26" si="86">AN19</f>
        <v>529.01</v>
      </c>
      <c r="CQ19" s="82">
        <f t="shared" ref="CQ19:CQ26" si="87">AR19</f>
        <v>612.47199999999998</v>
      </c>
      <c r="CR19" s="82">
        <f t="shared" ref="CR19:CR26" si="88">AV19</f>
        <v>633.36199999999997</v>
      </c>
      <c r="CS19" s="82">
        <f t="shared" ref="CS19:CS26" si="89">AZ19</f>
        <v>628.92399999999998</v>
      </c>
      <c r="CT19" s="82">
        <f t="shared" ref="CT19:CT26" si="90">BD19</f>
        <v>1115.4169999999999</v>
      </c>
      <c r="CU19" s="82">
        <f t="shared" ref="CU19:CU26" si="91">BH19</f>
        <v>1181.3784977725054</v>
      </c>
      <c r="CV19" s="83">
        <f t="shared" ref="CV19:CV26" si="92">BL19</f>
        <v>1254.5511689343984</v>
      </c>
      <c r="CW19" s="1149"/>
      <c r="DE19" s="995"/>
    </row>
    <row r="20" spans="1:109" ht="14.25" customHeight="1">
      <c r="A20" s="8"/>
      <c r="B20" s="31" t="s">
        <v>238</v>
      </c>
      <c r="C20" s="32"/>
      <c r="D20" s="84">
        <v>315.41500000000002</v>
      </c>
      <c r="E20" s="85">
        <v>300.79599999999999</v>
      </c>
      <c r="F20" s="85">
        <v>280.601</v>
      </c>
      <c r="G20" s="86">
        <v>42.941000000000003</v>
      </c>
      <c r="H20" s="84">
        <v>27.103000000000002</v>
      </c>
      <c r="I20" s="85">
        <v>29.242000000000001</v>
      </c>
      <c r="J20" s="85">
        <v>29.202999999999999</v>
      </c>
      <c r="K20" s="86">
        <v>30.579000000000001</v>
      </c>
      <c r="L20" s="84">
        <v>31.977</v>
      </c>
      <c r="M20" s="85">
        <v>33.115000000000002</v>
      </c>
      <c r="N20" s="85">
        <v>33.936999999999998</v>
      </c>
      <c r="O20" s="86">
        <v>35.21</v>
      </c>
      <c r="P20" s="84">
        <v>34.779000000000003</v>
      </c>
      <c r="Q20" s="85">
        <v>34.793999999999997</v>
      </c>
      <c r="R20" s="85">
        <v>32.564999999999998</v>
      </c>
      <c r="S20" s="86">
        <v>31.099</v>
      </c>
      <c r="T20" s="84">
        <v>6.8170000000000002</v>
      </c>
      <c r="U20" s="85">
        <v>7.5490000000000004</v>
      </c>
      <c r="V20" s="85">
        <v>7.0780000000000003</v>
      </c>
      <c r="W20" s="86">
        <v>6.58</v>
      </c>
      <c r="X20" s="85">
        <v>7.2050000000000001</v>
      </c>
      <c r="Y20" s="85">
        <v>7.4219999999999997</v>
      </c>
      <c r="Z20" s="85">
        <v>7.9980000000000002</v>
      </c>
      <c r="AA20" s="86">
        <v>8.69</v>
      </c>
      <c r="AB20" s="85">
        <v>24.835999999999999</v>
      </c>
      <c r="AC20" s="85">
        <v>25.914000000000001</v>
      </c>
      <c r="AD20" s="85">
        <v>26.93</v>
      </c>
      <c r="AE20" s="86">
        <v>26.41</v>
      </c>
      <c r="AF20" s="85">
        <v>27.724</v>
      </c>
      <c r="AG20" s="85">
        <v>28.393000000000001</v>
      </c>
      <c r="AH20" s="85">
        <v>27.798999999999999</v>
      </c>
      <c r="AI20" s="86">
        <v>28.425999999999998</v>
      </c>
      <c r="AJ20" s="85">
        <v>28.904</v>
      </c>
      <c r="AK20" s="85">
        <v>14.862</v>
      </c>
      <c r="AL20" s="85">
        <v>16.239999999999998</v>
      </c>
      <c r="AM20" s="86">
        <v>17.364000000000001</v>
      </c>
      <c r="AN20" s="85">
        <v>18.047000000000001</v>
      </c>
      <c r="AO20" s="85">
        <v>18.867000000000001</v>
      </c>
      <c r="AP20" s="85">
        <v>20.003</v>
      </c>
      <c r="AQ20" s="86">
        <v>21.11</v>
      </c>
      <c r="AR20" s="85">
        <v>21.286000000000001</v>
      </c>
      <c r="AS20" s="85">
        <v>22.163</v>
      </c>
      <c r="AT20" s="85">
        <v>24.074999999999999</v>
      </c>
      <c r="AU20" s="86">
        <v>23.753</v>
      </c>
      <c r="AV20" s="85">
        <v>23.329000000000001</v>
      </c>
      <c r="AW20" s="85">
        <v>24.611999999999998</v>
      </c>
      <c r="AX20" s="85">
        <v>26.178000000000001</v>
      </c>
      <c r="AY20" s="86">
        <v>26.152000000000001</v>
      </c>
      <c r="AZ20" s="85">
        <v>25.699000000000002</v>
      </c>
      <c r="BA20" s="85">
        <v>27.323</v>
      </c>
      <c r="BB20" s="85">
        <v>31.506</v>
      </c>
      <c r="BC20" s="86">
        <v>32.572000000000003</v>
      </c>
      <c r="BD20" s="85">
        <f>BC20</f>
        <v>32.572000000000003</v>
      </c>
      <c r="BE20" s="82">
        <f t="shared" ref="BE20:BG20" si="93">BD20</f>
        <v>32.572000000000003</v>
      </c>
      <c r="BF20" s="82">
        <f t="shared" si="93"/>
        <v>32.572000000000003</v>
      </c>
      <c r="BG20" s="83">
        <f t="shared" si="93"/>
        <v>32.572000000000003</v>
      </c>
      <c r="BH20" s="82">
        <f t="shared" ref="BH20" si="94">BG20</f>
        <v>32.572000000000003</v>
      </c>
      <c r="BI20" s="82">
        <f t="shared" ref="BI20" si="95">BH20</f>
        <v>32.572000000000003</v>
      </c>
      <c r="BJ20" s="82">
        <f t="shared" ref="BJ20" si="96">BI20</f>
        <v>32.572000000000003</v>
      </c>
      <c r="BK20" s="83">
        <f t="shared" ref="BK20" si="97">BJ20</f>
        <v>32.572000000000003</v>
      </c>
      <c r="BL20" s="82">
        <f t="shared" ref="BL20" si="98">BK20</f>
        <v>32.572000000000003</v>
      </c>
      <c r="BM20" s="82">
        <f t="shared" ref="BM20" si="99">BL20</f>
        <v>32.572000000000003</v>
      </c>
      <c r="BN20" s="82">
        <f t="shared" ref="BN20" si="100">BM20</f>
        <v>32.572000000000003</v>
      </c>
      <c r="BO20" s="83">
        <f t="shared" ref="BO20" si="101">BN20</f>
        <v>32.572000000000003</v>
      </c>
      <c r="BP20" s="115"/>
      <c r="BQ20" s="82">
        <f t="shared" si="63"/>
        <v>42.941000000000003</v>
      </c>
      <c r="BR20" s="82">
        <f t="shared" si="64"/>
        <v>30.579000000000001</v>
      </c>
      <c r="BS20" s="82">
        <f t="shared" si="65"/>
        <v>35.21</v>
      </c>
      <c r="BT20" s="82">
        <f t="shared" si="66"/>
        <v>31.099</v>
      </c>
      <c r="BU20" s="82">
        <f t="shared" si="67"/>
        <v>6.58</v>
      </c>
      <c r="BV20" s="82">
        <f t="shared" si="68"/>
        <v>8.69</v>
      </c>
      <c r="BW20" s="82">
        <f t="shared" si="69"/>
        <v>26.41</v>
      </c>
      <c r="BX20" s="82">
        <f t="shared" si="70"/>
        <v>28.425999999999998</v>
      </c>
      <c r="BY20" s="81">
        <f t="shared" si="71"/>
        <v>17.364000000000001</v>
      </c>
      <c r="BZ20" s="82">
        <f t="shared" si="72"/>
        <v>21.11</v>
      </c>
      <c r="CA20" s="82">
        <f t="shared" si="73"/>
        <v>23.753</v>
      </c>
      <c r="CB20" s="82">
        <f t="shared" si="74"/>
        <v>26.152000000000001</v>
      </c>
      <c r="CC20" s="82">
        <f t="shared" ref="CC20:CC26" si="102">BC20</f>
        <v>32.572000000000003</v>
      </c>
      <c r="CD20" s="82">
        <f t="shared" si="75"/>
        <v>32.572000000000003</v>
      </c>
      <c r="CE20" s="82">
        <f t="shared" si="76"/>
        <v>32.572000000000003</v>
      </c>
      <c r="CF20" s="83">
        <f t="shared" si="77"/>
        <v>32.572000000000003</v>
      </c>
      <c r="CG20" s="1075"/>
      <c r="CH20" s="81">
        <f t="shared" si="78"/>
        <v>27.103000000000002</v>
      </c>
      <c r="CI20" s="82">
        <f t="shared" si="79"/>
        <v>31.977</v>
      </c>
      <c r="CJ20" s="82">
        <f t="shared" si="80"/>
        <v>34.779000000000003</v>
      </c>
      <c r="CK20" s="82">
        <f t="shared" si="81"/>
        <v>6.8170000000000002</v>
      </c>
      <c r="CL20" s="82">
        <f t="shared" si="82"/>
        <v>7.2050000000000001</v>
      </c>
      <c r="CM20" s="82">
        <f t="shared" si="83"/>
        <v>24.835999999999999</v>
      </c>
      <c r="CN20" s="82">
        <f t="shared" si="84"/>
        <v>27.724</v>
      </c>
      <c r="CO20" s="82">
        <f t="shared" si="85"/>
        <v>28.904</v>
      </c>
      <c r="CP20" s="82">
        <f t="shared" si="86"/>
        <v>18.047000000000001</v>
      </c>
      <c r="CQ20" s="82">
        <f t="shared" si="87"/>
        <v>21.286000000000001</v>
      </c>
      <c r="CR20" s="82">
        <f t="shared" si="88"/>
        <v>23.329000000000001</v>
      </c>
      <c r="CS20" s="82">
        <f t="shared" si="89"/>
        <v>25.699000000000002</v>
      </c>
      <c r="CT20" s="82">
        <f t="shared" si="90"/>
        <v>32.572000000000003</v>
      </c>
      <c r="CU20" s="82">
        <f t="shared" si="91"/>
        <v>32.572000000000003</v>
      </c>
      <c r="CV20" s="83">
        <f t="shared" si="92"/>
        <v>32.572000000000003</v>
      </c>
      <c r="CW20" s="1149"/>
      <c r="DE20" s="995"/>
    </row>
    <row r="21" spans="1:109" ht="14.25" customHeight="1">
      <c r="A21" s="8"/>
      <c r="B21" s="31" t="s">
        <v>172</v>
      </c>
      <c r="C21" s="32"/>
      <c r="D21" s="84">
        <v>0</v>
      </c>
      <c r="E21" s="85">
        <v>0</v>
      </c>
      <c r="F21" s="85">
        <v>0</v>
      </c>
      <c r="G21" s="86">
        <v>0</v>
      </c>
      <c r="H21" s="84">
        <v>0</v>
      </c>
      <c r="I21" s="85">
        <v>0</v>
      </c>
      <c r="J21" s="85">
        <v>0</v>
      </c>
      <c r="K21" s="86">
        <v>0</v>
      </c>
      <c r="L21" s="84">
        <v>0</v>
      </c>
      <c r="M21" s="85">
        <v>0</v>
      </c>
      <c r="N21" s="85">
        <v>0</v>
      </c>
      <c r="O21" s="86">
        <v>0</v>
      </c>
      <c r="P21" s="84">
        <v>0</v>
      </c>
      <c r="Q21" s="85">
        <v>0</v>
      </c>
      <c r="R21" s="85">
        <v>0</v>
      </c>
      <c r="S21" s="86">
        <v>0</v>
      </c>
      <c r="T21" s="84">
        <v>0</v>
      </c>
      <c r="U21" s="85">
        <v>0</v>
      </c>
      <c r="V21" s="85">
        <v>0</v>
      </c>
      <c r="W21" s="86">
        <v>0</v>
      </c>
      <c r="X21" s="85">
        <v>0</v>
      </c>
      <c r="Y21" s="85">
        <v>0</v>
      </c>
      <c r="Z21" s="85">
        <v>0</v>
      </c>
      <c r="AA21" s="85">
        <v>0</v>
      </c>
      <c r="AB21" s="84">
        <v>0</v>
      </c>
      <c r="AC21" s="85">
        <v>0</v>
      </c>
      <c r="AD21" s="85">
        <v>0</v>
      </c>
      <c r="AE21" s="85">
        <v>0</v>
      </c>
      <c r="AF21" s="84">
        <v>0</v>
      </c>
      <c r="AG21" s="85">
        <f>AF21+CFS!AG37</f>
        <v>0</v>
      </c>
      <c r="AH21" s="85">
        <v>0</v>
      </c>
      <c r="AI21" s="86">
        <v>0</v>
      </c>
      <c r="AJ21" s="84">
        <v>0</v>
      </c>
      <c r="AK21" s="85">
        <v>0</v>
      </c>
      <c r="AL21" s="85">
        <v>0</v>
      </c>
      <c r="AM21" s="86">
        <v>0</v>
      </c>
      <c r="AN21" s="84">
        <v>0</v>
      </c>
      <c r="AO21" s="85">
        <v>0</v>
      </c>
      <c r="AP21" s="85">
        <v>0</v>
      </c>
      <c r="AQ21" s="86">
        <v>0</v>
      </c>
      <c r="AR21" s="84">
        <v>0</v>
      </c>
      <c r="AS21" s="85">
        <v>0</v>
      </c>
      <c r="AT21" s="85">
        <v>0</v>
      </c>
      <c r="AU21" s="86">
        <v>0</v>
      </c>
      <c r="AV21" s="84">
        <v>0</v>
      </c>
      <c r="AW21" s="85">
        <v>0</v>
      </c>
      <c r="AX21" s="85">
        <v>0</v>
      </c>
      <c r="AY21" s="86">
        <v>0</v>
      </c>
      <c r="AZ21" s="84">
        <v>0</v>
      </c>
      <c r="BA21" s="85">
        <v>0</v>
      </c>
      <c r="BB21" s="85">
        <v>0</v>
      </c>
      <c r="BC21" s="86">
        <v>0</v>
      </c>
      <c r="BD21" s="84">
        <v>0</v>
      </c>
      <c r="BE21" s="82">
        <f>BD21+CFS!BE37</f>
        <v>0</v>
      </c>
      <c r="BF21" s="82">
        <f>BE21+CFS!BF37</f>
        <v>0</v>
      </c>
      <c r="BG21" s="83">
        <f>BF21+CFS!BG37</f>
        <v>0</v>
      </c>
      <c r="BH21" s="81">
        <f>BG21+CFS!BH37</f>
        <v>0</v>
      </c>
      <c r="BI21" s="82">
        <f>BH21+CFS!BI37</f>
        <v>0</v>
      </c>
      <c r="BJ21" s="82">
        <f>BI21+CFS!BJ37</f>
        <v>0</v>
      </c>
      <c r="BK21" s="83">
        <f>BJ21+CFS!BK37</f>
        <v>0</v>
      </c>
      <c r="BL21" s="81">
        <f>BK21+CFS!BL37</f>
        <v>0</v>
      </c>
      <c r="BM21" s="82">
        <f>BL21+CFS!BM37</f>
        <v>0</v>
      </c>
      <c r="BN21" s="82">
        <f>BM21+CFS!BN37</f>
        <v>0</v>
      </c>
      <c r="BO21" s="83">
        <f>BN21+CFS!BO37</f>
        <v>0</v>
      </c>
      <c r="BP21" s="115"/>
      <c r="BQ21" s="82">
        <f t="shared" si="63"/>
        <v>0</v>
      </c>
      <c r="BR21" s="82">
        <f t="shared" si="64"/>
        <v>0</v>
      </c>
      <c r="BS21" s="82">
        <f t="shared" si="65"/>
        <v>0</v>
      </c>
      <c r="BT21" s="82">
        <f t="shared" si="66"/>
        <v>0</v>
      </c>
      <c r="BU21" s="82">
        <f t="shared" si="67"/>
        <v>0</v>
      </c>
      <c r="BV21" s="82">
        <f t="shared" si="68"/>
        <v>0</v>
      </c>
      <c r="BW21" s="82">
        <f t="shared" si="69"/>
        <v>0</v>
      </c>
      <c r="BX21" s="82">
        <f t="shared" si="70"/>
        <v>0</v>
      </c>
      <c r="BY21" s="81">
        <f t="shared" si="71"/>
        <v>0</v>
      </c>
      <c r="BZ21" s="82">
        <f t="shared" si="72"/>
        <v>0</v>
      </c>
      <c r="CA21" s="82">
        <f t="shared" si="73"/>
        <v>0</v>
      </c>
      <c r="CB21" s="82">
        <f t="shared" si="74"/>
        <v>0</v>
      </c>
      <c r="CC21" s="82">
        <f t="shared" si="102"/>
        <v>0</v>
      </c>
      <c r="CD21" s="82">
        <f t="shared" si="75"/>
        <v>0</v>
      </c>
      <c r="CE21" s="82">
        <f t="shared" si="76"/>
        <v>0</v>
      </c>
      <c r="CF21" s="83">
        <f t="shared" si="77"/>
        <v>0</v>
      </c>
      <c r="CG21" s="1075"/>
      <c r="CH21" s="81">
        <f t="shared" si="78"/>
        <v>0</v>
      </c>
      <c r="CI21" s="82">
        <f t="shared" si="79"/>
        <v>0</v>
      </c>
      <c r="CJ21" s="82">
        <f t="shared" si="80"/>
        <v>0</v>
      </c>
      <c r="CK21" s="82">
        <f t="shared" si="81"/>
        <v>0</v>
      </c>
      <c r="CL21" s="82">
        <f t="shared" si="82"/>
        <v>0</v>
      </c>
      <c r="CM21" s="82">
        <f t="shared" si="83"/>
        <v>0</v>
      </c>
      <c r="CN21" s="82">
        <f t="shared" si="84"/>
        <v>0</v>
      </c>
      <c r="CO21" s="82">
        <f t="shared" si="85"/>
        <v>0</v>
      </c>
      <c r="CP21" s="82">
        <f t="shared" si="86"/>
        <v>0</v>
      </c>
      <c r="CQ21" s="82">
        <f t="shared" si="87"/>
        <v>0</v>
      </c>
      <c r="CR21" s="82">
        <f t="shared" si="88"/>
        <v>0</v>
      </c>
      <c r="CS21" s="82">
        <f t="shared" si="89"/>
        <v>0</v>
      </c>
      <c r="CT21" s="82">
        <f t="shared" si="90"/>
        <v>0</v>
      </c>
      <c r="CU21" s="82">
        <f t="shared" si="91"/>
        <v>0</v>
      </c>
      <c r="CV21" s="83">
        <f t="shared" si="92"/>
        <v>0</v>
      </c>
      <c r="CW21" s="1149"/>
      <c r="DE21" s="995"/>
    </row>
    <row r="22" spans="1:109" ht="14.25" customHeight="1">
      <c r="A22" s="8"/>
      <c r="B22" s="31" t="s">
        <v>237</v>
      </c>
      <c r="C22" s="32"/>
      <c r="D22" s="84">
        <v>3.3980000000000001</v>
      </c>
      <c r="E22" s="85">
        <v>3.01</v>
      </c>
      <c r="F22" s="85">
        <v>3.012</v>
      </c>
      <c r="G22" s="86">
        <v>2.4239999999999999</v>
      </c>
      <c r="H22" s="84">
        <v>2.1459999999999999</v>
      </c>
      <c r="I22" s="85">
        <v>1.29</v>
      </c>
      <c r="J22" s="85">
        <v>1.1140000000000001</v>
      </c>
      <c r="K22" s="86">
        <v>0.85</v>
      </c>
      <c r="L22" s="84">
        <v>0.59199999999999997</v>
      </c>
      <c r="M22" s="85">
        <v>0.52100000000000002</v>
      </c>
      <c r="N22" s="85">
        <v>0.68600000000000005</v>
      </c>
      <c r="O22" s="86">
        <v>1.6919999999999999</v>
      </c>
      <c r="P22" s="84">
        <v>0.13700000000000001</v>
      </c>
      <c r="Q22" s="85">
        <v>3.1259999999999999</v>
      </c>
      <c r="R22" s="85">
        <v>1.3169999999999999</v>
      </c>
      <c r="S22" s="86">
        <v>0.95499999999999996</v>
      </c>
      <c r="T22" s="84">
        <v>0.76100000000000001</v>
      </c>
      <c r="U22" s="85">
        <v>1.149</v>
      </c>
      <c r="V22" s="85">
        <v>1.677</v>
      </c>
      <c r="W22" s="86">
        <v>1.4850000000000001</v>
      </c>
      <c r="X22" s="85">
        <v>1.4590000000000001</v>
      </c>
      <c r="Y22" s="85">
        <v>1.64</v>
      </c>
      <c r="Z22" s="85">
        <v>1.1399999999999999</v>
      </c>
      <c r="AA22" s="86">
        <v>1.3169999999999999</v>
      </c>
      <c r="AB22" s="85">
        <v>3.2829999999999999</v>
      </c>
      <c r="AC22" s="85">
        <v>3.5609999999999999</v>
      </c>
      <c r="AD22" s="85">
        <v>3.319</v>
      </c>
      <c r="AE22" s="86">
        <v>2.9510000000000001</v>
      </c>
      <c r="AF22" s="85">
        <v>3.23</v>
      </c>
      <c r="AG22" s="85">
        <v>1.8160000000000001</v>
      </c>
      <c r="AH22" s="85">
        <v>1.8160000000000001</v>
      </c>
      <c r="AI22" s="86">
        <v>1.8160000000000001</v>
      </c>
      <c r="AJ22" s="85">
        <v>3.8159999999999998</v>
      </c>
      <c r="AK22" s="85">
        <v>3.8159999999999998</v>
      </c>
      <c r="AL22" s="85">
        <v>3.8159999999999998</v>
      </c>
      <c r="AM22" s="86">
        <v>3.8159999999999998</v>
      </c>
      <c r="AN22" s="85">
        <v>5.3159999999999998</v>
      </c>
      <c r="AO22" s="85">
        <v>11.212999999999999</v>
      </c>
      <c r="AP22" s="85">
        <v>12.019</v>
      </c>
      <c r="AQ22" s="86">
        <v>13.397</v>
      </c>
      <c r="AR22" s="85">
        <v>13.702999999999999</v>
      </c>
      <c r="AS22" s="85">
        <v>17.524000000000001</v>
      </c>
      <c r="AT22" s="85">
        <v>16.248999999999999</v>
      </c>
      <c r="AU22" s="86">
        <v>17.481999999999999</v>
      </c>
      <c r="AV22" s="85">
        <v>22.992000000000001</v>
      </c>
      <c r="AW22" s="85">
        <v>26.068000000000001</v>
      </c>
      <c r="AX22" s="85">
        <v>27.899000000000001</v>
      </c>
      <c r="AY22" s="86">
        <v>21.937000000000001</v>
      </c>
      <c r="AZ22" s="85">
        <v>22.991</v>
      </c>
      <c r="BA22" s="85">
        <v>28.492000000000001</v>
      </c>
      <c r="BB22" s="85">
        <v>28.957999999999998</v>
      </c>
      <c r="BC22" s="86">
        <f>57.41-BC20</f>
        <v>24.837999999999994</v>
      </c>
      <c r="BD22" s="85">
        <f>65.093-BD20</f>
        <v>32.521000000000001</v>
      </c>
      <c r="BE22" s="82">
        <f t="shared" ref="BE22:BG26" si="103">BD22</f>
        <v>32.521000000000001</v>
      </c>
      <c r="BF22" s="82">
        <f t="shared" si="103"/>
        <v>32.521000000000001</v>
      </c>
      <c r="BG22" s="83">
        <f t="shared" si="103"/>
        <v>32.521000000000001</v>
      </c>
      <c r="BH22" s="82">
        <f t="shared" ref="BH22:BH26" si="104">BG22</f>
        <v>32.521000000000001</v>
      </c>
      <c r="BI22" s="82">
        <f t="shared" ref="BI22:BI26" si="105">BH22</f>
        <v>32.521000000000001</v>
      </c>
      <c r="BJ22" s="82">
        <f t="shared" ref="BJ22:BJ26" si="106">BI22</f>
        <v>32.521000000000001</v>
      </c>
      <c r="BK22" s="83">
        <f t="shared" ref="BK22:BK26" si="107">BJ22</f>
        <v>32.521000000000001</v>
      </c>
      <c r="BL22" s="82">
        <f t="shared" ref="BL22:BL26" si="108">BK22</f>
        <v>32.521000000000001</v>
      </c>
      <c r="BM22" s="82">
        <f t="shared" ref="BM22:BM26" si="109">BL22</f>
        <v>32.521000000000001</v>
      </c>
      <c r="BN22" s="82">
        <f t="shared" ref="BN22:BN26" si="110">BM22</f>
        <v>32.521000000000001</v>
      </c>
      <c r="BO22" s="83">
        <f t="shared" ref="BO22:BO26" si="111">BN22</f>
        <v>32.521000000000001</v>
      </c>
      <c r="BP22" s="115"/>
      <c r="BQ22" s="82">
        <f t="shared" si="63"/>
        <v>2.4239999999999999</v>
      </c>
      <c r="BR22" s="82">
        <f t="shared" si="64"/>
        <v>0.85</v>
      </c>
      <c r="BS22" s="82">
        <f t="shared" si="65"/>
        <v>1.6919999999999999</v>
      </c>
      <c r="BT22" s="82">
        <f t="shared" si="66"/>
        <v>0.95499999999999996</v>
      </c>
      <c r="BU22" s="82">
        <f t="shared" si="67"/>
        <v>1.4850000000000001</v>
      </c>
      <c r="BV22" s="82">
        <f t="shared" si="68"/>
        <v>1.3169999999999999</v>
      </c>
      <c r="BW22" s="82">
        <f t="shared" si="69"/>
        <v>2.9510000000000001</v>
      </c>
      <c r="BX22" s="82">
        <f t="shared" si="70"/>
        <v>1.8160000000000001</v>
      </c>
      <c r="BY22" s="81">
        <f t="shared" si="71"/>
        <v>3.8159999999999998</v>
      </c>
      <c r="BZ22" s="82">
        <f t="shared" si="72"/>
        <v>13.397</v>
      </c>
      <c r="CA22" s="82">
        <f t="shared" si="73"/>
        <v>17.481999999999999</v>
      </c>
      <c r="CB22" s="82">
        <f t="shared" si="74"/>
        <v>21.937000000000001</v>
      </c>
      <c r="CC22" s="82">
        <f t="shared" si="102"/>
        <v>24.837999999999994</v>
      </c>
      <c r="CD22" s="82">
        <f t="shared" si="75"/>
        <v>32.521000000000001</v>
      </c>
      <c r="CE22" s="82">
        <f t="shared" si="76"/>
        <v>32.521000000000001</v>
      </c>
      <c r="CF22" s="83">
        <f t="shared" si="77"/>
        <v>32.521000000000001</v>
      </c>
      <c r="CG22" s="1075"/>
      <c r="CH22" s="81">
        <f t="shared" si="78"/>
        <v>2.1459999999999999</v>
      </c>
      <c r="CI22" s="82">
        <f t="shared" si="79"/>
        <v>0.59199999999999997</v>
      </c>
      <c r="CJ22" s="82">
        <f t="shared" si="80"/>
        <v>0.13700000000000001</v>
      </c>
      <c r="CK22" s="82">
        <f t="shared" si="81"/>
        <v>0.76100000000000001</v>
      </c>
      <c r="CL22" s="82">
        <f t="shared" si="82"/>
        <v>1.4590000000000001</v>
      </c>
      <c r="CM22" s="82">
        <f t="shared" si="83"/>
        <v>3.2829999999999999</v>
      </c>
      <c r="CN22" s="82">
        <f t="shared" si="84"/>
        <v>3.23</v>
      </c>
      <c r="CO22" s="82">
        <f t="shared" si="85"/>
        <v>3.8159999999999998</v>
      </c>
      <c r="CP22" s="82">
        <f t="shared" si="86"/>
        <v>5.3159999999999998</v>
      </c>
      <c r="CQ22" s="82">
        <f t="shared" si="87"/>
        <v>13.702999999999999</v>
      </c>
      <c r="CR22" s="82">
        <f t="shared" si="88"/>
        <v>22.992000000000001</v>
      </c>
      <c r="CS22" s="82">
        <f t="shared" si="89"/>
        <v>22.991</v>
      </c>
      <c r="CT22" s="82">
        <f t="shared" si="90"/>
        <v>32.521000000000001</v>
      </c>
      <c r="CU22" s="82">
        <f t="shared" si="91"/>
        <v>32.521000000000001</v>
      </c>
      <c r="CV22" s="83">
        <f t="shared" si="92"/>
        <v>32.521000000000001</v>
      </c>
      <c r="CW22" s="1149"/>
      <c r="DE22" s="995"/>
    </row>
    <row r="23" spans="1:109" ht="14.25" customHeight="1">
      <c r="A23" s="8"/>
      <c r="B23" s="31" t="s">
        <v>87</v>
      </c>
      <c r="C23" s="32"/>
      <c r="D23" s="84">
        <v>163.37299999999999</v>
      </c>
      <c r="E23" s="85">
        <v>163.37299999999999</v>
      </c>
      <c r="F23" s="85">
        <v>163.37299999999999</v>
      </c>
      <c r="G23" s="86">
        <v>163.37299999999999</v>
      </c>
      <c r="H23" s="84">
        <v>163.37299999999999</v>
      </c>
      <c r="I23" s="85">
        <v>163.37299999999999</v>
      </c>
      <c r="J23" s="85">
        <v>165.435</v>
      </c>
      <c r="K23" s="86">
        <v>256.209</v>
      </c>
      <c r="L23" s="84">
        <v>263.11599999999999</v>
      </c>
      <c r="M23" s="85">
        <v>273.27800000000002</v>
      </c>
      <c r="N23" s="85">
        <v>276.97199999999998</v>
      </c>
      <c r="O23" s="86">
        <v>279.46899999999999</v>
      </c>
      <c r="P23" s="84">
        <v>262.31599999999997</v>
      </c>
      <c r="Q23" s="85">
        <v>258.697</v>
      </c>
      <c r="R23" s="85">
        <v>260.15199999999999</v>
      </c>
      <c r="S23" s="86">
        <v>235.17500000000001</v>
      </c>
      <c r="T23" s="84">
        <v>233.45400000000001</v>
      </c>
      <c r="U23" s="85">
        <v>241.708</v>
      </c>
      <c r="V23" s="85">
        <v>247.34700000000001</v>
      </c>
      <c r="W23" s="86">
        <v>250.881</v>
      </c>
      <c r="X23" s="85">
        <v>253.51</v>
      </c>
      <c r="Y23" s="85">
        <v>255.53800000000001</v>
      </c>
      <c r="Z23" s="85">
        <v>250.834</v>
      </c>
      <c r="AA23" s="85">
        <v>255.58</v>
      </c>
      <c r="AB23" s="84">
        <v>256.24299999999999</v>
      </c>
      <c r="AC23" s="85">
        <v>260.63900000000001</v>
      </c>
      <c r="AD23" s="85">
        <v>280.86799999999999</v>
      </c>
      <c r="AE23" s="85">
        <v>275.08699999999999</v>
      </c>
      <c r="AF23" s="84">
        <v>274.13900000000001</v>
      </c>
      <c r="AG23" s="85">
        <v>280.20999999999998</v>
      </c>
      <c r="AH23" s="85">
        <v>279.363</v>
      </c>
      <c r="AI23" s="86">
        <f>312.605-AI24</f>
        <v>283.83300000000003</v>
      </c>
      <c r="AJ23" s="84">
        <v>284.36700000000002</v>
      </c>
      <c r="AK23" s="85">
        <v>282.92500000000001</v>
      </c>
      <c r="AL23" s="85">
        <v>280.59100000000001</v>
      </c>
      <c r="AM23" s="86">
        <v>284.11200000000002</v>
      </c>
      <c r="AN23" s="84">
        <v>283.16699999999997</v>
      </c>
      <c r="AO23" s="85">
        <v>287.34100000000001</v>
      </c>
      <c r="AP23" s="85">
        <v>1631.89</v>
      </c>
      <c r="AQ23" s="86">
        <v>1642.4380000000001</v>
      </c>
      <c r="AR23" s="84">
        <v>1641.7929999999999</v>
      </c>
      <c r="AS23" s="85">
        <v>1643.614</v>
      </c>
      <c r="AT23" s="85">
        <v>1640.3810000000001</v>
      </c>
      <c r="AU23" s="86">
        <v>1636.5260000000001</v>
      </c>
      <c r="AV23" s="84">
        <v>1631.2329999999999</v>
      </c>
      <c r="AW23" s="85">
        <v>1639.165</v>
      </c>
      <c r="AX23" s="85">
        <v>1639.0329999999999</v>
      </c>
      <c r="AY23" s="86">
        <v>1679.116</v>
      </c>
      <c r="AZ23" s="84">
        <v>1677.3989999999999</v>
      </c>
      <c r="BA23" s="85">
        <v>12269.501</v>
      </c>
      <c r="BB23" s="85">
        <v>12241.815000000001</v>
      </c>
      <c r="BC23" s="86">
        <v>12217.455</v>
      </c>
      <c r="BD23" s="84">
        <v>12224.141</v>
      </c>
      <c r="BE23" s="82">
        <f t="shared" si="103"/>
        <v>12224.141</v>
      </c>
      <c r="BF23" s="82">
        <f t="shared" si="103"/>
        <v>12224.141</v>
      </c>
      <c r="BG23" s="83">
        <f t="shared" si="103"/>
        <v>12224.141</v>
      </c>
      <c r="BH23" s="81">
        <f t="shared" si="104"/>
        <v>12224.141</v>
      </c>
      <c r="BI23" s="82">
        <f t="shared" si="105"/>
        <v>12224.141</v>
      </c>
      <c r="BJ23" s="82">
        <f t="shared" si="106"/>
        <v>12224.141</v>
      </c>
      <c r="BK23" s="83">
        <f t="shared" si="107"/>
        <v>12224.141</v>
      </c>
      <c r="BL23" s="81">
        <f t="shared" si="108"/>
        <v>12224.141</v>
      </c>
      <c r="BM23" s="82">
        <f t="shared" si="109"/>
        <v>12224.141</v>
      </c>
      <c r="BN23" s="82">
        <f t="shared" si="110"/>
        <v>12224.141</v>
      </c>
      <c r="BO23" s="83">
        <f t="shared" si="111"/>
        <v>12224.141</v>
      </c>
      <c r="BP23" s="115"/>
      <c r="BQ23" s="82">
        <f t="shared" si="63"/>
        <v>163.37299999999999</v>
      </c>
      <c r="BR23" s="82">
        <f t="shared" si="64"/>
        <v>256.209</v>
      </c>
      <c r="BS23" s="82">
        <f t="shared" si="65"/>
        <v>279.46899999999999</v>
      </c>
      <c r="BT23" s="82">
        <f t="shared" si="66"/>
        <v>235.17500000000001</v>
      </c>
      <c r="BU23" s="82">
        <f t="shared" si="67"/>
        <v>250.881</v>
      </c>
      <c r="BV23" s="82">
        <f t="shared" si="68"/>
        <v>255.58</v>
      </c>
      <c r="BW23" s="82">
        <f t="shared" si="69"/>
        <v>275.08699999999999</v>
      </c>
      <c r="BX23" s="82">
        <f t="shared" si="70"/>
        <v>283.83300000000003</v>
      </c>
      <c r="BY23" s="81">
        <f t="shared" si="71"/>
        <v>284.11200000000002</v>
      </c>
      <c r="BZ23" s="82">
        <f t="shared" si="72"/>
        <v>1642.4380000000001</v>
      </c>
      <c r="CA23" s="82">
        <f t="shared" si="73"/>
        <v>1636.5260000000001</v>
      </c>
      <c r="CB23" s="82">
        <f t="shared" si="74"/>
        <v>1679.116</v>
      </c>
      <c r="CC23" s="82">
        <f t="shared" si="102"/>
        <v>12217.455</v>
      </c>
      <c r="CD23" s="82">
        <f t="shared" si="75"/>
        <v>12224.141</v>
      </c>
      <c r="CE23" s="82">
        <f t="shared" si="76"/>
        <v>12224.141</v>
      </c>
      <c r="CF23" s="83">
        <f t="shared" si="77"/>
        <v>12224.141</v>
      </c>
      <c r="CG23" s="1075"/>
      <c r="CH23" s="81">
        <f t="shared" si="78"/>
        <v>163.37299999999999</v>
      </c>
      <c r="CI23" s="82">
        <f t="shared" si="79"/>
        <v>263.11599999999999</v>
      </c>
      <c r="CJ23" s="82">
        <f t="shared" si="80"/>
        <v>262.31599999999997</v>
      </c>
      <c r="CK23" s="82">
        <f t="shared" si="81"/>
        <v>233.45400000000001</v>
      </c>
      <c r="CL23" s="82">
        <f t="shared" si="82"/>
        <v>253.51</v>
      </c>
      <c r="CM23" s="82">
        <f t="shared" si="83"/>
        <v>256.24299999999999</v>
      </c>
      <c r="CN23" s="82">
        <f t="shared" si="84"/>
        <v>274.13900000000001</v>
      </c>
      <c r="CO23" s="82">
        <f t="shared" si="85"/>
        <v>284.36700000000002</v>
      </c>
      <c r="CP23" s="82">
        <f t="shared" si="86"/>
        <v>283.16699999999997</v>
      </c>
      <c r="CQ23" s="82">
        <f t="shared" si="87"/>
        <v>1641.7929999999999</v>
      </c>
      <c r="CR23" s="82">
        <f t="shared" si="88"/>
        <v>1631.2329999999999</v>
      </c>
      <c r="CS23" s="82">
        <f t="shared" si="89"/>
        <v>1677.3989999999999</v>
      </c>
      <c r="CT23" s="82">
        <f t="shared" si="90"/>
        <v>12224.141</v>
      </c>
      <c r="CU23" s="82">
        <f t="shared" si="91"/>
        <v>12224.141</v>
      </c>
      <c r="CV23" s="83">
        <f t="shared" si="92"/>
        <v>12224.141</v>
      </c>
      <c r="CW23" s="1149"/>
      <c r="DE23" s="995"/>
    </row>
    <row r="24" spans="1:109" ht="14.25" customHeight="1">
      <c r="A24" s="8"/>
      <c r="B24" s="31" t="s">
        <v>225</v>
      </c>
      <c r="C24" s="32"/>
      <c r="D24" s="84">
        <v>5.35</v>
      </c>
      <c r="E24" s="85">
        <v>4.6900000000000004</v>
      </c>
      <c r="F24" s="85">
        <v>4.0309999999999997</v>
      </c>
      <c r="G24" s="86">
        <v>4.2030000000000003</v>
      </c>
      <c r="H24" s="84">
        <v>3.8130000000000002</v>
      </c>
      <c r="I24" s="85">
        <v>3.4220000000000002</v>
      </c>
      <c r="J24" s="85">
        <v>15.497999999999999</v>
      </c>
      <c r="K24" s="86">
        <v>42.808</v>
      </c>
      <c r="L24" s="84">
        <v>39.744</v>
      </c>
      <c r="M24" s="85">
        <v>36.951999999999998</v>
      </c>
      <c r="N24" s="85">
        <v>33.893000000000001</v>
      </c>
      <c r="O24" s="86">
        <v>24.152999999999999</v>
      </c>
      <c r="P24" s="84">
        <v>21.286000000000001</v>
      </c>
      <c r="Q24" s="85">
        <v>18.518000000000001</v>
      </c>
      <c r="R24" s="85">
        <v>17.372</v>
      </c>
      <c r="S24" s="86">
        <v>12.3</v>
      </c>
      <c r="T24" s="84">
        <v>11.257999999999999</v>
      </c>
      <c r="U24" s="85">
        <v>10.095000000000001</v>
      </c>
      <c r="V24" s="85">
        <v>8.8160000000000007</v>
      </c>
      <c r="W24" s="86">
        <v>6.8550000000000004</v>
      </c>
      <c r="X24" s="85">
        <v>4.4649999999999999</v>
      </c>
      <c r="Y24" s="85">
        <v>2.58</v>
      </c>
      <c r="Z24" s="85">
        <v>1.891</v>
      </c>
      <c r="AA24" s="85">
        <v>1.343</v>
      </c>
      <c r="AB24" s="84">
        <v>0.92100000000000004</v>
      </c>
      <c r="AC24" s="85">
        <v>0.64400000000000002</v>
      </c>
      <c r="AD24" s="85">
        <v>12.475</v>
      </c>
      <c r="AE24" s="85">
        <v>12.2</v>
      </c>
      <c r="AF24" s="84">
        <v>12.2</v>
      </c>
      <c r="AG24" s="85">
        <v>28.882000000000001</v>
      </c>
      <c r="AH24" s="85">
        <v>28.827000000000002</v>
      </c>
      <c r="AI24" s="86">
        <v>28.771999999999998</v>
      </c>
      <c r="AJ24" s="84">
        <v>28.716999999999999</v>
      </c>
      <c r="AK24" s="85">
        <v>28.661999999999999</v>
      </c>
      <c r="AL24" s="85">
        <v>28.606999999999999</v>
      </c>
      <c r="AM24" s="86">
        <v>28.552</v>
      </c>
      <c r="AN24" s="84">
        <v>28.497</v>
      </c>
      <c r="AO24" s="85">
        <v>28.442</v>
      </c>
      <c r="AP24" s="85">
        <v>695.83199999999999</v>
      </c>
      <c r="AQ24" s="86">
        <v>671.40200000000004</v>
      </c>
      <c r="AR24" s="84">
        <v>646.4</v>
      </c>
      <c r="AS24" s="85">
        <v>621.27700000000004</v>
      </c>
      <c r="AT24" s="85">
        <v>601.88199999999995</v>
      </c>
      <c r="AU24" s="86">
        <v>583.51700000000005</v>
      </c>
      <c r="AV24" s="84">
        <v>564.83900000000006</v>
      </c>
      <c r="AW24" s="85">
        <v>548.37400000000002</v>
      </c>
      <c r="AX24" s="85">
        <v>529.03499999999997</v>
      </c>
      <c r="AY24" s="86">
        <v>549.36800000000005</v>
      </c>
      <c r="AZ24" s="84">
        <v>529.51599999999996</v>
      </c>
      <c r="BA24" s="85">
        <v>5587.8620000000001</v>
      </c>
      <c r="BB24" s="85">
        <v>5440.692</v>
      </c>
      <c r="BC24" s="86">
        <v>5319.4250000000002</v>
      </c>
      <c r="BD24" s="84">
        <v>5182.3549999999996</v>
      </c>
      <c r="BE24" s="82">
        <f t="shared" si="103"/>
        <v>5182.3549999999996</v>
      </c>
      <c r="BF24" s="82">
        <f t="shared" si="103"/>
        <v>5182.3549999999996</v>
      </c>
      <c r="BG24" s="83">
        <f t="shared" si="103"/>
        <v>5182.3549999999996</v>
      </c>
      <c r="BH24" s="81">
        <f t="shared" si="104"/>
        <v>5182.3549999999996</v>
      </c>
      <c r="BI24" s="82">
        <f t="shared" si="105"/>
        <v>5182.3549999999996</v>
      </c>
      <c r="BJ24" s="82">
        <f t="shared" si="106"/>
        <v>5182.3549999999996</v>
      </c>
      <c r="BK24" s="83">
        <f t="shared" si="107"/>
        <v>5182.3549999999996</v>
      </c>
      <c r="BL24" s="81">
        <f t="shared" si="108"/>
        <v>5182.3549999999996</v>
      </c>
      <c r="BM24" s="82">
        <f t="shared" si="109"/>
        <v>5182.3549999999996</v>
      </c>
      <c r="BN24" s="82">
        <f t="shared" si="110"/>
        <v>5182.3549999999996</v>
      </c>
      <c r="BO24" s="83">
        <f t="shared" si="111"/>
        <v>5182.3549999999996</v>
      </c>
      <c r="BP24" s="115"/>
      <c r="BQ24" s="82">
        <f t="shared" si="63"/>
        <v>4.2030000000000003</v>
      </c>
      <c r="BR24" s="82">
        <f t="shared" si="64"/>
        <v>42.808</v>
      </c>
      <c r="BS24" s="82">
        <f t="shared" si="65"/>
        <v>24.152999999999999</v>
      </c>
      <c r="BT24" s="82">
        <f t="shared" si="66"/>
        <v>12.3</v>
      </c>
      <c r="BU24" s="82">
        <f t="shared" si="67"/>
        <v>6.8550000000000004</v>
      </c>
      <c r="BV24" s="82">
        <f t="shared" si="68"/>
        <v>1.343</v>
      </c>
      <c r="BW24" s="82">
        <f t="shared" si="69"/>
        <v>12.2</v>
      </c>
      <c r="BX24" s="82">
        <f t="shared" si="70"/>
        <v>28.771999999999998</v>
      </c>
      <c r="BY24" s="81">
        <f t="shared" si="71"/>
        <v>28.552</v>
      </c>
      <c r="BZ24" s="82">
        <f t="shared" si="72"/>
        <v>671.40200000000004</v>
      </c>
      <c r="CA24" s="82">
        <f t="shared" si="73"/>
        <v>583.51700000000005</v>
      </c>
      <c r="CB24" s="82">
        <f t="shared" si="74"/>
        <v>549.36800000000005</v>
      </c>
      <c r="CC24" s="82">
        <f t="shared" si="102"/>
        <v>5319.4250000000002</v>
      </c>
      <c r="CD24" s="82">
        <f t="shared" si="75"/>
        <v>5182.3549999999996</v>
      </c>
      <c r="CE24" s="82">
        <f t="shared" si="76"/>
        <v>5182.3549999999996</v>
      </c>
      <c r="CF24" s="83">
        <f t="shared" si="77"/>
        <v>5182.3549999999996</v>
      </c>
      <c r="CG24" s="1075"/>
      <c r="CH24" s="81">
        <f t="shared" si="78"/>
        <v>3.8130000000000002</v>
      </c>
      <c r="CI24" s="82">
        <f t="shared" si="79"/>
        <v>39.744</v>
      </c>
      <c r="CJ24" s="82">
        <f t="shared" si="80"/>
        <v>21.286000000000001</v>
      </c>
      <c r="CK24" s="82">
        <f t="shared" si="81"/>
        <v>11.257999999999999</v>
      </c>
      <c r="CL24" s="82">
        <f t="shared" si="82"/>
        <v>4.4649999999999999</v>
      </c>
      <c r="CM24" s="82">
        <f t="shared" si="83"/>
        <v>0.92100000000000004</v>
      </c>
      <c r="CN24" s="82">
        <f t="shared" si="84"/>
        <v>12.2</v>
      </c>
      <c r="CO24" s="82">
        <f t="shared" si="85"/>
        <v>28.716999999999999</v>
      </c>
      <c r="CP24" s="82">
        <f t="shared" si="86"/>
        <v>28.497</v>
      </c>
      <c r="CQ24" s="82">
        <f t="shared" si="87"/>
        <v>646.4</v>
      </c>
      <c r="CR24" s="82">
        <f t="shared" si="88"/>
        <v>564.83900000000006</v>
      </c>
      <c r="CS24" s="82">
        <f t="shared" si="89"/>
        <v>529.51599999999996</v>
      </c>
      <c r="CT24" s="82">
        <f t="shared" si="90"/>
        <v>5182.3549999999996</v>
      </c>
      <c r="CU24" s="82">
        <f t="shared" si="91"/>
        <v>5182.3549999999996</v>
      </c>
      <c r="CV24" s="83">
        <f t="shared" si="92"/>
        <v>5182.3549999999996</v>
      </c>
      <c r="CW24" s="1149"/>
      <c r="DE24" s="995"/>
    </row>
    <row r="25" spans="1:109" ht="14.25" customHeight="1">
      <c r="A25" s="8"/>
      <c r="B25" s="31" t="s">
        <v>235</v>
      </c>
      <c r="C25" s="32"/>
      <c r="D25" s="84">
        <v>0</v>
      </c>
      <c r="E25" s="85">
        <v>0</v>
      </c>
      <c r="F25" s="85">
        <v>0</v>
      </c>
      <c r="G25" s="86">
        <v>13.327999999999999</v>
      </c>
      <c r="H25" s="84">
        <v>36.54</v>
      </c>
      <c r="I25" s="85">
        <v>65.760999999999996</v>
      </c>
      <c r="J25" s="85">
        <v>69.233999999999995</v>
      </c>
      <c r="K25" s="86">
        <v>54.734000000000002</v>
      </c>
      <c r="L25" s="84">
        <v>58.25</v>
      </c>
      <c r="M25" s="85">
        <v>54.820999999999998</v>
      </c>
      <c r="N25" s="85">
        <v>54.561</v>
      </c>
      <c r="O25" s="86">
        <v>52.491</v>
      </c>
      <c r="P25" s="84">
        <v>52.691000000000003</v>
      </c>
      <c r="Q25" s="85">
        <v>54.570999999999998</v>
      </c>
      <c r="R25" s="85">
        <v>61.991999999999997</v>
      </c>
      <c r="S25" s="86">
        <v>65.948999999999998</v>
      </c>
      <c r="T25" s="84">
        <v>65.712999999999994</v>
      </c>
      <c r="U25" s="85">
        <v>68.141999999999996</v>
      </c>
      <c r="V25" s="85">
        <v>71.248999999999995</v>
      </c>
      <c r="W25" s="86">
        <v>38.759</v>
      </c>
      <c r="X25" s="85">
        <v>76.638999999999996</v>
      </c>
      <c r="Y25" s="85">
        <v>79.906000000000006</v>
      </c>
      <c r="Z25" s="85">
        <v>83.268000000000001</v>
      </c>
      <c r="AA25" s="86">
        <v>52.765000000000001</v>
      </c>
      <c r="AB25" s="85">
        <v>54.582000000000001</v>
      </c>
      <c r="AC25" s="85">
        <v>46.926000000000002</v>
      </c>
      <c r="AD25" s="85">
        <v>46.942</v>
      </c>
      <c r="AE25" s="86">
        <v>37.645000000000003</v>
      </c>
      <c r="AF25" s="85">
        <v>33.104999999999997</v>
      </c>
      <c r="AG25" s="85">
        <v>35.363999999999997</v>
      </c>
      <c r="AH25" s="85">
        <v>31.48</v>
      </c>
      <c r="AI25" s="86">
        <v>43.530999999999999</v>
      </c>
      <c r="AJ25" s="85">
        <v>27.556000000000001</v>
      </c>
      <c r="AK25" s="85">
        <v>20.372</v>
      </c>
      <c r="AL25" s="85">
        <v>30.614000000000001</v>
      </c>
      <c r="AM25" s="86">
        <v>26.225999999999999</v>
      </c>
      <c r="AN25" s="85">
        <v>22.228999999999999</v>
      </c>
      <c r="AO25" s="85">
        <v>22.954000000000001</v>
      </c>
      <c r="AP25" s="85">
        <v>29.553999999999998</v>
      </c>
      <c r="AQ25" s="86">
        <v>27.248999999999999</v>
      </c>
      <c r="AR25" s="85">
        <v>34.365000000000002</v>
      </c>
      <c r="AS25" s="85">
        <v>26.263000000000002</v>
      </c>
      <c r="AT25" s="85">
        <v>30.655999999999999</v>
      </c>
      <c r="AU25" s="86">
        <v>33.28</v>
      </c>
      <c r="AV25" s="85">
        <v>36.917999999999999</v>
      </c>
      <c r="AW25" s="85">
        <v>35.911999999999999</v>
      </c>
      <c r="AX25" s="85">
        <v>33.661000000000001</v>
      </c>
      <c r="AY25" s="86">
        <v>36.005000000000003</v>
      </c>
      <c r="AZ25" s="85">
        <v>34.165999999999997</v>
      </c>
      <c r="BA25" s="85">
        <v>32.710999999999999</v>
      </c>
      <c r="BB25" s="85">
        <v>30.2</v>
      </c>
      <c r="BC25" s="86">
        <v>32.322000000000003</v>
      </c>
      <c r="BD25" s="85">
        <f>BC25</f>
        <v>32.322000000000003</v>
      </c>
      <c r="BE25" s="82">
        <f t="shared" si="103"/>
        <v>32.322000000000003</v>
      </c>
      <c r="BF25" s="82">
        <f t="shared" si="103"/>
        <v>32.322000000000003</v>
      </c>
      <c r="BG25" s="83">
        <f t="shared" si="103"/>
        <v>32.322000000000003</v>
      </c>
      <c r="BH25" s="82">
        <f t="shared" si="104"/>
        <v>32.322000000000003</v>
      </c>
      <c r="BI25" s="82">
        <f t="shared" si="105"/>
        <v>32.322000000000003</v>
      </c>
      <c r="BJ25" s="82">
        <f t="shared" si="106"/>
        <v>32.322000000000003</v>
      </c>
      <c r="BK25" s="83">
        <f t="shared" si="107"/>
        <v>32.322000000000003</v>
      </c>
      <c r="BL25" s="82">
        <f t="shared" si="108"/>
        <v>32.322000000000003</v>
      </c>
      <c r="BM25" s="82">
        <f t="shared" si="109"/>
        <v>32.322000000000003</v>
      </c>
      <c r="BN25" s="82">
        <f t="shared" si="110"/>
        <v>32.322000000000003</v>
      </c>
      <c r="BO25" s="83">
        <f t="shared" si="111"/>
        <v>32.322000000000003</v>
      </c>
      <c r="BP25" s="115"/>
      <c r="BQ25" s="82">
        <f t="shared" si="63"/>
        <v>13.327999999999999</v>
      </c>
      <c r="BR25" s="82">
        <f t="shared" si="64"/>
        <v>54.734000000000002</v>
      </c>
      <c r="BS25" s="82">
        <f t="shared" si="65"/>
        <v>52.491</v>
      </c>
      <c r="BT25" s="82">
        <f t="shared" si="66"/>
        <v>65.948999999999998</v>
      </c>
      <c r="BU25" s="82">
        <f t="shared" si="67"/>
        <v>38.759</v>
      </c>
      <c r="BV25" s="82">
        <f t="shared" si="68"/>
        <v>52.765000000000001</v>
      </c>
      <c r="BW25" s="82">
        <f t="shared" si="69"/>
        <v>37.645000000000003</v>
      </c>
      <c r="BX25" s="82">
        <f t="shared" si="70"/>
        <v>43.530999999999999</v>
      </c>
      <c r="BY25" s="81">
        <f t="shared" si="71"/>
        <v>26.225999999999999</v>
      </c>
      <c r="BZ25" s="82">
        <f t="shared" si="72"/>
        <v>27.248999999999999</v>
      </c>
      <c r="CA25" s="82">
        <f t="shared" si="73"/>
        <v>33.28</v>
      </c>
      <c r="CB25" s="82">
        <f t="shared" si="74"/>
        <v>36.005000000000003</v>
      </c>
      <c r="CC25" s="82">
        <f t="shared" si="102"/>
        <v>32.322000000000003</v>
      </c>
      <c r="CD25" s="82">
        <f t="shared" si="75"/>
        <v>32.322000000000003</v>
      </c>
      <c r="CE25" s="82">
        <f t="shared" si="76"/>
        <v>32.322000000000003</v>
      </c>
      <c r="CF25" s="83">
        <f t="shared" si="77"/>
        <v>32.322000000000003</v>
      </c>
      <c r="CG25" s="1075"/>
      <c r="CH25" s="81">
        <f t="shared" si="78"/>
        <v>36.54</v>
      </c>
      <c r="CI25" s="82">
        <f t="shared" si="79"/>
        <v>58.25</v>
      </c>
      <c r="CJ25" s="82">
        <f t="shared" si="80"/>
        <v>52.691000000000003</v>
      </c>
      <c r="CK25" s="82">
        <f t="shared" si="81"/>
        <v>65.712999999999994</v>
      </c>
      <c r="CL25" s="82">
        <f t="shared" si="82"/>
        <v>76.638999999999996</v>
      </c>
      <c r="CM25" s="82">
        <f t="shared" si="83"/>
        <v>54.582000000000001</v>
      </c>
      <c r="CN25" s="82">
        <f t="shared" si="84"/>
        <v>33.104999999999997</v>
      </c>
      <c r="CO25" s="82">
        <f t="shared" si="85"/>
        <v>27.556000000000001</v>
      </c>
      <c r="CP25" s="82">
        <f t="shared" si="86"/>
        <v>22.228999999999999</v>
      </c>
      <c r="CQ25" s="82">
        <f t="shared" si="87"/>
        <v>34.365000000000002</v>
      </c>
      <c r="CR25" s="82">
        <f t="shared" si="88"/>
        <v>36.917999999999999</v>
      </c>
      <c r="CS25" s="82">
        <f t="shared" si="89"/>
        <v>34.165999999999997</v>
      </c>
      <c r="CT25" s="82">
        <f t="shared" si="90"/>
        <v>32.322000000000003</v>
      </c>
      <c r="CU25" s="82">
        <f t="shared" si="91"/>
        <v>32.322000000000003</v>
      </c>
      <c r="CV25" s="83">
        <f t="shared" si="92"/>
        <v>32.322000000000003</v>
      </c>
      <c r="CW25" s="1149"/>
      <c r="DE25" s="995"/>
    </row>
    <row r="26" spans="1:109" ht="14.25" customHeight="1">
      <c r="A26" s="8"/>
      <c r="B26" s="31" t="s">
        <v>212</v>
      </c>
      <c r="C26" s="32"/>
      <c r="D26" s="84">
        <v>30.498999999999999</v>
      </c>
      <c r="E26" s="85">
        <v>30.47</v>
      </c>
      <c r="F26" s="85">
        <v>29.091999999999999</v>
      </c>
      <c r="G26" s="86">
        <v>24.58</v>
      </c>
      <c r="H26" s="84">
        <v>22.423999999999999</v>
      </c>
      <c r="I26" s="85">
        <v>21.245000000000001</v>
      </c>
      <c r="J26" s="85">
        <v>20.780999999999999</v>
      </c>
      <c r="K26" s="86">
        <f>27.744</f>
        <v>27.744</v>
      </c>
      <c r="L26" s="84">
        <v>27.975999999999999</v>
      </c>
      <c r="M26" s="85">
        <v>28.951000000000001</v>
      </c>
      <c r="N26" s="85">
        <v>28.943999999999999</v>
      </c>
      <c r="O26" s="86">
        <v>43</v>
      </c>
      <c r="P26" s="84">
        <f>40.997+62.037</f>
        <v>103.03399999999999</v>
      </c>
      <c r="Q26" s="85">
        <f>40.645+62.037</f>
        <v>102.682</v>
      </c>
      <c r="R26" s="85">
        <f>41.876+62.037</f>
        <v>103.913</v>
      </c>
      <c r="S26" s="86">
        <f>26.461+62.037</f>
        <v>88.49799999999999</v>
      </c>
      <c r="T26" s="84">
        <f>27.61+62.037</f>
        <v>89.646999999999991</v>
      </c>
      <c r="U26" s="85">
        <f>26.509+62.037</f>
        <v>88.545999999999992</v>
      </c>
      <c r="V26" s="85">
        <f>30.75+62.037</f>
        <v>92.787000000000006</v>
      </c>
      <c r="W26" s="86">
        <f>35.658+62.037</f>
        <v>97.694999999999993</v>
      </c>
      <c r="X26" s="85">
        <v>49.481000000000002</v>
      </c>
      <c r="Y26" s="85">
        <v>49.359000000000002</v>
      </c>
      <c r="Z26" s="85">
        <v>60.648000000000003</v>
      </c>
      <c r="AA26" s="86">
        <v>57.472000000000001</v>
      </c>
      <c r="AB26" s="85">
        <v>51.47</v>
      </c>
      <c r="AC26" s="85">
        <v>56.314999999999998</v>
      </c>
      <c r="AD26" s="85">
        <v>60.12</v>
      </c>
      <c r="AE26" s="86">
        <v>58.155000000000001</v>
      </c>
      <c r="AF26" s="85">
        <v>56.579000000000001</v>
      </c>
      <c r="AG26" s="85">
        <v>36.337000000000003</v>
      </c>
      <c r="AH26" s="85">
        <v>35.470999999999997</v>
      </c>
      <c r="AI26" s="86">
        <v>36.917000000000002</v>
      </c>
      <c r="AJ26" s="85">
        <v>38.082000000000001</v>
      </c>
      <c r="AK26" s="85">
        <v>37.14</v>
      </c>
      <c r="AL26" s="85">
        <v>41.847000000000001</v>
      </c>
      <c r="AM26" s="86">
        <v>41.084000000000003</v>
      </c>
      <c r="AN26" s="85">
        <v>42.243000000000002</v>
      </c>
      <c r="AO26" s="85">
        <v>42.616999999999997</v>
      </c>
      <c r="AP26" s="85">
        <v>50.345999999999997</v>
      </c>
      <c r="AQ26" s="86">
        <v>49.786000000000001</v>
      </c>
      <c r="AR26" s="85">
        <v>48.1</v>
      </c>
      <c r="AS26" s="85">
        <v>42.207999999999998</v>
      </c>
      <c r="AT26" s="85">
        <v>40.296999999999997</v>
      </c>
      <c r="AU26" s="86">
        <v>43.962000000000003</v>
      </c>
      <c r="AV26" s="85">
        <v>41.274000000000001</v>
      </c>
      <c r="AW26" s="85">
        <v>42.125</v>
      </c>
      <c r="AX26" s="85">
        <v>72.265000000000001</v>
      </c>
      <c r="AY26" s="86">
        <v>46.720999999999997</v>
      </c>
      <c r="AZ26" s="85">
        <v>50.942999999999998</v>
      </c>
      <c r="BA26" s="85">
        <v>52.008000000000003</v>
      </c>
      <c r="BB26" s="85">
        <v>54.332999999999998</v>
      </c>
      <c r="BC26" s="86">
        <v>56.04</v>
      </c>
      <c r="BD26" s="85">
        <f>88.563-BD25</f>
        <v>56.241</v>
      </c>
      <c r="BE26" s="82">
        <f t="shared" si="103"/>
        <v>56.241</v>
      </c>
      <c r="BF26" s="82">
        <f t="shared" si="103"/>
        <v>56.241</v>
      </c>
      <c r="BG26" s="83">
        <f t="shared" si="103"/>
        <v>56.241</v>
      </c>
      <c r="BH26" s="82">
        <f t="shared" si="104"/>
        <v>56.241</v>
      </c>
      <c r="BI26" s="82">
        <f t="shared" si="105"/>
        <v>56.241</v>
      </c>
      <c r="BJ26" s="82">
        <f t="shared" si="106"/>
        <v>56.241</v>
      </c>
      <c r="BK26" s="83">
        <f t="shared" si="107"/>
        <v>56.241</v>
      </c>
      <c r="BL26" s="82">
        <f t="shared" si="108"/>
        <v>56.241</v>
      </c>
      <c r="BM26" s="82">
        <f t="shared" si="109"/>
        <v>56.241</v>
      </c>
      <c r="BN26" s="82">
        <f t="shared" si="110"/>
        <v>56.241</v>
      </c>
      <c r="BO26" s="83">
        <f t="shared" si="111"/>
        <v>56.241</v>
      </c>
      <c r="BP26" s="115"/>
      <c r="BQ26" s="82">
        <f t="shared" si="63"/>
        <v>24.58</v>
      </c>
      <c r="BR26" s="82">
        <f t="shared" si="64"/>
        <v>27.744</v>
      </c>
      <c r="BS26" s="82">
        <f t="shared" si="65"/>
        <v>43</v>
      </c>
      <c r="BT26" s="82">
        <f t="shared" si="66"/>
        <v>88.49799999999999</v>
      </c>
      <c r="BU26" s="82">
        <f t="shared" si="67"/>
        <v>97.694999999999993</v>
      </c>
      <c r="BV26" s="82">
        <f t="shared" si="68"/>
        <v>57.472000000000001</v>
      </c>
      <c r="BW26" s="82">
        <f t="shared" si="69"/>
        <v>58.155000000000001</v>
      </c>
      <c r="BX26" s="82">
        <f t="shared" si="70"/>
        <v>36.917000000000002</v>
      </c>
      <c r="BY26" s="81">
        <f t="shared" si="71"/>
        <v>41.084000000000003</v>
      </c>
      <c r="BZ26" s="82">
        <f t="shared" si="72"/>
        <v>49.786000000000001</v>
      </c>
      <c r="CA26" s="82">
        <f t="shared" si="73"/>
        <v>43.962000000000003</v>
      </c>
      <c r="CB26" s="82">
        <f t="shared" si="74"/>
        <v>46.720999999999997</v>
      </c>
      <c r="CC26" s="82">
        <f t="shared" si="102"/>
        <v>56.04</v>
      </c>
      <c r="CD26" s="82">
        <f t="shared" si="75"/>
        <v>56.241</v>
      </c>
      <c r="CE26" s="82">
        <f t="shared" si="76"/>
        <v>56.241</v>
      </c>
      <c r="CF26" s="83">
        <f t="shared" si="77"/>
        <v>56.241</v>
      </c>
      <c r="CG26" s="1075"/>
      <c r="CH26" s="81">
        <f t="shared" si="78"/>
        <v>22.423999999999999</v>
      </c>
      <c r="CI26" s="82">
        <f t="shared" si="79"/>
        <v>27.975999999999999</v>
      </c>
      <c r="CJ26" s="82">
        <f t="shared" si="80"/>
        <v>103.03399999999999</v>
      </c>
      <c r="CK26" s="82">
        <f t="shared" si="81"/>
        <v>89.646999999999991</v>
      </c>
      <c r="CL26" s="82">
        <f t="shared" si="82"/>
        <v>49.481000000000002</v>
      </c>
      <c r="CM26" s="82">
        <f t="shared" si="83"/>
        <v>51.47</v>
      </c>
      <c r="CN26" s="82">
        <f t="shared" si="84"/>
        <v>56.579000000000001</v>
      </c>
      <c r="CO26" s="82">
        <f t="shared" si="85"/>
        <v>38.082000000000001</v>
      </c>
      <c r="CP26" s="82">
        <f t="shared" si="86"/>
        <v>42.243000000000002</v>
      </c>
      <c r="CQ26" s="82">
        <f t="shared" si="87"/>
        <v>48.1</v>
      </c>
      <c r="CR26" s="82">
        <f t="shared" si="88"/>
        <v>41.274000000000001</v>
      </c>
      <c r="CS26" s="82">
        <f t="shared" si="89"/>
        <v>50.942999999999998</v>
      </c>
      <c r="CT26" s="82">
        <f t="shared" si="90"/>
        <v>56.241</v>
      </c>
      <c r="CU26" s="82">
        <f t="shared" si="91"/>
        <v>56.241</v>
      </c>
      <c r="CV26" s="83">
        <f t="shared" si="92"/>
        <v>56.241</v>
      </c>
      <c r="CW26" s="1149"/>
      <c r="DE26" s="995"/>
    </row>
    <row r="27" spans="1:109" ht="14.25" customHeight="1">
      <c r="A27" s="8"/>
      <c r="B27" s="1188" t="s">
        <v>88</v>
      </c>
      <c r="C27" s="1189"/>
      <c r="D27" s="131">
        <f t="shared" ref="D27:AN27" si="112">SUM(D19:D26)+D17</f>
        <v>4612.1350000000002</v>
      </c>
      <c r="E27" s="129">
        <f t="shared" si="112"/>
        <v>4585.2700000000004</v>
      </c>
      <c r="F27" s="129">
        <f t="shared" si="112"/>
        <v>4691.5050000000001</v>
      </c>
      <c r="G27" s="130">
        <f t="shared" si="112"/>
        <v>4583.2110000000002</v>
      </c>
      <c r="H27" s="131">
        <f t="shared" si="112"/>
        <v>4374.1779999999999</v>
      </c>
      <c r="I27" s="129">
        <f t="shared" si="112"/>
        <v>4403.3469999999998</v>
      </c>
      <c r="J27" s="129">
        <f t="shared" si="112"/>
        <v>4292.2469999999994</v>
      </c>
      <c r="K27" s="130">
        <f t="shared" si="112"/>
        <v>3986.8509999999997</v>
      </c>
      <c r="L27" s="131">
        <f t="shared" si="112"/>
        <v>3823.817</v>
      </c>
      <c r="M27" s="129">
        <f t="shared" si="112"/>
        <v>3686.6760000000004</v>
      </c>
      <c r="N27" s="129">
        <f t="shared" si="112"/>
        <v>3166.3670000000002</v>
      </c>
      <c r="O27" s="130">
        <f t="shared" si="112"/>
        <v>2970.942</v>
      </c>
      <c r="P27" s="131">
        <f t="shared" si="112"/>
        <v>3134.9430000000002</v>
      </c>
      <c r="Q27" s="129">
        <f t="shared" si="112"/>
        <v>3016.1869999999999</v>
      </c>
      <c r="R27" s="129">
        <f t="shared" si="112"/>
        <v>3092.125</v>
      </c>
      <c r="S27" s="130">
        <f t="shared" si="112"/>
        <v>3090.9919999999997</v>
      </c>
      <c r="T27" s="131">
        <f t="shared" si="112"/>
        <v>2919.1899999999996</v>
      </c>
      <c r="U27" s="129">
        <f t="shared" si="112"/>
        <v>2875.3389999999999</v>
      </c>
      <c r="V27" s="129">
        <f t="shared" si="112"/>
        <v>3280.1510000000003</v>
      </c>
      <c r="W27" s="130">
        <f t="shared" si="112"/>
        <v>3369.4070000000002</v>
      </c>
      <c r="X27" s="129">
        <f t="shared" si="112"/>
        <v>3698.17</v>
      </c>
      <c r="Y27" s="129">
        <f t="shared" si="112"/>
        <v>3928.0970000000002</v>
      </c>
      <c r="Z27" s="129">
        <f t="shared" si="112"/>
        <v>4104.0680000000002</v>
      </c>
      <c r="AA27" s="130">
        <f t="shared" si="112"/>
        <v>4328.8310000000001</v>
      </c>
      <c r="AB27" s="131">
        <f t="shared" si="112"/>
        <v>4596.9049999999997</v>
      </c>
      <c r="AC27" s="129">
        <f t="shared" si="112"/>
        <v>5160.3990000000003</v>
      </c>
      <c r="AD27" s="129">
        <f t="shared" si="112"/>
        <v>5251.3810000000003</v>
      </c>
      <c r="AE27" s="130">
        <f t="shared" si="112"/>
        <v>5277.6350000000002</v>
      </c>
      <c r="AF27" s="131">
        <f t="shared" si="112"/>
        <v>5277.8339999999998</v>
      </c>
      <c r="AG27" s="129">
        <f t="shared" si="112"/>
        <v>5412.4900000000007</v>
      </c>
      <c r="AH27" s="129">
        <f t="shared" si="112"/>
        <v>5456.6219999999994</v>
      </c>
      <c r="AI27" s="130">
        <f t="shared" si="112"/>
        <v>5620.3469999999998</v>
      </c>
      <c r="AJ27" s="131">
        <f t="shared" si="112"/>
        <v>5716.8079999999991</v>
      </c>
      <c r="AK27" s="129">
        <f>SUM(AK19:AK26)+AK17</f>
        <v>5841.0360000000001</v>
      </c>
      <c r="AL27" s="129">
        <f t="shared" si="112"/>
        <v>6138.6260000000002</v>
      </c>
      <c r="AM27" s="130">
        <f t="shared" si="112"/>
        <v>6381.75</v>
      </c>
      <c r="AN27" s="131">
        <f t="shared" si="112"/>
        <v>6399.4679999999998</v>
      </c>
      <c r="AO27" s="129">
        <f t="shared" ref="AO27:AW27" si="113">SUM(AO19:AO26)+AO17</f>
        <v>6594.9509999999991</v>
      </c>
      <c r="AP27" s="129">
        <f t="shared" si="113"/>
        <v>8973.4650000000001</v>
      </c>
      <c r="AQ27" s="130">
        <f t="shared" si="113"/>
        <v>6859.6900000000005</v>
      </c>
      <c r="AR27" s="131">
        <f t="shared" si="113"/>
        <v>6821.155999999999</v>
      </c>
      <c r="AS27" s="129">
        <f t="shared" si="113"/>
        <v>7048.4749999999995</v>
      </c>
      <c r="AT27" s="129">
        <f t="shared" si="113"/>
        <v>7134.701</v>
      </c>
      <c r="AU27" s="130">
        <f t="shared" si="113"/>
        <v>7062.1779999999999</v>
      </c>
      <c r="AV27" s="131">
        <f t="shared" si="113"/>
        <v>7598.0810000000001</v>
      </c>
      <c r="AW27" s="129">
        <f t="shared" si="113"/>
        <v>7570.2919999999995</v>
      </c>
      <c r="AX27" s="129">
        <f>SUM(AX19:AX26)+AX17</f>
        <v>7685.0529999999999</v>
      </c>
      <c r="AY27" s="130">
        <f t="shared" ref="AY27:AZ27" si="114">SUM(AY19:AY26)+AY17</f>
        <v>7970.2780000000002</v>
      </c>
      <c r="AZ27" s="131">
        <f t="shared" si="114"/>
        <v>10203.371000000001</v>
      </c>
      <c r="BA27" s="129">
        <f t="shared" ref="BA27" si="115">SUM(BA19:BA26)+BA17</f>
        <v>26622.683000000001</v>
      </c>
      <c r="BB27" s="129">
        <f>SUM(BB19:BB26)+BB17</f>
        <v>21114.994999999999</v>
      </c>
      <c r="BC27" s="130">
        <f t="shared" ref="BC27:BD27" si="116">SUM(BC19:BC26)+BC17</f>
        <v>21141.294000000002</v>
      </c>
      <c r="BD27" s="131">
        <f t="shared" si="116"/>
        <v>20853.315000000002</v>
      </c>
      <c r="BE27" s="129">
        <f t="shared" ref="BE27:BG27" si="117">SUM(BE19:BE26)+BE17</f>
        <v>21102.270326080339</v>
      </c>
      <c r="BF27" s="129">
        <f t="shared" si="117"/>
        <v>21514.81786831313</v>
      </c>
      <c r="BG27" s="130">
        <f t="shared" si="117"/>
        <v>21973.557912905984</v>
      </c>
      <c r="BH27" s="131">
        <f t="shared" ref="BH27:BK27" si="118">SUM(BH19:BH26)+BH17</f>
        <v>22347.325258263707</v>
      </c>
      <c r="BI27" s="129">
        <f t="shared" si="118"/>
        <v>22772.858384077328</v>
      </c>
      <c r="BJ27" s="129">
        <f t="shared" si="118"/>
        <v>23235.45047063251</v>
      </c>
      <c r="BK27" s="130">
        <f t="shared" si="118"/>
        <v>23740.088825904997</v>
      </c>
      <c r="BL27" s="131">
        <f t="shared" ref="BL27:BO27" si="119">SUM(BL19:BL26)+BL17</f>
        <v>24171.365607297972</v>
      </c>
      <c r="BM27" s="129">
        <f t="shared" si="119"/>
        <v>24654.730924667732</v>
      </c>
      <c r="BN27" s="129">
        <f t="shared" si="119"/>
        <v>25172.043368440245</v>
      </c>
      <c r="BO27" s="130">
        <f t="shared" si="119"/>
        <v>25727.408446225327</v>
      </c>
      <c r="BP27" s="115"/>
      <c r="BQ27" s="129">
        <f t="shared" ref="BQ27:CB27" si="120">SUM(BQ19:BQ26)+BQ17</f>
        <v>4583.2110000000002</v>
      </c>
      <c r="BR27" s="129">
        <f t="shared" si="120"/>
        <v>3986.8509999999997</v>
      </c>
      <c r="BS27" s="129">
        <f t="shared" si="120"/>
        <v>2970.942</v>
      </c>
      <c r="BT27" s="129">
        <f t="shared" si="120"/>
        <v>3090.9919999999997</v>
      </c>
      <c r="BU27" s="129">
        <f t="shared" si="120"/>
        <v>3369.4070000000002</v>
      </c>
      <c r="BV27" s="129">
        <f t="shared" si="120"/>
        <v>4328.8310000000001</v>
      </c>
      <c r="BW27" s="129">
        <f t="shared" si="120"/>
        <v>5277.6350000000002</v>
      </c>
      <c r="BX27" s="129">
        <f t="shared" si="120"/>
        <v>5620.3469999999998</v>
      </c>
      <c r="BY27" s="131">
        <f t="shared" si="120"/>
        <v>6381.75</v>
      </c>
      <c r="BZ27" s="129">
        <f t="shared" si="120"/>
        <v>6859.6900000000005</v>
      </c>
      <c r="CA27" s="129">
        <f t="shared" si="120"/>
        <v>7062.1779999999999</v>
      </c>
      <c r="CB27" s="129">
        <f t="shared" si="120"/>
        <v>7970.2780000000002</v>
      </c>
      <c r="CC27" s="129">
        <f>SUM(CC19:CC26)+CC17</f>
        <v>21141.294000000002</v>
      </c>
      <c r="CD27" s="129">
        <f>SUM(CD19:CD26)+CD17</f>
        <v>21973.557912905984</v>
      </c>
      <c r="CE27" s="129">
        <f>SUM(CE19:CE26)+CE17</f>
        <v>23740.088825904997</v>
      </c>
      <c r="CF27" s="130">
        <f>SUM(CF19:CF26)+CF17</f>
        <v>25727.408446225327</v>
      </c>
      <c r="CG27" s="23"/>
      <c r="CH27" s="131">
        <f t="shared" ref="CH27:CR27" si="121">SUM(CH19:CH26)+CH17</f>
        <v>4374.1779999999999</v>
      </c>
      <c r="CI27" s="129">
        <f t="shared" si="121"/>
        <v>3823.817</v>
      </c>
      <c r="CJ27" s="129">
        <f t="shared" si="121"/>
        <v>3134.9430000000002</v>
      </c>
      <c r="CK27" s="129">
        <f t="shared" si="121"/>
        <v>2919.1899999999996</v>
      </c>
      <c r="CL27" s="129">
        <f t="shared" si="121"/>
        <v>3698.17</v>
      </c>
      <c r="CM27" s="129">
        <f t="shared" si="121"/>
        <v>4596.9049999999997</v>
      </c>
      <c r="CN27" s="129">
        <f t="shared" si="121"/>
        <v>5277.8339999999998</v>
      </c>
      <c r="CO27" s="129">
        <f t="shared" si="121"/>
        <v>5716.8079999999991</v>
      </c>
      <c r="CP27" s="129">
        <f t="shared" si="121"/>
        <v>6399.4679999999998</v>
      </c>
      <c r="CQ27" s="129">
        <f t="shared" si="121"/>
        <v>6821.155999999999</v>
      </c>
      <c r="CR27" s="129">
        <f t="shared" si="121"/>
        <v>7598.0810000000001</v>
      </c>
      <c r="CS27" s="129">
        <f>SUM(CS19:CS26)+CS17</f>
        <v>10203.371000000001</v>
      </c>
      <c r="CT27" s="129">
        <f>SUM(CT19:CT26)+CT17</f>
        <v>20853.315000000002</v>
      </c>
      <c r="CU27" s="129">
        <f>SUM(CU19:CU26)+CU17</f>
        <v>22347.325258263707</v>
      </c>
      <c r="CV27" s="130">
        <f>SUM(CV19:CV26)+CV17</f>
        <v>24171.365607297972</v>
      </c>
      <c r="CW27" s="1149"/>
      <c r="DE27" s="995"/>
    </row>
    <row r="28" spans="1:109" ht="14.25" customHeight="1">
      <c r="A28" s="8"/>
      <c r="B28" s="75"/>
      <c r="C28" s="76"/>
      <c r="D28" s="77"/>
      <c r="E28" s="78"/>
      <c r="F28" s="78"/>
      <c r="G28" s="79"/>
      <c r="H28" s="77"/>
      <c r="I28" s="78"/>
      <c r="J28" s="78"/>
      <c r="K28" s="79"/>
      <c r="L28" s="77"/>
      <c r="M28" s="78"/>
      <c r="N28" s="78"/>
      <c r="O28" s="79"/>
      <c r="P28" s="77"/>
      <c r="Q28" s="78"/>
      <c r="R28" s="78"/>
      <c r="S28" s="79"/>
      <c r="T28" s="77"/>
      <c r="U28" s="78"/>
      <c r="V28" s="78"/>
      <c r="W28" s="79"/>
      <c r="X28" s="78"/>
      <c r="Y28" s="78"/>
      <c r="Z28" s="78"/>
      <c r="AA28" s="78"/>
      <c r="AB28" s="77"/>
      <c r="AC28" s="78"/>
      <c r="AD28" s="78"/>
      <c r="AE28" s="78"/>
      <c r="AF28" s="77"/>
      <c r="AG28" s="78"/>
      <c r="AH28" s="78"/>
      <c r="AI28" s="79"/>
      <c r="AJ28" s="77"/>
      <c r="AK28" s="78"/>
      <c r="AL28" s="78"/>
      <c r="AM28" s="79"/>
      <c r="AN28" s="77"/>
      <c r="AO28" s="78"/>
      <c r="AP28" s="78"/>
      <c r="AQ28" s="79"/>
      <c r="AR28" s="77"/>
      <c r="AS28" s="78"/>
      <c r="AT28" s="78"/>
      <c r="AU28" s="79"/>
      <c r="AV28" s="77"/>
      <c r="AW28" s="78"/>
      <c r="AX28" s="78"/>
      <c r="AY28" s="79"/>
      <c r="AZ28" s="77"/>
      <c r="BA28" s="78"/>
      <c r="BB28" s="78"/>
      <c r="BC28" s="79"/>
      <c r="BD28" s="77"/>
      <c r="BE28" s="78"/>
      <c r="BF28" s="78"/>
      <c r="BG28" s="79"/>
      <c r="BH28" s="77"/>
      <c r="BI28" s="78"/>
      <c r="BJ28" s="78"/>
      <c r="BK28" s="79"/>
      <c r="BL28" s="77"/>
      <c r="BM28" s="78"/>
      <c r="BN28" s="78"/>
      <c r="BO28" s="79"/>
      <c r="BP28" s="115"/>
      <c r="BQ28" s="78"/>
      <c r="BR28" s="78"/>
      <c r="BS28" s="78"/>
      <c r="BT28" s="78"/>
      <c r="BU28" s="78"/>
      <c r="BV28" s="78"/>
      <c r="BW28" s="78"/>
      <c r="BX28" s="78"/>
      <c r="BY28" s="77"/>
      <c r="BZ28" s="78"/>
      <c r="CA28" s="78"/>
      <c r="CB28" s="78"/>
      <c r="CC28" s="78"/>
      <c r="CD28" s="78"/>
      <c r="CE28" s="78"/>
      <c r="CF28" s="79"/>
      <c r="CG28" s="23"/>
      <c r="CH28" s="77"/>
      <c r="CI28" s="78"/>
      <c r="CJ28" s="78"/>
      <c r="CK28" s="78"/>
      <c r="CL28" s="78"/>
      <c r="CM28" s="78"/>
      <c r="CN28" s="78"/>
      <c r="CO28" s="78"/>
      <c r="CP28" s="78"/>
      <c r="CQ28" s="78"/>
      <c r="CR28" s="78"/>
      <c r="CS28" s="78"/>
      <c r="CT28" s="78"/>
      <c r="CU28" s="78"/>
      <c r="CV28" s="79"/>
      <c r="CW28" s="1149"/>
      <c r="DE28" s="995"/>
    </row>
    <row r="29" spans="1:109" ht="14.25" customHeight="1">
      <c r="A29" s="8"/>
      <c r="B29" s="1184" t="s">
        <v>89</v>
      </c>
      <c r="C29" s="1185"/>
      <c r="D29" s="84"/>
      <c r="E29" s="85"/>
      <c r="F29" s="85"/>
      <c r="G29" s="86"/>
      <c r="H29" s="84"/>
      <c r="I29" s="85"/>
      <c r="J29" s="85"/>
      <c r="K29" s="86"/>
      <c r="L29" s="84"/>
      <c r="M29" s="85"/>
      <c r="N29" s="85"/>
      <c r="O29" s="86"/>
      <c r="P29" s="84"/>
      <c r="Q29" s="85"/>
      <c r="R29" s="85"/>
      <c r="S29" s="86"/>
      <c r="T29" s="84"/>
      <c r="U29" s="85"/>
      <c r="V29" s="85"/>
      <c r="W29" s="86"/>
      <c r="X29" s="85"/>
      <c r="Y29" s="85"/>
      <c r="Z29" s="85"/>
      <c r="AA29" s="85"/>
      <c r="AB29" s="84"/>
      <c r="AC29" s="85"/>
      <c r="AD29" s="85"/>
      <c r="AE29" s="85"/>
      <c r="AF29" s="84"/>
      <c r="AG29" s="85"/>
      <c r="AH29" s="85"/>
      <c r="AI29" s="86"/>
      <c r="AJ29" s="84"/>
      <c r="AK29" s="85"/>
      <c r="AL29" s="85"/>
      <c r="AM29" s="86"/>
      <c r="AN29" s="84"/>
      <c r="AO29" s="85"/>
      <c r="AP29" s="85"/>
      <c r="AQ29" s="86"/>
      <c r="AR29" s="84"/>
      <c r="AS29" s="85"/>
      <c r="AT29" s="85"/>
      <c r="AU29" s="86"/>
      <c r="AV29" s="1222"/>
      <c r="AW29" s="85"/>
      <c r="AX29" s="1202"/>
      <c r="AY29" s="1202"/>
      <c r="AZ29" s="1222"/>
      <c r="BA29" s="85"/>
      <c r="BB29" s="1202"/>
      <c r="BC29" s="1449"/>
      <c r="BD29" s="1222"/>
      <c r="BE29" s="85"/>
      <c r="BF29" s="85"/>
      <c r="BG29" s="86"/>
      <c r="BH29" s="84"/>
      <c r="BI29" s="85"/>
      <c r="BJ29" s="85"/>
      <c r="BK29" s="86"/>
      <c r="BL29" s="84"/>
      <c r="BM29" s="85"/>
      <c r="BN29" s="85"/>
      <c r="BO29" s="86"/>
      <c r="BP29" s="115"/>
      <c r="BQ29" s="85"/>
      <c r="BR29" s="85"/>
      <c r="BS29" s="85"/>
      <c r="BT29" s="85"/>
      <c r="BU29" s="85"/>
      <c r="BV29" s="85"/>
      <c r="BW29" s="85"/>
      <c r="BX29" s="85"/>
      <c r="BY29" s="84"/>
      <c r="BZ29" s="85"/>
      <c r="CA29" s="85"/>
      <c r="CB29" s="85"/>
      <c r="CC29" s="85"/>
      <c r="CD29" s="85"/>
      <c r="CE29" s="85"/>
      <c r="CF29" s="86"/>
      <c r="CG29" s="23"/>
      <c r="CH29" s="84"/>
      <c r="CI29" s="85"/>
      <c r="CJ29" s="85"/>
      <c r="CK29" s="85"/>
      <c r="CL29" s="85"/>
      <c r="CM29" s="85"/>
      <c r="CN29" s="85"/>
      <c r="CO29" s="85"/>
      <c r="CP29" s="85"/>
      <c r="CQ29" s="85"/>
      <c r="CR29" s="85"/>
      <c r="CS29" s="85"/>
      <c r="CT29" s="85"/>
      <c r="CU29" s="85"/>
      <c r="CV29" s="86"/>
      <c r="CW29" s="1149"/>
      <c r="DE29" s="995"/>
    </row>
    <row r="30" spans="1:109" ht="14.25" customHeight="1">
      <c r="A30" s="8"/>
      <c r="B30" s="31" t="s">
        <v>90</v>
      </c>
      <c r="C30" s="32"/>
      <c r="D30" s="84">
        <v>94.968999999999994</v>
      </c>
      <c r="E30" s="85">
        <v>105.739</v>
      </c>
      <c r="F30" s="85">
        <v>113.75</v>
      </c>
      <c r="G30" s="86">
        <v>128.31700000000001</v>
      </c>
      <c r="H30" s="84">
        <v>128.99100000000001</v>
      </c>
      <c r="I30" s="85">
        <v>144.78299999999999</v>
      </c>
      <c r="J30" s="85">
        <v>166.31299999999999</v>
      </c>
      <c r="K30" s="86">
        <v>122.926</v>
      </c>
      <c r="L30" s="84">
        <v>125.623</v>
      </c>
      <c r="M30" s="85">
        <v>138.68899999999999</v>
      </c>
      <c r="N30" s="85">
        <v>138.98699999999999</v>
      </c>
      <c r="O30" s="86">
        <v>156.19200000000001</v>
      </c>
      <c r="P30" s="84">
        <v>119.44</v>
      </c>
      <c r="Q30" s="85">
        <v>100.508</v>
      </c>
      <c r="R30" s="85">
        <v>126.24</v>
      </c>
      <c r="S30" s="86">
        <v>130.45099999999999</v>
      </c>
      <c r="T30" s="84">
        <v>82.600999999999999</v>
      </c>
      <c r="U30" s="85">
        <v>85.564999999999998</v>
      </c>
      <c r="V30" s="85">
        <v>94.787000000000006</v>
      </c>
      <c r="W30" s="86">
        <v>107.334</v>
      </c>
      <c r="X30" s="85">
        <v>113.746</v>
      </c>
      <c r="Y30" s="85">
        <v>104.18300000000001</v>
      </c>
      <c r="Z30" s="85">
        <v>129.96700000000001</v>
      </c>
      <c r="AA30" s="86">
        <v>133.11099999999999</v>
      </c>
      <c r="AB30" s="84">
        <v>125.876</v>
      </c>
      <c r="AC30" s="85">
        <v>121.45099999999999</v>
      </c>
      <c r="AD30" s="85">
        <v>106.009</v>
      </c>
      <c r="AE30" s="86">
        <v>113.056</v>
      </c>
      <c r="AF30" s="84">
        <v>111.749</v>
      </c>
      <c r="AG30" s="85">
        <v>125.746</v>
      </c>
      <c r="AH30" s="85">
        <v>113.39100000000001</v>
      </c>
      <c r="AI30" s="86">
        <v>117.03400000000001</v>
      </c>
      <c r="AJ30" s="84">
        <v>113.879</v>
      </c>
      <c r="AK30" s="85">
        <v>118.261</v>
      </c>
      <c r="AL30" s="85">
        <v>113.35</v>
      </c>
      <c r="AM30" s="86">
        <v>119.994</v>
      </c>
      <c r="AN30" s="84">
        <v>124.619</v>
      </c>
      <c r="AO30" s="85">
        <v>132.19399999999999</v>
      </c>
      <c r="AP30" s="85">
        <v>142.65299999999999</v>
      </c>
      <c r="AQ30" s="86">
        <v>138.96700000000001</v>
      </c>
      <c r="AR30" s="84">
        <v>123.456</v>
      </c>
      <c r="AS30" s="85">
        <v>156.30000000000001</v>
      </c>
      <c r="AT30" s="85">
        <v>152.68299999999999</v>
      </c>
      <c r="AU30" s="86">
        <v>174.24700000000001</v>
      </c>
      <c r="AV30" s="84">
        <v>138.30199999999999</v>
      </c>
      <c r="AW30" s="85">
        <v>165.79</v>
      </c>
      <c r="AX30" s="85">
        <v>160.416</v>
      </c>
      <c r="AY30" s="86">
        <v>171.43899999999999</v>
      </c>
      <c r="AZ30" s="84">
        <v>156.65299999999999</v>
      </c>
      <c r="BA30" s="85">
        <v>190.245</v>
      </c>
      <c r="BB30" s="85">
        <v>228.12700000000001</v>
      </c>
      <c r="BC30" s="86">
        <v>236.62899999999999</v>
      </c>
      <c r="BD30" s="84">
        <f>BC30</f>
        <v>236.62899999999999</v>
      </c>
      <c r="BE30" s="82">
        <f t="shared" ref="BE30:BG30" si="122">BE56/360*BE60*4</f>
        <v>225.65494962477834</v>
      </c>
      <c r="BF30" s="82">
        <f t="shared" si="122"/>
        <v>210.7351451026336</v>
      </c>
      <c r="BG30" s="83">
        <f t="shared" si="122"/>
        <v>214.49313995888366</v>
      </c>
      <c r="BH30" s="81">
        <f t="shared" ref="BH30:BK30" si="123">BH56/360*BH60*4</f>
        <v>211.20513035879566</v>
      </c>
      <c r="BI30" s="82">
        <f t="shared" si="123"/>
        <v>215.38193409934129</v>
      </c>
      <c r="BJ30" s="82">
        <f t="shared" si="123"/>
        <v>218.63974278657957</v>
      </c>
      <c r="BK30" s="83">
        <f t="shared" si="123"/>
        <v>226.50287837330544</v>
      </c>
      <c r="BL30" s="81">
        <f t="shared" ref="BL30:BO30" si="124">BL56/360*BL60*4</f>
        <v>222.6030923457073</v>
      </c>
      <c r="BM30" s="82">
        <f t="shared" si="124"/>
        <v>226.81899223779934</v>
      </c>
      <c r="BN30" s="82">
        <f t="shared" si="124"/>
        <v>229.74573195684243</v>
      </c>
      <c r="BO30" s="83">
        <f t="shared" si="124"/>
        <v>237.18648004976362</v>
      </c>
      <c r="BP30" s="115"/>
      <c r="BQ30" s="82">
        <f t="shared" ref="BQ30:BQ36" si="125">G30</f>
        <v>128.31700000000001</v>
      </c>
      <c r="BR30" s="82">
        <f t="shared" ref="BR30:BR36" si="126">K30</f>
        <v>122.926</v>
      </c>
      <c r="BS30" s="82">
        <f t="shared" ref="BS30:BS36" si="127">O30</f>
        <v>156.19200000000001</v>
      </c>
      <c r="BT30" s="82">
        <f t="shared" ref="BT30:BT36" si="128">S30</f>
        <v>130.45099999999999</v>
      </c>
      <c r="BU30" s="82">
        <f t="shared" ref="BU30:BU36" si="129">W30</f>
        <v>107.334</v>
      </c>
      <c r="BV30" s="82">
        <f t="shared" ref="BV30:BV36" si="130">AA30</f>
        <v>133.11099999999999</v>
      </c>
      <c r="BW30" s="82">
        <f t="shared" ref="BW30:BW36" si="131">AE30</f>
        <v>113.056</v>
      </c>
      <c r="BX30" s="82">
        <f t="shared" ref="BX30:BX36" si="132">AI30</f>
        <v>117.03400000000001</v>
      </c>
      <c r="BY30" s="81">
        <f t="shared" ref="BY30:BY36" si="133">AM30</f>
        <v>119.994</v>
      </c>
      <c r="BZ30" s="82">
        <f t="shared" ref="BZ30:BZ36" si="134">AQ30</f>
        <v>138.96700000000001</v>
      </c>
      <c r="CA30" s="82">
        <f t="shared" ref="CA30:CA36" si="135">AU30</f>
        <v>174.24700000000001</v>
      </c>
      <c r="CB30" s="82">
        <f t="shared" ref="CB30:CB36" si="136">AY30</f>
        <v>171.43899999999999</v>
      </c>
      <c r="CC30" s="82">
        <f t="shared" ref="CC30:CC36" si="137">BC30</f>
        <v>236.62899999999999</v>
      </c>
      <c r="CD30" s="82">
        <f t="shared" ref="CD30:CD36" si="138">BG30</f>
        <v>214.49313995888366</v>
      </c>
      <c r="CE30" s="82">
        <f t="shared" ref="CE30:CE36" si="139">BK30</f>
        <v>226.50287837330544</v>
      </c>
      <c r="CF30" s="83">
        <f t="shared" ref="CF30:CF36" si="140">BO30</f>
        <v>237.18648004976362</v>
      </c>
      <c r="CG30" s="115"/>
      <c r="CH30" s="81">
        <f t="shared" ref="CH30:CH36" si="141">H30</f>
        <v>128.99100000000001</v>
      </c>
      <c r="CI30" s="82">
        <f t="shared" ref="CI30:CI36" si="142">L30</f>
        <v>125.623</v>
      </c>
      <c r="CJ30" s="82">
        <f t="shared" ref="CJ30:CJ36" si="143">P30</f>
        <v>119.44</v>
      </c>
      <c r="CK30" s="82">
        <f t="shared" ref="CK30:CK36" si="144">T30</f>
        <v>82.600999999999999</v>
      </c>
      <c r="CL30" s="82">
        <f t="shared" ref="CL30:CL36" si="145">X30</f>
        <v>113.746</v>
      </c>
      <c r="CM30" s="82">
        <f t="shared" ref="CM30:CM36" si="146">AB30</f>
        <v>125.876</v>
      </c>
      <c r="CN30" s="82">
        <f t="shared" ref="CN30:CN36" si="147">AF30</f>
        <v>111.749</v>
      </c>
      <c r="CO30" s="82">
        <f t="shared" ref="CO30:CO36" si="148">AJ30</f>
        <v>113.879</v>
      </c>
      <c r="CP30" s="82">
        <f t="shared" ref="CP30:CP36" si="149">AN30</f>
        <v>124.619</v>
      </c>
      <c r="CQ30" s="82">
        <f t="shared" ref="CQ30:CQ36" si="150">AR30</f>
        <v>123.456</v>
      </c>
      <c r="CR30" s="82">
        <f t="shared" ref="CR30:CR36" si="151">AV30</f>
        <v>138.30199999999999</v>
      </c>
      <c r="CS30" s="82">
        <f t="shared" ref="CS30:CS36" si="152">AZ30</f>
        <v>156.65299999999999</v>
      </c>
      <c r="CT30" s="82">
        <f t="shared" ref="CT30:CT36" si="153">BD30</f>
        <v>236.62899999999999</v>
      </c>
      <c r="CU30" s="82">
        <f t="shared" ref="CU30:CU36" si="154">BH30</f>
        <v>211.20513035879566</v>
      </c>
      <c r="CV30" s="83">
        <f t="shared" ref="CV30:CV36" si="155">BL30</f>
        <v>222.6030923457073</v>
      </c>
      <c r="CW30" s="1149"/>
      <c r="DE30" s="995"/>
    </row>
    <row r="31" spans="1:109" ht="14.25" customHeight="1">
      <c r="A31" s="8"/>
      <c r="B31" s="31" t="s">
        <v>197</v>
      </c>
      <c r="C31" s="32"/>
      <c r="D31" s="85">
        <v>152.11199999999999</v>
      </c>
      <c r="E31" s="85">
        <v>128.95699999999999</v>
      </c>
      <c r="F31" s="85">
        <v>127.068</v>
      </c>
      <c r="G31" s="86">
        <v>121.80200000000001</v>
      </c>
      <c r="H31" s="85">
        <v>132.33199999999999</v>
      </c>
      <c r="I31" s="85">
        <v>152.864</v>
      </c>
      <c r="J31" s="85">
        <v>165.85</v>
      </c>
      <c r="K31" s="86">
        <v>146.72300000000001</v>
      </c>
      <c r="L31" s="85">
        <v>160.422</v>
      </c>
      <c r="M31" s="85">
        <v>154.322</v>
      </c>
      <c r="N31" s="85">
        <v>149.28299999999999</v>
      </c>
      <c r="O31" s="86">
        <v>151.423</v>
      </c>
      <c r="P31" s="85">
        <v>160.36600000000001</v>
      </c>
      <c r="Q31" s="85">
        <v>174.34899999999999</v>
      </c>
      <c r="R31" s="85">
        <v>174.07</v>
      </c>
      <c r="S31" s="86">
        <v>175.358</v>
      </c>
      <c r="T31" s="85">
        <v>151.14699999999999</v>
      </c>
      <c r="U31" s="85">
        <v>124.792</v>
      </c>
      <c r="V31" s="85">
        <v>123.876</v>
      </c>
      <c r="W31" s="86">
        <v>149.27799999999999</v>
      </c>
      <c r="X31" s="85">
        <v>177.029</v>
      </c>
      <c r="Y31" s="85">
        <v>206.65100000000001</v>
      </c>
      <c r="Z31" s="85">
        <v>214.727</v>
      </c>
      <c r="AA31" s="85">
        <v>242.84800000000001</v>
      </c>
      <c r="AB31" s="84">
        <v>253.25399999999999</v>
      </c>
      <c r="AC31" s="85">
        <v>269.52999999999997</v>
      </c>
      <c r="AD31" s="85">
        <v>277.52800000000002</v>
      </c>
      <c r="AE31" s="85">
        <v>233.249</v>
      </c>
      <c r="AF31" s="84">
        <v>227.261</v>
      </c>
      <c r="AG31" s="85">
        <v>244.15</v>
      </c>
      <c r="AH31" s="85">
        <v>246.67400000000001</v>
      </c>
      <c r="AI31" s="86">
        <v>238.541</v>
      </c>
      <c r="AJ31" s="84">
        <v>243.39599999999999</v>
      </c>
      <c r="AK31" s="85">
        <v>244.202</v>
      </c>
      <c r="AL31" s="85">
        <v>259.00299999999999</v>
      </c>
      <c r="AM31" s="86">
        <v>247.428</v>
      </c>
      <c r="AN31" s="84">
        <v>245.23599999999999</v>
      </c>
      <c r="AO31" s="85">
        <v>267.93299999999999</v>
      </c>
      <c r="AP31" s="85">
        <v>285.83199999999999</v>
      </c>
      <c r="AQ31" s="86">
        <v>278.435</v>
      </c>
      <c r="AR31" s="84">
        <v>278.22800000000001</v>
      </c>
      <c r="AS31" s="85">
        <v>295.428</v>
      </c>
      <c r="AT31" s="85">
        <v>307.26499999999999</v>
      </c>
      <c r="AU31" s="86">
        <v>300.08699999999999</v>
      </c>
      <c r="AV31" s="84">
        <v>298.27199999999999</v>
      </c>
      <c r="AW31" s="85">
        <v>317.29000000000002</v>
      </c>
      <c r="AX31" s="85">
        <v>327.44400000000002</v>
      </c>
      <c r="AY31" s="86">
        <v>351.53800000000001</v>
      </c>
      <c r="AZ31" s="84">
        <v>356.666</v>
      </c>
      <c r="BA31" s="85">
        <v>377.79199999999997</v>
      </c>
      <c r="BB31" s="85">
        <v>449.66300000000001</v>
      </c>
      <c r="BC31" s="86">
        <v>473.97199999999998</v>
      </c>
      <c r="BD31" s="84">
        <v>529.53200000000004</v>
      </c>
      <c r="BE31" s="82">
        <f t="shared" ref="BE31:BG32" si="156">BD31</f>
        <v>529.53200000000004</v>
      </c>
      <c r="BF31" s="82">
        <f t="shared" si="156"/>
        <v>529.53200000000004</v>
      </c>
      <c r="BG31" s="83">
        <f t="shared" si="156"/>
        <v>529.53200000000004</v>
      </c>
      <c r="BH31" s="81">
        <f t="shared" ref="BH31:BH32" si="157">BG31</f>
        <v>529.53200000000004</v>
      </c>
      <c r="BI31" s="82">
        <f t="shared" ref="BI31:BI32" si="158">BH31</f>
        <v>529.53200000000004</v>
      </c>
      <c r="BJ31" s="82">
        <f t="shared" ref="BJ31:BJ32" si="159">BI31</f>
        <v>529.53200000000004</v>
      </c>
      <c r="BK31" s="83">
        <f t="shared" ref="BK31:BK32" si="160">BJ31</f>
        <v>529.53200000000004</v>
      </c>
      <c r="BL31" s="81">
        <f t="shared" ref="BL31:BL32" si="161">BK31</f>
        <v>529.53200000000004</v>
      </c>
      <c r="BM31" s="82">
        <f t="shared" ref="BM31:BM32" si="162">BL31</f>
        <v>529.53200000000004</v>
      </c>
      <c r="BN31" s="82">
        <f t="shared" ref="BN31:BN32" si="163">BM31</f>
        <v>529.53200000000004</v>
      </c>
      <c r="BO31" s="83">
        <f t="shared" ref="BO31:BO32" si="164">BN31</f>
        <v>529.53200000000004</v>
      </c>
      <c r="BP31" s="115"/>
      <c r="BQ31" s="82">
        <f t="shared" si="125"/>
        <v>121.80200000000001</v>
      </c>
      <c r="BR31" s="82">
        <f t="shared" si="126"/>
        <v>146.72300000000001</v>
      </c>
      <c r="BS31" s="82">
        <f t="shared" si="127"/>
        <v>151.423</v>
      </c>
      <c r="BT31" s="82">
        <f t="shared" si="128"/>
        <v>175.358</v>
      </c>
      <c r="BU31" s="82">
        <f t="shared" si="129"/>
        <v>149.27799999999999</v>
      </c>
      <c r="BV31" s="82">
        <f t="shared" si="130"/>
        <v>242.84800000000001</v>
      </c>
      <c r="BW31" s="82">
        <f t="shared" si="131"/>
        <v>233.249</v>
      </c>
      <c r="BX31" s="82">
        <f t="shared" si="132"/>
        <v>238.541</v>
      </c>
      <c r="BY31" s="81">
        <f t="shared" si="133"/>
        <v>247.428</v>
      </c>
      <c r="BZ31" s="82">
        <f t="shared" si="134"/>
        <v>278.435</v>
      </c>
      <c r="CA31" s="82">
        <f t="shared" si="135"/>
        <v>300.08699999999999</v>
      </c>
      <c r="CB31" s="82">
        <f t="shared" si="136"/>
        <v>351.53800000000001</v>
      </c>
      <c r="CC31" s="82">
        <f t="shared" si="137"/>
        <v>473.97199999999998</v>
      </c>
      <c r="CD31" s="82">
        <f t="shared" si="138"/>
        <v>529.53200000000004</v>
      </c>
      <c r="CE31" s="82">
        <f t="shared" si="139"/>
        <v>529.53200000000004</v>
      </c>
      <c r="CF31" s="83">
        <f t="shared" si="140"/>
        <v>529.53200000000004</v>
      </c>
      <c r="CG31" s="115"/>
      <c r="CH31" s="81">
        <f t="shared" si="141"/>
        <v>132.33199999999999</v>
      </c>
      <c r="CI31" s="82">
        <f t="shared" si="142"/>
        <v>160.422</v>
      </c>
      <c r="CJ31" s="82">
        <f t="shared" si="143"/>
        <v>160.36600000000001</v>
      </c>
      <c r="CK31" s="82">
        <f t="shared" si="144"/>
        <v>151.14699999999999</v>
      </c>
      <c r="CL31" s="82">
        <f t="shared" si="145"/>
        <v>177.029</v>
      </c>
      <c r="CM31" s="82">
        <f t="shared" si="146"/>
        <v>253.25399999999999</v>
      </c>
      <c r="CN31" s="82">
        <f t="shared" si="147"/>
        <v>227.261</v>
      </c>
      <c r="CO31" s="82">
        <f t="shared" si="148"/>
        <v>243.39599999999999</v>
      </c>
      <c r="CP31" s="82">
        <f t="shared" si="149"/>
        <v>245.23599999999999</v>
      </c>
      <c r="CQ31" s="82">
        <f t="shared" si="150"/>
        <v>278.22800000000001</v>
      </c>
      <c r="CR31" s="82">
        <f t="shared" si="151"/>
        <v>298.27199999999999</v>
      </c>
      <c r="CS31" s="82">
        <f t="shared" si="152"/>
        <v>356.666</v>
      </c>
      <c r="CT31" s="82">
        <f t="shared" si="153"/>
        <v>529.53200000000004</v>
      </c>
      <c r="CU31" s="82">
        <f t="shared" si="154"/>
        <v>529.53200000000004</v>
      </c>
      <c r="CV31" s="83">
        <f t="shared" si="155"/>
        <v>529.53200000000004</v>
      </c>
      <c r="CW31" s="1149"/>
      <c r="DE31" s="995"/>
    </row>
    <row r="32" spans="1:109" ht="14.25" customHeight="1">
      <c r="A32" s="8"/>
      <c r="B32" s="31" t="s">
        <v>198</v>
      </c>
      <c r="C32" s="32"/>
      <c r="D32" s="85">
        <v>178.02</v>
      </c>
      <c r="E32" s="85">
        <v>172.42500000000001</v>
      </c>
      <c r="F32" s="85">
        <v>193.65199999999999</v>
      </c>
      <c r="G32" s="86">
        <v>172.27699999999999</v>
      </c>
      <c r="H32" s="85">
        <v>182.82</v>
      </c>
      <c r="I32" s="85">
        <v>220.00899999999999</v>
      </c>
      <c r="J32" s="85">
        <v>99.509</v>
      </c>
      <c r="K32" s="86">
        <v>60.956000000000003</v>
      </c>
      <c r="L32" s="85">
        <v>67.742000000000004</v>
      </c>
      <c r="M32" s="85">
        <v>106.46299999999999</v>
      </c>
      <c r="N32" s="85">
        <v>129.274</v>
      </c>
      <c r="O32" s="86">
        <v>65.69</v>
      </c>
      <c r="P32" s="85">
        <v>37.612000000000002</v>
      </c>
      <c r="Q32" s="85">
        <v>69.680999999999997</v>
      </c>
      <c r="R32" s="85">
        <v>75.025000000000006</v>
      </c>
      <c r="S32" s="86">
        <v>52.545999999999999</v>
      </c>
      <c r="T32" s="85">
        <v>37.616</v>
      </c>
      <c r="U32" s="85">
        <v>10.933999999999999</v>
      </c>
      <c r="V32" s="85">
        <v>13.951000000000001</v>
      </c>
      <c r="W32" s="86">
        <v>6.4450000000000003</v>
      </c>
      <c r="X32" s="85">
        <v>21.292999999999999</v>
      </c>
      <c r="Y32" s="85">
        <v>84.787000000000006</v>
      </c>
      <c r="Z32" s="85">
        <v>84.016999999999996</v>
      </c>
      <c r="AA32" s="85">
        <v>60.420999999999999</v>
      </c>
      <c r="AB32" s="84">
        <v>73.304000000000002</v>
      </c>
      <c r="AC32" s="85">
        <v>1.9990000000000001</v>
      </c>
      <c r="AD32" s="85">
        <v>17.236000000000001</v>
      </c>
      <c r="AE32" s="85">
        <v>6.5839999999999996</v>
      </c>
      <c r="AF32" s="84">
        <v>19.792999999999999</v>
      </c>
      <c r="AG32" s="85">
        <v>24.991</v>
      </c>
      <c r="AH32" s="85">
        <v>6.2489999999999997</v>
      </c>
      <c r="AI32" s="86">
        <v>6.0970000000000004</v>
      </c>
      <c r="AJ32" s="84">
        <v>28.199000000000002</v>
      </c>
      <c r="AK32" s="85">
        <v>12.487</v>
      </c>
      <c r="AL32" s="85">
        <v>6.9269999999999996</v>
      </c>
      <c r="AM32" s="86">
        <v>45.49</v>
      </c>
      <c r="AN32" s="84">
        <v>10.678000000000001</v>
      </c>
      <c r="AO32" s="85">
        <v>27.190999999999999</v>
      </c>
      <c r="AP32" s="85">
        <v>40.664000000000001</v>
      </c>
      <c r="AQ32" s="86">
        <v>62.77</v>
      </c>
      <c r="AR32" s="84">
        <v>17.683</v>
      </c>
      <c r="AS32" s="85">
        <v>32.625999999999998</v>
      </c>
      <c r="AT32" s="85">
        <v>35.154000000000003</v>
      </c>
      <c r="AU32" s="86">
        <v>15.061999999999999</v>
      </c>
      <c r="AV32" s="84">
        <v>8.1219999999999999</v>
      </c>
      <c r="AW32" s="85">
        <v>5.6269999999999998</v>
      </c>
      <c r="AX32" s="85">
        <v>2.3959999999999999</v>
      </c>
      <c r="AY32" s="86">
        <v>4.0999999999999996</v>
      </c>
      <c r="AZ32" s="84">
        <v>5.3460000000000001</v>
      </c>
      <c r="BA32" s="85">
        <v>60.563000000000002</v>
      </c>
      <c r="BB32" s="85">
        <v>22.300999999999998</v>
      </c>
      <c r="BC32" s="86">
        <v>86.905000000000001</v>
      </c>
      <c r="BD32" s="84">
        <f>BC32</f>
        <v>86.905000000000001</v>
      </c>
      <c r="BE32" s="82">
        <f t="shared" si="156"/>
        <v>86.905000000000001</v>
      </c>
      <c r="BF32" s="82">
        <f t="shared" si="156"/>
        <v>86.905000000000001</v>
      </c>
      <c r="BG32" s="83">
        <f t="shared" si="156"/>
        <v>86.905000000000001</v>
      </c>
      <c r="BH32" s="81">
        <f t="shared" si="157"/>
        <v>86.905000000000001</v>
      </c>
      <c r="BI32" s="82">
        <f t="shared" si="158"/>
        <v>86.905000000000001</v>
      </c>
      <c r="BJ32" s="82">
        <f t="shared" si="159"/>
        <v>86.905000000000001</v>
      </c>
      <c r="BK32" s="83">
        <f t="shared" si="160"/>
        <v>86.905000000000001</v>
      </c>
      <c r="BL32" s="81">
        <f t="shared" si="161"/>
        <v>86.905000000000001</v>
      </c>
      <c r="BM32" s="82">
        <f t="shared" si="162"/>
        <v>86.905000000000001</v>
      </c>
      <c r="BN32" s="82">
        <f t="shared" si="163"/>
        <v>86.905000000000001</v>
      </c>
      <c r="BO32" s="83">
        <f t="shared" si="164"/>
        <v>86.905000000000001</v>
      </c>
      <c r="BP32" s="115"/>
      <c r="BQ32" s="82">
        <f t="shared" si="125"/>
        <v>172.27699999999999</v>
      </c>
      <c r="BR32" s="82">
        <f t="shared" si="126"/>
        <v>60.956000000000003</v>
      </c>
      <c r="BS32" s="82">
        <f t="shared" si="127"/>
        <v>65.69</v>
      </c>
      <c r="BT32" s="82">
        <f t="shared" si="128"/>
        <v>52.545999999999999</v>
      </c>
      <c r="BU32" s="82">
        <f t="shared" si="129"/>
        <v>6.4450000000000003</v>
      </c>
      <c r="BV32" s="82">
        <f t="shared" si="130"/>
        <v>60.420999999999999</v>
      </c>
      <c r="BW32" s="82">
        <f t="shared" si="131"/>
        <v>6.5839999999999996</v>
      </c>
      <c r="BX32" s="82">
        <f t="shared" si="132"/>
        <v>6.0970000000000004</v>
      </c>
      <c r="BY32" s="81">
        <f t="shared" si="133"/>
        <v>45.49</v>
      </c>
      <c r="BZ32" s="82">
        <f t="shared" si="134"/>
        <v>62.77</v>
      </c>
      <c r="CA32" s="82">
        <f t="shared" si="135"/>
        <v>15.061999999999999</v>
      </c>
      <c r="CB32" s="82">
        <f t="shared" si="136"/>
        <v>4.0999999999999996</v>
      </c>
      <c r="CC32" s="82">
        <f t="shared" si="137"/>
        <v>86.905000000000001</v>
      </c>
      <c r="CD32" s="82">
        <f t="shared" si="138"/>
        <v>86.905000000000001</v>
      </c>
      <c r="CE32" s="82">
        <f t="shared" si="139"/>
        <v>86.905000000000001</v>
      </c>
      <c r="CF32" s="83">
        <f t="shared" si="140"/>
        <v>86.905000000000001</v>
      </c>
      <c r="CG32" s="115"/>
      <c r="CH32" s="81">
        <f t="shared" si="141"/>
        <v>182.82</v>
      </c>
      <c r="CI32" s="82">
        <f t="shared" si="142"/>
        <v>67.742000000000004</v>
      </c>
      <c r="CJ32" s="82">
        <f t="shared" si="143"/>
        <v>37.612000000000002</v>
      </c>
      <c r="CK32" s="82">
        <f t="shared" si="144"/>
        <v>37.616</v>
      </c>
      <c r="CL32" s="82">
        <f t="shared" si="145"/>
        <v>21.292999999999999</v>
      </c>
      <c r="CM32" s="82">
        <f t="shared" si="146"/>
        <v>73.304000000000002</v>
      </c>
      <c r="CN32" s="82">
        <f t="shared" si="147"/>
        <v>19.792999999999999</v>
      </c>
      <c r="CO32" s="82">
        <f t="shared" si="148"/>
        <v>28.199000000000002</v>
      </c>
      <c r="CP32" s="82">
        <f t="shared" si="149"/>
        <v>10.678000000000001</v>
      </c>
      <c r="CQ32" s="82">
        <f t="shared" si="150"/>
        <v>17.683</v>
      </c>
      <c r="CR32" s="82">
        <f t="shared" si="151"/>
        <v>8.1219999999999999</v>
      </c>
      <c r="CS32" s="82">
        <f t="shared" si="152"/>
        <v>5.3460000000000001</v>
      </c>
      <c r="CT32" s="82">
        <f t="shared" si="153"/>
        <v>86.905000000000001</v>
      </c>
      <c r="CU32" s="82">
        <f t="shared" si="154"/>
        <v>86.905000000000001</v>
      </c>
      <c r="CV32" s="83">
        <f t="shared" si="155"/>
        <v>86.905000000000001</v>
      </c>
      <c r="CW32" s="1149"/>
      <c r="DE32" s="995"/>
    </row>
    <row r="33" spans="1:109" ht="14.25" customHeight="1">
      <c r="A33" s="8"/>
      <c r="B33" s="31" t="s">
        <v>215</v>
      </c>
      <c r="C33" s="32"/>
      <c r="D33" s="85">
        <v>0</v>
      </c>
      <c r="E33" s="85">
        <v>0</v>
      </c>
      <c r="F33" s="85">
        <v>0</v>
      </c>
      <c r="G33" s="86">
        <v>0</v>
      </c>
      <c r="H33" s="85">
        <v>0</v>
      </c>
      <c r="I33" s="85">
        <v>0</v>
      </c>
      <c r="J33" s="85">
        <v>0</v>
      </c>
      <c r="K33" s="86">
        <v>0</v>
      </c>
      <c r="L33" s="85">
        <v>0</v>
      </c>
      <c r="M33" s="85">
        <v>0</v>
      </c>
      <c r="N33" s="85">
        <v>0</v>
      </c>
      <c r="O33" s="86">
        <v>0</v>
      </c>
      <c r="P33" s="85">
        <v>0</v>
      </c>
      <c r="Q33" s="85">
        <v>0</v>
      </c>
      <c r="R33" s="85">
        <v>0</v>
      </c>
      <c r="S33" s="86">
        <v>0</v>
      </c>
      <c r="T33" s="85">
        <v>0</v>
      </c>
      <c r="U33" s="85">
        <v>0</v>
      </c>
      <c r="V33" s="85">
        <v>0</v>
      </c>
      <c r="W33" s="86">
        <v>0</v>
      </c>
      <c r="X33" s="85">
        <v>0</v>
      </c>
      <c r="Y33" s="85">
        <v>0</v>
      </c>
      <c r="Z33" s="85">
        <v>0</v>
      </c>
      <c r="AA33" s="85">
        <v>0</v>
      </c>
      <c r="AB33" s="84">
        <v>14.5</v>
      </c>
      <c r="AC33" s="85">
        <v>14.5</v>
      </c>
      <c r="AD33" s="85">
        <v>14.5</v>
      </c>
      <c r="AE33" s="85">
        <v>14.5</v>
      </c>
      <c r="AF33" s="84">
        <v>14.5</v>
      </c>
      <c r="AG33" s="85">
        <v>14.5</v>
      </c>
      <c r="AH33" s="85">
        <v>14.5</v>
      </c>
      <c r="AI33" s="86">
        <v>14.5</v>
      </c>
      <c r="AJ33" s="84">
        <v>0</v>
      </c>
      <c r="AK33" s="85">
        <v>0</v>
      </c>
      <c r="AL33" s="85">
        <v>0</v>
      </c>
      <c r="AM33" s="86">
        <v>0</v>
      </c>
      <c r="AN33" s="84">
        <v>0</v>
      </c>
      <c r="AO33" s="85">
        <v>0</v>
      </c>
      <c r="AP33" s="85">
        <v>1995.3979999999999</v>
      </c>
      <c r="AQ33" s="86">
        <v>0</v>
      </c>
      <c r="AR33" s="84">
        <v>0</v>
      </c>
      <c r="AS33" s="85">
        <v>374.66399999999999</v>
      </c>
      <c r="AT33" s="85">
        <v>374.75200000000001</v>
      </c>
      <c r="AU33" s="86">
        <v>374.839</v>
      </c>
      <c r="AV33" s="84">
        <v>0</v>
      </c>
      <c r="AW33" s="85">
        <v>0</v>
      </c>
      <c r="AX33" s="85">
        <v>0</v>
      </c>
      <c r="AY33" s="86">
        <f>+AX33</f>
        <v>0</v>
      </c>
      <c r="AZ33" s="84">
        <v>0</v>
      </c>
      <c r="BA33" s="85">
        <v>4321.1689999999999</v>
      </c>
      <c r="BB33" s="85">
        <v>0</v>
      </c>
      <c r="BC33" s="86">
        <v>300</v>
      </c>
      <c r="BD33" s="84">
        <v>50</v>
      </c>
      <c r="BE33" s="82">
        <f t="shared" ref="BE33:BG33" si="165">+BD33</f>
        <v>50</v>
      </c>
      <c r="BF33" s="82">
        <f t="shared" si="165"/>
        <v>50</v>
      </c>
      <c r="BG33" s="83">
        <f t="shared" si="165"/>
        <v>50</v>
      </c>
      <c r="BH33" s="81">
        <f t="shared" ref="BH33" si="166">+BG33</f>
        <v>50</v>
      </c>
      <c r="BI33" s="82">
        <f t="shared" ref="BI33" si="167">+BH33</f>
        <v>50</v>
      </c>
      <c r="BJ33" s="82">
        <f t="shared" ref="BJ33" si="168">+BI33</f>
        <v>50</v>
      </c>
      <c r="BK33" s="83">
        <f t="shared" ref="BK33" si="169">+BJ33</f>
        <v>50</v>
      </c>
      <c r="BL33" s="81">
        <f t="shared" ref="BL33" si="170">+BK33</f>
        <v>50</v>
      </c>
      <c r="BM33" s="82">
        <f t="shared" ref="BM33" si="171">+BL33</f>
        <v>50</v>
      </c>
      <c r="BN33" s="82">
        <f t="shared" ref="BN33" si="172">+BM33</f>
        <v>50</v>
      </c>
      <c r="BO33" s="83">
        <f t="shared" ref="BO33" si="173">+BN33</f>
        <v>50</v>
      </c>
      <c r="BP33" s="115"/>
      <c r="BQ33" s="82">
        <f t="shared" si="125"/>
        <v>0</v>
      </c>
      <c r="BR33" s="82">
        <f t="shared" si="126"/>
        <v>0</v>
      </c>
      <c r="BS33" s="82">
        <f t="shared" si="127"/>
        <v>0</v>
      </c>
      <c r="BT33" s="82">
        <f t="shared" si="128"/>
        <v>0</v>
      </c>
      <c r="BU33" s="82">
        <f t="shared" si="129"/>
        <v>0</v>
      </c>
      <c r="BV33" s="82">
        <f t="shared" si="130"/>
        <v>0</v>
      </c>
      <c r="BW33" s="82">
        <f t="shared" si="131"/>
        <v>14.5</v>
      </c>
      <c r="BX33" s="82">
        <f t="shared" si="132"/>
        <v>14.5</v>
      </c>
      <c r="BY33" s="81">
        <f t="shared" si="133"/>
        <v>0</v>
      </c>
      <c r="BZ33" s="82">
        <f t="shared" si="134"/>
        <v>0</v>
      </c>
      <c r="CA33" s="82">
        <f t="shared" si="135"/>
        <v>374.839</v>
      </c>
      <c r="CB33" s="82">
        <f t="shared" si="136"/>
        <v>0</v>
      </c>
      <c r="CC33" s="82">
        <f t="shared" si="137"/>
        <v>300</v>
      </c>
      <c r="CD33" s="82">
        <f t="shared" si="138"/>
        <v>50</v>
      </c>
      <c r="CE33" s="82">
        <f t="shared" si="139"/>
        <v>50</v>
      </c>
      <c r="CF33" s="83">
        <f t="shared" si="140"/>
        <v>50</v>
      </c>
      <c r="CG33" s="115"/>
      <c r="CH33" s="81">
        <f t="shared" si="141"/>
        <v>0</v>
      </c>
      <c r="CI33" s="82">
        <f t="shared" si="142"/>
        <v>0</v>
      </c>
      <c r="CJ33" s="82">
        <f t="shared" si="143"/>
        <v>0</v>
      </c>
      <c r="CK33" s="82">
        <f t="shared" si="144"/>
        <v>0</v>
      </c>
      <c r="CL33" s="82">
        <f t="shared" si="145"/>
        <v>0</v>
      </c>
      <c r="CM33" s="82">
        <f t="shared" si="146"/>
        <v>14.5</v>
      </c>
      <c r="CN33" s="82">
        <f t="shared" si="147"/>
        <v>14.5</v>
      </c>
      <c r="CO33" s="82">
        <f t="shared" si="148"/>
        <v>0</v>
      </c>
      <c r="CP33" s="82">
        <f t="shared" si="149"/>
        <v>0</v>
      </c>
      <c r="CQ33" s="82">
        <f t="shared" si="150"/>
        <v>0</v>
      </c>
      <c r="CR33" s="82">
        <f t="shared" si="151"/>
        <v>0</v>
      </c>
      <c r="CS33" s="82">
        <f t="shared" si="152"/>
        <v>0</v>
      </c>
      <c r="CT33" s="82">
        <f t="shared" si="153"/>
        <v>50</v>
      </c>
      <c r="CU33" s="82">
        <f t="shared" si="154"/>
        <v>50</v>
      </c>
      <c r="CV33" s="83">
        <f t="shared" si="155"/>
        <v>50</v>
      </c>
      <c r="CW33" s="1149"/>
      <c r="DE33" s="995"/>
    </row>
    <row r="34" spans="1:109" ht="14.25" customHeight="1">
      <c r="A34" s="8"/>
      <c r="B34" s="31" t="s">
        <v>214</v>
      </c>
      <c r="C34" s="32"/>
      <c r="D34" s="85">
        <v>0</v>
      </c>
      <c r="E34" s="85">
        <v>0</v>
      </c>
      <c r="F34" s="85">
        <v>0</v>
      </c>
      <c r="G34" s="86">
        <v>234.376</v>
      </c>
      <c r="H34" s="85">
        <v>4.1580000000000004</v>
      </c>
      <c r="I34" s="85">
        <v>1.042</v>
      </c>
      <c r="J34" s="85">
        <v>1.0629999999999999</v>
      </c>
      <c r="K34" s="86">
        <v>1.109</v>
      </c>
      <c r="L34" s="85">
        <v>1.1100000000000001</v>
      </c>
      <c r="M34" s="85">
        <v>1.1779999999999999</v>
      </c>
      <c r="N34" s="85">
        <v>1.181</v>
      </c>
      <c r="O34" s="86">
        <v>1.2330000000000001</v>
      </c>
      <c r="P34" s="85">
        <v>1.1639999999999999</v>
      </c>
      <c r="Q34" s="85">
        <v>1.1850000000000001</v>
      </c>
      <c r="R34" s="85">
        <v>3.6739999999999999</v>
      </c>
      <c r="S34" s="86">
        <v>0.94199999999999995</v>
      </c>
      <c r="T34" s="85">
        <v>8.4930000000000003</v>
      </c>
      <c r="U34" s="85">
        <v>1.1200000000000001</v>
      </c>
      <c r="V34" s="85">
        <v>1.282</v>
      </c>
      <c r="W34" s="86">
        <v>1.363</v>
      </c>
      <c r="X34" s="85">
        <v>1.4410000000000001</v>
      </c>
      <c r="Y34" s="85">
        <v>1.637</v>
      </c>
      <c r="Z34" s="85">
        <v>0</v>
      </c>
      <c r="AA34" s="85">
        <v>0</v>
      </c>
      <c r="AB34" s="84">
        <v>0</v>
      </c>
      <c r="AC34" s="85">
        <v>0</v>
      </c>
      <c r="AD34" s="85">
        <v>0</v>
      </c>
      <c r="AE34" s="85">
        <v>0</v>
      </c>
      <c r="AF34" s="84">
        <v>0</v>
      </c>
      <c r="AG34" s="85">
        <v>0</v>
      </c>
      <c r="AH34" s="85">
        <v>0</v>
      </c>
      <c r="AI34" s="83">
        <v>0</v>
      </c>
      <c r="AJ34" s="84">
        <v>0</v>
      </c>
      <c r="AK34" s="85">
        <v>0</v>
      </c>
      <c r="AL34" s="85">
        <v>0</v>
      </c>
      <c r="AM34" s="86">
        <v>0</v>
      </c>
      <c r="AN34" s="84">
        <v>0</v>
      </c>
      <c r="AO34" s="85">
        <v>0</v>
      </c>
      <c r="AP34" s="85">
        <v>0</v>
      </c>
      <c r="AQ34" s="86">
        <v>0</v>
      </c>
      <c r="AR34" s="84">
        <v>0</v>
      </c>
      <c r="AS34" s="85">
        <v>0</v>
      </c>
      <c r="AT34" s="85">
        <v>0</v>
      </c>
      <c r="AU34" s="86">
        <v>0</v>
      </c>
      <c r="AV34" s="84">
        <v>0</v>
      </c>
      <c r="AW34" s="85">
        <v>0</v>
      </c>
      <c r="AX34" s="85">
        <v>0</v>
      </c>
      <c r="AY34" s="86">
        <v>0</v>
      </c>
      <c r="AZ34" s="84">
        <v>0</v>
      </c>
      <c r="BA34" s="85">
        <v>0</v>
      </c>
      <c r="BB34" s="85">
        <v>0</v>
      </c>
      <c r="BC34" s="86">
        <v>0</v>
      </c>
      <c r="BD34" s="84">
        <v>0</v>
      </c>
      <c r="BE34" s="82">
        <f t="shared" ref="BE34:BG36" si="174">BD34</f>
        <v>0</v>
      </c>
      <c r="BF34" s="82">
        <f t="shared" si="174"/>
        <v>0</v>
      </c>
      <c r="BG34" s="83">
        <f t="shared" si="174"/>
        <v>0</v>
      </c>
      <c r="BH34" s="81">
        <f t="shared" ref="BH34:BH36" si="175">BG34</f>
        <v>0</v>
      </c>
      <c r="BI34" s="82">
        <f t="shared" ref="BI34:BI36" si="176">BH34</f>
        <v>0</v>
      </c>
      <c r="BJ34" s="82">
        <f t="shared" ref="BJ34:BJ36" si="177">BI34</f>
        <v>0</v>
      </c>
      <c r="BK34" s="83">
        <f t="shared" ref="BK34:BK36" si="178">BJ34</f>
        <v>0</v>
      </c>
      <c r="BL34" s="81">
        <f t="shared" ref="BL34:BL36" si="179">BK34</f>
        <v>0</v>
      </c>
      <c r="BM34" s="82">
        <f t="shared" ref="BM34:BM36" si="180">BL34</f>
        <v>0</v>
      </c>
      <c r="BN34" s="82">
        <f t="shared" ref="BN34:BN36" si="181">BM34</f>
        <v>0</v>
      </c>
      <c r="BO34" s="83">
        <f t="shared" ref="BO34:BO36" si="182">BN34</f>
        <v>0</v>
      </c>
      <c r="BP34" s="115"/>
      <c r="BQ34" s="82">
        <f t="shared" si="125"/>
        <v>234.376</v>
      </c>
      <c r="BR34" s="82">
        <f t="shared" si="126"/>
        <v>1.109</v>
      </c>
      <c r="BS34" s="82">
        <f t="shared" si="127"/>
        <v>1.2330000000000001</v>
      </c>
      <c r="BT34" s="82">
        <f t="shared" si="128"/>
        <v>0.94199999999999995</v>
      </c>
      <c r="BU34" s="82">
        <f t="shared" si="129"/>
        <v>1.363</v>
      </c>
      <c r="BV34" s="82">
        <f t="shared" si="130"/>
        <v>0</v>
      </c>
      <c r="BW34" s="82">
        <f t="shared" si="131"/>
        <v>0</v>
      </c>
      <c r="BX34" s="82">
        <f t="shared" si="132"/>
        <v>0</v>
      </c>
      <c r="BY34" s="81">
        <f t="shared" si="133"/>
        <v>0</v>
      </c>
      <c r="BZ34" s="82">
        <f t="shared" si="134"/>
        <v>0</v>
      </c>
      <c r="CA34" s="82">
        <f t="shared" si="135"/>
        <v>0</v>
      </c>
      <c r="CB34" s="82">
        <f t="shared" si="136"/>
        <v>0</v>
      </c>
      <c r="CC34" s="82">
        <f t="shared" si="137"/>
        <v>0</v>
      </c>
      <c r="CD34" s="82">
        <f t="shared" si="138"/>
        <v>0</v>
      </c>
      <c r="CE34" s="82">
        <f t="shared" si="139"/>
        <v>0</v>
      </c>
      <c r="CF34" s="83">
        <f t="shared" si="140"/>
        <v>0</v>
      </c>
      <c r="CG34" s="115"/>
      <c r="CH34" s="81">
        <f t="shared" si="141"/>
        <v>4.1580000000000004</v>
      </c>
      <c r="CI34" s="82">
        <f t="shared" si="142"/>
        <v>1.1100000000000001</v>
      </c>
      <c r="CJ34" s="82">
        <f t="shared" si="143"/>
        <v>1.1639999999999999</v>
      </c>
      <c r="CK34" s="82">
        <f t="shared" si="144"/>
        <v>8.4930000000000003</v>
      </c>
      <c r="CL34" s="82">
        <f t="shared" si="145"/>
        <v>1.4410000000000001</v>
      </c>
      <c r="CM34" s="82">
        <f t="shared" si="146"/>
        <v>0</v>
      </c>
      <c r="CN34" s="82">
        <f t="shared" si="147"/>
        <v>0</v>
      </c>
      <c r="CO34" s="82">
        <f t="shared" si="148"/>
        <v>0</v>
      </c>
      <c r="CP34" s="82">
        <f t="shared" si="149"/>
        <v>0</v>
      </c>
      <c r="CQ34" s="82">
        <f t="shared" si="150"/>
        <v>0</v>
      </c>
      <c r="CR34" s="82">
        <f t="shared" si="151"/>
        <v>0</v>
      </c>
      <c r="CS34" s="82">
        <f t="shared" si="152"/>
        <v>0</v>
      </c>
      <c r="CT34" s="82">
        <f t="shared" si="153"/>
        <v>0</v>
      </c>
      <c r="CU34" s="82">
        <f t="shared" si="154"/>
        <v>0</v>
      </c>
      <c r="CV34" s="83">
        <f t="shared" si="155"/>
        <v>0</v>
      </c>
      <c r="CW34" s="1149"/>
      <c r="DE34" s="995"/>
    </row>
    <row r="35" spans="1:109" ht="14.25" customHeight="1">
      <c r="A35" s="8"/>
      <c r="B35" s="31" t="s">
        <v>91</v>
      </c>
      <c r="C35" s="32"/>
      <c r="D35" s="85">
        <v>108.029</v>
      </c>
      <c r="E35" s="85">
        <v>129.24600000000001</v>
      </c>
      <c r="F35" s="85">
        <v>107.863</v>
      </c>
      <c r="G35" s="86">
        <v>162.15100000000001</v>
      </c>
      <c r="H35" s="85">
        <v>155.88200000000001</v>
      </c>
      <c r="I35" s="85">
        <v>176.98599999999999</v>
      </c>
      <c r="J35" s="85">
        <v>152.429</v>
      </c>
      <c r="K35" s="86">
        <v>145.91300000000001</v>
      </c>
      <c r="L35" s="85">
        <v>133.608</v>
      </c>
      <c r="M35" s="85">
        <v>147.47300000000001</v>
      </c>
      <c r="N35" s="85">
        <v>141.13</v>
      </c>
      <c r="O35" s="86">
        <v>149.36000000000001</v>
      </c>
      <c r="P35" s="85">
        <v>185.84700000000001</v>
      </c>
      <c r="Q35" s="85">
        <v>171.63300000000001</v>
      </c>
      <c r="R35" s="85">
        <v>157.87299999999999</v>
      </c>
      <c r="S35" s="86">
        <v>191.30699999999999</v>
      </c>
      <c r="T35" s="85">
        <v>153.721</v>
      </c>
      <c r="U35" s="85">
        <v>137.33199999999999</v>
      </c>
      <c r="V35" s="85">
        <v>118.83</v>
      </c>
      <c r="W35" s="86">
        <v>122.193</v>
      </c>
      <c r="X35" s="85">
        <v>137.922</v>
      </c>
      <c r="Y35" s="85">
        <v>167.459</v>
      </c>
      <c r="Z35" s="85">
        <v>159.66800000000001</v>
      </c>
      <c r="AA35" s="85">
        <v>207.08699999999999</v>
      </c>
      <c r="AB35" s="84">
        <v>141.55699999999999</v>
      </c>
      <c r="AC35" s="85">
        <v>180.678</v>
      </c>
      <c r="AD35" s="85">
        <v>141.01400000000001</v>
      </c>
      <c r="AE35" s="85">
        <v>157.61600000000001</v>
      </c>
      <c r="AF35" s="84">
        <v>124.752</v>
      </c>
      <c r="AG35" s="85">
        <v>149.18700000000001</v>
      </c>
      <c r="AH35" s="85">
        <v>127.72799999999999</v>
      </c>
      <c r="AI35" s="86">
        <v>148.90700000000001</v>
      </c>
      <c r="AJ35" s="84">
        <v>123.06100000000001</v>
      </c>
      <c r="AK35" s="85">
        <v>134.21199999999999</v>
      </c>
      <c r="AL35" s="85">
        <v>112.529</v>
      </c>
      <c r="AM35" s="86">
        <v>157.6</v>
      </c>
      <c r="AN35" s="84">
        <v>138.96100000000001</v>
      </c>
      <c r="AO35" s="85">
        <v>143.88399999999999</v>
      </c>
      <c r="AP35" s="85">
        <v>157.97900000000001</v>
      </c>
      <c r="AQ35" s="86">
        <v>228.88399999999999</v>
      </c>
      <c r="AR35" s="84">
        <v>213.542</v>
      </c>
      <c r="AS35" s="85">
        <v>209.20099999999999</v>
      </c>
      <c r="AT35" s="85">
        <v>187.916</v>
      </c>
      <c r="AU35" s="86">
        <v>249.595</v>
      </c>
      <c r="AV35" s="84">
        <v>149.40899999999999</v>
      </c>
      <c r="AW35" s="85">
        <v>195.893</v>
      </c>
      <c r="AX35" s="85">
        <v>188.43700000000001</v>
      </c>
      <c r="AY35" s="86">
        <v>255.857</v>
      </c>
      <c r="AZ35" s="84">
        <v>292.96100000000001</v>
      </c>
      <c r="BA35" s="85">
        <v>499.51299999999998</v>
      </c>
      <c r="BB35" s="85">
        <v>400.98599999999999</v>
      </c>
      <c r="BC35" s="86">
        <v>498.82600000000002</v>
      </c>
      <c r="BD35" s="84">
        <f>657.016-BD32-BD30</f>
        <v>333.48199999999997</v>
      </c>
      <c r="BE35" s="82">
        <f t="shared" si="174"/>
        <v>333.48199999999997</v>
      </c>
      <c r="BF35" s="82">
        <f t="shared" si="174"/>
        <v>333.48199999999997</v>
      </c>
      <c r="BG35" s="83">
        <f t="shared" si="174"/>
        <v>333.48199999999997</v>
      </c>
      <c r="BH35" s="81">
        <f t="shared" si="175"/>
        <v>333.48199999999997</v>
      </c>
      <c r="BI35" s="82">
        <f t="shared" si="176"/>
        <v>333.48199999999997</v>
      </c>
      <c r="BJ35" s="82">
        <f t="shared" si="177"/>
        <v>333.48199999999997</v>
      </c>
      <c r="BK35" s="83">
        <f t="shared" si="178"/>
        <v>333.48199999999997</v>
      </c>
      <c r="BL35" s="81">
        <f t="shared" si="179"/>
        <v>333.48199999999997</v>
      </c>
      <c r="BM35" s="82">
        <f t="shared" si="180"/>
        <v>333.48199999999997</v>
      </c>
      <c r="BN35" s="82">
        <f t="shared" si="181"/>
        <v>333.48199999999997</v>
      </c>
      <c r="BO35" s="83">
        <f t="shared" si="182"/>
        <v>333.48199999999997</v>
      </c>
      <c r="BP35" s="115"/>
      <c r="BQ35" s="82">
        <f t="shared" si="125"/>
        <v>162.15100000000001</v>
      </c>
      <c r="BR35" s="82">
        <f t="shared" si="126"/>
        <v>145.91300000000001</v>
      </c>
      <c r="BS35" s="82">
        <f t="shared" si="127"/>
        <v>149.36000000000001</v>
      </c>
      <c r="BT35" s="82">
        <f t="shared" si="128"/>
        <v>191.30699999999999</v>
      </c>
      <c r="BU35" s="82">
        <f t="shared" si="129"/>
        <v>122.193</v>
      </c>
      <c r="BV35" s="82">
        <f t="shared" si="130"/>
        <v>207.08699999999999</v>
      </c>
      <c r="BW35" s="82">
        <f t="shared" si="131"/>
        <v>157.61600000000001</v>
      </c>
      <c r="BX35" s="82">
        <f t="shared" si="132"/>
        <v>148.90700000000001</v>
      </c>
      <c r="BY35" s="81">
        <f t="shared" si="133"/>
        <v>157.6</v>
      </c>
      <c r="BZ35" s="82">
        <f t="shared" si="134"/>
        <v>228.88399999999999</v>
      </c>
      <c r="CA35" s="82">
        <f t="shared" si="135"/>
        <v>249.595</v>
      </c>
      <c r="CB35" s="82">
        <f t="shared" si="136"/>
        <v>255.857</v>
      </c>
      <c r="CC35" s="82">
        <f t="shared" si="137"/>
        <v>498.82600000000002</v>
      </c>
      <c r="CD35" s="82">
        <f t="shared" si="138"/>
        <v>333.48199999999997</v>
      </c>
      <c r="CE35" s="82">
        <f t="shared" si="139"/>
        <v>333.48199999999997</v>
      </c>
      <c r="CF35" s="83">
        <f t="shared" si="140"/>
        <v>333.48199999999997</v>
      </c>
      <c r="CG35" s="115"/>
      <c r="CH35" s="81">
        <f t="shared" si="141"/>
        <v>155.88200000000001</v>
      </c>
      <c r="CI35" s="82">
        <f t="shared" si="142"/>
        <v>133.608</v>
      </c>
      <c r="CJ35" s="82">
        <f t="shared" si="143"/>
        <v>185.84700000000001</v>
      </c>
      <c r="CK35" s="82">
        <f t="shared" si="144"/>
        <v>153.721</v>
      </c>
      <c r="CL35" s="82">
        <f t="shared" si="145"/>
        <v>137.922</v>
      </c>
      <c r="CM35" s="82">
        <f t="shared" si="146"/>
        <v>141.55699999999999</v>
      </c>
      <c r="CN35" s="82">
        <f t="shared" si="147"/>
        <v>124.752</v>
      </c>
      <c r="CO35" s="82">
        <f t="shared" si="148"/>
        <v>123.06100000000001</v>
      </c>
      <c r="CP35" s="82">
        <f t="shared" si="149"/>
        <v>138.96100000000001</v>
      </c>
      <c r="CQ35" s="82">
        <f t="shared" si="150"/>
        <v>213.542</v>
      </c>
      <c r="CR35" s="82">
        <f t="shared" si="151"/>
        <v>149.40899999999999</v>
      </c>
      <c r="CS35" s="82">
        <f t="shared" si="152"/>
        <v>292.96100000000001</v>
      </c>
      <c r="CT35" s="82">
        <f t="shared" si="153"/>
        <v>333.48199999999997</v>
      </c>
      <c r="CU35" s="82">
        <f t="shared" si="154"/>
        <v>333.48199999999997</v>
      </c>
      <c r="CV35" s="83">
        <f t="shared" si="155"/>
        <v>333.48199999999997</v>
      </c>
      <c r="CW35" s="1149"/>
      <c r="DE35" s="995"/>
    </row>
    <row r="36" spans="1:109" ht="14.25" customHeight="1">
      <c r="A36" s="8"/>
      <c r="B36" s="117" t="s">
        <v>216</v>
      </c>
      <c r="C36" s="118"/>
      <c r="D36" s="386">
        <v>0</v>
      </c>
      <c r="E36" s="386">
        <v>0</v>
      </c>
      <c r="F36" s="386">
        <v>0</v>
      </c>
      <c r="G36" s="169">
        <v>0</v>
      </c>
      <c r="H36" s="386">
        <v>0</v>
      </c>
      <c r="I36" s="386">
        <v>0</v>
      </c>
      <c r="J36" s="386">
        <v>0</v>
      </c>
      <c r="K36" s="169">
        <v>13.316000000000001</v>
      </c>
      <c r="L36" s="386">
        <v>0</v>
      </c>
      <c r="M36" s="386">
        <v>0</v>
      </c>
      <c r="N36" s="386">
        <v>0</v>
      </c>
      <c r="O36" s="169">
        <v>24.152999999999999</v>
      </c>
      <c r="P36" s="386">
        <v>206.99600000000001</v>
      </c>
      <c r="Q36" s="386">
        <f>105.601</f>
        <v>105.601</v>
      </c>
      <c r="R36" s="386">
        <v>76.430999999999997</v>
      </c>
      <c r="S36" s="169">
        <v>18.454000000000001</v>
      </c>
      <c r="T36" s="386">
        <v>6.6760000000000002</v>
      </c>
      <c r="U36" s="386">
        <v>5.3049999999999997</v>
      </c>
      <c r="V36" s="386">
        <v>1.2</v>
      </c>
      <c r="W36" s="169">
        <v>0</v>
      </c>
      <c r="X36" s="386">
        <v>0</v>
      </c>
      <c r="Y36" s="386">
        <v>0</v>
      </c>
      <c r="Z36" s="386">
        <v>0</v>
      </c>
      <c r="AA36" s="386">
        <v>0</v>
      </c>
      <c r="AB36" s="498">
        <v>0</v>
      </c>
      <c r="AC36" s="386">
        <v>0</v>
      </c>
      <c r="AD36" s="386">
        <v>0</v>
      </c>
      <c r="AE36" s="386">
        <v>0</v>
      </c>
      <c r="AF36" s="498">
        <v>0</v>
      </c>
      <c r="AG36" s="386">
        <v>0</v>
      </c>
      <c r="AH36" s="386">
        <v>0</v>
      </c>
      <c r="AI36" s="120">
        <v>0</v>
      </c>
      <c r="AJ36" s="498">
        <v>0</v>
      </c>
      <c r="AK36" s="386">
        <v>0</v>
      </c>
      <c r="AL36" s="386">
        <v>0</v>
      </c>
      <c r="AM36" s="120">
        <f>AL36</f>
        <v>0</v>
      </c>
      <c r="AN36" s="498">
        <f>AM36</f>
        <v>0</v>
      </c>
      <c r="AO36" s="386">
        <v>0</v>
      </c>
      <c r="AP36" s="386">
        <v>0</v>
      </c>
      <c r="AQ36" s="120">
        <v>0</v>
      </c>
      <c r="AR36" s="498">
        <f>AQ36</f>
        <v>0</v>
      </c>
      <c r="AS36" s="386">
        <v>0</v>
      </c>
      <c r="AT36" s="386">
        <v>0</v>
      </c>
      <c r="AU36" s="120">
        <v>0</v>
      </c>
      <c r="AV36" s="498">
        <f>AU36</f>
        <v>0</v>
      </c>
      <c r="AW36" s="386">
        <v>0</v>
      </c>
      <c r="AX36" s="386">
        <v>0</v>
      </c>
      <c r="AY36" s="120">
        <v>0</v>
      </c>
      <c r="AZ36" s="498">
        <f>AY36</f>
        <v>0</v>
      </c>
      <c r="BA36" s="386">
        <v>0</v>
      </c>
      <c r="BB36" s="386">
        <v>0</v>
      </c>
      <c r="BC36" s="120">
        <v>0</v>
      </c>
      <c r="BD36" s="498">
        <f>BC36</f>
        <v>0</v>
      </c>
      <c r="BE36" s="119">
        <f t="shared" si="174"/>
        <v>0</v>
      </c>
      <c r="BF36" s="119">
        <f t="shared" si="174"/>
        <v>0</v>
      </c>
      <c r="BG36" s="120">
        <f t="shared" si="174"/>
        <v>0</v>
      </c>
      <c r="BH36" s="326">
        <f t="shared" si="175"/>
        <v>0</v>
      </c>
      <c r="BI36" s="119">
        <f t="shared" si="176"/>
        <v>0</v>
      </c>
      <c r="BJ36" s="119">
        <f t="shared" si="177"/>
        <v>0</v>
      </c>
      <c r="BK36" s="120">
        <f t="shared" si="178"/>
        <v>0</v>
      </c>
      <c r="BL36" s="326">
        <f t="shared" si="179"/>
        <v>0</v>
      </c>
      <c r="BM36" s="119">
        <f t="shared" si="180"/>
        <v>0</v>
      </c>
      <c r="BN36" s="119">
        <f t="shared" si="181"/>
        <v>0</v>
      </c>
      <c r="BO36" s="120">
        <f t="shared" si="182"/>
        <v>0</v>
      </c>
      <c r="BP36" s="115"/>
      <c r="BQ36" s="119">
        <f t="shared" si="125"/>
        <v>0</v>
      </c>
      <c r="BR36" s="119">
        <f t="shared" si="126"/>
        <v>13.316000000000001</v>
      </c>
      <c r="BS36" s="119">
        <f t="shared" si="127"/>
        <v>24.152999999999999</v>
      </c>
      <c r="BT36" s="119">
        <f t="shared" si="128"/>
        <v>18.454000000000001</v>
      </c>
      <c r="BU36" s="119">
        <f t="shared" si="129"/>
        <v>0</v>
      </c>
      <c r="BV36" s="119">
        <f t="shared" si="130"/>
        <v>0</v>
      </c>
      <c r="BW36" s="119">
        <f t="shared" si="131"/>
        <v>0</v>
      </c>
      <c r="BX36" s="119">
        <f t="shared" si="132"/>
        <v>0</v>
      </c>
      <c r="BY36" s="326">
        <f t="shared" si="133"/>
        <v>0</v>
      </c>
      <c r="BZ36" s="119">
        <f t="shared" si="134"/>
        <v>0</v>
      </c>
      <c r="CA36" s="119">
        <f t="shared" si="135"/>
        <v>0</v>
      </c>
      <c r="CB36" s="119">
        <f t="shared" si="136"/>
        <v>0</v>
      </c>
      <c r="CC36" s="119">
        <f t="shared" si="137"/>
        <v>0</v>
      </c>
      <c r="CD36" s="119">
        <f t="shared" si="138"/>
        <v>0</v>
      </c>
      <c r="CE36" s="119">
        <f t="shared" si="139"/>
        <v>0</v>
      </c>
      <c r="CF36" s="120">
        <f t="shared" si="140"/>
        <v>0</v>
      </c>
      <c r="CG36" s="23"/>
      <c r="CH36" s="326">
        <f t="shared" si="141"/>
        <v>0</v>
      </c>
      <c r="CI36" s="119">
        <f t="shared" si="142"/>
        <v>0</v>
      </c>
      <c r="CJ36" s="119">
        <f t="shared" si="143"/>
        <v>206.99600000000001</v>
      </c>
      <c r="CK36" s="119">
        <f t="shared" si="144"/>
        <v>6.6760000000000002</v>
      </c>
      <c r="CL36" s="119">
        <f t="shared" si="145"/>
        <v>0</v>
      </c>
      <c r="CM36" s="119">
        <f t="shared" si="146"/>
        <v>0</v>
      </c>
      <c r="CN36" s="119">
        <f t="shared" si="147"/>
        <v>0</v>
      </c>
      <c r="CO36" s="119">
        <f t="shared" si="148"/>
        <v>0</v>
      </c>
      <c r="CP36" s="119">
        <f t="shared" si="149"/>
        <v>0</v>
      </c>
      <c r="CQ36" s="119">
        <f t="shared" si="150"/>
        <v>0</v>
      </c>
      <c r="CR36" s="119">
        <f t="shared" si="151"/>
        <v>0</v>
      </c>
      <c r="CS36" s="119">
        <f t="shared" si="152"/>
        <v>0</v>
      </c>
      <c r="CT36" s="119">
        <f t="shared" si="153"/>
        <v>0</v>
      </c>
      <c r="CU36" s="119">
        <f t="shared" si="154"/>
        <v>0</v>
      </c>
      <c r="CV36" s="120">
        <f t="shared" si="155"/>
        <v>0</v>
      </c>
      <c r="CW36" s="1149"/>
      <c r="DE36" s="995"/>
    </row>
    <row r="37" spans="1:109" ht="14.25" customHeight="1">
      <c r="A37" s="8"/>
      <c r="B37" s="1190" t="s">
        <v>92</v>
      </c>
      <c r="C37" s="1191"/>
      <c r="D37" s="135">
        <f t="shared" ref="D37:AN37" si="183">SUM(D30:D36)</f>
        <v>533.13</v>
      </c>
      <c r="E37" s="121">
        <f t="shared" si="183"/>
        <v>536.36699999999996</v>
      </c>
      <c r="F37" s="121">
        <f t="shared" si="183"/>
        <v>542.33299999999997</v>
      </c>
      <c r="G37" s="122">
        <f t="shared" si="183"/>
        <v>818.923</v>
      </c>
      <c r="H37" s="123">
        <f t="shared" si="183"/>
        <v>604.18299999999999</v>
      </c>
      <c r="I37" s="121">
        <f t="shared" si="183"/>
        <v>695.68399999999997</v>
      </c>
      <c r="J37" s="121">
        <f t="shared" si="183"/>
        <v>585.16399999999999</v>
      </c>
      <c r="K37" s="122">
        <f t="shared" si="183"/>
        <v>490.94299999999998</v>
      </c>
      <c r="L37" s="123">
        <f t="shared" si="183"/>
        <v>488.50500000000005</v>
      </c>
      <c r="M37" s="121">
        <f t="shared" si="183"/>
        <v>548.125</v>
      </c>
      <c r="N37" s="121">
        <f t="shared" si="183"/>
        <v>559.85500000000002</v>
      </c>
      <c r="O37" s="122">
        <f t="shared" si="183"/>
        <v>548.05100000000004</v>
      </c>
      <c r="P37" s="123">
        <f t="shared" si="183"/>
        <v>711.42500000000007</v>
      </c>
      <c r="Q37" s="121">
        <f t="shared" si="183"/>
        <v>622.95699999999999</v>
      </c>
      <c r="R37" s="121">
        <f t="shared" si="183"/>
        <v>613.3130000000001</v>
      </c>
      <c r="S37" s="122">
        <f t="shared" si="183"/>
        <v>569.05799999999988</v>
      </c>
      <c r="T37" s="123">
        <f t="shared" si="183"/>
        <v>440.25399999999996</v>
      </c>
      <c r="U37" s="121">
        <f t="shared" si="183"/>
        <v>365.048</v>
      </c>
      <c r="V37" s="121">
        <f t="shared" si="183"/>
        <v>353.92599999999999</v>
      </c>
      <c r="W37" s="122">
        <f t="shared" si="183"/>
        <v>386.61299999999994</v>
      </c>
      <c r="X37" s="121">
        <f t="shared" si="183"/>
        <v>451.43099999999993</v>
      </c>
      <c r="Y37" s="121">
        <f t="shared" si="183"/>
        <v>564.71699999999998</v>
      </c>
      <c r="Z37" s="121">
        <f t="shared" si="183"/>
        <v>588.37900000000002</v>
      </c>
      <c r="AA37" s="122">
        <f t="shared" si="183"/>
        <v>643.46699999999998</v>
      </c>
      <c r="AB37" s="123">
        <f t="shared" si="183"/>
        <v>608.49099999999999</v>
      </c>
      <c r="AC37" s="121">
        <f t="shared" si="183"/>
        <v>588.15800000000002</v>
      </c>
      <c r="AD37" s="121">
        <f t="shared" si="183"/>
        <v>556.28700000000003</v>
      </c>
      <c r="AE37" s="122">
        <f t="shared" si="183"/>
        <v>525.005</v>
      </c>
      <c r="AF37" s="123">
        <f t="shared" si="183"/>
        <v>498.05500000000001</v>
      </c>
      <c r="AG37" s="121">
        <f t="shared" si="183"/>
        <v>558.57400000000007</v>
      </c>
      <c r="AH37" s="121">
        <f t="shared" si="183"/>
        <v>508.54200000000003</v>
      </c>
      <c r="AI37" s="122">
        <f t="shared" si="183"/>
        <v>525.07899999999995</v>
      </c>
      <c r="AJ37" s="123">
        <f>SUM(AJ30:AJ36)</f>
        <v>508.53499999999997</v>
      </c>
      <c r="AK37" s="121">
        <f>SUM(AK30:AK36)</f>
        <v>509.16199999999998</v>
      </c>
      <c r="AL37" s="121">
        <f t="shared" si="183"/>
        <v>491.80899999999997</v>
      </c>
      <c r="AM37" s="122">
        <f t="shared" si="183"/>
        <v>570.51200000000006</v>
      </c>
      <c r="AN37" s="123">
        <f t="shared" si="183"/>
        <v>519.49400000000003</v>
      </c>
      <c r="AO37" s="121">
        <f t="shared" ref="AO37:AX37" si="184">SUM(AO30:AO36)</f>
        <v>571.20199999999988</v>
      </c>
      <c r="AP37" s="121">
        <f t="shared" si="184"/>
        <v>2622.5259999999998</v>
      </c>
      <c r="AQ37" s="122">
        <f t="shared" si="184"/>
        <v>709.05600000000004</v>
      </c>
      <c r="AR37" s="123">
        <f t="shared" si="184"/>
        <v>632.90899999999999</v>
      </c>
      <c r="AS37" s="121">
        <f t="shared" si="184"/>
        <v>1068.2190000000001</v>
      </c>
      <c r="AT37" s="121">
        <f t="shared" si="184"/>
        <v>1057.77</v>
      </c>
      <c r="AU37" s="122">
        <f t="shared" si="184"/>
        <v>1113.83</v>
      </c>
      <c r="AV37" s="123">
        <f t="shared" si="184"/>
        <v>594.10500000000002</v>
      </c>
      <c r="AW37" s="121">
        <f t="shared" si="184"/>
        <v>684.6</v>
      </c>
      <c r="AX37" s="121">
        <f t="shared" si="184"/>
        <v>678.69299999999998</v>
      </c>
      <c r="AY37" s="122">
        <f t="shared" ref="AY37:BB37" si="185">SUM(AY30:AY36)</f>
        <v>782.93399999999997</v>
      </c>
      <c r="AZ37" s="123">
        <f t="shared" si="185"/>
        <v>811.62599999999998</v>
      </c>
      <c r="BA37" s="121">
        <f t="shared" si="185"/>
        <v>5449.2820000000002</v>
      </c>
      <c r="BB37" s="121">
        <f t="shared" si="185"/>
        <v>1101.077</v>
      </c>
      <c r="BC37" s="122">
        <f>SUM(BC30:BC36)</f>
        <v>1596.3319999999999</v>
      </c>
      <c r="BD37" s="123">
        <f t="shared" ref="BD37" si="186">SUM(BD30:BD36)</f>
        <v>1236.548</v>
      </c>
      <c r="BE37" s="121">
        <f t="shared" ref="BE37:BG37" si="187">SUM(BE30:BE36)</f>
        <v>1225.5739496247784</v>
      </c>
      <c r="BF37" s="121">
        <f t="shared" si="187"/>
        <v>1210.6541451026337</v>
      </c>
      <c r="BG37" s="122">
        <f t="shared" si="187"/>
        <v>1214.4121399588837</v>
      </c>
      <c r="BH37" s="123">
        <f t="shared" ref="BH37:BK37" si="188">SUM(BH30:BH36)</f>
        <v>1211.1241303587956</v>
      </c>
      <c r="BI37" s="121">
        <f t="shared" si="188"/>
        <v>1215.3009340993412</v>
      </c>
      <c r="BJ37" s="121">
        <f t="shared" si="188"/>
        <v>1218.5587427865796</v>
      </c>
      <c r="BK37" s="122">
        <f t="shared" si="188"/>
        <v>1226.4218783733054</v>
      </c>
      <c r="BL37" s="123">
        <f t="shared" ref="BL37:BO37" si="189">SUM(BL30:BL36)</f>
        <v>1222.5220923457073</v>
      </c>
      <c r="BM37" s="121">
        <f t="shared" si="189"/>
        <v>1226.7379922377993</v>
      </c>
      <c r="BN37" s="121">
        <f t="shared" si="189"/>
        <v>1229.6647319568424</v>
      </c>
      <c r="BO37" s="122">
        <f t="shared" si="189"/>
        <v>1237.1054800497636</v>
      </c>
      <c r="BP37" s="115"/>
      <c r="BQ37" s="124">
        <f t="shared" ref="BQ37:CB37" si="190">SUM(BQ30:BQ36)</f>
        <v>818.923</v>
      </c>
      <c r="BR37" s="124">
        <f t="shared" si="190"/>
        <v>490.94299999999998</v>
      </c>
      <c r="BS37" s="124">
        <f t="shared" si="190"/>
        <v>548.05100000000004</v>
      </c>
      <c r="BT37" s="124">
        <f t="shared" si="190"/>
        <v>569.05799999999988</v>
      </c>
      <c r="BU37" s="124">
        <f t="shared" si="190"/>
        <v>386.61299999999994</v>
      </c>
      <c r="BV37" s="124">
        <f t="shared" si="190"/>
        <v>643.46699999999998</v>
      </c>
      <c r="BW37" s="124">
        <f t="shared" si="190"/>
        <v>525.005</v>
      </c>
      <c r="BX37" s="124">
        <f t="shared" si="190"/>
        <v>525.07899999999995</v>
      </c>
      <c r="BY37" s="135">
        <f t="shared" si="190"/>
        <v>570.51200000000006</v>
      </c>
      <c r="BZ37" s="124">
        <f t="shared" si="190"/>
        <v>709.05600000000004</v>
      </c>
      <c r="CA37" s="124">
        <f t="shared" si="190"/>
        <v>1113.83</v>
      </c>
      <c r="CB37" s="124">
        <f t="shared" si="190"/>
        <v>782.93399999999997</v>
      </c>
      <c r="CC37" s="124">
        <f>SUM(CC30:CC36)</f>
        <v>1596.3319999999999</v>
      </c>
      <c r="CD37" s="124">
        <f>SUM(CD30:CD36)</f>
        <v>1214.4121399588837</v>
      </c>
      <c r="CE37" s="124">
        <f>SUM(CE30:CE36)</f>
        <v>1226.4218783733054</v>
      </c>
      <c r="CF37" s="125">
        <f>SUM(CF30:CF36)</f>
        <v>1237.1054800497636</v>
      </c>
      <c r="CG37" s="23"/>
      <c r="CH37" s="135">
        <f t="shared" ref="CH37:CR37" si="191">SUM(CH30:CH36)</f>
        <v>604.18299999999999</v>
      </c>
      <c r="CI37" s="124">
        <f t="shared" si="191"/>
        <v>488.50500000000005</v>
      </c>
      <c r="CJ37" s="124">
        <f t="shared" si="191"/>
        <v>711.42500000000007</v>
      </c>
      <c r="CK37" s="124">
        <f t="shared" si="191"/>
        <v>440.25399999999996</v>
      </c>
      <c r="CL37" s="124">
        <f t="shared" si="191"/>
        <v>451.43099999999993</v>
      </c>
      <c r="CM37" s="124">
        <f t="shared" si="191"/>
        <v>608.49099999999999</v>
      </c>
      <c r="CN37" s="124">
        <f t="shared" si="191"/>
        <v>498.05500000000001</v>
      </c>
      <c r="CO37" s="124">
        <f t="shared" si="191"/>
        <v>508.53499999999997</v>
      </c>
      <c r="CP37" s="124">
        <f t="shared" si="191"/>
        <v>519.49400000000003</v>
      </c>
      <c r="CQ37" s="124">
        <f t="shared" si="191"/>
        <v>632.90899999999999</v>
      </c>
      <c r="CR37" s="124">
        <f t="shared" si="191"/>
        <v>594.10500000000002</v>
      </c>
      <c r="CS37" s="124">
        <f>SUM(CS30:CS36)</f>
        <v>811.62599999999998</v>
      </c>
      <c r="CT37" s="124">
        <f>SUM(CT30:CT36)</f>
        <v>1236.548</v>
      </c>
      <c r="CU37" s="124">
        <f>SUM(CU30:CU36)</f>
        <v>1211.1241303587956</v>
      </c>
      <c r="CV37" s="125">
        <f>SUM(CV30:CV36)</f>
        <v>1222.5220923457073</v>
      </c>
      <c r="CW37" s="1149"/>
      <c r="DE37" s="995"/>
    </row>
    <row r="38" spans="1:109" ht="14.25" customHeight="1">
      <c r="A38" s="8"/>
      <c r="B38" s="26"/>
      <c r="C38" s="27"/>
      <c r="D38" s="84"/>
      <c r="E38" s="85"/>
      <c r="F38" s="85"/>
      <c r="G38" s="86"/>
      <c r="H38" s="84"/>
      <c r="I38" s="85"/>
      <c r="J38" s="85"/>
      <c r="K38" s="86"/>
      <c r="L38" s="84"/>
      <c r="M38" s="85"/>
      <c r="N38" s="85"/>
      <c r="O38" s="86"/>
      <c r="P38" s="84"/>
      <c r="Q38" s="85"/>
      <c r="R38" s="85"/>
      <c r="S38" s="86"/>
      <c r="T38" s="84"/>
      <c r="U38" s="85"/>
      <c r="V38" s="85"/>
      <c r="W38" s="86"/>
      <c r="X38" s="85"/>
      <c r="Y38" s="85"/>
      <c r="Z38" s="85"/>
      <c r="AA38" s="85"/>
      <c r="AB38" s="84"/>
      <c r="AC38" s="85"/>
      <c r="AD38" s="85"/>
      <c r="AE38" s="85"/>
      <c r="AF38" s="84"/>
      <c r="AG38" s="85"/>
      <c r="AH38" s="85"/>
      <c r="AI38" s="86"/>
      <c r="AJ38" s="84"/>
      <c r="AK38" s="85"/>
      <c r="AL38" s="85"/>
      <c r="AM38" s="86"/>
      <c r="AN38" s="84"/>
      <c r="AO38" s="85"/>
      <c r="AP38" s="85"/>
      <c r="AQ38" s="86"/>
      <c r="AR38" s="84"/>
      <c r="AS38" s="85"/>
      <c r="AT38" s="85"/>
      <c r="AU38" s="86"/>
      <c r="AV38" s="84"/>
      <c r="AW38" s="85"/>
      <c r="AX38" s="85"/>
      <c r="AY38" s="86"/>
      <c r="AZ38" s="84"/>
      <c r="BA38" s="85"/>
      <c r="BB38" s="85"/>
      <c r="BC38" s="86"/>
      <c r="BD38" s="84"/>
      <c r="BE38" s="85"/>
      <c r="BF38" s="85"/>
      <c r="BG38" s="86"/>
      <c r="BH38" s="84"/>
      <c r="BI38" s="85"/>
      <c r="BJ38" s="85"/>
      <c r="BK38" s="86"/>
      <c r="BL38" s="84"/>
      <c r="BM38" s="85"/>
      <c r="BN38" s="85"/>
      <c r="BO38" s="86"/>
      <c r="BP38" s="115"/>
      <c r="BQ38" s="85"/>
      <c r="BR38" s="85"/>
      <c r="BS38" s="85"/>
      <c r="BT38" s="85"/>
      <c r="BU38" s="85"/>
      <c r="BV38" s="85"/>
      <c r="BW38" s="85"/>
      <c r="BX38" s="85"/>
      <c r="BY38" s="84"/>
      <c r="BZ38" s="85"/>
      <c r="CA38" s="85"/>
      <c r="CB38" s="85"/>
      <c r="CC38" s="85"/>
      <c r="CD38" s="85"/>
      <c r="CE38" s="85"/>
      <c r="CF38" s="86"/>
      <c r="CG38" s="23"/>
      <c r="CH38" s="84"/>
      <c r="CI38" s="85"/>
      <c r="CJ38" s="85"/>
      <c r="CK38" s="85"/>
      <c r="CL38" s="85"/>
      <c r="CM38" s="85"/>
      <c r="CN38" s="85"/>
      <c r="CO38" s="85"/>
      <c r="CP38" s="85"/>
      <c r="CQ38" s="85"/>
      <c r="CR38" s="85"/>
      <c r="CS38" s="85"/>
      <c r="CT38" s="85"/>
      <c r="CU38" s="85"/>
      <c r="CV38" s="86"/>
      <c r="CW38" s="1149"/>
      <c r="DE38" s="995"/>
    </row>
    <row r="39" spans="1:109" ht="14.25" customHeight="1">
      <c r="A39" s="8"/>
      <c r="B39" s="31" t="s">
        <v>239</v>
      </c>
      <c r="C39" s="32"/>
      <c r="D39" s="84">
        <v>0</v>
      </c>
      <c r="E39" s="85">
        <v>0</v>
      </c>
      <c r="F39" s="85">
        <v>0</v>
      </c>
      <c r="G39" s="86">
        <v>0</v>
      </c>
      <c r="H39" s="84">
        <v>0</v>
      </c>
      <c r="I39" s="85">
        <v>0</v>
      </c>
      <c r="J39" s="85">
        <v>0</v>
      </c>
      <c r="K39" s="86">
        <v>0</v>
      </c>
      <c r="L39" s="84">
        <v>0</v>
      </c>
      <c r="M39" s="85">
        <v>0</v>
      </c>
      <c r="N39" s="85">
        <v>0</v>
      </c>
      <c r="O39" s="86">
        <v>0</v>
      </c>
      <c r="P39" s="84">
        <v>0</v>
      </c>
      <c r="Q39" s="85">
        <v>0</v>
      </c>
      <c r="R39" s="85">
        <v>0</v>
      </c>
      <c r="S39" s="86">
        <v>0</v>
      </c>
      <c r="T39" s="84">
        <v>0</v>
      </c>
      <c r="U39" s="85">
        <v>0</v>
      </c>
      <c r="V39" s="85">
        <v>374.92599999999999</v>
      </c>
      <c r="W39" s="86">
        <v>379.62599999999998</v>
      </c>
      <c r="X39" s="85">
        <v>381.42500000000001</v>
      </c>
      <c r="Y39" s="85">
        <v>383.30599999999998</v>
      </c>
      <c r="Z39" s="85">
        <v>395.75599999999997</v>
      </c>
      <c r="AA39" s="86">
        <v>400.63499999999999</v>
      </c>
      <c r="AB39" s="85">
        <v>523.04600000000005</v>
      </c>
      <c r="AC39" s="85">
        <v>892.43200000000002</v>
      </c>
      <c r="AD39" s="85">
        <v>875.76599999999996</v>
      </c>
      <c r="AE39" s="86">
        <v>871.87599999999998</v>
      </c>
      <c r="AF39" s="85">
        <v>855.66200000000003</v>
      </c>
      <c r="AG39" s="85">
        <v>847.98299999999995</v>
      </c>
      <c r="AH39" s="85">
        <v>842.54</v>
      </c>
      <c r="AI39" s="86">
        <v>807.09799999999996</v>
      </c>
      <c r="AJ39" s="85">
        <v>759.67200000000003</v>
      </c>
      <c r="AK39" s="85">
        <v>757.85500000000002</v>
      </c>
      <c r="AL39" s="85">
        <v>872.10400000000004</v>
      </c>
      <c r="AM39" s="86">
        <v>872.24099999999999</v>
      </c>
      <c r="AN39" s="85">
        <v>872.37800000000004</v>
      </c>
      <c r="AO39" s="85">
        <v>872.51499999999999</v>
      </c>
      <c r="AP39" s="85">
        <v>872.65200000000004</v>
      </c>
      <c r="AQ39" s="86">
        <v>872.78899999999999</v>
      </c>
      <c r="AR39" s="85">
        <v>872.92600000000004</v>
      </c>
      <c r="AS39" s="85">
        <v>498.399</v>
      </c>
      <c r="AT39" s="85">
        <v>498.44799999999998</v>
      </c>
      <c r="AU39" s="86">
        <v>498.49700000000001</v>
      </c>
      <c r="AV39" s="85">
        <v>1730.9480000000001</v>
      </c>
      <c r="AW39" s="85">
        <v>1731.336</v>
      </c>
      <c r="AX39" s="85">
        <v>1731.758</v>
      </c>
      <c r="AY39" s="86">
        <v>1732.1769999999999</v>
      </c>
      <c r="AZ39" s="85">
        <v>3805.4</v>
      </c>
      <c r="BA39" s="85">
        <f>8572.364</f>
        <v>8572.3639999999996</v>
      </c>
      <c r="BB39" s="85">
        <v>8199.23</v>
      </c>
      <c r="BC39" s="86">
        <v>7551.0839999999998</v>
      </c>
      <c r="BD39" s="85">
        <v>7384.8559999999998</v>
      </c>
      <c r="BE39" s="82">
        <f t="shared" ref="BE39:BG39" si="192">+BD39</f>
        <v>7384.8559999999998</v>
      </c>
      <c r="BF39" s="82">
        <f t="shared" si="192"/>
        <v>7384.8559999999998</v>
      </c>
      <c r="BG39" s="83">
        <f t="shared" si="192"/>
        <v>7384.8559999999998</v>
      </c>
      <c r="BH39" s="81">
        <f t="shared" ref="BH39" si="193">+BG39</f>
        <v>7384.8559999999998</v>
      </c>
      <c r="BI39" s="82">
        <f t="shared" ref="BI39" si="194">+BH39</f>
        <v>7384.8559999999998</v>
      </c>
      <c r="BJ39" s="82">
        <f t="shared" ref="BJ39" si="195">+BI39</f>
        <v>7384.8559999999998</v>
      </c>
      <c r="BK39" s="83">
        <f t="shared" ref="BK39" si="196">+BJ39</f>
        <v>7384.8559999999998</v>
      </c>
      <c r="BL39" s="81">
        <f t="shared" ref="BL39" si="197">+BK39</f>
        <v>7384.8559999999998</v>
      </c>
      <c r="BM39" s="82">
        <f t="shared" ref="BM39" si="198">+BL39</f>
        <v>7384.8559999999998</v>
      </c>
      <c r="BN39" s="82">
        <f t="shared" ref="BN39" si="199">+BM39</f>
        <v>7384.8559999999998</v>
      </c>
      <c r="BO39" s="83">
        <f t="shared" ref="BO39" si="200">+BN39</f>
        <v>7384.8559999999998</v>
      </c>
      <c r="BP39" s="115"/>
      <c r="BQ39" s="82">
        <f>G39</f>
        <v>0</v>
      </c>
      <c r="BR39" s="82">
        <f>K39</f>
        <v>0</v>
      </c>
      <c r="BS39" s="82">
        <f>O39</f>
        <v>0</v>
      </c>
      <c r="BT39" s="82">
        <f>S39</f>
        <v>0</v>
      </c>
      <c r="BU39" s="82">
        <f>W39</f>
        <v>379.62599999999998</v>
      </c>
      <c r="BV39" s="82">
        <f>AA39</f>
        <v>400.63499999999999</v>
      </c>
      <c r="BW39" s="82">
        <f>AE39</f>
        <v>871.87599999999998</v>
      </c>
      <c r="BX39" s="82">
        <f>AI39</f>
        <v>807.09799999999996</v>
      </c>
      <c r="BY39" s="81">
        <f>AM39</f>
        <v>872.24099999999999</v>
      </c>
      <c r="BZ39" s="82">
        <f>AQ39</f>
        <v>872.78899999999999</v>
      </c>
      <c r="CA39" s="82">
        <f>AU39</f>
        <v>498.49700000000001</v>
      </c>
      <c r="CB39" s="82">
        <f>AY39</f>
        <v>1732.1769999999999</v>
      </c>
      <c r="CC39" s="82">
        <f>BC39</f>
        <v>7551.0839999999998</v>
      </c>
      <c r="CD39" s="82">
        <f>BG39</f>
        <v>7384.8559999999998</v>
      </c>
      <c r="CE39" s="82">
        <f>BK39</f>
        <v>7384.8559999999998</v>
      </c>
      <c r="CF39" s="83">
        <f t="shared" ref="CF39:CF43" si="201">BO39</f>
        <v>7384.8559999999998</v>
      </c>
      <c r="CG39" s="1076"/>
      <c r="CH39" s="81">
        <f>H39</f>
        <v>0</v>
      </c>
      <c r="CI39" s="82">
        <f>L39</f>
        <v>0</v>
      </c>
      <c r="CJ39" s="82">
        <f>P39</f>
        <v>0</v>
      </c>
      <c r="CK39" s="82">
        <f>T39</f>
        <v>0</v>
      </c>
      <c r="CL39" s="82">
        <f>X39</f>
        <v>381.42500000000001</v>
      </c>
      <c r="CM39" s="82">
        <f>AB39</f>
        <v>523.04600000000005</v>
      </c>
      <c r="CN39" s="82">
        <f>AF39</f>
        <v>855.66200000000003</v>
      </c>
      <c r="CO39" s="82">
        <f>AJ39</f>
        <v>759.67200000000003</v>
      </c>
      <c r="CP39" s="82">
        <f>AN39</f>
        <v>872.37800000000004</v>
      </c>
      <c r="CQ39" s="82">
        <f>AR39</f>
        <v>872.92600000000004</v>
      </c>
      <c r="CR39" s="82">
        <f>AV39</f>
        <v>1730.9480000000001</v>
      </c>
      <c r="CS39" s="82">
        <f>AZ39</f>
        <v>3805.4</v>
      </c>
      <c r="CT39" s="82">
        <f>BD39</f>
        <v>7384.8559999999998</v>
      </c>
      <c r="CU39" s="82">
        <f>BH39</f>
        <v>7384.8559999999998</v>
      </c>
      <c r="CV39" s="83">
        <f t="shared" ref="CV39:CV43" si="202">BL39</f>
        <v>7384.8559999999998</v>
      </c>
      <c r="CW39" s="1149"/>
      <c r="DE39" s="995"/>
    </row>
    <row r="40" spans="1:109" ht="14.25" customHeight="1">
      <c r="A40" s="8"/>
      <c r="B40" s="31" t="s">
        <v>219</v>
      </c>
      <c r="C40" s="32"/>
      <c r="D40" s="84">
        <v>4</v>
      </c>
      <c r="E40" s="85">
        <v>8</v>
      </c>
      <c r="F40" s="85">
        <v>10</v>
      </c>
      <c r="G40" s="86">
        <v>1.7350000000000001</v>
      </c>
      <c r="H40" s="84">
        <v>5.7930000000000001</v>
      </c>
      <c r="I40" s="85">
        <v>8.3030000000000008</v>
      </c>
      <c r="J40" s="85">
        <v>3.6589999999999998</v>
      </c>
      <c r="K40" s="86">
        <v>3.4140000000000001</v>
      </c>
      <c r="L40" s="84">
        <v>15.837</v>
      </c>
      <c r="M40" s="85">
        <v>13.548999999999999</v>
      </c>
      <c r="N40" s="85">
        <v>7.3970000000000002</v>
      </c>
      <c r="O40" s="86">
        <v>10.146000000000001</v>
      </c>
      <c r="P40" s="84">
        <v>10.903</v>
      </c>
      <c r="Q40" s="85">
        <v>12.994999999999999</v>
      </c>
      <c r="R40" s="85">
        <v>12.933</v>
      </c>
      <c r="S40" s="86">
        <v>14.31</v>
      </c>
      <c r="T40" s="84">
        <v>11.134</v>
      </c>
      <c r="U40" s="85">
        <v>21.443999999999999</v>
      </c>
      <c r="V40" s="85">
        <v>20.827000000000002</v>
      </c>
      <c r="W40" s="86">
        <v>1.345</v>
      </c>
      <c r="X40" s="85">
        <v>45.911999999999999</v>
      </c>
      <c r="Y40" s="85">
        <v>34.079000000000001</v>
      </c>
      <c r="Z40" s="85">
        <v>28.748999999999999</v>
      </c>
      <c r="AA40" s="85">
        <v>1.8</v>
      </c>
      <c r="AB40" s="84">
        <v>1.597</v>
      </c>
      <c r="AC40" s="85">
        <v>1.5309999999999999</v>
      </c>
      <c r="AD40" s="85">
        <v>1.2230000000000001</v>
      </c>
      <c r="AE40" s="85">
        <v>1.26</v>
      </c>
      <c r="AF40" s="84">
        <v>1.7130000000000001</v>
      </c>
      <c r="AG40" s="85">
        <v>1.5469999999999999</v>
      </c>
      <c r="AH40" s="85">
        <v>1.524</v>
      </c>
      <c r="AI40" s="86">
        <v>1.1299999999999999</v>
      </c>
      <c r="AJ40" s="84">
        <v>1.129</v>
      </c>
      <c r="AK40" s="85">
        <v>4.4980000000000002</v>
      </c>
      <c r="AL40" s="85">
        <v>19.46</v>
      </c>
      <c r="AM40" s="86">
        <v>6.0369999999999999</v>
      </c>
      <c r="AN40" s="84">
        <v>17.506</v>
      </c>
      <c r="AO40" s="85">
        <v>21.202999999999999</v>
      </c>
      <c r="AP40" s="85">
        <v>276.23399999999998</v>
      </c>
      <c r="AQ40" s="86">
        <v>235.791</v>
      </c>
      <c r="AR40" s="84">
        <v>241.36699999999999</v>
      </c>
      <c r="AS40" s="85">
        <v>246.86600000000001</v>
      </c>
      <c r="AT40" s="85">
        <v>243.26300000000001</v>
      </c>
      <c r="AU40" s="86">
        <v>227.376</v>
      </c>
      <c r="AV40" s="84">
        <v>128.572</v>
      </c>
      <c r="AW40" s="85">
        <v>125.196</v>
      </c>
      <c r="AX40" s="85">
        <v>133.41200000000001</v>
      </c>
      <c r="AY40" s="86">
        <v>109.931</v>
      </c>
      <c r="AZ40" s="84">
        <v>103.244</v>
      </c>
      <c r="BA40" s="85">
        <v>2431.41</v>
      </c>
      <c r="BB40" s="85">
        <v>1730.2529999999999</v>
      </c>
      <c r="BC40" s="86">
        <v>1674.683</v>
      </c>
      <c r="BD40" s="84">
        <v>981.86599999999999</v>
      </c>
      <c r="BE40" s="82">
        <f t="shared" ref="BE40:BG42" si="203">BD40</f>
        <v>981.86599999999999</v>
      </c>
      <c r="BF40" s="82">
        <f t="shared" si="203"/>
        <v>981.86599999999999</v>
      </c>
      <c r="BG40" s="83">
        <f t="shared" si="203"/>
        <v>981.86599999999999</v>
      </c>
      <c r="BH40" s="81">
        <f t="shared" ref="BH40:BH42" si="204">BG40</f>
        <v>981.86599999999999</v>
      </c>
      <c r="BI40" s="82">
        <f t="shared" ref="BI40:BI42" si="205">BH40</f>
        <v>981.86599999999999</v>
      </c>
      <c r="BJ40" s="82">
        <f t="shared" ref="BJ40:BJ42" si="206">BI40</f>
        <v>981.86599999999999</v>
      </c>
      <c r="BK40" s="83">
        <f t="shared" ref="BK40:BK42" si="207">BJ40</f>
        <v>981.86599999999999</v>
      </c>
      <c r="BL40" s="81">
        <f t="shared" ref="BL40:BL42" si="208">BK40</f>
        <v>981.86599999999999</v>
      </c>
      <c r="BM40" s="82">
        <f t="shared" ref="BM40:BM42" si="209">BL40</f>
        <v>981.86599999999999</v>
      </c>
      <c r="BN40" s="82">
        <f t="shared" ref="BN40:BN42" si="210">BM40</f>
        <v>981.86599999999999</v>
      </c>
      <c r="BO40" s="83">
        <f t="shared" ref="BO40:BO42" si="211">BN40</f>
        <v>981.86599999999999</v>
      </c>
      <c r="BP40" s="115"/>
      <c r="BQ40" s="82">
        <f>G40</f>
        <v>1.7350000000000001</v>
      </c>
      <c r="BR40" s="82">
        <f>K40</f>
        <v>3.4140000000000001</v>
      </c>
      <c r="BS40" s="82">
        <f>O40</f>
        <v>10.146000000000001</v>
      </c>
      <c r="BT40" s="82">
        <f>S40</f>
        <v>14.31</v>
      </c>
      <c r="BU40" s="82">
        <f>W40</f>
        <v>1.345</v>
      </c>
      <c r="BV40" s="82">
        <f>AA40</f>
        <v>1.8</v>
      </c>
      <c r="BW40" s="82">
        <f>AE40</f>
        <v>1.26</v>
      </c>
      <c r="BX40" s="82">
        <f>AI40</f>
        <v>1.1299999999999999</v>
      </c>
      <c r="BY40" s="81">
        <f>AM40</f>
        <v>6.0369999999999999</v>
      </c>
      <c r="BZ40" s="82">
        <f>AQ40</f>
        <v>235.791</v>
      </c>
      <c r="CA40" s="82">
        <f>AU40</f>
        <v>227.376</v>
      </c>
      <c r="CB40" s="82">
        <f>AY40</f>
        <v>109.931</v>
      </c>
      <c r="CC40" s="82">
        <f>BC40</f>
        <v>1674.683</v>
      </c>
      <c r="CD40" s="82">
        <f>BG40</f>
        <v>981.86599999999999</v>
      </c>
      <c r="CE40" s="82">
        <f>BK40</f>
        <v>981.86599999999999</v>
      </c>
      <c r="CF40" s="83">
        <f t="shared" si="201"/>
        <v>981.86599999999999</v>
      </c>
      <c r="CG40" s="115"/>
      <c r="CH40" s="81">
        <f>H40</f>
        <v>5.7930000000000001</v>
      </c>
      <c r="CI40" s="82">
        <f>L40</f>
        <v>15.837</v>
      </c>
      <c r="CJ40" s="82">
        <f>P40</f>
        <v>10.903</v>
      </c>
      <c r="CK40" s="82">
        <f>T40</f>
        <v>11.134</v>
      </c>
      <c r="CL40" s="82">
        <f>X40</f>
        <v>45.911999999999999</v>
      </c>
      <c r="CM40" s="82">
        <f>AB40</f>
        <v>1.597</v>
      </c>
      <c r="CN40" s="82">
        <f>AF40</f>
        <v>1.7130000000000001</v>
      </c>
      <c r="CO40" s="82">
        <f>AJ40</f>
        <v>1.129</v>
      </c>
      <c r="CP40" s="82">
        <f>AN40</f>
        <v>17.506</v>
      </c>
      <c r="CQ40" s="82">
        <f>AR40</f>
        <v>241.36699999999999</v>
      </c>
      <c r="CR40" s="82">
        <f>AV40</f>
        <v>128.572</v>
      </c>
      <c r="CS40" s="82">
        <f>AZ40</f>
        <v>103.244</v>
      </c>
      <c r="CT40" s="82">
        <f>BD40</f>
        <v>981.86599999999999</v>
      </c>
      <c r="CU40" s="82">
        <f>BH40</f>
        <v>981.86599999999999</v>
      </c>
      <c r="CV40" s="83">
        <f t="shared" si="202"/>
        <v>981.86599999999999</v>
      </c>
      <c r="CW40" s="1149"/>
      <c r="DE40" s="995"/>
    </row>
    <row r="41" spans="1:109" ht="14.25" customHeight="1">
      <c r="A41" s="8"/>
      <c r="B41" s="31" t="s">
        <v>240</v>
      </c>
      <c r="C41" s="32"/>
      <c r="D41" s="84">
        <v>319.01299999999998</v>
      </c>
      <c r="E41" s="85">
        <v>303.36399999999998</v>
      </c>
      <c r="F41" s="85">
        <v>282.62799999999999</v>
      </c>
      <c r="G41" s="86">
        <v>44.656999999999996</v>
      </c>
      <c r="H41" s="84">
        <v>27.837</v>
      </c>
      <c r="I41" s="85">
        <v>29.353000000000002</v>
      </c>
      <c r="J41" s="85">
        <v>29.27</v>
      </c>
      <c r="K41" s="86">
        <v>30.632999999999999</v>
      </c>
      <c r="L41" s="84">
        <v>32.027999999999999</v>
      </c>
      <c r="M41" s="85">
        <v>33.176000000000002</v>
      </c>
      <c r="N41" s="85">
        <v>33.968000000000004</v>
      </c>
      <c r="O41" s="86">
        <v>35.32</v>
      </c>
      <c r="P41" s="84">
        <v>34.68</v>
      </c>
      <c r="Q41" s="85">
        <v>34.787999999999997</v>
      </c>
      <c r="R41" s="85">
        <v>33.042000000000002</v>
      </c>
      <c r="S41" s="86">
        <v>31.8</v>
      </c>
      <c r="T41" s="84">
        <v>6.9340000000000002</v>
      </c>
      <c r="U41" s="85">
        <v>7.548</v>
      </c>
      <c r="V41" s="85">
        <v>7.0759999999999996</v>
      </c>
      <c r="W41" s="86">
        <v>6.577</v>
      </c>
      <c r="X41" s="85">
        <v>7.2009999999999996</v>
      </c>
      <c r="Y41" s="85">
        <v>7.4119999999999999</v>
      </c>
      <c r="Z41" s="85">
        <v>7.9980000000000002</v>
      </c>
      <c r="AA41" s="85">
        <v>8.69</v>
      </c>
      <c r="AB41" s="84">
        <v>24.852</v>
      </c>
      <c r="AC41" s="85">
        <v>25.93</v>
      </c>
      <c r="AD41" s="85">
        <v>26.948</v>
      </c>
      <c r="AE41" s="85">
        <v>26.428000000000001</v>
      </c>
      <c r="AF41" s="84">
        <v>27.724</v>
      </c>
      <c r="AG41" s="85">
        <v>28.393000000000001</v>
      </c>
      <c r="AH41" s="85">
        <v>27.798999999999999</v>
      </c>
      <c r="AI41" s="86">
        <v>28.425999999999998</v>
      </c>
      <c r="AJ41" s="84">
        <v>28.904</v>
      </c>
      <c r="AK41" s="85">
        <v>14.862</v>
      </c>
      <c r="AL41" s="85">
        <v>16.239999999999998</v>
      </c>
      <c r="AM41" s="86">
        <v>17.364000000000001</v>
      </c>
      <c r="AN41" s="84">
        <v>18.047000000000001</v>
      </c>
      <c r="AO41" s="85">
        <v>18.867000000000001</v>
      </c>
      <c r="AP41" s="85">
        <v>20.003</v>
      </c>
      <c r="AQ41" s="86">
        <v>21.11</v>
      </c>
      <c r="AR41" s="84">
        <v>21.286000000000001</v>
      </c>
      <c r="AS41" s="85">
        <v>22.163</v>
      </c>
      <c r="AT41" s="85">
        <v>24.074999999999999</v>
      </c>
      <c r="AU41" s="86">
        <v>23.753</v>
      </c>
      <c r="AV41" s="84">
        <v>23.329000000000001</v>
      </c>
      <c r="AW41" s="85">
        <v>24.611999999999998</v>
      </c>
      <c r="AX41" s="85">
        <v>26.178000000000001</v>
      </c>
      <c r="AY41" s="86">
        <v>26.152000000000001</v>
      </c>
      <c r="AZ41" s="84">
        <v>25.699000000000002</v>
      </c>
      <c r="BA41" s="85">
        <v>27.323</v>
      </c>
      <c r="BB41" s="85">
        <v>31.506</v>
      </c>
      <c r="BC41" s="86">
        <v>32.572000000000003</v>
      </c>
      <c r="BD41" s="84">
        <f>902.266-BD42</f>
        <v>777.18299999999999</v>
      </c>
      <c r="BE41" s="82">
        <f t="shared" si="203"/>
        <v>777.18299999999999</v>
      </c>
      <c r="BF41" s="82">
        <f t="shared" si="203"/>
        <v>777.18299999999999</v>
      </c>
      <c r="BG41" s="83">
        <f t="shared" si="203"/>
        <v>777.18299999999999</v>
      </c>
      <c r="BH41" s="81">
        <f t="shared" si="204"/>
        <v>777.18299999999999</v>
      </c>
      <c r="BI41" s="82">
        <f t="shared" si="205"/>
        <v>777.18299999999999</v>
      </c>
      <c r="BJ41" s="82">
        <f t="shared" si="206"/>
        <v>777.18299999999999</v>
      </c>
      <c r="BK41" s="83">
        <f t="shared" si="207"/>
        <v>777.18299999999999</v>
      </c>
      <c r="BL41" s="81">
        <f t="shared" si="208"/>
        <v>777.18299999999999</v>
      </c>
      <c r="BM41" s="82">
        <f t="shared" si="209"/>
        <v>777.18299999999999</v>
      </c>
      <c r="BN41" s="82">
        <f t="shared" si="210"/>
        <v>777.18299999999999</v>
      </c>
      <c r="BO41" s="83">
        <f t="shared" si="211"/>
        <v>777.18299999999999</v>
      </c>
      <c r="BP41" s="115"/>
      <c r="BQ41" s="82">
        <f>G41</f>
        <v>44.656999999999996</v>
      </c>
      <c r="BR41" s="82">
        <f>K41</f>
        <v>30.632999999999999</v>
      </c>
      <c r="BS41" s="82">
        <f>O41</f>
        <v>35.32</v>
      </c>
      <c r="BT41" s="82">
        <f>S41</f>
        <v>31.8</v>
      </c>
      <c r="BU41" s="82">
        <f>W41</f>
        <v>6.577</v>
      </c>
      <c r="BV41" s="82">
        <f>AA41</f>
        <v>8.69</v>
      </c>
      <c r="BW41" s="82">
        <f>AE41</f>
        <v>26.428000000000001</v>
      </c>
      <c r="BX41" s="82">
        <f>AI41</f>
        <v>28.425999999999998</v>
      </c>
      <c r="BY41" s="81">
        <f>AM41</f>
        <v>17.364000000000001</v>
      </c>
      <c r="BZ41" s="82">
        <f>AQ41</f>
        <v>21.11</v>
      </c>
      <c r="CA41" s="82">
        <f>AU41</f>
        <v>23.753</v>
      </c>
      <c r="CB41" s="82">
        <f>AY41</f>
        <v>26.152000000000001</v>
      </c>
      <c r="CC41" s="82">
        <f>BC41</f>
        <v>32.572000000000003</v>
      </c>
      <c r="CD41" s="82">
        <f>BG41</f>
        <v>777.18299999999999</v>
      </c>
      <c r="CE41" s="82">
        <f>BK41</f>
        <v>777.18299999999999</v>
      </c>
      <c r="CF41" s="83">
        <f t="shared" si="201"/>
        <v>777.18299999999999</v>
      </c>
      <c r="CG41" s="115"/>
      <c r="CH41" s="81">
        <f>H41</f>
        <v>27.837</v>
      </c>
      <c r="CI41" s="82">
        <f>L41</f>
        <v>32.027999999999999</v>
      </c>
      <c r="CJ41" s="82">
        <f>P41</f>
        <v>34.68</v>
      </c>
      <c r="CK41" s="82">
        <f>T41</f>
        <v>6.9340000000000002</v>
      </c>
      <c r="CL41" s="82">
        <f>X41</f>
        <v>7.2009999999999996</v>
      </c>
      <c r="CM41" s="82">
        <f>AB41</f>
        <v>24.852</v>
      </c>
      <c r="CN41" s="82">
        <f>AF41</f>
        <v>27.724</v>
      </c>
      <c r="CO41" s="82">
        <f>AJ41</f>
        <v>28.904</v>
      </c>
      <c r="CP41" s="82">
        <f>AN41</f>
        <v>18.047000000000001</v>
      </c>
      <c r="CQ41" s="82">
        <f>AR41</f>
        <v>21.286000000000001</v>
      </c>
      <c r="CR41" s="82">
        <f>AV41</f>
        <v>23.329000000000001</v>
      </c>
      <c r="CS41" s="82">
        <f>AZ41</f>
        <v>25.699000000000002</v>
      </c>
      <c r="CT41" s="82">
        <f>BD41</f>
        <v>777.18299999999999</v>
      </c>
      <c r="CU41" s="82">
        <f>BH41</f>
        <v>777.18299999999999</v>
      </c>
      <c r="CV41" s="83">
        <f t="shared" si="202"/>
        <v>777.18299999999999</v>
      </c>
      <c r="CW41" s="1149"/>
      <c r="DE41" s="995"/>
    </row>
    <row r="42" spans="1:109" ht="14.25" customHeight="1">
      <c r="A42" s="8"/>
      <c r="B42" s="31" t="s">
        <v>241</v>
      </c>
      <c r="C42" s="32"/>
      <c r="D42" s="84">
        <v>21.562000000000001</v>
      </c>
      <c r="E42" s="85">
        <v>21.670999999999999</v>
      </c>
      <c r="F42" s="85">
        <v>21.824999999999999</v>
      </c>
      <c r="G42" s="86">
        <v>26.395</v>
      </c>
      <c r="H42" s="84">
        <v>26.736000000000001</v>
      </c>
      <c r="I42" s="85">
        <v>27.076000000000001</v>
      </c>
      <c r="J42" s="85">
        <v>26.72</v>
      </c>
      <c r="K42" s="86">
        <v>25.850999999999999</v>
      </c>
      <c r="L42" s="84">
        <v>26.24</v>
      </c>
      <c r="M42" s="85">
        <v>27.513000000000002</v>
      </c>
      <c r="N42" s="85">
        <v>28.541</v>
      </c>
      <c r="O42" s="86">
        <v>40.290999999999997</v>
      </c>
      <c r="P42" s="84">
        <v>38.682000000000002</v>
      </c>
      <c r="Q42" s="85">
        <v>41.564999999999998</v>
      </c>
      <c r="R42" s="85">
        <v>42.478999999999999</v>
      </c>
      <c r="S42" s="86">
        <v>55.561</v>
      </c>
      <c r="T42" s="84">
        <v>58.802999999999997</v>
      </c>
      <c r="U42" s="85">
        <v>61.048000000000002</v>
      </c>
      <c r="V42" s="85">
        <v>65.031000000000006</v>
      </c>
      <c r="W42" s="86">
        <v>66.096999999999994</v>
      </c>
      <c r="X42" s="85">
        <v>48.048000000000002</v>
      </c>
      <c r="Y42" s="85">
        <v>48.332999999999998</v>
      </c>
      <c r="Z42" s="85">
        <v>48.710999999999999</v>
      </c>
      <c r="AA42" s="85">
        <v>74.522000000000006</v>
      </c>
      <c r="AB42" s="84">
        <v>74.492000000000004</v>
      </c>
      <c r="AC42" s="85">
        <v>70.349999999999994</v>
      </c>
      <c r="AD42" s="85">
        <v>75.44</v>
      </c>
      <c r="AE42" s="85">
        <v>57.652999999999999</v>
      </c>
      <c r="AF42" s="84">
        <v>52.244999999999997</v>
      </c>
      <c r="AG42" s="85">
        <v>50.853000000000002</v>
      </c>
      <c r="AH42" s="85">
        <v>47.610999999999997</v>
      </c>
      <c r="AI42" s="86">
        <v>93.254999999999995</v>
      </c>
      <c r="AJ42" s="84">
        <v>94.771000000000001</v>
      </c>
      <c r="AK42" s="85">
        <v>94.069000000000003</v>
      </c>
      <c r="AL42" s="85">
        <v>95.777000000000001</v>
      </c>
      <c r="AM42" s="86">
        <v>176.02</v>
      </c>
      <c r="AN42" s="84">
        <v>176.40799999999999</v>
      </c>
      <c r="AO42" s="85">
        <v>179.64099999999999</v>
      </c>
      <c r="AP42" s="85">
        <v>174.85300000000001</v>
      </c>
      <c r="AQ42" s="86">
        <v>263.04700000000003</v>
      </c>
      <c r="AR42" s="84">
        <v>246.458</v>
      </c>
      <c r="AS42" s="85">
        <v>248.62</v>
      </c>
      <c r="AT42" s="85">
        <v>245.98400000000001</v>
      </c>
      <c r="AU42" s="86">
        <v>125.76300000000001</v>
      </c>
      <c r="AV42" s="84">
        <v>126.265</v>
      </c>
      <c r="AW42" s="85">
        <v>130.84700000000001</v>
      </c>
      <c r="AX42" s="85">
        <v>131.679</v>
      </c>
      <c r="AY42" s="86">
        <v>153.46600000000001</v>
      </c>
      <c r="AZ42" s="84">
        <v>150.971</v>
      </c>
      <c r="BA42" s="85">
        <v>175.709</v>
      </c>
      <c r="BB42" s="85">
        <v>130.029</v>
      </c>
      <c r="BC42" s="86">
        <v>125.083</v>
      </c>
      <c r="BD42" s="84">
        <f>BC42</f>
        <v>125.083</v>
      </c>
      <c r="BE42" s="82">
        <f t="shared" si="203"/>
        <v>125.083</v>
      </c>
      <c r="BF42" s="82">
        <f t="shared" si="203"/>
        <v>125.083</v>
      </c>
      <c r="BG42" s="83">
        <f t="shared" si="203"/>
        <v>125.083</v>
      </c>
      <c r="BH42" s="81">
        <f t="shared" si="204"/>
        <v>125.083</v>
      </c>
      <c r="BI42" s="82">
        <f t="shared" si="205"/>
        <v>125.083</v>
      </c>
      <c r="BJ42" s="82">
        <f t="shared" si="206"/>
        <v>125.083</v>
      </c>
      <c r="BK42" s="83">
        <f t="shared" si="207"/>
        <v>125.083</v>
      </c>
      <c r="BL42" s="81">
        <f t="shared" si="208"/>
        <v>125.083</v>
      </c>
      <c r="BM42" s="82">
        <f t="shared" si="209"/>
        <v>125.083</v>
      </c>
      <c r="BN42" s="82">
        <f t="shared" si="210"/>
        <v>125.083</v>
      </c>
      <c r="BO42" s="83">
        <f t="shared" si="211"/>
        <v>125.083</v>
      </c>
      <c r="BP42" s="115"/>
      <c r="BQ42" s="82">
        <f>G42</f>
        <v>26.395</v>
      </c>
      <c r="BR42" s="82">
        <f>K42</f>
        <v>25.850999999999999</v>
      </c>
      <c r="BS42" s="82">
        <f>O42</f>
        <v>40.290999999999997</v>
      </c>
      <c r="BT42" s="82">
        <f>S42</f>
        <v>55.561</v>
      </c>
      <c r="BU42" s="82">
        <f>W42</f>
        <v>66.096999999999994</v>
      </c>
      <c r="BV42" s="82">
        <f>AA42</f>
        <v>74.522000000000006</v>
      </c>
      <c r="BW42" s="82">
        <f>AE42</f>
        <v>57.652999999999999</v>
      </c>
      <c r="BX42" s="82">
        <f>AI42</f>
        <v>93.254999999999995</v>
      </c>
      <c r="BY42" s="81">
        <f>AM42</f>
        <v>176.02</v>
      </c>
      <c r="BZ42" s="82">
        <f>AQ42</f>
        <v>263.04700000000003</v>
      </c>
      <c r="CA42" s="82">
        <f>AU42</f>
        <v>125.76300000000001</v>
      </c>
      <c r="CB42" s="82">
        <f>AY42</f>
        <v>153.46600000000001</v>
      </c>
      <c r="CC42" s="82">
        <f>BC42</f>
        <v>125.083</v>
      </c>
      <c r="CD42" s="82">
        <f>BG42</f>
        <v>125.083</v>
      </c>
      <c r="CE42" s="82">
        <f>BK42</f>
        <v>125.083</v>
      </c>
      <c r="CF42" s="83">
        <f t="shared" si="201"/>
        <v>125.083</v>
      </c>
      <c r="CG42" s="115"/>
      <c r="CH42" s="81">
        <f>H42</f>
        <v>26.736000000000001</v>
      </c>
      <c r="CI42" s="82">
        <f>L42</f>
        <v>26.24</v>
      </c>
      <c r="CJ42" s="82">
        <f>P42</f>
        <v>38.682000000000002</v>
      </c>
      <c r="CK42" s="82">
        <f>T42</f>
        <v>58.802999999999997</v>
      </c>
      <c r="CL42" s="82">
        <f>X42</f>
        <v>48.048000000000002</v>
      </c>
      <c r="CM42" s="82">
        <f>AB42</f>
        <v>74.492000000000004</v>
      </c>
      <c r="CN42" s="82">
        <f>AF42</f>
        <v>52.244999999999997</v>
      </c>
      <c r="CO42" s="82">
        <f>AJ42</f>
        <v>94.771000000000001</v>
      </c>
      <c r="CP42" s="82">
        <f>AN42</f>
        <v>176.40799999999999</v>
      </c>
      <c r="CQ42" s="82">
        <f>AR42</f>
        <v>246.458</v>
      </c>
      <c r="CR42" s="82">
        <f>AV42</f>
        <v>126.265</v>
      </c>
      <c r="CS42" s="82">
        <f>AZ42</f>
        <v>150.971</v>
      </c>
      <c r="CT42" s="82">
        <f>BD42</f>
        <v>125.083</v>
      </c>
      <c r="CU42" s="82">
        <f>BH42</f>
        <v>125.083</v>
      </c>
      <c r="CV42" s="83">
        <f t="shared" si="202"/>
        <v>125.083</v>
      </c>
      <c r="CW42" s="1149"/>
      <c r="DE42" s="995"/>
    </row>
    <row r="43" spans="1:109" ht="14.25" customHeight="1">
      <c r="A43" s="8"/>
      <c r="B43" s="31" t="s">
        <v>218</v>
      </c>
      <c r="C43" s="32"/>
      <c r="D43" s="84">
        <v>0</v>
      </c>
      <c r="E43" s="85">
        <v>0</v>
      </c>
      <c r="F43" s="85">
        <v>0</v>
      </c>
      <c r="G43" s="86">
        <v>0</v>
      </c>
      <c r="H43" s="84">
        <v>0</v>
      </c>
      <c r="I43" s="85">
        <v>0</v>
      </c>
      <c r="J43" s="85">
        <v>0</v>
      </c>
      <c r="K43" s="86">
        <v>0.217</v>
      </c>
      <c r="L43" s="84">
        <v>0</v>
      </c>
      <c r="M43" s="85">
        <v>0</v>
      </c>
      <c r="N43" s="85">
        <v>0</v>
      </c>
      <c r="O43" s="86">
        <v>0</v>
      </c>
      <c r="P43" s="84">
        <v>0</v>
      </c>
      <c r="Q43" s="85">
        <v>0</v>
      </c>
      <c r="R43" s="85">
        <v>0</v>
      </c>
      <c r="S43" s="86">
        <v>0</v>
      </c>
      <c r="T43" s="84">
        <v>0</v>
      </c>
      <c r="U43" s="85">
        <v>0</v>
      </c>
      <c r="V43" s="85">
        <v>0</v>
      </c>
      <c r="W43" s="86">
        <v>0</v>
      </c>
      <c r="X43" s="85">
        <v>0</v>
      </c>
      <c r="Y43" s="85">
        <v>0</v>
      </c>
      <c r="Z43" s="85">
        <v>0</v>
      </c>
      <c r="AA43" s="85">
        <v>0</v>
      </c>
      <c r="AB43" s="84">
        <v>0</v>
      </c>
      <c r="AC43" s="85">
        <v>0</v>
      </c>
      <c r="AD43" s="85">
        <v>0</v>
      </c>
      <c r="AE43" s="85">
        <v>0</v>
      </c>
      <c r="AF43" s="84">
        <v>0</v>
      </c>
      <c r="AG43" s="85">
        <v>0</v>
      </c>
      <c r="AH43" s="85">
        <v>0</v>
      </c>
      <c r="AI43" s="86">
        <v>0</v>
      </c>
      <c r="AJ43" s="84">
        <v>0</v>
      </c>
      <c r="AK43" s="85">
        <v>0</v>
      </c>
      <c r="AL43" s="85">
        <v>0</v>
      </c>
      <c r="AM43" s="86">
        <v>0</v>
      </c>
      <c r="AN43" s="84">
        <v>0</v>
      </c>
      <c r="AO43" s="85">
        <v>0</v>
      </c>
      <c r="AP43" s="85">
        <v>0</v>
      </c>
      <c r="AQ43" s="86">
        <v>0</v>
      </c>
      <c r="AR43" s="84">
        <v>0</v>
      </c>
      <c r="AS43" s="85">
        <v>0</v>
      </c>
      <c r="AT43" s="85">
        <v>0</v>
      </c>
      <c r="AU43" s="86">
        <v>0</v>
      </c>
      <c r="AV43" s="84">
        <v>0</v>
      </c>
      <c r="AW43" s="85">
        <v>0</v>
      </c>
      <c r="AX43" s="85">
        <v>0</v>
      </c>
      <c r="AY43" s="86">
        <v>0</v>
      </c>
      <c r="AZ43" s="84">
        <v>0</v>
      </c>
      <c r="BA43" s="85">
        <v>0</v>
      </c>
      <c r="BB43" s="85">
        <v>0</v>
      </c>
      <c r="BC43" s="86">
        <v>0</v>
      </c>
      <c r="BD43" s="84">
        <v>0</v>
      </c>
      <c r="BE43" s="82">
        <f>BD43+CFS!BE50</f>
        <v>0</v>
      </c>
      <c r="BF43" s="82">
        <f>BE43+CFS!BF50</f>
        <v>0</v>
      </c>
      <c r="BG43" s="83">
        <f>BF43+CFS!BG50</f>
        <v>0</v>
      </c>
      <c r="BH43" s="81">
        <f>BG43+CFS!BH50</f>
        <v>0</v>
      </c>
      <c r="BI43" s="82">
        <f>BH43+CFS!BI50</f>
        <v>0</v>
      </c>
      <c r="BJ43" s="82">
        <f>BI43+CFS!BJ50</f>
        <v>0</v>
      </c>
      <c r="BK43" s="83">
        <f>BJ43+CFS!BK50</f>
        <v>0</v>
      </c>
      <c r="BL43" s="81">
        <f>BK43+CFS!BL50</f>
        <v>0</v>
      </c>
      <c r="BM43" s="82">
        <f>BL43+CFS!BM50</f>
        <v>0</v>
      </c>
      <c r="BN43" s="82">
        <f>BM43+CFS!BN50</f>
        <v>0</v>
      </c>
      <c r="BO43" s="83">
        <f>BN43+CFS!BO50</f>
        <v>0</v>
      </c>
      <c r="BP43" s="115"/>
      <c r="BQ43" s="82">
        <f>G43</f>
        <v>0</v>
      </c>
      <c r="BR43" s="82">
        <f>K43</f>
        <v>0.217</v>
      </c>
      <c r="BS43" s="82">
        <f>O43</f>
        <v>0</v>
      </c>
      <c r="BT43" s="82">
        <f>S43</f>
        <v>0</v>
      </c>
      <c r="BU43" s="82">
        <f>W43</f>
        <v>0</v>
      </c>
      <c r="BV43" s="82">
        <f>AA43</f>
        <v>0</v>
      </c>
      <c r="BW43" s="82">
        <f>AE43</f>
        <v>0</v>
      </c>
      <c r="BX43" s="82">
        <f>AI43</f>
        <v>0</v>
      </c>
      <c r="BY43" s="81">
        <f>AM43</f>
        <v>0</v>
      </c>
      <c r="BZ43" s="82">
        <f>AQ43</f>
        <v>0</v>
      </c>
      <c r="CA43" s="82">
        <f>AU43</f>
        <v>0</v>
      </c>
      <c r="CB43" s="82">
        <f>AY43</f>
        <v>0</v>
      </c>
      <c r="CC43" s="82">
        <f>BC43</f>
        <v>0</v>
      </c>
      <c r="CD43" s="82">
        <f>BG43</f>
        <v>0</v>
      </c>
      <c r="CE43" s="82">
        <f>BK43</f>
        <v>0</v>
      </c>
      <c r="CF43" s="83">
        <f t="shared" si="201"/>
        <v>0</v>
      </c>
      <c r="CG43" s="23"/>
      <c r="CH43" s="81">
        <f>H43</f>
        <v>0</v>
      </c>
      <c r="CI43" s="82">
        <f>L43</f>
        <v>0</v>
      </c>
      <c r="CJ43" s="82">
        <f>P43</f>
        <v>0</v>
      </c>
      <c r="CK43" s="82">
        <f>T43</f>
        <v>0</v>
      </c>
      <c r="CL43" s="82">
        <f>X43</f>
        <v>0</v>
      </c>
      <c r="CM43" s="82">
        <f>AB43</f>
        <v>0</v>
      </c>
      <c r="CN43" s="82">
        <f>AF43</f>
        <v>0</v>
      </c>
      <c r="CO43" s="82">
        <f>AJ43</f>
        <v>0</v>
      </c>
      <c r="CP43" s="82">
        <f>AN43</f>
        <v>0</v>
      </c>
      <c r="CQ43" s="82">
        <f>AR43</f>
        <v>0</v>
      </c>
      <c r="CR43" s="82">
        <f>AV43</f>
        <v>0</v>
      </c>
      <c r="CS43" s="82">
        <f>AZ43</f>
        <v>0</v>
      </c>
      <c r="CT43" s="82">
        <f>BD43</f>
        <v>0</v>
      </c>
      <c r="CU43" s="82">
        <f>BH43</f>
        <v>0</v>
      </c>
      <c r="CV43" s="83">
        <f t="shared" si="202"/>
        <v>0</v>
      </c>
      <c r="CW43" s="1149"/>
      <c r="DE43" s="995"/>
    </row>
    <row r="44" spans="1:109" ht="14.25" customHeight="1">
      <c r="A44" s="8"/>
      <c r="B44" s="26"/>
      <c r="C44" s="27"/>
      <c r="D44" s="84"/>
      <c r="E44" s="85"/>
      <c r="F44" s="85"/>
      <c r="G44" s="86"/>
      <c r="H44" s="84"/>
      <c r="I44" s="85"/>
      <c r="J44" s="85"/>
      <c r="K44" s="86"/>
      <c r="L44" s="84"/>
      <c r="M44" s="85"/>
      <c r="N44" s="85"/>
      <c r="O44" s="86"/>
      <c r="P44" s="84"/>
      <c r="Q44" s="85"/>
      <c r="R44" s="85"/>
      <c r="S44" s="86"/>
      <c r="T44" s="84"/>
      <c r="U44" s="85"/>
      <c r="V44" s="85"/>
      <c r="W44" s="86"/>
      <c r="X44" s="85"/>
      <c r="Y44" s="85"/>
      <c r="Z44" s="85"/>
      <c r="AA44" s="85"/>
      <c r="AB44" s="377"/>
      <c r="AC44" s="85"/>
      <c r="AD44" s="85"/>
      <c r="AE44" s="85"/>
      <c r="AF44" s="377"/>
      <c r="AG44" s="85"/>
      <c r="AH44" s="85"/>
      <c r="AI44" s="86"/>
      <c r="AJ44" s="84"/>
      <c r="AK44" s="85"/>
      <c r="AL44" s="85"/>
      <c r="AM44" s="86"/>
      <c r="AN44" s="84"/>
      <c r="AO44" s="85"/>
      <c r="AP44" s="85"/>
      <c r="AQ44" s="86"/>
      <c r="AR44" s="84"/>
      <c r="AS44" s="85"/>
      <c r="AT44" s="85"/>
      <c r="AU44" s="86"/>
      <c r="AV44" s="84"/>
      <c r="AW44" s="85"/>
      <c r="AX44" s="85"/>
      <c r="AY44" s="86"/>
      <c r="AZ44" s="84"/>
      <c r="BA44" s="85"/>
      <c r="BB44" s="85"/>
      <c r="BC44" s="86"/>
      <c r="BD44" s="84"/>
      <c r="BE44" s="85"/>
      <c r="BF44" s="85"/>
      <c r="BG44" s="86"/>
      <c r="BH44" s="84"/>
      <c r="BI44" s="85"/>
      <c r="BJ44" s="85"/>
      <c r="BK44" s="86"/>
      <c r="BL44" s="84"/>
      <c r="BM44" s="85"/>
      <c r="BN44" s="85"/>
      <c r="BO44" s="86"/>
      <c r="BP44" s="115"/>
      <c r="BQ44" s="85"/>
      <c r="BR44" s="85"/>
      <c r="BS44" s="85"/>
      <c r="BT44" s="85"/>
      <c r="BU44" s="85"/>
      <c r="BV44" s="85"/>
      <c r="BW44" s="85"/>
      <c r="BX44" s="85"/>
      <c r="BY44" s="84"/>
      <c r="BZ44" s="85"/>
      <c r="CA44" s="85"/>
      <c r="CB44" s="85"/>
      <c r="CC44" s="85"/>
      <c r="CD44" s="85"/>
      <c r="CE44" s="85"/>
      <c r="CF44" s="86"/>
      <c r="CG44" s="23"/>
      <c r="CH44" s="84"/>
      <c r="CI44" s="85"/>
      <c r="CJ44" s="85"/>
      <c r="CK44" s="85"/>
      <c r="CL44" s="85"/>
      <c r="CM44" s="85"/>
      <c r="CN44" s="85"/>
      <c r="CO44" s="85"/>
      <c r="CP44" s="85"/>
      <c r="CQ44" s="85"/>
      <c r="CR44" s="85"/>
      <c r="CS44" s="85"/>
      <c r="CT44" s="85"/>
      <c r="CU44" s="85"/>
      <c r="CV44" s="86"/>
      <c r="CW44" s="1149"/>
      <c r="DE44" s="995"/>
    </row>
    <row r="45" spans="1:109" ht="14.25" customHeight="1">
      <c r="A45" s="8"/>
      <c r="B45" s="1190" t="s">
        <v>93</v>
      </c>
      <c r="C45" s="1191"/>
      <c r="D45" s="134">
        <v>3734.43</v>
      </c>
      <c r="E45" s="132">
        <v>3715.8679999999999</v>
      </c>
      <c r="F45" s="132">
        <v>3834.7190000000001</v>
      </c>
      <c r="G45" s="133">
        <v>3691.5010000000002</v>
      </c>
      <c r="H45" s="134">
        <v>3709.6289999999999</v>
      </c>
      <c r="I45" s="132">
        <v>3642.931</v>
      </c>
      <c r="J45" s="132">
        <v>3647.4340000000002</v>
      </c>
      <c r="K45" s="133">
        <v>3435.7930000000001</v>
      </c>
      <c r="L45" s="134">
        <v>3261.2069999999999</v>
      </c>
      <c r="M45" s="132">
        <v>3064.3130000000001</v>
      </c>
      <c r="N45" s="132">
        <v>2536.6060000000002</v>
      </c>
      <c r="O45" s="133">
        <v>2337.134</v>
      </c>
      <c r="P45" s="134">
        <v>2339.2530000000002</v>
      </c>
      <c r="Q45" s="132">
        <v>2303.8820000000001</v>
      </c>
      <c r="R45" s="132">
        <v>2390.3580000000002</v>
      </c>
      <c r="S45" s="133">
        <v>2420.2629999999999</v>
      </c>
      <c r="T45" s="134">
        <v>2402.0650000000001</v>
      </c>
      <c r="U45" s="132">
        <v>2420.2510000000002</v>
      </c>
      <c r="V45" s="132">
        <v>2458.3649999999998</v>
      </c>
      <c r="W45" s="133">
        <v>2529.1489999999999</v>
      </c>
      <c r="X45" s="132">
        <v>2764.1529999999998</v>
      </c>
      <c r="Y45" s="132">
        <v>2890.25</v>
      </c>
      <c r="Z45" s="132">
        <v>3034.4749999999999</v>
      </c>
      <c r="AA45" s="132">
        <v>3199.7170000000001</v>
      </c>
      <c r="AB45" s="134">
        <v>3364.4270000000001</v>
      </c>
      <c r="AC45" s="132">
        <v>3581.998</v>
      </c>
      <c r="AD45" s="132">
        <v>3715.7170000000001</v>
      </c>
      <c r="AE45" s="132">
        <v>3795.413</v>
      </c>
      <c r="AF45" s="134">
        <v>3842.4349999999999</v>
      </c>
      <c r="AG45" s="132">
        <v>3925.14</v>
      </c>
      <c r="AH45" s="132">
        <v>4028.6060000000002</v>
      </c>
      <c r="AI45" s="133">
        <v>4165.3590000000004</v>
      </c>
      <c r="AJ45" s="134">
        <v>4323.7969999999996</v>
      </c>
      <c r="AK45" s="132">
        <v>4460.59</v>
      </c>
      <c r="AL45" s="132">
        <v>4643.2359999999999</v>
      </c>
      <c r="AM45" s="133">
        <v>4739.576</v>
      </c>
      <c r="AN45" s="134">
        <v>4795.6350000000002</v>
      </c>
      <c r="AO45" s="132">
        <v>4931.5230000000001</v>
      </c>
      <c r="AP45" s="132">
        <v>5007.1970000000001</v>
      </c>
      <c r="AQ45" s="133">
        <v>4757.8969999999999</v>
      </c>
      <c r="AR45" s="134">
        <v>4806.21</v>
      </c>
      <c r="AS45" s="132">
        <v>4964.2079999999996</v>
      </c>
      <c r="AT45" s="132">
        <v>5065.1610000000001</v>
      </c>
      <c r="AU45" s="133">
        <v>5072.9589999999998</v>
      </c>
      <c r="AV45" s="134">
        <v>4994.8620000000001</v>
      </c>
      <c r="AW45" s="132">
        <v>4873.701</v>
      </c>
      <c r="AX45" s="132">
        <v>4983.3329999999996</v>
      </c>
      <c r="AY45" s="133">
        <v>5165.6180000000004</v>
      </c>
      <c r="AZ45" s="134">
        <v>5306.4309999999996</v>
      </c>
      <c r="BA45" s="132">
        <v>9966.5949999999993</v>
      </c>
      <c r="BB45" s="132">
        <v>9922.9</v>
      </c>
      <c r="BC45" s="133">
        <v>10161.540000000001</v>
      </c>
      <c r="BD45" s="134">
        <v>10347.779</v>
      </c>
      <c r="BE45" s="124">
        <f t="shared" ref="BE45:BG45" si="212">BE74</f>
        <v>10607.708376455561</v>
      </c>
      <c r="BF45" s="124">
        <f t="shared" si="212"/>
        <v>11035.175723210497</v>
      </c>
      <c r="BG45" s="125">
        <f t="shared" si="212"/>
        <v>11490.157772947099</v>
      </c>
      <c r="BH45" s="135">
        <f t="shared" ref="BH45:BK45" si="213">BH74</f>
        <v>11867.21312790491</v>
      </c>
      <c r="BI45" s="124">
        <f t="shared" si="213"/>
        <v>12288.569449977986</v>
      </c>
      <c r="BJ45" s="124">
        <f t="shared" si="213"/>
        <v>12747.903727845929</v>
      </c>
      <c r="BK45" s="125">
        <f t="shared" si="213"/>
        <v>13244.678947531685</v>
      </c>
      <c r="BL45" s="135">
        <f t="shared" ref="BL45:BO45" si="214">BL74</f>
        <v>13679.855514952262</v>
      </c>
      <c r="BM45" s="124">
        <f t="shared" si="214"/>
        <v>14159.004932429929</v>
      </c>
      <c r="BN45" s="124">
        <f t="shared" si="214"/>
        <v>14673.3906364834</v>
      </c>
      <c r="BO45" s="125">
        <f t="shared" si="214"/>
        <v>15221.314966175558</v>
      </c>
      <c r="BP45" s="115"/>
      <c r="BQ45" s="82">
        <f>G45</f>
        <v>3691.5010000000002</v>
      </c>
      <c r="BR45" s="82">
        <f>K45</f>
        <v>3435.7930000000001</v>
      </c>
      <c r="BS45" s="82">
        <f>O45</f>
        <v>2337.134</v>
      </c>
      <c r="BT45" s="82">
        <f>S45</f>
        <v>2420.2629999999999</v>
      </c>
      <c r="BU45" s="82">
        <f>W45</f>
        <v>2529.1489999999999</v>
      </c>
      <c r="BV45" s="82">
        <f>AA45</f>
        <v>3199.7170000000001</v>
      </c>
      <c r="BW45" s="82">
        <f>AE45</f>
        <v>3795.413</v>
      </c>
      <c r="BX45" s="82">
        <f>AI45</f>
        <v>4165.3590000000004</v>
      </c>
      <c r="BY45" s="81">
        <f>AM45</f>
        <v>4739.576</v>
      </c>
      <c r="BZ45" s="82">
        <f>AQ45</f>
        <v>4757.8969999999999</v>
      </c>
      <c r="CA45" s="82">
        <f>AU45</f>
        <v>5072.9589999999998</v>
      </c>
      <c r="CB45" s="82">
        <f>AY45</f>
        <v>5165.6180000000004</v>
      </c>
      <c r="CC45" s="82">
        <f>BC45</f>
        <v>10161.540000000001</v>
      </c>
      <c r="CD45" s="82">
        <f>BG45</f>
        <v>11490.157772947099</v>
      </c>
      <c r="CE45" s="82">
        <f>BK45</f>
        <v>13244.678947531685</v>
      </c>
      <c r="CF45" s="83">
        <f t="shared" ref="CF45" si="215">BO45</f>
        <v>15221.314966175558</v>
      </c>
      <c r="CG45" s="115"/>
      <c r="CH45" s="81">
        <f>H45</f>
        <v>3709.6289999999999</v>
      </c>
      <c r="CI45" s="82">
        <f>L45</f>
        <v>3261.2069999999999</v>
      </c>
      <c r="CJ45" s="82">
        <f>P45</f>
        <v>2339.2530000000002</v>
      </c>
      <c r="CK45" s="82">
        <f>T45</f>
        <v>2402.0650000000001</v>
      </c>
      <c r="CL45" s="82">
        <f>X45</f>
        <v>2764.1529999999998</v>
      </c>
      <c r="CM45" s="82">
        <f>AB45</f>
        <v>3364.4270000000001</v>
      </c>
      <c r="CN45" s="82">
        <f>AF45</f>
        <v>3842.4349999999999</v>
      </c>
      <c r="CO45" s="82">
        <f>AJ45</f>
        <v>4323.7969999999996</v>
      </c>
      <c r="CP45" s="82">
        <f>AN45</f>
        <v>4795.6350000000002</v>
      </c>
      <c r="CQ45" s="82">
        <f>AR45</f>
        <v>4806.21</v>
      </c>
      <c r="CR45" s="82">
        <f>AV45</f>
        <v>4994.8620000000001</v>
      </c>
      <c r="CS45" s="82">
        <f>AZ45</f>
        <v>5306.4309999999996</v>
      </c>
      <c r="CT45" s="82">
        <f>BD45</f>
        <v>10347.779</v>
      </c>
      <c r="CU45" s="82">
        <f>BH45</f>
        <v>11867.21312790491</v>
      </c>
      <c r="CV45" s="83">
        <f>BL45</f>
        <v>13679.855514952262</v>
      </c>
      <c r="CW45" s="1149"/>
      <c r="DE45" s="995"/>
    </row>
    <row r="46" spans="1:109" ht="14.25" customHeight="1">
      <c r="A46" s="8"/>
      <c r="B46" s="67"/>
      <c r="C46" s="27"/>
      <c r="D46" s="84"/>
      <c r="E46" s="85"/>
      <c r="F46" s="85"/>
      <c r="G46" s="85"/>
      <c r="H46" s="84"/>
      <c r="I46" s="85"/>
      <c r="J46" s="85"/>
      <c r="K46" s="85"/>
      <c r="L46" s="84"/>
      <c r="M46" s="85"/>
      <c r="N46" s="85"/>
      <c r="O46" s="85"/>
      <c r="P46" s="84"/>
      <c r="Q46" s="85"/>
      <c r="R46" s="85"/>
      <c r="S46" s="85"/>
      <c r="T46" s="84"/>
      <c r="U46" s="85"/>
      <c r="V46" s="85"/>
      <c r="W46" s="85"/>
      <c r="X46" s="84"/>
      <c r="Y46" s="85"/>
      <c r="Z46" s="85"/>
      <c r="AA46" s="85"/>
      <c r="AB46" s="84"/>
      <c r="AC46" s="85"/>
      <c r="AD46" s="85"/>
      <c r="AE46" s="85"/>
      <c r="AF46" s="84"/>
      <c r="AG46" s="85"/>
      <c r="AH46" s="85"/>
      <c r="AI46" s="86"/>
      <c r="AJ46" s="84"/>
      <c r="AK46" s="85"/>
      <c r="AL46" s="85"/>
      <c r="AM46" s="86"/>
      <c r="AN46" s="84"/>
      <c r="AO46" s="85"/>
      <c r="AP46" s="85"/>
      <c r="AQ46" s="86"/>
      <c r="AR46" s="84"/>
      <c r="AS46" s="85"/>
      <c r="AT46" s="85"/>
      <c r="AU46" s="86"/>
      <c r="AV46" s="84"/>
      <c r="AW46" s="85"/>
      <c r="AX46" s="85"/>
      <c r="AY46" s="86"/>
      <c r="AZ46" s="84"/>
      <c r="BA46" s="85"/>
      <c r="BB46" s="85"/>
      <c r="BC46" s="86"/>
      <c r="BD46" s="84"/>
      <c r="BE46" s="386"/>
      <c r="BF46" s="386"/>
      <c r="BG46" s="169"/>
      <c r="BH46" s="498"/>
      <c r="BI46" s="386"/>
      <c r="BJ46" s="386"/>
      <c r="BK46" s="169"/>
      <c r="BL46" s="498"/>
      <c r="BM46" s="386"/>
      <c r="BN46" s="386"/>
      <c r="BO46" s="169"/>
      <c r="BP46" s="115"/>
      <c r="BQ46" s="85"/>
      <c r="BR46" s="85"/>
      <c r="BS46" s="85"/>
      <c r="BT46" s="85"/>
      <c r="BU46" s="85"/>
      <c r="BV46" s="85"/>
      <c r="BW46" s="85"/>
      <c r="BX46" s="85"/>
      <c r="BY46" s="84"/>
      <c r="BZ46" s="85"/>
      <c r="CA46" s="85"/>
      <c r="CB46" s="85"/>
      <c r="CC46" s="85"/>
      <c r="CD46" s="85"/>
      <c r="CE46" s="85"/>
      <c r="CF46" s="86"/>
      <c r="CG46" s="23"/>
      <c r="CH46" s="84"/>
      <c r="CI46" s="85"/>
      <c r="CJ46" s="85"/>
      <c r="CK46" s="85"/>
      <c r="CL46" s="85"/>
      <c r="CM46" s="85"/>
      <c r="CN46" s="85"/>
      <c r="CO46" s="85"/>
      <c r="CP46" s="85"/>
      <c r="CQ46" s="85"/>
      <c r="CR46" s="85"/>
      <c r="CS46" s="85"/>
      <c r="CT46" s="85"/>
      <c r="CU46" s="85"/>
      <c r="CV46" s="86"/>
      <c r="CW46" s="1149"/>
      <c r="DE46" s="995"/>
    </row>
    <row r="47" spans="1:109" ht="14.25" customHeight="1">
      <c r="A47" s="8"/>
      <c r="B47" s="136" t="s">
        <v>94</v>
      </c>
      <c r="C47" s="137"/>
      <c r="D47" s="131">
        <f>D45+D37+SUM(D39:D43)</f>
        <v>4612.1349999999993</v>
      </c>
      <c r="E47" s="129">
        <f t="shared" ref="E47:AL47" si="216">E45+E37+SUM(E39:E43)</f>
        <v>4585.2699999999995</v>
      </c>
      <c r="F47" s="129">
        <f t="shared" si="216"/>
        <v>4691.5049999999992</v>
      </c>
      <c r="G47" s="130">
        <f t="shared" si="216"/>
        <v>4583.2110000000002</v>
      </c>
      <c r="H47" s="131">
        <f t="shared" si="216"/>
        <v>4374.1779999999999</v>
      </c>
      <c r="I47" s="129">
        <f t="shared" si="216"/>
        <v>4403.3469999999998</v>
      </c>
      <c r="J47" s="129">
        <f t="shared" si="216"/>
        <v>4292.2470000000003</v>
      </c>
      <c r="K47" s="130">
        <f t="shared" si="216"/>
        <v>3986.8509999999997</v>
      </c>
      <c r="L47" s="131">
        <f t="shared" si="216"/>
        <v>3823.817</v>
      </c>
      <c r="M47" s="129">
        <f t="shared" si="216"/>
        <v>3686.6759999999999</v>
      </c>
      <c r="N47" s="129">
        <f t="shared" si="216"/>
        <v>3166.3670000000002</v>
      </c>
      <c r="O47" s="130">
        <f t="shared" si="216"/>
        <v>2970.942</v>
      </c>
      <c r="P47" s="131">
        <f t="shared" si="216"/>
        <v>3134.9430000000002</v>
      </c>
      <c r="Q47" s="129">
        <f t="shared" si="216"/>
        <v>3016.1869999999999</v>
      </c>
      <c r="R47" s="129">
        <f t="shared" si="216"/>
        <v>3092.1250000000005</v>
      </c>
      <c r="S47" s="130">
        <f t="shared" si="216"/>
        <v>3090.9919999999997</v>
      </c>
      <c r="T47" s="131">
        <f t="shared" si="216"/>
        <v>2919.19</v>
      </c>
      <c r="U47" s="129">
        <f t="shared" si="216"/>
        <v>2875.3389999999999</v>
      </c>
      <c r="V47" s="129">
        <f t="shared" si="216"/>
        <v>3280.1509999999998</v>
      </c>
      <c r="W47" s="130">
        <f t="shared" si="216"/>
        <v>3369.4069999999997</v>
      </c>
      <c r="X47" s="129">
        <f t="shared" si="216"/>
        <v>3698.17</v>
      </c>
      <c r="Y47" s="129">
        <f t="shared" si="216"/>
        <v>3928.0970000000002</v>
      </c>
      <c r="Z47" s="129">
        <f t="shared" si="216"/>
        <v>4104.0680000000002</v>
      </c>
      <c r="AA47" s="130">
        <f t="shared" si="216"/>
        <v>4328.8310000000001</v>
      </c>
      <c r="AB47" s="131">
        <f t="shared" si="216"/>
        <v>4596.9049999999997</v>
      </c>
      <c r="AC47" s="129">
        <f t="shared" si="216"/>
        <v>5160.3989999999994</v>
      </c>
      <c r="AD47" s="129">
        <f t="shared" si="216"/>
        <v>5251.3809999999994</v>
      </c>
      <c r="AE47" s="130">
        <f>AE45+AE37+SUM(AE39:AE43)</f>
        <v>5277.6349999999993</v>
      </c>
      <c r="AF47" s="131">
        <f>AF45+AF37+SUM(AF39:AF43)</f>
        <v>5277.8339999999998</v>
      </c>
      <c r="AG47" s="129">
        <f t="shared" si="216"/>
        <v>5412.49</v>
      </c>
      <c r="AH47" s="129">
        <f>AH45+AH37+SUM(AH39:AH43)</f>
        <v>5456.6220000000003</v>
      </c>
      <c r="AI47" s="130">
        <f>AI45+AI37+SUM(AI39:AI43)</f>
        <v>5620.3469999999998</v>
      </c>
      <c r="AJ47" s="131">
        <f>AJ45+AJ37+SUM(AJ39:AJ43)</f>
        <v>5716.8079999999991</v>
      </c>
      <c r="AK47" s="129">
        <f>AK45+AK37+SUM(AK39:AK43)</f>
        <v>5841.0360000000001</v>
      </c>
      <c r="AL47" s="129">
        <f t="shared" si="216"/>
        <v>6138.6260000000002</v>
      </c>
      <c r="AM47" s="130">
        <f t="shared" ref="AM47:AX47" si="217">AM45+AM37+SUM(AM39:AM43)</f>
        <v>6381.75</v>
      </c>
      <c r="AN47" s="131">
        <f t="shared" si="217"/>
        <v>6399.4679999999998</v>
      </c>
      <c r="AO47" s="129">
        <f t="shared" si="217"/>
        <v>6594.951</v>
      </c>
      <c r="AP47" s="129">
        <f t="shared" si="217"/>
        <v>8973.4650000000001</v>
      </c>
      <c r="AQ47" s="130">
        <f t="shared" si="217"/>
        <v>6859.69</v>
      </c>
      <c r="AR47" s="131">
        <f t="shared" si="217"/>
        <v>6821.1559999999999</v>
      </c>
      <c r="AS47" s="129">
        <f t="shared" si="217"/>
        <v>7048.4749999999995</v>
      </c>
      <c r="AT47" s="129">
        <f t="shared" si="217"/>
        <v>7134.7010000000009</v>
      </c>
      <c r="AU47" s="130">
        <f t="shared" si="217"/>
        <v>7062.1779999999999</v>
      </c>
      <c r="AV47" s="131">
        <f t="shared" si="217"/>
        <v>7598.0810000000001</v>
      </c>
      <c r="AW47" s="129">
        <f t="shared" si="217"/>
        <v>7570.2920000000004</v>
      </c>
      <c r="AX47" s="129">
        <f t="shared" si="217"/>
        <v>7685.0529999999999</v>
      </c>
      <c r="AY47" s="130">
        <f t="shared" ref="AY47:BB47" si="218">AY45+AY37+SUM(AY39:AY43)</f>
        <v>7970.2780000000002</v>
      </c>
      <c r="AZ47" s="131">
        <f t="shared" si="218"/>
        <v>10203.370999999999</v>
      </c>
      <c r="BA47" s="129">
        <f t="shared" si="218"/>
        <v>26622.683000000001</v>
      </c>
      <c r="BB47" s="129">
        <f t="shared" si="218"/>
        <v>21114.994999999999</v>
      </c>
      <c r="BC47" s="130">
        <f t="shared" ref="BC47:BD47" si="219">BC45+BC37+SUM(BC39:BC43)</f>
        <v>21141.294000000002</v>
      </c>
      <c r="BD47" s="131">
        <f t="shared" si="219"/>
        <v>20853.315000000002</v>
      </c>
      <c r="BE47" s="129">
        <f t="shared" ref="BE47:BG47" si="220">BE45+BE37+SUM(BE39:BE43)</f>
        <v>21102.270326080339</v>
      </c>
      <c r="BF47" s="129">
        <f t="shared" si="220"/>
        <v>21514.81786831313</v>
      </c>
      <c r="BG47" s="130">
        <f t="shared" si="220"/>
        <v>21973.557912905984</v>
      </c>
      <c r="BH47" s="131">
        <f t="shared" ref="BH47:BK47" si="221">BH45+BH37+SUM(BH39:BH43)</f>
        <v>22347.325258263707</v>
      </c>
      <c r="BI47" s="129">
        <f t="shared" si="221"/>
        <v>22772.858384077328</v>
      </c>
      <c r="BJ47" s="129">
        <f t="shared" si="221"/>
        <v>23235.45047063251</v>
      </c>
      <c r="BK47" s="130">
        <f t="shared" si="221"/>
        <v>23740.08882590499</v>
      </c>
      <c r="BL47" s="131">
        <f t="shared" ref="BL47:BO47" si="222">BL45+BL37+SUM(BL39:BL43)</f>
        <v>24171.365607297968</v>
      </c>
      <c r="BM47" s="129">
        <f t="shared" si="222"/>
        <v>24654.730924667725</v>
      </c>
      <c r="BN47" s="129">
        <f t="shared" si="222"/>
        <v>25172.043368440241</v>
      </c>
      <c r="BO47" s="130">
        <f t="shared" si="222"/>
        <v>25727.408446225323</v>
      </c>
      <c r="BP47" s="115"/>
      <c r="BQ47" s="129">
        <f t="shared" ref="BQ47:BZ47" si="223">BQ45+BQ37+SUM(BQ39:BQ43)</f>
        <v>4583.2110000000002</v>
      </c>
      <c r="BR47" s="129">
        <f t="shared" si="223"/>
        <v>3986.8509999999997</v>
      </c>
      <c r="BS47" s="129">
        <f t="shared" si="223"/>
        <v>2970.942</v>
      </c>
      <c r="BT47" s="129">
        <f t="shared" si="223"/>
        <v>3090.9919999999997</v>
      </c>
      <c r="BU47" s="129">
        <f t="shared" si="223"/>
        <v>3369.4069999999997</v>
      </c>
      <c r="BV47" s="129">
        <f t="shared" si="223"/>
        <v>4328.8310000000001</v>
      </c>
      <c r="BW47" s="129">
        <f t="shared" si="223"/>
        <v>5277.6349999999993</v>
      </c>
      <c r="BX47" s="129">
        <f t="shared" si="223"/>
        <v>5620.3469999999998</v>
      </c>
      <c r="BY47" s="131">
        <f t="shared" si="223"/>
        <v>6381.75</v>
      </c>
      <c r="BZ47" s="129">
        <f t="shared" si="223"/>
        <v>6859.69</v>
      </c>
      <c r="CA47" s="129">
        <f t="shared" ref="CA47:CF47" si="224">CA45+CA37+SUM(CA39:CA43)</f>
        <v>7062.1779999999999</v>
      </c>
      <c r="CB47" s="129">
        <f t="shared" si="224"/>
        <v>7970.2780000000002</v>
      </c>
      <c r="CC47" s="129">
        <f t="shared" si="224"/>
        <v>21141.294000000002</v>
      </c>
      <c r="CD47" s="129">
        <f t="shared" si="224"/>
        <v>21973.557912905984</v>
      </c>
      <c r="CE47" s="129">
        <f t="shared" si="224"/>
        <v>23740.08882590499</v>
      </c>
      <c r="CF47" s="130">
        <f t="shared" si="224"/>
        <v>25727.408446225323</v>
      </c>
      <c r="CG47" s="23"/>
      <c r="CH47" s="131">
        <f t="shared" ref="CH47:CP47" si="225">CH45+CH37+SUM(CH39:CH43)</f>
        <v>4374.1779999999999</v>
      </c>
      <c r="CI47" s="129">
        <f t="shared" si="225"/>
        <v>3823.817</v>
      </c>
      <c r="CJ47" s="129">
        <f t="shared" si="225"/>
        <v>3134.9430000000002</v>
      </c>
      <c r="CK47" s="129">
        <f t="shared" si="225"/>
        <v>2919.19</v>
      </c>
      <c r="CL47" s="129">
        <f t="shared" si="225"/>
        <v>3698.17</v>
      </c>
      <c r="CM47" s="129">
        <f t="shared" si="225"/>
        <v>4596.9049999999997</v>
      </c>
      <c r="CN47" s="129">
        <f t="shared" si="225"/>
        <v>5277.8339999999998</v>
      </c>
      <c r="CO47" s="129">
        <f t="shared" si="225"/>
        <v>5716.8079999999991</v>
      </c>
      <c r="CP47" s="129">
        <f t="shared" si="225"/>
        <v>6399.4679999999998</v>
      </c>
      <c r="CQ47" s="129">
        <f t="shared" ref="CQ47:CV47" si="226">CQ45+CQ37+SUM(CQ39:CQ43)</f>
        <v>6821.1559999999999</v>
      </c>
      <c r="CR47" s="129">
        <f t="shared" si="226"/>
        <v>7598.0810000000001</v>
      </c>
      <c r="CS47" s="129">
        <f t="shared" si="226"/>
        <v>10203.370999999999</v>
      </c>
      <c r="CT47" s="129">
        <f t="shared" si="226"/>
        <v>20853.315000000002</v>
      </c>
      <c r="CU47" s="129">
        <f t="shared" si="226"/>
        <v>22347.325258263707</v>
      </c>
      <c r="CV47" s="130">
        <f t="shared" si="226"/>
        <v>24171.365607297968</v>
      </c>
      <c r="CW47" s="1149"/>
    </row>
    <row r="48" spans="1:109" ht="14.25" customHeight="1">
      <c r="A48" s="8"/>
      <c r="B48" s="138"/>
      <c r="C48" s="70"/>
      <c r="D48" s="111"/>
      <c r="E48" s="111"/>
      <c r="F48" s="111"/>
      <c r="G48" s="111"/>
      <c r="H48" s="111"/>
      <c r="I48" s="111"/>
      <c r="J48" s="111"/>
      <c r="K48" s="111"/>
      <c r="L48" s="111"/>
      <c r="M48" s="111"/>
      <c r="N48" s="111"/>
      <c r="O48" s="111"/>
      <c r="P48" s="111"/>
      <c r="Q48" s="111"/>
      <c r="R48" s="111"/>
      <c r="S48" s="111"/>
      <c r="T48" s="111"/>
      <c r="U48" s="111"/>
      <c r="V48" s="111"/>
      <c r="W48" s="111"/>
      <c r="X48" s="72"/>
      <c r="Y48" s="111"/>
      <c r="Z48" s="72"/>
      <c r="AA48" s="72"/>
      <c r="AB48" s="139"/>
      <c r="AC48" s="111"/>
      <c r="AD48" s="72"/>
      <c r="AE48" s="72"/>
      <c r="AF48" s="139"/>
      <c r="AG48" s="72"/>
      <c r="AH48" s="72"/>
      <c r="AI48" s="139"/>
      <c r="AJ48" s="139"/>
      <c r="AK48" s="72"/>
      <c r="AL48" s="72"/>
      <c r="AM48" s="139"/>
      <c r="AN48" s="139"/>
      <c r="AO48" s="72"/>
      <c r="AP48" s="72"/>
      <c r="AQ48" s="139"/>
      <c r="AR48" s="139"/>
      <c r="AS48" s="72"/>
      <c r="AT48" s="72"/>
      <c r="AU48" s="139"/>
      <c r="AV48" s="139"/>
      <c r="AW48" s="72"/>
      <c r="AX48" s="72"/>
      <c r="AY48" s="139"/>
      <c r="AZ48" s="139"/>
      <c r="BA48" s="72"/>
      <c r="BB48" s="72"/>
      <c r="BC48" s="139"/>
      <c r="BD48" s="139"/>
      <c r="BE48" s="72"/>
      <c r="BF48" s="72"/>
      <c r="BG48" s="139"/>
      <c r="BH48" s="139"/>
      <c r="BI48" s="72"/>
      <c r="BJ48" s="72"/>
      <c r="BK48" s="139"/>
      <c r="BL48" s="139"/>
      <c r="BM48" s="72"/>
      <c r="BN48" s="72"/>
      <c r="BO48" s="139"/>
      <c r="BP48" s="17"/>
      <c r="BQ48" s="111"/>
      <c r="BR48" s="111"/>
      <c r="BS48" s="111"/>
      <c r="BT48" s="111"/>
      <c r="BU48" s="111"/>
      <c r="BV48" s="111"/>
      <c r="BW48" s="111"/>
      <c r="BX48" s="111"/>
      <c r="BY48" s="111"/>
      <c r="BZ48" s="111"/>
      <c r="CA48" s="111"/>
      <c r="CB48" s="111"/>
      <c r="CC48" s="111"/>
      <c r="CD48" s="111"/>
      <c r="CE48" s="111"/>
      <c r="CF48" s="111"/>
      <c r="CG48" s="8"/>
      <c r="CH48" s="111"/>
      <c r="CI48" s="111"/>
      <c r="CJ48" s="111"/>
      <c r="CK48" s="111"/>
      <c r="CL48" s="111"/>
      <c r="CM48" s="111"/>
      <c r="CN48" s="111"/>
      <c r="CO48" s="111"/>
      <c r="CP48" s="111"/>
      <c r="CQ48" s="111"/>
      <c r="CR48" s="111"/>
      <c r="CS48" s="111"/>
      <c r="CT48" s="111"/>
      <c r="CU48" s="111"/>
      <c r="CV48" s="111"/>
      <c r="CW48" s="1149"/>
    </row>
    <row r="49" spans="1:101" ht="14.25" customHeight="1">
      <c r="A49" s="8"/>
      <c r="B49" s="140" t="s">
        <v>95</v>
      </c>
      <c r="C49" s="141"/>
      <c r="D49" s="144">
        <f t="shared" ref="D49:AL49" si="227">IF(ROUND(D47,4)=ROUND(D27,4),0,D47-D27)</f>
        <v>0</v>
      </c>
      <c r="E49" s="142">
        <f t="shared" si="227"/>
        <v>0</v>
      </c>
      <c r="F49" s="142">
        <f t="shared" si="227"/>
        <v>0</v>
      </c>
      <c r="G49" s="143">
        <f t="shared" si="227"/>
        <v>0</v>
      </c>
      <c r="H49" s="144">
        <f t="shared" si="227"/>
        <v>0</v>
      </c>
      <c r="I49" s="142">
        <f t="shared" si="227"/>
        <v>0</v>
      </c>
      <c r="J49" s="142">
        <f t="shared" si="227"/>
        <v>0</v>
      </c>
      <c r="K49" s="143">
        <f t="shared" si="227"/>
        <v>0</v>
      </c>
      <c r="L49" s="144">
        <f t="shared" si="227"/>
        <v>0</v>
      </c>
      <c r="M49" s="142">
        <f t="shared" si="227"/>
        <v>0</v>
      </c>
      <c r="N49" s="142">
        <f t="shared" si="227"/>
        <v>0</v>
      </c>
      <c r="O49" s="143">
        <f t="shared" si="227"/>
        <v>0</v>
      </c>
      <c r="P49" s="144">
        <f t="shared" si="227"/>
        <v>0</v>
      </c>
      <c r="Q49" s="142">
        <f t="shared" si="227"/>
        <v>0</v>
      </c>
      <c r="R49" s="142">
        <f t="shared" si="227"/>
        <v>0</v>
      </c>
      <c r="S49" s="143">
        <f t="shared" si="227"/>
        <v>0</v>
      </c>
      <c r="T49" s="144">
        <f t="shared" si="227"/>
        <v>0</v>
      </c>
      <c r="U49" s="142">
        <f t="shared" si="227"/>
        <v>0</v>
      </c>
      <c r="V49" s="142">
        <f t="shared" si="227"/>
        <v>0</v>
      </c>
      <c r="W49" s="143">
        <f t="shared" si="227"/>
        <v>0</v>
      </c>
      <c r="X49" s="142">
        <f t="shared" si="227"/>
        <v>0</v>
      </c>
      <c r="Y49" s="142">
        <f t="shared" si="227"/>
        <v>0</v>
      </c>
      <c r="Z49" s="142">
        <f t="shared" si="227"/>
        <v>0</v>
      </c>
      <c r="AA49" s="142">
        <f t="shared" si="227"/>
        <v>0</v>
      </c>
      <c r="AB49" s="144">
        <f t="shared" si="227"/>
        <v>0</v>
      </c>
      <c r="AC49" s="142">
        <f t="shared" si="227"/>
        <v>0</v>
      </c>
      <c r="AD49" s="142">
        <f t="shared" si="227"/>
        <v>0</v>
      </c>
      <c r="AE49" s="142">
        <f t="shared" si="227"/>
        <v>0</v>
      </c>
      <c r="AF49" s="144">
        <f>IF(ROUND(AF47,4)=ROUND(AF27,4),0,AF47-AF27)</f>
        <v>0</v>
      </c>
      <c r="AG49" s="142">
        <f t="shared" si="227"/>
        <v>0</v>
      </c>
      <c r="AH49" s="142">
        <f>IF(ROUND(AH47,4)=ROUND(AH27,4),0,AH47-AH27)</f>
        <v>0</v>
      </c>
      <c r="AI49" s="143">
        <f>IF(ROUND(AI47,4)=ROUND(AI27,4),0,AI47-AI27)</f>
        <v>0</v>
      </c>
      <c r="AJ49" s="144">
        <f>IF(ROUND(AJ47,4)=ROUND(AJ27,4),0,AJ47-AJ27)</f>
        <v>0</v>
      </c>
      <c r="AK49" s="142">
        <f>IF(ROUND(AK47,4)=ROUND(AK27,4),0,AK47-AK27)</f>
        <v>0</v>
      </c>
      <c r="AL49" s="142">
        <f t="shared" si="227"/>
        <v>0</v>
      </c>
      <c r="AM49" s="143">
        <f>IF(ROUND(AM47,4)=ROUND(AM27,4),0,AM47-AM27)</f>
        <v>0</v>
      </c>
      <c r="AN49" s="144">
        <f t="shared" ref="AN49:AU49" si="228">IF(ROUND(AN27-AN47,3)=0,0,AN27-AN47)</f>
        <v>0</v>
      </c>
      <c r="AO49" s="142">
        <f t="shared" si="228"/>
        <v>0</v>
      </c>
      <c r="AP49" s="142">
        <f t="shared" si="228"/>
        <v>0</v>
      </c>
      <c r="AQ49" s="143">
        <f t="shared" si="228"/>
        <v>0</v>
      </c>
      <c r="AR49" s="144">
        <f t="shared" si="228"/>
        <v>0</v>
      </c>
      <c r="AS49" s="142">
        <f t="shared" si="228"/>
        <v>0</v>
      </c>
      <c r="AT49" s="142">
        <f t="shared" si="228"/>
        <v>0</v>
      </c>
      <c r="AU49" s="143">
        <f t="shared" si="228"/>
        <v>0</v>
      </c>
      <c r="AV49" s="144">
        <f>IF(ROUND(AV27-AV47,3)=0,0,AV27-AV47)</f>
        <v>0</v>
      </c>
      <c r="AW49" s="142">
        <f>IF(ROUND(AW27-AW47,3)=0,0,AW27-AW47)</f>
        <v>0</v>
      </c>
      <c r="AX49" s="142">
        <f>IF(ROUND(AX27-AX47,3)=0,0,AX27-AX47)</f>
        <v>0</v>
      </c>
      <c r="AY49" s="143">
        <f t="shared" ref="AY49" si="229">IF(ROUND(AY27-AY47,3)=0,0,AY27-AY47)</f>
        <v>0</v>
      </c>
      <c r="AZ49" s="144">
        <f>IF(ROUND(AZ27-AZ47,3)=0,0,AZ27-AZ47)</f>
        <v>0</v>
      </c>
      <c r="BA49" s="142">
        <f t="shared" ref="BA49" si="230">IF(ROUND(BA27-BA47,3)=0,0,BA27-BA47)</f>
        <v>0</v>
      </c>
      <c r="BB49" s="142">
        <f t="shared" ref="BB49:BG49" si="231">IF(ROUND(BB27-BB47,3)=0,0,BB27-BB47)</f>
        <v>0</v>
      </c>
      <c r="BC49" s="143">
        <f t="shared" si="231"/>
        <v>0</v>
      </c>
      <c r="BD49" s="144">
        <f t="shared" si="231"/>
        <v>0</v>
      </c>
      <c r="BE49" s="142">
        <f t="shared" si="231"/>
        <v>0</v>
      </c>
      <c r="BF49" s="142">
        <f t="shared" si="231"/>
        <v>0</v>
      </c>
      <c r="BG49" s="143">
        <f t="shared" si="231"/>
        <v>0</v>
      </c>
      <c r="BH49" s="144">
        <f t="shared" ref="BH49:BK49" si="232">IF(ROUND(BH27-BH47,3)=0,0,BH27-BH47)</f>
        <v>0</v>
      </c>
      <c r="BI49" s="142">
        <f t="shared" si="232"/>
        <v>0</v>
      </c>
      <c r="BJ49" s="142">
        <f t="shared" si="232"/>
        <v>0</v>
      </c>
      <c r="BK49" s="143">
        <f t="shared" si="232"/>
        <v>0</v>
      </c>
      <c r="BL49" s="144">
        <f t="shared" ref="BL49:BO49" si="233">IF(ROUND(BL27-BL47,3)=0,0,BL27-BL47)</f>
        <v>0</v>
      </c>
      <c r="BM49" s="142">
        <f t="shared" si="233"/>
        <v>0</v>
      </c>
      <c r="BN49" s="142">
        <f t="shared" si="233"/>
        <v>0</v>
      </c>
      <c r="BO49" s="143">
        <f t="shared" si="233"/>
        <v>0</v>
      </c>
      <c r="BP49" s="1165"/>
      <c r="BQ49" s="142">
        <f t="shared" ref="BQ49:BX49" si="234">IF(ROUND(BQ47,4)=ROUND(BQ27,4),0,BQ47-BQ27)</f>
        <v>0</v>
      </c>
      <c r="BR49" s="142">
        <f t="shared" si="234"/>
        <v>0</v>
      </c>
      <c r="BS49" s="142">
        <f t="shared" si="234"/>
        <v>0</v>
      </c>
      <c r="BT49" s="142">
        <f t="shared" si="234"/>
        <v>0</v>
      </c>
      <c r="BU49" s="142">
        <f t="shared" si="234"/>
        <v>0</v>
      </c>
      <c r="BV49" s="142">
        <f t="shared" si="234"/>
        <v>0</v>
      </c>
      <c r="BW49" s="142">
        <f t="shared" si="234"/>
        <v>0</v>
      </c>
      <c r="BX49" s="142">
        <f t="shared" si="234"/>
        <v>0</v>
      </c>
      <c r="BY49" s="142">
        <f t="shared" ref="BY49:CB49" si="235">IF(ROUND(BY27-BY47,3)=0,0,BY27-BY47)</f>
        <v>0</v>
      </c>
      <c r="BZ49" s="142">
        <f t="shared" si="235"/>
        <v>0</v>
      </c>
      <c r="CA49" s="142">
        <f t="shared" si="235"/>
        <v>0</v>
      </c>
      <c r="CB49" s="142">
        <f t="shared" si="235"/>
        <v>0</v>
      </c>
      <c r="CC49" s="642">
        <f>IF(ROUND(CC27-CC47,3)=0,0,CC27-CC47)</f>
        <v>0</v>
      </c>
      <c r="CD49" s="642">
        <f>IF(ROUND(CD27-CD47,3)=0,0,CD27-CD47)</f>
        <v>0</v>
      </c>
      <c r="CE49" s="642">
        <f>IF(ROUND(CE27-CE47,3)=0,0,CE27-CE47)</f>
        <v>0</v>
      </c>
      <c r="CF49" s="1183">
        <f>IF(ROUND(CF27-CF47,3)=0,0,CF27-CF47)</f>
        <v>0</v>
      </c>
      <c r="CG49" s="1165"/>
      <c r="CH49" s="144">
        <f t="shared" ref="CH49:CM49" si="236">IF(ROUND(CH47,4)=ROUND(CH27,4),0,CH47-CH27)</f>
        <v>0</v>
      </c>
      <c r="CI49" s="142">
        <f t="shared" si="236"/>
        <v>0</v>
      </c>
      <c r="CJ49" s="142">
        <f t="shared" si="236"/>
        <v>0</v>
      </c>
      <c r="CK49" s="142">
        <f t="shared" si="236"/>
        <v>0</v>
      </c>
      <c r="CL49" s="142">
        <f t="shared" si="236"/>
        <v>0</v>
      </c>
      <c r="CM49" s="142">
        <f t="shared" si="236"/>
        <v>0</v>
      </c>
      <c r="CN49" s="142">
        <f>IF(ROUND(CN27-CN47,3)=0,0,CN27-CN47)</f>
        <v>0</v>
      </c>
      <c r="CO49" s="142">
        <f>IF(ROUND(CO27-CO47,3)=0,0,CO27-CO47)</f>
        <v>0</v>
      </c>
      <c r="CP49" s="142">
        <f>IF(ROUND(CP27-CP47,3)=0,0,CP27-CP47)</f>
        <v>0</v>
      </c>
      <c r="CQ49" s="142">
        <f>IF(ROUND(CQ27-CQ47,3)=0,0,CQ27-CQ47)</f>
        <v>0</v>
      </c>
      <c r="CR49" s="142">
        <f>IF(ROUND(CR47,4)=ROUND(CR27,4),0,CR47-CR27)</f>
        <v>0</v>
      </c>
      <c r="CS49" s="142">
        <f>IF(ROUND(CS47,4)=ROUND(CS27,4),0,CS47-CS27)</f>
        <v>0</v>
      </c>
      <c r="CT49" s="142">
        <f>IF(ROUND(CT47,4)=ROUND(CT27,4),0,CT47-CT27)</f>
        <v>0</v>
      </c>
      <c r="CU49" s="142">
        <f>IF(ROUND(CU47,4)=ROUND(CU27,4),0,CU47-CU27)</f>
        <v>0</v>
      </c>
      <c r="CV49" s="143">
        <f>IF(ROUND(CV47,4)=ROUND(CV27,4),0,CV47-CV27)</f>
        <v>0</v>
      </c>
      <c r="CW49" s="1182"/>
    </row>
    <row r="50" spans="1:101" ht="14.25" customHeight="1">
      <c r="A50" s="8"/>
      <c r="B50" s="69"/>
      <c r="C50" s="70"/>
      <c r="D50" s="72"/>
      <c r="E50" s="72"/>
      <c r="F50" s="72"/>
      <c r="G50" s="72"/>
      <c r="H50" s="72"/>
      <c r="I50" s="72"/>
      <c r="J50" s="72"/>
      <c r="K50" s="72"/>
      <c r="L50" s="72"/>
      <c r="M50" s="72"/>
      <c r="N50" s="72"/>
      <c r="O50" s="72"/>
      <c r="P50" s="72"/>
      <c r="Q50" s="72"/>
      <c r="R50" s="72"/>
      <c r="S50" s="72"/>
      <c r="T50" s="72"/>
      <c r="U50" s="72"/>
      <c r="V50" s="72"/>
      <c r="W50" s="72"/>
      <c r="X50" s="72"/>
      <c r="Y50" s="72"/>
      <c r="Z50" s="145"/>
      <c r="AA50" s="145"/>
      <c r="AB50" s="145"/>
      <c r="AC50" s="145"/>
      <c r="AD50" s="145"/>
      <c r="AE50" s="145"/>
      <c r="AF50" s="145"/>
      <c r="AG50" s="145"/>
      <c r="AH50" s="145"/>
      <c r="AI50" s="146"/>
      <c r="AJ50" s="145"/>
      <c r="AK50" s="145"/>
      <c r="AL50" s="145"/>
      <c r="AM50" s="146"/>
      <c r="AN50" s="145"/>
      <c r="AO50" s="145"/>
      <c r="AP50" s="145"/>
      <c r="AQ50" s="145"/>
      <c r="AR50" s="145"/>
      <c r="AS50" s="145"/>
      <c r="AT50" s="145"/>
      <c r="AU50" s="145"/>
      <c r="AV50" s="145"/>
      <c r="AW50" s="145"/>
      <c r="AX50" s="145"/>
      <c r="AY50" s="145"/>
      <c r="AZ50" s="145"/>
      <c r="BA50" s="145"/>
      <c r="BB50" s="145"/>
      <c r="BC50" s="145"/>
      <c r="BD50" s="145"/>
      <c r="BE50" s="145"/>
      <c r="BF50" s="145"/>
      <c r="BG50" s="145"/>
      <c r="BH50" s="145"/>
      <c r="BI50" s="145"/>
      <c r="BJ50" s="145"/>
      <c r="BK50" s="145"/>
      <c r="BL50" s="145"/>
      <c r="BM50" s="145"/>
      <c r="BN50" s="145"/>
      <c r="BO50" s="145"/>
      <c r="BP50" s="17"/>
      <c r="BQ50" s="111"/>
      <c r="BR50" s="111"/>
      <c r="BS50" s="111"/>
      <c r="BT50" s="111"/>
      <c r="BU50" s="111"/>
      <c r="BV50" s="111"/>
      <c r="BW50" s="73"/>
      <c r="BX50" s="147"/>
      <c r="BY50" s="147"/>
      <c r="BZ50" s="147"/>
      <c r="CA50" s="147"/>
      <c r="CB50" s="147"/>
      <c r="CC50" s="147"/>
      <c r="CD50" s="147"/>
      <c r="CE50" s="147"/>
      <c r="CF50" s="147"/>
      <c r="CG50" s="8"/>
      <c r="CH50" s="111"/>
      <c r="CI50" s="111"/>
      <c r="CJ50" s="111"/>
      <c r="CK50" s="111"/>
      <c r="CL50" s="111"/>
      <c r="CM50" s="111"/>
      <c r="CN50" s="111"/>
      <c r="CO50" s="73"/>
      <c r="CP50" s="73"/>
      <c r="CQ50" s="73"/>
      <c r="CR50" s="73"/>
      <c r="CS50" s="147"/>
      <c r="CT50" s="147"/>
      <c r="CU50" s="147"/>
      <c r="CV50" s="147"/>
      <c r="CW50" s="8"/>
    </row>
    <row r="51" spans="1:101" ht="14.25" customHeight="1">
      <c r="A51" s="8"/>
      <c r="B51" s="74"/>
      <c r="C51" s="70"/>
      <c r="D51" s="72"/>
      <c r="E51" s="72"/>
      <c r="F51" s="72"/>
      <c r="G51" s="72"/>
      <c r="H51" s="72"/>
      <c r="I51" s="72"/>
      <c r="J51" s="72"/>
      <c r="K51" s="72"/>
      <c r="L51" s="72"/>
      <c r="M51" s="72"/>
      <c r="N51" s="72"/>
      <c r="O51" s="72"/>
      <c r="P51" s="72"/>
      <c r="Q51" s="72"/>
      <c r="R51" s="72"/>
      <c r="S51" s="72"/>
      <c r="T51" s="72"/>
      <c r="U51" s="72"/>
      <c r="V51" s="72"/>
      <c r="W51" s="72"/>
      <c r="X51" s="72"/>
      <c r="Y51" s="72"/>
      <c r="Z51" s="72"/>
      <c r="AA51" s="145"/>
      <c r="AB51" s="72"/>
      <c r="AC51" s="72"/>
      <c r="AD51" s="72"/>
      <c r="AE51" s="145"/>
      <c r="AF51" s="72"/>
      <c r="AG51" s="72"/>
      <c r="AH51" s="72"/>
      <c r="AI51" s="148"/>
      <c r="AJ51" s="72"/>
      <c r="AK51" s="72"/>
      <c r="AL51" s="72"/>
      <c r="AM51" s="148"/>
      <c r="AN51" s="72"/>
      <c r="AO51" s="72"/>
      <c r="AP51" s="72"/>
      <c r="AQ51" s="148"/>
      <c r="AR51" s="72"/>
      <c r="AS51" s="72"/>
      <c r="AT51" s="72"/>
      <c r="AU51" s="148"/>
      <c r="AV51" s="72"/>
      <c r="AW51" s="72"/>
      <c r="AX51" s="72"/>
      <c r="AY51" s="148"/>
      <c r="AZ51" s="72"/>
      <c r="BA51" s="72"/>
      <c r="BB51" s="72"/>
      <c r="BC51" s="148"/>
      <c r="BD51" s="72"/>
      <c r="BE51" s="72"/>
      <c r="BF51" s="72"/>
      <c r="BG51" s="148"/>
      <c r="BH51" s="72"/>
      <c r="BI51" s="72"/>
      <c r="BJ51" s="72"/>
      <c r="BK51" s="148"/>
      <c r="BL51" s="72"/>
      <c r="BM51" s="72"/>
      <c r="BN51" s="72"/>
      <c r="BO51" s="148"/>
      <c r="BP51" s="17"/>
      <c r="BQ51" s="111"/>
      <c r="BR51" s="111"/>
      <c r="BS51" s="111"/>
      <c r="BT51" s="111"/>
      <c r="BU51" s="111"/>
      <c r="BV51" s="111"/>
      <c r="BW51" s="111"/>
      <c r="BX51" s="111"/>
      <c r="BY51" s="111"/>
      <c r="BZ51" s="111"/>
      <c r="CA51" s="111"/>
      <c r="CB51" s="111"/>
      <c r="CC51" s="111"/>
      <c r="CD51" s="111"/>
      <c r="CE51" s="111"/>
      <c r="CF51" s="111"/>
      <c r="CG51" s="8"/>
      <c r="CH51" s="111"/>
      <c r="CI51" s="111"/>
      <c r="CJ51" s="111"/>
      <c r="CK51" s="111"/>
      <c r="CL51" s="111"/>
      <c r="CM51" s="111"/>
      <c r="CN51" s="111"/>
      <c r="CO51" s="111"/>
      <c r="CP51" s="111"/>
      <c r="CQ51" s="111"/>
      <c r="CR51" s="111"/>
      <c r="CS51" s="149"/>
      <c r="CT51" s="149"/>
      <c r="CU51" s="149"/>
      <c r="CV51" s="149"/>
      <c r="CW51" s="8"/>
    </row>
    <row r="52" spans="1:101" ht="14.25" customHeight="1">
      <c r="A52" s="8"/>
      <c r="B52" s="150" t="s">
        <v>96</v>
      </c>
      <c r="C52" s="151"/>
      <c r="D52" s="20" t="str">
        <f t="shared" ref="D52:K52" si="237">D9</f>
        <v>F1Q05A</v>
      </c>
      <c r="E52" s="21" t="str">
        <f t="shared" si="237"/>
        <v>F2Q05A</v>
      </c>
      <c r="F52" s="21" t="str">
        <f t="shared" si="237"/>
        <v>F3Q05A</v>
      </c>
      <c r="G52" s="22" t="str">
        <f t="shared" si="237"/>
        <v>F4Q05A</v>
      </c>
      <c r="H52" s="20" t="str">
        <f t="shared" si="237"/>
        <v>F1Q06A</v>
      </c>
      <c r="I52" s="21" t="str">
        <f t="shared" si="237"/>
        <v>F2Q06A</v>
      </c>
      <c r="J52" s="21" t="str">
        <f t="shared" si="237"/>
        <v>F3Q06A</v>
      </c>
      <c r="K52" s="22" t="str">
        <f t="shared" si="237"/>
        <v>F4Q06A</v>
      </c>
      <c r="L52" s="20" t="str">
        <f t="shared" ref="L52:W52" si="238">L9</f>
        <v>F1Q07A</v>
      </c>
      <c r="M52" s="21" t="str">
        <f t="shared" si="238"/>
        <v>F2Q07A</v>
      </c>
      <c r="N52" s="21" t="str">
        <f t="shared" si="238"/>
        <v>F3Q07A</v>
      </c>
      <c r="O52" s="22" t="str">
        <f t="shared" si="238"/>
        <v>F4Q07A</v>
      </c>
      <c r="P52" s="20" t="str">
        <f t="shared" si="238"/>
        <v>F1Q08A</v>
      </c>
      <c r="Q52" s="21" t="str">
        <f t="shared" si="238"/>
        <v>F2Q08A</v>
      </c>
      <c r="R52" s="21" t="str">
        <f t="shared" si="238"/>
        <v>F3Q08A</v>
      </c>
      <c r="S52" s="22" t="str">
        <f t="shared" si="238"/>
        <v>F4Q08A</v>
      </c>
      <c r="T52" s="20" t="str">
        <f t="shared" si="238"/>
        <v>F1Q09A</v>
      </c>
      <c r="U52" s="21" t="str">
        <f t="shared" si="238"/>
        <v>F2Q09A</v>
      </c>
      <c r="V52" s="21" t="str">
        <f t="shared" si="238"/>
        <v>F3Q09A</v>
      </c>
      <c r="W52" s="22" t="str">
        <f t="shared" si="238"/>
        <v>F4Q09A</v>
      </c>
      <c r="X52" s="20" t="str">
        <f>X9</f>
        <v>F1Q10A</v>
      </c>
      <c r="Y52" s="21" t="str">
        <f t="shared" ref="Y52:AQ52" si="239">Y9</f>
        <v>F2Q10A</v>
      </c>
      <c r="Z52" s="21" t="str">
        <f t="shared" si="239"/>
        <v>F3Q10A</v>
      </c>
      <c r="AA52" s="22" t="str">
        <f t="shared" si="239"/>
        <v>F4Q10A</v>
      </c>
      <c r="AB52" s="20" t="str">
        <f>AB9</f>
        <v>F1Q11A</v>
      </c>
      <c r="AC52" s="21" t="str">
        <f t="shared" si="239"/>
        <v>F2Q11A</v>
      </c>
      <c r="AD52" s="21" t="str">
        <f t="shared" si="239"/>
        <v>F3Q11A</v>
      </c>
      <c r="AE52" s="22" t="str">
        <f>AE9</f>
        <v>F4Q11A</v>
      </c>
      <c r="AF52" s="20" t="str">
        <f>AF9</f>
        <v>F1Q12A</v>
      </c>
      <c r="AG52" s="21" t="str">
        <f t="shared" si="239"/>
        <v>F2Q12A</v>
      </c>
      <c r="AH52" s="21" t="str">
        <f>AH9</f>
        <v>F3Q12A</v>
      </c>
      <c r="AI52" s="22" t="str">
        <f t="shared" si="239"/>
        <v>F4Q12A</v>
      </c>
      <c r="AJ52" s="20" t="str">
        <f t="shared" si="239"/>
        <v>F1Q13A</v>
      </c>
      <c r="AK52" s="21" t="str">
        <f t="shared" si="239"/>
        <v>F2Q13A</v>
      </c>
      <c r="AL52" s="21" t="str">
        <f>AL9</f>
        <v>F3Q13A</v>
      </c>
      <c r="AM52" s="22" t="str">
        <f>AM9</f>
        <v>F4Q13A</v>
      </c>
      <c r="AN52" s="20" t="str">
        <f t="shared" si="239"/>
        <v>F1Q14A</v>
      </c>
      <c r="AO52" s="21" t="str">
        <f t="shared" si="239"/>
        <v>F2Q14A</v>
      </c>
      <c r="AP52" s="21" t="str">
        <f t="shared" si="239"/>
        <v>F3Q14A</v>
      </c>
      <c r="AQ52" s="21" t="str">
        <f t="shared" si="239"/>
        <v>F4Q14A</v>
      </c>
      <c r="AR52" s="20" t="str">
        <f t="shared" ref="AR52:AU52" si="240">AR9</f>
        <v>F1Q15A</v>
      </c>
      <c r="AS52" s="21" t="str">
        <f t="shared" si="240"/>
        <v>F2Q15A</v>
      </c>
      <c r="AT52" s="21" t="str">
        <f t="shared" si="240"/>
        <v>F3Q15A</v>
      </c>
      <c r="AU52" s="21" t="str">
        <f t="shared" si="240"/>
        <v>F4Q15A</v>
      </c>
      <c r="AV52" s="20" t="str">
        <f>AV9</f>
        <v>F1Q16A</v>
      </c>
      <c r="AW52" s="21" t="str">
        <f>AW9</f>
        <v>F2Q16A</v>
      </c>
      <c r="AX52" s="21" t="str">
        <f>AX9</f>
        <v>F3Q16A</v>
      </c>
      <c r="AY52" s="21" t="str">
        <f t="shared" ref="AY52" si="241">AY9</f>
        <v>F4Q16A</v>
      </c>
      <c r="AZ52" s="1204" t="str">
        <f>AZ9</f>
        <v>F1Q17A</v>
      </c>
      <c r="BA52" s="1205" t="str">
        <f t="shared" ref="BA52:BG52" si="242">BA9</f>
        <v>F2Q17A</v>
      </c>
      <c r="BB52" s="21" t="str">
        <f t="shared" si="242"/>
        <v>F3Q17A</v>
      </c>
      <c r="BC52" s="22" t="str">
        <f t="shared" si="242"/>
        <v>F4Q17A</v>
      </c>
      <c r="BD52" s="21" t="str">
        <f t="shared" si="242"/>
        <v>F1Q18A</v>
      </c>
      <c r="BE52" s="21" t="str">
        <f t="shared" si="242"/>
        <v>F2Q18E</v>
      </c>
      <c r="BF52" s="21" t="str">
        <f t="shared" si="242"/>
        <v>F3Q18E</v>
      </c>
      <c r="BG52" s="22" t="str">
        <f t="shared" si="242"/>
        <v>F4Q18E</v>
      </c>
      <c r="BH52" s="1205" t="str">
        <f t="shared" ref="BH52:BK52" si="243">BH9</f>
        <v>F1Q19E</v>
      </c>
      <c r="BI52" s="1205" t="str">
        <f t="shared" si="243"/>
        <v>F2Q19E</v>
      </c>
      <c r="BJ52" s="1205" t="str">
        <f t="shared" si="243"/>
        <v>F3Q19E</v>
      </c>
      <c r="BK52" s="1206" t="str">
        <f t="shared" si="243"/>
        <v>F4Q19E</v>
      </c>
      <c r="BL52" s="1438" t="str">
        <f t="shared" ref="BL52:BO52" si="244">BL9</f>
        <v>F1Q20E</v>
      </c>
      <c r="BM52" s="1438" t="str">
        <f t="shared" si="244"/>
        <v>F2Q20E</v>
      </c>
      <c r="BN52" s="1438" t="str">
        <f t="shared" si="244"/>
        <v>F3Q20E</v>
      </c>
      <c r="BO52" s="1439" t="str">
        <f t="shared" si="244"/>
        <v>F4Q20E</v>
      </c>
      <c r="BP52" s="23"/>
      <c r="BQ52" s="643" t="str">
        <f t="shared" ref="BQ52:BW52" si="245">BQ9</f>
        <v>FY2005A</v>
      </c>
      <c r="BR52" s="21" t="str">
        <f t="shared" si="245"/>
        <v>FY2006A</v>
      </c>
      <c r="BS52" s="21" t="str">
        <f t="shared" si="245"/>
        <v>FY2007A</v>
      </c>
      <c r="BT52" s="21" t="str">
        <f t="shared" si="245"/>
        <v>FY2008A</v>
      </c>
      <c r="BU52" s="21" t="str">
        <f t="shared" si="245"/>
        <v>FY2009A</v>
      </c>
      <c r="BV52" s="21" t="str">
        <f t="shared" si="245"/>
        <v>FY2010A</v>
      </c>
      <c r="BW52" s="21" t="str">
        <f t="shared" si="245"/>
        <v>FY2011A</v>
      </c>
      <c r="BX52" s="21" t="str">
        <f t="shared" ref="BX52:BZ52" si="246">BX9</f>
        <v>FY2012A</v>
      </c>
      <c r="BY52" s="21" t="str">
        <f t="shared" si="246"/>
        <v>FY2013A</v>
      </c>
      <c r="BZ52" s="21" t="str">
        <f t="shared" si="246"/>
        <v>FY2014A</v>
      </c>
      <c r="CA52" s="21" t="str">
        <f t="shared" ref="CA52:CF52" si="247">CA9</f>
        <v>FY2015A</v>
      </c>
      <c r="CB52" s="21" t="str">
        <f t="shared" si="247"/>
        <v>FY2016A</v>
      </c>
      <c r="CC52" s="21" t="str">
        <f t="shared" si="247"/>
        <v>FY2017A</v>
      </c>
      <c r="CD52" s="1438" t="str">
        <f t="shared" si="247"/>
        <v>FY2018E</v>
      </c>
      <c r="CE52" s="1438" t="str">
        <f t="shared" si="247"/>
        <v>FY2019E</v>
      </c>
      <c r="CF52" s="1439" t="str">
        <f t="shared" si="247"/>
        <v>FY2020E</v>
      </c>
      <c r="CG52" s="23"/>
      <c r="CH52" s="20" t="str">
        <f t="shared" ref="CH52:CN52" si="248">CH7</f>
        <v>CY2005</v>
      </c>
      <c r="CI52" s="21" t="str">
        <f t="shared" si="248"/>
        <v>CY2006</v>
      </c>
      <c r="CJ52" s="21" t="str">
        <f t="shared" si="248"/>
        <v>CY2007</v>
      </c>
      <c r="CK52" s="21" t="str">
        <f t="shared" si="248"/>
        <v>CY2008</v>
      </c>
      <c r="CL52" s="21" t="str">
        <f t="shared" si="248"/>
        <v>CY2009</v>
      </c>
      <c r="CM52" s="21" t="str">
        <f t="shared" si="248"/>
        <v>CY2010</v>
      </c>
      <c r="CN52" s="644" t="str">
        <f t="shared" si="248"/>
        <v>CY2011</v>
      </c>
      <c r="CO52" s="21" t="str">
        <f t="shared" ref="CO52:CT52" si="249">CO7</f>
        <v>CY2012</v>
      </c>
      <c r="CP52" s="1438" t="str">
        <f t="shared" si="249"/>
        <v>CY2013</v>
      </c>
      <c r="CQ52" s="1438" t="str">
        <f t="shared" si="249"/>
        <v>CY2014</v>
      </c>
      <c r="CR52" s="1438" t="str">
        <f t="shared" si="249"/>
        <v>CY2015</v>
      </c>
      <c r="CS52" s="644" t="str">
        <f t="shared" si="249"/>
        <v>CY2016</v>
      </c>
      <c r="CT52" s="644" t="str">
        <f t="shared" si="249"/>
        <v>CY2017</v>
      </c>
      <c r="CU52" s="1399" t="str">
        <f t="shared" ref="CU52:CV52" si="250">CU7</f>
        <v>CY2018</v>
      </c>
      <c r="CV52" s="24" t="str">
        <f t="shared" si="250"/>
        <v>CY2019</v>
      </c>
      <c r="CW52" s="25"/>
    </row>
    <row r="53" spans="1:101" ht="14.25" customHeight="1">
      <c r="A53" s="8"/>
      <c r="B53" s="26" t="s">
        <v>97</v>
      </c>
      <c r="C53" s="27"/>
      <c r="D53" s="81">
        <f t="shared" ref="D53:AG53" si="251">D13/(D59*4)*360</f>
        <v>50.234559097110264</v>
      </c>
      <c r="E53" s="82">
        <f t="shared" si="251"/>
        <v>47.758320827660228</v>
      </c>
      <c r="F53" s="82">
        <f t="shared" si="251"/>
        <v>45.752863932309545</v>
      </c>
      <c r="G53" s="83">
        <f t="shared" si="251"/>
        <v>46.368234934820698</v>
      </c>
      <c r="H53" s="81">
        <f t="shared" si="251"/>
        <v>51.373273975703619</v>
      </c>
      <c r="I53" s="82">
        <f t="shared" si="251"/>
        <v>55.758637523500227</v>
      </c>
      <c r="J53" s="82">
        <f t="shared" si="251"/>
        <v>54.063865490094592</v>
      </c>
      <c r="K53" s="83">
        <f t="shared" si="251"/>
        <v>48.620966207661162</v>
      </c>
      <c r="L53" s="81">
        <f t="shared" si="251"/>
        <v>49.548465905008264</v>
      </c>
      <c r="M53" s="82">
        <f t="shared" si="251"/>
        <v>50.027264374049139</v>
      </c>
      <c r="N53" s="82">
        <f t="shared" si="251"/>
        <v>51.144370787990887</v>
      </c>
      <c r="O53" s="83">
        <f t="shared" si="251"/>
        <v>46.732906524339981</v>
      </c>
      <c r="P53" s="81">
        <f t="shared" si="251"/>
        <v>49.856249053198432</v>
      </c>
      <c r="Q53" s="82">
        <f t="shared" si="251"/>
        <v>46.055872116302702</v>
      </c>
      <c r="R53" s="82">
        <f t="shared" si="251"/>
        <v>44.585226393276947</v>
      </c>
      <c r="S53" s="83">
        <f t="shared" si="251"/>
        <v>42.948799447854995</v>
      </c>
      <c r="T53" s="81">
        <f t="shared" si="251"/>
        <v>44.446197717434416</v>
      </c>
      <c r="U53" s="82">
        <f t="shared" si="251"/>
        <v>43.321509516627771</v>
      </c>
      <c r="V53" s="82">
        <f t="shared" si="251"/>
        <v>44.639536089074802</v>
      </c>
      <c r="W53" s="83">
        <f t="shared" si="251"/>
        <v>47.398950314905534</v>
      </c>
      <c r="X53" s="81">
        <f t="shared" si="251"/>
        <v>46.760721280699464</v>
      </c>
      <c r="Y53" s="82">
        <f t="shared" si="251"/>
        <v>44.735618939303244</v>
      </c>
      <c r="Z53" s="82">
        <f t="shared" si="251"/>
        <v>44.666884171653081</v>
      </c>
      <c r="AA53" s="83">
        <f t="shared" si="251"/>
        <v>45.254107196197353</v>
      </c>
      <c r="AB53" s="81">
        <f t="shared" si="251"/>
        <v>47.473781887264856</v>
      </c>
      <c r="AC53" s="381">
        <f t="shared" si="251"/>
        <v>47.183932319987868</v>
      </c>
      <c r="AD53" s="82">
        <f t="shared" si="251"/>
        <v>44.532129483759114</v>
      </c>
      <c r="AE53" s="83">
        <f t="shared" si="251"/>
        <v>43.787112467778378</v>
      </c>
      <c r="AF53" s="81">
        <f>AF13/(AF59*4)*360</f>
        <v>41.940551617293522</v>
      </c>
      <c r="AG53" s="381">
        <f t="shared" si="251"/>
        <v>44.031468210352926</v>
      </c>
      <c r="AH53" s="82">
        <f t="shared" ref="AH53:AM53" si="252">AH13/(AH59*4)*360</f>
        <v>45.564224495114395</v>
      </c>
      <c r="AI53" s="83">
        <f t="shared" si="252"/>
        <v>44.015646853649969</v>
      </c>
      <c r="AJ53" s="81">
        <f t="shared" si="252"/>
        <v>47.677863611376324</v>
      </c>
      <c r="AK53" s="381">
        <f t="shared" si="252"/>
        <v>45.586894197952219</v>
      </c>
      <c r="AL53" s="82">
        <f t="shared" si="252"/>
        <v>46.11483419661451</v>
      </c>
      <c r="AM53" s="83">
        <f t="shared" si="252"/>
        <v>43.152242996580313</v>
      </c>
      <c r="AN53" s="81">
        <f t="shared" ref="AN53:AU53" si="253">AN13/(AN59*4)*360</f>
        <v>47.101305556174566</v>
      </c>
      <c r="AO53" s="381">
        <f t="shared" si="253"/>
        <v>46.759606413490445</v>
      </c>
      <c r="AP53" s="82">
        <f t="shared" si="253"/>
        <v>48.81962536688323</v>
      </c>
      <c r="AQ53" s="83">
        <f t="shared" si="253"/>
        <v>43.83737367162545</v>
      </c>
      <c r="AR53" s="81">
        <f t="shared" si="253"/>
        <v>46.906938726868106</v>
      </c>
      <c r="AS53" s="381">
        <f t="shared" si="253"/>
        <v>44.780815060309195</v>
      </c>
      <c r="AT53" s="82">
        <f t="shared" si="253"/>
        <v>47.066987890405564</v>
      </c>
      <c r="AU53" s="83">
        <f t="shared" si="253"/>
        <v>42.900261769940798</v>
      </c>
      <c r="AV53" s="81">
        <f>AV13/(AV59*4)*360</f>
        <v>43.873872703004437</v>
      </c>
      <c r="AW53" s="381">
        <f>AW13/(AW59*4)*360</f>
        <v>46.108985240752673</v>
      </c>
      <c r="AX53" s="381">
        <f>AX13/(AX59*4)*360</f>
        <v>46.878314057988177</v>
      </c>
      <c r="AY53" s="83">
        <f t="shared" ref="AY53" si="254">AY13/(AY59*4)*360</f>
        <v>42.829638220726302</v>
      </c>
      <c r="AZ53" s="81">
        <f>AZ13/(AZ59*4)*360</f>
        <v>43.197758339944478</v>
      </c>
      <c r="BA53" s="381">
        <f>BA13/(BA59*4)*360</f>
        <v>49.418692976022271</v>
      </c>
      <c r="BB53" s="381">
        <f>BB13/(BB59*4)*360</f>
        <v>43.46857735047444</v>
      </c>
      <c r="BC53" s="83">
        <f t="shared" ref="BC53" si="255">BC13/(BC59*4)*360</f>
        <v>40.232920443559109</v>
      </c>
      <c r="BD53" s="81">
        <f>BD13/(BD59*4)*360</f>
        <v>42.063400815475056</v>
      </c>
      <c r="BE53" s="1119">
        <f>BD53</f>
        <v>42.063400815475056</v>
      </c>
      <c r="BF53" s="1119">
        <f>BE53</f>
        <v>42.063400815475056</v>
      </c>
      <c r="BG53" s="1131">
        <f>BF53</f>
        <v>42.063400815475056</v>
      </c>
      <c r="BH53" s="1119">
        <v>43</v>
      </c>
      <c r="BI53" s="1119">
        <f>BH53</f>
        <v>43</v>
      </c>
      <c r="BJ53" s="1119">
        <f>BI53</f>
        <v>43</v>
      </c>
      <c r="BK53" s="1119">
        <f>BJ53</f>
        <v>43</v>
      </c>
      <c r="BL53" s="1119">
        <v>43</v>
      </c>
      <c r="BM53" s="1119">
        <f>BL53</f>
        <v>43</v>
      </c>
      <c r="BN53" s="1119">
        <f>BM53</f>
        <v>43</v>
      </c>
      <c r="BO53" s="1119">
        <f>BN53</f>
        <v>43</v>
      </c>
      <c r="BP53" s="115"/>
      <c r="BQ53" s="152">
        <f t="shared" ref="BQ53:BZ53" si="256">BQ13/BQ59*360</f>
        <v>48.303706283636025</v>
      </c>
      <c r="BR53" s="82">
        <f t="shared" si="256"/>
        <v>50.612710042472656</v>
      </c>
      <c r="BS53" s="82">
        <f t="shared" si="256"/>
        <v>47.291243106217699</v>
      </c>
      <c r="BT53" s="82">
        <f t="shared" si="256"/>
        <v>43.944031025219026</v>
      </c>
      <c r="BU53" s="82">
        <f t="shared" si="256"/>
        <v>53.785562417738177</v>
      </c>
      <c r="BV53" s="82">
        <f t="shared" si="256"/>
        <v>50.472818606389353</v>
      </c>
      <c r="BW53" s="82">
        <f t="shared" si="256"/>
        <v>41.903224513249498</v>
      </c>
      <c r="BX53" s="82">
        <f t="shared" si="256"/>
        <v>45.298307160452879</v>
      </c>
      <c r="BY53" s="82">
        <f t="shared" si="256"/>
        <v>44.44406306135614</v>
      </c>
      <c r="BZ53" s="82">
        <f t="shared" si="256"/>
        <v>49.839132105754985</v>
      </c>
      <c r="CA53" s="82">
        <f t="shared" ref="CA53:CF53" si="257">CA13/CA59*360</f>
        <v>48.892349899216676</v>
      </c>
      <c r="CB53" s="82">
        <f t="shared" si="257"/>
        <v>50.253927548562586</v>
      </c>
      <c r="CC53" s="82">
        <f t="shared" si="257"/>
        <v>48.560535353576881</v>
      </c>
      <c r="CD53" s="82">
        <f t="shared" si="257"/>
        <v>43.366127856323004</v>
      </c>
      <c r="CE53" s="82">
        <f t="shared" si="257"/>
        <v>45.604593840418183</v>
      </c>
      <c r="CF53" s="83">
        <f t="shared" si="257"/>
        <v>45.262545336331627</v>
      </c>
      <c r="CG53" s="23"/>
      <c r="CH53" s="163">
        <f t="shared" ref="CH53:CP53" si="258">CH13/CH59*360</f>
        <v>48.366906310547009</v>
      </c>
      <c r="CI53" s="152">
        <f t="shared" si="258"/>
        <v>51.44824704732487</v>
      </c>
      <c r="CJ53" s="152">
        <f t="shared" si="258"/>
        <v>49.922748041176575</v>
      </c>
      <c r="CK53" s="152">
        <f t="shared" si="258"/>
        <v>34.644680978953552</v>
      </c>
      <c r="CL53" s="152">
        <f t="shared" si="258"/>
        <v>52.670116871726904</v>
      </c>
      <c r="CM53" s="152">
        <f t="shared" si="258"/>
        <v>47.917634214332828</v>
      </c>
      <c r="CN53" s="152">
        <f t="shared" si="258"/>
        <v>37.323838930211203</v>
      </c>
      <c r="CO53" s="82">
        <f t="shared" si="258"/>
        <v>44.350808046297537</v>
      </c>
      <c r="CP53" s="82">
        <f t="shared" si="258"/>
        <v>44.838106624269393</v>
      </c>
      <c r="CQ53" s="82">
        <f t="shared" ref="CQ53:CV53" si="259">CQ13/CQ59*360</f>
        <v>48.145251437500363</v>
      </c>
      <c r="CR53" s="82">
        <f t="shared" si="259"/>
        <v>39.338657872388772</v>
      </c>
      <c r="CS53" s="152">
        <f t="shared" si="259"/>
        <v>46.77774816997664</v>
      </c>
      <c r="CT53" s="152">
        <f t="shared" si="259"/>
        <v>45.290418914372644</v>
      </c>
      <c r="CU53" s="152">
        <f t="shared" si="259"/>
        <v>42.279284295689109</v>
      </c>
      <c r="CV53" s="162">
        <f t="shared" si="259"/>
        <v>42.529918349605502</v>
      </c>
      <c r="CW53" s="25"/>
    </row>
    <row r="54" spans="1:101" ht="14.25" customHeight="1">
      <c r="A54" s="8"/>
      <c r="B54" s="26" t="s">
        <v>98</v>
      </c>
      <c r="C54" s="27"/>
      <c r="D54" s="81">
        <f t="shared" ref="D54:BO54" si="260">360/D55</f>
        <v>2.7740078292399186</v>
      </c>
      <c r="E54" s="82">
        <f t="shared" si="260"/>
        <v>2.9539957410904414</v>
      </c>
      <c r="F54" s="82">
        <f t="shared" si="260"/>
        <v>2.8418565675845535</v>
      </c>
      <c r="G54" s="83">
        <f t="shared" si="260"/>
        <v>3.187358916478555</v>
      </c>
      <c r="H54" s="81">
        <f t="shared" si="260"/>
        <v>2.6915979694229435</v>
      </c>
      <c r="I54" s="82">
        <f t="shared" si="260"/>
        <v>2.5244449390684993</v>
      </c>
      <c r="J54" s="82">
        <f t="shared" si="260"/>
        <v>2.5028269843204374</v>
      </c>
      <c r="K54" s="83">
        <f t="shared" si="260"/>
        <v>2.6349012679221762</v>
      </c>
      <c r="L54" s="81">
        <f t="shared" si="260"/>
        <v>2.3496212729996939</v>
      </c>
      <c r="M54" s="82">
        <f t="shared" si="260"/>
        <v>2.4727286048087667</v>
      </c>
      <c r="N54" s="82">
        <f t="shared" si="260"/>
        <v>2.6246015713889927</v>
      </c>
      <c r="O54" s="83">
        <f t="shared" si="260"/>
        <v>3.078554626926409</v>
      </c>
      <c r="P54" s="81">
        <f t="shared" si="260"/>
        <v>2.8844201625701098</v>
      </c>
      <c r="Q54" s="82">
        <f t="shared" si="260"/>
        <v>3.1722272486780771</v>
      </c>
      <c r="R54" s="82">
        <f t="shared" si="260"/>
        <v>3.3199987091360899</v>
      </c>
      <c r="S54" s="83">
        <f t="shared" si="260"/>
        <v>3.2678360863111786</v>
      </c>
      <c r="T54" s="81">
        <f t="shared" si="260"/>
        <v>2.5867706025853128</v>
      </c>
      <c r="U54" s="82">
        <f t="shared" si="260"/>
        <v>2.7975357079590859</v>
      </c>
      <c r="V54" s="82">
        <f t="shared" si="260"/>
        <v>3.271059723550378</v>
      </c>
      <c r="W54" s="83">
        <f t="shared" si="260"/>
        <v>3.9460422418934988</v>
      </c>
      <c r="X54" s="81">
        <f t="shared" si="260"/>
        <v>3.8558339327921072</v>
      </c>
      <c r="Y54" s="82">
        <f t="shared" si="260"/>
        <v>3.7749028918445298</v>
      </c>
      <c r="Z54" s="82">
        <f t="shared" si="260"/>
        <v>3.6203358138623112</v>
      </c>
      <c r="AA54" s="83">
        <f t="shared" si="260"/>
        <v>3.6581062282415182</v>
      </c>
      <c r="AB54" s="81">
        <f t="shared" si="260"/>
        <v>3.4819563220015541</v>
      </c>
      <c r="AC54" s="82">
        <f t="shared" si="260"/>
        <v>3.4933079174892776</v>
      </c>
      <c r="AD54" s="82">
        <f t="shared" si="260"/>
        <v>3.3175470714791602</v>
      </c>
      <c r="AE54" s="83">
        <f t="shared" si="260"/>
        <v>3.4650824688814255</v>
      </c>
      <c r="AF54" s="81">
        <f t="shared" si="260"/>
        <v>3.2126531161663752</v>
      </c>
      <c r="AG54" s="82">
        <f t="shared" si="260"/>
        <v>3.0899776784244524</v>
      </c>
      <c r="AH54" s="82">
        <f t="shared" si="260"/>
        <v>3.0140060689761246</v>
      </c>
      <c r="AI54" s="83">
        <f t="shared" si="260"/>
        <v>3.208970971207084</v>
      </c>
      <c r="AJ54" s="81">
        <f t="shared" si="260"/>
        <v>3.0182612289797337</v>
      </c>
      <c r="AK54" s="82">
        <f t="shared" si="260"/>
        <v>3.1716543966390942</v>
      </c>
      <c r="AL54" s="82">
        <f t="shared" si="260"/>
        <v>3.363695831076662</v>
      </c>
      <c r="AM54" s="83">
        <f t="shared" si="260"/>
        <v>3.2930820895259005</v>
      </c>
      <c r="AN54" s="81">
        <f t="shared" si="260"/>
        <v>3.0230224015727662</v>
      </c>
      <c r="AO54" s="82">
        <f t="shared" si="260"/>
        <v>3.1604251554793055</v>
      </c>
      <c r="AP54" s="82">
        <f t="shared" si="260"/>
        <v>2.4231579048802927</v>
      </c>
      <c r="AQ54" s="83">
        <f t="shared" si="260"/>
        <v>3.5682078238346189</v>
      </c>
      <c r="AR54" s="81">
        <f t="shared" si="260"/>
        <v>2.9232160070580933</v>
      </c>
      <c r="AS54" s="82">
        <f t="shared" si="260"/>
        <v>2.8005191460453136</v>
      </c>
      <c r="AT54" s="82">
        <f t="shared" si="260"/>
        <v>2.7735720596030387</v>
      </c>
      <c r="AU54" s="83">
        <f t="shared" si="260"/>
        <v>3.2686350693888637</v>
      </c>
      <c r="AV54" s="81">
        <f t="shared" si="260"/>
        <v>2.8863485915840856</v>
      </c>
      <c r="AW54" s="82">
        <f t="shared" si="260"/>
        <v>2.68225775361176</v>
      </c>
      <c r="AX54" s="82">
        <f t="shared" si="260"/>
        <v>3.0313405709362402</v>
      </c>
      <c r="AY54" s="83">
        <f t="shared" si="260"/>
        <v>3.5791424891450117</v>
      </c>
      <c r="AZ54" s="81">
        <f t="shared" si="260"/>
        <v>3.675687799861044</v>
      </c>
      <c r="BA54" s="82">
        <f t="shared" si="260"/>
        <v>3.1336434836028886</v>
      </c>
      <c r="BB54" s="82">
        <f t="shared" si="260"/>
        <v>5.1359201069858278</v>
      </c>
      <c r="BC54" s="83">
        <f t="shared" si="260"/>
        <v>3.8861979317957354</v>
      </c>
      <c r="BD54" s="81">
        <f t="shared" si="260"/>
        <v>3.454827413706854</v>
      </c>
      <c r="BE54" s="1121">
        <f t="shared" si="260"/>
        <v>3.454827413706854</v>
      </c>
      <c r="BF54" s="1121">
        <f t="shared" si="260"/>
        <v>3.454827413706854</v>
      </c>
      <c r="BG54" s="1122">
        <f t="shared" si="260"/>
        <v>3.454827413706854</v>
      </c>
      <c r="BH54" s="1121">
        <f t="shared" si="260"/>
        <v>3.454827413706854</v>
      </c>
      <c r="BI54" s="1121">
        <f t="shared" si="260"/>
        <v>3.454827413706854</v>
      </c>
      <c r="BJ54" s="1121">
        <f t="shared" si="260"/>
        <v>3.454827413706854</v>
      </c>
      <c r="BK54" s="1122">
        <f t="shared" si="260"/>
        <v>3.454827413706854</v>
      </c>
      <c r="BL54" s="1121">
        <f t="shared" si="260"/>
        <v>3.454827413706854</v>
      </c>
      <c r="BM54" s="1121">
        <f t="shared" si="260"/>
        <v>3.454827413706854</v>
      </c>
      <c r="BN54" s="1121">
        <f t="shared" si="260"/>
        <v>3.454827413706854</v>
      </c>
      <c r="BO54" s="1122">
        <f t="shared" si="260"/>
        <v>3.454827413706854</v>
      </c>
      <c r="BP54" s="115"/>
      <c r="BQ54" s="82">
        <f t="shared" ref="BQ54:CF54" si="261">360/BQ55</f>
        <v>3.0472124704422727</v>
      </c>
      <c r="BR54" s="82">
        <f t="shared" si="261"/>
        <v>2.4478468860055216</v>
      </c>
      <c r="BS54" s="82">
        <f t="shared" si="261"/>
        <v>2.9082044858808533</v>
      </c>
      <c r="BT54" s="82">
        <f t="shared" si="261"/>
        <v>3.152538038168633</v>
      </c>
      <c r="BU54" s="82">
        <f t="shared" si="261"/>
        <v>3.4918226546288458</v>
      </c>
      <c r="BV54" s="82">
        <f t="shared" si="261"/>
        <v>3.4197370898564139</v>
      </c>
      <c r="BW54" s="82">
        <f t="shared" si="261"/>
        <v>3.3651353589330215</v>
      </c>
      <c r="BX54" s="82">
        <f t="shared" si="261"/>
        <v>3.0185494323388595</v>
      </c>
      <c r="BY54" s="82">
        <f t="shared" si="261"/>
        <v>3.2766062350554916</v>
      </c>
      <c r="BZ54" s="82">
        <f t="shared" si="261"/>
        <v>2.7734104937656818</v>
      </c>
      <c r="CA54" s="82">
        <f t="shared" si="261"/>
        <v>2.8127173458238803</v>
      </c>
      <c r="CB54" s="82">
        <f t="shared" si="261"/>
        <v>3.1280333622969447</v>
      </c>
      <c r="CC54" s="82">
        <f t="shared" si="261"/>
        <v>3.6634391098158527</v>
      </c>
      <c r="CD54" s="82">
        <f t="shared" si="261"/>
        <v>3.5248199981504236</v>
      </c>
      <c r="CE54" s="82">
        <f t="shared" si="261"/>
        <v>3.2785673698748292</v>
      </c>
      <c r="CF54" s="83">
        <f t="shared" si="261"/>
        <v>3.2911637619560987</v>
      </c>
      <c r="CG54" s="23"/>
      <c r="CH54" s="81">
        <f t="shared" ref="CH54:CV54" si="262">360/CH55</f>
        <v>11.701440052096437</v>
      </c>
      <c r="CI54" s="82">
        <f t="shared" si="262"/>
        <v>9.7367315937640946</v>
      </c>
      <c r="CJ54" s="82">
        <f t="shared" si="262"/>
        <v>11.725762880228711</v>
      </c>
      <c r="CK54" s="82">
        <f t="shared" si="262"/>
        <v>12.152239949901393</v>
      </c>
      <c r="CL54" s="82">
        <f t="shared" si="262"/>
        <v>15.179710204501077</v>
      </c>
      <c r="CM54" s="82">
        <f t="shared" si="262"/>
        <v>13.766414587603364</v>
      </c>
      <c r="CN54" s="82">
        <f t="shared" si="262"/>
        <v>13.448862565621214</v>
      </c>
      <c r="CO54" s="82">
        <f t="shared" si="262"/>
        <v>12.410514770733867</v>
      </c>
      <c r="CP54" s="82">
        <f t="shared" si="262"/>
        <v>12.810429923948472</v>
      </c>
      <c r="CQ54" s="82">
        <f t="shared" si="262"/>
        <v>11.805357833339688</v>
      </c>
      <c r="CR54" s="82">
        <f t="shared" si="262"/>
        <v>11.85210397873791</v>
      </c>
      <c r="CS54" s="82">
        <f t="shared" si="262"/>
        <v>13.54586882429852</v>
      </c>
      <c r="CT54" s="82">
        <f t="shared" si="262"/>
        <v>15.674951761595082</v>
      </c>
      <c r="CU54" s="82">
        <f t="shared" si="262"/>
        <v>14.101771635640898</v>
      </c>
      <c r="CV54" s="83">
        <f t="shared" si="262"/>
        <v>13.706249875494183</v>
      </c>
      <c r="CW54" s="25"/>
    </row>
    <row r="55" spans="1:101" ht="14.25" customHeight="1">
      <c r="A55" s="8"/>
      <c r="B55" s="26" t="s">
        <v>99</v>
      </c>
      <c r="C55" s="27"/>
      <c r="D55" s="81">
        <f t="shared" ref="D55:AG55" si="263">(D14/D60)*90</f>
        <v>129.77612975902827</v>
      </c>
      <c r="E55" s="82">
        <f t="shared" si="263"/>
        <v>121.8688283779005</v>
      </c>
      <c r="F55" s="82">
        <f t="shared" si="263"/>
        <v>126.67775147638197</v>
      </c>
      <c r="G55" s="83">
        <f t="shared" si="263"/>
        <v>112.94617563739378</v>
      </c>
      <c r="H55" s="81">
        <f t="shared" si="263"/>
        <v>133.74954361300141</v>
      </c>
      <c r="I55" s="82">
        <f t="shared" si="263"/>
        <v>142.60560586155515</v>
      </c>
      <c r="J55" s="82">
        <f t="shared" si="263"/>
        <v>143.83734962716429</v>
      </c>
      <c r="K55" s="83">
        <f t="shared" si="263"/>
        <v>136.62751025350104</v>
      </c>
      <c r="L55" s="81">
        <f t="shared" si="263"/>
        <v>153.21618174677076</v>
      </c>
      <c r="M55" s="82">
        <f t="shared" si="263"/>
        <v>145.58815686440499</v>
      </c>
      <c r="N55" s="82">
        <f t="shared" si="263"/>
        <v>137.16367616494287</v>
      </c>
      <c r="O55" s="83">
        <f t="shared" si="263"/>
        <v>116.93799319046664</v>
      </c>
      <c r="P55" s="81">
        <f t="shared" si="263"/>
        <v>124.80844665821105</v>
      </c>
      <c r="Q55" s="82">
        <f t="shared" si="263"/>
        <v>113.48493401600354</v>
      </c>
      <c r="R55" s="82">
        <f t="shared" si="263"/>
        <v>108.43377710037636</v>
      </c>
      <c r="S55" s="83">
        <f t="shared" si="263"/>
        <v>110.16464427577139</v>
      </c>
      <c r="T55" s="81">
        <f t="shared" si="263"/>
        <v>139.16966569830464</v>
      </c>
      <c r="U55" s="82">
        <f t="shared" si="263"/>
        <v>128.68468451565695</v>
      </c>
      <c r="V55" s="82">
        <f t="shared" si="263"/>
        <v>110.05607675339517</v>
      </c>
      <c r="W55" s="83">
        <f t="shared" si="263"/>
        <v>91.230650340746195</v>
      </c>
      <c r="X55" s="81">
        <f t="shared" si="263"/>
        <v>93.365016822525561</v>
      </c>
      <c r="Y55" s="82">
        <f t="shared" si="263"/>
        <v>95.366691624772713</v>
      </c>
      <c r="Z55" s="82">
        <f t="shared" si="263"/>
        <v>99.438289293925578</v>
      </c>
      <c r="AA55" s="83">
        <f t="shared" si="263"/>
        <v>98.411576246941024</v>
      </c>
      <c r="AB55" s="81">
        <f t="shared" si="263"/>
        <v>103.39015389861611</v>
      </c>
      <c r="AC55" s="381">
        <f t="shared" si="263"/>
        <v>103.05418488809897</v>
      </c>
      <c r="AD55" s="82">
        <f t="shared" si="263"/>
        <v>108.51390869323538</v>
      </c>
      <c r="AE55" s="83">
        <f t="shared" si="263"/>
        <v>103.89363117126986</v>
      </c>
      <c r="AF55" s="81">
        <f>(AF14/AF60)*90</f>
        <v>112.05691588315149</v>
      </c>
      <c r="AG55" s="381">
        <f t="shared" si="263"/>
        <v>116.50569598404357</v>
      </c>
      <c r="AH55" s="82">
        <f t="shared" ref="AH55:AM55" si="264">(AH14/AH60)*90</f>
        <v>119.44236068585425</v>
      </c>
      <c r="AI55" s="83">
        <f t="shared" si="264"/>
        <v>112.1854959830262</v>
      </c>
      <c r="AJ55" s="81">
        <f t="shared" si="264"/>
        <v>119.27397023937891</v>
      </c>
      <c r="AK55" s="381">
        <f t="shared" si="264"/>
        <v>113.50543122903967</v>
      </c>
      <c r="AL55" s="82">
        <f t="shared" si="264"/>
        <v>107.02513487516204</v>
      </c>
      <c r="AM55" s="83">
        <f t="shared" si="264"/>
        <v>109.32008076720268</v>
      </c>
      <c r="AN55" s="81">
        <f t="shared" ref="AN55:AT55" si="265">(AN14/AN60)*90</f>
        <v>119.08611719605696</v>
      </c>
      <c r="AO55" s="381">
        <f t="shared" si="265"/>
        <v>113.90872502576411</v>
      </c>
      <c r="AP55" s="82">
        <f t="shared" si="265"/>
        <v>148.56646332249011</v>
      </c>
      <c r="AQ55" s="83">
        <f t="shared" si="265"/>
        <v>100.89098443069987</v>
      </c>
      <c r="AR55" s="81">
        <f t="shared" si="265"/>
        <v>123.15203499528651</v>
      </c>
      <c r="AS55" s="381">
        <f t="shared" si="265"/>
        <v>128.54759465164358</v>
      </c>
      <c r="AT55" s="82">
        <f t="shared" si="265"/>
        <v>129.79651952923271</v>
      </c>
      <c r="AU55" s="83">
        <f t="shared" ref="AU55:AY55" si="266">(AU14/AU60)*90</f>
        <v>110.13771570018342</v>
      </c>
      <c r="AV55" s="81">
        <f t="shared" si="266"/>
        <v>124.7250595613002</v>
      </c>
      <c r="AW55" s="381">
        <f t="shared" si="266"/>
        <v>134.21528915901038</v>
      </c>
      <c r="AX55" s="381">
        <f t="shared" si="266"/>
        <v>118.75933817915178</v>
      </c>
      <c r="AY55" s="83">
        <f t="shared" si="266"/>
        <v>100.58275162048579</v>
      </c>
      <c r="AZ55" s="81">
        <f t="shared" ref="AZ55:BC55" si="267">(AZ14/AZ60)*90</f>
        <v>97.940853413505209</v>
      </c>
      <c r="BA55" s="381">
        <f t="shared" si="267"/>
        <v>114.88224550231607</v>
      </c>
      <c r="BB55" s="381">
        <f t="shared" si="267"/>
        <v>70.094548299209634</v>
      </c>
      <c r="BC55" s="83">
        <f t="shared" si="267"/>
        <v>92.635528688486303</v>
      </c>
      <c r="BD55" s="81">
        <f t="shared" ref="BD55" si="268">(BD14/BD60)*90</f>
        <v>104.20202137210042</v>
      </c>
      <c r="BE55" s="1119">
        <f t="shared" ref="BE55:BG56" si="269">BD55</f>
        <v>104.20202137210042</v>
      </c>
      <c r="BF55" s="1119">
        <f t="shared" si="269"/>
        <v>104.20202137210042</v>
      </c>
      <c r="BG55" s="1120">
        <f t="shared" si="269"/>
        <v>104.20202137210042</v>
      </c>
      <c r="BH55" s="1119">
        <f>BG55</f>
        <v>104.20202137210042</v>
      </c>
      <c r="BI55" s="1119">
        <f>BH55</f>
        <v>104.20202137210042</v>
      </c>
      <c r="BJ55" s="1119">
        <f t="shared" ref="BJ55:BJ56" si="270">BI55</f>
        <v>104.20202137210042</v>
      </c>
      <c r="BK55" s="1120">
        <f t="shared" ref="BK55:BK56" si="271">BJ55</f>
        <v>104.20202137210042</v>
      </c>
      <c r="BL55" s="1119">
        <f>BK55</f>
        <v>104.20202137210042</v>
      </c>
      <c r="BM55" s="1119">
        <f>BL55</f>
        <v>104.20202137210042</v>
      </c>
      <c r="BN55" s="1119">
        <f t="shared" ref="BN55:BN57" si="272">BM55</f>
        <v>104.20202137210042</v>
      </c>
      <c r="BO55" s="1120">
        <f t="shared" ref="BO55:BO57" si="273">BN55</f>
        <v>104.20202137210042</v>
      </c>
      <c r="BP55" s="115"/>
      <c r="BQ55" s="82">
        <f t="shared" ref="BQ55:BZ55" si="274">(BQ14/BQ60)*365</f>
        <v>118.14076093871772</v>
      </c>
      <c r="BR55" s="82">
        <f t="shared" si="274"/>
        <v>147.06802212921906</v>
      </c>
      <c r="BS55" s="82">
        <f t="shared" si="274"/>
        <v>123.78771910564645</v>
      </c>
      <c r="BT55" s="82">
        <f t="shared" si="274"/>
        <v>114.19370540224492</v>
      </c>
      <c r="BU55" s="82">
        <f t="shared" si="274"/>
        <v>103.09801946063187</v>
      </c>
      <c r="BV55" s="82">
        <f t="shared" si="274"/>
        <v>105.27125054958991</v>
      </c>
      <c r="BW55" s="82">
        <f t="shared" si="274"/>
        <v>106.97935197297522</v>
      </c>
      <c r="BX55" s="82">
        <f t="shared" si="274"/>
        <v>119.26258226656292</v>
      </c>
      <c r="BY55" s="82">
        <f t="shared" si="274"/>
        <v>109.86977811018636</v>
      </c>
      <c r="BZ55" s="82">
        <f t="shared" si="274"/>
        <v>129.80408086334134</v>
      </c>
      <c r="CA55" s="82">
        <f t="shared" ref="CA55:CF55" si="275">(CA14/CA60)*365</f>
        <v>127.9901091144128</v>
      </c>
      <c r="CB55" s="82">
        <f t="shared" si="275"/>
        <v>115.08828656982372</v>
      </c>
      <c r="CC55" s="82">
        <f t="shared" si="275"/>
        <v>98.26831815913431</v>
      </c>
      <c r="CD55" s="82">
        <f t="shared" si="275"/>
        <v>102.13287492379825</v>
      </c>
      <c r="CE55" s="82">
        <f t="shared" si="275"/>
        <v>109.80405750019536</v>
      </c>
      <c r="CF55" s="83">
        <f t="shared" si="275"/>
        <v>109.38380039346158</v>
      </c>
      <c r="CG55" s="23"/>
      <c r="CH55" s="81">
        <f t="shared" ref="CH55:CP55" si="276">(CH14/CH60)*90</f>
        <v>30.765444116042982</v>
      </c>
      <c r="CI55" s="82">
        <f t="shared" si="276"/>
        <v>36.973392614680122</v>
      </c>
      <c r="CJ55" s="82">
        <f t="shared" si="276"/>
        <v>30.701627150162722</v>
      </c>
      <c r="CK55" s="82">
        <f t="shared" si="276"/>
        <v>29.624168176741865</v>
      </c>
      <c r="CL55" s="82">
        <f t="shared" si="276"/>
        <v>23.71586777020638</v>
      </c>
      <c r="CM55" s="82">
        <f t="shared" si="276"/>
        <v>26.150599904508141</v>
      </c>
      <c r="CN55" s="82">
        <f t="shared" si="276"/>
        <v>26.768062967663415</v>
      </c>
      <c r="CO55" s="82">
        <f t="shared" si="276"/>
        <v>29.007660572544665</v>
      </c>
      <c r="CP55" s="82">
        <f t="shared" si="276"/>
        <v>28.10210134532625</v>
      </c>
      <c r="CQ55" s="82">
        <f t="shared" ref="CQ55:CV55" si="277">(CQ14/CQ60)*90</f>
        <v>30.494628378253694</v>
      </c>
      <c r="CR55" s="82">
        <f t="shared" si="277"/>
        <v>30.374353840113304</v>
      </c>
      <c r="CS55" s="82">
        <f t="shared" si="277"/>
        <v>26.576368387255719</v>
      </c>
      <c r="CT55" s="82">
        <f t="shared" si="277"/>
        <v>22.966577854614489</v>
      </c>
      <c r="CU55" s="82">
        <f t="shared" si="277"/>
        <v>25.528707264705236</v>
      </c>
      <c r="CV55" s="83">
        <f t="shared" si="277"/>
        <v>26.265390115472417</v>
      </c>
      <c r="CW55" s="25"/>
    </row>
    <row r="56" spans="1:101" ht="14.25" customHeight="1">
      <c r="A56" s="8"/>
      <c r="B56" s="26" t="s">
        <v>100</v>
      </c>
      <c r="C56" s="27"/>
      <c r="D56" s="81">
        <f t="shared" ref="D56:AG56" si="278">(D30/D60)*90</f>
        <v>34.885432312414281</v>
      </c>
      <c r="E56" s="82">
        <f t="shared" si="278"/>
        <v>36.982166659542145</v>
      </c>
      <c r="F56" s="82">
        <f t="shared" si="278"/>
        <v>41.926381574097583</v>
      </c>
      <c r="G56" s="83">
        <f t="shared" si="278"/>
        <v>44.510724403075685</v>
      </c>
      <c r="H56" s="81">
        <f t="shared" si="278"/>
        <v>51.067791614796185</v>
      </c>
      <c r="I56" s="82">
        <f t="shared" si="278"/>
        <v>57.444959750301983</v>
      </c>
      <c r="J56" s="82">
        <f t="shared" si="278"/>
        <v>63.380673517866889</v>
      </c>
      <c r="K56" s="83">
        <f t="shared" si="278"/>
        <v>44.355021709758766</v>
      </c>
      <c r="L56" s="81">
        <f t="shared" si="278"/>
        <v>49.894175224292923</v>
      </c>
      <c r="M56" s="82">
        <f t="shared" si="278"/>
        <v>52.832786607690842</v>
      </c>
      <c r="N56" s="82">
        <f t="shared" si="278"/>
        <v>51.27851635039908</v>
      </c>
      <c r="O56" s="83">
        <f t="shared" si="278"/>
        <v>56.307951131584218</v>
      </c>
      <c r="P56" s="81">
        <f t="shared" si="278"/>
        <v>45.146279388171656</v>
      </c>
      <c r="Q56" s="82">
        <f t="shared" si="278"/>
        <v>35.708809840556768</v>
      </c>
      <c r="R56" s="82">
        <f t="shared" si="278"/>
        <v>44.175557560110732</v>
      </c>
      <c r="S56" s="83">
        <f t="shared" si="278"/>
        <v>45.676298149308082</v>
      </c>
      <c r="T56" s="81">
        <f t="shared" si="278"/>
        <v>35.815375276416773</v>
      </c>
      <c r="U56" s="82">
        <f t="shared" si="278"/>
        <v>36.120987260548979</v>
      </c>
      <c r="V56" s="82">
        <f t="shared" si="278"/>
        <v>37.786828607117229</v>
      </c>
      <c r="W56" s="83">
        <f t="shared" si="278"/>
        <v>38.679538411025604</v>
      </c>
      <c r="X56" s="81">
        <f t="shared" si="278"/>
        <v>43.653878135833899</v>
      </c>
      <c r="Y56" s="82">
        <f t="shared" si="278"/>
        <v>40.117531286768646</v>
      </c>
      <c r="Z56" s="82">
        <f t="shared" si="278"/>
        <v>48.719761087601213</v>
      </c>
      <c r="AA56" s="83">
        <f t="shared" si="278"/>
        <v>47.209736720772689</v>
      </c>
      <c r="AB56" s="81">
        <f t="shared" si="278"/>
        <v>45.990313846003957</v>
      </c>
      <c r="AC56" s="381">
        <f t="shared" si="278"/>
        <v>42.603423680456494</v>
      </c>
      <c r="AD56" s="82">
        <f t="shared" si="278"/>
        <v>38.430408197791046</v>
      </c>
      <c r="AE56" s="83">
        <f t="shared" si="278"/>
        <v>39.805336045692819</v>
      </c>
      <c r="AF56" s="81">
        <f>(AF30/AF60)*90</f>
        <v>42.139750615918345</v>
      </c>
      <c r="AG56" s="381">
        <f t="shared" si="278"/>
        <v>48.232135322772429</v>
      </c>
      <c r="AH56" s="82">
        <f t="shared" ref="AH56:AM56" si="279">(AH30/AH60)*90</f>
        <v>43.398270055113294</v>
      </c>
      <c r="AI56" s="83">
        <f t="shared" si="279"/>
        <v>41.85066870097981</v>
      </c>
      <c r="AJ56" s="81">
        <f t="shared" si="279"/>
        <v>44.205779598878593</v>
      </c>
      <c r="AK56" s="381">
        <f t="shared" si="279"/>
        <v>44.898820948724975</v>
      </c>
      <c r="AL56" s="82">
        <f t="shared" si="279"/>
        <v>42.664464054200991</v>
      </c>
      <c r="AM56" s="83">
        <f t="shared" si="279"/>
        <v>46.297355345682774</v>
      </c>
      <c r="AN56" s="81">
        <f t="shared" ref="AN56:AU56" si="280">(AN30/AN60)*90</f>
        <v>51.185240963855421</v>
      </c>
      <c r="AO56" s="381">
        <f t="shared" si="280"/>
        <v>50.457223072779939</v>
      </c>
      <c r="AP56" s="82">
        <f t="shared" si="280"/>
        <v>51.056501578767367</v>
      </c>
      <c r="AQ56" s="83">
        <f t="shared" si="280"/>
        <v>38.106791383565401</v>
      </c>
      <c r="AR56" s="81">
        <f t="shared" si="280"/>
        <v>41.400556675447781</v>
      </c>
      <c r="AS56" s="381">
        <f t="shared" si="280"/>
        <v>50.931038353059591</v>
      </c>
      <c r="AT56" s="82">
        <f t="shared" si="280"/>
        <v>46.68760702345682</v>
      </c>
      <c r="AU56" s="83">
        <f t="shared" si="280"/>
        <v>46.545027691540582</v>
      </c>
      <c r="AV56" s="81">
        <f>(AV30/AV60)*90</f>
        <v>42.607484185447866</v>
      </c>
      <c r="AW56" s="381">
        <f>(AW30/AW60)*90</f>
        <v>55.704221934347032</v>
      </c>
      <c r="AX56" s="381">
        <f>(AX30/AX60)*90</f>
        <v>48.561693368000782</v>
      </c>
      <c r="AY56" s="83">
        <f t="shared" ref="AY56" si="281">(AY30/AY60)*90</f>
        <v>45.793592848493489</v>
      </c>
      <c r="AZ56" s="81">
        <f>(AZ30/AZ60)*90</f>
        <v>41.967494679188555</v>
      </c>
      <c r="BA56" s="381">
        <f>(BA30/BA60)*90</f>
        <v>33.735437079712106</v>
      </c>
      <c r="BB56" s="381">
        <f>(BB30/BB60)*90</f>
        <v>30.768929891289687</v>
      </c>
      <c r="BC56" s="83">
        <f t="shared" ref="BC56" si="282">(BC30/BC60)*90</f>
        <v>39.795961842117556</v>
      </c>
      <c r="BD56" s="81">
        <f>(BD30/BD60)*90</f>
        <v>44.052776594116253</v>
      </c>
      <c r="BE56" s="1119">
        <f t="shared" si="269"/>
        <v>44.052776594116253</v>
      </c>
      <c r="BF56" s="1119">
        <f t="shared" si="269"/>
        <v>44.052776594116253</v>
      </c>
      <c r="BG56" s="1120">
        <f t="shared" si="269"/>
        <v>44.052776594116253</v>
      </c>
      <c r="BH56" s="1119">
        <f>BG56</f>
        <v>44.052776594116253</v>
      </c>
      <c r="BI56" s="1119">
        <f>BH56</f>
        <v>44.052776594116253</v>
      </c>
      <c r="BJ56" s="1119">
        <f t="shared" si="270"/>
        <v>44.052776594116253</v>
      </c>
      <c r="BK56" s="1120">
        <f t="shared" si="271"/>
        <v>44.052776594116253</v>
      </c>
      <c r="BL56" s="1119">
        <f>BK56</f>
        <v>44.052776594116253</v>
      </c>
      <c r="BM56" s="1119">
        <f>BL56</f>
        <v>44.052776594116253</v>
      </c>
      <c r="BN56" s="1119">
        <f t="shared" si="272"/>
        <v>44.052776594116253</v>
      </c>
      <c r="BO56" s="1120">
        <f t="shared" si="273"/>
        <v>44.052776594116253</v>
      </c>
      <c r="BP56" s="115"/>
      <c r="BQ56" s="82">
        <f t="shared" ref="BQ56:BZ56" si="283">(BQ30/BQ60)*365</f>
        <v>46.557847764541222</v>
      </c>
      <c r="BR56" s="82">
        <f t="shared" si="283"/>
        <v>47.744449871402374</v>
      </c>
      <c r="BS56" s="82">
        <f t="shared" si="283"/>
        <v>59.606229317943011</v>
      </c>
      <c r="BT56" s="82">
        <f t="shared" si="283"/>
        <v>47.346821378284417</v>
      </c>
      <c r="BU56" s="82">
        <f t="shared" si="283"/>
        <v>43.711009281790879</v>
      </c>
      <c r="BV56" s="82">
        <f t="shared" si="283"/>
        <v>50.500441231039801</v>
      </c>
      <c r="BW56" s="82">
        <f t="shared" si="283"/>
        <v>40.987585160199018</v>
      </c>
      <c r="BX56" s="82">
        <f t="shared" si="283"/>
        <v>44.490767501856496</v>
      </c>
      <c r="BY56" s="82">
        <f t="shared" si="283"/>
        <v>46.530153684671262</v>
      </c>
      <c r="BZ56" s="82">
        <f t="shared" si="283"/>
        <v>49.027344297471942</v>
      </c>
      <c r="CA56" s="82">
        <f t="shared" ref="CA56:CF56" si="284">(CA30/CA60)*365</f>
        <v>54.089583528231131</v>
      </c>
      <c r="CB56" s="82">
        <f t="shared" si="284"/>
        <v>52.397712847376901</v>
      </c>
      <c r="CC56" s="82">
        <f t="shared" si="284"/>
        <v>42.215792311185211</v>
      </c>
      <c r="CD56" s="82">
        <f t="shared" si="284"/>
        <v>43.17801768802876</v>
      </c>
      <c r="CE56" s="82">
        <f t="shared" si="284"/>
        <v>46.421111130947125</v>
      </c>
      <c r="CF56" s="83">
        <f t="shared" si="284"/>
        <v>46.243441905424888</v>
      </c>
      <c r="CG56" s="23"/>
      <c r="CH56" s="81">
        <f t="shared" ref="CH56:CP56" si="285">(CH30/CH60)*90</f>
        <v>11.746756262591207</v>
      </c>
      <c r="CI56" s="82">
        <f t="shared" si="285"/>
        <v>12.040222571284046</v>
      </c>
      <c r="CJ56" s="82">
        <f t="shared" si="285"/>
        <v>11.105532310553231</v>
      </c>
      <c r="CK56" s="82">
        <f t="shared" si="285"/>
        <v>7.6237928371672314</v>
      </c>
      <c r="CL56" s="82">
        <f t="shared" si="285"/>
        <v>11.088624377309195</v>
      </c>
      <c r="CM56" s="82">
        <f t="shared" si="285"/>
        <v>11.632387142483097</v>
      </c>
      <c r="CN56" s="82">
        <f t="shared" si="285"/>
        <v>10.066308616817267</v>
      </c>
      <c r="CO56" s="82">
        <f t="shared" si="285"/>
        <v>10.750931216387311</v>
      </c>
      <c r="CP56" s="82">
        <f t="shared" si="285"/>
        <v>12.078761679525453</v>
      </c>
      <c r="CQ56" s="82">
        <f t="shared" ref="CQ56:CV56" si="286">(CQ30/CQ60)*90</f>
        <v>10.251512210244279</v>
      </c>
      <c r="CR56" s="82">
        <f t="shared" si="286"/>
        <v>10.3762211494456</v>
      </c>
      <c r="CS56" s="82">
        <f t="shared" si="286"/>
        <v>11.387930164089351</v>
      </c>
      <c r="CT56" s="82">
        <f t="shared" si="286"/>
        <v>9.709423195811425</v>
      </c>
      <c r="CU56" s="82">
        <f t="shared" si="286"/>
        <v>10.79259714024858</v>
      </c>
      <c r="CV56" s="83">
        <f t="shared" si="286"/>
        <v>11.104039515532985</v>
      </c>
      <c r="CW56" s="25"/>
    </row>
    <row r="57" spans="1:101" ht="14.25" customHeight="1">
      <c r="A57" s="8"/>
      <c r="B57" s="26" t="s">
        <v>101</v>
      </c>
      <c r="C57" s="27"/>
      <c r="D57" s="94">
        <f t="shared" ref="D57:AG57" si="287">D16/D59</f>
        <v>9.7833726073835225E-2</v>
      </c>
      <c r="E57" s="94">
        <f t="shared" si="287"/>
        <v>8.8800217317127297E-2</v>
      </c>
      <c r="F57" s="94">
        <f t="shared" si="287"/>
        <v>0.10766187742094996</v>
      </c>
      <c r="G57" s="95">
        <f t="shared" si="287"/>
        <v>0.47249931686303509</v>
      </c>
      <c r="H57" s="94">
        <f t="shared" si="287"/>
        <v>0.12340781781663093</v>
      </c>
      <c r="I57" s="94">
        <f t="shared" si="287"/>
        <v>0.11342776125500734</v>
      </c>
      <c r="J57" s="94">
        <f t="shared" si="287"/>
        <v>0.15975889733935536</v>
      </c>
      <c r="K57" s="95">
        <f t="shared" si="287"/>
        <v>0.13756880162171733</v>
      </c>
      <c r="L57" s="94">
        <f t="shared" si="287"/>
        <v>0.12042825321549185</v>
      </c>
      <c r="M57" s="94">
        <f t="shared" si="287"/>
        <v>0.1244286448317358</v>
      </c>
      <c r="N57" s="94">
        <f t="shared" si="287"/>
        <v>8.9908022110972721E-2</v>
      </c>
      <c r="O57" s="95">
        <f t="shared" si="287"/>
        <v>0.22263135442359935</v>
      </c>
      <c r="P57" s="94">
        <f t="shared" si="287"/>
        <v>0.1267891495319339</v>
      </c>
      <c r="Q57" s="94">
        <f t="shared" si="287"/>
        <v>0.10074229217359164</v>
      </c>
      <c r="R57" s="94">
        <f t="shared" si="287"/>
        <v>7.958439177767053E-2</v>
      </c>
      <c r="S57" s="95">
        <f t="shared" si="287"/>
        <v>7.1585116301597099E-2</v>
      </c>
      <c r="T57" s="94">
        <f t="shared" si="287"/>
        <v>9.0681517261928496E-2</v>
      </c>
      <c r="U57" s="94">
        <f t="shared" si="287"/>
        <v>8.5215735505994747E-2</v>
      </c>
      <c r="V57" s="94">
        <f t="shared" si="287"/>
        <v>7.8068501253071715E-2</v>
      </c>
      <c r="W57" s="95">
        <f t="shared" si="287"/>
        <v>7.2998600419874035E-2</v>
      </c>
      <c r="X57" s="94">
        <f t="shared" si="287"/>
        <v>5.206116922035945E-2</v>
      </c>
      <c r="Y57" s="94">
        <f t="shared" si="287"/>
        <v>6.0012869627678676E-2</v>
      </c>
      <c r="Z57" s="94">
        <f t="shared" si="287"/>
        <v>4.5392827888767022E-2</v>
      </c>
      <c r="AA57" s="95">
        <f t="shared" si="287"/>
        <v>6.7369706100079224E-2</v>
      </c>
      <c r="AB57" s="94">
        <f t="shared" si="287"/>
        <v>5.4058728572526707E-2</v>
      </c>
      <c r="AC57" s="94">
        <f t="shared" si="287"/>
        <v>7.7089708895015055E-2</v>
      </c>
      <c r="AD57" s="94">
        <f t="shared" si="287"/>
        <v>5.4889682307211217E-2</v>
      </c>
      <c r="AE57" s="95">
        <f t="shared" si="287"/>
        <v>6.4535408177799125E-2</v>
      </c>
      <c r="AF57" s="94">
        <f>AF16/AF59</f>
        <v>6.6632924830802187E-2</v>
      </c>
      <c r="AG57" s="94">
        <f t="shared" si="287"/>
        <v>8.2924748257279718E-2</v>
      </c>
      <c r="AH57" s="94">
        <f t="shared" ref="AH57:AM57" si="288">AH16/AH59</f>
        <v>6.5972598407674096E-2</v>
      </c>
      <c r="AI57" s="95">
        <f t="shared" si="288"/>
        <v>6.4839329807011584E-2</v>
      </c>
      <c r="AJ57" s="94">
        <f t="shared" si="288"/>
        <v>9.0314948226587838E-2</v>
      </c>
      <c r="AK57" s="94">
        <f t="shared" si="288"/>
        <v>9.0976109215017059E-2</v>
      </c>
      <c r="AL57" s="94">
        <f t="shared" si="288"/>
        <v>8.8980260230326971E-2</v>
      </c>
      <c r="AM57" s="95">
        <f t="shared" si="288"/>
        <v>6.5964936081860034E-2</v>
      </c>
      <c r="AN57" s="94">
        <f t="shared" ref="AN57:AU57" si="289">AN16/AN59</f>
        <v>6.2113402882347131E-2</v>
      </c>
      <c r="AO57" s="94">
        <f t="shared" si="289"/>
        <v>7.513073476392873E-2</v>
      </c>
      <c r="AP57" s="94">
        <f t="shared" si="289"/>
        <v>6.4693741824137896E-2</v>
      </c>
      <c r="AQ57" s="95">
        <f t="shared" si="289"/>
        <v>6.3803735230218844E-2</v>
      </c>
      <c r="AR57" s="94">
        <f t="shared" si="289"/>
        <v>8.2356415789923657E-2</v>
      </c>
      <c r="AS57" s="94">
        <f t="shared" si="289"/>
        <v>6.2025361167037545E-2</v>
      </c>
      <c r="AT57" s="94">
        <f t="shared" si="289"/>
        <v>5.4541242695731233E-2</v>
      </c>
      <c r="AU57" s="95">
        <f t="shared" si="289"/>
        <v>4.3462801490106492E-2</v>
      </c>
      <c r="AV57" s="94">
        <f>AV16/AV59</f>
        <v>9.7120072157405049E-2</v>
      </c>
      <c r="AW57" s="94">
        <f>AW16/AW59</f>
        <v>9.676205689513924E-2</v>
      </c>
      <c r="AX57" s="94">
        <f>AX16/AX59</f>
        <v>9.1085349319392675E-2</v>
      </c>
      <c r="AY57" s="95">
        <f t="shared" ref="AY57" si="290">AY16/AY59</f>
        <v>6.4671694451004014E-2</v>
      </c>
      <c r="AZ57" s="1211">
        <f>AZ16/AZ59</f>
        <v>7.9811143086132436E-2</v>
      </c>
      <c r="BA57" s="1321">
        <f>BA16/BA59</f>
        <v>6.0004425156492E-2</v>
      </c>
      <c r="BB57" s="1321">
        <f>BB16/BB59</f>
        <v>4.7302395840162013E-2</v>
      </c>
      <c r="BC57" s="1322">
        <f t="shared" ref="BC57" si="291">BC16/BC59</f>
        <v>4.1352349189252319E-2</v>
      </c>
      <c r="BD57" s="1389">
        <f>BD16/BD59</f>
        <v>5.3150088501169479E-2</v>
      </c>
      <c r="BE57" s="1123">
        <f t="shared" ref="BE57:BK57" si="292">BD57</f>
        <v>5.3150088501169479E-2</v>
      </c>
      <c r="BF57" s="1123">
        <f t="shared" si="292"/>
        <v>5.3150088501169479E-2</v>
      </c>
      <c r="BG57" s="1124">
        <f t="shared" si="292"/>
        <v>5.3150088501169479E-2</v>
      </c>
      <c r="BH57" s="1123">
        <f t="shared" si="292"/>
        <v>5.3150088501169479E-2</v>
      </c>
      <c r="BI57" s="1123">
        <f t="shared" si="292"/>
        <v>5.3150088501169479E-2</v>
      </c>
      <c r="BJ57" s="1123">
        <f t="shared" si="292"/>
        <v>5.3150088501169479E-2</v>
      </c>
      <c r="BK57" s="1124">
        <f t="shared" si="292"/>
        <v>5.3150088501169479E-2</v>
      </c>
      <c r="BL57" s="1123">
        <f t="shared" ref="BL57" si="293">BK57</f>
        <v>5.3150088501169479E-2</v>
      </c>
      <c r="BM57" s="1123">
        <f t="shared" ref="BM57" si="294">BL57</f>
        <v>5.3150088501169479E-2</v>
      </c>
      <c r="BN57" s="1123">
        <f t="shared" si="272"/>
        <v>5.3150088501169479E-2</v>
      </c>
      <c r="BO57" s="1124">
        <f t="shared" si="273"/>
        <v>5.3150088501169479E-2</v>
      </c>
      <c r="BP57" s="155"/>
      <c r="BQ57" s="94">
        <f t="shared" ref="BQ57:BZ57" si="295">BQ16/BQ59</f>
        <v>0.12305551555420109</v>
      </c>
      <c r="BR57" s="94">
        <f t="shared" si="295"/>
        <v>3.5801066959634538E-2</v>
      </c>
      <c r="BS57" s="94">
        <f t="shared" si="295"/>
        <v>5.6322804893535618E-2</v>
      </c>
      <c r="BT57" s="94">
        <f t="shared" si="295"/>
        <v>1.8310980819851556E-2</v>
      </c>
      <c r="BU57" s="94">
        <f t="shared" si="295"/>
        <v>2.070863781373641E-2</v>
      </c>
      <c r="BV57" s="94">
        <f t="shared" si="295"/>
        <v>1.8784698043058438E-2</v>
      </c>
      <c r="BW57" s="94">
        <f t="shared" si="295"/>
        <v>1.5439712426335975E-2</v>
      </c>
      <c r="BX57" s="94">
        <f t="shared" si="295"/>
        <v>1.6682203305120574E-2</v>
      </c>
      <c r="BY57" s="94">
        <f t="shared" si="295"/>
        <v>1.6984921150523084E-2</v>
      </c>
      <c r="BZ57" s="94">
        <f t="shared" si="295"/>
        <v>1.8134770189470514E-2</v>
      </c>
      <c r="CA57" s="94">
        <f t="shared" ref="CA57:CF57" si="296">CA16/CA59</f>
        <v>1.238336556924822E-2</v>
      </c>
      <c r="CB57" s="94">
        <f t="shared" si="296"/>
        <v>1.8970546929642146E-2</v>
      </c>
      <c r="CC57" s="94">
        <f t="shared" si="296"/>
        <v>1.2477917291482746E-2</v>
      </c>
      <c r="CD57" s="1389">
        <f t="shared" si="296"/>
        <v>1.3699044114549011E-2</v>
      </c>
      <c r="CE57" s="1389">
        <f t="shared" si="296"/>
        <v>1.4092373248128573E-2</v>
      </c>
      <c r="CF57" s="1322">
        <f t="shared" si="296"/>
        <v>1.3986676107059431E-2</v>
      </c>
      <c r="CG57" s="23"/>
      <c r="CH57" s="153">
        <f t="shared" ref="CH57:CP57" si="297">CH16/CH59</f>
        <v>2.9046495874240668E-2</v>
      </c>
      <c r="CI57" s="94">
        <f t="shared" si="297"/>
        <v>3.1261424595802466E-2</v>
      </c>
      <c r="CJ57" s="94">
        <f t="shared" si="297"/>
        <v>3.1739565684553481E-2</v>
      </c>
      <c r="CK57" s="94">
        <f t="shared" si="297"/>
        <v>1.7670984232441157E-2</v>
      </c>
      <c r="CL57" s="94">
        <f t="shared" si="297"/>
        <v>1.4660102497429156E-2</v>
      </c>
      <c r="CM57" s="94">
        <f t="shared" si="297"/>
        <v>1.3641036583000348E-2</v>
      </c>
      <c r="CN57" s="94">
        <f t="shared" si="297"/>
        <v>1.4824534119910441E-2</v>
      </c>
      <c r="CO57" s="94">
        <f t="shared" si="297"/>
        <v>2.1003148154655062E-2</v>
      </c>
      <c r="CP57" s="1389">
        <f t="shared" si="297"/>
        <v>1.478221966646627E-2</v>
      </c>
      <c r="CQ57" s="1389">
        <f t="shared" ref="CQ57:CV57" si="298">CQ16/CQ59</f>
        <v>2.1132642916569307E-2</v>
      </c>
      <c r="CR57" s="1389">
        <f t="shared" si="298"/>
        <v>2.1770207732768932E-2</v>
      </c>
      <c r="CS57" s="94">
        <f t="shared" si="298"/>
        <v>2.1606361625649776E-2</v>
      </c>
      <c r="CT57" s="1211">
        <f t="shared" si="298"/>
        <v>1.4306913652285721E-2</v>
      </c>
      <c r="CU57" s="1389">
        <f t="shared" si="298"/>
        <v>1.3064812221406867E-2</v>
      </c>
      <c r="CV57" s="1322">
        <f t="shared" si="298"/>
        <v>1.3142261187378164E-2</v>
      </c>
      <c r="CW57" s="25"/>
    </row>
    <row r="58" spans="1:101" ht="14.25" customHeight="1">
      <c r="A58" s="8"/>
      <c r="B58" s="26"/>
      <c r="C58" s="27"/>
      <c r="D58" s="113"/>
      <c r="E58" s="111"/>
      <c r="F58" s="111"/>
      <c r="G58" s="111"/>
      <c r="H58" s="113"/>
      <c r="I58" s="111"/>
      <c r="J58" s="111"/>
      <c r="K58" s="111"/>
      <c r="L58" s="113"/>
      <c r="M58" s="111"/>
      <c r="N58" s="111"/>
      <c r="O58" s="111"/>
      <c r="P58" s="113"/>
      <c r="Q58" s="111"/>
      <c r="R58" s="111"/>
      <c r="S58" s="111"/>
      <c r="T58" s="113"/>
      <c r="U58" s="111"/>
      <c r="V58" s="111"/>
      <c r="W58" s="111"/>
      <c r="X58" s="113"/>
      <c r="Y58" s="111"/>
      <c r="Z58" s="111"/>
      <c r="AA58" s="111"/>
      <c r="AB58" s="113"/>
      <c r="AC58" s="70"/>
      <c r="AD58" s="111"/>
      <c r="AE58" s="111"/>
      <c r="AF58" s="113"/>
      <c r="AG58" s="111"/>
      <c r="AH58" s="111"/>
      <c r="AI58" s="111"/>
      <c r="AJ58" s="113"/>
      <c r="AK58" s="111"/>
      <c r="AL58" s="111"/>
      <c r="AM58" s="111"/>
      <c r="AN58" s="113"/>
      <c r="AO58" s="111"/>
      <c r="AP58" s="111"/>
      <c r="AQ58" s="111"/>
      <c r="AR58" s="113"/>
      <c r="AS58" s="111"/>
      <c r="AT58" s="111"/>
      <c r="AU58" s="111"/>
      <c r="AV58" s="113"/>
      <c r="AW58" s="111"/>
      <c r="AX58" s="111"/>
      <c r="AY58" s="112"/>
      <c r="AZ58" s="113"/>
      <c r="BA58" s="111"/>
      <c r="BB58" s="111"/>
      <c r="BC58" s="112"/>
      <c r="BD58" s="113"/>
      <c r="BE58" s="111"/>
      <c r="BF58" s="111"/>
      <c r="BG58" s="112"/>
      <c r="BH58" s="111"/>
      <c r="BI58" s="111"/>
      <c r="BJ58" s="111"/>
      <c r="BK58" s="112"/>
      <c r="BL58" s="111"/>
      <c r="BM58" s="111"/>
      <c r="BN58" s="111"/>
      <c r="BO58" s="112"/>
      <c r="BP58" s="23"/>
      <c r="BQ58" s="111"/>
      <c r="BR58" s="111"/>
      <c r="BS58" s="111"/>
      <c r="BT58" s="111"/>
      <c r="BU58" s="111"/>
      <c r="BV58" s="111"/>
      <c r="BW58" s="111"/>
      <c r="BX58" s="111"/>
      <c r="BY58" s="111"/>
      <c r="BZ58" s="111"/>
      <c r="CA58" s="111"/>
      <c r="CB58" s="111"/>
      <c r="CC58" s="111"/>
      <c r="CD58" s="111"/>
      <c r="CE58" s="111"/>
      <c r="CF58" s="112"/>
      <c r="CG58" s="23"/>
      <c r="CH58" s="113"/>
      <c r="CI58" s="111"/>
      <c r="CJ58" s="111"/>
      <c r="CK58" s="111"/>
      <c r="CL58" s="111"/>
      <c r="CM58" s="111"/>
      <c r="CN58" s="111"/>
      <c r="CO58" s="111"/>
      <c r="CP58" s="111"/>
      <c r="CQ58" s="111"/>
      <c r="CR58" s="111"/>
      <c r="CS58" s="111"/>
      <c r="CT58" s="111"/>
      <c r="CU58" s="111"/>
      <c r="CV58" s="112"/>
      <c r="CW58" s="25"/>
    </row>
    <row r="59" spans="1:101" ht="14.25" customHeight="1">
      <c r="A59" s="8"/>
      <c r="B59" s="26" t="s">
        <v>102</v>
      </c>
      <c r="C59" s="27"/>
      <c r="D59" s="1125">
        <f>IS!D10</f>
        <v>580.53599999999994</v>
      </c>
      <c r="E59" s="1126">
        <f>IS!E10</f>
        <v>603.726</v>
      </c>
      <c r="F59" s="1126">
        <f>IS!F10</f>
        <v>582.41600000000005</v>
      </c>
      <c r="G59" s="1127">
        <f>IS!G10</f>
        <v>622.13</v>
      </c>
      <c r="H59" s="1125">
        <f>IS!H10</f>
        <v>556.62599999999998</v>
      </c>
      <c r="I59" s="1126">
        <f>IS!I10</f>
        <v>577.654</v>
      </c>
      <c r="J59" s="1126">
        <f>IS!J10</f>
        <v>598.91499999999996</v>
      </c>
      <c r="K59" s="1127">
        <f>IS!K10</f>
        <v>609.72400000000005</v>
      </c>
      <c r="L59" s="1125">
        <f>IS!L10</f>
        <v>626.26499999999999</v>
      </c>
      <c r="M59" s="1126">
        <f>IS!M10</f>
        <v>597.48299999999995</v>
      </c>
      <c r="N59" s="1126">
        <f>IS!N10</f>
        <v>617.43100000000004</v>
      </c>
      <c r="O59" s="1127">
        <f>IS!O10</f>
        <v>623.54200000000003</v>
      </c>
      <c r="P59" s="1125">
        <f>IS!P10</f>
        <v>613.90899999999999</v>
      </c>
      <c r="Q59" s="1126">
        <f>IS!Q10</f>
        <v>649.34</v>
      </c>
      <c r="R59" s="1126">
        <f>IS!R10</f>
        <v>658.98599999999999</v>
      </c>
      <c r="S59" s="1127">
        <f>IS!S10</f>
        <v>660.69600000000003</v>
      </c>
      <c r="T59" s="1125">
        <f>IS!T10</f>
        <v>476.56900000000002</v>
      </c>
      <c r="U59" s="1126">
        <f>IS!U10</f>
        <v>474.74799999999999</v>
      </c>
      <c r="V59" s="1126">
        <f>IS!V10</f>
        <v>491.99099999999999</v>
      </c>
      <c r="W59" s="1127">
        <f>IS!W10</f>
        <v>571.6</v>
      </c>
      <c r="X59" s="1125">
        <f>IS!X10</f>
        <v>602.98299999999995</v>
      </c>
      <c r="Y59" s="1126">
        <f>IS!Y10</f>
        <v>668.24</v>
      </c>
      <c r="Z59" s="1126">
        <f>IS!Z10</f>
        <v>720.29</v>
      </c>
      <c r="AA59" s="1127">
        <f>IS!AA10</f>
        <v>769.99</v>
      </c>
      <c r="AB59" s="1125">
        <f>IS!AB10</f>
        <v>728.50400000000002</v>
      </c>
      <c r="AC59" s="1126">
        <f>IS!AC10</f>
        <v>790.78</v>
      </c>
      <c r="AD59" s="1126">
        <f>IS!AD10</f>
        <v>757.90200000000004</v>
      </c>
      <c r="AE59" s="1127">
        <f>IS!AE10</f>
        <v>716.13400000000001</v>
      </c>
      <c r="AF59" s="1125">
        <f>IS!AF10</f>
        <v>648.05799999999999</v>
      </c>
      <c r="AG59" s="1126">
        <f>IS!AG10</f>
        <v>675.09400000000005</v>
      </c>
      <c r="AH59" s="1126">
        <f>IS!AH10</f>
        <v>683.02599999999995</v>
      </c>
      <c r="AI59" s="1127">
        <f>IS!AI10</f>
        <v>694.96400000000006</v>
      </c>
      <c r="AJ59" s="1125">
        <f>IS!AJ10</f>
        <v>622.13400000000001</v>
      </c>
      <c r="AK59" s="1126">
        <f>IS!AK10</f>
        <v>659.25</v>
      </c>
      <c r="AL59" s="1126">
        <f>IS!AL10</f>
        <v>674.17200000000003</v>
      </c>
      <c r="AM59" s="1127">
        <f>IS!AM10</f>
        <v>678.13300000000004</v>
      </c>
      <c r="AN59" s="1125">
        <f>IS!AN10</f>
        <v>628.23800000000006</v>
      </c>
      <c r="AO59" s="1126">
        <f>IS!AO10</f>
        <v>694.53599999999994</v>
      </c>
      <c r="AP59" s="1126">
        <f>IS!AP10</f>
        <v>727.75199999999995</v>
      </c>
      <c r="AQ59" s="1127">
        <f>IS!AQ10</f>
        <v>814.24699999999996</v>
      </c>
      <c r="AR59" s="1125">
        <f>IS!AR10</f>
        <v>771.98599999999999</v>
      </c>
      <c r="AS59" s="1126">
        <f>IS!AS10</f>
        <v>821.01900000000001</v>
      </c>
      <c r="AT59" s="1126">
        <f>IS!AT10</f>
        <v>863.36500000000001</v>
      </c>
      <c r="AU59" s="1127">
        <f>IS!AU10</f>
        <v>978.72199999999998</v>
      </c>
      <c r="AV59" s="1125">
        <f>IS!AV10</f>
        <v>769.42899999999997</v>
      </c>
      <c r="AW59" s="1126">
        <f>IS!AW10</f>
        <v>778.76599999999996</v>
      </c>
      <c r="AX59" s="1126">
        <f>IS!AX10</f>
        <v>869.59100000000001</v>
      </c>
      <c r="AY59" s="1127">
        <f>IS!AY10</f>
        <v>1003.623</v>
      </c>
      <c r="AZ59" s="1125">
        <f>IS!AZ10</f>
        <v>984.44899999999996</v>
      </c>
      <c r="BA59" s="1126">
        <f>IS!BA10</f>
        <v>1147.982</v>
      </c>
      <c r="BB59" s="1126">
        <f>IS!BB10</f>
        <v>1433.902</v>
      </c>
      <c r="BC59" s="1127">
        <f>IS!BC10</f>
        <v>1541.17</v>
      </c>
      <c r="BD59" s="1125">
        <f>IS!BD10</f>
        <v>1518.624</v>
      </c>
      <c r="BE59" s="1126">
        <f>IS!BE10</f>
        <v>1470.3748249999999</v>
      </c>
      <c r="BF59" s="1126">
        <f>IS!BF10</f>
        <v>1513.489729575</v>
      </c>
      <c r="BG59" s="1127">
        <f>IS!BG10</f>
        <v>1563.45136848375</v>
      </c>
      <c r="BH59" s="1125">
        <f>IS!BH10</f>
        <v>1482.0860465459623</v>
      </c>
      <c r="BI59" s="1126">
        <f>IS!BI10</f>
        <v>1549.845241612069</v>
      </c>
      <c r="BJ59" s="1126">
        <f>IS!BJ10</f>
        <v>1606.6790380731754</v>
      </c>
      <c r="BK59" s="1127">
        <f>IS!BK10</f>
        <v>1673.6521234376141</v>
      </c>
      <c r="BL59" s="1125">
        <f>IS!BL10</f>
        <v>1586.6755115959286</v>
      </c>
      <c r="BM59" s="1126">
        <f>IS!BM10</f>
        <v>1653.8186965940952</v>
      </c>
      <c r="BN59" s="1126">
        <f>IS!BN10</f>
        <v>1706.0026552512841</v>
      </c>
      <c r="BO59" s="1127">
        <f>IS!BO10</f>
        <v>1766.5735763092998</v>
      </c>
      <c r="BP59" s="23"/>
      <c r="BQ59" s="156">
        <f>IS!BQ10</f>
        <v>2388.808</v>
      </c>
      <c r="BR59" s="156">
        <f>IS!BR10</f>
        <v>2342.9189999999999</v>
      </c>
      <c r="BS59" s="156">
        <f>IS!BS10</f>
        <v>2464.721</v>
      </c>
      <c r="BT59" s="156">
        <f>IS!BT10</f>
        <v>2582.931</v>
      </c>
      <c r="BU59" s="156">
        <f>IS!BU10</f>
        <v>2014.9079999999999</v>
      </c>
      <c r="BV59" s="156">
        <f>IS!BV10</f>
        <v>2761.5029999999997</v>
      </c>
      <c r="BW59" s="156">
        <f>IS!BW10</f>
        <v>2993.32</v>
      </c>
      <c r="BX59" s="156">
        <f>IS!BX10</f>
        <v>2701.1419999999998</v>
      </c>
      <c r="BY59" s="1125">
        <f>IS!BY10</f>
        <v>2633.6890000000003</v>
      </c>
      <c r="BZ59" s="1126">
        <f>IS!BZ10</f>
        <v>2864.7729999999997</v>
      </c>
      <c r="CA59" s="1126">
        <f>IS!CA10</f>
        <v>3435.0919999999996</v>
      </c>
      <c r="CB59" s="1126">
        <f>IS!CB10</f>
        <v>3421.4090000000001</v>
      </c>
      <c r="CC59" s="1126">
        <f>IS!CC10</f>
        <v>5107.5030000000006</v>
      </c>
      <c r="CD59" s="1126">
        <f>IS!CD10</f>
        <v>6065.9399230587496</v>
      </c>
      <c r="CE59" s="1126">
        <f>IS!CE10</f>
        <v>6312.2624496688204</v>
      </c>
      <c r="CF59" s="1127">
        <f>IS!CF10</f>
        <v>6713.070439750607</v>
      </c>
      <c r="CG59" s="23"/>
      <c r="CH59" s="157">
        <f>IS!CH10</f>
        <v>2364.8980000000001</v>
      </c>
      <c r="CI59" s="156">
        <f>IS!CI10</f>
        <v>2412.558</v>
      </c>
      <c r="CJ59" s="156">
        <f>IS!CJ10</f>
        <v>2452.3650000000002</v>
      </c>
      <c r="CK59" s="156">
        <f>IS!CK10</f>
        <v>2445.5909999999999</v>
      </c>
      <c r="CL59" s="156">
        <f>IS!CL10</f>
        <v>2141.3220000000001</v>
      </c>
      <c r="CM59" s="156">
        <f>IS!CM10</f>
        <v>2887.0239999999999</v>
      </c>
      <c r="CN59" s="156">
        <f>IS!CN10</f>
        <v>2912.8739999999998</v>
      </c>
      <c r="CO59" s="156">
        <f>IS!CO10</f>
        <v>2675.2179999999998</v>
      </c>
      <c r="CP59" s="156">
        <f>IS!CP10</f>
        <v>2639.7930000000001</v>
      </c>
      <c r="CQ59" s="156">
        <f>IS!CQ10</f>
        <v>3008.5209999999997</v>
      </c>
      <c r="CR59" s="156">
        <f>IS!CR10</f>
        <v>3432.5349999999999</v>
      </c>
      <c r="CS59" s="156">
        <f>IS!CS10</f>
        <v>3636.4290000000001</v>
      </c>
      <c r="CT59" s="156">
        <f>IS!CT10</f>
        <v>5641.6779999999999</v>
      </c>
      <c r="CU59" s="156">
        <f>IS!CU10</f>
        <v>6029.4019696047126</v>
      </c>
      <c r="CV59" s="1227">
        <f>IS!CV10</f>
        <v>6416.8519147187872</v>
      </c>
      <c r="CW59" s="25"/>
    </row>
    <row r="60" spans="1:101" ht="14.25" customHeight="1">
      <c r="A60" s="8"/>
      <c r="B60" s="67" t="s">
        <v>103</v>
      </c>
      <c r="C60" s="68"/>
      <c r="D60" s="1128">
        <f>IS!D23</f>
        <v>245.00800000000001</v>
      </c>
      <c r="E60" s="1129">
        <f>IS!E23</f>
        <v>257.327</v>
      </c>
      <c r="F60" s="1129">
        <f>IS!F23</f>
        <v>244.178</v>
      </c>
      <c r="G60" s="1130">
        <f>IS!G23</f>
        <v>259.45499999999998</v>
      </c>
      <c r="H60" s="1128">
        <f>IS!H23</f>
        <v>227.32900000000001</v>
      </c>
      <c r="I60" s="1129">
        <f>IS!I23</f>
        <v>226.834</v>
      </c>
      <c r="J60" s="1129">
        <f>IS!J23</f>
        <v>236.16300000000001</v>
      </c>
      <c r="K60" s="1130">
        <f>IS!K23</f>
        <v>249.42699999999999</v>
      </c>
      <c r="L60" s="1128">
        <f>IS!L23</f>
        <v>226.601</v>
      </c>
      <c r="M60" s="1129">
        <f>IS!M23</f>
        <v>236.255</v>
      </c>
      <c r="N60" s="1129">
        <f>IS!N23</f>
        <v>243.93899999999999</v>
      </c>
      <c r="O60" s="1130">
        <f>IS!O23</f>
        <v>249.65</v>
      </c>
      <c r="P60" s="1128">
        <f>IS!P23</f>
        <v>238.10599999999999</v>
      </c>
      <c r="Q60" s="1129">
        <f>IS!Q23</f>
        <v>253.31899999999999</v>
      </c>
      <c r="R60" s="1129">
        <f>IS!R23</f>
        <v>257.19200000000001</v>
      </c>
      <c r="S60" s="1130">
        <f>IS!S23</f>
        <v>257.03899999999999</v>
      </c>
      <c r="T60" s="1128">
        <f>IS!T23</f>
        <v>207.56700000000001</v>
      </c>
      <c r="U60" s="1129">
        <f>IS!U23</f>
        <v>213.196</v>
      </c>
      <c r="V60" s="1129">
        <f>IS!V23</f>
        <v>225.762</v>
      </c>
      <c r="W60" s="1130">
        <f>IS!W23</f>
        <v>249.74600000000001</v>
      </c>
      <c r="X60" s="1128">
        <f>IS!X23</f>
        <v>234.50700000000001</v>
      </c>
      <c r="Y60" s="1129">
        <f>IS!Y23</f>
        <v>233.72499999999999</v>
      </c>
      <c r="Z60" s="1129">
        <f>IS!Z23</f>
        <v>240.08799999999999</v>
      </c>
      <c r="AA60" s="1130">
        <f>IS!AA23</f>
        <v>253.761</v>
      </c>
      <c r="AB60" s="1128">
        <f>IS!AB23</f>
        <v>246.33099999999999</v>
      </c>
      <c r="AC60" s="1129">
        <f>IS!AC23</f>
        <v>256.56599999999997</v>
      </c>
      <c r="AD60" s="1129">
        <f>IS!AD23</f>
        <v>248.262</v>
      </c>
      <c r="AE60" s="1130">
        <f>IS!AE23</f>
        <v>255.62</v>
      </c>
      <c r="AF60" s="1128">
        <f>IS!AF23</f>
        <v>238.66800000000001</v>
      </c>
      <c r="AG60" s="1129">
        <f>IS!AG23</f>
        <v>234.63900000000001</v>
      </c>
      <c r="AH60" s="1129">
        <f>IS!AH23</f>
        <v>235.15199999999999</v>
      </c>
      <c r="AI60" s="1130">
        <f>IS!AI23</f>
        <v>251.68199999999999</v>
      </c>
      <c r="AJ60" s="1128">
        <f>IS!AJ23</f>
        <v>231.85</v>
      </c>
      <c r="AK60" s="1129">
        <f>IS!AK23</f>
        <v>237.05500000000001</v>
      </c>
      <c r="AL60" s="1129">
        <f>IS!AL23</f>
        <v>239.11</v>
      </c>
      <c r="AM60" s="1130">
        <f>IS!AM23</f>
        <v>233.26300000000001</v>
      </c>
      <c r="AN60" s="1128">
        <f>IS!AN23</f>
        <v>219.12</v>
      </c>
      <c r="AO60" s="1129">
        <f>IS!AO23</f>
        <v>235.79300000000001</v>
      </c>
      <c r="AP60" s="1129">
        <f>IS!AP23</f>
        <v>251.46199999999999</v>
      </c>
      <c r="AQ60" s="1130">
        <f>IS!AQ23</f>
        <v>328.21</v>
      </c>
      <c r="AR60" s="1128">
        <f>IS!AR23</f>
        <v>268.37900000000002</v>
      </c>
      <c r="AS60" s="1129">
        <f>IS!AS23</f>
        <v>276.197</v>
      </c>
      <c r="AT60" s="1129">
        <f>IS!AT23</f>
        <v>294.32799999999997</v>
      </c>
      <c r="AU60" s="1130">
        <f>IS!AU23</f>
        <v>336.92599999999999</v>
      </c>
      <c r="AV60" s="1128">
        <f>IS!AV23</f>
        <v>292.13600000000002</v>
      </c>
      <c r="AW60" s="1129">
        <f>IS!AW23</f>
        <v>267.863</v>
      </c>
      <c r="AX60" s="1129">
        <f>IS!AX23</f>
        <v>297.30099999999999</v>
      </c>
      <c r="AY60" s="1130">
        <f>IS!AY23</f>
        <v>336.93599999999998</v>
      </c>
      <c r="AZ60" s="1128">
        <f>IS!AZ23</f>
        <v>335.94499999999999</v>
      </c>
      <c r="BA60" s="1129">
        <f>IS!BA23</f>
        <v>507.53899999999999</v>
      </c>
      <c r="BB60" s="1129">
        <f>IS!BB23</f>
        <v>667.27800000000002</v>
      </c>
      <c r="BC60" s="1130">
        <f>IS!BC23</f>
        <v>535.14499999999998</v>
      </c>
      <c r="BD60" s="1128">
        <f>IS!BD23</f>
        <v>483.43400000000003</v>
      </c>
      <c r="BE60" s="1129">
        <f>IS!BE23</f>
        <v>461.01397088651481</v>
      </c>
      <c r="BF60" s="1129">
        <f>IS!BF23</f>
        <v>430.53275015972929</v>
      </c>
      <c r="BG60" s="1130">
        <f>IS!BG23</f>
        <v>438.21034878600244</v>
      </c>
      <c r="BH60" s="1128">
        <f>IS!BH23</f>
        <v>431.49293193088772</v>
      </c>
      <c r="BI60" s="1129">
        <f>IS!BI23</f>
        <v>440.02615879448831</v>
      </c>
      <c r="BJ60" s="1129">
        <f>IS!BJ23</f>
        <v>446.68187506301985</v>
      </c>
      <c r="BK60" s="1130">
        <f>IS!BK23</f>
        <v>462.74629273470521</v>
      </c>
      <c r="BL60" s="1128">
        <f>IS!BL23</f>
        <v>454.77901417431792</v>
      </c>
      <c r="BM60" s="1129">
        <f>IS!BM23</f>
        <v>463.39211463298369</v>
      </c>
      <c r="BN60" s="1129">
        <f>IS!BN23</f>
        <v>469.37145566614481</v>
      </c>
      <c r="BO60" s="1130">
        <f>IS!BO23</f>
        <v>484.57293398686318</v>
      </c>
      <c r="BP60" s="23"/>
      <c r="BQ60" s="158">
        <f>IS!BQ23</f>
        <v>1005.9680000000001</v>
      </c>
      <c r="BR60" s="158">
        <f>IS!BR23</f>
        <v>939.75300000000004</v>
      </c>
      <c r="BS60" s="158">
        <f>IS!BS23</f>
        <v>956.44499999999994</v>
      </c>
      <c r="BT60" s="158">
        <f>IS!BT23</f>
        <v>1005.6559999999999</v>
      </c>
      <c r="BU60" s="158">
        <f>IS!BU23</f>
        <v>896.27100000000007</v>
      </c>
      <c r="BV60" s="158">
        <f>IS!BV23</f>
        <v>962.0809999999999</v>
      </c>
      <c r="BW60" s="158">
        <f>IS!BW23</f>
        <v>1006.7789999999999</v>
      </c>
      <c r="BX60" s="158">
        <f>IS!BX23</f>
        <v>960.14100000000008</v>
      </c>
      <c r="BY60" s="1128">
        <f>IS!BY23</f>
        <v>941.27800000000002</v>
      </c>
      <c r="BZ60" s="1129">
        <f>IS!BZ23</f>
        <v>1034.585</v>
      </c>
      <c r="CA60" s="1129">
        <f>IS!CA23</f>
        <v>1175.83</v>
      </c>
      <c r="CB60" s="1129">
        <f>IS!CB23</f>
        <v>1194.2359999999999</v>
      </c>
      <c r="CC60" s="1129">
        <f>IS!CC23</f>
        <v>2045.9069999999999</v>
      </c>
      <c r="CD60" s="1129">
        <f>IS!CD23</f>
        <v>1813.1910698322465</v>
      </c>
      <c r="CE60" s="1129">
        <f>IS!CE23</f>
        <v>1780.947258523101</v>
      </c>
      <c r="CF60" s="1130">
        <f>IS!CF23</f>
        <v>1872.1155184603094</v>
      </c>
      <c r="CG60" s="23"/>
      <c r="CH60" s="159">
        <f>IS!CH23</f>
        <v>988.28899999999999</v>
      </c>
      <c r="CI60" s="158">
        <f>IS!CI23</f>
        <v>939.02499999999998</v>
      </c>
      <c r="CJ60" s="158">
        <f>IS!CJ23</f>
        <v>967.94999999999993</v>
      </c>
      <c r="CK60" s="158">
        <f>IS!CK23</f>
        <v>975.11699999999996</v>
      </c>
      <c r="CL60" s="158">
        <f>IS!CL23</f>
        <v>923.21100000000001</v>
      </c>
      <c r="CM60" s="158">
        <f>IS!CM23</f>
        <v>973.90499999999997</v>
      </c>
      <c r="CN60" s="158">
        <f>IS!CN23</f>
        <v>999.11599999999999</v>
      </c>
      <c r="CO60" s="158">
        <f>IS!CO23</f>
        <v>953.32299999999998</v>
      </c>
      <c r="CP60" s="158">
        <f>IS!CP23</f>
        <v>928.548</v>
      </c>
      <c r="CQ60" s="158">
        <f>IS!CQ23</f>
        <v>1083.8440000000001</v>
      </c>
      <c r="CR60" s="158">
        <f>IS!CR23</f>
        <v>1199.587</v>
      </c>
      <c r="CS60" s="158">
        <f>IS!CS23</f>
        <v>1238.0449999999998</v>
      </c>
      <c r="CT60" s="158">
        <f>IS!CT23</f>
        <v>2193.3960000000002</v>
      </c>
      <c r="CU60" s="158">
        <f>IS!CU23</f>
        <v>1761.2500017631342</v>
      </c>
      <c r="CV60" s="1228">
        <f>IS!CV23</f>
        <v>1804.2333407665315</v>
      </c>
      <c r="CW60" s="25"/>
    </row>
    <row r="61" spans="1:101" ht="14.25" customHeight="1">
      <c r="A61" s="8"/>
      <c r="B61" s="70"/>
      <c r="C61" s="70"/>
      <c r="D61" s="70"/>
      <c r="E61" s="70"/>
      <c r="F61" s="70"/>
      <c r="G61" s="70"/>
      <c r="H61" s="70"/>
      <c r="I61" s="70"/>
      <c r="J61" s="70"/>
      <c r="K61" s="70"/>
      <c r="L61" s="70"/>
      <c r="M61" s="70"/>
      <c r="N61" s="70"/>
      <c r="O61" s="70"/>
      <c r="P61" s="70"/>
      <c r="Q61" s="70"/>
      <c r="R61" s="70"/>
      <c r="S61" s="70"/>
      <c r="T61" s="70"/>
      <c r="U61" s="70"/>
      <c r="V61" s="70"/>
      <c r="W61" s="70"/>
      <c r="X61" s="70"/>
      <c r="Y61" s="70"/>
      <c r="Z61" s="70"/>
      <c r="AA61" s="70"/>
      <c r="AB61" s="70"/>
      <c r="AC61" s="70"/>
      <c r="AD61" s="70"/>
      <c r="AE61" s="70"/>
      <c r="AF61" s="70"/>
      <c r="AG61" s="70"/>
      <c r="AH61" s="70"/>
      <c r="AI61" s="70"/>
      <c r="AJ61" s="70"/>
      <c r="AK61" s="70"/>
      <c r="AL61" s="70"/>
      <c r="AM61" s="70"/>
      <c r="AN61" s="70"/>
      <c r="AO61" s="70"/>
      <c r="AP61" s="70"/>
      <c r="AQ61" s="70"/>
      <c r="AR61" s="70"/>
      <c r="AS61" s="70"/>
      <c r="AT61" s="70"/>
      <c r="AU61" s="70"/>
      <c r="AV61" s="70"/>
      <c r="AW61" s="70"/>
      <c r="AX61" s="70"/>
      <c r="AY61" s="70"/>
      <c r="AZ61" s="70"/>
      <c r="BA61" s="70"/>
      <c r="BB61" s="70"/>
      <c r="BC61" s="70"/>
      <c r="BD61" s="70"/>
      <c r="BE61" s="70"/>
      <c r="BF61" s="70"/>
      <c r="BG61" s="70"/>
      <c r="BH61" s="70"/>
      <c r="BI61" s="70"/>
      <c r="BJ61" s="70"/>
      <c r="BK61" s="70"/>
      <c r="BL61" s="70"/>
      <c r="BM61" s="70"/>
      <c r="BN61" s="70"/>
      <c r="BO61" s="70"/>
      <c r="BP61" s="17"/>
      <c r="BQ61" s="70"/>
      <c r="BR61" s="70"/>
      <c r="BS61" s="70"/>
      <c r="BT61" s="70"/>
      <c r="BU61" s="70"/>
      <c r="BV61" s="70"/>
      <c r="BW61" s="70"/>
      <c r="BX61" s="70"/>
      <c r="BY61" s="70"/>
      <c r="BZ61" s="70"/>
      <c r="CA61" s="70"/>
      <c r="CB61" s="70"/>
      <c r="CC61" s="70"/>
      <c r="CD61" s="70"/>
      <c r="CE61" s="70"/>
      <c r="CF61" s="70"/>
      <c r="CG61" s="8"/>
      <c r="CH61" s="70"/>
      <c r="CI61" s="70"/>
      <c r="CJ61" s="70"/>
      <c r="CK61" s="70"/>
      <c r="CL61" s="70"/>
      <c r="CM61" s="70"/>
      <c r="CN61" s="70"/>
      <c r="CO61" s="70"/>
      <c r="CP61" s="70"/>
      <c r="CQ61" s="70"/>
      <c r="CR61" s="70"/>
      <c r="CS61" s="70"/>
      <c r="CT61" s="70"/>
      <c r="CU61" s="70"/>
      <c r="CV61" s="70"/>
      <c r="CW61" s="8"/>
    </row>
    <row r="62" spans="1:101" ht="14.25" customHeight="1">
      <c r="A62" s="8"/>
      <c r="B62" s="74"/>
      <c r="C62" s="70"/>
      <c r="D62" s="70"/>
      <c r="E62" s="70"/>
      <c r="F62" s="70"/>
      <c r="G62" s="70"/>
      <c r="H62" s="70"/>
      <c r="I62" s="70"/>
      <c r="J62" s="70"/>
      <c r="K62" s="70"/>
      <c r="L62" s="70"/>
      <c r="M62" s="70"/>
      <c r="N62" s="70"/>
      <c r="O62" s="70"/>
      <c r="P62" s="70"/>
      <c r="Q62" s="70"/>
      <c r="R62" s="70"/>
      <c r="S62" s="70"/>
      <c r="T62" s="70"/>
      <c r="U62" s="70"/>
      <c r="V62" s="70"/>
      <c r="W62" s="70"/>
      <c r="X62" s="70"/>
      <c r="Y62" s="70"/>
      <c r="Z62" s="70"/>
      <c r="AA62" s="70"/>
      <c r="AB62" s="70"/>
      <c r="AC62" s="70"/>
      <c r="AD62" s="70"/>
      <c r="AE62" s="70"/>
      <c r="AF62" s="70"/>
      <c r="AG62" s="70"/>
      <c r="AH62" s="70"/>
      <c r="AI62" s="74"/>
      <c r="AJ62" s="70"/>
      <c r="AK62" s="70"/>
      <c r="AL62" s="70"/>
      <c r="AM62" s="74"/>
      <c r="AN62" s="70"/>
      <c r="AO62" s="70"/>
      <c r="AP62" s="70"/>
      <c r="AQ62" s="74"/>
      <c r="AR62" s="70"/>
      <c r="AS62" s="70"/>
      <c r="AT62" s="70"/>
      <c r="AU62" s="74"/>
      <c r="AV62" s="70"/>
      <c r="AW62" s="70"/>
      <c r="AX62" s="70"/>
      <c r="AY62" s="74"/>
      <c r="AZ62" s="70"/>
      <c r="BA62" s="70"/>
      <c r="BB62" s="70"/>
      <c r="BC62" s="74"/>
      <c r="BD62" s="70"/>
      <c r="BE62" s="70"/>
      <c r="BF62" s="70"/>
      <c r="BG62" s="74"/>
      <c r="BH62" s="70"/>
      <c r="BI62" s="70"/>
      <c r="BJ62" s="70"/>
      <c r="BK62" s="74"/>
      <c r="BL62" s="70"/>
      <c r="BM62" s="70"/>
      <c r="BN62" s="70"/>
      <c r="BO62" s="74"/>
      <c r="BP62" s="17"/>
      <c r="BQ62" s="70"/>
      <c r="BR62" s="70"/>
      <c r="BS62" s="70"/>
      <c r="BT62" s="70"/>
      <c r="BU62" s="70"/>
      <c r="BV62" s="70"/>
      <c r="BW62" s="70"/>
      <c r="BX62" s="70"/>
      <c r="BY62" s="70"/>
      <c r="BZ62" s="70"/>
      <c r="CA62" s="70"/>
      <c r="CB62" s="70"/>
      <c r="CC62" s="70"/>
      <c r="CD62" s="70"/>
      <c r="CE62" s="70"/>
      <c r="CF62" s="70"/>
      <c r="CG62" s="8"/>
      <c r="CH62" s="70"/>
      <c r="CI62" s="70"/>
      <c r="CJ62" s="70"/>
      <c r="CK62" s="70"/>
      <c r="CL62" s="70"/>
      <c r="CM62" s="70"/>
      <c r="CN62" s="70"/>
      <c r="CO62" s="70"/>
      <c r="CP62" s="70"/>
      <c r="CQ62" s="70"/>
      <c r="CR62" s="70"/>
      <c r="CS62" s="70"/>
      <c r="CT62" s="70"/>
      <c r="CU62" s="70"/>
      <c r="CV62" s="70"/>
      <c r="CW62" s="8"/>
    </row>
    <row r="63" spans="1:101" ht="14.25" customHeight="1">
      <c r="A63" s="8"/>
      <c r="B63" s="150" t="s">
        <v>104</v>
      </c>
      <c r="C63" s="151"/>
      <c r="D63" s="20" t="str">
        <f t="shared" ref="D63:AA63" si="299">D52</f>
        <v>F1Q05A</v>
      </c>
      <c r="E63" s="21" t="str">
        <f t="shared" si="299"/>
        <v>F2Q05A</v>
      </c>
      <c r="F63" s="21" t="str">
        <f t="shared" si="299"/>
        <v>F3Q05A</v>
      </c>
      <c r="G63" s="22" t="str">
        <f t="shared" si="299"/>
        <v>F4Q05A</v>
      </c>
      <c r="H63" s="20" t="str">
        <f t="shared" si="299"/>
        <v>F1Q06A</v>
      </c>
      <c r="I63" s="21" t="str">
        <f t="shared" si="299"/>
        <v>F2Q06A</v>
      </c>
      <c r="J63" s="21" t="str">
        <f t="shared" si="299"/>
        <v>F3Q06A</v>
      </c>
      <c r="K63" s="22" t="str">
        <f t="shared" si="299"/>
        <v>F4Q06A</v>
      </c>
      <c r="L63" s="20" t="str">
        <f t="shared" si="299"/>
        <v>F1Q07A</v>
      </c>
      <c r="M63" s="21" t="str">
        <f t="shared" si="299"/>
        <v>F2Q07A</v>
      </c>
      <c r="N63" s="21" t="str">
        <f t="shared" si="299"/>
        <v>F3Q07A</v>
      </c>
      <c r="O63" s="22" t="str">
        <f t="shared" si="299"/>
        <v>F4Q07A</v>
      </c>
      <c r="P63" s="20" t="str">
        <f t="shared" si="299"/>
        <v>F1Q08A</v>
      </c>
      <c r="Q63" s="21" t="str">
        <f t="shared" si="299"/>
        <v>F2Q08A</v>
      </c>
      <c r="R63" s="21" t="str">
        <f t="shared" si="299"/>
        <v>F3Q08A</v>
      </c>
      <c r="S63" s="22" t="str">
        <f t="shared" si="299"/>
        <v>F4Q08A</v>
      </c>
      <c r="T63" s="20" t="str">
        <f t="shared" si="299"/>
        <v>F1Q09A</v>
      </c>
      <c r="U63" s="21" t="str">
        <f t="shared" si="299"/>
        <v>F2Q09A</v>
      </c>
      <c r="V63" s="21" t="str">
        <f t="shared" si="299"/>
        <v>F3Q09A</v>
      </c>
      <c r="W63" s="22" t="str">
        <f t="shared" si="299"/>
        <v>F4Q09A</v>
      </c>
      <c r="X63" s="20" t="str">
        <f t="shared" si="299"/>
        <v>F1Q10A</v>
      </c>
      <c r="Y63" s="21" t="str">
        <f t="shared" si="299"/>
        <v>F2Q10A</v>
      </c>
      <c r="Z63" s="21" t="str">
        <f t="shared" si="299"/>
        <v>F3Q10A</v>
      </c>
      <c r="AA63" s="22" t="str">
        <f t="shared" si="299"/>
        <v>F4Q10A</v>
      </c>
      <c r="AB63" s="21" t="str">
        <f>AB52</f>
        <v>F1Q11A</v>
      </c>
      <c r="AC63" s="21" t="str">
        <f t="shared" ref="AC63:AQ63" si="300">AC52</f>
        <v>F2Q11A</v>
      </c>
      <c r="AD63" s="21" t="str">
        <f t="shared" si="300"/>
        <v>F3Q11A</v>
      </c>
      <c r="AE63" s="22" t="str">
        <f t="shared" si="300"/>
        <v>F4Q11A</v>
      </c>
      <c r="AF63" s="21" t="str">
        <f>AF52</f>
        <v>F1Q12A</v>
      </c>
      <c r="AG63" s="21" t="str">
        <f t="shared" si="300"/>
        <v>F2Q12A</v>
      </c>
      <c r="AH63" s="21" t="str">
        <f t="shared" si="300"/>
        <v>F3Q12A</v>
      </c>
      <c r="AI63" s="22" t="str">
        <f t="shared" si="300"/>
        <v>F4Q12A</v>
      </c>
      <c r="AJ63" s="20" t="str">
        <f t="shared" si="300"/>
        <v>F1Q13A</v>
      </c>
      <c r="AK63" s="21" t="str">
        <f t="shared" si="300"/>
        <v>F2Q13A</v>
      </c>
      <c r="AL63" s="21" t="str">
        <f>AL52</f>
        <v>F3Q13A</v>
      </c>
      <c r="AM63" s="22" t="str">
        <f t="shared" si="300"/>
        <v>F4Q13A</v>
      </c>
      <c r="AN63" s="20" t="str">
        <f t="shared" si="300"/>
        <v>F1Q14A</v>
      </c>
      <c r="AO63" s="21" t="str">
        <f t="shared" si="300"/>
        <v>F2Q14A</v>
      </c>
      <c r="AP63" s="21" t="str">
        <f t="shared" si="300"/>
        <v>F3Q14A</v>
      </c>
      <c r="AQ63" s="21" t="str">
        <f t="shared" si="300"/>
        <v>F4Q14A</v>
      </c>
      <c r="AR63" s="20" t="str">
        <f t="shared" ref="AR63:AU63" si="301">AR52</f>
        <v>F1Q15A</v>
      </c>
      <c r="AS63" s="21" t="str">
        <f t="shared" si="301"/>
        <v>F2Q15A</v>
      </c>
      <c r="AT63" s="21" t="str">
        <f t="shared" si="301"/>
        <v>F3Q15A</v>
      </c>
      <c r="AU63" s="21" t="str">
        <f t="shared" si="301"/>
        <v>F4Q15A</v>
      </c>
      <c r="AV63" s="20" t="str">
        <f>AV52</f>
        <v>F1Q16A</v>
      </c>
      <c r="AW63" s="21" t="str">
        <f>AW52</f>
        <v>F2Q16A</v>
      </c>
      <c r="AX63" s="21" t="str">
        <f>AX52</f>
        <v>F3Q16A</v>
      </c>
      <c r="AY63" s="21" t="str">
        <f t="shared" ref="AY63" si="302">AY52</f>
        <v>F4Q16A</v>
      </c>
      <c r="AZ63" s="1204" t="str">
        <f>AZ52</f>
        <v>F1Q17A</v>
      </c>
      <c r="BA63" s="1205" t="str">
        <f t="shared" ref="BA63:BG63" si="303">BA52</f>
        <v>F2Q17A</v>
      </c>
      <c r="BB63" s="21" t="str">
        <f t="shared" si="303"/>
        <v>F3Q17A</v>
      </c>
      <c r="BC63" s="22" t="str">
        <f t="shared" si="303"/>
        <v>F4Q17A</v>
      </c>
      <c r="BD63" s="21" t="str">
        <f t="shared" si="303"/>
        <v>F1Q18A</v>
      </c>
      <c r="BE63" s="21" t="str">
        <f t="shared" si="303"/>
        <v>F2Q18E</v>
      </c>
      <c r="BF63" s="21" t="str">
        <f t="shared" si="303"/>
        <v>F3Q18E</v>
      </c>
      <c r="BG63" s="22" t="str">
        <f t="shared" si="303"/>
        <v>F4Q18E</v>
      </c>
      <c r="BH63" s="1205" t="str">
        <f t="shared" ref="BH63:BK63" si="304">BH52</f>
        <v>F1Q19E</v>
      </c>
      <c r="BI63" s="1205" t="str">
        <f t="shared" si="304"/>
        <v>F2Q19E</v>
      </c>
      <c r="BJ63" s="1205" t="str">
        <f t="shared" si="304"/>
        <v>F3Q19E</v>
      </c>
      <c r="BK63" s="1206" t="str">
        <f t="shared" si="304"/>
        <v>F4Q19E</v>
      </c>
      <c r="BL63" s="1438" t="str">
        <f t="shared" ref="BL63:BO63" si="305">BL52</f>
        <v>F1Q20E</v>
      </c>
      <c r="BM63" s="1438" t="str">
        <f t="shared" si="305"/>
        <v>F2Q20E</v>
      </c>
      <c r="BN63" s="1438" t="str">
        <f t="shared" si="305"/>
        <v>F3Q20E</v>
      </c>
      <c r="BO63" s="1439" t="str">
        <f t="shared" si="305"/>
        <v>F4Q20E</v>
      </c>
      <c r="BP63" s="23"/>
      <c r="BQ63" s="643" t="str">
        <f t="shared" ref="BQ63:BW63" si="306">BQ52</f>
        <v>FY2005A</v>
      </c>
      <c r="BR63" s="21" t="str">
        <f t="shared" si="306"/>
        <v>FY2006A</v>
      </c>
      <c r="BS63" s="21" t="str">
        <f t="shared" si="306"/>
        <v>FY2007A</v>
      </c>
      <c r="BT63" s="21" t="str">
        <f t="shared" si="306"/>
        <v>FY2008A</v>
      </c>
      <c r="BU63" s="21" t="str">
        <f t="shared" si="306"/>
        <v>FY2009A</v>
      </c>
      <c r="BV63" s="21" t="str">
        <f t="shared" si="306"/>
        <v>FY2010A</v>
      </c>
      <c r="BW63" s="21" t="str">
        <f t="shared" si="306"/>
        <v>FY2011A</v>
      </c>
      <c r="BX63" s="21" t="str">
        <f t="shared" ref="BX63:BZ63" si="307">BX52</f>
        <v>FY2012A</v>
      </c>
      <c r="BY63" s="21" t="str">
        <f t="shared" si="307"/>
        <v>FY2013A</v>
      </c>
      <c r="BZ63" s="21" t="str">
        <f t="shared" si="307"/>
        <v>FY2014A</v>
      </c>
      <c r="CA63" s="21" t="str">
        <f t="shared" ref="CA63:CF63" si="308">CA52</f>
        <v>FY2015A</v>
      </c>
      <c r="CB63" s="21" t="str">
        <f t="shared" si="308"/>
        <v>FY2016A</v>
      </c>
      <c r="CC63" s="21" t="str">
        <f t="shared" si="308"/>
        <v>FY2017A</v>
      </c>
      <c r="CD63" s="1438" t="str">
        <f t="shared" si="308"/>
        <v>FY2018E</v>
      </c>
      <c r="CE63" s="1438" t="str">
        <f t="shared" si="308"/>
        <v>FY2019E</v>
      </c>
      <c r="CF63" s="1439" t="str">
        <f t="shared" si="308"/>
        <v>FY2020E</v>
      </c>
      <c r="CG63" s="23"/>
      <c r="CH63" s="643" t="str">
        <f t="shared" ref="CH63:CN63" si="309">CH52</f>
        <v>CY2005</v>
      </c>
      <c r="CI63" s="21" t="str">
        <f t="shared" si="309"/>
        <v>CY2006</v>
      </c>
      <c r="CJ63" s="21" t="str">
        <f t="shared" si="309"/>
        <v>CY2007</v>
      </c>
      <c r="CK63" s="21" t="str">
        <f t="shared" si="309"/>
        <v>CY2008</v>
      </c>
      <c r="CL63" s="21" t="str">
        <f t="shared" si="309"/>
        <v>CY2009</v>
      </c>
      <c r="CM63" s="21" t="str">
        <f t="shared" si="309"/>
        <v>CY2010</v>
      </c>
      <c r="CN63" s="21" t="str">
        <f t="shared" si="309"/>
        <v>CY2011</v>
      </c>
      <c r="CO63" s="21" t="str">
        <f t="shared" ref="CO63:CT63" si="310">CO52</f>
        <v>CY2012</v>
      </c>
      <c r="CP63" s="1438" t="str">
        <f t="shared" si="310"/>
        <v>CY2013</v>
      </c>
      <c r="CQ63" s="1438" t="str">
        <f t="shared" si="310"/>
        <v>CY2014</v>
      </c>
      <c r="CR63" s="1438" t="str">
        <f t="shared" si="310"/>
        <v>CY2015</v>
      </c>
      <c r="CS63" s="644" t="str">
        <f t="shared" si="310"/>
        <v>CY2016</v>
      </c>
      <c r="CT63" s="644" t="str">
        <f t="shared" si="310"/>
        <v>CY2017</v>
      </c>
      <c r="CU63" s="1399" t="str">
        <f t="shared" ref="CU63:CV63" si="311">CU52</f>
        <v>CY2018</v>
      </c>
      <c r="CV63" s="24" t="str">
        <f t="shared" si="311"/>
        <v>CY2019</v>
      </c>
      <c r="CW63" s="25"/>
    </row>
    <row r="64" spans="1:101" ht="14.25" customHeight="1">
      <c r="A64" s="8"/>
      <c r="B64" s="160" t="s">
        <v>105</v>
      </c>
      <c r="C64" s="161"/>
      <c r="D64" s="77">
        <v>0</v>
      </c>
      <c r="E64" s="78">
        <v>0</v>
      </c>
      <c r="F64" s="78">
        <v>0</v>
      </c>
      <c r="G64" s="79">
        <v>0</v>
      </c>
      <c r="H64" s="77">
        <v>0</v>
      </c>
      <c r="I64" s="78">
        <v>0</v>
      </c>
      <c r="J64" s="78">
        <v>0</v>
      </c>
      <c r="K64" s="79">
        <v>0</v>
      </c>
      <c r="L64" s="77">
        <v>0</v>
      </c>
      <c r="M64" s="78">
        <v>0</v>
      </c>
      <c r="N64" s="78">
        <v>0</v>
      </c>
      <c r="O64" s="79">
        <v>0</v>
      </c>
      <c r="P64" s="77">
        <v>0</v>
      </c>
      <c r="Q64" s="78">
        <v>0</v>
      </c>
      <c r="R64" s="78">
        <v>0</v>
      </c>
      <c r="S64" s="79">
        <v>0</v>
      </c>
      <c r="T64" s="77">
        <v>0</v>
      </c>
      <c r="U64" s="78">
        <v>0</v>
      </c>
      <c r="V64" s="78">
        <v>0</v>
      </c>
      <c r="W64" s="79">
        <v>0</v>
      </c>
      <c r="X64" s="78">
        <v>0</v>
      </c>
      <c r="Y64" s="78">
        <v>0</v>
      </c>
      <c r="Z64" s="78">
        <v>0</v>
      </c>
      <c r="AA64" s="79">
        <v>0</v>
      </c>
      <c r="AB64" s="85">
        <v>0</v>
      </c>
      <c r="AC64" s="78">
        <v>0</v>
      </c>
      <c r="AD64" s="78">
        <v>0</v>
      </c>
      <c r="AE64" s="79">
        <v>0</v>
      </c>
      <c r="AF64" s="85">
        <v>0</v>
      </c>
      <c r="AG64" s="85">
        <v>0</v>
      </c>
      <c r="AH64" s="85">
        <v>0</v>
      </c>
      <c r="AI64" s="79">
        <v>0</v>
      </c>
      <c r="AJ64" s="85">
        <v>0</v>
      </c>
      <c r="AK64" s="85">
        <v>0</v>
      </c>
      <c r="AL64" s="85">
        <v>0</v>
      </c>
      <c r="AM64" s="79">
        <v>0</v>
      </c>
      <c r="AN64" s="85">
        <f t="shared" ref="AN64:AV64" si="312">AM64</f>
        <v>0</v>
      </c>
      <c r="AO64" s="85">
        <f t="shared" si="312"/>
        <v>0</v>
      </c>
      <c r="AP64" s="85">
        <f t="shared" si="312"/>
        <v>0</v>
      </c>
      <c r="AQ64" s="79">
        <v>0</v>
      </c>
      <c r="AR64" s="85">
        <f t="shared" si="312"/>
        <v>0</v>
      </c>
      <c r="AS64" s="85">
        <v>0</v>
      </c>
      <c r="AT64" s="85">
        <f t="shared" si="312"/>
        <v>0</v>
      </c>
      <c r="AU64" s="79">
        <v>0</v>
      </c>
      <c r="AV64" s="85">
        <f t="shared" si="312"/>
        <v>0</v>
      </c>
      <c r="AW64" s="85">
        <v>0</v>
      </c>
      <c r="AX64" s="85">
        <v>0</v>
      </c>
      <c r="AY64" s="79">
        <v>0</v>
      </c>
      <c r="AZ64" s="85">
        <f t="shared" ref="AZ64:BA64" si="313">AY64</f>
        <v>0</v>
      </c>
      <c r="BA64" s="85">
        <f t="shared" si="313"/>
        <v>0</v>
      </c>
      <c r="BB64" s="85">
        <f t="shared" ref="BB64:BG64" si="314">BA64</f>
        <v>0</v>
      </c>
      <c r="BC64" s="79">
        <v>0</v>
      </c>
      <c r="BD64" s="82">
        <f t="shared" si="314"/>
        <v>0</v>
      </c>
      <c r="BE64" s="82">
        <f t="shared" si="314"/>
        <v>0</v>
      </c>
      <c r="BF64" s="82">
        <f t="shared" si="314"/>
        <v>0</v>
      </c>
      <c r="BG64" s="162">
        <f t="shared" si="314"/>
        <v>0</v>
      </c>
      <c r="BH64" s="82">
        <f t="shared" ref="BH64" si="315">BG64</f>
        <v>0</v>
      </c>
      <c r="BI64" s="82">
        <f t="shared" ref="BI64" si="316">BH64</f>
        <v>0</v>
      </c>
      <c r="BJ64" s="82">
        <f t="shared" ref="BJ64" si="317">BI64</f>
        <v>0</v>
      </c>
      <c r="BK64" s="162">
        <f t="shared" ref="BK64" si="318">BJ64</f>
        <v>0</v>
      </c>
      <c r="BL64" s="82">
        <f t="shared" ref="BL64" si="319">BK64</f>
        <v>0</v>
      </c>
      <c r="BM64" s="82">
        <f t="shared" ref="BM64" si="320">BL64</f>
        <v>0</v>
      </c>
      <c r="BN64" s="82">
        <f t="shared" ref="BN64" si="321">BM64</f>
        <v>0</v>
      </c>
      <c r="BO64" s="162">
        <f t="shared" ref="BO64" si="322">BN64</f>
        <v>0</v>
      </c>
      <c r="BP64" s="23"/>
      <c r="BQ64" s="152">
        <f>G64</f>
        <v>0</v>
      </c>
      <c r="BR64" s="82">
        <f>K64</f>
        <v>0</v>
      </c>
      <c r="BS64" s="82">
        <f>O64</f>
        <v>0</v>
      </c>
      <c r="BT64" s="82">
        <f>S64</f>
        <v>0</v>
      </c>
      <c r="BU64" s="82">
        <f>W64</f>
        <v>0</v>
      </c>
      <c r="BV64" s="82">
        <f>AA64</f>
        <v>0</v>
      </c>
      <c r="BW64" s="82">
        <f>AE64</f>
        <v>0</v>
      </c>
      <c r="BX64" s="82">
        <f>AI64</f>
        <v>0</v>
      </c>
      <c r="BY64" s="82">
        <f>AM64</f>
        <v>0</v>
      </c>
      <c r="BZ64" s="82">
        <f>AQ64</f>
        <v>0</v>
      </c>
      <c r="CA64" s="82">
        <f>AU64</f>
        <v>0</v>
      </c>
      <c r="CB64" s="82">
        <f>AY64</f>
        <v>0</v>
      </c>
      <c r="CC64" s="82">
        <f>BC64</f>
        <v>0</v>
      </c>
      <c r="CD64" s="82">
        <f>BG64</f>
        <v>0</v>
      </c>
      <c r="CE64" s="82">
        <f>BK64</f>
        <v>0</v>
      </c>
      <c r="CF64" s="83">
        <f>BO64</f>
        <v>0</v>
      </c>
      <c r="CG64" s="23"/>
      <c r="CH64" s="163">
        <f>H64</f>
        <v>0</v>
      </c>
      <c r="CI64" s="82">
        <f>L64</f>
        <v>0</v>
      </c>
      <c r="CJ64" s="82">
        <f>P64</f>
        <v>0</v>
      </c>
      <c r="CK64" s="82">
        <f>T64</f>
        <v>0</v>
      </c>
      <c r="CL64" s="82">
        <f>X64</f>
        <v>0</v>
      </c>
      <c r="CM64" s="82">
        <f>AB64</f>
        <v>0</v>
      </c>
      <c r="CN64" s="82">
        <f>AF64</f>
        <v>0</v>
      </c>
      <c r="CO64" s="82">
        <f>AJ64</f>
        <v>0</v>
      </c>
      <c r="CP64" s="82">
        <f>AN64</f>
        <v>0</v>
      </c>
      <c r="CQ64" s="82">
        <f>AR64</f>
        <v>0</v>
      </c>
      <c r="CR64" s="82">
        <f>AV64</f>
        <v>0</v>
      </c>
      <c r="CS64" s="152">
        <f>AZ64</f>
        <v>0</v>
      </c>
      <c r="CT64" s="152">
        <f>BD64</f>
        <v>0</v>
      </c>
      <c r="CU64" s="152">
        <f>BH64</f>
        <v>0</v>
      </c>
      <c r="CV64" s="162">
        <f>BL64</f>
        <v>0</v>
      </c>
      <c r="CW64" s="25"/>
    </row>
    <row r="65" spans="1:107" s="923" customFormat="1" ht="14.25" customHeight="1">
      <c r="A65" s="11"/>
      <c r="B65" s="99" t="s">
        <v>106</v>
      </c>
      <c r="C65" s="100"/>
      <c r="D65" s="84">
        <v>62.087000000000003</v>
      </c>
      <c r="E65" s="85">
        <v>61.667999999999999</v>
      </c>
      <c r="F65" s="85">
        <v>62.067999999999998</v>
      </c>
      <c r="G65" s="86">
        <v>61.139000000000003</v>
      </c>
      <c r="H65" s="84">
        <v>61.024999999999999</v>
      </c>
      <c r="I65" s="85">
        <v>60.194000000000003</v>
      </c>
      <c r="J65" s="85">
        <v>58.81</v>
      </c>
      <c r="K65" s="86">
        <v>57.000999999999998</v>
      </c>
      <c r="L65" s="84">
        <v>55.621000000000002</v>
      </c>
      <c r="M65" s="85">
        <v>54.518000000000001</v>
      </c>
      <c r="N65" s="85">
        <v>51.865000000000002</v>
      </c>
      <c r="O65" s="86">
        <v>50.56</v>
      </c>
      <c r="P65" s="84">
        <v>48.99</v>
      </c>
      <c r="Q65" s="85">
        <v>48.353999999999999</v>
      </c>
      <c r="R65" s="85">
        <v>48.408999999999999</v>
      </c>
      <c r="S65" s="86">
        <v>48.533000000000001</v>
      </c>
      <c r="T65" s="84">
        <v>48.539000000000001</v>
      </c>
      <c r="U65" s="85">
        <v>48.542000000000002</v>
      </c>
      <c r="V65" s="85">
        <v>48.591999999999999</v>
      </c>
      <c r="W65" s="86">
        <v>48.645000000000003</v>
      </c>
      <c r="X65" s="85">
        <v>49.616</v>
      </c>
      <c r="Y65" s="85">
        <v>49.664999999999999</v>
      </c>
      <c r="Z65" s="85">
        <v>49.683</v>
      </c>
      <c r="AA65" s="86">
        <v>49.777000000000001</v>
      </c>
      <c r="AB65" s="85">
        <v>49.936</v>
      </c>
      <c r="AC65" s="85">
        <v>49.94</v>
      </c>
      <c r="AD65" s="85">
        <v>49.906999999999996</v>
      </c>
      <c r="AE65" s="86">
        <v>49.661000000000001</v>
      </c>
      <c r="AF65" s="85">
        <v>49.64</v>
      </c>
      <c r="AG65" s="85">
        <v>49.723999999999997</v>
      </c>
      <c r="AH65" s="85">
        <v>49.819000000000003</v>
      </c>
      <c r="AI65" s="86">
        <v>50.232999999999997</v>
      </c>
      <c r="AJ65" s="85">
        <v>50.997999999999998</v>
      </c>
      <c r="AK65" s="85">
        <v>51.362000000000002</v>
      </c>
      <c r="AL65" s="85">
        <v>51.783000000000001</v>
      </c>
      <c r="AM65" s="86">
        <v>51.841999999999999</v>
      </c>
      <c r="AN65" s="85">
        <v>52.088999999999999</v>
      </c>
      <c r="AO65" s="85">
        <v>52.359000000000002</v>
      </c>
      <c r="AP65" s="85">
        <v>52.37</v>
      </c>
      <c r="AQ65" s="86">
        <v>51.869</v>
      </c>
      <c r="AR65" s="85">
        <v>51.939</v>
      </c>
      <c r="AS65" s="85">
        <v>52.258000000000003</v>
      </c>
      <c r="AT65" s="85">
        <v>52.28</v>
      </c>
      <c r="AU65" s="86">
        <v>52.011000000000003</v>
      </c>
      <c r="AV65" s="85">
        <v>51.670999999999999</v>
      </c>
      <c r="AW65" s="85">
        <v>51.225999999999999</v>
      </c>
      <c r="AX65" s="85">
        <v>51.247</v>
      </c>
      <c r="AY65" s="86">
        <v>51.363</v>
      </c>
      <c r="AZ65" s="85">
        <v>51.534999999999997</v>
      </c>
      <c r="BA65" s="85">
        <v>61.17</v>
      </c>
      <c r="BB65" s="85">
        <v>61.279000000000003</v>
      </c>
      <c r="BC65" s="86">
        <v>61.441000000000003</v>
      </c>
      <c r="BD65" s="1126">
        <f>BC65+CFS!BD49</f>
        <v>99.253</v>
      </c>
      <c r="BE65" s="1126">
        <f>BD65+CFS!BE49</f>
        <v>137.065</v>
      </c>
      <c r="BF65" s="1126">
        <f>BE65+CFS!BF49</f>
        <v>174.87700000000001</v>
      </c>
      <c r="BG65" s="1127">
        <f>BF65+CFS!BG49</f>
        <v>212.68900000000002</v>
      </c>
      <c r="BH65" s="1126">
        <f>BG65+CFS!BH49</f>
        <v>250.50100000000003</v>
      </c>
      <c r="BI65" s="1126">
        <f>BH65+CFS!BI49</f>
        <v>288.31300000000005</v>
      </c>
      <c r="BJ65" s="1126">
        <f>BI65+CFS!BJ49</f>
        <v>326.12500000000006</v>
      </c>
      <c r="BK65" s="1127">
        <f>BJ65+CFS!BK49</f>
        <v>363.93700000000007</v>
      </c>
      <c r="BL65" s="1126">
        <f>BK65+CFS!BL49</f>
        <v>401.74900000000008</v>
      </c>
      <c r="BM65" s="1126">
        <f>BL65+CFS!BM49</f>
        <v>439.56100000000009</v>
      </c>
      <c r="BN65" s="1126">
        <f>BM65+CFS!BN49</f>
        <v>477.3730000000001</v>
      </c>
      <c r="BO65" s="1127">
        <f>BN65+CFS!BO49</f>
        <v>515.18500000000006</v>
      </c>
      <c r="BP65" s="27"/>
      <c r="BQ65" s="82">
        <f>G65</f>
        <v>61.139000000000003</v>
      </c>
      <c r="BR65" s="82">
        <f>K65</f>
        <v>57.000999999999998</v>
      </c>
      <c r="BS65" s="82">
        <f>O65</f>
        <v>50.56</v>
      </c>
      <c r="BT65" s="82">
        <f>S65</f>
        <v>48.533000000000001</v>
      </c>
      <c r="BU65" s="82">
        <f>W65</f>
        <v>48.645000000000003</v>
      </c>
      <c r="BV65" s="82">
        <f>AA65</f>
        <v>49.777000000000001</v>
      </c>
      <c r="BW65" s="82">
        <f>AE65</f>
        <v>49.661000000000001</v>
      </c>
      <c r="BX65" s="82">
        <f>AI65</f>
        <v>50.232999999999997</v>
      </c>
      <c r="BY65" s="82">
        <f>AM65</f>
        <v>51.841999999999999</v>
      </c>
      <c r="BZ65" s="82">
        <f>AQ65</f>
        <v>51.869</v>
      </c>
      <c r="CA65" s="82">
        <f>AU65</f>
        <v>52.011000000000003</v>
      </c>
      <c r="CB65" s="82">
        <f>AY65</f>
        <v>51.363</v>
      </c>
      <c r="CC65" s="82">
        <f>BC65</f>
        <v>61.441000000000003</v>
      </c>
      <c r="CD65" s="82">
        <f>BG65</f>
        <v>212.68900000000002</v>
      </c>
      <c r="CE65" s="82">
        <f>BK65</f>
        <v>363.93700000000007</v>
      </c>
      <c r="CF65" s="83">
        <f>BO65</f>
        <v>515.18500000000006</v>
      </c>
      <c r="CG65" s="176"/>
      <c r="CH65" s="81">
        <f>H65</f>
        <v>61.024999999999999</v>
      </c>
      <c r="CI65" s="82">
        <f>L65</f>
        <v>55.621000000000002</v>
      </c>
      <c r="CJ65" s="82">
        <f>P65</f>
        <v>48.99</v>
      </c>
      <c r="CK65" s="82">
        <f>T65</f>
        <v>48.539000000000001</v>
      </c>
      <c r="CL65" s="82">
        <f>X65</f>
        <v>49.616</v>
      </c>
      <c r="CM65" s="82">
        <f>AB65</f>
        <v>49.936</v>
      </c>
      <c r="CN65" s="82">
        <f>AF65</f>
        <v>49.64</v>
      </c>
      <c r="CO65" s="82">
        <f>AJ65</f>
        <v>50.997999999999998</v>
      </c>
      <c r="CP65" s="82">
        <f>AN65</f>
        <v>52.088999999999999</v>
      </c>
      <c r="CQ65" s="82">
        <f>AR65</f>
        <v>51.939</v>
      </c>
      <c r="CR65" s="82">
        <f>AV65</f>
        <v>51.670999999999999</v>
      </c>
      <c r="CS65" s="82">
        <f>AZ65</f>
        <v>51.534999999999997</v>
      </c>
      <c r="CT65" s="82">
        <f>BD65</f>
        <v>99.253</v>
      </c>
      <c r="CU65" s="82">
        <f>BH65</f>
        <v>250.50100000000003</v>
      </c>
      <c r="CV65" s="83">
        <f t="shared" ref="CV65:CV67" si="323">BL65</f>
        <v>401.74900000000008</v>
      </c>
      <c r="CW65" s="26"/>
      <c r="CX65"/>
      <c r="CY65"/>
      <c r="CZ65"/>
      <c r="DA65"/>
      <c r="DB65"/>
      <c r="DC65"/>
    </row>
    <row r="66" spans="1:107" ht="14.25" customHeight="1">
      <c r="A66" s="8"/>
      <c r="B66" s="99" t="s">
        <v>107</v>
      </c>
      <c r="C66" s="100"/>
      <c r="D66" s="84">
        <v>0</v>
      </c>
      <c r="E66" s="85">
        <v>0</v>
      </c>
      <c r="F66" s="85">
        <v>0</v>
      </c>
      <c r="G66" s="86">
        <v>0</v>
      </c>
      <c r="H66" s="84">
        <v>0</v>
      </c>
      <c r="I66" s="85">
        <v>0</v>
      </c>
      <c r="J66" s="85">
        <v>0</v>
      </c>
      <c r="K66" s="86">
        <v>0</v>
      </c>
      <c r="L66" s="84">
        <v>0</v>
      </c>
      <c r="M66" s="85">
        <v>0</v>
      </c>
      <c r="N66" s="85">
        <v>0</v>
      </c>
      <c r="O66" s="86">
        <v>0</v>
      </c>
      <c r="P66" s="84">
        <v>0</v>
      </c>
      <c r="Q66" s="85">
        <v>0</v>
      </c>
      <c r="R66" s="85">
        <v>0</v>
      </c>
      <c r="S66" s="86">
        <v>0</v>
      </c>
      <c r="T66" s="84">
        <v>0</v>
      </c>
      <c r="U66" s="85">
        <v>0</v>
      </c>
      <c r="V66" s="85">
        <v>0</v>
      </c>
      <c r="W66" s="86">
        <v>0</v>
      </c>
      <c r="X66" s="85">
        <v>0</v>
      </c>
      <c r="Y66" s="85">
        <v>0</v>
      </c>
      <c r="Z66" s="85">
        <v>0</v>
      </c>
      <c r="AA66" s="86">
        <v>0</v>
      </c>
      <c r="AB66" s="85">
        <v>0</v>
      </c>
      <c r="AC66" s="85">
        <v>0</v>
      </c>
      <c r="AD66" s="85">
        <v>0</v>
      </c>
      <c r="AE66" s="86">
        <v>0</v>
      </c>
      <c r="AF66" s="85">
        <v>0</v>
      </c>
      <c r="AG66" s="85">
        <v>0</v>
      </c>
      <c r="AH66" s="85">
        <v>0</v>
      </c>
      <c r="AI66" s="86">
        <v>0</v>
      </c>
      <c r="AJ66" s="85">
        <v>0</v>
      </c>
      <c r="AK66" s="85">
        <v>0</v>
      </c>
      <c r="AL66" s="85">
        <v>0</v>
      </c>
      <c r="AM66" s="86">
        <v>0</v>
      </c>
      <c r="AN66" s="85">
        <v>0</v>
      </c>
      <c r="AO66" s="85"/>
      <c r="AP66" s="85">
        <v>0</v>
      </c>
      <c r="AQ66" s="86">
        <v>0</v>
      </c>
      <c r="AR66" s="85">
        <v>0</v>
      </c>
      <c r="AS66" s="85"/>
      <c r="AT66" s="85">
        <v>0</v>
      </c>
      <c r="AU66" s="86">
        <v>0</v>
      </c>
      <c r="AV66" s="85">
        <v>0</v>
      </c>
      <c r="AW66" s="85"/>
      <c r="AX66" s="85"/>
      <c r="AY66" s="86">
        <v>0</v>
      </c>
      <c r="AZ66" s="85">
        <v>0</v>
      </c>
      <c r="BA66" s="85">
        <v>0</v>
      </c>
      <c r="BB66" s="85">
        <v>0</v>
      </c>
      <c r="BC66" s="86">
        <v>0</v>
      </c>
      <c r="BD66" s="1475">
        <v>562.89800000000105</v>
      </c>
      <c r="BE66" s="82">
        <f t="shared" ref="BE66:BG66" si="324">BD66</f>
        <v>562.89800000000105</v>
      </c>
      <c r="BF66" s="82">
        <f t="shared" si="324"/>
        <v>562.89800000000105</v>
      </c>
      <c r="BG66" s="83">
        <f t="shared" si="324"/>
        <v>562.89800000000105</v>
      </c>
      <c r="BH66" s="82">
        <f t="shared" ref="BH66" si="325">BG66</f>
        <v>562.89800000000105</v>
      </c>
      <c r="BI66" s="82">
        <f t="shared" ref="BI66" si="326">BH66</f>
        <v>562.89800000000105</v>
      </c>
      <c r="BJ66" s="82">
        <f t="shared" ref="BJ66" si="327">BI66</f>
        <v>562.89800000000105</v>
      </c>
      <c r="BK66" s="83">
        <f t="shared" ref="BK66" si="328">BJ66</f>
        <v>562.89800000000105</v>
      </c>
      <c r="BL66" s="82">
        <f t="shared" ref="BL66" si="329">BK66</f>
        <v>562.89800000000105</v>
      </c>
      <c r="BM66" s="82">
        <f t="shared" ref="BM66" si="330">BL66</f>
        <v>562.89800000000105</v>
      </c>
      <c r="BN66" s="82">
        <f t="shared" ref="BN66" si="331">BM66</f>
        <v>562.89800000000105</v>
      </c>
      <c r="BO66" s="83">
        <f t="shared" ref="BO66" si="332">BN66</f>
        <v>562.89800000000105</v>
      </c>
      <c r="BP66" s="23"/>
      <c r="BQ66" s="82">
        <f>G66</f>
        <v>0</v>
      </c>
      <c r="BR66" s="82">
        <f>K66</f>
        <v>0</v>
      </c>
      <c r="BS66" s="82">
        <f>O66</f>
        <v>0</v>
      </c>
      <c r="BT66" s="82">
        <f>S66</f>
        <v>0</v>
      </c>
      <c r="BU66" s="82">
        <f>W66</f>
        <v>0</v>
      </c>
      <c r="BV66" s="82">
        <f>AA66</f>
        <v>0</v>
      </c>
      <c r="BW66" s="82">
        <f>AE66</f>
        <v>0</v>
      </c>
      <c r="BX66" s="82">
        <f>AI66</f>
        <v>0</v>
      </c>
      <c r="BY66" s="82">
        <f>AM66</f>
        <v>0</v>
      </c>
      <c r="BZ66" s="82">
        <f>AQ66</f>
        <v>0</v>
      </c>
      <c r="CA66" s="82">
        <f>AU66</f>
        <v>0</v>
      </c>
      <c r="CB66" s="82">
        <f>AY66</f>
        <v>0</v>
      </c>
      <c r="CC66" s="82">
        <f>BC66</f>
        <v>0</v>
      </c>
      <c r="CD66" s="82">
        <f>BG66</f>
        <v>562.89800000000105</v>
      </c>
      <c r="CE66" s="82">
        <f>BK66</f>
        <v>562.89800000000105</v>
      </c>
      <c r="CF66" s="83">
        <f>BO66</f>
        <v>562.89800000000105</v>
      </c>
      <c r="CG66" s="23"/>
      <c r="CH66" s="81">
        <f>H66</f>
        <v>0</v>
      </c>
      <c r="CI66" s="82">
        <f>L66</f>
        <v>0</v>
      </c>
      <c r="CJ66" s="82">
        <f>P66</f>
        <v>0</v>
      </c>
      <c r="CK66" s="82">
        <f>T66</f>
        <v>0</v>
      </c>
      <c r="CL66" s="82">
        <f>X66</f>
        <v>0</v>
      </c>
      <c r="CM66" s="82">
        <f>AB66</f>
        <v>0</v>
      </c>
      <c r="CN66" s="82">
        <f>AF66</f>
        <v>0</v>
      </c>
      <c r="CO66" s="82">
        <f>AJ66</f>
        <v>0</v>
      </c>
      <c r="CP66" s="82">
        <f>AN66</f>
        <v>0</v>
      </c>
      <c r="CQ66" s="82">
        <f>AR66</f>
        <v>0</v>
      </c>
      <c r="CR66" s="82">
        <f>AV66</f>
        <v>0</v>
      </c>
      <c r="CS66" s="82">
        <f>AZ66</f>
        <v>0</v>
      </c>
      <c r="CT66" s="82">
        <f>BD66</f>
        <v>562.89800000000105</v>
      </c>
      <c r="CU66" s="82">
        <f>BH66</f>
        <v>562.89800000000105</v>
      </c>
      <c r="CV66" s="83">
        <f t="shared" si="323"/>
        <v>562.89800000000105</v>
      </c>
      <c r="CW66" s="25"/>
    </row>
    <row r="67" spans="1:107" ht="14.25" customHeight="1">
      <c r="A67" s="8"/>
      <c r="B67" s="99" t="s">
        <v>108</v>
      </c>
      <c r="C67" s="100"/>
      <c r="D67" s="84">
        <v>614.71600000000001</v>
      </c>
      <c r="E67" s="85">
        <v>507.11099999999999</v>
      </c>
      <c r="F67" s="85">
        <v>551.84699999999998</v>
      </c>
      <c r="G67" s="86">
        <v>380.20600000000002</v>
      </c>
      <c r="H67" s="84">
        <v>317.55799999999999</v>
      </c>
      <c r="I67" s="85">
        <v>144.04499999999999</v>
      </c>
      <c r="J67" s="85">
        <v>60.244</v>
      </c>
      <c r="K67" s="86">
        <v>0</v>
      </c>
      <c r="L67" s="84">
        <v>0</v>
      </c>
      <c r="M67" s="85">
        <v>0</v>
      </c>
      <c r="N67" s="85">
        <v>0</v>
      </c>
      <c r="O67" s="86">
        <v>0</v>
      </c>
      <c r="P67" s="84">
        <v>0</v>
      </c>
      <c r="Q67" s="85">
        <v>0</v>
      </c>
      <c r="R67" s="85">
        <v>0</v>
      </c>
      <c r="S67" s="86">
        <v>0</v>
      </c>
      <c r="T67" s="84">
        <v>0</v>
      </c>
      <c r="U67" s="85">
        <v>0</v>
      </c>
      <c r="V67" s="85">
        <v>0</v>
      </c>
      <c r="W67" s="86">
        <v>56.305999999999997</v>
      </c>
      <c r="X67" s="85">
        <v>233.303</v>
      </c>
      <c r="Y67" s="85">
        <v>251.68199999999999</v>
      </c>
      <c r="Z67" s="85">
        <v>265.55799999999999</v>
      </c>
      <c r="AA67" s="86">
        <v>286.96899999999999</v>
      </c>
      <c r="AB67" s="85">
        <v>297.12599999999998</v>
      </c>
      <c r="AC67" s="85">
        <v>330.07799999999997</v>
      </c>
      <c r="AD67" s="85">
        <v>321.839</v>
      </c>
      <c r="AE67" s="86">
        <v>289.58699999999999</v>
      </c>
      <c r="AF67" s="85">
        <v>276.91300000000001</v>
      </c>
      <c r="AG67" s="85">
        <v>287.83999999999997</v>
      </c>
      <c r="AH67" s="85">
        <v>312.48700000000002</v>
      </c>
      <c r="AI67" s="86">
        <v>390.65100000000001</v>
      </c>
      <c r="AJ67" s="85">
        <v>507.08199999999999</v>
      </c>
      <c r="AK67" s="85">
        <v>586.79100000000005</v>
      </c>
      <c r="AL67" s="85">
        <v>694.577</v>
      </c>
      <c r="AM67" s="86">
        <v>711.87900000000002</v>
      </c>
      <c r="AN67" s="85">
        <v>723.52</v>
      </c>
      <c r="AO67" s="85">
        <v>781.01099999999997</v>
      </c>
      <c r="AP67" s="85">
        <v>792.971</v>
      </c>
      <c r="AQ67" s="86">
        <v>643.05799999999999</v>
      </c>
      <c r="AR67" s="85">
        <v>651.52300000000002</v>
      </c>
      <c r="AS67" s="85">
        <v>707.18</v>
      </c>
      <c r="AT67" s="85">
        <v>719.05</v>
      </c>
      <c r="AU67" s="86">
        <v>634.48400000000004</v>
      </c>
      <c r="AV67" s="85">
        <v>525.83699999999999</v>
      </c>
      <c r="AW67" s="85">
        <v>348.39100000000002</v>
      </c>
      <c r="AX67" s="85">
        <v>362.35700000000003</v>
      </c>
      <c r="AY67" s="86">
        <v>402.27</v>
      </c>
      <c r="AZ67" s="85">
        <v>457.94400000000002</v>
      </c>
      <c r="BA67" s="85">
        <v>5144.6360000000004</v>
      </c>
      <c r="BB67" s="85">
        <v>5190.2169999999996</v>
      </c>
      <c r="BC67" s="86">
        <v>5250.5190000000002</v>
      </c>
      <c r="BD67" s="1128">
        <f>BC67+CFS!BD15</f>
        <v>5288.4210000000003</v>
      </c>
      <c r="BE67" s="1129">
        <f>BD67+CFS!BE15</f>
        <v>5326.3230000000003</v>
      </c>
      <c r="BF67" s="1129">
        <f>BE67+CFS!BF15</f>
        <v>5364.2250000000004</v>
      </c>
      <c r="BG67" s="1130">
        <f>BF67+CFS!BG15</f>
        <v>5402.1270000000004</v>
      </c>
      <c r="BH67" s="1128">
        <f>BG67+CFS!BH15</f>
        <v>5440.0290000000005</v>
      </c>
      <c r="BI67" s="1129">
        <f>BH67+CFS!BI15</f>
        <v>5477.9310000000005</v>
      </c>
      <c r="BJ67" s="1129">
        <f>BI67+CFS!BJ15</f>
        <v>5515.8330000000005</v>
      </c>
      <c r="BK67" s="1130">
        <f>BJ67+CFS!BK15</f>
        <v>5553.7350000000006</v>
      </c>
      <c r="BL67" s="1128">
        <f>BK67+CFS!BL15</f>
        <v>5591.6370000000006</v>
      </c>
      <c r="BM67" s="1129">
        <f>BL67+CFS!BM15</f>
        <v>5629.5390000000007</v>
      </c>
      <c r="BN67" s="1129">
        <f>BM67+CFS!BN15</f>
        <v>5667.4410000000007</v>
      </c>
      <c r="BO67" s="1130">
        <f>BN67+CFS!BO15</f>
        <v>5705.3430000000008</v>
      </c>
      <c r="BP67" s="23"/>
      <c r="BQ67" s="82">
        <f>G67</f>
        <v>380.20600000000002</v>
      </c>
      <c r="BR67" s="82">
        <f>K67</f>
        <v>0</v>
      </c>
      <c r="BS67" s="82">
        <f>O67</f>
        <v>0</v>
      </c>
      <c r="BT67" s="82">
        <f>S67</f>
        <v>0</v>
      </c>
      <c r="BU67" s="82">
        <f>W67</f>
        <v>56.305999999999997</v>
      </c>
      <c r="BV67" s="82">
        <f>AA67</f>
        <v>286.96899999999999</v>
      </c>
      <c r="BW67" s="82">
        <f>AE67</f>
        <v>289.58699999999999</v>
      </c>
      <c r="BX67" s="82">
        <f>AI67</f>
        <v>390.65100000000001</v>
      </c>
      <c r="BY67" s="82">
        <f>AM67</f>
        <v>711.87900000000002</v>
      </c>
      <c r="BZ67" s="82">
        <f>AQ67</f>
        <v>643.05799999999999</v>
      </c>
      <c r="CA67" s="82">
        <f>AU67</f>
        <v>634.48400000000004</v>
      </c>
      <c r="CB67" s="82">
        <f>AY67</f>
        <v>402.27</v>
      </c>
      <c r="CC67" s="82">
        <f>BC67</f>
        <v>5250.5190000000002</v>
      </c>
      <c r="CD67" s="82">
        <f>BG67</f>
        <v>5402.1270000000004</v>
      </c>
      <c r="CE67" s="82">
        <f>BK67</f>
        <v>5553.7350000000006</v>
      </c>
      <c r="CF67" s="83">
        <f>BO67</f>
        <v>5705.3430000000008</v>
      </c>
      <c r="CG67" s="23"/>
      <c r="CH67" s="81">
        <f>H67</f>
        <v>317.55799999999999</v>
      </c>
      <c r="CI67" s="82">
        <f>L67</f>
        <v>0</v>
      </c>
      <c r="CJ67" s="82">
        <f>P67</f>
        <v>0</v>
      </c>
      <c r="CK67" s="82">
        <f>T67</f>
        <v>0</v>
      </c>
      <c r="CL67" s="82">
        <f>X67</f>
        <v>233.303</v>
      </c>
      <c r="CM67" s="82">
        <f>AB67</f>
        <v>297.12599999999998</v>
      </c>
      <c r="CN67" s="82">
        <f>AF67</f>
        <v>276.91300000000001</v>
      </c>
      <c r="CO67" s="82">
        <f>AJ67</f>
        <v>507.08199999999999</v>
      </c>
      <c r="CP67" s="82">
        <f>AN67</f>
        <v>723.52</v>
      </c>
      <c r="CQ67" s="82">
        <f>AR67</f>
        <v>651.52300000000002</v>
      </c>
      <c r="CR67" s="82">
        <f>AV67</f>
        <v>525.83699999999999</v>
      </c>
      <c r="CS67" s="82">
        <f>AZ67</f>
        <v>457.94400000000002</v>
      </c>
      <c r="CT67" s="82">
        <f>BD67</f>
        <v>5288.4210000000003</v>
      </c>
      <c r="CU67" s="82">
        <f>BH67</f>
        <v>5440.0290000000005</v>
      </c>
      <c r="CV67" s="83">
        <f t="shared" si="323"/>
        <v>5591.6370000000006</v>
      </c>
      <c r="CW67" s="25"/>
    </row>
    <row r="68" spans="1:107" ht="14.25" customHeight="1">
      <c r="A68" s="8"/>
      <c r="B68" s="164" t="s">
        <v>109</v>
      </c>
      <c r="C68" s="165"/>
      <c r="D68" s="168">
        <f t="shared" ref="D68:Z68" si="333">SUM(D64:D67)</f>
        <v>676.803</v>
      </c>
      <c r="E68" s="166">
        <f t="shared" si="333"/>
        <v>568.779</v>
      </c>
      <c r="F68" s="166">
        <f t="shared" si="333"/>
        <v>613.91499999999996</v>
      </c>
      <c r="G68" s="167">
        <f t="shared" si="333"/>
        <v>441.34500000000003</v>
      </c>
      <c r="H68" s="168">
        <f t="shared" si="333"/>
        <v>378.58299999999997</v>
      </c>
      <c r="I68" s="166">
        <f t="shared" si="333"/>
        <v>204.23899999999998</v>
      </c>
      <c r="J68" s="166">
        <f t="shared" si="333"/>
        <v>119.054</v>
      </c>
      <c r="K68" s="167">
        <f t="shared" si="333"/>
        <v>57.000999999999998</v>
      </c>
      <c r="L68" s="168">
        <f t="shared" si="333"/>
        <v>55.621000000000002</v>
      </c>
      <c r="M68" s="166">
        <f t="shared" si="333"/>
        <v>54.518000000000001</v>
      </c>
      <c r="N68" s="166">
        <f t="shared" si="333"/>
        <v>51.865000000000002</v>
      </c>
      <c r="O68" s="167">
        <f t="shared" si="333"/>
        <v>50.56</v>
      </c>
      <c r="P68" s="168">
        <f t="shared" si="333"/>
        <v>48.99</v>
      </c>
      <c r="Q68" s="166">
        <f t="shared" si="333"/>
        <v>48.353999999999999</v>
      </c>
      <c r="R68" s="166">
        <f t="shared" si="333"/>
        <v>48.408999999999999</v>
      </c>
      <c r="S68" s="167">
        <f t="shared" si="333"/>
        <v>48.533000000000001</v>
      </c>
      <c r="T68" s="168">
        <f t="shared" si="333"/>
        <v>48.539000000000001</v>
      </c>
      <c r="U68" s="166">
        <f t="shared" si="333"/>
        <v>48.542000000000002</v>
      </c>
      <c r="V68" s="166">
        <f t="shared" si="333"/>
        <v>48.591999999999999</v>
      </c>
      <c r="W68" s="167">
        <f t="shared" si="333"/>
        <v>104.95099999999999</v>
      </c>
      <c r="X68" s="166">
        <f t="shared" si="333"/>
        <v>282.91899999999998</v>
      </c>
      <c r="Y68" s="166">
        <f t="shared" si="333"/>
        <v>301.34699999999998</v>
      </c>
      <c r="Z68" s="166">
        <f t="shared" si="333"/>
        <v>315.24099999999999</v>
      </c>
      <c r="AA68" s="167">
        <f t="shared" ref="AA68:AM68" si="334">SUM(AA64:AA67)</f>
        <v>336.74599999999998</v>
      </c>
      <c r="AB68" s="166">
        <f t="shared" si="334"/>
        <v>347.06199999999995</v>
      </c>
      <c r="AC68" s="166">
        <f t="shared" si="334"/>
        <v>380.01799999999997</v>
      </c>
      <c r="AD68" s="166">
        <f t="shared" si="334"/>
        <v>371.74599999999998</v>
      </c>
      <c r="AE68" s="167">
        <f t="shared" si="334"/>
        <v>339.24799999999999</v>
      </c>
      <c r="AF68" s="166">
        <f t="shared" si="334"/>
        <v>326.553</v>
      </c>
      <c r="AG68" s="166">
        <f t="shared" si="334"/>
        <v>337.56399999999996</v>
      </c>
      <c r="AH68" s="166">
        <f t="shared" si="334"/>
        <v>362.30600000000004</v>
      </c>
      <c r="AI68" s="167">
        <f t="shared" si="334"/>
        <v>440.88400000000001</v>
      </c>
      <c r="AJ68" s="166">
        <f t="shared" si="334"/>
        <v>558.08000000000004</v>
      </c>
      <c r="AK68" s="166">
        <f t="shared" si="334"/>
        <v>638.15300000000002</v>
      </c>
      <c r="AL68" s="166">
        <f t="shared" si="334"/>
        <v>746.36</v>
      </c>
      <c r="AM68" s="167">
        <f t="shared" si="334"/>
        <v>763.721</v>
      </c>
      <c r="AN68" s="166">
        <f t="shared" ref="AN68:AU68" si="335">SUM(AN64:AN67)</f>
        <v>775.60899999999992</v>
      </c>
      <c r="AO68" s="166">
        <f t="shared" si="335"/>
        <v>833.37</v>
      </c>
      <c r="AP68" s="166">
        <f t="shared" si="335"/>
        <v>845.34100000000001</v>
      </c>
      <c r="AQ68" s="167">
        <f t="shared" si="335"/>
        <v>694.92700000000002</v>
      </c>
      <c r="AR68" s="166">
        <f t="shared" si="335"/>
        <v>703.46199999999999</v>
      </c>
      <c r="AS68" s="166">
        <f>SUM(AS64:AS67)</f>
        <v>759.43799999999999</v>
      </c>
      <c r="AT68" s="166">
        <f>SUM(AT64:AT67)</f>
        <v>771.32999999999993</v>
      </c>
      <c r="AU68" s="167">
        <f t="shared" si="335"/>
        <v>686.495</v>
      </c>
      <c r="AV68" s="166">
        <f t="shared" ref="AV68:BG68" si="336">SUM(AV64:AV67)</f>
        <v>577.50800000000004</v>
      </c>
      <c r="AW68" s="166">
        <f t="shared" si="336"/>
        <v>399.61700000000002</v>
      </c>
      <c r="AX68" s="166">
        <f>SUM(AX64:AX67)</f>
        <v>413.60400000000004</v>
      </c>
      <c r="AY68" s="167">
        <f t="shared" ref="AY68:BA68" si="337">SUM(AY64:AY67)</f>
        <v>453.63299999999998</v>
      </c>
      <c r="AZ68" s="166">
        <f t="shared" si="337"/>
        <v>509.47900000000004</v>
      </c>
      <c r="BA68" s="166">
        <f t="shared" si="337"/>
        <v>5205.8060000000005</v>
      </c>
      <c r="BB68" s="166">
        <f t="shared" si="336"/>
        <v>5251.4960000000001</v>
      </c>
      <c r="BC68" s="167">
        <f t="shared" si="336"/>
        <v>5311.96</v>
      </c>
      <c r="BD68" s="166">
        <f t="shared" si="336"/>
        <v>5950.572000000001</v>
      </c>
      <c r="BE68" s="166">
        <f t="shared" si="336"/>
        <v>6026.2860000000019</v>
      </c>
      <c r="BF68" s="166">
        <f t="shared" si="336"/>
        <v>6102.0000000000018</v>
      </c>
      <c r="BG68" s="167">
        <f t="shared" si="336"/>
        <v>6177.7140000000018</v>
      </c>
      <c r="BH68" s="166">
        <f t="shared" ref="BH68:BK68" si="338">SUM(BH64:BH67)</f>
        <v>6253.4280000000017</v>
      </c>
      <c r="BI68" s="166">
        <f t="shared" si="338"/>
        <v>6329.1420000000016</v>
      </c>
      <c r="BJ68" s="166">
        <f t="shared" si="338"/>
        <v>6404.8560000000016</v>
      </c>
      <c r="BK68" s="167">
        <f t="shared" si="338"/>
        <v>6480.5700000000015</v>
      </c>
      <c r="BL68" s="166">
        <f t="shared" ref="BL68:BO68" si="339">SUM(BL64:BL67)</f>
        <v>6556.2840000000015</v>
      </c>
      <c r="BM68" s="166">
        <f t="shared" si="339"/>
        <v>6631.9980000000014</v>
      </c>
      <c r="BN68" s="166">
        <f t="shared" si="339"/>
        <v>6707.7120000000014</v>
      </c>
      <c r="BO68" s="167">
        <f t="shared" si="339"/>
        <v>6783.4260000000013</v>
      </c>
      <c r="BP68" s="23"/>
      <c r="BQ68" s="166">
        <f t="shared" ref="BQ68:BV68" si="340">SUM(BQ64:BQ67)</f>
        <v>441.34500000000003</v>
      </c>
      <c r="BR68" s="166">
        <f t="shared" si="340"/>
        <v>57.000999999999998</v>
      </c>
      <c r="BS68" s="166">
        <f t="shared" si="340"/>
        <v>50.56</v>
      </c>
      <c r="BT68" s="166">
        <f t="shared" si="340"/>
        <v>48.533000000000001</v>
      </c>
      <c r="BU68" s="166">
        <f t="shared" si="340"/>
        <v>104.95099999999999</v>
      </c>
      <c r="BV68" s="166">
        <f t="shared" si="340"/>
        <v>336.74599999999998</v>
      </c>
      <c r="BW68" s="166">
        <f>SUM(BW64:BW67)</f>
        <v>339.24799999999999</v>
      </c>
      <c r="BX68" s="166">
        <f t="shared" ref="BX68:CB68" si="341">SUM(BX64:BX67)</f>
        <v>440.88400000000001</v>
      </c>
      <c r="BY68" s="166">
        <f t="shared" si="341"/>
        <v>763.721</v>
      </c>
      <c r="BZ68" s="166">
        <f t="shared" si="341"/>
        <v>694.92700000000002</v>
      </c>
      <c r="CA68" s="166">
        <f t="shared" si="341"/>
        <v>686.495</v>
      </c>
      <c r="CB68" s="166">
        <f t="shared" si="341"/>
        <v>453.63299999999998</v>
      </c>
      <c r="CC68" s="166">
        <f>SUM(CC64:CC67)</f>
        <v>5311.96</v>
      </c>
      <c r="CD68" s="166">
        <f>SUM(CD64:CD67)</f>
        <v>6177.7140000000018</v>
      </c>
      <c r="CE68" s="166">
        <f>SUM(CE64:CE67)</f>
        <v>6480.5700000000015</v>
      </c>
      <c r="CF68" s="167">
        <f>SUM(CF64:CF67)</f>
        <v>6783.4260000000013</v>
      </c>
      <c r="CG68" s="23"/>
      <c r="CH68" s="168">
        <f t="shared" ref="CH68:CN68" si="342">SUM(CH64:CH67)</f>
        <v>378.58299999999997</v>
      </c>
      <c r="CI68" s="166">
        <f t="shared" si="342"/>
        <v>55.621000000000002</v>
      </c>
      <c r="CJ68" s="166">
        <f t="shared" si="342"/>
        <v>48.99</v>
      </c>
      <c r="CK68" s="166">
        <f t="shared" si="342"/>
        <v>48.539000000000001</v>
      </c>
      <c r="CL68" s="166">
        <f t="shared" si="342"/>
        <v>282.91899999999998</v>
      </c>
      <c r="CM68" s="166">
        <f t="shared" si="342"/>
        <v>347.06199999999995</v>
      </c>
      <c r="CN68" s="166">
        <f t="shared" si="342"/>
        <v>326.553</v>
      </c>
      <c r="CO68" s="166">
        <f t="shared" ref="CO68:CT68" si="343">SUM(CO64:CO67)</f>
        <v>558.08000000000004</v>
      </c>
      <c r="CP68" s="166">
        <f t="shared" si="343"/>
        <v>775.60899999999992</v>
      </c>
      <c r="CQ68" s="166">
        <f t="shared" si="343"/>
        <v>703.46199999999999</v>
      </c>
      <c r="CR68" s="166">
        <f t="shared" si="343"/>
        <v>577.50800000000004</v>
      </c>
      <c r="CS68" s="166">
        <f t="shared" si="343"/>
        <v>509.47900000000004</v>
      </c>
      <c r="CT68" s="166">
        <f t="shared" si="343"/>
        <v>5950.572000000001</v>
      </c>
      <c r="CU68" s="166">
        <f t="shared" ref="CU68:CV68" si="344">SUM(CU64:CU67)</f>
        <v>6253.4280000000017</v>
      </c>
      <c r="CV68" s="167">
        <f t="shared" si="344"/>
        <v>6556.2840000000015</v>
      </c>
      <c r="CW68" s="25"/>
    </row>
    <row r="69" spans="1:107" ht="14.25" customHeight="1">
      <c r="A69" s="8"/>
      <c r="B69" s="31"/>
      <c r="C69" s="32"/>
      <c r="D69" s="81"/>
      <c r="E69" s="82"/>
      <c r="F69" s="82"/>
      <c r="G69" s="83"/>
      <c r="H69" s="81"/>
      <c r="I69" s="82"/>
      <c r="J69" s="82"/>
      <c r="K69" s="83"/>
      <c r="L69" s="81"/>
      <c r="M69" s="82"/>
      <c r="N69" s="82"/>
      <c r="O69" s="83"/>
      <c r="P69" s="81"/>
      <c r="Q69" s="82"/>
      <c r="R69" s="82"/>
      <c r="S69" s="83"/>
      <c r="T69" s="81"/>
      <c r="U69" s="82"/>
      <c r="V69" s="82"/>
      <c r="W69" s="83"/>
      <c r="X69" s="82"/>
      <c r="Y69" s="82"/>
      <c r="Z69" s="82"/>
      <c r="AA69" s="83"/>
      <c r="AB69" s="82"/>
      <c r="AC69" s="82"/>
      <c r="AD69" s="82"/>
      <c r="AE69" s="83"/>
      <c r="AF69" s="82"/>
      <c r="AG69" s="82"/>
      <c r="AH69" s="82"/>
      <c r="AI69" s="83"/>
      <c r="AJ69" s="82"/>
      <c r="AK69" s="82"/>
      <c r="AL69" s="82"/>
      <c r="AM69" s="83"/>
      <c r="AN69" s="82"/>
      <c r="AO69" s="82"/>
      <c r="AP69" s="82"/>
      <c r="AQ69" s="162"/>
      <c r="AR69" s="82"/>
      <c r="AS69" s="82"/>
      <c r="AT69" s="82"/>
      <c r="AU69" s="162"/>
      <c r="AV69" s="82"/>
      <c r="AW69" s="82"/>
      <c r="AX69" s="82"/>
      <c r="AY69" s="162"/>
      <c r="AZ69" s="82"/>
      <c r="BA69" s="82"/>
      <c r="BB69" s="82"/>
      <c r="BC69" s="162"/>
      <c r="BD69" s="82"/>
      <c r="BE69" s="82"/>
      <c r="BF69" s="82"/>
      <c r="BG69" s="83"/>
      <c r="BH69" s="82"/>
      <c r="BI69" s="82"/>
      <c r="BJ69" s="82"/>
      <c r="BK69" s="83"/>
      <c r="BL69" s="82"/>
      <c r="BM69" s="82"/>
      <c r="BN69" s="82"/>
      <c r="BO69" s="83"/>
      <c r="BP69" s="23"/>
      <c r="BQ69" s="82"/>
      <c r="BR69" s="82"/>
      <c r="BS69" s="82"/>
      <c r="BT69" s="82"/>
      <c r="BU69" s="82"/>
      <c r="BV69" s="82"/>
      <c r="BW69" s="82"/>
      <c r="BX69" s="82"/>
      <c r="BY69" s="82"/>
      <c r="BZ69" s="82"/>
      <c r="CA69" s="82"/>
      <c r="CB69" s="82"/>
      <c r="CC69" s="82"/>
      <c r="CD69" s="82"/>
      <c r="CE69" s="82"/>
      <c r="CF69" s="83"/>
      <c r="CG69" s="23"/>
      <c r="CH69" s="81"/>
      <c r="CI69" s="82"/>
      <c r="CJ69" s="82"/>
      <c r="CK69" s="82"/>
      <c r="CL69" s="82"/>
      <c r="CM69" s="82"/>
      <c r="CN69" s="82"/>
      <c r="CO69" s="82"/>
      <c r="CP69" s="82"/>
      <c r="CQ69" s="82"/>
      <c r="CR69" s="82"/>
      <c r="CS69" s="82"/>
      <c r="CT69" s="82"/>
      <c r="CU69" s="82"/>
      <c r="CV69" s="162"/>
      <c r="CW69" s="25"/>
    </row>
    <row r="70" spans="1:107" ht="14.25" customHeight="1">
      <c r="A70" s="8"/>
      <c r="B70" s="99" t="s">
        <v>110</v>
      </c>
      <c r="C70" s="100"/>
      <c r="D70" s="84">
        <v>0</v>
      </c>
      <c r="E70" s="85">
        <v>0</v>
      </c>
      <c r="F70" s="85">
        <v>0</v>
      </c>
      <c r="G70" s="86">
        <v>0</v>
      </c>
      <c r="H70" s="84">
        <v>0</v>
      </c>
      <c r="I70" s="85">
        <v>0</v>
      </c>
      <c r="J70" s="85">
        <v>0</v>
      </c>
      <c r="K70" s="86">
        <v>0</v>
      </c>
      <c r="L70" s="84">
        <v>0</v>
      </c>
      <c r="M70" s="85">
        <v>0</v>
      </c>
      <c r="N70" s="85">
        <v>0</v>
      </c>
      <c r="O70" s="86">
        <v>0</v>
      </c>
      <c r="P70" s="84">
        <v>0</v>
      </c>
      <c r="Q70" s="85">
        <v>0</v>
      </c>
      <c r="R70" s="85">
        <v>0</v>
      </c>
      <c r="S70" s="86">
        <v>0</v>
      </c>
      <c r="T70" s="84">
        <v>0</v>
      </c>
      <c r="U70" s="85">
        <v>0</v>
      </c>
      <c r="V70" s="85">
        <v>0</v>
      </c>
      <c r="W70" s="86">
        <v>0</v>
      </c>
      <c r="X70" s="85">
        <v>0</v>
      </c>
      <c r="Y70" s="85">
        <v>0</v>
      </c>
      <c r="Z70" s="85">
        <v>0</v>
      </c>
      <c r="AA70" s="86">
        <v>0</v>
      </c>
      <c r="AB70" s="85">
        <v>0</v>
      </c>
      <c r="AC70" s="85">
        <v>0</v>
      </c>
      <c r="AD70" s="85">
        <v>0</v>
      </c>
      <c r="AE70" s="86">
        <v>0</v>
      </c>
      <c r="AF70" s="85">
        <v>0</v>
      </c>
      <c r="AG70" s="85">
        <f>AF70</f>
        <v>0</v>
      </c>
      <c r="AH70" s="85">
        <f>AG70</f>
        <v>0</v>
      </c>
      <c r="AI70" s="86">
        <v>0</v>
      </c>
      <c r="AJ70" s="85">
        <v>0</v>
      </c>
      <c r="AK70" s="85">
        <v>0</v>
      </c>
      <c r="AL70" s="85">
        <f>AK70</f>
        <v>0</v>
      </c>
      <c r="AM70" s="86">
        <v>0</v>
      </c>
      <c r="AN70" s="85">
        <v>0</v>
      </c>
      <c r="AO70" s="85">
        <v>0</v>
      </c>
      <c r="AP70" s="85">
        <v>0</v>
      </c>
      <c r="AQ70" s="86">
        <v>0</v>
      </c>
      <c r="AR70" s="85">
        <v>0</v>
      </c>
      <c r="AS70" s="85">
        <v>0</v>
      </c>
      <c r="AT70" s="85">
        <v>0</v>
      </c>
      <c r="AU70" s="86">
        <v>0</v>
      </c>
      <c r="AV70" s="85">
        <v>0</v>
      </c>
      <c r="AW70" s="85">
        <v>0</v>
      </c>
      <c r="AX70" s="85">
        <v>0</v>
      </c>
      <c r="AY70" s="86">
        <v>0</v>
      </c>
      <c r="AZ70" s="85">
        <v>0</v>
      </c>
      <c r="BA70" s="85">
        <v>0</v>
      </c>
      <c r="BB70" s="85">
        <v>0</v>
      </c>
      <c r="BC70" s="86">
        <v>0</v>
      </c>
      <c r="BD70" s="82">
        <v>0</v>
      </c>
      <c r="BE70" s="82">
        <v>0</v>
      </c>
      <c r="BF70" s="82">
        <v>0</v>
      </c>
      <c r="BG70" s="83">
        <v>0</v>
      </c>
      <c r="BH70" s="82">
        <v>0</v>
      </c>
      <c r="BI70" s="82">
        <v>0</v>
      </c>
      <c r="BJ70" s="82">
        <v>0</v>
      </c>
      <c r="BK70" s="83">
        <v>0</v>
      </c>
      <c r="BL70" s="82">
        <v>0</v>
      </c>
      <c r="BM70" s="82">
        <v>0</v>
      </c>
      <c r="BN70" s="82">
        <v>0</v>
      </c>
      <c r="BO70" s="83">
        <v>0</v>
      </c>
      <c r="BP70" s="23"/>
      <c r="BQ70" s="82">
        <f>G70</f>
        <v>0</v>
      </c>
      <c r="BR70" s="82">
        <f>K70</f>
        <v>0</v>
      </c>
      <c r="BS70" s="82">
        <f>O70</f>
        <v>0</v>
      </c>
      <c r="BT70" s="82">
        <f>S70</f>
        <v>0</v>
      </c>
      <c r="BU70" s="82">
        <f>W70</f>
        <v>0</v>
      </c>
      <c r="BV70" s="82">
        <f>AA70</f>
        <v>0</v>
      </c>
      <c r="BW70" s="82">
        <f>AE70</f>
        <v>0</v>
      </c>
      <c r="BX70" s="82">
        <f>AI70</f>
        <v>0</v>
      </c>
      <c r="BY70" s="82">
        <f>AM70</f>
        <v>0</v>
      </c>
      <c r="BZ70" s="82">
        <f>AQ70</f>
        <v>0</v>
      </c>
      <c r="CA70" s="82">
        <f>AU70</f>
        <v>0</v>
      </c>
      <c r="CB70" s="82">
        <f>AY70</f>
        <v>0</v>
      </c>
      <c r="CC70" s="82">
        <f>BC70</f>
        <v>0</v>
      </c>
      <c r="CD70" s="82">
        <f>BG70</f>
        <v>0</v>
      </c>
      <c r="CE70" s="82">
        <f>BK70</f>
        <v>0</v>
      </c>
      <c r="CF70" s="83">
        <f>BO70</f>
        <v>0</v>
      </c>
      <c r="CG70" s="23"/>
      <c r="CH70" s="81">
        <f>H70</f>
        <v>0</v>
      </c>
      <c r="CI70" s="82">
        <f>L70</f>
        <v>0</v>
      </c>
      <c r="CJ70" s="82">
        <f>P70</f>
        <v>0</v>
      </c>
      <c r="CK70" s="82">
        <f>T70</f>
        <v>0</v>
      </c>
      <c r="CL70" s="82">
        <f>X70</f>
        <v>0</v>
      </c>
      <c r="CM70" s="82">
        <f>AB70</f>
        <v>0</v>
      </c>
      <c r="CN70" s="82">
        <f>AF70</f>
        <v>0</v>
      </c>
      <c r="CO70" s="82">
        <f>AJ70</f>
        <v>0</v>
      </c>
      <c r="CP70" s="82">
        <f>AN70</f>
        <v>0</v>
      </c>
      <c r="CQ70" s="82">
        <f>AR70</f>
        <v>0</v>
      </c>
      <c r="CR70" s="82">
        <f>AV70</f>
        <v>0</v>
      </c>
      <c r="CS70" s="82">
        <f>AZ70</f>
        <v>0</v>
      </c>
      <c r="CT70" s="82">
        <f>BD70</f>
        <v>0</v>
      </c>
      <c r="CU70" s="82">
        <f>BH70</f>
        <v>0</v>
      </c>
      <c r="CV70" s="83">
        <f t="shared" ref="CV70:CV73" si="345">BL70</f>
        <v>0</v>
      </c>
      <c r="CW70" s="25"/>
    </row>
    <row r="71" spans="1:107" ht="14.25" customHeight="1">
      <c r="A71" s="8"/>
      <c r="B71" s="99" t="s">
        <v>213</v>
      </c>
      <c r="C71" s="100"/>
      <c r="D71" s="84">
        <v>0</v>
      </c>
      <c r="E71" s="85">
        <v>0</v>
      </c>
      <c r="F71" s="85">
        <v>0</v>
      </c>
      <c r="G71" s="86">
        <v>0</v>
      </c>
      <c r="H71" s="84">
        <v>0</v>
      </c>
      <c r="I71" s="85">
        <v>0</v>
      </c>
      <c r="J71" s="85">
        <v>0</v>
      </c>
      <c r="K71" s="86">
        <v>0</v>
      </c>
      <c r="L71" s="84">
        <v>0</v>
      </c>
      <c r="M71" s="85">
        <v>0</v>
      </c>
      <c r="N71" s="85">
        <v>0</v>
      </c>
      <c r="O71" s="86">
        <v>0</v>
      </c>
      <c r="P71" s="84">
        <v>0</v>
      </c>
      <c r="Q71" s="85">
        <v>0</v>
      </c>
      <c r="R71" s="85">
        <v>0</v>
      </c>
      <c r="S71" s="86">
        <v>0</v>
      </c>
      <c r="T71" s="84">
        <v>0</v>
      </c>
      <c r="U71" s="85">
        <v>0</v>
      </c>
      <c r="V71" s="85">
        <v>0</v>
      </c>
      <c r="W71" s="86">
        <v>0</v>
      </c>
      <c r="X71" s="85">
        <v>0</v>
      </c>
      <c r="Y71" s="85">
        <v>0</v>
      </c>
      <c r="Z71" s="85">
        <v>0</v>
      </c>
      <c r="AA71" s="86">
        <v>0</v>
      </c>
      <c r="AB71" s="85">
        <v>0</v>
      </c>
      <c r="AC71" s="85">
        <v>0</v>
      </c>
      <c r="AD71" s="85">
        <v>0</v>
      </c>
      <c r="AE71" s="86">
        <v>0</v>
      </c>
      <c r="AF71" s="85">
        <v>0</v>
      </c>
      <c r="AG71" s="85">
        <f>AF71</f>
        <v>0</v>
      </c>
      <c r="AH71" s="85">
        <f>AG71</f>
        <v>0</v>
      </c>
      <c r="AI71" s="86">
        <v>0</v>
      </c>
      <c r="AJ71" s="85">
        <v>0</v>
      </c>
      <c r="AK71" s="85">
        <v>0</v>
      </c>
      <c r="AL71" s="85">
        <f>AK71</f>
        <v>0</v>
      </c>
      <c r="AM71" s="86">
        <v>0</v>
      </c>
      <c r="AN71" s="85">
        <v>0</v>
      </c>
      <c r="AO71" s="85">
        <v>0</v>
      </c>
      <c r="AP71" s="85">
        <v>0</v>
      </c>
      <c r="AQ71" s="86">
        <v>0</v>
      </c>
      <c r="AR71" s="85">
        <v>0</v>
      </c>
      <c r="AS71" s="85">
        <v>0</v>
      </c>
      <c r="AT71" s="85">
        <v>0</v>
      </c>
      <c r="AU71" s="86">
        <v>0</v>
      </c>
      <c r="AV71" s="85">
        <v>0</v>
      </c>
      <c r="AW71" s="85">
        <v>0</v>
      </c>
      <c r="AX71" s="85">
        <v>0</v>
      </c>
      <c r="AY71" s="86">
        <v>0</v>
      </c>
      <c r="AZ71" s="85">
        <v>0</v>
      </c>
      <c r="BA71" s="85">
        <v>0</v>
      </c>
      <c r="BB71" s="85">
        <v>0</v>
      </c>
      <c r="BC71" s="86">
        <v>0</v>
      </c>
      <c r="BD71" s="82">
        <v>0</v>
      </c>
      <c r="BE71" s="82">
        <v>0</v>
      </c>
      <c r="BF71" s="82">
        <v>0</v>
      </c>
      <c r="BG71" s="83">
        <v>0</v>
      </c>
      <c r="BH71" s="82">
        <v>0</v>
      </c>
      <c r="BI71" s="82">
        <v>0</v>
      </c>
      <c r="BJ71" s="82">
        <v>0</v>
      </c>
      <c r="BK71" s="83">
        <v>0</v>
      </c>
      <c r="BL71" s="82">
        <v>0</v>
      </c>
      <c r="BM71" s="82">
        <v>0</v>
      </c>
      <c r="BN71" s="82">
        <v>0</v>
      </c>
      <c r="BO71" s="83">
        <v>0</v>
      </c>
      <c r="BP71" s="23"/>
      <c r="BQ71" s="82">
        <f>G71</f>
        <v>0</v>
      </c>
      <c r="BR71" s="82">
        <f>K71</f>
        <v>0</v>
      </c>
      <c r="BS71" s="82">
        <f>O71</f>
        <v>0</v>
      </c>
      <c r="BT71" s="82">
        <f>S71</f>
        <v>0</v>
      </c>
      <c r="BU71" s="82">
        <f>W71</f>
        <v>0</v>
      </c>
      <c r="BV71" s="82">
        <f>AA71</f>
        <v>0</v>
      </c>
      <c r="BW71" s="82">
        <f>AE71</f>
        <v>0</v>
      </c>
      <c r="BX71" s="82">
        <f>AI71</f>
        <v>0</v>
      </c>
      <c r="BY71" s="82">
        <f>AM71</f>
        <v>0</v>
      </c>
      <c r="BZ71" s="82">
        <f>AQ71</f>
        <v>0</v>
      </c>
      <c r="CA71" s="82">
        <f>AU71</f>
        <v>0</v>
      </c>
      <c r="CB71" s="82">
        <f>AY71</f>
        <v>0</v>
      </c>
      <c r="CC71" s="82">
        <f>BC71</f>
        <v>0</v>
      </c>
      <c r="CD71" s="82">
        <f>BG71</f>
        <v>0</v>
      </c>
      <c r="CE71" s="82">
        <f>BK71</f>
        <v>0</v>
      </c>
      <c r="CF71" s="83">
        <f>BO71</f>
        <v>0</v>
      </c>
      <c r="CG71" s="23"/>
      <c r="CH71" s="81">
        <f>H71</f>
        <v>0</v>
      </c>
      <c r="CI71" s="82">
        <f>L71</f>
        <v>0</v>
      </c>
      <c r="CJ71" s="82">
        <f>P71</f>
        <v>0</v>
      </c>
      <c r="CK71" s="82">
        <f>T71</f>
        <v>0</v>
      </c>
      <c r="CL71" s="82">
        <f>X71</f>
        <v>0</v>
      </c>
      <c r="CM71" s="82">
        <f>AB71</f>
        <v>0</v>
      </c>
      <c r="CN71" s="82">
        <f>AF71</f>
        <v>0</v>
      </c>
      <c r="CO71" s="82">
        <f>AJ71</f>
        <v>0</v>
      </c>
      <c r="CP71" s="82">
        <f>AN71</f>
        <v>0</v>
      </c>
      <c r="CQ71" s="82">
        <f>AR71</f>
        <v>0</v>
      </c>
      <c r="CR71" s="82">
        <f>AV71</f>
        <v>0</v>
      </c>
      <c r="CS71" s="82">
        <f>AZ71</f>
        <v>0</v>
      </c>
      <c r="CT71" s="82">
        <f>BD71</f>
        <v>0</v>
      </c>
      <c r="CU71" s="82">
        <f>BH71</f>
        <v>0</v>
      </c>
      <c r="CV71" s="83">
        <f t="shared" si="345"/>
        <v>0</v>
      </c>
      <c r="CW71" s="25"/>
    </row>
    <row r="72" spans="1:107" ht="14.25" customHeight="1">
      <c r="A72" s="8"/>
      <c r="B72" s="99" t="s">
        <v>111</v>
      </c>
      <c r="C72" s="100"/>
      <c r="D72" s="84">
        <v>3058.4949999999999</v>
      </c>
      <c r="E72" s="85">
        <v>3153.837</v>
      </c>
      <c r="F72" s="85">
        <v>3238.2069999999999</v>
      </c>
      <c r="G72" s="86">
        <v>3269.42</v>
      </c>
      <c r="H72" s="84">
        <v>3345.8829999999998</v>
      </c>
      <c r="I72" s="85">
        <v>3447.5129999999999</v>
      </c>
      <c r="J72" s="85">
        <v>3534.6750000000002</v>
      </c>
      <c r="K72" s="86">
        <v>3378.9989999999998</v>
      </c>
      <c r="L72" s="84">
        <v>3200.395</v>
      </c>
      <c r="M72" s="85">
        <v>2997.56</v>
      </c>
      <c r="N72" s="85">
        <v>2471.627</v>
      </c>
      <c r="O72" s="86">
        <v>2253.4830000000002</v>
      </c>
      <c r="P72" s="84">
        <v>2258.8110000000001</v>
      </c>
      <c r="Q72" s="85">
        <v>2228.4270000000001</v>
      </c>
      <c r="R72" s="85">
        <v>2320.462</v>
      </c>
      <c r="S72" s="86">
        <v>2419.9079999999999</v>
      </c>
      <c r="T72" s="84">
        <v>2397.779</v>
      </c>
      <c r="U72" s="85">
        <v>2401.875</v>
      </c>
      <c r="V72" s="85">
        <v>2426.58</v>
      </c>
      <c r="W72" s="86">
        <v>2434.4459999999999</v>
      </c>
      <c r="X72" s="85">
        <v>2496.0349999999999</v>
      </c>
      <c r="Y72" s="85">
        <v>2603.6190000000001</v>
      </c>
      <c r="Z72" s="85">
        <v>2737.1610000000001</v>
      </c>
      <c r="AA72" s="86">
        <v>2896.5659999999998</v>
      </c>
      <c r="AB72" s="85">
        <v>3052.8620000000001</v>
      </c>
      <c r="AC72" s="85">
        <v>3228.6889999999999</v>
      </c>
      <c r="AD72" s="85">
        <v>3373.6309999999999</v>
      </c>
      <c r="AE72" s="86">
        <v>3482.3339999999998</v>
      </c>
      <c r="AF72" s="85">
        <v>3547.3</v>
      </c>
      <c r="AG72" s="85">
        <v>3620.797</v>
      </c>
      <c r="AH72" s="85">
        <v>3701.0540000000001</v>
      </c>
      <c r="AI72" s="86">
        <v>3788.8690000000001</v>
      </c>
      <c r="AJ72" s="85">
        <v>3829.4119999999998</v>
      </c>
      <c r="AK72" s="85">
        <v>3889.4690000000001</v>
      </c>
      <c r="AL72" s="85">
        <v>3960.7849999999999</v>
      </c>
      <c r="AM72" s="86">
        <v>4056.4009999999998</v>
      </c>
      <c r="AN72" s="85">
        <v>4102.9629999999997</v>
      </c>
      <c r="AO72" s="85">
        <v>4174.6009999999997</v>
      </c>
      <c r="AP72" s="85">
        <v>4239.1090000000004</v>
      </c>
      <c r="AQ72" s="86">
        <v>4231.4960000000001</v>
      </c>
      <c r="AR72" s="85">
        <v>4295.1689999999999</v>
      </c>
      <c r="AS72" s="85">
        <v>4375.625</v>
      </c>
      <c r="AT72" s="85">
        <v>4466.5919999999996</v>
      </c>
      <c r="AU72" s="86">
        <v>4437.3149999999996</v>
      </c>
      <c r="AV72" s="85">
        <v>4477.1610000000001</v>
      </c>
      <c r="AW72" s="85">
        <v>4517.8090000000002</v>
      </c>
      <c r="AX72" s="85">
        <v>4619.2849999999999</v>
      </c>
      <c r="AY72" s="86">
        <v>4785.799</v>
      </c>
      <c r="AZ72" s="85">
        <v>4873.2449999999999</v>
      </c>
      <c r="BA72" s="85">
        <v>4827.4949999999999</v>
      </c>
      <c r="BB72" s="85">
        <v>4730.1459999999997</v>
      </c>
      <c r="BC72" s="86">
        <v>4910.9390000000003</v>
      </c>
      <c r="BD72" s="1126">
        <f>BC72+CFS!BD47+IS!BD91+CFS!BD48</f>
        <v>5004.4619999999995</v>
      </c>
      <c r="BE72" s="1126">
        <f>BD72+CFS!BE47+IS!BE91+CFS!BE48</f>
        <v>5188.6773764555592</v>
      </c>
      <c r="BF72" s="1126">
        <f>BE72+CFS!BF47+IS!BF91+CFS!BF48</f>
        <v>5540.4307232104957</v>
      </c>
      <c r="BG72" s="1127">
        <f>BF72+CFS!BG47+IS!BG91+CFS!BG48</f>
        <v>5919.6987729470966</v>
      </c>
      <c r="BH72" s="1126">
        <f>BG72+CFS!BH47+IS!BH91+CFS!BH48</f>
        <v>6221.0401279049092</v>
      </c>
      <c r="BI72" s="1126">
        <f>BH72+CFS!BI47+IS!BI91+CFS!BI48</f>
        <v>6566.682449977985</v>
      </c>
      <c r="BJ72" s="1126">
        <f>BI72+CFS!BJ47+IS!BJ91+CFS!BJ48</f>
        <v>6950.3027278459276</v>
      </c>
      <c r="BK72" s="1127">
        <f>BJ72+CFS!BK47+IS!BK91+CFS!BK48</f>
        <v>7371.3639475316841</v>
      </c>
      <c r="BL72" s="1126">
        <f>BK72+CFS!BL47+IS!BL91+CFS!BL48</f>
        <v>7730.8265149522604</v>
      </c>
      <c r="BM72" s="1126">
        <f>BL72+CFS!BM47+IS!BM91+CFS!BM48</f>
        <v>8134.2619324299276</v>
      </c>
      <c r="BN72" s="1126">
        <f>BM72+CFS!BN47+IS!BN91+CFS!BN48</f>
        <v>8572.933636483398</v>
      </c>
      <c r="BO72" s="1127">
        <f>BN72+CFS!BO47+IS!BO91+CFS!BO48</f>
        <v>9045.1439661755558</v>
      </c>
      <c r="BP72" s="23"/>
      <c r="BQ72" s="82">
        <f>G72</f>
        <v>3269.42</v>
      </c>
      <c r="BR72" s="82">
        <f>K72</f>
        <v>3378.9989999999998</v>
      </c>
      <c r="BS72" s="82">
        <f>O72</f>
        <v>2253.4830000000002</v>
      </c>
      <c r="BT72" s="82">
        <f>S72</f>
        <v>2419.9079999999999</v>
      </c>
      <c r="BU72" s="82">
        <f>W72</f>
        <v>2434.4459999999999</v>
      </c>
      <c r="BV72" s="82">
        <f>AA72</f>
        <v>2896.5659999999998</v>
      </c>
      <c r="BW72" s="82">
        <f>AE72</f>
        <v>3482.3339999999998</v>
      </c>
      <c r="BX72" s="82">
        <f>AI72</f>
        <v>3788.8690000000001</v>
      </c>
      <c r="BY72" s="82">
        <f>AM72</f>
        <v>4056.4009999999998</v>
      </c>
      <c r="BZ72" s="82">
        <f>AQ72</f>
        <v>4231.4960000000001</v>
      </c>
      <c r="CA72" s="82">
        <f>AU72</f>
        <v>4437.3149999999996</v>
      </c>
      <c r="CB72" s="82">
        <f>AY72</f>
        <v>4785.799</v>
      </c>
      <c r="CC72" s="82">
        <f>BC72</f>
        <v>4910.9390000000003</v>
      </c>
      <c r="CD72" s="82">
        <f>BG72</f>
        <v>5919.6987729470966</v>
      </c>
      <c r="CE72" s="82">
        <f>BK72</f>
        <v>7371.3639475316841</v>
      </c>
      <c r="CF72" s="83">
        <f>BO72</f>
        <v>9045.1439661755558</v>
      </c>
      <c r="CG72" s="23"/>
      <c r="CH72" s="81">
        <f>H72</f>
        <v>3345.8829999999998</v>
      </c>
      <c r="CI72" s="82">
        <f>L72</f>
        <v>3200.395</v>
      </c>
      <c r="CJ72" s="82">
        <f>P72</f>
        <v>2258.8110000000001</v>
      </c>
      <c r="CK72" s="82">
        <f>T72</f>
        <v>2397.779</v>
      </c>
      <c r="CL72" s="82">
        <f>X72</f>
        <v>2496.0349999999999</v>
      </c>
      <c r="CM72" s="82">
        <f>AB72</f>
        <v>3052.8620000000001</v>
      </c>
      <c r="CN72" s="82">
        <f>AF72</f>
        <v>3547.3</v>
      </c>
      <c r="CO72" s="82">
        <f>AJ72</f>
        <v>3829.4119999999998</v>
      </c>
      <c r="CP72" s="82">
        <f>AN72</f>
        <v>4102.9629999999997</v>
      </c>
      <c r="CQ72" s="82">
        <f>AR72</f>
        <v>4295.1689999999999</v>
      </c>
      <c r="CR72" s="82">
        <f>AV72</f>
        <v>4477.1610000000001</v>
      </c>
      <c r="CS72" s="82">
        <f>AZ72</f>
        <v>4873.2449999999999</v>
      </c>
      <c r="CT72" s="82">
        <f>BD72</f>
        <v>5004.4619999999995</v>
      </c>
      <c r="CU72" s="82">
        <f>BH72</f>
        <v>6221.0401279049092</v>
      </c>
      <c r="CV72" s="83">
        <f t="shared" si="345"/>
        <v>7730.8265149522604</v>
      </c>
      <c r="CW72" s="25"/>
    </row>
    <row r="73" spans="1:107" ht="14.25" customHeight="1">
      <c r="A73" s="8"/>
      <c r="B73" s="99" t="s">
        <v>112</v>
      </c>
      <c r="C73" s="100"/>
      <c r="D73" s="84">
        <v>-0.86799999999999999</v>
      </c>
      <c r="E73" s="85">
        <v>-6.7480000000000002</v>
      </c>
      <c r="F73" s="85">
        <v>-17.402999999999999</v>
      </c>
      <c r="G73" s="169">
        <v>-19.263999999999999</v>
      </c>
      <c r="H73" s="84">
        <v>-14.837</v>
      </c>
      <c r="I73" s="85">
        <v>-8.8209999999999997</v>
      </c>
      <c r="J73" s="85">
        <v>-6.2949999999999999</v>
      </c>
      <c r="K73" s="169">
        <v>-0.20699999999999999</v>
      </c>
      <c r="L73" s="84">
        <v>5.1909999999999998</v>
      </c>
      <c r="M73" s="85">
        <v>12.234999999999999</v>
      </c>
      <c r="N73" s="85">
        <v>13.114000000000001</v>
      </c>
      <c r="O73" s="169">
        <v>33.091000000000001</v>
      </c>
      <c r="P73" s="84">
        <v>31.452000000000002</v>
      </c>
      <c r="Q73" s="85">
        <v>27.100999999999999</v>
      </c>
      <c r="R73" s="85">
        <v>21.486999999999998</v>
      </c>
      <c r="S73" s="169">
        <v>-48.177999999999997</v>
      </c>
      <c r="T73" s="84">
        <v>-44.253</v>
      </c>
      <c r="U73" s="85">
        <v>-30.166</v>
      </c>
      <c r="V73" s="85">
        <v>-16.806999999999999</v>
      </c>
      <c r="W73" s="169">
        <v>-10.247999999999999</v>
      </c>
      <c r="X73" s="85">
        <v>-14.801</v>
      </c>
      <c r="Y73" s="85">
        <v>-14.715999999999999</v>
      </c>
      <c r="Z73" s="85">
        <v>-17.927</v>
      </c>
      <c r="AA73" s="86">
        <v>-33.594999999999999</v>
      </c>
      <c r="AB73" s="386">
        <v>-35.497</v>
      </c>
      <c r="AC73" s="85">
        <v>-26.709</v>
      </c>
      <c r="AD73" s="85">
        <v>-29.66</v>
      </c>
      <c r="AE73" s="86">
        <v>-26.169</v>
      </c>
      <c r="AF73" s="386">
        <v>-31.417999999999999</v>
      </c>
      <c r="AG73" s="386">
        <v>-33.220999999999997</v>
      </c>
      <c r="AH73" s="386">
        <v>-34.753999999999998</v>
      </c>
      <c r="AI73" s="169">
        <v>-64.394000000000005</v>
      </c>
      <c r="AJ73" s="386">
        <v>-63.695</v>
      </c>
      <c r="AK73" s="386">
        <v>-67.031999999999996</v>
      </c>
      <c r="AL73" s="386">
        <v>-63.908999999999999</v>
      </c>
      <c r="AM73" s="169">
        <v>-80.546000000000006</v>
      </c>
      <c r="AN73" s="386">
        <v>-82.936999999999998</v>
      </c>
      <c r="AO73" s="386">
        <v>-76.447999999999993</v>
      </c>
      <c r="AP73" s="386">
        <v>-77.253</v>
      </c>
      <c r="AQ73" s="169">
        <v>-168.52600000000001</v>
      </c>
      <c r="AR73" s="386">
        <v>-192.42099999999999</v>
      </c>
      <c r="AS73" s="386">
        <v>-170.85499999999999</v>
      </c>
      <c r="AT73" s="386">
        <v>-172.761</v>
      </c>
      <c r="AU73" s="169">
        <v>-50.850999999999999</v>
      </c>
      <c r="AV73" s="386">
        <v>-59.807000000000002</v>
      </c>
      <c r="AW73" s="386">
        <v>-43.725000000000001</v>
      </c>
      <c r="AX73" s="386">
        <v>-49.555999999999997</v>
      </c>
      <c r="AY73" s="169">
        <v>-73.813999999999993</v>
      </c>
      <c r="AZ73" s="386">
        <v>-76.293000000000006</v>
      </c>
      <c r="BA73" s="386">
        <v>-66.706000000000003</v>
      </c>
      <c r="BB73" s="386">
        <v>-58.741999999999997</v>
      </c>
      <c r="BC73" s="169">
        <v>-61.359000000000002</v>
      </c>
      <c r="BD73" s="1126">
        <f>BC73+CFS!BD18+CFS!BD17+CFS!BD14+CFS!BD20+CFS!BD21+CFS!BD38+CFS!BD54</f>
        <v>-607.255</v>
      </c>
      <c r="BE73" s="1126">
        <f>BD73+CFS!BE18+CFS!BE17+CFS!BE14+CFS!BE20+CFS!BE21+CFS!BE38+CFS!BE54</f>
        <v>-607.255</v>
      </c>
      <c r="BF73" s="1126">
        <f>BE73+CFS!BF18+CFS!BF17+CFS!BF14+CFS!BF20+CFS!BF21+CFS!BF38+CFS!BF54</f>
        <v>-607.255</v>
      </c>
      <c r="BG73" s="1127">
        <f>BF73+CFS!BG18+CFS!BG17+CFS!BG14+CFS!BG20+CFS!BG21+CFS!BG38+CFS!BG54</f>
        <v>-607.255</v>
      </c>
      <c r="BH73" s="1126">
        <f>BG73+CFS!BH18+CFS!BH17+CFS!BH14+CFS!BH20+CFS!BH21+CFS!BH38+CFS!BH54</f>
        <v>-607.255</v>
      </c>
      <c r="BI73" s="1126">
        <f>BH73+CFS!BI18+CFS!BI17+CFS!BI14+CFS!BI20+CFS!BI21+CFS!BI38+CFS!BI54</f>
        <v>-607.255</v>
      </c>
      <c r="BJ73" s="1126">
        <f>BI73+CFS!BJ18+CFS!BJ17+CFS!BJ14+CFS!BJ20+CFS!BJ21+CFS!BJ38+CFS!BJ54</f>
        <v>-607.255</v>
      </c>
      <c r="BK73" s="1127">
        <f>BJ73+CFS!BK18+CFS!BK17+CFS!BK14+CFS!BK20+CFS!BK21+CFS!BK38+CFS!BK54</f>
        <v>-607.255</v>
      </c>
      <c r="BL73" s="1126">
        <f>BK73+CFS!BL18+CFS!BL17+CFS!BL14+CFS!BL20+CFS!BL21+CFS!BL38+CFS!BL54</f>
        <v>-607.255</v>
      </c>
      <c r="BM73" s="1126">
        <f>BL73+CFS!BM18+CFS!BM17+CFS!BM14+CFS!BM20+CFS!BM21+CFS!BM38+CFS!BM54</f>
        <v>-607.255</v>
      </c>
      <c r="BN73" s="1126">
        <f>BM73+CFS!BN18+CFS!BN17+CFS!BN14+CFS!BN20+CFS!BN21+CFS!BN38+CFS!BN54</f>
        <v>-607.255</v>
      </c>
      <c r="BO73" s="1127">
        <f>BN73+CFS!BO18+CFS!BO17+CFS!BO14+CFS!BO20+CFS!BO21+CFS!BO38+CFS!BO54</f>
        <v>-607.255</v>
      </c>
      <c r="BP73" s="23"/>
      <c r="BQ73" s="82">
        <f>G73</f>
        <v>-19.263999999999999</v>
      </c>
      <c r="BR73" s="82">
        <f>K73</f>
        <v>-0.20699999999999999</v>
      </c>
      <c r="BS73" s="82">
        <f>O73</f>
        <v>33.091000000000001</v>
      </c>
      <c r="BT73" s="82">
        <f>S73</f>
        <v>-48.177999999999997</v>
      </c>
      <c r="BU73" s="82">
        <f>W73</f>
        <v>-10.247999999999999</v>
      </c>
      <c r="BV73" s="82">
        <f>AA73</f>
        <v>-33.594999999999999</v>
      </c>
      <c r="BW73" s="82">
        <f>AE73</f>
        <v>-26.169</v>
      </c>
      <c r="BX73" s="82">
        <f>AI73</f>
        <v>-64.394000000000005</v>
      </c>
      <c r="BY73" s="82">
        <f>AM73</f>
        <v>-80.546000000000006</v>
      </c>
      <c r="BZ73" s="82">
        <f>AQ73</f>
        <v>-168.52600000000001</v>
      </c>
      <c r="CA73" s="82">
        <f>AU73</f>
        <v>-50.850999999999999</v>
      </c>
      <c r="CB73" s="82">
        <f>AY73</f>
        <v>-73.813999999999993</v>
      </c>
      <c r="CC73" s="82">
        <f>BC73</f>
        <v>-61.359000000000002</v>
      </c>
      <c r="CD73" s="82">
        <f>BG73</f>
        <v>-607.255</v>
      </c>
      <c r="CE73" s="82">
        <f>BK73</f>
        <v>-607.255</v>
      </c>
      <c r="CF73" s="83">
        <f>BO73</f>
        <v>-607.255</v>
      </c>
      <c r="CG73" s="23"/>
      <c r="CH73" s="81">
        <f>H73</f>
        <v>-14.837</v>
      </c>
      <c r="CI73" s="82">
        <f>L73</f>
        <v>5.1909999999999998</v>
      </c>
      <c r="CJ73" s="82">
        <f>P73</f>
        <v>31.452000000000002</v>
      </c>
      <c r="CK73" s="82">
        <f>T73</f>
        <v>-44.253</v>
      </c>
      <c r="CL73" s="82">
        <f>X73</f>
        <v>-14.801</v>
      </c>
      <c r="CM73" s="82">
        <f>AB73</f>
        <v>-35.497</v>
      </c>
      <c r="CN73" s="82">
        <f>AF73</f>
        <v>-31.417999999999999</v>
      </c>
      <c r="CO73" s="82">
        <f>AJ73</f>
        <v>-63.695</v>
      </c>
      <c r="CP73" s="82">
        <f>AN73</f>
        <v>-82.936999999999998</v>
      </c>
      <c r="CQ73" s="82">
        <f>AR73</f>
        <v>-192.42099999999999</v>
      </c>
      <c r="CR73" s="82">
        <f>AV73</f>
        <v>-59.807000000000002</v>
      </c>
      <c r="CS73" s="82">
        <f>AZ73</f>
        <v>-76.293000000000006</v>
      </c>
      <c r="CT73" s="82">
        <f>BD73</f>
        <v>-607.255</v>
      </c>
      <c r="CU73" s="82">
        <f>BH73</f>
        <v>-607.255</v>
      </c>
      <c r="CV73" s="83">
        <f t="shared" si="345"/>
        <v>-607.255</v>
      </c>
      <c r="CW73" s="25"/>
    </row>
    <row r="74" spans="1:107" ht="14.25" customHeight="1">
      <c r="A74" s="8"/>
      <c r="B74" s="136" t="s">
        <v>93</v>
      </c>
      <c r="C74" s="137"/>
      <c r="D74" s="131">
        <f t="shared" ref="D74:AF74" si="346">D68+SUM(D71:D73)</f>
        <v>3734.43</v>
      </c>
      <c r="E74" s="129">
        <f t="shared" si="346"/>
        <v>3715.8679999999999</v>
      </c>
      <c r="F74" s="129">
        <f t="shared" si="346"/>
        <v>3834.7190000000001</v>
      </c>
      <c r="G74" s="130">
        <f t="shared" si="346"/>
        <v>3691.5010000000002</v>
      </c>
      <c r="H74" s="131">
        <f t="shared" si="346"/>
        <v>3709.6289999999999</v>
      </c>
      <c r="I74" s="129">
        <f t="shared" si="346"/>
        <v>3642.931</v>
      </c>
      <c r="J74" s="129">
        <f t="shared" si="346"/>
        <v>3647.4340000000002</v>
      </c>
      <c r="K74" s="130">
        <f t="shared" si="346"/>
        <v>3435.7930000000001</v>
      </c>
      <c r="L74" s="131">
        <f t="shared" si="346"/>
        <v>3261.2069999999999</v>
      </c>
      <c r="M74" s="129">
        <f t="shared" si="346"/>
        <v>3064.3130000000001</v>
      </c>
      <c r="N74" s="129">
        <f t="shared" si="346"/>
        <v>2536.6059999999998</v>
      </c>
      <c r="O74" s="130">
        <f t="shared" si="346"/>
        <v>2337.134</v>
      </c>
      <c r="P74" s="131">
        <f t="shared" si="346"/>
        <v>2339.2530000000002</v>
      </c>
      <c r="Q74" s="129">
        <f t="shared" si="346"/>
        <v>2303.8820000000001</v>
      </c>
      <c r="R74" s="129">
        <f t="shared" si="346"/>
        <v>2390.3580000000002</v>
      </c>
      <c r="S74" s="130">
        <f t="shared" si="346"/>
        <v>2420.2629999999999</v>
      </c>
      <c r="T74" s="131">
        <f t="shared" si="346"/>
        <v>2402.0650000000001</v>
      </c>
      <c r="U74" s="129">
        <f t="shared" si="346"/>
        <v>2420.2509999999997</v>
      </c>
      <c r="V74" s="129">
        <f t="shared" si="346"/>
        <v>2458.3650000000002</v>
      </c>
      <c r="W74" s="130">
        <f t="shared" si="346"/>
        <v>2529.1489999999999</v>
      </c>
      <c r="X74" s="131">
        <f t="shared" si="346"/>
        <v>2764.1529999999998</v>
      </c>
      <c r="Y74" s="129">
        <f t="shared" si="346"/>
        <v>2890.25</v>
      </c>
      <c r="Z74" s="129">
        <f t="shared" si="346"/>
        <v>3034.4749999999999</v>
      </c>
      <c r="AA74" s="130">
        <f t="shared" si="346"/>
        <v>3199.7170000000001</v>
      </c>
      <c r="AB74" s="129">
        <f t="shared" si="346"/>
        <v>3364.4270000000001</v>
      </c>
      <c r="AC74" s="129">
        <f t="shared" si="346"/>
        <v>3581.998</v>
      </c>
      <c r="AD74" s="129">
        <f>AD68+SUM(AD71:AD73)</f>
        <v>3715.7170000000001</v>
      </c>
      <c r="AE74" s="130">
        <f t="shared" si="346"/>
        <v>3795.413</v>
      </c>
      <c r="AF74" s="129">
        <f t="shared" si="346"/>
        <v>3842.4349999999999</v>
      </c>
      <c r="AG74" s="129">
        <f t="shared" ref="AG74:AQ74" si="347">AG68+SUM(AG71:AG73)</f>
        <v>3925.14</v>
      </c>
      <c r="AH74" s="129">
        <f t="shared" si="347"/>
        <v>4028.6060000000002</v>
      </c>
      <c r="AI74" s="130">
        <f t="shared" si="347"/>
        <v>4165.3590000000004</v>
      </c>
      <c r="AJ74" s="129">
        <f t="shared" si="347"/>
        <v>4323.7969999999996</v>
      </c>
      <c r="AK74" s="129">
        <f t="shared" si="347"/>
        <v>4460.59</v>
      </c>
      <c r="AL74" s="129">
        <f t="shared" si="347"/>
        <v>4643.2359999999999</v>
      </c>
      <c r="AM74" s="130">
        <f t="shared" si="347"/>
        <v>4739.576</v>
      </c>
      <c r="AN74" s="129">
        <f t="shared" si="347"/>
        <v>4795.6350000000002</v>
      </c>
      <c r="AO74" s="129">
        <f t="shared" si="347"/>
        <v>4931.5229999999992</v>
      </c>
      <c r="AP74" s="129">
        <f t="shared" si="347"/>
        <v>5007.197000000001</v>
      </c>
      <c r="AQ74" s="130">
        <f t="shared" si="347"/>
        <v>4757.8969999999999</v>
      </c>
      <c r="AR74" s="129">
        <f t="shared" ref="AR74:AU74" si="348">AR68+SUM(AR71:AR73)</f>
        <v>4806.2099999999991</v>
      </c>
      <c r="AS74" s="129">
        <f t="shared" si="348"/>
        <v>4964.2080000000005</v>
      </c>
      <c r="AT74" s="129">
        <f t="shared" si="348"/>
        <v>5065.1609999999991</v>
      </c>
      <c r="AU74" s="130">
        <f t="shared" si="348"/>
        <v>5072.9589999999998</v>
      </c>
      <c r="AV74" s="129">
        <f>AV68+SUM(AV71:AV73)</f>
        <v>4994.8620000000001</v>
      </c>
      <c r="AW74" s="129">
        <f>AW68+SUM(AW71:AW73)</f>
        <v>4873.701</v>
      </c>
      <c r="AX74" s="129">
        <f>AX68+SUM(AX71:AX73)</f>
        <v>4983.3330000000005</v>
      </c>
      <c r="AY74" s="130">
        <f t="shared" ref="AY74" si="349">AY68+SUM(AY71:AY73)</f>
        <v>5165.6179999999995</v>
      </c>
      <c r="AZ74" s="129">
        <f>AZ68+SUM(AZ71:AZ73)</f>
        <v>5306.4310000000005</v>
      </c>
      <c r="BA74" s="129">
        <f t="shared" ref="BA74" si="350">BA68+SUM(BA71:BA73)</f>
        <v>9966.5950000000012</v>
      </c>
      <c r="BB74" s="129">
        <f t="shared" ref="BB74:BG74" si="351">BB68+SUM(BB71:BB73)</f>
        <v>9922.9</v>
      </c>
      <c r="BC74" s="130">
        <f t="shared" si="351"/>
        <v>10161.540000000001</v>
      </c>
      <c r="BD74" s="129">
        <f t="shared" si="351"/>
        <v>10347.779</v>
      </c>
      <c r="BE74" s="129">
        <f t="shared" si="351"/>
        <v>10607.708376455561</v>
      </c>
      <c r="BF74" s="129">
        <f t="shared" si="351"/>
        <v>11035.175723210497</v>
      </c>
      <c r="BG74" s="130">
        <f t="shared" si="351"/>
        <v>11490.157772947099</v>
      </c>
      <c r="BH74" s="129">
        <f t="shared" ref="BH74:BK74" si="352">BH68+SUM(BH71:BH73)</f>
        <v>11867.21312790491</v>
      </c>
      <c r="BI74" s="129">
        <f t="shared" si="352"/>
        <v>12288.569449977986</v>
      </c>
      <c r="BJ74" s="129">
        <f t="shared" si="352"/>
        <v>12747.903727845929</v>
      </c>
      <c r="BK74" s="130">
        <f t="shared" si="352"/>
        <v>13244.678947531685</v>
      </c>
      <c r="BL74" s="129">
        <f t="shared" ref="BL74:BO74" si="353">BL68+SUM(BL71:BL73)</f>
        <v>13679.855514952262</v>
      </c>
      <c r="BM74" s="129">
        <f t="shared" si="353"/>
        <v>14159.004932429929</v>
      </c>
      <c r="BN74" s="129">
        <f t="shared" si="353"/>
        <v>14673.3906364834</v>
      </c>
      <c r="BO74" s="130">
        <f t="shared" si="353"/>
        <v>15221.314966175558</v>
      </c>
      <c r="BP74" s="23"/>
      <c r="BQ74" s="129">
        <f t="shared" ref="BQ74:CB74" si="354">BQ68+SUM(BQ71:BQ73)</f>
        <v>3691.5010000000002</v>
      </c>
      <c r="BR74" s="129">
        <f t="shared" si="354"/>
        <v>3435.7930000000001</v>
      </c>
      <c r="BS74" s="129">
        <f t="shared" si="354"/>
        <v>2337.134</v>
      </c>
      <c r="BT74" s="129">
        <f t="shared" si="354"/>
        <v>2420.2629999999999</v>
      </c>
      <c r="BU74" s="129">
        <f t="shared" si="354"/>
        <v>2529.1489999999999</v>
      </c>
      <c r="BV74" s="129">
        <f t="shared" si="354"/>
        <v>3199.7170000000001</v>
      </c>
      <c r="BW74" s="129">
        <f t="shared" si="354"/>
        <v>3795.413</v>
      </c>
      <c r="BX74" s="129">
        <f t="shared" si="354"/>
        <v>4165.3590000000004</v>
      </c>
      <c r="BY74" s="129">
        <f t="shared" si="354"/>
        <v>4739.576</v>
      </c>
      <c r="BZ74" s="129">
        <f t="shared" si="354"/>
        <v>4757.8969999999999</v>
      </c>
      <c r="CA74" s="129">
        <f t="shared" si="354"/>
        <v>5072.9589999999998</v>
      </c>
      <c r="CB74" s="129">
        <f t="shared" si="354"/>
        <v>5165.6179999999995</v>
      </c>
      <c r="CC74" s="129">
        <f>CC68+SUM(CC71:CC73)</f>
        <v>10161.540000000001</v>
      </c>
      <c r="CD74" s="129">
        <f>CD68+SUM(CD71:CD73)</f>
        <v>11490.157772947099</v>
      </c>
      <c r="CE74" s="129">
        <f>CE68+SUM(CE71:CE73)</f>
        <v>13244.678947531685</v>
      </c>
      <c r="CF74" s="130">
        <f>CF68+SUM(CF71:CF73)</f>
        <v>15221.314966175558</v>
      </c>
      <c r="CG74" s="23"/>
      <c r="CH74" s="131">
        <f t="shared" ref="CH74:CR74" si="355">CH68+SUM(CH71:CH73)</f>
        <v>3709.6289999999999</v>
      </c>
      <c r="CI74" s="129">
        <f t="shared" si="355"/>
        <v>3261.2069999999999</v>
      </c>
      <c r="CJ74" s="129">
        <f t="shared" si="355"/>
        <v>2339.2530000000002</v>
      </c>
      <c r="CK74" s="129">
        <f t="shared" si="355"/>
        <v>2402.0650000000001</v>
      </c>
      <c r="CL74" s="129">
        <f t="shared" si="355"/>
        <v>2764.1529999999998</v>
      </c>
      <c r="CM74" s="129">
        <f t="shared" si="355"/>
        <v>3364.4270000000001</v>
      </c>
      <c r="CN74" s="129">
        <f t="shared" si="355"/>
        <v>3842.4349999999999</v>
      </c>
      <c r="CO74" s="129">
        <f t="shared" si="355"/>
        <v>4323.7969999999996</v>
      </c>
      <c r="CP74" s="129">
        <f t="shared" si="355"/>
        <v>4795.6350000000002</v>
      </c>
      <c r="CQ74" s="129">
        <f t="shared" si="355"/>
        <v>4806.2099999999991</v>
      </c>
      <c r="CR74" s="129">
        <f t="shared" si="355"/>
        <v>4994.8620000000001</v>
      </c>
      <c r="CS74" s="129">
        <f>CS68+SUM(CS71:CS73)</f>
        <v>5306.4310000000005</v>
      </c>
      <c r="CT74" s="129">
        <f>CT68+SUM(CT71:CT73)</f>
        <v>10347.779</v>
      </c>
      <c r="CU74" s="129">
        <f>CU68+SUM(CU71:CU73)</f>
        <v>11867.21312790491</v>
      </c>
      <c r="CV74" s="130">
        <f>CV68+SUM(CV71:CV73)</f>
        <v>13679.855514952262</v>
      </c>
      <c r="CW74" s="25"/>
    </row>
    <row r="75" spans="1:107" ht="14.25" customHeight="1">
      <c r="A75" s="8"/>
      <c r="B75" s="170"/>
      <c r="C75" s="170"/>
      <c r="D75" s="82"/>
      <c r="E75" s="82"/>
      <c r="F75" s="82"/>
      <c r="G75" s="171"/>
      <c r="H75" s="82"/>
      <c r="I75" s="82"/>
      <c r="J75" s="82"/>
      <c r="K75" s="82"/>
      <c r="L75" s="82"/>
      <c r="M75" s="82"/>
      <c r="N75" s="82"/>
      <c r="O75" s="82"/>
      <c r="P75" s="82"/>
      <c r="Q75" s="82"/>
      <c r="R75" s="82"/>
      <c r="S75" s="82"/>
      <c r="T75" s="82"/>
      <c r="U75" s="82"/>
      <c r="V75" s="82"/>
      <c r="W75" s="82"/>
      <c r="X75" s="82"/>
      <c r="Y75" s="82"/>
      <c r="Z75" s="82"/>
      <c r="AA75" s="171"/>
      <c r="AB75" s="82"/>
      <c r="AC75" s="82"/>
      <c r="AD75" s="82"/>
      <c r="AE75" s="171"/>
      <c r="AF75" s="82"/>
      <c r="AG75" s="82"/>
      <c r="AH75" s="82"/>
      <c r="AI75" s="171"/>
      <c r="AJ75" s="82"/>
      <c r="AK75" s="82"/>
      <c r="AL75" s="82"/>
      <c r="AM75" s="171"/>
      <c r="AN75" s="82"/>
      <c r="AO75" s="82"/>
      <c r="AP75" s="82"/>
      <c r="AQ75" s="171"/>
      <c r="AR75" s="82"/>
      <c r="AS75" s="82"/>
      <c r="AT75" s="82"/>
      <c r="AU75" s="171"/>
      <c r="AV75" s="82"/>
      <c r="AW75" s="82"/>
      <c r="AX75" s="82"/>
      <c r="AY75" s="171"/>
      <c r="AZ75" s="82"/>
      <c r="BA75" s="82"/>
      <c r="BB75" s="82"/>
      <c r="BC75" s="171"/>
      <c r="BD75" s="82"/>
      <c r="BE75" s="82"/>
      <c r="BF75" s="82"/>
      <c r="BG75" s="171"/>
      <c r="BH75" s="82"/>
      <c r="BI75" s="82"/>
      <c r="BJ75" s="82"/>
      <c r="BK75" s="171"/>
      <c r="BL75" s="82"/>
      <c r="BM75" s="82"/>
      <c r="BN75" s="82"/>
      <c r="BO75" s="171"/>
      <c r="BP75" s="17"/>
      <c r="BQ75" s="82"/>
      <c r="BR75" s="82"/>
      <c r="BS75" s="82"/>
      <c r="BT75" s="82"/>
      <c r="BU75" s="82"/>
      <c r="BV75" s="82"/>
      <c r="BW75" s="82"/>
      <c r="BX75" s="82"/>
      <c r="BY75" s="82"/>
      <c r="BZ75" s="82"/>
      <c r="CA75" s="82"/>
      <c r="CB75" s="82"/>
      <c r="CC75" s="82"/>
      <c r="CD75" s="82"/>
      <c r="CE75" s="82"/>
      <c r="CF75" s="82"/>
      <c r="CG75" s="8"/>
      <c r="CH75" s="82"/>
      <c r="CI75" s="82"/>
      <c r="CJ75" s="82"/>
      <c r="CK75" s="82"/>
      <c r="CL75" s="82"/>
      <c r="CM75" s="82"/>
      <c r="CN75" s="82"/>
      <c r="CO75" s="82"/>
      <c r="CP75" s="82"/>
      <c r="CQ75" s="82"/>
      <c r="CR75" s="82"/>
      <c r="CS75" s="82"/>
      <c r="CT75" s="82"/>
      <c r="CU75" s="82"/>
      <c r="CV75" s="82"/>
      <c r="CW75" s="8"/>
    </row>
    <row r="76" spans="1:107" ht="14.25" customHeight="1">
      <c r="A76" s="8"/>
      <c r="B76" s="75" t="s">
        <v>113</v>
      </c>
      <c r="C76" s="76"/>
      <c r="D76" s="172">
        <f t="shared" ref="D76:AA76" si="356">D45</f>
        <v>3734.43</v>
      </c>
      <c r="E76" s="172">
        <f t="shared" si="356"/>
        <v>3715.8679999999999</v>
      </c>
      <c r="F76" s="172">
        <f t="shared" si="356"/>
        <v>3834.7190000000001</v>
      </c>
      <c r="G76" s="173">
        <f t="shared" si="356"/>
        <v>3691.5010000000002</v>
      </c>
      <c r="H76" s="172">
        <f t="shared" si="356"/>
        <v>3709.6289999999999</v>
      </c>
      <c r="I76" s="172">
        <f t="shared" si="356"/>
        <v>3642.931</v>
      </c>
      <c r="J76" s="172">
        <f t="shared" si="356"/>
        <v>3647.4340000000002</v>
      </c>
      <c r="K76" s="173">
        <f t="shared" si="356"/>
        <v>3435.7930000000001</v>
      </c>
      <c r="L76" s="172">
        <f t="shared" si="356"/>
        <v>3261.2069999999999</v>
      </c>
      <c r="M76" s="172">
        <f t="shared" si="356"/>
        <v>3064.3130000000001</v>
      </c>
      <c r="N76" s="172">
        <f t="shared" si="356"/>
        <v>2536.6060000000002</v>
      </c>
      <c r="O76" s="173">
        <f t="shared" si="356"/>
        <v>2337.134</v>
      </c>
      <c r="P76" s="172">
        <f t="shared" si="356"/>
        <v>2339.2530000000002</v>
      </c>
      <c r="Q76" s="172">
        <f t="shared" si="356"/>
        <v>2303.8820000000001</v>
      </c>
      <c r="R76" s="172">
        <f t="shared" si="356"/>
        <v>2390.3580000000002</v>
      </c>
      <c r="S76" s="173">
        <f t="shared" si="356"/>
        <v>2420.2629999999999</v>
      </c>
      <c r="T76" s="172">
        <f t="shared" si="356"/>
        <v>2402.0650000000001</v>
      </c>
      <c r="U76" s="172">
        <f t="shared" si="356"/>
        <v>2420.2510000000002</v>
      </c>
      <c r="V76" s="172">
        <f t="shared" si="356"/>
        <v>2458.3649999999998</v>
      </c>
      <c r="W76" s="173">
        <f t="shared" si="356"/>
        <v>2529.1489999999999</v>
      </c>
      <c r="X76" s="174">
        <f t="shared" si="356"/>
        <v>2764.1529999999998</v>
      </c>
      <c r="Y76" s="172">
        <f t="shared" si="356"/>
        <v>2890.25</v>
      </c>
      <c r="Z76" s="172">
        <f t="shared" si="356"/>
        <v>3034.4749999999999</v>
      </c>
      <c r="AA76" s="175">
        <f t="shared" si="356"/>
        <v>3199.7170000000001</v>
      </c>
      <c r="AB76" s="172">
        <f>AB45</f>
        <v>3364.4270000000001</v>
      </c>
      <c r="AC76" s="172">
        <f t="shared" ref="AC76:AQ76" si="357">AC45</f>
        <v>3581.998</v>
      </c>
      <c r="AD76" s="172">
        <f t="shared" si="357"/>
        <v>3715.7170000000001</v>
      </c>
      <c r="AE76" s="175">
        <f t="shared" si="357"/>
        <v>3795.413</v>
      </c>
      <c r="AF76" s="172">
        <f>AF45</f>
        <v>3842.4349999999999</v>
      </c>
      <c r="AG76" s="172">
        <f t="shared" si="357"/>
        <v>3925.14</v>
      </c>
      <c r="AH76" s="172">
        <f>AH45</f>
        <v>4028.6060000000002</v>
      </c>
      <c r="AI76" s="173">
        <f t="shared" si="357"/>
        <v>4165.3590000000004</v>
      </c>
      <c r="AJ76" s="172">
        <f>AJ45</f>
        <v>4323.7969999999996</v>
      </c>
      <c r="AK76" s="172">
        <f t="shared" si="357"/>
        <v>4460.59</v>
      </c>
      <c r="AL76" s="172">
        <f>AL45</f>
        <v>4643.2359999999999</v>
      </c>
      <c r="AM76" s="173">
        <f>AM45</f>
        <v>4739.576</v>
      </c>
      <c r="AN76" s="172">
        <f t="shared" si="357"/>
        <v>4795.6350000000002</v>
      </c>
      <c r="AO76" s="172">
        <f t="shared" si="357"/>
        <v>4931.5230000000001</v>
      </c>
      <c r="AP76" s="172">
        <f t="shared" si="357"/>
        <v>5007.1970000000001</v>
      </c>
      <c r="AQ76" s="238">
        <f t="shared" si="357"/>
        <v>4757.8969999999999</v>
      </c>
      <c r="AR76" s="172">
        <f t="shared" ref="AR76:AW76" si="358">AR45</f>
        <v>4806.21</v>
      </c>
      <c r="AS76" s="172">
        <f t="shared" si="358"/>
        <v>4964.2079999999996</v>
      </c>
      <c r="AT76" s="172">
        <f t="shared" si="358"/>
        <v>5065.1610000000001</v>
      </c>
      <c r="AU76" s="238">
        <f t="shared" si="358"/>
        <v>5072.9589999999998</v>
      </c>
      <c r="AV76" s="172">
        <f>AV45</f>
        <v>4994.8620000000001</v>
      </c>
      <c r="AW76" s="172">
        <f t="shared" si="358"/>
        <v>4873.701</v>
      </c>
      <c r="AX76" s="172">
        <f>AX45</f>
        <v>4983.3329999999996</v>
      </c>
      <c r="AY76" s="173">
        <f t="shared" ref="AY76" si="359">AY45</f>
        <v>5165.6180000000004</v>
      </c>
      <c r="AZ76" s="172">
        <f>AZ45</f>
        <v>5306.4309999999996</v>
      </c>
      <c r="BA76" s="172">
        <f t="shared" ref="BA76" si="360">BA45</f>
        <v>9966.5949999999993</v>
      </c>
      <c r="BB76" s="172">
        <f t="shared" ref="BB76:BG76" si="361">BB45</f>
        <v>9922.9</v>
      </c>
      <c r="BC76" s="173">
        <f t="shared" si="361"/>
        <v>10161.540000000001</v>
      </c>
      <c r="BD76" s="172">
        <f t="shared" si="361"/>
        <v>10347.779</v>
      </c>
      <c r="BE76" s="172">
        <f t="shared" si="361"/>
        <v>10607.708376455561</v>
      </c>
      <c r="BF76" s="172">
        <f t="shared" si="361"/>
        <v>11035.175723210497</v>
      </c>
      <c r="BG76" s="173">
        <f t="shared" si="361"/>
        <v>11490.157772947099</v>
      </c>
      <c r="BH76" s="172">
        <f t="shared" ref="BH76:BK76" si="362">BH45</f>
        <v>11867.21312790491</v>
      </c>
      <c r="BI76" s="172">
        <f t="shared" si="362"/>
        <v>12288.569449977986</v>
      </c>
      <c r="BJ76" s="172">
        <f t="shared" si="362"/>
        <v>12747.903727845929</v>
      </c>
      <c r="BK76" s="173">
        <f t="shared" si="362"/>
        <v>13244.678947531685</v>
      </c>
      <c r="BL76" s="172">
        <f t="shared" ref="BL76:BO76" si="363">BL45</f>
        <v>13679.855514952262</v>
      </c>
      <c r="BM76" s="172">
        <f t="shared" si="363"/>
        <v>14159.004932429929</v>
      </c>
      <c r="BN76" s="172">
        <f t="shared" si="363"/>
        <v>14673.3906364834</v>
      </c>
      <c r="BO76" s="173">
        <f t="shared" si="363"/>
        <v>15221.314966175558</v>
      </c>
      <c r="BP76" s="176"/>
      <c r="BQ76" s="172">
        <f>G76</f>
        <v>3691.5010000000002</v>
      </c>
      <c r="BR76" s="172">
        <f>K76</f>
        <v>3435.7930000000001</v>
      </c>
      <c r="BS76" s="172">
        <f>O76</f>
        <v>2337.134</v>
      </c>
      <c r="BT76" s="172">
        <f>S76</f>
        <v>2420.2629999999999</v>
      </c>
      <c r="BU76" s="172">
        <f>W76</f>
        <v>2529.1489999999999</v>
      </c>
      <c r="BV76" s="172">
        <f>AA76</f>
        <v>3199.7170000000001</v>
      </c>
      <c r="BW76" s="172">
        <f>AE76</f>
        <v>3795.413</v>
      </c>
      <c r="BX76" s="238">
        <f>AI76</f>
        <v>4165.3590000000004</v>
      </c>
      <c r="BY76" s="172">
        <f>AM76</f>
        <v>4739.576</v>
      </c>
      <c r="BZ76" s="172">
        <f>AQ76</f>
        <v>4757.8969999999999</v>
      </c>
      <c r="CA76" s="172">
        <f>AU76</f>
        <v>5072.9589999999998</v>
      </c>
      <c r="CB76" s="172">
        <f>AY76</f>
        <v>5165.6180000000004</v>
      </c>
      <c r="CC76" s="172">
        <f>BC76</f>
        <v>10161.540000000001</v>
      </c>
      <c r="CD76" s="172">
        <f>BG76</f>
        <v>11490.157772947099</v>
      </c>
      <c r="CE76" s="172">
        <f>BK76</f>
        <v>13244.678947531685</v>
      </c>
      <c r="CF76" s="175">
        <f>BO76</f>
        <v>15221.314966175558</v>
      </c>
      <c r="CG76" s="23"/>
      <c r="CH76" s="174">
        <f>H76</f>
        <v>3709.6289999999999</v>
      </c>
      <c r="CI76" s="172">
        <f>L76</f>
        <v>3261.2069999999999</v>
      </c>
      <c r="CJ76" s="172">
        <f>P76</f>
        <v>2339.2530000000002</v>
      </c>
      <c r="CK76" s="172">
        <f>T76</f>
        <v>2402.0650000000001</v>
      </c>
      <c r="CL76" s="172">
        <f>X76</f>
        <v>2764.1529999999998</v>
      </c>
      <c r="CM76" s="172">
        <f>AB76</f>
        <v>3364.4270000000001</v>
      </c>
      <c r="CN76" s="172">
        <f>AF76</f>
        <v>3842.4349999999999</v>
      </c>
      <c r="CO76" s="172">
        <f>AJ76</f>
        <v>4323.7969999999996</v>
      </c>
      <c r="CP76" s="172">
        <f>AN76</f>
        <v>4795.6350000000002</v>
      </c>
      <c r="CQ76" s="172">
        <f>AR76</f>
        <v>4806.21</v>
      </c>
      <c r="CR76" s="172">
        <f>AV76</f>
        <v>4994.8620000000001</v>
      </c>
      <c r="CS76" s="172">
        <f>AZ76</f>
        <v>5306.4309999999996</v>
      </c>
      <c r="CT76" s="172">
        <f>BD76</f>
        <v>10347.779</v>
      </c>
      <c r="CU76" s="172">
        <f>BH76</f>
        <v>11867.21312790491</v>
      </c>
      <c r="CV76" s="175">
        <f>BL76</f>
        <v>13679.855514952262</v>
      </c>
      <c r="CW76" s="25"/>
    </row>
    <row r="77" spans="1:107" ht="14.25" customHeight="1">
      <c r="A77" s="8"/>
      <c r="B77" s="140" t="s">
        <v>95</v>
      </c>
      <c r="C77" s="141"/>
      <c r="D77" s="142">
        <f t="shared" ref="D77:AA77" si="364">ROUND(D76,4)-ROUND(D74,4)</f>
        <v>0</v>
      </c>
      <c r="E77" s="142">
        <f t="shared" si="364"/>
        <v>0</v>
      </c>
      <c r="F77" s="142">
        <f t="shared" si="364"/>
        <v>0</v>
      </c>
      <c r="G77" s="143">
        <f t="shared" si="364"/>
        <v>0</v>
      </c>
      <c r="H77" s="142">
        <f t="shared" si="364"/>
        <v>0</v>
      </c>
      <c r="I77" s="142">
        <f t="shared" si="364"/>
        <v>0</v>
      </c>
      <c r="J77" s="142">
        <f t="shared" si="364"/>
        <v>0</v>
      </c>
      <c r="K77" s="143">
        <f t="shared" si="364"/>
        <v>0</v>
      </c>
      <c r="L77" s="142">
        <f t="shared" si="364"/>
        <v>0</v>
      </c>
      <c r="M77" s="142">
        <f t="shared" si="364"/>
        <v>0</v>
      </c>
      <c r="N77" s="142">
        <f t="shared" si="364"/>
        <v>0</v>
      </c>
      <c r="O77" s="143">
        <f t="shared" si="364"/>
        <v>0</v>
      </c>
      <c r="P77" s="142">
        <f t="shared" si="364"/>
        <v>0</v>
      </c>
      <c r="Q77" s="142">
        <f t="shared" si="364"/>
        <v>0</v>
      </c>
      <c r="R77" s="142">
        <f t="shared" si="364"/>
        <v>0</v>
      </c>
      <c r="S77" s="143">
        <f t="shared" si="364"/>
        <v>0</v>
      </c>
      <c r="T77" s="142">
        <f t="shared" si="364"/>
        <v>0</v>
      </c>
      <c r="U77" s="142">
        <f t="shared" si="364"/>
        <v>0</v>
      </c>
      <c r="V77" s="142">
        <f t="shared" si="364"/>
        <v>0</v>
      </c>
      <c r="W77" s="143">
        <f t="shared" si="364"/>
        <v>0</v>
      </c>
      <c r="X77" s="142">
        <f t="shared" si="364"/>
        <v>0</v>
      </c>
      <c r="Y77" s="142">
        <f t="shared" si="364"/>
        <v>0</v>
      </c>
      <c r="Z77" s="177">
        <f t="shared" si="364"/>
        <v>0</v>
      </c>
      <c r="AA77" s="142">
        <f t="shared" si="364"/>
        <v>0</v>
      </c>
      <c r="AB77" s="144">
        <f t="shared" ref="AB77:AQ77" si="365">ROUND(AB76,4)-ROUND(AB74,4)</f>
        <v>0</v>
      </c>
      <c r="AC77" s="177">
        <f t="shared" si="365"/>
        <v>0</v>
      </c>
      <c r="AD77" s="177">
        <f t="shared" si="365"/>
        <v>0</v>
      </c>
      <c r="AE77" s="142">
        <f t="shared" si="365"/>
        <v>0</v>
      </c>
      <c r="AF77" s="144">
        <f t="shared" si="365"/>
        <v>0</v>
      </c>
      <c r="AG77" s="142">
        <f>ROUND(AG76,4)-ROUND(AG74,4)</f>
        <v>0</v>
      </c>
      <c r="AH77" s="142">
        <f>ROUND(AH76,4)-ROUND(AH74,4)</f>
        <v>0</v>
      </c>
      <c r="AI77" s="143">
        <f t="shared" si="365"/>
        <v>0</v>
      </c>
      <c r="AJ77" s="144">
        <f t="shared" si="365"/>
        <v>0</v>
      </c>
      <c r="AK77" s="142">
        <f t="shared" si="365"/>
        <v>0</v>
      </c>
      <c r="AL77" s="142">
        <f>ROUND(AL76,4)-ROUND(AL74,4)</f>
        <v>0</v>
      </c>
      <c r="AM77" s="143">
        <f t="shared" si="365"/>
        <v>0</v>
      </c>
      <c r="AN77" s="144">
        <f t="shared" si="365"/>
        <v>0</v>
      </c>
      <c r="AO77" s="142">
        <f t="shared" si="365"/>
        <v>0</v>
      </c>
      <c r="AP77" s="142">
        <f t="shared" si="365"/>
        <v>0</v>
      </c>
      <c r="AQ77" s="142">
        <f t="shared" si="365"/>
        <v>0</v>
      </c>
      <c r="AR77" s="144">
        <f t="shared" ref="AR77:AW77" si="366">ROUND(AR76,4)-ROUND(AR74,4)</f>
        <v>0</v>
      </c>
      <c r="AS77" s="142">
        <f t="shared" si="366"/>
        <v>0</v>
      </c>
      <c r="AT77" s="142">
        <f t="shared" si="366"/>
        <v>0</v>
      </c>
      <c r="AU77" s="142">
        <f t="shared" si="366"/>
        <v>0</v>
      </c>
      <c r="AV77" s="144">
        <f>ROUND(AV76,4)-ROUND(AV74,4)</f>
        <v>0</v>
      </c>
      <c r="AW77" s="142">
        <f t="shared" si="366"/>
        <v>0</v>
      </c>
      <c r="AX77" s="142">
        <f>ROUND(AX76,4)-ROUND(AX74,4)</f>
        <v>0</v>
      </c>
      <c r="AY77" s="143">
        <f t="shared" ref="AY77" si="367">ROUND(AY76,4)-ROUND(AY74,4)</f>
        <v>0</v>
      </c>
      <c r="AZ77" s="144">
        <f>ROUND(AZ76,4)-ROUND(AZ74,4)</f>
        <v>0</v>
      </c>
      <c r="BA77" s="142">
        <f t="shared" ref="BA77" si="368">ROUND(BA76,4)-ROUND(BA74,4)</f>
        <v>0</v>
      </c>
      <c r="BB77" s="142">
        <f t="shared" ref="BB77:BG77" si="369">ROUND(BB76,4)-ROUND(BB74,4)</f>
        <v>0</v>
      </c>
      <c r="BC77" s="143">
        <f t="shared" si="369"/>
        <v>0</v>
      </c>
      <c r="BD77" s="142">
        <f t="shared" si="369"/>
        <v>0</v>
      </c>
      <c r="BE77" s="142">
        <f t="shared" si="369"/>
        <v>0</v>
      </c>
      <c r="BF77" s="142">
        <f t="shared" si="369"/>
        <v>0</v>
      </c>
      <c r="BG77" s="143">
        <f t="shared" si="369"/>
        <v>0</v>
      </c>
      <c r="BH77" s="142">
        <f t="shared" ref="BH77:BK77" si="370">ROUND(BH76,4)-ROUND(BH74,4)</f>
        <v>0</v>
      </c>
      <c r="BI77" s="142">
        <f t="shared" si="370"/>
        <v>0</v>
      </c>
      <c r="BJ77" s="142">
        <f t="shared" si="370"/>
        <v>0</v>
      </c>
      <c r="BK77" s="143">
        <f t="shared" si="370"/>
        <v>0</v>
      </c>
      <c r="BL77" s="142">
        <f t="shared" ref="BL77:BO77" si="371">ROUND(BL76,4)-ROUND(BL74,4)</f>
        <v>0</v>
      </c>
      <c r="BM77" s="142">
        <f t="shared" si="371"/>
        <v>0</v>
      </c>
      <c r="BN77" s="142">
        <f t="shared" si="371"/>
        <v>0</v>
      </c>
      <c r="BO77" s="143">
        <f t="shared" si="371"/>
        <v>0</v>
      </c>
      <c r="BP77" s="176"/>
      <c r="BQ77" s="142">
        <f t="shared" ref="BQ77:BW77" si="372">ROUND(BQ76,4)-ROUND(BQ74,4)</f>
        <v>0</v>
      </c>
      <c r="BR77" s="142">
        <f t="shared" si="372"/>
        <v>0</v>
      </c>
      <c r="BS77" s="142">
        <f t="shared" si="372"/>
        <v>0</v>
      </c>
      <c r="BT77" s="142">
        <f t="shared" si="372"/>
        <v>0</v>
      </c>
      <c r="BU77" s="142">
        <f t="shared" si="372"/>
        <v>0</v>
      </c>
      <c r="BV77" s="142">
        <f t="shared" si="372"/>
        <v>0</v>
      </c>
      <c r="BW77" s="142">
        <f t="shared" si="372"/>
        <v>0</v>
      </c>
      <c r="BX77" s="142">
        <f t="shared" ref="BX77:CB77" si="373">ROUND(BX76,4)-ROUND(BX74,4)</f>
        <v>0</v>
      </c>
      <c r="BY77" s="142">
        <f t="shared" si="373"/>
        <v>0</v>
      </c>
      <c r="BZ77" s="142">
        <f t="shared" si="373"/>
        <v>0</v>
      </c>
      <c r="CA77" s="142">
        <f t="shared" si="373"/>
        <v>0</v>
      </c>
      <c r="CB77" s="142">
        <f t="shared" si="373"/>
        <v>0</v>
      </c>
      <c r="CC77" s="142">
        <f>ROUND(CC76,4)-ROUND(CC74,4)</f>
        <v>0</v>
      </c>
      <c r="CD77" s="142">
        <f>ROUND(CD76,4)-ROUND(CD74,4)</f>
        <v>0</v>
      </c>
      <c r="CE77" s="142">
        <f>ROUND(CE76,4)-ROUND(CE74,4)</f>
        <v>0</v>
      </c>
      <c r="CF77" s="143">
        <f>ROUND(CF76,4)-ROUND(CF74,4)</f>
        <v>0</v>
      </c>
      <c r="CG77" s="23"/>
      <c r="CH77" s="144">
        <f t="shared" ref="CH77:CN77" si="374">ROUND(CH76,4)-ROUND(CH74,4)</f>
        <v>0</v>
      </c>
      <c r="CI77" s="142">
        <f t="shared" si="374"/>
        <v>0</v>
      </c>
      <c r="CJ77" s="142">
        <f t="shared" si="374"/>
        <v>0</v>
      </c>
      <c r="CK77" s="142">
        <f t="shared" si="374"/>
        <v>0</v>
      </c>
      <c r="CL77" s="142">
        <f t="shared" si="374"/>
        <v>0</v>
      </c>
      <c r="CM77" s="142">
        <f t="shared" si="374"/>
        <v>0</v>
      </c>
      <c r="CN77" s="142">
        <f t="shared" si="374"/>
        <v>0</v>
      </c>
      <c r="CO77" s="142">
        <f t="shared" ref="CO77:CT77" si="375">ROUND(CO76,4)-ROUND(CO74,4)</f>
        <v>0</v>
      </c>
      <c r="CP77" s="142">
        <f t="shared" si="375"/>
        <v>0</v>
      </c>
      <c r="CQ77" s="142">
        <f t="shared" si="375"/>
        <v>0</v>
      </c>
      <c r="CR77" s="142">
        <f t="shared" si="375"/>
        <v>0</v>
      </c>
      <c r="CS77" s="142">
        <f t="shared" si="375"/>
        <v>0</v>
      </c>
      <c r="CT77" s="142">
        <f t="shared" si="375"/>
        <v>0</v>
      </c>
      <c r="CU77" s="142">
        <f t="shared" ref="CU77:CV77" si="376">ROUND(CU76,4)-ROUND(CU74,4)</f>
        <v>0</v>
      </c>
      <c r="CV77" s="143">
        <f t="shared" si="376"/>
        <v>0</v>
      </c>
      <c r="CW77" s="25"/>
    </row>
    <row r="78" spans="1:107" ht="14.25" customHeight="1">
      <c r="A78" s="8"/>
      <c r="B78" s="69"/>
      <c r="C78" s="70"/>
      <c r="D78" s="70"/>
      <c r="E78" s="70"/>
      <c r="F78" s="70"/>
      <c r="G78" s="70"/>
      <c r="H78" s="70"/>
      <c r="I78" s="70"/>
      <c r="J78" s="70"/>
      <c r="K78" s="70"/>
      <c r="L78" s="70"/>
      <c r="M78" s="70"/>
      <c r="N78" s="70"/>
      <c r="O78" s="70"/>
      <c r="P78" s="70"/>
      <c r="Q78" s="70"/>
      <c r="R78" s="70"/>
      <c r="S78" s="70"/>
      <c r="T78" s="70"/>
      <c r="U78" s="70"/>
      <c r="V78" s="70"/>
      <c r="W78" s="70"/>
      <c r="X78" s="70"/>
      <c r="Y78" s="70"/>
      <c r="Z78" s="70"/>
      <c r="AA78" s="70"/>
      <c r="AB78" s="70"/>
      <c r="AC78" s="70"/>
      <c r="AD78" s="70"/>
      <c r="AE78" s="70"/>
      <c r="AF78" s="70"/>
      <c r="AG78" s="70"/>
      <c r="AH78" s="70"/>
      <c r="AI78" s="69"/>
      <c r="AJ78" s="70"/>
      <c r="AK78" s="70"/>
      <c r="AL78" s="70"/>
      <c r="AM78" s="69"/>
      <c r="AN78" s="70"/>
      <c r="AO78" s="70"/>
      <c r="AP78" s="70"/>
      <c r="AQ78" s="69"/>
      <c r="AR78" s="70"/>
      <c r="AS78" s="70"/>
      <c r="AT78" s="70"/>
      <c r="AU78" s="69"/>
      <c r="AV78" s="70"/>
      <c r="AW78" s="70"/>
      <c r="AX78" s="70"/>
      <c r="AY78" s="69"/>
      <c r="AZ78" s="70"/>
      <c r="BA78" s="70"/>
      <c r="BB78" s="70"/>
      <c r="BC78" s="69"/>
      <c r="BD78" s="70"/>
      <c r="BE78" s="70"/>
      <c r="BF78" s="70"/>
      <c r="BG78" s="69"/>
      <c r="BH78" s="70"/>
      <c r="BI78" s="70"/>
      <c r="BJ78" s="70"/>
      <c r="BK78" s="69"/>
      <c r="BL78" s="70"/>
      <c r="BM78" s="70"/>
      <c r="BN78" s="70"/>
      <c r="BO78" s="69"/>
      <c r="BP78" s="8"/>
      <c r="BQ78" s="70"/>
      <c r="BR78" s="70"/>
      <c r="BS78" s="70"/>
      <c r="BT78" s="70"/>
      <c r="BU78" s="70"/>
      <c r="BV78" s="70"/>
      <c r="BW78" s="70"/>
      <c r="BX78" s="70"/>
      <c r="BY78" s="70"/>
      <c r="BZ78" s="70"/>
      <c r="CA78" s="70"/>
      <c r="CB78" s="70"/>
      <c r="CC78" s="70"/>
      <c r="CD78" s="70"/>
      <c r="CE78" s="70"/>
      <c r="CF78" s="70"/>
      <c r="CG78" s="8"/>
      <c r="CH78" s="70"/>
      <c r="CI78" s="70"/>
      <c r="CJ78" s="70"/>
      <c r="CK78" s="70"/>
      <c r="CL78" s="70"/>
      <c r="CM78" s="70"/>
      <c r="CN78" s="70"/>
      <c r="CO78" s="70"/>
      <c r="CP78" s="70"/>
      <c r="CQ78" s="70"/>
      <c r="CR78" s="70"/>
      <c r="CS78" s="70"/>
      <c r="CT78" s="70"/>
      <c r="CU78" s="70"/>
      <c r="CV78" s="70"/>
      <c r="CW78" s="8"/>
    </row>
    <row r="79" spans="1:107" ht="14.25" customHeight="1">
      <c r="A79" s="8"/>
      <c r="B79" s="74"/>
      <c r="C79" s="70"/>
      <c r="D79" s="178"/>
      <c r="E79" s="178"/>
      <c r="F79" s="70"/>
      <c r="G79" s="70"/>
      <c r="H79" s="178"/>
      <c r="I79" s="178"/>
      <c r="J79" s="70"/>
      <c r="K79" s="70"/>
      <c r="L79" s="178"/>
      <c r="M79" s="178"/>
      <c r="N79" s="70"/>
      <c r="O79" s="70"/>
      <c r="P79" s="178"/>
      <c r="Q79" s="178"/>
      <c r="R79" s="70"/>
      <c r="S79" s="70"/>
      <c r="T79" s="178"/>
      <c r="U79" s="178"/>
      <c r="V79" s="70"/>
      <c r="W79" s="70"/>
      <c r="X79" s="70"/>
      <c r="Y79" s="70"/>
      <c r="Z79" s="70"/>
      <c r="AA79" s="70"/>
      <c r="AB79" s="70"/>
      <c r="AC79" s="70"/>
      <c r="AD79" s="70"/>
      <c r="AE79" s="70"/>
      <c r="AF79" s="70"/>
      <c r="AG79" s="70"/>
      <c r="AH79" s="70"/>
      <c r="AI79" s="74"/>
      <c r="AJ79" s="70"/>
      <c r="AK79" s="70"/>
      <c r="AL79" s="70"/>
      <c r="AM79" s="74"/>
      <c r="AN79" s="70"/>
      <c r="AO79" s="70"/>
      <c r="AP79" s="70"/>
      <c r="AQ79" s="74"/>
      <c r="AR79" s="70"/>
      <c r="AS79" s="70"/>
      <c r="AT79" s="70"/>
      <c r="AU79" s="74"/>
      <c r="AV79" s="70"/>
      <c r="AW79" s="70"/>
      <c r="AX79" s="70"/>
      <c r="AY79" s="74"/>
      <c r="AZ79" s="70"/>
      <c r="BA79" s="70"/>
      <c r="BB79" s="70"/>
      <c r="BC79" s="74"/>
      <c r="BD79" s="70"/>
      <c r="BE79" s="70"/>
      <c r="BF79" s="70"/>
      <c r="BG79" s="74"/>
      <c r="BH79" s="70"/>
      <c r="BI79" s="70"/>
      <c r="BJ79" s="70"/>
      <c r="BK79" s="74"/>
      <c r="BL79" s="70"/>
      <c r="BM79" s="70"/>
      <c r="BN79" s="70"/>
      <c r="BO79" s="74"/>
      <c r="BP79" s="8"/>
      <c r="BQ79" s="70"/>
      <c r="BR79" s="70"/>
      <c r="BS79" s="70"/>
      <c r="BT79" s="70"/>
      <c r="BU79" s="70"/>
      <c r="BV79" s="70"/>
      <c r="BW79" s="70"/>
      <c r="BX79" s="70"/>
      <c r="BY79" s="70"/>
      <c r="BZ79" s="70"/>
      <c r="CA79" s="70"/>
      <c r="CB79" s="70"/>
      <c r="CC79" s="70"/>
      <c r="CD79" s="70"/>
      <c r="CE79" s="70"/>
      <c r="CF79" s="70"/>
      <c r="CG79" s="8"/>
      <c r="CH79" s="70"/>
      <c r="CI79" s="70"/>
      <c r="CJ79" s="70"/>
      <c r="CK79" s="70"/>
      <c r="CL79" s="70"/>
      <c r="CM79" s="70"/>
      <c r="CN79" s="70"/>
      <c r="CO79" s="70"/>
      <c r="CP79" s="70"/>
      <c r="CQ79" s="70"/>
      <c r="CR79" s="70"/>
      <c r="CS79" s="70"/>
      <c r="CT79" s="70"/>
      <c r="CU79" s="70"/>
      <c r="CV79" s="70"/>
      <c r="CW79" s="8"/>
    </row>
    <row r="80" spans="1:107" ht="14.25" customHeight="1">
      <c r="A80" s="8"/>
      <c r="B80" s="150" t="s">
        <v>114</v>
      </c>
      <c r="C80" s="151"/>
      <c r="D80" s="20" t="str">
        <f t="shared" ref="D80:AA80" si="377">D63</f>
        <v>F1Q05A</v>
      </c>
      <c r="E80" s="21" t="str">
        <f t="shared" si="377"/>
        <v>F2Q05A</v>
      </c>
      <c r="F80" s="21" t="str">
        <f t="shared" si="377"/>
        <v>F3Q05A</v>
      </c>
      <c r="G80" s="22" t="str">
        <f t="shared" si="377"/>
        <v>F4Q05A</v>
      </c>
      <c r="H80" s="20" t="str">
        <f t="shared" si="377"/>
        <v>F1Q06A</v>
      </c>
      <c r="I80" s="21" t="str">
        <f t="shared" si="377"/>
        <v>F2Q06A</v>
      </c>
      <c r="J80" s="21" t="str">
        <f t="shared" si="377"/>
        <v>F3Q06A</v>
      </c>
      <c r="K80" s="22" t="str">
        <f t="shared" si="377"/>
        <v>F4Q06A</v>
      </c>
      <c r="L80" s="20" t="str">
        <f t="shared" si="377"/>
        <v>F1Q07A</v>
      </c>
      <c r="M80" s="21" t="str">
        <f t="shared" si="377"/>
        <v>F2Q07A</v>
      </c>
      <c r="N80" s="21" t="str">
        <f t="shared" si="377"/>
        <v>F3Q07A</v>
      </c>
      <c r="O80" s="22" t="str">
        <f t="shared" si="377"/>
        <v>F4Q07A</v>
      </c>
      <c r="P80" s="20" t="str">
        <f t="shared" si="377"/>
        <v>F1Q08A</v>
      </c>
      <c r="Q80" s="21" t="str">
        <f t="shared" si="377"/>
        <v>F2Q08A</v>
      </c>
      <c r="R80" s="21" t="str">
        <f t="shared" si="377"/>
        <v>F3Q08A</v>
      </c>
      <c r="S80" s="22" t="str">
        <f t="shared" si="377"/>
        <v>F4Q08A</v>
      </c>
      <c r="T80" s="20" t="str">
        <f t="shared" si="377"/>
        <v>F1Q09A</v>
      </c>
      <c r="U80" s="21" t="str">
        <f t="shared" si="377"/>
        <v>F2Q09A</v>
      </c>
      <c r="V80" s="21" t="str">
        <f t="shared" si="377"/>
        <v>F3Q09A</v>
      </c>
      <c r="W80" s="22" t="str">
        <f t="shared" si="377"/>
        <v>F4Q09A</v>
      </c>
      <c r="X80" s="20" t="str">
        <f t="shared" si="377"/>
        <v>F1Q10A</v>
      </c>
      <c r="Y80" s="21" t="str">
        <f t="shared" si="377"/>
        <v>F2Q10A</v>
      </c>
      <c r="Z80" s="21" t="str">
        <f t="shared" si="377"/>
        <v>F3Q10A</v>
      </c>
      <c r="AA80" s="22" t="str">
        <f t="shared" si="377"/>
        <v>F4Q10A</v>
      </c>
      <c r="AB80" s="20" t="str">
        <f>AB63</f>
        <v>F1Q11A</v>
      </c>
      <c r="AC80" s="21" t="str">
        <f t="shared" ref="AC80:AQ80" si="378">AC63</f>
        <v>F2Q11A</v>
      </c>
      <c r="AD80" s="21" t="str">
        <f t="shared" si="378"/>
        <v>F3Q11A</v>
      </c>
      <c r="AE80" s="22" t="str">
        <f t="shared" si="378"/>
        <v>F4Q11A</v>
      </c>
      <c r="AF80" s="20" t="str">
        <f>AF63</f>
        <v>F1Q12A</v>
      </c>
      <c r="AG80" s="21" t="str">
        <f t="shared" si="378"/>
        <v>F2Q12A</v>
      </c>
      <c r="AH80" s="21" t="str">
        <f t="shared" si="378"/>
        <v>F3Q12A</v>
      </c>
      <c r="AI80" s="22" t="str">
        <f t="shared" si="378"/>
        <v>F4Q12A</v>
      </c>
      <c r="AJ80" s="20" t="str">
        <f t="shared" si="378"/>
        <v>F1Q13A</v>
      </c>
      <c r="AK80" s="21" t="str">
        <f t="shared" si="378"/>
        <v>F2Q13A</v>
      </c>
      <c r="AL80" s="21" t="str">
        <f t="shared" si="378"/>
        <v>F3Q13A</v>
      </c>
      <c r="AM80" s="22" t="str">
        <f t="shared" si="378"/>
        <v>F4Q13A</v>
      </c>
      <c r="AN80" s="20" t="str">
        <f t="shared" si="378"/>
        <v>F1Q14A</v>
      </c>
      <c r="AO80" s="21" t="str">
        <f t="shared" si="378"/>
        <v>F2Q14A</v>
      </c>
      <c r="AP80" s="21" t="str">
        <f t="shared" si="378"/>
        <v>F3Q14A</v>
      </c>
      <c r="AQ80" s="22" t="str">
        <f t="shared" si="378"/>
        <v>F4Q14A</v>
      </c>
      <c r="AR80" s="20" t="str">
        <f t="shared" ref="AR80:AW80" si="379">AR63</f>
        <v>F1Q15A</v>
      </c>
      <c r="AS80" s="21" t="str">
        <f t="shared" si="379"/>
        <v>F2Q15A</v>
      </c>
      <c r="AT80" s="21" t="str">
        <f t="shared" si="379"/>
        <v>F3Q15A</v>
      </c>
      <c r="AU80" s="22" t="str">
        <f t="shared" si="379"/>
        <v>F4Q15A</v>
      </c>
      <c r="AV80" s="20" t="str">
        <f>AV63</f>
        <v>F1Q16A</v>
      </c>
      <c r="AW80" s="21" t="str">
        <f t="shared" si="379"/>
        <v>F2Q16A</v>
      </c>
      <c r="AX80" s="21" t="str">
        <f>AX63</f>
        <v>F3Q16A</v>
      </c>
      <c r="AY80" s="22" t="str">
        <f t="shared" ref="AY80" si="380">AY63</f>
        <v>F4Q16A</v>
      </c>
      <c r="AZ80" s="1204" t="str">
        <f>AZ63</f>
        <v>F1Q17A</v>
      </c>
      <c r="BA80" s="1205" t="str">
        <f t="shared" ref="BA80:BG80" si="381">BA63</f>
        <v>F2Q17A</v>
      </c>
      <c r="BB80" s="21" t="str">
        <f t="shared" si="381"/>
        <v>F3Q17A</v>
      </c>
      <c r="BC80" s="22" t="str">
        <f t="shared" si="381"/>
        <v>F4Q17A</v>
      </c>
      <c r="BD80" s="21" t="str">
        <f t="shared" si="381"/>
        <v>F1Q18A</v>
      </c>
      <c r="BE80" s="21" t="str">
        <f t="shared" si="381"/>
        <v>F2Q18E</v>
      </c>
      <c r="BF80" s="21" t="str">
        <f t="shared" si="381"/>
        <v>F3Q18E</v>
      </c>
      <c r="BG80" s="22" t="str">
        <f t="shared" si="381"/>
        <v>F4Q18E</v>
      </c>
      <c r="BH80" s="1205" t="str">
        <f t="shared" ref="BH80:BK80" si="382">BH63</f>
        <v>F1Q19E</v>
      </c>
      <c r="BI80" s="1205" t="str">
        <f t="shared" si="382"/>
        <v>F2Q19E</v>
      </c>
      <c r="BJ80" s="1205" t="str">
        <f t="shared" si="382"/>
        <v>F3Q19E</v>
      </c>
      <c r="BK80" s="1206" t="str">
        <f t="shared" si="382"/>
        <v>F4Q19E</v>
      </c>
      <c r="BL80" s="1438" t="str">
        <f t="shared" ref="BL80:BO80" si="383">BL63</f>
        <v>F1Q20E</v>
      </c>
      <c r="BM80" s="1438" t="str">
        <f t="shared" si="383"/>
        <v>F2Q20E</v>
      </c>
      <c r="BN80" s="1438" t="str">
        <f t="shared" si="383"/>
        <v>F3Q20E</v>
      </c>
      <c r="BO80" s="1439" t="str">
        <f t="shared" si="383"/>
        <v>F4Q20E</v>
      </c>
      <c r="BP80" s="23"/>
      <c r="BQ80" s="643" t="str">
        <f t="shared" ref="BQ80:BW80" si="384">BQ63</f>
        <v>FY2005A</v>
      </c>
      <c r="BR80" s="21" t="str">
        <f t="shared" si="384"/>
        <v>FY2006A</v>
      </c>
      <c r="BS80" s="21" t="str">
        <f t="shared" si="384"/>
        <v>FY2007A</v>
      </c>
      <c r="BT80" s="21" t="str">
        <f t="shared" si="384"/>
        <v>FY2008A</v>
      </c>
      <c r="BU80" s="21" t="str">
        <f t="shared" si="384"/>
        <v>FY2009A</v>
      </c>
      <c r="BV80" s="21" t="str">
        <f t="shared" si="384"/>
        <v>FY2010A</v>
      </c>
      <c r="BW80" s="644" t="str">
        <f t="shared" si="384"/>
        <v>FY2011A</v>
      </c>
      <c r="BX80" s="21" t="str">
        <f t="shared" ref="BX80:BZ80" si="385">BX63</f>
        <v>FY2012A</v>
      </c>
      <c r="BY80" s="21" t="str">
        <f t="shared" si="385"/>
        <v>FY2013A</v>
      </c>
      <c r="BZ80" s="21" t="str">
        <f t="shared" si="385"/>
        <v>FY2014A</v>
      </c>
      <c r="CA80" s="21" t="str">
        <f t="shared" ref="CA80:CF80" si="386">CA63</f>
        <v>FY2015A</v>
      </c>
      <c r="CB80" s="21" t="str">
        <f t="shared" si="386"/>
        <v>FY2016A</v>
      </c>
      <c r="CC80" s="21" t="str">
        <f t="shared" si="386"/>
        <v>FY2017A</v>
      </c>
      <c r="CD80" s="1438" t="str">
        <f t="shared" si="386"/>
        <v>FY2018E</v>
      </c>
      <c r="CE80" s="1438" t="str">
        <f t="shared" si="386"/>
        <v>FY2019E</v>
      </c>
      <c r="CF80" s="1439" t="str">
        <f t="shared" si="386"/>
        <v>FY2020E</v>
      </c>
      <c r="CG80" s="23"/>
      <c r="CH80" s="643" t="str">
        <f t="shared" ref="CH80:CN80" si="387">CH63</f>
        <v>CY2005</v>
      </c>
      <c r="CI80" s="21" t="str">
        <f t="shared" si="387"/>
        <v>CY2006</v>
      </c>
      <c r="CJ80" s="21" t="str">
        <f t="shared" si="387"/>
        <v>CY2007</v>
      </c>
      <c r="CK80" s="21" t="str">
        <f t="shared" si="387"/>
        <v>CY2008</v>
      </c>
      <c r="CL80" s="21" t="str">
        <f t="shared" si="387"/>
        <v>CY2009</v>
      </c>
      <c r="CM80" s="21" t="str">
        <f t="shared" si="387"/>
        <v>CY2010</v>
      </c>
      <c r="CN80" s="21" t="str">
        <f t="shared" si="387"/>
        <v>CY2011</v>
      </c>
      <c r="CO80" s="21" t="str">
        <f t="shared" ref="CO80:CT80" si="388">CO63</f>
        <v>CY2012</v>
      </c>
      <c r="CP80" s="1438" t="str">
        <f t="shared" si="388"/>
        <v>CY2013</v>
      </c>
      <c r="CQ80" s="1438" t="str">
        <f t="shared" si="388"/>
        <v>CY2014</v>
      </c>
      <c r="CR80" s="1438" t="str">
        <f t="shared" si="388"/>
        <v>CY2015</v>
      </c>
      <c r="CS80" s="644" t="str">
        <f t="shared" si="388"/>
        <v>CY2016</v>
      </c>
      <c r="CT80" s="644" t="str">
        <f t="shared" si="388"/>
        <v>CY2017</v>
      </c>
      <c r="CU80" s="1399" t="str">
        <f t="shared" ref="CU80:CV80" si="389">CU63</f>
        <v>CY2018</v>
      </c>
      <c r="CV80" s="24" t="str">
        <f t="shared" si="389"/>
        <v>CY2019</v>
      </c>
      <c r="CW80" s="25"/>
    </row>
    <row r="81" spans="1:101" ht="14.25" customHeight="1">
      <c r="A81" s="759"/>
      <c r="B81" s="768" t="s">
        <v>476</v>
      </c>
      <c r="C81" s="761"/>
      <c r="D81" s="1042">
        <f>IS!D114</f>
        <v>388.10700000000003</v>
      </c>
      <c r="E81" s="1041">
        <f>IS!E114</f>
        <v>382.33699999999999</v>
      </c>
      <c r="F81" s="1041">
        <f>IS!F114</f>
        <v>382.83</v>
      </c>
      <c r="G81" s="762">
        <f>IS!G114</f>
        <v>380.60700000000003</v>
      </c>
      <c r="H81" s="1042">
        <f>IS!H114</f>
        <v>380.33699999999999</v>
      </c>
      <c r="I81" s="1041">
        <f>IS!I114</f>
        <v>376.81099999999998</v>
      </c>
      <c r="J81" s="1041">
        <f>IS!J114</f>
        <v>369.54199999999997</v>
      </c>
      <c r="K81" s="762">
        <f>IS!K114</f>
        <v>357.16399999999999</v>
      </c>
      <c r="L81" s="1042">
        <f>IS!L114</f>
        <v>349.20800000000003</v>
      </c>
      <c r="M81" s="1041">
        <f>IS!M114</f>
        <v>338.84</v>
      </c>
      <c r="N81" s="1041">
        <f>IS!N114</f>
        <v>327.33100000000002</v>
      </c>
      <c r="O81" s="762">
        <f>IS!O114</f>
        <v>313.82499999999999</v>
      </c>
      <c r="P81" s="1042">
        <f>IS!P114</f>
        <v>304.26</v>
      </c>
      <c r="Q81" s="1041">
        <f>IS!Q114</f>
        <v>295.36</v>
      </c>
      <c r="R81" s="1041">
        <f>IS!R114</f>
        <v>295.00099999999998</v>
      </c>
      <c r="S81" s="762">
        <f>IS!S114</f>
        <v>293.82</v>
      </c>
      <c r="T81" s="1042">
        <f>IS!T114</f>
        <v>291.24799999999999</v>
      </c>
      <c r="U81" s="1041">
        <f>IS!U114</f>
        <v>292.44600000000003</v>
      </c>
      <c r="V81" s="1041">
        <f>IS!V114</f>
        <v>293.084</v>
      </c>
      <c r="W81" s="762">
        <f>IS!W114</f>
        <v>294.01600000000002</v>
      </c>
      <c r="X81" s="1042">
        <f>IS!X114</f>
        <v>304.73</v>
      </c>
      <c r="Y81" s="1041">
        <f>IS!Y114</f>
        <v>305.83600000000001</v>
      </c>
      <c r="Z81" s="1041">
        <f>IS!Z114</f>
        <v>306.16800000000001</v>
      </c>
      <c r="AA81" s="762">
        <f>IS!AA114</f>
        <v>306.71100000000001</v>
      </c>
      <c r="AB81" s="1042">
        <f>IS!AB114</f>
        <v>308.84800000000001</v>
      </c>
      <c r="AC81" s="1041">
        <f>IS!AC114</f>
        <v>309.61900000000003</v>
      </c>
      <c r="AD81" s="1041">
        <f>IS!AD114</f>
        <v>308.74400000000003</v>
      </c>
      <c r="AE81" s="762">
        <f>IS!AE114</f>
        <v>305.73399999999998</v>
      </c>
      <c r="AF81" s="755">
        <f>IS!AF114</f>
        <v>305.53100000000001</v>
      </c>
      <c r="AG81" s="755">
        <f>IS!AG114</f>
        <v>305.92099999999999</v>
      </c>
      <c r="AH81" s="755">
        <f>IS!AH114</f>
        <v>305.35899999999998</v>
      </c>
      <c r="AI81" s="762">
        <f>IS!AI114</f>
        <v>307.95400000000001</v>
      </c>
      <c r="AJ81" s="755">
        <f>IS!AJ114</f>
        <v>310.27499999999998</v>
      </c>
      <c r="AK81" s="755">
        <f>IS!AK114</f>
        <v>313.36799999999999</v>
      </c>
      <c r="AL81" s="755">
        <f>IS!AL114</f>
        <v>315.30700000000002</v>
      </c>
      <c r="AM81" s="1041">
        <f>IS!AM114</f>
        <v>317.21600000000001</v>
      </c>
      <c r="AN81" s="1044">
        <f>IS!AN114</f>
        <v>318.017</v>
      </c>
      <c r="AO81" s="1041">
        <f>IS!AO114</f>
        <v>318.34699999999998</v>
      </c>
      <c r="AP81" s="1041">
        <f>IS!AP114</f>
        <v>318.87599999999998</v>
      </c>
      <c r="AQ81" s="762">
        <f>IS!AQ114</f>
        <v>316.86799999999999</v>
      </c>
      <c r="AR81" s="1044">
        <f>IS!AR114</f>
        <v>315.68400000000003</v>
      </c>
      <c r="AS81" s="1041">
        <f>IS!AS114</f>
        <v>317.04700000000003</v>
      </c>
      <c r="AT81" s="1041">
        <f>IS!AT114</f>
        <v>318.18700000000001</v>
      </c>
      <c r="AU81" s="762">
        <f>IS!AU114</f>
        <v>316.57100000000003</v>
      </c>
      <c r="AV81" s="1044">
        <f>IS!AV114</f>
        <v>314.79300000000001</v>
      </c>
      <c r="AW81" s="755">
        <f>IS!AW114</f>
        <v>312.25</v>
      </c>
      <c r="AX81" s="1041">
        <f>IS!AX114</f>
        <v>310.55799999999999</v>
      </c>
      <c r="AY81" s="762">
        <f>IS!AY114</f>
        <v>311.63299999999998</v>
      </c>
      <c r="AZ81" s="1044">
        <f>IS!AZ114</f>
        <v>313.07600000000002</v>
      </c>
      <c r="BA81" s="755">
        <f>IS!BA114</f>
        <v>345.654</v>
      </c>
      <c r="BB81" s="1041">
        <f>IS!BB114</f>
        <v>371.15899999999999</v>
      </c>
      <c r="BC81" s="762">
        <f>IS!BC114</f>
        <v>372.053</v>
      </c>
      <c r="BD81" s="755">
        <f>IS!BD114</f>
        <v>374.18900000000002</v>
      </c>
      <c r="BE81" s="755">
        <f>IS!BE114</f>
        <v>375.18900000000002</v>
      </c>
      <c r="BF81" s="755">
        <f>IS!BF114</f>
        <v>376.18900000000002</v>
      </c>
      <c r="BG81" s="762">
        <f>IS!BG114</f>
        <v>377.18900000000002</v>
      </c>
      <c r="BH81" s="755">
        <f>IS!BH114</f>
        <v>378.18900000000002</v>
      </c>
      <c r="BI81" s="755">
        <f>IS!BI114</f>
        <v>379.18900000000002</v>
      </c>
      <c r="BJ81" s="755">
        <f>IS!BJ114</f>
        <v>380.18900000000002</v>
      </c>
      <c r="BK81" s="762">
        <f>IS!BK114</f>
        <v>381.18900000000002</v>
      </c>
      <c r="BL81" s="755">
        <f>IS!BL114</f>
        <v>382.18900000000002</v>
      </c>
      <c r="BM81" s="755">
        <f>IS!BM114</f>
        <v>383.18900000000002</v>
      </c>
      <c r="BN81" s="755">
        <f>IS!BN114</f>
        <v>384.18900000000002</v>
      </c>
      <c r="BO81" s="762">
        <f>IS!BO114</f>
        <v>385.18900000000002</v>
      </c>
      <c r="BP81" s="763"/>
      <c r="BQ81" s="764">
        <f>IS!BQ114</f>
        <v>383.47024999999996</v>
      </c>
      <c r="BR81" s="765">
        <f>IS!BR114</f>
        <v>370.96349999999995</v>
      </c>
      <c r="BS81" s="765">
        <f>IS!BS114</f>
        <v>332.30099999999999</v>
      </c>
      <c r="BT81" s="765">
        <f>IS!BT114</f>
        <v>297.11025000000001</v>
      </c>
      <c r="BU81" s="765">
        <f>IS!BU114</f>
        <v>292.69850000000002</v>
      </c>
      <c r="BV81" s="765">
        <f>IS!BV114</f>
        <v>305.86125000000004</v>
      </c>
      <c r="BW81" s="764">
        <f>IS!BW114</f>
        <v>308.23625000000004</v>
      </c>
      <c r="BX81" s="765">
        <f>IS!BX114</f>
        <v>306.19124999999997</v>
      </c>
      <c r="BY81" s="765">
        <f>IS!BY114</f>
        <v>314.04150000000004</v>
      </c>
      <c r="BZ81" s="765">
        <f>IS!BZ114</f>
        <v>318.02699999999999</v>
      </c>
      <c r="CA81" s="765">
        <f>IS!CA114</f>
        <v>316.87225000000001</v>
      </c>
      <c r="CB81" s="765">
        <f>IS!CB114</f>
        <v>312.30849999999998</v>
      </c>
      <c r="CC81" s="765">
        <f>IS!CC114</f>
        <v>350.4855</v>
      </c>
      <c r="CD81" s="765">
        <f>IS!CD114</f>
        <v>375.68900000000002</v>
      </c>
      <c r="CE81" s="765">
        <f>IS!CE114</f>
        <v>379.68900000000002</v>
      </c>
      <c r="CF81" s="761">
        <f>IS!CF114</f>
        <v>383.68900000000002</v>
      </c>
      <c r="CG81" s="763"/>
      <c r="CH81" s="760">
        <f>IS!CH114</f>
        <v>381.52774999999997</v>
      </c>
      <c r="CI81" s="765">
        <f>IS!CI114</f>
        <v>363.18124999999998</v>
      </c>
      <c r="CJ81" s="765">
        <f>IS!CJ114</f>
        <v>321.06400000000002</v>
      </c>
      <c r="CK81" s="765">
        <f>IS!CK114</f>
        <v>293.85725000000002</v>
      </c>
      <c r="CL81" s="765">
        <f>IS!CL114</f>
        <v>296.06900000000002</v>
      </c>
      <c r="CM81" s="765">
        <f>IS!CM114</f>
        <v>306.89075000000003</v>
      </c>
      <c r="CN81" s="765">
        <f>IS!CN114</f>
        <v>307.40699999999998</v>
      </c>
      <c r="CO81" s="765">
        <f>IS!CO114</f>
        <v>307.37725</v>
      </c>
      <c r="CP81" s="765">
        <f>IS!CP114</f>
        <v>315.97699999999998</v>
      </c>
      <c r="CQ81" s="765">
        <f>IS!CQ114</f>
        <v>317.44374999999997</v>
      </c>
      <c r="CR81" s="765">
        <f>IS!CR114</f>
        <v>316.64949999999999</v>
      </c>
      <c r="CS81" s="764">
        <f>IS!CS114</f>
        <v>311.87925000000001</v>
      </c>
      <c r="CT81" s="764">
        <f>IS!CT114</f>
        <v>365.76375000000002</v>
      </c>
      <c r="CU81" s="764">
        <f>IS!CU114</f>
        <v>376.68900000000002</v>
      </c>
      <c r="CV81" s="766">
        <f>IS!CV114</f>
        <v>380.68900000000002</v>
      </c>
      <c r="CW81" s="767"/>
    </row>
    <row r="82" spans="1:101" ht="14.25" customHeight="1">
      <c r="A82" s="8"/>
      <c r="B82" s="26"/>
      <c r="C82" s="27"/>
      <c r="D82" s="1043"/>
      <c r="E82" s="179"/>
      <c r="F82" s="179"/>
      <c r="G82" s="185"/>
      <c r="H82" s="1043"/>
      <c r="I82" s="179"/>
      <c r="J82" s="179"/>
      <c r="K82" s="185"/>
      <c r="L82" s="1043"/>
      <c r="M82" s="179"/>
      <c r="N82" s="179"/>
      <c r="O82" s="185"/>
      <c r="P82" s="1043"/>
      <c r="Q82" s="179"/>
      <c r="R82" s="179"/>
      <c r="S82" s="185"/>
      <c r="T82" s="1043"/>
      <c r="U82" s="179"/>
      <c r="V82" s="179"/>
      <c r="W82" s="185"/>
      <c r="X82" s="1043"/>
      <c r="Y82" s="179"/>
      <c r="Z82" s="179"/>
      <c r="AA82" s="185"/>
      <c r="AB82" s="1043"/>
      <c r="AC82" s="179"/>
      <c r="AD82" s="179"/>
      <c r="AE82" s="185"/>
      <c r="AF82" s="179"/>
      <c r="AG82" s="179"/>
      <c r="AH82" s="738"/>
      <c r="AI82" s="185"/>
      <c r="AJ82" s="179"/>
      <c r="AK82" s="179"/>
      <c r="AL82" s="179"/>
      <c r="AM82" s="179"/>
      <c r="AN82" s="1043"/>
      <c r="AO82" s="179"/>
      <c r="AP82" s="179"/>
      <c r="AQ82" s="185"/>
      <c r="AR82" s="1043"/>
      <c r="AS82" s="179"/>
      <c r="AT82" s="179"/>
      <c r="AU82" s="185"/>
      <c r="AV82" s="1043"/>
      <c r="AW82" s="179"/>
      <c r="AX82" s="179"/>
      <c r="AY82" s="185"/>
      <c r="AZ82" s="1043"/>
      <c r="BA82" s="179"/>
      <c r="BB82" s="179"/>
      <c r="BC82" s="185"/>
      <c r="BD82" s="179"/>
      <c r="BE82" s="179"/>
      <c r="BF82" s="179"/>
      <c r="BG82" s="185"/>
      <c r="BH82" s="179"/>
      <c r="BI82" s="179"/>
      <c r="BJ82" s="179"/>
      <c r="BK82" s="185"/>
      <c r="BL82" s="179"/>
      <c r="BM82" s="179"/>
      <c r="BN82" s="179"/>
      <c r="BO82" s="185"/>
      <c r="BP82" s="23"/>
      <c r="BQ82" s="82"/>
      <c r="BR82" s="82"/>
      <c r="BS82" s="82"/>
      <c r="BT82" s="82"/>
      <c r="BU82" s="82"/>
      <c r="BV82" s="82"/>
      <c r="BW82" s="82"/>
      <c r="BX82" s="82"/>
      <c r="BY82" s="82"/>
      <c r="BZ82" s="82"/>
      <c r="CA82" s="82"/>
      <c r="CB82" s="82"/>
      <c r="CC82" s="82"/>
      <c r="CD82" s="82"/>
      <c r="CE82" s="82"/>
      <c r="CF82" s="83"/>
      <c r="CG82" s="23"/>
      <c r="CH82" s="81"/>
      <c r="CI82" s="82"/>
      <c r="CJ82" s="82"/>
      <c r="CK82" s="82"/>
      <c r="CL82" s="82"/>
      <c r="CM82" s="82"/>
      <c r="CN82" s="82"/>
      <c r="CO82" s="82"/>
      <c r="CP82" s="82"/>
      <c r="CQ82" s="82"/>
      <c r="CR82" s="82"/>
      <c r="CS82" s="82"/>
      <c r="CT82" s="82"/>
      <c r="CU82" s="82"/>
      <c r="CV82" s="83"/>
      <c r="CW82" s="25"/>
    </row>
    <row r="83" spans="1:101" ht="14.25" customHeight="1">
      <c r="A83" s="8"/>
      <c r="B83" s="883" t="s">
        <v>352</v>
      </c>
      <c r="C83" s="27"/>
      <c r="D83" s="1043"/>
      <c r="E83" s="179"/>
      <c r="F83" s="179"/>
      <c r="G83" s="185"/>
      <c r="H83" s="1043"/>
      <c r="I83" s="179"/>
      <c r="J83" s="179"/>
      <c r="K83" s="185"/>
      <c r="L83" s="1043"/>
      <c r="M83" s="179"/>
      <c r="N83" s="179"/>
      <c r="O83" s="185"/>
      <c r="P83" s="1043"/>
      <c r="Q83" s="179"/>
      <c r="R83" s="179"/>
      <c r="S83" s="185"/>
      <c r="T83" s="1043"/>
      <c r="U83" s="179"/>
      <c r="V83" s="179"/>
      <c r="W83" s="185"/>
      <c r="X83" s="1043"/>
      <c r="Y83" s="179"/>
      <c r="Z83" s="179"/>
      <c r="AA83" s="185"/>
      <c r="AB83" s="1043"/>
      <c r="AC83" s="179"/>
      <c r="AD83" s="179"/>
      <c r="AE83" s="185"/>
      <c r="AF83" s="179"/>
      <c r="AG83" s="179"/>
      <c r="AH83" s="179"/>
      <c r="AI83" s="185"/>
      <c r="AJ83" s="179"/>
      <c r="AK83" s="179"/>
      <c r="AL83" s="179"/>
      <c r="AM83" s="179"/>
      <c r="AN83" s="1043"/>
      <c r="AO83" s="179"/>
      <c r="AP83" s="179"/>
      <c r="AQ83" s="185"/>
      <c r="AR83" s="1043"/>
      <c r="AS83" s="179"/>
      <c r="AT83" s="179"/>
      <c r="AU83" s="185"/>
      <c r="AV83" s="1043"/>
      <c r="AW83" s="179"/>
      <c r="AX83" s="179"/>
      <c r="AY83" s="185"/>
      <c r="AZ83" s="1043"/>
      <c r="BA83" s="179"/>
      <c r="BB83" s="179"/>
      <c r="BC83" s="185"/>
      <c r="BD83" s="179"/>
      <c r="BE83" s="179"/>
      <c r="BF83" s="179"/>
      <c r="BG83" s="185"/>
      <c r="BH83" s="179"/>
      <c r="BI83" s="179"/>
      <c r="BJ83" s="179"/>
      <c r="BK83" s="185"/>
      <c r="BL83" s="179"/>
      <c r="BM83" s="179"/>
      <c r="BN83" s="179"/>
      <c r="BO83" s="185"/>
      <c r="BP83" s="23"/>
      <c r="BQ83" s="82"/>
      <c r="BR83" s="82"/>
      <c r="BS83" s="82"/>
      <c r="BT83" s="82"/>
      <c r="BU83" s="82"/>
      <c r="BV83" s="82"/>
      <c r="BW83" s="82"/>
      <c r="BX83" s="82"/>
      <c r="BY83" s="82"/>
      <c r="BZ83" s="82"/>
      <c r="CA83" s="82"/>
      <c r="CB83" s="82"/>
      <c r="CC83" s="82"/>
      <c r="CD83" s="82"/>
      <c r="CE83" s="82"/>
      <c r="CF83" s="83"/>
      <c r="CG83" s="23"/>
      <c r="CH83" s="81"/>
      <c r="CI83" s="82"/>
      <c r="CJ83" s="82"/>
      <c r="CK83" s="82"/>
      <c r="CL83" s="82"/>
      <c r="CM83" s="82"/>
      <c r="CN83" s="82"/>
      <c r="CO83" s="82"/>
      <c r="CP83" s="82"/>
      <c r="CQ83" s="82"/>
      <c r="CR83" s="82"/>
      <c r="CS83" s="82"/>
      <c r="CT83" s="82"/>
      <c r="CU83" s="82"/>
      <c r="CV83" s="83"/>
      <c r="CW83" s="25"/>
    </row>
    <row r="84" spans="1:101" ht="14.25" customHeight="1">
      <c r="A84" s="8"/>
      <c r="B84" s="364" t="s">
        <v>334</v>
      </c>
      <c r="C84" s="27"/>
      <c r="D84" s="1044">
        <f>+D11</f>
        <v>409.33600000000001</v>
      </c>
      <c r="E84" s="755">
        <f t="shared" ref="E84:AQ84" si="390">+E11</f>
        <v>314.36799999999999</v>
      </c>
      <c r="F84" s="755">
        <f t="shared" si="390"/>
        <v>248.053</v>
      </c>
      <c r="G84" s="756">
        <f t="shared" si="390"/>
        <v>627.59100000000001</v>
      </c>
      <c r="H84" s="1044">
        <f t="shared" si="390"/>
        <v>427.85500000000002</v>
      </c>
      <c r="I84" s="755">
        <f t="shared" si="390"/>
        <v>402.49099999999999</v>
      </c>
      <c r="J84" s="755">
        <f t="shared" si="390"/>
        <v>523.125</v>
      </c>
      <c r="K84" s="756">
        <f t="shared" si="390"/>
        <v>343.947</v>
      </c>
      <c r="L84" s="1044">
        <f t="shared" si="390"/>
        <v>398.54899999999998</v>
      </c>
      <c r="M84" s="755">
        <f t="shared" si="390"/>
        <v>358.59</v>
      </c>
      <c r="N84" s="755">
        <f t="shared" si="390"/>
        <v>393.89800000000002</v>
      </c>
      <c r="O84" s="756">
        <f t="shared" si="390"/>
        <v>424.97199999999998</v>
      </c>
      <c r="P84" s="1044">
        <f t="shared" si="390"/>
        <v>633.08900000000006</v>
      </c>
      <c r="Q84" s="755">
        <f t="shared" si="390"/>
        <v>414.36099999999999</v>
      </c>
      <c r="R84" s="755">
        <f t="shared" si="390"/>
        <v>418.45600000000002</v>
      </c>
      <c r="S84" s="756">
        <f t="shared" si="390"/>
        <v>593.59900000000005</v>
      </c>
      <c r="T84" s="1044">
        <f t="shared" si="390"/>
        <v>769.71299999999997</v>
      </c>
      <c r="U84" s="755">
        <f t="shared" si="390"/>
        <v>676.87900000000002</v>
      </c>
      <c r="V84" s="755">
        <f t="shared" si="390"/>
        <v>632.71500000000003</v>
      </c>
      <c r="W84" s="756">
        <f t="shared" si="390"/>
        <v>639.72900000000004</v>
      </c>
      <c r="X84" s="1044">
        <f t="shared" si="390"/>
        <v>914.26800000000003</v>
      </c>
      <c r="Y84" s="755">
        <f t="shared" si="390"/>
        <v>1008.372</v>
      </c>
      <c r="Z84" s="755">
        <f t="shared" si="390"/>
        <v>993.42899999999997</v>
      </c>
      <c r="AA84" s="756">
        <f t="shared" si="390"/>
        <v>1070</v>
      </c>
      <c r="AB84" s="1044">
        <f t="shared" si="390"/>
        <v>1570.3209999999999</v>
      </c>
      <c r="AC84" s="755">
        <f t="shared" si="390"/>
        <v>1894.761</v>
      </c>
      <c r="AD84" s="755">
        <f t="shared" si="390"/>
        <v>1357.8209999999999</v>
      </c>
      <c r="AE84" s="756">
        <f t="shared" si="390"/>
        <v>1405.1</v>
      </c>
      <c r="AF84" s="755">
        <f t="shared" si="390"/>
        <v>1097.442</v>
      </c>
      <c r="AG84" s="755">
        <f t="shared" si="390"/>
        <v>695.06600000000003</v>
      </c>
      <c r="AH84" s="755">
        <f t="shared" si="390"/>
        <v>462.149</v>
      </c>
      <c r="AI84" s="756">
        <f t="shared" si="390"/>
        <v>528.83299999999997</v>
      </c>
      <c r="AJ84" s="755">
        <f t="shared" si="390"/>
        <v>795.79700000000003</v>
      </c>
      <c r="AK84" s="755">
        <f t="shared" si="390"/>
        <v>595.63099999999997</v>
      </c>
      <c r="AL84" s="755">
        <f t="shared" si="390"/>
        <v>460.06799999999998</v>
      </c>
      <c r="AM84" s="755">
        <f t="shared" si="390"/>
        <v>392.089</v>
      </c>
      <c r="AN84" s="1044">
        <f t="shared" si="390"/>
        <v>417.22699999999998</v>
      </c>
      <c r="AO84" s="755">
        <f t="shared" si="390"/>
        <v>402.79</v>
      </c>
      <c r="AP84" s="755">
        <f t="shared" si="390"/>
        <v>2585.4409999999998</v>
      </c>
      <c r="AQ84" s="756">
        <f t="shared" si="390"/>
        <v>569.23299999999995</v>
      </c>
      <c r="AR84" s="1044">
        <f t="shared" ref="AR84:AU85" si="391">+AR11</f>
        <v>650.202</v>
      </c>
      <c r="AS84" s="755">
        <f t="shared" si="391"/>
        <v>636.21600000000001</v>
      </c>
      <c r="AT84" s="755">
        <f t="shared" si="391"/>
        <v>557.49699999999996</v>
      </c>
      <c r="AU84" s="756">
        <f t="shared" si="391"/>
        <v>884.35299999999995</v>
      </c>
      <c r="AV84" s="1044">
        <f>+AV11</f>
        <v>1470.442</v>
      </c>
      <c r="AW84" s="755">
        <f t="shared" ref="AW84:AY85" si="392">+AW11</f>
        <v>1119.662</v>
      </c>
      <c r="AX84" s="755">
        <f t="shared" si="392"/>
        <v>1103.67</v>
      </c>
      <c r="AY84" s="756">
        <f t="shared" si="392"/>
        <v>921.13199999999995</v>
      </c>
      <c r="AZ84" s="1044">
        <f>+AZ11</f>
        <v>4987.2629999999999</v>
      </c>
      <c r="BA84" s="755">
        <f t="shared" ref="BA84:BC85" si="393">+BA11</f>
        <v>5697.7430000000004</v>
      </c>
      <c r="BB84" s="755">
        <f t="shared" si="393"/>
        <v>908.56899999999996</v>
      </c>
      <c r="BC84" s="756">
        <f t="shared" si="393"/>
        <v>1047.838</v>
      </c>
      <c r="BD84" s="755">
        <f t="shared" ref="BD84:BG85" si="394">+BD11</f>
        <v>827.55</v>
      </c>
      <c r="BE84" s="755">
        <f t="shared" si="394"/>
        <v>1111.7053304119615</v>
      </c>
      <c r="BF84" s="755">
        <f t="shared" si="394"/>
        <v>1520.3406509803087</v>
      </c>
      <c r="BG84" s="756">
        <f t="shared" si="394"/>
        <v>1926.2352739750215</v>
      </c>
      <c r="BH84" s="755">
        <f t="shared" ref="BH84:BK84" si="395">+BH11</f>
        <v>2319.3313591015026</v>
      </c>
      <c r="BI84" s="755">
        <f t="shared" si="395"/>
        <v>2681.4838836572239</v>
      </c>
      <c r="BJ84" s="755">
        <f t="shared" si="395"/>
        <v>3087.1134031443271</v>
      </c>
      <c r="BK84" s="756">
        <f t="shared" si="395"/>
        <v>3516.5028310373932</v>
      </c>
      <c r="BL84" s="755">
        <f t="shared" ref="BL84:BO84" si="396">+BL11</f>
        <v>3987.7089439085007</v>
      </c>
      <c r="BM84" s="755">
        <f t="shared" si="396"/>
        <v>4407.9462268106636</v>
      </c>
      <c r="BN84" s="755">
        <f t="shared" si="396"/>
        <v>4871.877877717603</v>
      </c>
      <c r="BO84" s="756">
        <f t="shared" si="396"/>
        <v>5357.1166106517285</v>
      </c>
      <c r="BP84" s="23"/>
      <c r="BQ84" s="82">
        <f>G84</f>
        <v>627.59100000000001</v>
      </c>
      <c r="BR84" s="82">
        <f>K84</f>
        <v>343.947</v>
      </c>
      <c r="BS84" s="82">
        <f>O84</f>
        <v>424.97199999999998</v>
      </c>
      <c r="BT84" s="82">
        <f>S84</f>
        <v>593.59900000000005</v>
      </c>
      <c r="BU84" s="82">
        <f>W84</f>
        <v>639.72900000000004</v>
      </c>
      <c r="BV84" s="765">
        <f>AA84</f>
        <v>1070</v>
      </c>
      <c r="BW84" s="889">
        <f>+AE84</f>
        <v>1405.1</v>
      </c>
      <c r="BX84" s="1016">
        <f>+AI84</f>
        <v>528.83299999999997</v>
      </c>
      <c r="BY84" s="889">
        <f>+AM84</f>
        <v>392.089</v>
      </c>
      <c r="BZ84" s="889">
        <f>+AQ84</f>
        <v>569.23299999999995</v>
      </c>
      <c r="CA84" s="889">
        <f>AU84</f>
        <v>884.35299999999995</v>
      </c>
      <c r="CB84" s="889">
        <f>AY84</f>
        <v>921.13199999999995</v>
      </c>
      <c r="CC84" s="1016">
        <f>BC84</f>
        <v>1047.838</v>
      </c>
      <c r="CD84" s="1016">
        <f>BG84</f>
        <v>1926.2352739750215</v>
      </c>
      <c r="CE84" s="1016">
        <f>BK84</f>
        <v>3516.5028310373932</v>
      </c>
      <c r="CF84" s="1088">
        <f>BO84</f>
        <v>5357.1166106517285</v>
      </c>
      <c r="CG84" s="23"/>
      <c r="CH84" s="81"/>
      <c r="CI84" s="82"/>
      <c r="CJ84" s="82"/>
      <c r="CK84" s="82"/>
      <c r="CL84" s="82"/>
      <c r="CM84" s="82"/>
      <c r="CN84" s="82"/>
      <c r="CO84" s="82"/>
      <c r="CP84" s="82"/>
      <c r="CQ84" s="82"/>
      <c r="CR84" s="82"/>
      <c r="CS84" s="82"/>
      <c r="CT84" s="82"/>
      <c r="CU84" s="82"/>
      <c r="CV84" s="83"/>
      <c r="CW84" s="25"/>
    </row>
    <row r="85" spans="1:101" ht="14.25" customHeight="1">
      <c r="A85" s="675"/>
      <c r="B85" s="676" t="s">
        <v>335</v>
      </c>
      <c r="C85" s="677"/>
      <c r="D85" s="1045">
        <f>+D12</f>
        <v>2189.0360000000001</v>
      </c>
      <c r="E85" s="757">
        <f t="shared" ref="E85:AQ85" si="397">+E12</f>
        <v>2302.8910000000001</v>
      </c>
      <c r="F85" s="757">
        <f t="shared" si="397"/>
        <v>2535.8330000000001</v>
      </c>
      <c r="G85" s="758">
        <f t="shared" si="397"/>
        <v>2078.3510000000001</v>
      </c>
      <c r="H85" s="1045">
        <f t="shared" si="397"/>
        <v>2307.259</v>
      </c>
      <c r="I85" s="757">
        <f t="shared" si="397"/>
        <v>2290.3049999999998</v>
      </c>
      <c r="J85" s="757">
        <f t="shared" si="397"/>
        <v>1992.9359999999999</v>
      </c>
      <c r="K85" s="758">
        <f t="shared" si="397"/>
        <v>1784.3869999999999</v>
      </c>
      <c r="L85" s="1045">
        <f t="shared" si="397"/>
        <v>1555.2719999999999</v>
      </c>
      <c r="M85" s="757">
        <f t="shared" si="397"/>
        <v>1436.0820000000001</v>
      </c>
      <c r="N85" s="757">
        <f t="shared" si="397"/>
        <v>889.69200000000001</v>
      </c>
      <c r="O85" s="758">
        <f t="shared" si="397"/>
        <v>656.23500000000001</v>
      </c>
      <c r="P85" s="1045">
        <f t="shared" si="397"/>
        <v>638.67700000000002</v>
      </c>
      <c r="Q85" s="757">
        <f t="shared" si="397"/>
        <v>770.81799999999998</v>
      </c>
      <c r="R85" s="757">
        <f t="shared" si="397"/>
        <v>859.18799999999999</v>
      </c>
      <c r="S85" s="758">
        <f t="shared" si="397"/>
        <v>716.08699999999999</v>
      </c>
      <c r="T85" s="1045">
        <f t="shared" si="397"/>
        <v>513.41800000000001</v>
      </c>
      <c r="U85" s="757">
        <f t="shared" si="397"/>
        <v>608.59900000000005</v>
      </c>
      <c r="V85" s="757">
        <f t="shared" si="397"/>
        <v>1091.729</v>
      </c>
      <c r="W85" s="758">
        <f t="shared" si="397"/>
        <v>1176.2439999999999</v>
      </c>
      <c r="X85" s="1045">
        <f t="shared" si="397"/>
        <v>1264.6959999999999</v>
      </c>
      <c r="Y85" s="757">
        <f t="shared" si="397"/>
        <v>1378.367</v>
      </c>
      <c r="Z85" s="757">
        <f t="shared" si="397"/>
        <v>1514.886</v>
      </c>
      <c r="AA85" s="758">
        <f t="shared" si="397"/>
        <v>1617.768</v>
      </c>
      <c r="AB85" s="1045">
        <f t="shared" si="397"/>
        <v>1390.7950000000001</v>
      </c>
      <c r="AC85" s="757">
        <f t="shared" si="397"/>
        <v>1536.604</v>
      </c>
      <c r="AD85" s="757">
        <f t="shared" si="397"/>
        <v>2156.7170000000001</v>
      </c>
      <c r="AE85" s="758">
        <f t="shared" si="397"/>
        <v>2187.3620000000001</v>
      </c>
      <c r="AF85" s="757">
        <f t="shared" si="397"/>
        <v>2569.9560000000001</v>
      </c>
      <c r="AG85" s="757">
        <f t="shared" si="397"/>
        <v>3057.5590000000002</v>
      </c>
      <c r="AH85" s="757">
        <f t="shared" si="397"/>
        <v>3302.8960000000002</v>
      </c>
      <c r="AI85" s="758">
        <f t="shared" si="397"/>
        <v>3371.5450000000001</v>
      </c>
      <c r="AJ85" s="757">
        <f t="shared" si="397"/>
        <v>3191.1819999999998</v>
      </c>
      <c r="AK85" s="757">
        <f t="shared" si="397"/>
        <v>3576.51</v>
      </c>
      <c r="AL85" s="757">
        <f t="shared" si="397"/>
        <v>3990.2249999999999</v>
      </c>
      <c r="AM85" s="757">
        <f t="shared" si="397"/>
        <v>4290.8230000000003</v>
      </c>
      <c r="AN85" s="1045">
        <f t="shared" si="397"/>
        <v>4283.8819999999996</v>
      </c>
      <c r="AO85" s="757">
        <f t="shared" si="397"/>
        <v>4404.4350000000004</v>
      </c>
      <c r="AP85" s="757">
        <f t="shared" si="397"/>
        <v>2346.8180000000002</v>
      </c>
      <c r="AQ85" s="758">
        <f t="shared" si="397"/>
        <v>2297.2349999999997</v>
      </c>
      <c r="AR85" s="1045">
        <f t="shared" si="391"/>
        <v>2223.0789999999997</v>
      </c>
      <c r="AS85" s="757">
        <f t="shared" si="391"/>
        <v>2438.5619999999999</v>
      </c>
      <c r="AT85" s="757">
        <f t="shared" si="391"/>
        <v>2542.4639999999999</v>
      </c>
      <c r="AU85" s="758">
        <f t="shared" si="391"/>
        <v>2144.5749999999998</v>
      </c>
      <c r="AV85" s="1045">
        <f>+AV12</f>
        <v>2319.0259999999998</v>
      </c>
      <c r="AW85" s="757">
        <f t="shared" si="392"/>
        <v>2634.4189999999999</v>
      </c>
      <c r="AX85" s="757">
        <f t="shared" si="392"/>
        <v>2699.7640000000001</v>
      </c>
      <c r="AY85" s="758">
        <f t="shared" si="392"/>
        <v>3134.6610000000001</v>
      </c>
      <c r="AZ85" s="1045">
        <f>+AZ12</f>
        <v>1329.8029999999999</v>
      </c>
      <c r="BA85" s="757">
        <f t="shared" si="393"/>
        <v>490.62900000000002</v>
      </c>
      <c r="BB85" s="757">
        <f t="shared" si="393"/>
        <v>0</v>
      </c>
      <c r="BC85" s="758">
        <f t="shared" si="393"/>
        <v>0</v>
      </c>
      <c r="BD85" s="757">
        <f t="shared" si="394"/>
        <v>0</v>
      </c>
      <c r="BE85" s="757">
        <f t="shared" si="394"/>
        <v>0</v>
      </c>
      <c r="BF85" s="757">
        <f t="shared" si="394"/>
        <v>0</v>
      </c>
      <c r="BG85" s="758">
        <f t="shared" si="394"/>
        <v>0</v>
      </c>
      <c r="BH85" s="757">
        <f t="shared" ref="BH85:BK85" si="398">+BH12</f>
        <v>0</v>
      </c>
      <c r="BI85" s="757">
        <f t="shared" si="398"/>
        <v>0</v>
      </c>
      <c r="BJ85" s="757">
        <f t="shared" si="398"/>
        <v>0</v>
      </c>
      <c r="BK85" s="758">
        <f t="shared" si="398"/>
        <v>0</v>
      </c>
      <c r="BL85" s="757">
        <f t="shared" ref="BL85:BO85" si="399">+BL12</f>
        <v>0</v>
      </c>
      <c r="BM85" s="757">
        <f t="shared" si="399"/>
        <v>0</v>
      </c>
      <c r="BN85" s="757">
        <f t="shared" si="399"/>
        <v>0</v>
      </c>
      <c r="BO85" s="758">
        <f t="shared" si="399"/>
        <v>0</v>
      </c>
      <c r="BP85" s="681"/>
      <c r="BQ85" s="753">
        <f>G85</f>
        <v>2078.3510000000001</v>
      </c>
      <c r="BR85" s="753">
        <f>K85</f>
        <v>1784.3869999999999</v>
      </c>
      <c r="BS85" s="753">
        <f>O85</f>
        <v>656.23500000000001</v>
      </c>
      <c r="BT85" s="753">
        <f>S85</f>
        <v>716.08699999999999</v>
      </c>
      <c r="BU85" s="753">
        <f>W85</f>
        <v>1176.2439999999999</v>
      </c>
      <c r="BV85" s="891">
        <f>AA85</f>
        <v>1617.768</v>
      </c>
      <c r="BW85" s="890">
        <f>+AE85</f>
        <v>2187.3620000000001</v>
      </c>
      <c r="BX85" s="1017">
        <f>+AI85</f>
        <v>3371.5450000000001</v>
      </c>
      <c r="BY85" s="890">
        <f>+AM85</f>
        <v>4290.8230000000003</v>
      </c>
      <c r="BZ85" s="890">
        <f>+AQ85</f>
        <v>2297.2349999999997</v>
      </c>
      <c r="CA85" s="890">
        <f>AU85</f>
        <v>2144.5749999999998</v>
      </c>
      <c r="CB85" s="890">
        <f>AY85</f>
        <v>3134.6610000000001</v>
      </c>
      <c r="CC85" s="1017">
        <f>BC85</f>
        <v>0</v>
      </c>
      <c r="CD85" s="1017">
        <f>BG85</f>
        <v>0</v>
      </c>
      <c r="CE85" s="1017">
        <f>BK85</f>
        <v>0</v>
      </c>
      <c r="CF85" s="1089">
        <f>BO85</f>
        <v>0</v>
      </c>
      <c r="CG85" s="681"/>
      <c r="CH85" s="754"/>
      <c r="CI85" s="753"/>
      <c r="CJ85" s="753"/>
      <c r="CK85" s="753"/>
      <c r="CL85" s="753"/>
      <c r="CM85" s="753"/>
      <c r="CN85" s="753"/>
      <c r="CO85" s="753"/>
      <c r="CP85" s="753"/>
      <c r="CQ85" s="753"/>
      <c r="CR85" s="753"/>
      <c r="CS85" s="753"/>
      <c r="CT85" s="753"/>
      <c r="CU85" s="753"/>
      <c r="CV85" s="1229"/>
      <c r="CW85" s="685"/>
    </row>
    <row r="86" spans="1:101" ht="14.25" customHeight="1">
      <c r="A86" s="299"/>
      <c r="B86" s="364" t="s">
        <v>336</v>
      </c>
      <c r="C86" s="483"/>
      <c r="D86" s="1046">
        <f>+SUM(D84:D85)</f>
        <v>2598.3720000000003</v>
      </c>
      <c r="E86" s="788">
        <f t="shared" ref="E86:AQ86" si="400">+SUM(E84:E85)</f>
        <v>2617.259</v>
      </c>
      <c r="F86" s="788">
        <f t="shared" si="400"/>
        <v>2783.886</v>
      </c>
      <c r="G86" s="789">
        <f t="shared" si="400"/>
        <v>2705.942</v>
      </c>
      <c r="H86" s="1046">
        <f t="shared" si="400"/>
        <v>2735.114</v>
      </c>
      <c r="I86" s="788">
        <f t="shared" si="400"/>
        <v>2692.7959999999998</v>
      </c>
      <c r="J86" s="788">
        <f t="shared" si="400"/>
        <v>2516.0609999999997</v>
      </c>
      <c r="K86" s="789">
        <f t="shared" si="400"/>
        <v>2128.3339999999998</v>
      </c>
      <c r="L86" s="1046">
        <f t="shared" si="400"/>
        <v>1953.8209999999999</v>
      </c>
      <c r="M86" s="788">
        <f t="shared" si="400"/>
        <v>1794.672</v>
      </c>
      <c r="N86" s="788">
        <f t="shared" si="400"/>
        <v>1283.5900000000001</v>
      </c>
      <c r="O86" s="789">
        <f t="shared" si="400"/>
        <v>1081.2069999999999</v>
      </c>
      <c r="P86" s="1046">
        <f t="shared" si="400"/>
        <v>1271.7660000000001</v>
      </c>
      <c r="Q86" s="788">
        <f t="shared" si="400"/>
        <v>1185.1790000000001</v>
      </c>
      <c r="R86" s="788">
        <f t="shared" si="400"/>
        <v>1277.644</v>
      </c>
      <c r="S86" s="789">
        <f t="shared" si="400"/>
        <v>1309.6860000000001</v>
      </c>
      <c r="T86" s="1046">
        <f t="shared" si="400"/>
        <v>1283.1309999999999</v>
      </c>
      <c r="U86" s="788">
        <f t="shared" si="400"/>
        <v>1285.4780000000001</v>
      </c>
      <c r="V86" s="788">
        <f t="shared" si="400"/>
        <v>1724.444</v>
      </c>
      <c r="W86" s="789">
        <f t="shared" si="400"/>
        <v>1815.973</v>
      </c>
      <c r="X86" s="1046">
        <f t="shared" si="400"/>
        <v>2178.9639999999999</v>
      </c>
      <c r="Y86" s="788">
        <f t="shared" si="400"/>
        <v>2386.739</v>
      </c>
      <c r="Z86" s="788">
        <f t="shared" si="400"/>
        <v>2508.3150000000001</v>
      </c>
      <c r="AA86" s="789">
        <f t="shared" si="400"/>
        <v>2687.768</v>
      </c>
      <c r="AB86" s="1046">
        <f t="shared" si="400"/>
        <v>2961.116</v>
      </c>
      <c r="AC86" s="788">
        <f t="shared" si="400"/>
        <v>3431.3649999999998</v>
      </c>
      <c r="AD86" s="788">
        <f t="shared" si="400"/>
        <v>3514.538</v>
      </c>
      <c r="AE86" s="789">
        <f t="shared" si="400"/>
        <v>3592.462</v>
      </c>
      <c r="AF86" s="788">
        <f t="shared" si="400"/>
        <v>3667.3980000000001</v>
      </c>
      <c r="AG86" s="788">
        <f t="shared" si="400"/>
        <v>3752.625</v>
      </c>
      <c r="AH86" s="788">
        <f t="shared" si="400"/>
        <v>3765.0450000000001</v>
      </c>
      <c r="AI86" s="789">
        <f t="shared" si="400"/>
        <v>3900.3780000000002</v>
      </c>
      <c r="AJ86" s="788">
        <f t="shared" si="400"/>
        <v>3986.9789999999998</v>
      </c>
      <c r="AK86" s="788">
        <f t="shared" si="400"/>
        <v>4172.1410000000005</v>
      </c>
      <c r="AL86" s="788">
        <f t="shared" si="400"/>
        <v>4450.2929999999997</v>
      </c>
      <c r="AM86" s="788">
        <f t="shared" si="400"/>
        <v>4682.9120000000003</v>
      </c>
      <c r="AN86" s="1046">
        <f t="shared" si="400"/>
        <v>4701.1089999999995</v>
      </c>
      <c r="AO86" s="788">
        <f t="shared" si="400"/>
        <v>4807.2250000000004</v>
      </c>
      <c r="AP86" s="788">
        <f t="shared" si="400"/>
        <v>4932.259</v>
      </c>
      <c r="AQ86" s="789">
        <f t="shared" si="400"/>
        <v>2866.4679999999998</v>
      </c>
      <c r="AR86" s="1046">
        <f t="shared" ref="AR86:AW86" si="401">+SUM(AR84:AR85)</f>
        <v>2873.2809999999999</v>
      </c>
      <c r="AS86" s="788">
        <f t="shared" si="401"/>
        <v>3074.7779999999998</v>
      </c>
      <c r="AT86" s="788">
        <f t="shared" si="401"/>
        <v>3099.9609999999998</v>
      </c>
      <c r="AU86" s="789">
        <f t="shared" si="401"/>
        <v>3028.9279999999999</v>
      </c>
      <c r="AV86" s="1046">
        <f>+SUM(AV84:AV85)</f>
        <v>3789.4679999999998</v>
      </c>
      <c r="AW86" s="788">
        <f t="shared" si="401"/>
        <v>3754.0810000000001</v>
      </c>
      <c r="AX86" s="788">
        <f>+SUM(AX84:AX85)</f>
        <v>3803.4340000000002</v>
      </c>
      <c r="AY86" s="789">
        <f t="shared" ref="AY86" si="402">+SUM(AY84:AY85)</f>
        <v>4055.7930000000001</v>
      </c>
      <c r="AZ86" s="1046">
        <f>+SUM(AZ84:AZ85)</f>
        <v>6317.0659999999998</v>
      </c>
      <c r="BA86" s="788">
        <f t="shared" ref="BA86:BG86" si="403">+SUM(BA84:BA85)</f>
        <v>6188.3720000000003</v>
      </c>
      <c r="BB86" s="788">
        <f>+SUM(BB84:BB85)</f>
        <v>908.56899999999996</v>
      </c>
      <c r="BC86" s="789">
        <f t="shared" si="403"/>
        <v>1047.838</v>
      </c>
      <c r="BD86" s="788">
        <f t="shared" si="403"/>
        <v>827.55</v>
      </c>
      <c r="BE86" s="788">
        <f t="shared" si="403"/>
        <v>1111.7053304119615</v>
      </c>
      <c r="BF86" s="788">
        <f t="shared" si="403"/>
        <v>1520.3406509803087</v>
      </c>
      <c r="BG86" s="789">
        <f t="shared" si="403"/>
        <v>1926.2352739750215</v>
      </c>
      <c r="BH86" s="788">
        <f t="shared" ref="BH86:BK86" si="404">+SUM(BH84:BH85)</f>
        <v>2319.3313591015026</v>
      </c>
      <c r="BI86" s="788">
        <f t="shared" si="404"/>
        <v>2681.4838836572239</v>
      </c>
      <c r="BJ86" s="788">
        <f t="shared" si="404"/>
        <v>3087.1134031443271</v>
      </c>
      <c r="BK86" s="789">
        <f t="shared" si="404"/>
        <v>3516.5028310373932</v>
      </c>
      <c r="BL86" s="788">
        <f t="shared" ref="BL86:BO86" si="405">+SUM(BL84:BL85)</f>
        <v>3987.7089439085007</v>
      </c>
      <c r="BM86" s="788">
        <f t="shared" si="405"/>
        <v>4407.9462268106636</v>
      </c>
      <c r="BN86" s="788">
        <f t="shared" si="405"/>
        <v>4871.877877717603</v>
      </c>
      <c r="BO86" s="789">
        <f t="shared" si="405"/>
        <v>5357.1166106517285</v>
      </c>
      <c r="BP86" s="488"/>
      <c r="BQ86" s="82">
        <f>+SUM(BQ84:BQ85)</f>
        <v>2705.942</v>
      </c>
      <c r="BR86" s="82">
        <f t="shared" ref="BR86:CB86" si="406">+SUM(BR84:BR85)</f>
        <v>2128.3339999999998</v>
      </c>
      <c r="BS86" s="82">
        <f t="shared" si="406"/>
        <v>1081.2069999999999</v>
      </c>
      <c r="BT86" s="82">
        <f t="shared" si="406"/>
        <v>1309.6860000000001</v>
      </c>
      <c r="BU86" s="82">
        <f t="shared" si="406"/>
        <v>1815.973</v>
      </c>
      <c r="BV86" s="765">
        <f t="shared" si="406"/>
        <v>2687.768</v>
      </c>
      <c r="BW86" s="765">
        <f t="shared" si="406"/>
        <v>3592.462</v>
      </c>
      <c r="BX86" s="765">
        <f t="shared" si="406"/>
        <v>3900.3780000000002</v>
      </c>
      <c r="BY86" s="765">
        <f t="shared" si="406"/>
        <v>4682.9120000000003</v>
      </c>
      <c r="BZ86" s="765">
        <f t="shared" si="406"/>
        <v>2866.4679999999998</v>
      </c>
      <c r="CA86" s="765">
        <f t="shared" si="406"/>
        <v>3028.9279999999999</v>
      </c>
      <c r="CB86" s="765">
        <f t="shared" si="406"/>
        <v>4055.7930000000001</v>
      </c>
      <c r="CC86" s="765">
        <f>+SUM(CC84:CC85)</f>
        <v>1047.838</v>
      </c>
      <c r="CD86" s="765">
        <f>+SUM(CD84:CD85)</f>
        <v>1926.2352739750215</v>
      </c>
      <c r="CE86" s="765">
        <f>+SUM(CE84:CE85)</f>
        <v>3516.5028310373932</v>
      </c>
      <c r="CF86" s="761">
        <f>+SUM(CF84:CF85)</f>
        <v>5357.1166106517285</v>
      </c>
      <c r="CG86" s="488"/>
      <c r="CH86" s="786"/>
      <c r="CI86" s="785"/>
      <c r="CJ86" s="785"/>
      <c r="CK86" s="785"/>
      <c r="CL86" s="785"/>
      <c r="CM86" s="785"/>
      <c r="CN86" s="785"/>
      <c r="CO86" s="785"/>
      <c r="CP86" s="785"/>
      <c r="CQ86" s="785"/>
      <c r="CR86" s="785"/>
      <c r="CS86" s="785"/>
      <c r="CT86" s="785"/>
      <c r="CU86" s="785"/>
      <c r="CV86" s="787"/>
      <c r="CW86" s="346"/>
    </row>
    <row r="87" spans="1:101" ht="14.25" customHeight="1">
      <c r="A87" s="775"/>
      <c r="B87" s="676" t="s">
        <v>547</v>
      </c>
      <c r="C87" s="776"/>
      <c r="D87" s="1047">
        <f>-(D33+D39)</f>
        <v>0</v>
      </c>
      <c r="E87" s="777">
        <f t="shared" ref="E87:AA87" si="407">-(E33+E39)</f>
        <v>0</v>
      </c>
      <c r="F87" s="777">
        <f t="shared" si="407"/>
        <v>0</v>
      </c>
      <c r="G87" s="778">
        <f t="shared" si="407"/>
        <v>0</v>
      </c>
      <c r="H87" s="1047">
        <f t="shared" si="407"/>
        <v>0</v>
      </c>
      <c r="I87" s="777">
        <f t="shared" si="407"/>
        <v>0</v>
      </c>
      <c r="J87" s="777">
        <f t="shared" si="407"/>
        <v>0</v>
      </c>
      <c r="K87" s="778">
        <f t="shared" si="407"/>
        <v>0</v>
      </c>
      <c r="L87" s="1047">
        <f t="shared" si="407"/>
        <v>0</v>
      </c>
      <c r="M87" s="777">
        <f t="shared" si="407"/>
        <v>0</v>
      </c>
      <c r="N87" s="777">
        <f t="shared" si="407"/>
        <v>0</v>
      </c>
      <c r="O87" s="778">
        <f t="shared" si="407"/>
        <v>0</v>
      </c>
      <c r="P87" s="1047">
        <f t="shared" si="407"/>
        <v>0</v>
      </c>
      <c r="Q87" s="777">
        <f t="shared" si="407"/>
        <v>0</v>
      </c>
      <c r="R87" s="777">
        <f t="shared" si="407"/>
        <v>0</v>
      </c>
      <c r="S87" s="778">
        <f t="shared" si="407"/>
        <v>0</v>
      </c>
      <c r="T87" s="1047">
        <f t="shared" si="407"/>
        <v>0</v>
      </c>
      <c r="U87" s="777">
        <f t="shared" si="407"/>
        <v>0</v>
      </c>
      <c r="V87" s="777">
        <f t="shared" si="407"/>
        <v>-374.92599999999999</v>
      </c>
      <c r="W87" s="778">
        <f t="shared" si="407"/>
        <v>-379.62599999999998</v>
      </c>
      <c r="X87" s="1047">
        <f t="shared" si="407"/>
        <v>-381.42500000000001</v>
      </c>
      <c r="Y87" s="777">
        <f t="shared" si="407"/>
        <v>-383.30599999999998</v>
      </c>
      <c r="Z87" s="777">
        <f t="shared" si="407"/>
        <v>-395.75599999999997</v>
      </c>
      <c r="AA87" s="778">
        <f t="shared" si="407"/>
        <v>-400.63499999999999</v>
      </c>
      <c r="AB87" s="1047">
        <f>-AB110</f>
        <v>-518.20000000000005</v>
      </c>
      <c r="AC87" s="777">
        <f t="shared" ref="AC87:AQ87" si="408">-AC110</f>
        <v>-889.6</v>
      </c>
      <c r="AD87" s="777">
        <f t="shared" si="408"/>
        <v>-868.45799999999997</v>
      </c>
      <c r="AE87" s="778">
        <f t="shared" si="408"/>
        <v>-864.83299999999997</v>
      </c>
      <c r="AF87" s="777">
        <f t="shared" si="408"/>
        <v>-849.20799999999997</v>
      </c>
      <c r="AG87" s="777">
        <f t="shared" si="408"/>
        <v>-845.58299999999997</v>
      </c>
      <c r="AH87" s="777">
        <f t="shared" si="408"/>
        <v>-841.95799999999997</v>
      </c>
      <c r="AI87" s="778">
        <f t="shared" si="408"/>
        <v>-808.33299999999997</v>
      </c>
      <c r="AJ87" s="777">
        <f>-AJ110</f>
        <v>-748.22500000000002</v>
      </c>
      <c r="AK87" s="777">
        <f t="shared" si="408"/>
        <v>-748.22500000000002</v>
      </c>
      <c r="AL87" s="777">
        <f t="shared" si="408"/>
        <v>-873.22500000000002</v>
      </c>
      <c r="AM87" s="777">
        <f t="shared" si="408"/>
        <v>-873.22500000000002</v>
      </c>
      <c r="AN87" s="1047">
        <f t="shared" si="408"/>
        <v>-875</v>
      </c>
      <c r="AO87" s="777">
        <f t="shared" si="408"/>
        <v>-875</v>
      </c>
      <c r="AP87" s="777">
        <f t="shared" si="408"/>
        <v>-875</v>
      </c>
      <c r="AQ87" s="778">
        <f t="shared" si="408"/>
        <v>-875</v>
      </c>
      <c r="AR87" s="1047">
        <f>-AR110</f>
        <v>-875</v>
      </c>
      <c r="AS87" s="777">
        <f>-AS110</f>
        <v>-875</v>
      </c>
      <c r="AT87" s="777">
        <f>-AT110</f>
        <v>-875</v>
      </c>
      <c r="AU87" s="778">
        <f>-AU110</f>
        <v>-875</v>
      </c>
      <c r="AV87" s="1047">
        <f>-(AV33+AV39)</f>
        <v>-1730.9480000000001</v>
      </c>
      <c r="AW87" s="777">
        <f t="shared" ref="AW87:BG87" si="409">-(AW33+AW39)</f>
        <v>-1731.336</v>
      </c>
      <c r="AX87" s="777">
        <f>-AX110</f>
        <v>-1750</v>
      </c>
      <c r="AY87" s="778">
        <f>-AY110</f>
        <v>-500</v>
      </c>
      <c r="AZ87" s="1047">
        <f>-(AZ33+AZ39)</f>
        <v>-3805.4</v>
      </c>
      <c r="BA87" s="777">
        <f t="shared" si="409"/>
        <v>-12893.532999999999</v>
      </c>
      <c r="BB87" s="777">
        <f t="shared" si="409"/>
        <v>-8199.23</v>
      </c>
      <c r="BC87" s="778">
        <f t="shared" si="409"/>
        <v>-7851.0839999999998</v>
      </c>
      <c r="BD87" s="777">
        <f t="shared" si="409"/>
        <v>-7434.8559999999998</v>
      </c>
      <c r="BE87" s="777">
        <f t="shared" si="409"/>
        <v>-7434.8559999999998</v>
      </c>
      <c r="BF87" s="777">
        <f t="shared" si="409"/>
        <v>-7434.8559999999998</v>
      </c>
      <c r="BG87" s="777">
        <f t="shared" si="409"/>
        <v>-7434.8559999999998</v>
      </c>
      <c r="BH87" s="1047">
        <f>-(BH33+BH39)</f>
        <v>-7434.8559999999998</v>
      </c>
      <c r="BI87" s="777">
        <f t="shared" ref="BI87:BK87" si="410">-(BI33+BI39)</f>
        <v>-7434.8559999999998</v>
      </c>
      <c r="BJ87" s="777">
        <f t="shared" si="410"/>
        <v>-7434.8559999999998</v>
      </c>
      <c r="BK87" s="778">
        <f t="shared" si="410"/>
        <v>-7434.8559999999998</v>
      </c>
      <c r="BL87" s="1047">
        <f>-(BL33+BL39)</f>
        <v>-7434.8559999999998</v>
      </c>
      <c r="BM87" s="777">
        <f t="shared" ref="BM87:BO87" si="411">-(BM33+BM39)</f>
        <v>-7434.8559999999998</v>
      </c>
      <c r="BN87" s="777">
        <f t="shared" si="411"/>
        <v>-7434.8559999999998</v>
      </c>
      <c r="BO87" s="778">
        <f t="shared" si="411"/>
        <v>-7434.8559999999998</v>
      </c>
      <c r="BP87" s="779"/>
      <c r="BQ87" s="884">
        <f t="shared" ref="BQ87:BV87" si="412">-BQ39-BQ33</f>
        <v>0</v>
      </c>
      <c r="BR87" s="884">
        <f t="shared" si="412"/>
        <v>0</v>
      </c>
      <c r="BS87" s="884">
        <f t="shared" si="412"/>
        <v>0</v>
      </c>
      <c r="BT87" s="884">
        <f t="shared" si="412"/>
        <v>0</v>
      </c>
      <c r="BU87" s="884">
        <f t="shared" si="412"/>
        <v>-379.62599999999998</v>
      </c>
      <c r="BV87" s="884">
        <f t="shared" si="412"/>
        <v>-400.63499999999999</v>
      </c>
      <c r="BW87" s="885">
        <f>+AE87</f>
        <v>-864.83299999999997</v>
      </c>
      <c r="BX87" s="1013">
        <f>+AI87</f>
        <v>-808.33299999999997</v>
      </c>
      <c r="BY87" s="885">
        <f>+AM87</f>
        <v>-873.22500000000002</v>
      </c>
      <c r="BZ87" s="885">
        <f>+AQ87</f>
        <v>-875</v>
      </c>
      <c r="CA87" s="885">
        <f>AU87</f>
        <v>-875</v>
      </c>
      <c r="CB87" s="885">
        <f>AY87</f>
        <v>-500</v>
      </c>
      <c r="CC87" s="1013">
        <f>BC87</f>
        <v>-7851.0839999999998</v>
      </c>
      <c r="CD87" s="1013">
        <f>BG87</f>
        <v>-7434.8559999999998</v>
      </c>
      <c r="CE87" s="1013">
        <f>BK87</f>
        <v>-7434.8559999999998</v>
      </c>
      <c r="CF87" s="1090">
        <f>BO87</f>
        <v>-7434.8559999999998</v>
      </c>
      <c r="CG87" s="779"/>
      <c r="CH87" s="781"/>
      <c r="CI87" s="780"/>
      <c r="CJ87" s="780"/>
      <c r="CK87" s="780"/>
      <c r="CL87" s="780"/>
      <c r="CM87" s="780"/>
      <c r="CN87" s="780"/>
      <c r="CO87" s="780"/>
      <c r="CP87" s="780"/>
      <c r="CQ87" s="780"/>
      <c r="CR87" s="780"/>
      <c r="CS87" s="780"/>
      <c r="CT87" s="780"/>
      <c r="CU87" s="780"/>
      <c r="CV87" s="1230"/>
      <c r="CW87" s="782"/>
    </row>
    <row r="88" spans="1:101" ht="14.25" customHeight="1">
      <c r="A88" s="107"/>
      <c r="B88" s="364" t="s">
        <v>352</v>
      </c>
      <c r="C88" s="687"/>
      <c r="D88" s="1048">
        <f t="shared" ref="D88:AA88" si="413">+D86+D87</f>
        <v>2598.3720000000003</v>
      </c>
      <c r="E88" s="773">
        <f t="shared" si="413"/>
        <v>2617.259</v>
      </c>
      <c r="F88" s="773">
        <f t="shared" si="413"/>
        <v>2783.886</v>
      </c>
      <c r="G88" s="774">
        <f t="shared" si="413"/>
        <v>2705.942</v>
      </c>
      <c r="H88" s="1048">
        <f t="shared" si="413"/>
        <v>2735.114</v>
      </c>
      <c r="I88" s="773">
        <f t="shared" si="413"/>
        <v>2692.7959999999998</v>
      </c>
      <c r="J88" s="773">
        <f t="shared" si="413"/>
        <v>2516.0609999999997</v>
      </c>
      <c r="K88" s="774">
        <f t="shared" si="413"/>
        <v>2128.3339999999998</v>
      </c>
      <c r="L88" s="1048">
        <f t="shared" si="413"/>
        <v>1953.8209999999999</v>
      </c>
      <c r="M88" s="773">
        <f t="shared" si="413"/>
        <v>1794.672</v>
      </c>
      <c r="N88" s="773">
        <f t="shared" si="413"/>
        <v>1283.5900000000001</v>
      </c>
      <c r="O88" s="774">
        <f t="shared" si="413"/>
        <v>1081.2069999999999</v>
      </c>
      <c r="P88" s="1048">
        <f t="shared" si="413"/>
        <v>1271.7660000000001</v>
      </c>
      <c r="Q88" s="773">
        <f t="shared" si="413"/>
        <v>1185.1790000000001</v>
      </c>
      <c r="R88" s="773">
        <f t="shared" si="413"/>
        <v>1277.644</v>
      </c>
      <c r="S88" s="774">
        <f t="shared" si="413"/>
        <v>1309.6860000000001</v>
      </c>
      <c r="T88" s="1048">
        <f t="shared" si="413"/>
        <v>1283.1309999999999</v>
      </c>
      <c r="U88" s="773">
        <f t="shared" si="413"/>
        <v>1285.4780000000001</v>
      </c>
      <c r="V88" s="773">
        <f t="shared" si="413"/>
        <v>1349.518</v>
      </c>
      <c r="W88" s="774">
        <f t="shared" si="413"/>
        <v>1436.347</v>
      </c>
      <c r="X88" s="1048">
        <f t="shared" si="413"/>
        <v>1797.539</v>
      </c>
      <c r="Y88" s="773">
        <f t="shared" si="413"/>
        <v>2003.433</v>
      </c>
      <c r="Z88" s="773">
        <f t="shared" si="413"/>
        <v>2112.5590000000002</v>
      </c>
      <c r="AA88" s="774">
        <f t="shared" si="413"/>
        <v>2287.1329999999998</v>
      </c>
      <c r="AB88" s="1048">
        <f t="shared" ref="AB88:AQ88" si="414">+AB86+AB87</f>
        <v>2442.9160000000002</v>
      </c>
      <c r="AC88" s="773">
        <f t="shared" si="414"/>
        <v>2541.7649999999999</v>
      </c>
      <c r="AD88" s="773">
        <f t="shared" si="414"/>
        <v>2646.08</v>
      </c>
      <c r="AE88" s="774">
        <f t="shared" si="414"/>
        <v>2727.6289999999999</v>
      </c>
      <c r="AF88" s="773">
        <f t="shared" si="414"/>
        <v>2818.19</v>
      </c>
      <c r="AG88" s="773">
        <f t="shared" si="414"/>
        <v>2907.0419999999999</v>
      </c>
      <c r="AH88" s="773">
        <f t="shared" si="414"/>
        <v>2923.087</v>
      </c>
      <c r="AI88" s="774">
        <f t="shared" si="414"/>
        <v>3092.0450000000001</v>
      </c>
      <c r="AJ88" s="773">
        <f t="shared" si="414"/>
        <v>3238.7539999999999</v>
      </c>
      <c r="AK88" s="773">
        <f t="shared" si="414"/>
        <v>3423.9160000000006</v>
      </c>
      <c r="AL88" s="773">
        <f t="shared" si="414"/>
        <v>3577.0679999999998</v>
      </c>
      <c r="AM88" s="773">
        <f t="shared" si="414"/>
        <v>3809.6870000000004</v>
      </c>
      <c r="AN88" s="1048">
        <f t="shared" si="414"/>
        <v>3826.1089999999995</v>
      </c>
      <c r="AO88" s="773">
        <f t="shared" si="414"/>
        <v>3932.2250000000004</v>
      </c>
      <c r="AP88" s="773">
        <f t="shared" si="414"/>
        <v>4057.259</v>
      </c>
      <c r="AQ88" s="774">
        <f t="shared" si="414"/>
        <v>1991.4679999999998</v>
      </c>
      <c r="AR88" s="1048">
        <f t="shared" ref="AR88:AW88" si="415">+AR86+AR87</f>
        <v>1998.2809999999999</v>
      </c>
      <c r="AS88" s="773">
        <f t="shared" si="415"/>
        <v>2199.7779999999998</v>
      </c>
      <c r="AT88" s="773">
        <f t="shared" si="415"/>
        <v>2224.9609999999998</v>
      </c>
      <c r="AU88" s="774">
        <f t="shared" si="415"/>
        <v>2153.9279999999999</v>
      </c>
      <c r="AV88" s="1048">
        <f>+AV86+AV87</f>
        <v>2058.5199999999995</v>
      </c>
      <c r="AW88" s="773">
        <f t="shared" si="415"/>
        <v>2022.7450000000001</v>
      </c>
      <c r="AX88" s="773">
        <f>+AX86+AX87</f>
        <v>2053.4340000000002</v>
      </c>
      <c r="AY88" s="774">
        <f t="shared" ref="AY88" si="416">+AY86+AY87</f>
        <v>3555.7930000000001</v>
      </c>
      <c r="AZ88" s="1048">
        <f>+AZ86+AZ87</f>
        <v>2511.6659999999997</v>
      </c>
      <c r="BA88" s="773">
        <f t="shared" ref="BA88:BG88" si="417">+BA86+BA87</f>
        <v>-6705.1609999999991</v>
      </c>
      <c r="BB88" s="773">
        <f>+BB86+BB87</f>
        <v>-7290.6610000000001</v>
      </c>
      <c r="BC88" s="774">
        <f t="shared" si="417"/>
        <v>-6803.2460000000001</v>
      </c>
      <c r="BD88" s="773">
        <f t="shared" si="417"/>
        <v>-6607.3059999999996</v>
      </c>
      <c r="BE88" s="773">
        <f t="shared" si="417"/>
        <v>-6323.150669588038</v>
      </c>
      <c r="BF88" s="773">
        <f t="shared" si="417"/>
        <v>-5914.5153490196908</v>
      </c>
      <c r="BG88" s="774">
        <f t="shared" si="417"/>
        <v>-5508.6207260249785</v>
      </c>
      <c r="BH88" s="773">
        <f t="shared" ref="BH88:BK88" si="418">+BH86+BH87</f>
        <v>-5115.5246408984967</v>
      </c>
      <c r="BI88" s="773">
        <f t="shared" si="418"/>
        <v>-4753.3721163427763</v>
      </c>
      <c r="BJ88" s="773">
        <f t="shared" si="418"/>
        <v>-4347.7425968556727</v>
      </c>
      <c r="BK88" s="774">
        <f t="shared" si="418"/>
        <v>-3918.3531689626066</v>
      </c>
      <c r="BL88" s="773">
        <f t="shared" ref="BL88:BO88" si="419">+BL86+BL87</f>
        <v>-3447.1470560914991</v>
      </c>
      <c r="BM88" s="773">
        <f t="shared" si="419"/>
        <v>-3026.9097731893362</v>
      </c>
      <c r="BN88" s="773">
        <f t="shared" si="419"/>
        <v>-2562.9781222823967</v>
      </c>
      <c r="BO88" s="774">
        <f t="shared" si="419"/>
        <v>-2077.7393893482713</v>
      </c>
      <c r="BP88" s="343"/>
      <c r="BQ88" s="82">
        <f>+SUM(BQ86:BQ87)</f>
        <v>2705.942</v>
      </c>
      <c r="BR88" s="82">
        <f t="shared" ref="BR88:CB88" si="420">+SUM(BR86:BR87)</f>
        <v>2128.3339999999998</v>
      </c>
      <c r="BS88" s="82">
        <f t="shared" si="420"/>
        <v>1081.2069999999999</v>
      </c>
      <c r="BT88" s="82">
        <f t="shared" si="420"/>
        <v>1309.6860000000001</v>
      </c>
      <c r="BU88" s="82">
        <f t="shared" si="420"/>
        <v>1436.347</v>
      </c>
      <c r="BV88" s="82">
        <f t="shared" si="420"/>
        <v>2287.1329999999998</v>
      </c>
      <c r="BW88" s="721">
        <f t="shared" si="420"/>
        <v>2727.6289999999999</v>
      </c>
      <c r="BX88" s="319">
        <f t="shared" si="420"/>
        <v>3092.0450000000001</v>
      </c>
      <c r="BY88" s="721">
        <f t="shared" si="420"/>
        <v>3809.6870000000004</v>
      </c>
      <c r="BZ88" s="721">
        <f t="shared" si="420"/>
        <v>1991.4679999999998</v>
      </c>
      <c r="CA88" s="721">
        <f t="shared" si="420"/>
        <v>2153.9279999999999</v>
      </c>
      <c r="CB88" s="721">
        <f t="shared" si="420"/>
        <v>3555.7930000000001</v>
      </c>
      <c r="CC88" s="319">
        <f>+SUM(CC86:CC87)</f>
        <v>-6803.2460000000001</v>
      </c>
      <c r="CD88" s="319">
        <f>+SUM(CD86:CD87)</f>
        <v>-5508.6207260249785</v>
      </c>
      <c r="CE88" s="319">
        <f>+SUM(CE86:CE87)</f>
        <v>-3918.3531689626066</v>
      </c>
      <c r="CF88" s="740">
        <f>+SUM(CF86:CF87)</f>
        <v>-2077.7393893482713</v>
      </c>
      <c r="CG88" s="343"/>
      <c r="CH88" s="751"/>
      <c r="CI88" s="750"/>
      <c r="CJ88" s="750"/>
      <c r="CK88" s="750"/>
      <c r="CL88" s="750"/>
      <c r="CM88" s="750"/>
      <c r="CN88" s="750"/>
      <c r="CO88" s="750"/>
      <c r="CP88" s="750"/>
      <c r="CQ88" s="750"/>
      <c r="CR88" s="750"/>
      <c r="CS88" s="750"/>
      <c r="CT88" s="750"/>
      <c r="CU88" s="750"/>
      <c r="CV88" s="752"/>
      <c r="CW88" s="344"/>
    </row>
    <row r="89" spans="1:101" ht="14.25" customHeight="1">
      <c r="A89" s="107"/>
      <c r="B89" s="364"/>
      <c r="C89" s="687"/>
      <c r="D89" s="1099"/>
      <c r="E89" s="748"/>
      <c r="F89" s="748"/>
      <c r="G89" s="749"/>
      <c r="H89" s="1099"/>
      <c r="I89" s="748"/>
      <c r="J89" s="748"/>
      <c r="K89" s="749"/>
      <c r="L89" s="1099"/>
      <c r="M89" s="748"/>
      <c r="N89" s="748"/>
      <c r="O89" s="749"/>
      <c r="P89" s="1099"/>
      <c r="Q89" s="748"/>
      <c r="R89" s="748"/>
      <c r="S89" s="749"/>
      <c r="T89" s="1099"/>
      <c r="U89" s="748"/>
      <c r="V89" s="748"/>
      <c r="W89" s="749"/>
      <c r="X89" s="1099"/>
      <c r="Y89" s="748"/>
      <c r="Z89" s="748"/>
      <c r="AA89" s="749"/>
      <c r="AB89" s="1099"/>
      <c r="AC89" s="748"/>
      <c r="AD89" s="748"/>
      <c r="AE89" s="749"/>
      <c r="AF89" s="773"/>
      <c r="AG89" s="773"/>
      <c r="AH89" s="773"/>
      <c r="AI89" s="774"/>
      <c r="AJ89" s="773"/>
      <c r="AK89" s="773"/>
      <c r="AL89" s="773"/>
      <c r="AM89" s="773"/>
      <c r="AN89" s="1048"/>
      <c r="AO89" s="773"/>
      <c r="AP89" s="773"/>
      <c r="AQ89" s="774"/>
      <c r="AR89" s="1048"/>
      <c r="AS89" s="773"/>
      <c r="AT89" s="773"/>
      <c r="AU89" s="774"/>
      <c r="AV89" s="1048"/>
      <c r="AW89" s="773"/>
      <c r="AX89" s="773"/>
      <c r="AY89" s="774"/>
      <c r="AZ89" s="1048"/>
      <c r="BA89" s="773"/>
      <c r="BB89" s="773"/>
      <c r="BC89" s="774"/>
      <c r="BD89" s="773"/>
      <c r="BE89" s="773"/>
      <c r="BF89" s="773"/>
      <c r="BG89" s="774"/>
      <c r="BH89" s="773"/>
      <c r="BI89" s="773"/>
      <c r="BJ89" s="773"/>
      <c r="BK89" s="774"/>
      <c r="BL89" s="773"/>
      <c r="BM89" s="773"/>
      <c r="BN89" s="773"/>
      <c r="BO89" s="774"/>
      <c r="BP89" s="343"/>
      <c r="BQ89" s="750"/>
      <c r="BR89" s="750"/>
      <c r="BS89" s="750"/>
      <c r="BT89" s="750"/>
      <c r="BU89" s="750"/>
      <c r="BV89" s="750"/>
      <c r="BW89" s="750"/>
      <c r="BX89" s="750"/>
      <c r="BY89" s="750"/>
      <c r="BZ89" s="750"/>
      <c r="CA89" s="750"/>
      <c r="CB89" s="750"/>
      <c r="CC89" s="750"/>
      <c r="CD89" s="750"/>
      <c r="CE89" s="750"/>
      <c r="CF89" s="752"/>
      <c r="CG89" s="343"/>
      <c r="CH89" s="751"/>
      <c r="CI89" s="750"/>
      <c r="CJ89" s="750"/>
      <c r="CK89" s="750"/>
      <c r="CL89" s="750"/>
      <c r="CM89" s="750"/>
      <c r="CN89" s="750"/>
      <c r="CO89" s="750"/>
      <c r="CP89" s="750"/>
      <c r="CQ89" s="750"/>
      <c r="CR89" s="750"/>
      <c r="CS89" s="750"/>
      <c r="CT89" s="750"/>
      <c r="CU89" s="750"/>
      <c r="CV89" s="752"/>
      <c r="CW89" s="344"/>
    </row>
    <row r="90" spans="1:101" ht="14.25" customHeight="1">
      <c r="A90" s="299"/>
      <c r="B90" s="364" t="s">
        <v>351</v>
      </c>
      <c r="C90" s="483"/>
      <c r="D90" s="1049"/>
      <c r="E90" s="783"/>
      <c r="F90" s="783"/>
      <c r="G90" s="784"/>
      <c r="H90" s="1049"/>
      <c r="I90" s="783"/>
      <c r="J90" s="783"/>
      <c r="K90" s="784"/>
      <c r="L90" s="1049"/>
      <c r="M90" s="783"/>
      <c r="N90" s="783"/>
      <c r="O90" s="784"/>
      <c r="P90" s="1049"/>
      <c r="Q90" s="783"/>
      <c r="R90" s="783"/>
      <c r="S90" s="784"/>
      <c r="T90" s="1049"/>
      <c r="U90" s="783"/>
      <c r="V90" s="783"/>
      <c r="W90" s="784"/>
      <c r="X90" s="1049"/>
      <c r="Y90" s="783"/>
      <c r="Z90" s="783"/>
      <c r="AA90" s="784"/>
      <c r="AB90" s="1049">
        <f t="shared" ref="AB90:AQ90" si="421">+AB88/AB81</f>
        <v>7.9097679117235664</v>
      </c>
      <c r="AC90" s="783">
        <f t="shared" si="421"/>
        <v>8.2093314686760159</v>
      </c>
      <c r="AD90" s="783">
        <f t="shared" si="421"/>
        <v>8.5704661467105421</v>
      </c>
      <c r="AE90" s="784">
        <f t="shared" si="421"/>
        <v>8.9215756180208938</v>
      </c>
      <c r="AF90" s="783">
        <f t="shared" si="421"/>
        <v>9.2239085395589981</v>
      </c>
      <c r="AG90" s="783">
        <f t="shared" si="421"/>
        <v>9.5025905380800921</v>
      </c>
      <c r="AH90" s="783">
        <f t="shared" si="421"/>
        <v>9.5726243536296636</v>
      </c>
      <c r="AI90" s="784">
        <f t="shared" si="421"/>
        <v>10.040606713989751</v>
      </c>
      <c r="AJ90" s="783">
        <f t="shared" si="421"/>
        <v>10.438333736201757</v>
      </c>
      <c r="AK90" s="783">
        <f t="shared" si="421"/>
        <v>10.926182635112713</v>
      </c>
      <c r="AL90" s="783">
        <f t="shared" si="421"/>
        <v>11.344714833479751</v>
      </c>
      <c r="AM90" s="783">
        <f t="shared" si="421"/>
        <v>12.009756758801574</v>
      </c>
      <c r="AN90" s="1049">
        <f t="shared" si="421"/>
        <v>12.031146133697254</v>
      </c>
      <c r="AO90" s="783">
        <f t="shared" si="421"/>
        <v>12.352008971342594</v>
      </c>
      <c r="AP90" s="783">
        <f t="shared" si="421"/>
        <v>12.723626111717408</v>
      </c>
      <c r="AQ90" s="784">
        <f t="shared" si="421"/>
        <v>6.2848504740144158</v>
      </c>
      <c r="AR90" s="1049">
        <f t="shared" ref="AR90:AW90" si="422">+AR88/AR81</f>
        <v>6.3300040546875982</v>
      </c>
      <c r="AS90" s="783">
        <f t="shared" si="422"/>
        <v>6.9383340640346685</v>
      </c>
      <c r="AT90" s="783">
        <f t="shared" si="422"/>
        <v>6.9926206916058788</v>
      </c>
      <c r="AU90" s="784">
        <f t="shared" si="422"/>
        <v>6.8039333988268025</v>
      </c>
      <c r="AV90" s="1049">
        <f>+AV88/AV81</f>
        <v>6.5392813690266287</v>
      </c>
      <c r="AW90" s="783">
        <f t="shared" si="422"/>
        <v>6.4779663730984796</v>
      </c>
      <c r="AX90" s="783">
        <f>+AX88/AX81</f>
        <v>6.6120789031356466</v>
      </c>
      <c r="AY90" s="784">
        <f t="shared" ref="AY90" si="423">+AY88/AY81</f>
        <v>11.410194042351099</v>
      </c>
      <c r="AZ90" s="1049">
        <f>+AZ88/AZ81</f>
        <v>8.0225440468129126</v>
      </c>
      <c r="BA90" s="783">
        <f t="shared" ref="BA90:BG90" si="424">+BA88/BA81</f>
        <v>-19.398476511193273</v>
      </c>
      <c r="BB90" s="783">
        <f>+BB88/BB81</f>
        <v>-19.642958947513062</v>
      </c>
      <c r="BC90" s="784">
        <f t="shared" si="424"/>
        <v>-18.285690479582211</v>
      </c>
      <c r="BD90" s="783">
        <f t="shared" si="424"/>
        <v>-17.657670321682357</v>
      </c>
      <c r="BE90" s="783">
        <f t="shared" si="424"/>
        <v>-16.853241085394394</v>
      </c>
      <c r="BF90" s="783">
        <f t="shared" si="424"/>
        <v>-15.722191103460469</v>
      </c>
      <c r="BG90" s="784">
        <f t="shared" si="424"/>
        <v>-14.604404492243884</v>
      </c>
      <c r="BH90" s="783">
        <f t="shared" ref="BH90:BK90" si="425">+BH88/BH81</f>
        <v>-13.526370785238324</v>
      </c>
      <c r="BI90" s="783">
        <f t="shared" si="425"/>
        <v>-12.535627658879282</v>
      </c>
      <c r="BJ90" s="783">
        <f t="shared" si="425"/>
        <v>-11.435740110459989</v>
      </c>
      <c r="BK90" s="784">
        <f t="shared" si="425"/>
        <v>-10.279292343070253</v>
      </c>
      <c r="BL90" s="783">
        <f t="shared" ref="BL90:BO90" si="426">+BL88/BL81</f>
        <v>-9.0194826541096127</v>
      </c>
      <c r="BM90" s="783">
        <f t="shared" si="426"/>
        <v>-7.8992606081837842</v>
      </c>
      <c r="BN90" s="783">
        <f t="shared" si="426"/>
        <v>-6.6711387423439934</v>
      </c>
      <c r="BO90" s="784">
        <f t="shared" si="426"/>
        <v>-5.3940776848463257</v>
      </c>
      <c r="BP90" s="886"/>
      <c r="BQ90" s="887"/>
      <c r="BR90" s="887"/>
      <c r="BS90" s="887"/>
      <c r="BT90" s="887"/>
      <c r="BU90" s="887"/>
      <c r="BV90" s="887"/>
      <c r="BW90" s="888">
        <f>+AE90</f>
        <v>8.9215756180208938</v>
      </c>
      <c r="BX90" s="1018">
        <f>+AI90</f>
        <v>10.040606713989751</v>
      </c>
      <c r="BY90" s="888">
        <f>+AM90</f>
        <v>12.009756758801574</v>
      </c>
      <c r="BZ90" s="888">
        <f>+AQ90</f>
        <v>6.2848504740144158</v>
      </c>
      <c r="CA90" s="888">
        <f>AU90</f>
        <v>6.8039333988268025</v>
      </c>
      <c r="CB90" s="888">
        <f>AY90</f>
        <v>11.410194042351099</v>
      </c>
      <c r="CC90" s="1018">
        <f>BC90</f>
        <v>-18.285690479582211</v>
      </c>
      <c r="CD90" s="1018">
        <f>BG90</f>
        <v>-14.604404492243884</v>
      </c>
      <c r="CE90" s="1018">
        <f>BK90</f>
        <v>-10.279292343070253</v>
      </c>
      <c r="CF90" s="1091">
        <f>BO90</f>
        <v>-5.3940776848463257</v>
      </c>
      <c r="CG90" s="488"/>
      <c r="CH90" s="786"/>
      <c r="CI90" s="785"/>
      <c r="CJ90" s="785"/>
      <c r="CK90" s="785"/>
      <c r="CL90" s="785"/>
      <c r="CM90" s="785"/>
      <c r="CN90" s="785"/>
      <c r="CO90" s="785"/>
      <c r="CP90" s="785"/>
      <c r="CQ90" s="785"/>
      <c r="CR90" s="785"/>
      <c r="CS90" s="785"/>
      <c r="CT90" s="785"/>
      <c r="CU90" s="785"/>
      <c r="CV90" s="787"/>
      <c r="CW90" s="346"/>
    </row>
    <row r="91" spans="1:101" ht="14.25" customHeight="1">
      <c r="A91" s="299"/>
      <c r="B91" s="364"/>
      <c r="C91" s="483"/>
      <c r="D91" s="1048"/>
      <c r="E91" s="773"/>
      <c r="F91" s="773"/>
      <c r="G91" s="774"/>
      <c r="H91" s="1048"/>
      <c r="I91" s="773"/>
      <c r="J91" s="773"/>
      <c r="K91" s="774"/>
      <c r="L91" s="1048"/>
      <c r="M91" s="773"/>
      <c r="N91" s="773"/>
      <c r="O91" s="774"/>
      <c r="P91" s="1048"/>
      <c r="Q91" s="773"/>
      <c r="R91" s="773"/>
      <c r="S91" s="774"/>
      <c r="T91" s="1048"/>
      <c r="U91" s="773"/>
      <c r="V91" s="773"/>
      <c r="W91" s="774"/>
      <c r="X91" s="1048"/>
      <c r="Y91" s="773"/>
      <c r="Z91" s="773"/>
      <c r="AA91" s="774"/>
      <c r="AB91" s="1048"/>
      <c r="AC91" s="773"/>
      <c r="AD91" s="773"/>
      <c r="AE91" s="774"/>
      <c r="AF91" s="783"/>
      <c r="AG91" s="783"/>
      <c r="AH91" s="783"/>
      <c r="AI91" s="784"/>
      <c r="AJ91" s="783"/>
      <c r="AK91" s="783"/>
      <c r="AL91" s="783"/>
      <c r="AM91" s="783"/>
      <c r="AN91" s="1049"/>
      <c r="AO91" s="783"/>
      <c r="AP91" s="783"/>
      <c r="AQ91" s="784"/>
      <c r="AR91" s="1049"/>
      <c r="AS91" s="783"/>
      <c r="AT91" s="783"/>
      <c r="AU91" s="784"/>
      <c r="AV91" s="1049"/>
      <c r="AW91" s="783"/>
      <c r="AX91" s="783"/>
      <c r="AY91" s="784"/>
      <c r="AZ91" s="1049"/>
      <c r="BA91" s="783"/>
      <c r="BB91" s="783"/>
      <c r="BC91" s="784"/>
      <c r="BD91" s="783"/>
      <c r="BE91" s="783"/>
      <c r="BF91" s="783"/>
      <c r="BG91" s="784"/>
      <c r="BH91" s="783"/>
      <c r="BI91" s="783"/>
      <c r="BJ91" s="783"/>
      <c r="BK91" s="784"/>
      <c r="BL91" s="783"/>
      <c r="BM91" s="783"/>
      <c r="BN91" s="783"/>
      <c r="BO91" s="784"/>
      <c r="BP91" s="488"/>
      <c r="BQ91" s="785"/>
      <c r="BR91" s="785"/>
      <c r="BS91" s="785"/>
      <c r="BT91" s="785"/>
      <c r="BU91" s="785"/>
      <c r="BV91" s="785"/>
      <c r="BW91" s="785"/>
      <c r="BX91" s="785"/>
      <c r="BY91" s="785"/>
      <c r="BZ91" s="785"/>
      <c r="CA91" s="785"/>
      <c r="CB91" s="785"/>
      <c r="CC91" s="785"/>
      <c r="CD91" s="785"/>
      <c r="CE91" s="785"/>
      <c r="CF91" s="787"/>
      <c r="CG91" s="488"/>
      <c r="CH91" s="786"/>
      <c r="CI91" s="785"/>
      <c r="CJ91" s="785"/>
      <c r="CK91" s="785"/>
      <c r="CL91" s="785"/>
      <c r="CM91" s="785"/>
      <c r="CN91" s="785"/>
      <c r="CO91" s="785"/>
      <c r="CP91" s="785"/>
      <c r="CQ91" s="785"/>
      <c r="CR91" s="785"/>
      <c r="CS91" s="785"/>
      <c r="CT91" s="785"/>
      <c r="CU91" s="785"/>
      <c r="CV91" s="787"/>
      <c r="CW91" s="346"/>
    </row>
    <row r="92" spans="1:101" ht="14.25" customHeight="1">
      <c r="A92" s="8"/>
      <c r="B92" s="360" t="s">
        <v>353</v>
      </c>
      <c r="C92" s="27"/>
      <c r="D92" s="1043"/>
      <c r="E92" s="179"/>
      <c r="F92" s="179"/>
      <c r="G92" s="185"/>
      <c r="H92" s="1043"/>
      <c r="I92" s="179"/>
      <c r="J92" s="179"/>
      <c r="K92" s="185"/>
      <c r="L92" s="1043"/>
      <c r="M92" s="179"/>
      <c r="N92" s="179"/>
      <c r="O92" s="185"/>
      <c r="P92" s="1043"/>
      <c r="Q92" s="179"/>
      <c r="R92" s="179"/>
      <c r="S92" s="185"/>
      <c r="T92" s="1043"/>
      <c r="U92" s="179"/>
      <c r="V92" s="179"/>
      <c r="W92" s="185"/>
      <c r="X92" s="1043"/>
      <c r="Y92" s="179"/>
      <c r="Z92" s="179"/>
      <c r="AA92" s="185"/>
      <c r="AB92" s="1043"/>
      <c r="AC92" s="179"/>
      <c r="AD92" s="179"/>
      <c r="AE92" s="185"/>
      <c r="AF92" s="179"/>
      <c r="AG92" s="179"/>
      <c r="AH92" s="179"/>
      <c r="AI92" s="185"/>
      <c r="AJ92" s="179"/>
      <c r="AK92" s="179"/>
      <c r="AL92" s="179"/>
      <c r="AM92" s="179"/>
      <c r="AN92" s="1043"/>
      <c r="AO92" s="179"/>
      <c r="AP92" s="179"/>
      <c r="AQ92" s="185"/>
      <c r="AR92" s="1043"/>
      <c r="AS92" s="179"/>
      <c r="AT92" s="179"/>
      <c r="AU92" s="185"/>
      <c r="AV92" s="1043"/>
      <c r="AW92" s="179"/>
      <c r="AX92" s="179"/>
      <c r="AY92" s="185"/>
      <c r="AZ92" s="1043"/>
      <c r="BA92" s="179"/>
      <c r="BB92" s="179"/>
      <c r="BC92" s="185"/>
      <c r="BD92" s="179"/>
      <c r="BE92" s="179"/>
      <c r="BF92" s="179"/>
      <c r="BG92" s="185"/>
      <c r="BH92" s="179"/>
      <c r="BI92" s="179"/>
      <c r="BJ92" s="179"/>
      <c r="BK92" s="185"/>
      <c r="BL92" s="179"/>
      <c r="BM92" s="179"/>
      <c r="BN92" s="179"/>
      <c r="BO92" s="185"/>
      <c r="BP92" s="23"/>
      <c r="BQ92" s="82"/>
      <c r="BR92" s="82"/>
      <c r="BS92" s="82"/>
      <c r="BT92" s="82"/>
      <c r="BU92" s="82"/>
      <c r="BV92" s="82"/>
      <c r="BW92" s="82"/>
      <c r="BX92" s="82"/>
      <c r="BY92" s="82"/>
      <c r="BZ92" s="82"/>
      <c r="CA92" s="82"/>
      <c r="CB92" s="82"/>
      <c r="CC92" s="82"/>
      <c r="CD92" s="82"/>
      <c r="CE92" s="82"/>
      <c r="CF92" s="83"/>
      <c r="CG92" s="23"/>
      <c r="CH92" s="81"/>
      <c r="CI92" s="82"/>
      <c r="CJ92" s="82"/>
      <c r="CK92" s="82"/>
      <c r="CL92" s="82"/>
      <c r="CM92" s="82"/>
      <c r="CN92" s="82"/>
      <c r="CO92" s="82"/>
      <c r="CP92" s="82"/>
      <c r="CQ92" s="82"/>
      <c r="CR92" s="82"/>
      <c r="CS92" s="82"/>
      <c r="CT92" s="82"/>
      <c r="CU92" s="82"/>
      <c r="CV92" s="83"/>
      <c r="CW92" s="25"/>
    </row>
    <row r="93" spans="1:101" ht="14.25" customHeight="1">
      <c r="A93" s="8"/>
      <c r="B93" s="26" t="s">
        <v>354</v>
      </c>
      <c r="C93" s="27"/>
      <c r="D93" s="1050">
        <f>D45/D81</f>
        <v>9.6221660521454115</v>
      </c>
      <c r="E93" s="180">
        <f t="shared" ref="E93:AA93" si="427">E45/E81</f>
        <v>9.7188292004174333</v>
      </c>
      <c r="F93" s="180">
        <f t="shared" si="427"/>
        <v>10.016767233497898</v>
      </c>
      <c r="G93" s="181">
        <f t="shared" si="427"/>
        <v>9.6989834658847585</v>
      </c>
      <c r="H93" s="1050">
        <f t="shared" si="427"/>
        <v>9.7535317363285721</v>
      </c>
      <c r="I93" s="180">
        <f t="shared" si="427"/>
        <v>9.6677936684438617</v>
      </c>
      <c r="J93" s="180">
        <f t="shared" si="427"/>
        <v>9.8701473716113473</v>
      </c>
      <c r="K93" s="181">
        <f t="shared" si="427"/>
        <v>9.6196509166657336</v>
      </c>
      <c r="L93" s="1050">
        <f t="shared" si="427"/>
        <v>9.3388668071750924</v>
      </c>
      <c r="M93" s="180">
        <f t="shared" si="427"/>
        <v>9.0435397237634287</v>
      </c>
      <c r="N93" s="180">
        <f t="shared" si="427"/>
        <v>7.749360738824004</v>
      </c>
      <c r="O93" s="181">
        <f t="shared" si="427"/>
        <v>7.4472524496136385</v>
      </c>
      <c r="P93" s="1050">
        <f t="shared" si="427"/>
        <v>7.68833563399724</v>
      </c>
      <c r="Q93" s="180">
        <f t="shared" si="427"/>
        <v>7.8002505417118089</v>
      </c>
      <c r="R93" s="180">
        <f t="shared" si="427"/>
        <v>8.1028810071830275</v>
      </c>
      <c r="S93" s="181">
        <f t="shared" si="427"/>
        <v>8.2372302770403643</v>
      </c>
      <c r="T93" s="1050">
        <f t="shared" si="427"/>
        <v>8.2474901115200794</v>
      </c>
      <c r="U93" s="180">
        <f t="shared" si="427"/>
        <v>8.2758902498238989</v>
      </c>
      <c r="V93" s="180">
        <f t="shared" si="427"/>
        <v>8.3879195043059323</v>
      </c>
      <c r="W93" s="181">
        <f t="shared" si="427"/>
        <v>8.602079478667827</v>
      </c>
      <c r="X93" s="1050">
        <f t="shared" si="427"/>
        <v>9.0708266334131835</v>
      </c>
      <c r="Y93" s="180">
        <f t="shared" si="427"/>
        <v>9.4503263186805988</v>
      </c>
      <c r="Z93" s="180">
        <f t="shared" si="427"/>
        <v>9.9111435551723233</v>
      </c>
      <c r="AA93" s="181">
        <f t="shared" si="427"/>
        <v>10.432351627427774</v>
      </c>
      <c r="AB93" s="1050">
        <f t="shared" ref="AB93:AQ93" si="428">AB45/AB81</f>
        <v>10.893471869657565</v>
      </c>
      <c r="AC93" s="180">
        <f t="shared" si="428"/>
        <v>11.56905099493248</v>
      </c>
      <c r="AD93" s="180">
        <f t="shared" si="428"/>
        <v>12.034944808644054</v>
      </c>
      <c r="AE93" s="181">
        <f t="shared" si="428"/>
        <v>12.414101800911904</v>
      </c>
      <c r="AF93" s="180">
        <f t="shared" si="428"/>
        <v>12.576252491563867</v>
      </c>
      <c r="AG93" s="180">
        <f t="shared" si="428"/>
        <v>12.830567368699763</v>
      </c>
      <c r="AH93" s="180">
        <f t="shared" si="428"/>
        <v>13.193015434292096</v>
      </c>
      <c r="AI93" s="181">
        <f t="shared" si="428"/>
        <v>13.525912961026648</v>
      </c>
      <c r="AJ93" s="180">
        <f t="shared" si="428"/>
        <v>13.935370236080896</v>
      </c>
      <c r="AK93" s="180">
        <f t="shared" si="428"/>
        <v>14.234350667585714</v>
      </c>
      <c r="AL93" s="180">
        <f t="shared" si="428"/>
        <v>14.726079662043658</v>
      </c>
      <c r="AM93" s="180">
        <f t="shared" si="428"/>
        <v>14.941163119136487</v>
      </c>
      <c r="AN93" s="1050">
        <f t="shared" si="428"/>
        <v>15.079807054339863</v>
      </c>
      <c r="AO93" s="180">
        <f t="shared" si="428"/>
        <v>15.491030228021625</v>
      </c>
      <c r="AP93" s="180">
        <f t="shared" si="428"/>
        <v>15.70264616967097</v>
      </c>
      <c r="AQ93" s="181">
        <f t="shared" si="428"/>
        <v>15.015391267026017</v>
      </c>
      <c r="AR93" s="1050">
        <f t="shared" ref="AR93:AW93" si="429">AR45/AR81</f>
        <v>15.224750066522217</v>
      </c>
      <c r="AS93" s="180">
        <f t="shared" si="429"/>
        <v>15.657640665264138</v>
      </c>
      <c r="AT93" s="180">
        <f t="shared" si="429"/>
        <v>15.918818179246795</v>
      </c>
      <c r="AU93" s="181">
        <f t="shared" si="429"/>
        <v>16.024711676053712</v>
      </c>
      <c r="AV93" s="1050">
        <f>AV45/AV81</f>
        <v>15.867131734187227</v>
      </c>
      <c r="AW93" s="180">
        <f t="shared" si="429"/>
        <v>15.608329863891113</v>
      </c>
      <c r="AX93" s="180">
        <f>AX45/AX81</f>
        <v>16.046384250284969</v>
      </c>
      <c r="AY93" s="181">
        <f t="shared" ref="AY93" si="430">AY45/AY81</f>
        <v>16.575965959959312</v>
      </c>
      <c r="AZ93" s="1050">
        <f>AZ45/AZ81</f>
        <v>16.949338179866867</v>
      </c>
      <c r="BA93" s="180">
        <f t="shared" ref="BA93:BG93" si="431">BA45/BA81</f>
        <v>28.834021883154829</v>
      </c>
      <c r="BB93" s="180">
        <f>BB45/BB81</f>
        <v>26.734903370253718</v>
      </c>
      <c r="BC93" s="181">
        <f t="shared" si="431"/>
        <v>27.312076505229097</v>
      </c>
      <c r="BD93" s="180">
        <f t="shared" si="431"/>
        <v>27.65388346530764</v>
      </c>
      <c r="BE93" s="180">
        <f t="shared" si="431"/>
        <v>28.27297275894432</v>
      </c>
      <c r="BF93" s="180">
        <f t="shared" si="431"/>
        <v>29.334126524726923</v>
      </c>
      <c r="BG93" s="181">
        <f t="shared" si="431"/>
        <v>30.462600375268362</v>
      </c>
      <c r="BH93" s="180">
        <f t="shared" ref="BH93:BK93" si="432">BH45/BH81</f>
        <v>31.379054197517405</v>
      </c>
      <c r="BI93" s="180">
        <f t="shared" si="432"/>
        <v>32.407505096345055</v>
      </c>
      <c r="BJ93" s="180">
        <f t="shared" si="432"/>
        <v>33.530438092227627</v>
      </c>
      <c r="BK93" s="181">
        <f t="shared" si="432"/>
        <v>34.745700813852672</v>
      </c>
      <c r="BL93" s="180">
        <f t="shared" ref="BL93:BO93" si="433">BL45/BL81</f>
        <v>35.793430776271059</v>
      </c>
      <c r="BM93" s="180">
        <f t="shared" si="433"/>
        <v>36.950447253000291</v>
      </c>
      <c r="BN93" s="180">
        <f t="shared" si="433"/>
        <v>38.193156588250574</v>
      </c>
      <c r="BO93" s="181">
        <f t="shared" si="433"/>
        <v>39.516484027777423</v>
      </c>
      <c r="BP93" s="23"/>
      <c r="BQ93" s="182">
        <f t="shared" ref="BQ93:BW93" si="434">BQ45/BQ81</f>
        <v>9.6265642510729332</v>
      </c>
      <c r="BR93" s="182">
        <f t="shared" si="434"/>
        <v>9.2618087763351404</v>
      </c>
      <c r="BS93" s="182">
        <f t="shared" si="434"/>
        <v>7.0331837701361115</v>
      </c>
      <c r="BT93" s="182">
        <f t="shared" si="434"/>
        <v>8.1460097724666181</v>
      </c>
      <c r="BU93" s="182">
        <f t="shared" si="434"/>
        <v>8.6407993208028042</v>
      </c>
      <c r="BV93" s="182">
        <f t="shared" si="434"/>
        <v>10.46133500075606</v>
      </c>
      <c r="BW93" s="182">
        <f t="shared" si="434"/>
        <v>12.313324600854051</v>
      </c>
      <c r="BX93" s="182">
        <f t="shared" ref="BX93:BZ93" si="435">BX45/BX81</f>
        <v>13.603781950006738</v>
      </c>
      <c r="BY93" s="182">
        <f t="shared" si="435"/>
        <v>15.092196413531331</v>
      </c>
      <c r="BZ93" s="182">
        <f t="shared" si="435"/>
        <v>14.960670006005779</v>
      </c>
      <c r="CA93" s="182">
        <f t="shared" ref="CA93:CF93" si="436">CA45/CA81</f>
        <v>16.009477005323124</v>
      </c>
      <c r="CB93" s="182">
        <f t="shared" si="436"/>
        <v>16.540113381480172</v>
      </c>
      <c r="CC93" s="182">
        <f t="shared" si="436"/>
        <v>28.99275433648468</v>
      </c>
      <c r="CD93" s="182">
        <f t="shared" si="436"/>
        <v>30.584227307552521</v>
      </c>
      <c r="CE93" s="182">
        <f t="shared" si="436"/>
        <v>34.882967237743742</v>
      </c>
      <c r="CF93" s="184">
        <f t="shared" si="436"/>
        <v>39.67097041138932</v>
      </c>
      <c r="CG93" s="23"/>
      <c r="CH93" s="183">
        <f t="shared" ref="CH93:CN93" si="437">CH45/CH81</f>
        <v>9.723090915405237</v>
      </c>
      <c r="CI93" s="182">
        <f t="shared" si="437"/>
        <v>8.9795577277185981</v>
      </c>
      <c r="CJ93" s="182">
        <f t="shared" si="437"/>
        <v>7.285939874915905</v>
      </c>
      <c r="CK93" s="182">
        <f t="shared" si="437"/>
        <v>8.1742580793905883</v>
      </c>
      <c r="CL93" s="182">
        <f t="shared" si="437"/>
        <v>9.3361783908480778</v>
      </c>
      <c r="CM93" s="182">
        <f t="shared" si="437"/>
        <v>10.962946911889654</v>
      </c>
      <c r="CN93" s="182">
        <f t="shared" si="437"/>
        <v>12.499503915005189</v>
      </c>
      <c r="CO93" s="182">
        <f t="shared" ref="CO93:CT93" si="438">CO45/CO81</f>
        <v>14.066743716394104</v>
      </c>
      <c r="CP93" s="182">
        <f t="shared" si="438"/>
        <v>15.177164793640046</v>
      </c>
      <c r="CQ93" s="182">
        <f t="shared" si="438"/>
        <v>15.140351637101062</v>
      </c>
      <c r="CR93" s="182">
        <f t="shared" si="438"/>
        <v>15.774103543507886</v>
      </c>
      <c r="CS93" s="182">
        <f t="shared" si="438"/>
        <v>17.014376557594002</v>
      </c>
      <c r="CT93" s="182">
        <f t="shared" si="438"/>
        <v>28.29088175085694</v>
      </c>
      <c r="CU93" s="182">
        <f t="shared" ref="CU93:CV93" si="439">CU45/CU81</f>
        <v>31.504007624074262</v>
      </c>
      <c r="CV93" s="184">
        <f t="shared" si="439"/>
        <v>35.934464917431974</v>
      </c>
      <c r="CW93" s="25"/>
    </row>
    <row r="94" spans="1:101" ht="14.25" customHeight="1">
      <c r="A94" s="8"/>
      <c r="B94" s="26" t="s">
        <v>355</v>
      </c>
      <c r="C94" s="27"/>
      <c r="D94" s="1043">
        <f t="shared" ref="D94:AQ94" si="440">(D45-(D23+D24))</f>
        <v>3565.7069999999999</v>
      </c>
      <c r="E94" s="179">
        <f t="shared" si="440"/>
        <v>3547.8049999999998</v>
      </c>
      <c r="F94" s="179">
        <f t="shared" si="440"/>
        <v>3667.3150000000001</v>
      </c>
      <c r="G94" s="185">
        <f t="shared" si="440"/>
        <v>3523.9250000000002</v>
      </c>
      <c r="H94" s="1043">
        <f t="shared" si="440"/>
        <v>3542.4429999999998</v>
      </c>
      <c r="I94" s="179">
        <f t="shared" si="440"/>
        <v>3476.136</v>
      </c>
      <c r="J94" s="179">
        <f t="shared" si="440"/>
        <v>3466.5010000000002</v>
      </c>
      <c r="K94" s="185">
        <f t="shared" si="440"/>
        <v>3136.7760000000003</v>
      </c>
      <c r="L94" s="1043">
        <f t="shared" si="440"/>
        <v>2958.3469999999998</v>
      </c>
      <c r="M94" s="179">
        <f t="shared" si="440"/>
        <v>2754.0830000000001</v>
      </c>
      <c r="N94" s="179">
        <f t="shared" si="440"/>
        <v>2225.741</v>
      </c>
      <c r="O94" s="185">
        <f t="shared" si="440"/>
        <v>2033.5119999999999</v>
      </c>
      <c r="P94" s="1043">
        <f t="shared" si="440"/>
        <v>2055.6510000000003</v>
      </c>
      <c r="Q94" s="179">
        <f t="shared" si="440"/>
        <v>2026.6669999999999</v>
      </c>
      <c r="R94" s="179">
        <f t="shared" si="440"/>
        <v>2112.8340000000003</v>
      </c>
      <c r="S94" s="185">
        <f t="shared" si="440"/>
        <v>2172.788</v>
      </c>
      <c r="T94" s="1043">
        <f t="shared" si="440"/>
        <v>2157.3530000000001</v>
      </c>
      <c r="U94" s="179">
        <f t="shared" si="440"/>
        <v>2168.4480000000003</v>
      </c>
      <c r="V94" s="179">
        <f t="shared" si="440"/>
        <v>2202.2019999999998</v>
      </c>
      <c r="W94" s="185">
        <f t="shared" si="440"/>
        <v>2271.413</v>
      </c>
      <c r="X94" s="1043">
        <f t="shared" si="440"/>
        <v>2506.1779999999999</v>
      </c>
      <c r="Y94" s="179">
        <f t="shared" si="440"/>
        <v>2632.1320000000001</v>
      </c>
      <c r="Z94" s="179">
        <f t="shared" si="440"/>
        <v>2781.75</v>
      </c>
      <c r="AA94" s="185">
        <f t="shared" si="440"/>
        <v>2942.7939999999999</v>
      </c>
      <c r="AB94" s="1043">
        <f t="shared" si="440"/>
        <v>3107.2629999999999</v>
      </c>
      <c r="AC94" s="179">
        <f t="shared" si="440"/>
        <v>3320.7150000000001</v>
      </c>
      <c r="AD94" s="179">
        <f t="shared" si="440"/>
        <v>3422.3740000000003</v>
      </c>
      <c r="AE94" s="185">
        <f t="shared" si="440"/>
        <v>3508.1260000000002</v>
      </c>
      <c r="AF94" s="179">
        <f>(AF45-(AF23+AF24))</f>
        <v>3556.096</v>
      </c>
      <c r="AG94" s="179">
        <f t="shared" si="440"/>
        <v>3616.0479999999998</v>
      </c>
      <c r="AH94" s="179">
        <f t="shared" si="440"/>
        <v>3720.4160000000002</v>
      </c>
      <c r="AI94" s="185">
        <f t="shared" si="440"/>
        <v>3852.7540000000004</v>
      </c>
      <c r="AJ94" s="179">
        <f t="shared" si="440"/>
        <v>4010.7129999999997</v>
      </c>
      <c r="AK94" s="179">
        <f t="shared" si="440"/>
        <v>4149.0030000000006</v>
      </c>
      <c r="AL94" s="179">
        <f t="shared" si="440"/>
        <v>4334.0379999999996</v>
      </c>
      <c r="AM94" s="179">
        <f t="shared" si="440"/>
        <v>4426.9120000000003</v>
      </c>
      <c r="AN94" s="1043">
        <f t="shared" si="440"/>
        <v>4483.9710000000005</v>
      </c>
      <c r="AO94" s="179">
        <f t="shared" si="440"/>
        <v>4615.74</v>
      </c>
      <c r="AP94" s="179">
        <f t="shared" si="440"/>
        <v>2679.4749999999999</v>
      </c>
      <c r="AQ94" s="185">
        <f t="shared" si="440"/>
        <v>2444.0569999999998</v>
      </c>
      <c r="AR94" s="1043">
        <f t="shared" ref="AR94:AW94" si="441">(AR45-(AR23+AR24))</f>
        <v>2518.0170000000003</v>
      </c>
      <c r="AS94" s="179">
        <f t="shared" si="441"/>
        <v>2699.3169999999996</v>
      </c>
      <c r="AT94" s="179">
        <f t="shared" si="441"/>
        <v>2822.8980000000001</v>
      </c>
      <c r="AU94" s="185">
        <f t="shared" si="441"/>
        <v>2852.9159999999997</v>
      </c>
      <c r="AV94" s="1043">
        <f>(AV45-(AV23+AV24))</f>
        <v>2798.79</v>
      </c>
      <c r="AW94" s="179">
        <f t="shared" si="441"/>
        <v>2686.1620000000003</v>
      </c>
      <c r="AX94" s="179">
        <f>(AX45-(AX23+AX24))</f>
        <v>2815.2649999999999</v>
      </c>
      <c r="AY94" s="185">
        <f t="shared" ref="AY94" si="442">(AY45-(AY23+AY24))</f>
        <v>2937.1340000000005</v>
      </c>
      <c r="AZ94" s="1043">
        <f>(AZ45-(AZ23+AZ24))</f>
        <v>3099.5159999999996</v>
      </c>
      <c r="BA94" s="179">
        <f t="shared" ref="BA94:BG94" si="443">(BA45-(BA23+BA24))</f>
        <v>-7890.7680000000018</v>
      </c>
      <c r="BB94" s="179">
        <f>(BB45-(BB23+BB24))</f>
        <v>-7759.6070000000018</v>
      </c>
      <c r="BC94" s="185">
        <f t="shared" si="443"/>
        <v>-7375.34</v>
      </c>
      <c r="BD94" s="179">
        <f t="shared" si="443"/>
        <v>-7058.7169999999987</v>
      </c>
      <c r="BE94" s="179">
        <f t="shared" si="443"/>
        <v>-6798.7876235444382</v>
      </c>
      <c r="BF94" s="179">
        <f t="shared" si="443"/>
        <v>-6371.3202767895018</v>
      </c>
      <c r="BG94" s="185">
        <f t="shared" si="443"/>
        <v>-5916.3382270529</v>
      </c>
      <c r="BH94" s="179">
        <f t="shared" ref="BH94:BK94" si="444">(BH45-(BH23+BH24))</f>
        <v>-5539.2828720950893</v>
      </c>
      <c r="BI94" s="179">
        <f t="shared" si="444"/>
        <v>-5117.9265500220135</v>
      </c>
      <c r="BJ94" s="179">
        <f t="shared" si="444"/>
        <v>-4658.5922721540701</v>
      </c>
      <c r="BK94" s="185">
        <f t="shared" si="444"/>
        <v>-4161.8170524683137</v>
      </c>
      <c r="BL94" s="179">
        <f t="shared" ref="BL94:BO94" si="445">(BL45-(BL23+BL24))</f>
        <v>-3726.6404850477375</v>
      </c>
      <c r="BM94" s="179">
        <f t="shared" si="445"/>
        <v>-3247.4910675700703</v>
      </c>
      <c r="BN94" s="179">
        <f t="shared" si="445"/>
        <v>-2733.105363516599</v>
      </c>
      <c r="BO94" s="185">
        <f t="shared" si="445"/>
        <v>-2185.1810338244413</v>
      </c>
      <c r="BP94" s="23"/>
      <c r="BQ94" s="186">
        <f t="shared" ref="BQ94:BZ94" si="446">(BQ45-(BQ23+BQ24))</f>
        <v>3523.9250000000002</v>
      </c>
      <c r="BR94" s="186">
        <f t="shared" si="446"/>
        <v>3136.7760000000003</v>
      </c>
      <c r="BS94" s="186">
        <f t="shared" si="446"/>
        <v>2033.5119999999999</v>
      </c>
      <c r="BT94" s="186">
        <f t="shared" si="446"/>
        <v>2172.788</v>
      </c>
      <c r="BU94" s="186">
        <f t="shared" si="446"/>
        <v>2271.413</v>
      </c>
      <c r="BV94" s="186">
        <f t="shared" si="446"/>
        <v>2942.7939999999999</v>
      </c>
      <c r="BW94" s="186">
        <f t="shared" si="446"/>
        <v>3508.1260000000002</v>
      </c>
      <c r="BX94" s="186">
        <f t="shared" si="446"/>
        <v>3852.7540000000004</v>
      </c>
      <c r="BY94" s="186">
        <f t="shared" si="446"/>
        <v>4426.9120000000003</v>
      </c>
      <c r="BZ94" s="186">
        <f t="shared" si="446"/>
        <v>2444.0569999999998</v>
      </c>
      <c r="CA94" s="186">
        <f t="shared" ref="CA94:CF94" si="447">(CA45-(CA23+CA24))</f>
        <v>2852.9159999999997</v>
      </c>
      <c r="CB94" s="186">
        <f t="shared" si="447"/>
        <v>2937.1340000000005</v>
      </c>
      <c r="CC94" s="186">
        <f t="shared" si="447"/>
        <v>-7375.34</v>
      </c>
      <c r="CD94" s="186">
        <f t="shared" si="447"/>
        <v>-5916.3382270529</v>
      </c>
      <c r="CE94" s="186">
        <f t="shared" si="447"/>
        <v>-4161.8170524683137</v>
      </c>
      <c r="CF94" s="188">
        <f t="shared" si="447"/>
        <v>-2185.1810338244413</v>
      </c>
      <c r="CG94" s="23"/>
      <c r="CH94" s="187">
        <f t="shared" ref="CH94:CP94" si="448">(CH45-(CH23+CH24))</f>
        <v>3542.4429999999998</v>
      </c>
      <c r="CI94" s="186">
        <f t="shared" si="448"/>
        <v>2958.3469999999998</v>
      </c>
      <c r="CJ94" s="186">
        <f t="shared" si="448"/>
        <v>2055.6510000000003</v>
      </c>
      <c r="CK94" s="186">
        <f t="shared" si="448"/>
        <v>2157.3530000000001</v>
      </c>
      <c r="CL94" s="186">
        <f t="shared" si="448"/>
        <v>2506.1779999999999</v>
      </c>
      <c r="CM94" s="186">
        <f t="shared" si="448"/>
        <v>3107.2629999999999</v>
      </c>
      <c r="CN94" s="186">
        <f t="shared" si="448"/>
        <v>3556.096</v>
      </c>
      <c r="CO94" s="186">
        <f t="shared" si="448"/>
        <v>4010.7129999999997</v>
      </c>
      <c r="CP94" s="186">
        <f t="shared" si="448"/>
        <v>4483.9710000000005</v>
      </c>
      <c r="CQ94" s="186">
        <f t="shared" ref="CQ94:CV94" si="449">(CQ45-(CQ23+CQ24))</f>
        <v>2518.0170000000003</v>
      </c>
      <c r="CR94" s="186">
        <f t="shared" si="449"/>
        <v>2798.79</v>
      </c>
      <c r="CS94" s="186">
        <f t="shared" si="449"/>
        <v>3099.5159999999996</v>
      </c>
      <c r="CT94" s="186">
        <f t="shared" si="449"/>
        <v>-7058.7169999999987</v>
      </c>
      <c r="CU94" s="186">
        <f t="shared" si="449"/>
        <v>-5539.2828720950893</v>
      </c>
      <c r="CV94" s="188">
        <f t="shared" si="449"/>
        <v>-3726.6404850477375</v>
      </c>
      <c r="CW94" s="25"/>
    </row>
    <row r="95" spans="1:101" ht="14.25" customHeight="1">
      <c r="A95" s="8"/>
      <c r="B95" s="26" t="s">
        <v>356</v>
      </c>
      <c r="C95" s="27"/>
      <c r="D95" s="1043">
        <f t="shared" ref="D95:AQ95" si="450">D94/D81</f>
        <v>9.1874328471272086</v>
      </c>
      <c r="E95" s="179">
        <f t="shared" si="450"/>
        <v>9.2792614892097802</v>
      </c>
      <c r="F95" s="179">
        <f t="shared" si="450"/>
        <v>9.579486978554451</v>
      </c>
      <c r="G95" s="185">
        <f t="shared" si="450"/>
        <v>9.2586972914318437</v>
      </c>
      <c r="H95" s="1043">
        <f t="shared" si="450"/>
        <v>9.3139584105674693</v>
      </c>
      <c r="I95" s="179">
        <f t="shared" si="450"/>
        <v>9.2251447011897216</v>
      </c>
      <c r="J95" s="179">
        <f t="shared" si="450"/>
        <v>9.380533200556366</v>
      </c>
      <c r="K95" s="185">
        <f t="shared" si="450"/>
        <v>8.7824528787895773</v>
      </c>
      <c r="L95" s="1043">
        <f t="shared" si="450"/>
        <v>8.4715899979381906</v>
      </c>
      <c r="M95" s="179">
        <f t="shared" si="450"/>
        <v>8.1279748553889757</v>
      </c>
      <c r="N95" s="179">
        <f t="shared" si="450"/>
        <v>6.7996645597270033</v>
      </c>
      <c r="O95" s="185">
        <f t="shared" si="450"/>
        <v>6.4797641997928785</v>
      </c>
      <c r="P95" s="1043">
        <f t="shared" si="450"/>
        <v>6.7562315125221861</v>
      </c>
      <c r="Q95" s="179">
        <f t="shared" si="450"/>
        <v>6.8616840465872153</v>
      </c>
      <c r="R95" s="179">
        <f t="shared" si="450"/>
        <v>7.1621248741529708</v>
      </c>
      <c r="S95" s="185">
        <f t="shared" si="450"/>
        <v>7.3949629024572872</v>
      </c>
      <c r="T95" s="1043">
        <f t="shared" si="450"/>
        <v>7.4072714662418289</v>
      </c>
      <c r="U95" s="179">
        <f t="shared" si="450"/>
        <v>7.4148663342976144</v>
      </c>
      <c r="V95" s="179">
        <f t="shared" si="450"/>
        <v>7.5138936277654178</v>
      </c>
      <c r="W95" s="185">
        <f t="shared" si="450"/>
        <v>7.7254741238572047</v>
      </c>
      <c r="X95" s="1043">
        <f t="shared" si="450"/>
        <v>8.2242575394611617</v>
      </c>
      <c r="Y95" s="179">
        <f t="shared" si="450"/>
        <v>8.6063511162845447</v>
      </c>
      <c r="Z95" s="179">
        <f t="shared" si="450"/>
        <v>9.0856980481304372</v>
      </c>
      <c r="AA95" s="185">
        <f t="shared" si="450"/>
        <v>9.5946803342560258</v>
      </c>
      <c r="AB95" s="1043">
        <f t="shared" si="450"/>
        <v>10.060816323887478</v>
      </c>
      <c r="AC95" s="179">
        <f t="shared" si="450"/>
        <v>10.725165445273062</v>
      </c>
      <c r="AD95" s="179">
        <f t="shared" si="450"/>
        <v>11.084827559401964</v>
      </c>
      <c r="AE95" s="185">
        <f t="shared" si="450"/>
        <v>11.474438564242121</v>
      </c>
      <c r="AF95" s="179">
        <f t="shared" si="450"/>
        <v>11.639067721442341</v>
      </c>
      <c r="AG95" s="179">
        <f t="shared" si="450"/>
        <v>11.820201947561625</v>
      </c>
      <c r="AH95" s="179">
        <f t="shared" si="450"/>
        <v>12.183744379566347</v>
      </c>
      <c r="AI95" s="185">
        <f t="shared" si="450"/>
        <v>12.510810056047333</v>
      </c>
      <c r="AJ95" s="179">
        <f t="shared" si="450"/>
        <v>12.926316976875352</v>
      </c>
      <c r="AK95" s="179">
        <f t="shared" si="450"/>
        <v>13.240034081335684</v>
      </c>
      <c r="AL95" s="179">
        <f t="shared" si="450"/>
        <v>13.745454430126827</v>
      </c>
      <c r="AM95" s="179">
        <f t="shared" si="450"/>
        <v>13.955512962776153</v>
      </c>
      <c r="AN95" s="1043">
        <f t="shared" si="450"/>
        <v>14.099783973812722</v>
      </c>
      <c r="AO95" s="179">
        <f t="shared" si="450"/>
        <v>14.499084332505097</v>
      </c>
      <c r="AP95" s="179">
        <f t="shared" si="450"/>
        <v>8.4028744715814305</v>
      </c>
      <c r="AQ95" s="185">
        <f t="shared" si="450"/>
        <v>7.7131707840488781</v>
      </c>
      <c r="AR95" s="1043">
        <f t="shared" ref="AR95:AW95" si="451">AR94/AR81</f>
        <v>7.9763846124605617</v>
      </c>
      <c r="AS95" s="179">
        <f t="shared" si="451"/>
        <v>8.513933265414904</v>
      </c>
      <c r="AT95" s="179">
        <f t="shared" si="451"/>
        <v>8.8718206589206972</v>
      </c>
      <c r="AU95" s="185">
        <f t="shared" si="451"/>
        <v>9.0119309728307382</v>
      </c>
      <c r="AV95" s="1043">
        <f>AV94/AV81</f>
        <v>8.8908902040388451</v>
      </c>
      <c r="AW95" s="179">
        <f t="shared" si="451"/>
        <v>8.602600480384309</v>
      </c>
      <c r="AX95" s="179">
        <f>AX94/AX81</f>
        <v>9.0651826711918542</v>
      </c>
      <c r="AY95" s="185">
        <f t="shared" ref="AY95" si="452">AY94/AY81</f>
        <v>9.4249774574579739</v>
      </c>
      <c r="AZ95" s="1043">
        <f>AZ94/AZ81</f>
        <v>9.9002031455620987</v>
      </c>
      <c r="BA95" s="179">
        <f t="shared" ref="BA95:BG95" si="453">BA94/BA81</f>
        <v>-22.828516377649333</v>
      </c>
      <c r="BB95" s="179">
        <f>BB94/BB81</f>
        <v>-20.906422853817372</v>
      </c>
      <c r="BC95" s="185">
        <f t="shared" si="453"/>
        <v>-19.823358499998658</v>
      </c>
      <c r="BD95" s="179">
        <f t="shared" si="453"/>
        <v>-18.86404196809633</v>
      </c>
      <c r="BE95" s="179">
        <f t="shared" si="453"/>
        <v>-18.120967361901435</v>
      </c>
      <c r="BF95" s="179">
        <f t="shared" si="453"/>
        <v>-16.93648744856841</v>
      </c>
      <c r="BG95" s="185">
        <f t="shared" si="453"/>
        <v>-15.685341372767763</v>
      </c>
      <c r="BH95" s="179">
        <f t="shared" ref="BH95:BK95" si="454">BH94/BH81</f>
        <v>-14.646864060284909</v>
      </c>
      <c r="BI95" s="179">
        <f t="shared" si="454"/>
        <v>-13.497033273702595</v>
      </c>
      <c r="BJ95" s="179">
        <f t="shared" si="454"/>
        <v>-12.253358913998222</v>
      </c>
      <c r="BK95" s="185">
        <f t="shared" si="454"/>
        <v>-10.917988327229573</v>
      </c>
      <c r="BL95" s="179">
        <f t="shared" ref="BL95:BO95" si="455">BL94/BL81</f>
        <v>-9.7507790256855564</v>
      </c>
      <c r="BM95" s="179">
        <f t="shared" si="455"/>
        <v>-8.4749068150966504</v>
      </c>
      <c r="BN95" s="179">
        <f t="shared" si="455"/>
        <v>-7.1139604817332067</v>
      </c>
      <c r="BO95" s="185">
        <f t="shared" si="455"/>
        <v>-5.673009960887879</v>
      </c>
      <c r="BP95" s="23"/>
      <c r="BQ95" s="186">
        <f t="shared" ref="BQ95:CB95" si="456">BQ94/BQ81</f>
        <v>9.1895655529992233</v>
      </c>
      <c r="BR95" s="186">
        <f t="shared" si="456"/>
        <v>8.4557537331839949</v>
      </c>
      <c r="BS95" s="186">
        <f t="shared" si="456"/>
        <v>6.1194880545048012</v>
      </c>
      <c r="BT95" s="186">
        <f t="shared" si="456"/>
        <v>7.3130698116271651</v>
      </c>
      <c r="BU95" s="186">
        <f t="shared" si="456"/>
        <v>7.7602481734617701</v>
      </c>
      <c r="BV95" s="186">
        <f t="shared" si="456"/>
        <v>9.621336472011409</v>
      </c>
      <c r="BW95" s="186">
        <f t="shared" si="456"/>
        <v>11.381289514130799</v>
      </c>
      <c r="BX95" s="186">
        <f t="shared" si="456"/>
        <v>12.582835074483679</v>
      </c>
      <c r="BY95" s="186">
        <f t="shared" si="456"/>
        <v>14.096582776480178</v>
      </c>
      <c r="BZ95" s="186">
        <f t="shared" si="456"/>
        <v>7.6850613312706146</v>
      </c>
      <c r="CA95" s="186">
        <f t="shared" si="456"/>
        <v>9.0033633427982398</v>
      </c>
      <c r="CB95" s="186">
        <f t="shared" si="456"/>
        <v>9.4045919339371196</v>
      </c>
      <c r="CC95" s="186">
        <f>CC94/CC81</f>
        <v>-21.043210061471871</v>
      </c>
      <c r="CD95" s="186">
        <f>CD94/CD81</f>
        <v>-15.747967672870113</v>
      </c>
      <c r="CE95" s="186">
        <f>CE94/CE81</f>
        <v>-10.961120950220611</v>
      </c>
      <c r="CF95" s="188">
        <f>CF94/CF81</f>
        <v>-5.69518811804467</v>
      </c>
      <c r="CG95" s="23"/>
      <c r="CH95" s="187">
        <f t="shared" ref="CH95:CR95" si="457">CH94/CH81</f>
        <v>9.2848895001739713</v>
      </c>
      <c r="CI95" s="186">
        <f t="shared" si="457"/>
        <v>8.1456490388752165</v>
      </c>
      <c r="CJ95" s="186">
        <f t="shared" si="457"/>
        <v>6.4026206613011745</v>
      </c>
      <c r="CK95" s="186">
        <f t="shared" si="457"/>
        <v>7.3414999970223631</v>
      </c>
      <c r="CL95" s="186">
        <f t="shared" si="457"/>
        <v>8.4648443437171732</v>
      </c>
      <c r="CM95" s="186">
        <f t="shared" si="457"/>
        <v>10.124980958207439</v>
      </c>
      <c r="CN95" s="186">
        <f t="shared" si="457"/>
        <v>11.568038463665435</v>
      </c>
      <c r="CO95" s="186">
        <f t="shared" si="457"/>
        <v>13.048177768523857</v>
      </c>
      <c r="CP95" s="186">
        <f t="shared" si="457"/>
        <v>14.190814521310099</v>
      </c>
      <c r="CQ95" s="186">
        <f t="shared" si="457"/>
        <v>7.9321675099919293</v>
      </c>
      <c r="CR95" s="186">
        <f t="shared" si="457"/>
        <v>8.8387633645402879</v>
      </c>
      <c r="CS95" s="186">
        <f>CS94/CS81</f>
        <v>9.9381924254338809</v>
      </c>
      <c r="CT95" s="186">
        <f>CT94/CT81</f>
        <v>-19.298569090020536</v>
      </c>
      <c r="CU95" s="186">
        <f>CU94/CU81</f>
        <v>-14.705188821800183</v>
      </c>
      <c r="CV95" s="188">
        <f>CV94/CV81</f>
        <v>-9.7891992809031443</v>
      </c>
      <c r="CW95" s="25"/>
    </row>
    <row r="96" spans="1:101" ht="14.25" customHeight="1">
      <c r="A96" s="8"/>
      <c r="B96" s="26"/>
      <c r="C96" s="27"/>
      <c r="D96" s="1043"/>
      <c r="E96" s="179"/>
      <c r="F96" s="179"/>
      <c r="G96" s="185"/>
      <c r="H96" s="1043"/>
      <c r="I96" s="179"/>
      <c r="J96" s="179"/>
      <c r="K96" s="185"/>
      <c r="L96" s="1043"/>
      <c r="M96" s="179"/>
      <c r="N96" s="179"/>
      <c r="O96" s="185"/>
      <c r="P96" s="1043"/>
      <c r="Q96" s="179"/>
      <c r="R96" s="179"/>
      <c r="S96" s="185"/>
      <c r="T96" s="1043"/>
      <c r="U96" s="179"/>
      <c r="V96" s="179"/>
      <c r="W96" s="185"/>
      <c r="X96" s="1043"/>
      <c r="Y96" s="179"/>
      <c r="Z96" s="179"/>
      <c r="AA96" s="185"/>
      <c r="AB96" s="1043"/>
      <c r="AC96" s="179"/>
      <c r="AD96" s="179"/>
      <c r="AE96" s="185"/>
      <c r="AF96" s="179"/>
      <c r="AG96" s="179"/>
      <c r="AH96" s="179"/>
      <c r="AI96" s="185"/>
      <c r="AJ96" s="179"/>
      <c r="AK96" s="179"/>
      <c r="AL96" s="179"/>
      <c r="AM96" s="179"/>
      <c r="AN96" s="1043"/>
      <c r="AO96" s="179"/>
      <c r="AP96" s="179"/>
      <c r="AQ96" s="185"/>
      <c r="AR96" s="1043"/>
      <c r="AS96" s="179"/>
      <c r="AT96" s="179"/>
      <c r="AU96" s="185"/>
      <c r="AV96" s="1043"/>
      <c r="AW96" s="179"/>
      <c r="AX96" s="179"/>
      <c r="AY96" s="185"/>
      <c r="AZ96" s="1043"/>
      <c r="BA96" s="179"/>
      <c r="BB96" s="179"/>
      <c r="BC96" s="185"/>
      <c r="BD96" s="179"/>
      <c r="BE96" s="179"/>
      <c r="BF96" s="179"/>
      <c r="BG96" s="185"/>
      <c r="BH96" s="179"/>
      <c r="BI96" s="179"/>
      <c r="BJ96" s="179"/>
      <c r="BK96" s="185"/>
      <c r="BL96" s="179"/>
      <c r="BM96" s="179"/>
      <c r="BN96" s="179"/>
      <c r="BO96" s="185"/>
      <c r="BP96" s="23"/>
      <c r="BQ96" s="186"/>
      <c r="BR96" s="186"/>
      <c r="BS96" s="186"/>
      <c r="BT96" s="186"/>
      <c r="BU96" s="186"/>
      <c r="BV96" s="186"/>
      <c r="BW96" s="186"/>
      <c r="BX96" s="186"/>
      <c r="BY96" s="186"/>
      <c r="BZ96" s="186"/>
      <c r="CA96" s="186"/>
      <c r="CB96" s="186"/>
      <c r="CC96" s="186"/>
      <c r="CD96" s="186"/>
      <c r="CE96" s="186"/>
      <c r="CF96" s="188"/>
      <c r="CG96" s="23"/>
      <c r="CH96" s="187"/>
      <c r="CI96" s="186"/>
      <c r="CJ96" s="186"/>
      <c r="CK96" s="186"/>
      <c r="CL96" s="186"/>
      <c r="CM96" s="186"/>
      <c r="CN96" s="186"/>
      <c r="CO96" s="186"/>
      <c r="CP96" s="186"/>
      <c r="CQ96" s="186"/>
      <c r="CR96" s="186"/>
      <c r="CS96" s="186"/>
      <c r="CT96" s="186"/>
      <c r="CU96" s="186"/>
      <c r="CV96" s="188"/>
      <c r="CW96" s="25"/>
    </row>
    <row r="97" spans="1:101" ht="14.25" customHeight="1">
      <c r="A97" s="8"/>
      <c r="B97" s="360" t="s">
        <v>196</v>
      </c>
      <c r="C97" s="27"/>
      <c r="D97" s="1043"/>
      <c r="E97" s="179"/>
      <c r="F97" s="179"/>
      <c r="G97" s="185"/>
      <c r="H97" s="1043"/>
      <c r="I97" s="179"/>
      <c r="J97" s="179"/>
      <c r="K97" s="185"/>
      <c r="L97" s="1043"/>
      <c r="M97" s="179"/>
      <c r="N97" s="179"/>
      <c r="O97" s="185"/>
      <c r="P97" s="1043"/>
      <c r="Q97" s="179"/>
      <c r="R97" s="179"/>
      <c r="S97" s="185"/>
      <c r="T97" s="1043"/>
      <c r="U97" s="179"/>
      <c r="V97" s="179"/>
      <c r="W97" s="185"/>
      <c r="X97" s="1043"/>
      <c r="Y97" s="179"/>
      <c r="Z97" s="179"/>
      <c r="AA97" s="185"/>
      <c r="AB97" s="1043"/>
      <c r="AC97" s="179"/>
      <c r="AD97" s="179"/>
      <c r="AE97" s="185"/>
      <c r="AF97" s="179"/>
      <c r="AG97" s="179"/>
      <c r="AH97" s="179"/>
      <c r="AI97" s="185"/>
      <c r="AJ97" s="179"/>
      <c r="AK97" s="179"/>
      <c r="AL97" s="179"/>
      <c r="AM97" s="179"/>
      <c r="AN97" s="1043"/>
      <c r="AO97" s="179"/>
      <c r="AP97" s="179"/>
      <c r="AQ97" s="185"/>
      <c r="AR97" s="1043"/>
      <c r="AS97" s="179"/>
      <c r="AT97" s="179"/>
      <c r="AU97" s="185"/>
      <c r="AV97" s="1043"/>
      <c r="AW97" s="179"/>
      <c r="AX97" s="179"/>
      <c r="AY97" s="185"/>
      <c r="AZ97" s="1043"/>
      <c r="BA97" s="179"/>
      <c r="BB97" s="179"/>
      <c r="BC97" s="185"/>
      <c r="BD97" s="179"/>
      <c r="BE97" s="179"/>
      <c r="BF97" s="179"/>
      <c r="BG97" s="185"/>
      <c r="BH97" s="179"/>
      <c r="BI97" s="179"/>
      <c r="BJ97" s="179"/>
      <c r="BK97" s="185"/>
      <c r="BL97" s="179"/>
      <c r="BM97" s="179"/>
      <c r="BN97" s="179"/>
      <c r="BO97" s="185"/>
      <c r="BP97" s="23"/>
      <c r="BQ97" s="186"/>
      <c r="BR97" s="186"/>
      <c r="BS97" s="186"/>
      <c r="BT97" s="186"/>
      <c r="BU97" s="186"/>
      <c r="BV97" s="186"/>
      <c r="BW97" s="186"/>
      <c r="BX97" s="186"/>
      <c r="BY97" s="186"/>
      <c r="BZ97" s="186"/>
      <c r="CA97" s="186"/>
      <c r="CB97" s="186"/>
      <c r="CC97" s="186"/>
      <c r="CD97" s="186"/>
      <c r="CE97" s="186"/>
      <c r="CF97" s="188"/>
      <c r="CG97" s="23"/>
      <c r="CH97" s="187"/>
      <c r="CI97" s="186"/>
      <c r="CJ97" s="186"/>
      <c r="CK97" s="186"/>
      <c r="CL97" s="186"/>
      <c r="CM97" s="186"/>
      <c r="CN97" s="186"/>
      <c r="CO97" s="186"/>
      <c r="CP97" s="186"/>
      <c r="CQ97" s="186"/>
      <c r="CR97" s="186"/>
      <c r="CS97" s="186"/>
      <c r="CT97" s="186"/>
      <c r="CU97" s="186"/>
      <c r="CV97" s="188"/>
      <c r="CW97" s="25"/>
    </row>
    <row r="98" spans="1:101" ht="14.25" customHeight="1">
      <c r="A98" s="8"/>
      <c r="B98" s="67" t="s">
        <v>115</v>
      </c>
      <c r="C98" s="68"/>
      <c r="D98" s="1051">
        <f t="shared" ref="D98:AQ98" si="458">D17-D37</f>
        <v>2907.3620000000001</v>
      </c>
      <c r="E98" s="189">
        <f t="shared" si="458"/>
        <v>2910.3149999999996</v>
      </c>
      <c r="F98" s="189">
        <f t="shared" si="458"/>
        <v>3052.0250000000001</v>
      </c>
      <c r="G98" s="190">
        <f t="shared" si="458"/>
        <v>2913.5330000000004</v>
      </c>
      <c r="H98" s="1051">
        <f t="shared" si="458"/>
        <v>2937.7980000000002</v>
      </c>
      <c r="I98" s="189">
        <f t="shared" si="458"/>
        <v>2861.7920000000004</v>
      </c>
      <c r="J98" s="189">
        <f t="shared" si="458"/>
        <v>2847.7639999999992</v>
      </c>
      <c r="K98" s="190">
        <f t="shared" si="458"/>
        <v>2520.3589999999995</v>
      </c>
      <c r="L98" s="1051">
        <f t="shared" si="458"/>
        <v>2348.6859999999997</v>
      </c>
      <c r="M98" s="189">
        <f t="shared" si="458"/>
        <v>2141.5950000000003</v>
      </c>
      <c r="N98" s="189">
        <f t="shared" si="458"/>
        <v>1612.5590000000002</v>
      </c>
      <c r="O98" s="190">
        <f t="shared" si="458"/>
        <v>1430.8009999999999</v>
      </c>
      <c r="P98" s="1051">
        <f t="shared" si="458"/>
        <v>1387.98</v>
      </c>
      <c r="Q98" s="189">
        <f t="shared" si="458"/>
        <v>1365.4120000000003</v>
      </c>
      <c r="R98" s="189">
        <f t="shared" si="458"/>
        <v>1443.1889999999999</v>
      </c>
      <c r="S98" s="190">
        <f t="shared" si="458"/>
        <v>1520.5189999999998</v>
      </c>
      <c r="T98" s="1051">
        <f t="shared" si="458"/>
        <v>1534.0879999999997</v>
      </c>
      <c r="U98" s="189">
        <f t="shared" si="458"/>
        <v>1577.165</v>
      </c>
      <c r="V98" s="189">
        <f t="shared" si="458"/>
        <v>2005.7070000000003</v>
      </c>
      <c r="W98" s="190">
        <f t="shared" si="458"/>
        <v>2104.0230000000001</v>
      </c>
      <c r="X98" s="1051">
        <f t="shared" si="458"/>
        <v>2389.5239999999999</v>
      </c>
      <c r="Y98" s="189">
        <f t="shared" si="458"/>
        <v>2513.5909999999999</v>
      </c>
      <c r="Z98" s="189">
        <f t="shared" si="458"/>
        <v>2646.1590000000001</v>
      </c>
      <c r="AA98" s="190">
        <f t="shared" si="458"/>
        <v>2835.5319999999997</v>
      </c>
      <c r="AB98" s="1051">
        <f t="shared" si="458"/>
        <v>3128.538</v>
      </c>
      <c r="AC98" s="189">
        <f t="shared" si="458"/>
        <v>3704.5800000000004</v>
      </c>
      <c r="AD98" s="189">
        <f t="shared" si="458"/>
        <v>3782.8440000000001</v>
      </c>
      <c r="AE98" s="190">
        <f t="shared" si="458"/>
        <v>3861.3429999999998</v>
      </c>
      <c r="AF98" s="189">
        <f>AF17-AF37</f>
        <v>3897.1129999999998</v>
      </c>
      <c r="AG98" s="189">
        <f t="shared" si="458"/>
        <v>3963.9550000000004</v>
      </c>
      <c r="AH98" s="189">
        <f t="shared" si="458"/>
        <v>4052.7429999999999</v>
      </c>
      <c r="AI98" s="190">
        <f t="shared" si="458"/>
        <v>4171.1059999999998</v>
      </c>
      <c r="AJ98" s="189">
        <f t="shared" si="458"/>
        <v>4305.3999999999996</v>
      </c>
      <c r="AK98" s="189">
        <f t="shared" si="458"/>
        <v>4454.0499999999993</v>
      </c>
      <c r="AL98" s="189">
        <f t="shared" si="458"/>
        <v>4752.6809999999996</v>
      </c>
      <c r="AM98" s="189">
        <f t="shared" si="458"/>
        <v>4901.9130000000005</v>
      </c>
      <c r="AN98" s="1051">
        <f t="shared" si="458"/>
        <v>4951.4650000000001</v>
      </c>
      <c r="AO98" s="189">
        <f t="shared" si="458"/>
        <v>5066.829999999999</v>
      </c>
      <c r="AP98" s="189">
        <f t="shared" si="458"/>
        <v>3301.3580000000002</v>
      </c>
      <c r="AQ98" s="190">
        <f t="shared" si="458"/>
        <v>3102.8300000000004</v>
      </c>
      <c r="AR98" s="1051">
        <f t="shared" ref="AR98:AW98" si="459">AR17-AR37</f>
        <v>3170.1279999999997</v>
      </c>
      <c r="AS98" s="189">
        <f t="shared" si="459"/>
        <v>2977.5419999999995</v>
      </c>
      <c r="AT98" s="189">
        <f t="shared" si="459"/>
        <v>3092.1219999999998</v>
      </c>
      <c r="AU98" s="190">
        <f t="shared" si="459"/>
        <v>2965.7179999999998</v>
      </c>
      <c r="AV98" s="1051">
        <f>AV17-AV37</f>
        <v>4050.029</v>
      </c>
      <c r="AW98" s="189">
        <f t="shared" si="459"/>
        <v>3943.2739999999999</v>
      </c>
      <c r="AX98" s="189">
        <f>AX17-AX37</f>
        <v>4049.1950000000006</v>
      </c>
      <c r="AY98" s="190">
        <f t="shared" ref="AY98" si="460">AY17-AY37</f>
        <v>4191.9290000000001</v>
      </c>
      <c r="AZ98" s="1051">
        <f>AZ17-AZ37</f>
        <v>6422.107</v>
      </c>
      <c r="BA98" s="189">
        <f t="shared" ref="BA98:BG98" si="461">BA17-BA37</f>
        <v>2086.1850000000004</v>
      </c>
      <c r="BB98" s="189">
        <f>BB17-BB37</f>
        <v>1087.566</v>
      </c>
      <c r="BC98" s="190">
        <f t="shared" si="461"/>
        <v>755.00600000000031</v>
      </c>
      <c r="BD98" s="189">
        <f t="shared" si="461"/>
        <v>941.19800000000009</v>
      </c>
      <c r="BE98" s="189">
        <f t="shared" si="461"/>
        <v>1185.2547468670746</v>
      </c>
      <c r="BF98" s="189">
        <f t="shared" si="461"/>
        <v>1595.9609296029912</v>
      </c>
      <c r="BG98" s="190">
        <f t="shared" si="461"/>
        <v>2032.992775926208</v>
      </c>
      <c r="BH98" s="189">
        <f t="shared" ref="BH98:BK98" si="462">BH17-BH37</f>
        <v>2394.6706301324066</v>
      </c>
      <c r="BI98" s="189">
        <f t="shared" si="462"/>
        <v>2798.5013678938526</v>
      </c>
      <c r="BJ98" s="189">
        <f t="shared" si="462"/>
        <v>3238.7537148575693</v>
      </c>
      <c r="BK98" s="190">
        <f t="shared" si="462"/>
        <v>3714.4372710696284</v>
      </c>
      <c r="BL98" s="189">
        <f t="shared" ref="BL98:BO98" si="463">BL17-BL37</f>
        <v>4134.1403460178662</v>
      </c>
      <c r="BM98" s="189">
        <f t="shared" si="463"/>
        <v>4595.7821667305625</v>
      </c>
      <c r="BN98" s="189">
        <f t="shared" si="463"/>
        <v>5091.4158782104041</v>
      </c>
      <c r="BO98" s="190">
        <f t="shared" si="463"/>
        <v>5618.9729281370801</v>
      </c>
      <c r="BP98" s="23"/>
      <c r="BQ98" s="191">
        <f t="shared" ref="BQ98:BZ98" si="464">BQ17-BQ37</f>
        <v>2913.5330000000004</v>
      </c>
      <c r="BR98" s="191">
        <f t="shared" si="464"/>
        <v>2520.3589999999995</v>
      </c>
      <c r="BS98" s="191">
        <f t="shared" si="464"/>
        <v>1430.8009999999999</v>
      </c>
      <c r="BT98" s="191">
        <f t="shared" si="464"/>
        <v>1520.5189999999998</v>
      </c>
      <c r="BU98" s="191">
        <f t="shared" si="464"/>
        <v>2104.0230000000001</v>
      </c>
      <c r="BV98" s="191">
        <f t="shared" si="464"/>
        <v>2835.5319999999997</v>
      </c>
      <c r="BW98" s="191">
        <f t="shared" si="464"/>
        <v>3861.3429999999998</v>
      </c>
      <c r="BX98" s="191">
        <f t="shared" si="464"/>
        <v>4171.1059999999998</v>
      </c>
      <c r="BY98" s="191">
        <f t="shared" si="464"/>
        <v>4901.9130000000005</v>
      </c>
      <c r="BZ98" s="191">
        <f t="shared" si="464"/>
        <v>3102.8300000000004</v>
      </c>
      <c r="CA98" s="191">
        <f t="shared" ref="CA98:CF98" si="465">CA17-CA37</f>
        <v>2965.7179999999998</v>
      </c>
      <c r="CB98" s="191">
        <f t="shared" si="465"/>
        <v>4191.9290000000001</v>
      </c>
      <c r="CC98" s="191">
        <f t="shared" si="465"/>
        <v>755.00600000000031</v>
      </c>
      <c r="CD98" s="191">
        <f t="shared" si="465"/>
        <v>2032.992775926208</v>
      </c>
      <c r="CE98" s="191">
        <f t="shared" si="465"/>
        <v>3714.4372710696284</v>
      </c>
      <c r="CF98" s="193">
        <f t="shared" si="465"/>
        <v>5618.9729281370801</v>
      </c>
      <c r="CG98" s="23"/>
      <c r="CH98" s="192">
        <f t="shared" ref="CH98:CP98" si="466">CH17-CH37</f>
        <v>2937.7980000000002</v>
      </c>
      <c r="CI98" s="191">
        <f t="shared" si="466"/>
        <v>2348.6859999999997</v>
      </c>
      <c r="CJ98" s="191">
        <f t="shared" si="466"/>
        <v>1387.98</v>
      </c>
      <c r="CK98" s="191">
        <f t="shared" si="466"/>
        <v>1534.0879999999997</v>
      </c>
      <c r="CL98" s="191">
        <f t="shared" si="466"/>
        <v>2389.5239999999999</v>
      </c>
      <c r="CM98" s="191">
        <f t="shared" si="466"/>
        <v>3128.538</v>
      </c>
      <c r="CN98" s="191">
        <f t="shared" si="466"/>
        <v>3897.1129999999998</v>
      </c>
      <c r="CO98" s="191">
        <f t="shared" si="466"/>
        <v>4305.3999999999996</v>
      </c>
      <c r="CP98" s="191">
        <f t="shared" si="466"/>
        <v>4951.4650000000001</v>
      </c>
      <c r="CQ98" s="191">
        <f t="shared" ref="CQ98:CV98" si="467">CQ17-CQ37</f>
        <v>3170.1279999999997</v>
      </c>
      <c r="CR98" s="191">
        <f t="shared" si="467"/>
        <v>4050.029</v>
      </c>
      <c r="CS98" s="191">
        <f t="shared" si="467"/>
        <v>6422.107</v>
      </c>
      <c r="CT98" s="191">
        <f t="shared" si="467"/>
        <v>941.19800000000009</v>
      </c>
      <c r="CU98" s="191">
        <f t="shared" si="467"/>
        <v>2394.6706301324066</v>
      </c>
      <c r="CV98" s="193">
        <f t="shared" si="467"/>
        <v>4134.1403460178662</v>
      </c>
      <c r="CW98" s="25"/>
    </row>
    <row r="99" spans="1:101" ht="14.25" customHeight="1">
      <c r="A99" s="8"/>
      <c r="B99" s="17"/>
      <c r="C99" s="8"/>
      <c r="D99" s="8"/>
      <c r="E99" s="8"/>
      <c r="F99" s="8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8"/>
      <c r="AI99" s="8"/>
      <c r="AJ99" s="8"/>
      <c r="AK99" s="8"/>
      <c r="AL99" s="8"/>
      <c r="AM99" s="8"/>
      <c r="AN99" s="8"/>
      <c r="AO99" s="17"/>
      <c r="AP99" s="17"/>
      <c r="AQ99" s="17"/>
      <c r="AR99" s="8"/>
      <c r="AS99" s="17"/>
      <c r="AT99" s="17"/>
      <c r="AU99" s="17"/>
      <c r="AV99" s="8"/>
      <c r="AW99" s="8"/>
      <c r="AX99" s="8"/>
      <c r="AY99" s="17"/>
      <c r="AZ99" s="8"/>
      <c r="BA99" s="8"/>
      <c r="BB99" s="8"/>
      <c r="BC99" s="8"/>
      <c r="BD99" s="8"/>
      <c r="BE99" s="8"/>
      <c r="BF99" s="8"/>
      <c r="BG99" s="8"/>
      <c r="BH99" s="8"/>
      <c r="BI99" s="8"/>
      <c r="BJ99" s="8"/>
      <c r="BK99" s="8"/>
      <c r="BL99" s="8"/>
      <c r="BM99" s="8"/>
      <c r="BN99" s="8"/>
      <c r="BO99" s="8"/>
      <c r="BP99" s="8"/>
      <c r="BQ99" s="8"/>
      <c r="BR99" s="8"/>
      <c r="BS99" s="8"/>
      <c r="BT99" s="8"/>
      <c r="BU99" s="8"/>
      <c r="BV99" s="8"/>
      <c r="BW99" s="8"/>
      <c r="BX99" s="17"/>
      <c r="BY99" s="8"/>
      <c r="BZ99" s="8"/>
      <c r="CA99" s="8"/>
      <c r="CB99" s="8"/>
      <c r="CC99" s="17"/>
      <c r="CD99" s="17"/>
      <c r="CE99" s="17"/>
      <c r="CF99" s="8"/>
      <c r="CG99" s="8"/>
      <c r="CH99" s="8"/>
      <c r="CI99" s="8"/>
      <c r="CJ99" s="8"/>
      <c r="CK99" s="8"/>
      <c r="CL99" s="8"/>
      <c r="CM99" s="8"/>
      <c r="CN99" s="8"/>
      <c r="CO99" s="8"/>
      <c r="CP99" s="8"/>
      <c r="CQ99" s="8"/>
      <c r="CR99" s="8"/>
      <c r="CS99" s="8"/>
      <c r="CT99" s="8"/>
      <c r="CU99" s="8"/>
      <c r="CV99" s="8"/>
      <c r="CW99" s="8"/>
    </row>
    <row r="100" spans="1:101" ht="14.25" customHeight="1">
      <c r="A100" s="8"/>
      <c r="B100" s="770"/>
      <c r="C100" s="8"/>
      <c r="D100" s="8"/>
      <c r="E100" s="8"/>
      <c r="F100" s="8"/>
      <c r="G100" s="8"/>
      <c r="H100" s="8"/>
      <c r="I100" s="8"/>
      <c r="J100" s="8"/>
      <c r="K100" s="8"/>
      <c r="L100" s="8"/>
      <c r="M100" s="8"/>
      <c r="N100" s="8"/>
      <c r="O100" s="8"/>
      <c r="P100" s="8"/>
      <c r="Q100" s="8"/>
      <c r="R100" s="8"/>
      <c r="S100" s="8"/>
      <c r="T100" s="8"/>
      <c r="U100" s="8"/>
      <c r="V100" s="8"/>
      <c r="W100" s="8"/>
      <c r="X100" s="8"/>
      <c r="Y100" s="8"/>
      <c r="Z100" s="8"/>
      <c r="AA100" s="8"/>
      <c r="AB100" s="8"/>
      <c r="AC100" s="8"/>
      <c r="AD100" s="8"/>
      <c r="AE100" s="8"/>
      <c r="AF100" s="8"/>
      <c r="AG100" s="8"/>
      <c r="AH100" s="8"/>
      <c r="AI100" s="8"/>
      <c r="AJ100" s="8"/>
      <c r="AK100" s="8"/>
      <c r="AL100" s="8"/>
      <c r="AM100" s="8"/>
      <c r="AN100" s="8"/>
      <c r="AO100" s="17"/>
      <c r="AP100" s="17"/>
      <c r="AQ100" s="17"/>
      <c r="AR100" s="8"/>
      <c r="AS100" s="17"/>
      <c r="AT100" s="17"/>
      <c r="AU100" s="1150"/>
      <c r="AV100" s="8"/>
      <c r="AW100" s="8"/>
      <c r="AX100" s="8"/>
      <c r="AY100" s="1150"/>
      <c r="AZ100" s="8"/>
      <c r="BA100" s="8"/>
      <c r="BB100" s="8"/>
      <c r="BC100" s="8"/>
      <c r="BD100" s="8"/>
      <c r="BE100" s="8"/>
      <c r="BF100" s="8"/>
      <c r="BG100" s="8"/>
      <c r="BH100" s="8"/>
      <c r="BI100" s="8"/>
      <c r="BJ100" s="8"/>
      <c r="BK100" s="8"/>
      <c r="BL100" s="8"/>
      <c r="BM100" s="8"/>
      <c r="BN100" s="8"/>
      <c r="BO100" s="8"/>
      <c r="BP100" s="8"/>
      <c r="BQ100" s="8"/>
      <c r="BR100" s="8"/>
      <c r="BS100" s="8"/>
      <c r="BT100" s="8"/>
      <c r="BU100" s="8"/>
      <c r="BV100" s="8"/>
      <c r="BW100" s="8"/>
      <c r="BX100" s="17"/>
      <c r="BY100" s="8"/>
      <c r="BZ100" s="8"/>
      <c r="CA100" s="8"/>
      <c r="CB100" s="8"/>
      <c r="CC100" s="8"/>
      <c r="CD100" s="8"/>
      <c r="CE100" s="8"/>
      <c r="CF100" s="8"/>
      <c r="CG100" s="8"/>
      <c r="CH100" s="8"/>
      <c r="CI100" s="8"/>
      <c r="CJ100" s="8"/>
      <c r="CK100" s="8"/>
      <c r="CL100" s="8"/>
      <c r="CM100" s="8"/>
      <c r="CN100" s="8"/>
      <c r="CO100" s="8"/>
      <c r="CP100" s="8"/>
      <c r="CQ100" s="8"/>
      <c r="CR100" s="8"/>
      <c r="CS100" s="8"/>
      <c r="CT100" s="8"/>
      <c r="CU100" s="8"/>
      <c r="CV100" s="8"/>
      <c r="CW100" s="8"/>
    </row>
    <row r="101" spans="1:101" ht="14.25" customHeight="1">
      <c r="A101" s="8"/>
      <c r="B101" s="713" t="s">
        <v>477</v>
      </c>
      <c r="C101" s="1036"/>
      <c r="D101" s="878" t="str">
        <f t="shared" ref="D101:AE101" si="468">+D$9</f>
        <v>F1Q05A</v>
      </c>
      <c r="E101" s="811" t="str">
        <f t="shared" si="468"/>
        <v>F2Q05A</v>
      </c>
      <c r="F101" s="811" t="str">
        <f t="shared" si="468"/>
        <v>F3Q05A</v>
      </c>
      <c r="G101" s="812" t="str">
        <f t="shared" si="468"/>
        <v>F4Q05A</v>
      </c>
      <c r="H101" s="878" t="str">
        <f t="shared" si="468"/>
        <v>F1Q06A</v>
      </c>
      <c r="I101" s="811" t="str">
        <f t="shared" si="468"/>
        <v>F2Q06A</v>
      </c>
      <c r="J101" s="811" t="str">
        <f t="shared" si="468"/>
        <v>F3Q06A</v>
      </c>
      <c r="K101" s="812" t="str">
        <f t="shared" si="468"/>
        <v>F4Q06A</v>
      </c>
      <c r="L101" s="878" t="str">
        <f t="shared" si="468"/>
        <v>F1Q07A</v>
      </c>
      <c r="M101" s="811" t="str">
        <f t="shared" si="468"/>
        <v>F2Q07A</v>
      </c>
      <c r="N101" s="811" t="str">
        <f t="shared" si="468"/>
        <v>F3Q07A</v>
      </c>
      <c r="O101" s="812" t="str">
        <f t="shared" si="468"/>
        <v>F4Q07A</v>
      </c>
      <c r="P101" s="878" t="str">
        <f t="shared" si="468"/>
        <v>F1Q08A</v>
      </c>
      <c r="Q101" s="811" t="str">
        <f t="shared" si="468"/>
        <v>F2Q08A</v>
      </c>
      <c r="R101" s="811" t="str">
        <f t="shared" si="468"/>
        <v>F3Q08A</v>
      </c>
      <c r="S101" s="812" t="str">
        <f t="shared" si="468"/>
        <v>F4Q08A</v>
      </c>
      <c r="T101" s="878" t="str">
        <f t="shared" si="468"/>
        <v>F1Q09A</v>
      </c>
      <c r="U101" s="811" t="str">
        <f t="shared" si="468"/>
        <v>F2Q09A</v>
      </c>
      <c r="V101" s="811" t="str">
        <f t="shared" si="468"/>
        <v>F3Q09A</v>
      </c>
      <c r="W101" s="812" t="str">
        <f t="shared" si="468"/>
        <v>F4Q09A</v>
      </c>
      <c r="X101" s="878" t="str">
        <f t="shared" si="468"/>
        <v>F1Q10A</v>
      </c>
      <c r="Y101" s="811" t="str">
        <f t="shared" si="468"/>
        <v>F2Q10A</v>
      </c>
      <c r="Z101" s="811" t="str">
        <f t="shared" si="468"/>
        <v>F3Q10A</v>
      </c>
      <c r="AA101" s="812" t="str">
        <f t="shared" si="468"/>
        <v>F4Q10A</v>
      </c>
      <c r="AB101" s="878" t="str">
        <f t="shared" si="468"/>
        <v>F1Q11A</v>
      </c>
      <c r="AC101" s="811" t="str">
        <f t="shared" si="468"/>
        <v>F2Q11A</v>
      </c>
      <c r="AD101" s="811" t="str">
        <f t="shared" si="468"/>
        <v>F3Q11A</v>
      </c>
      <c r="AE101" s="812" t="str">
        <f t="shared" si="468"/>
        <v>F4Q11A</v>
      </c>
      <c r="AF101" s="878" t="str">
        <f>+AF$9</f>
        <v>F1Q12A</v>
      </c>
      <c r="AG101" s="811" t="str">
        <f t="shared" ref="AG101:CF101" si="469">+AG$9</f>
        <v>F2Q12A</v>
      </c>
      <c r="AH101" s="811" t="str">
        <f t="shared" si="469"/>
        <v>F3Q12A</v>
      </c>
      <c r="AI101" s="812" t="str">
        <f t="shared" si="469"/>
        <v>F4Q12A</v>
      </c>
      <c r="AJ101" s="878" t="str">
        <f t="shared" si="469"/>
        <v>F1Q13A</v>
      </c>
      <c r="AK101" s="811" t="str">
        <f t="shared" si="469"/>
        <v>F2Q13A</v>
      </c>
      <c r="AL101" s="811" t="str">
        <f t="shared" si="469"/>
        <v>F3Q13A</v>
      </c>
      <c r="AM101" s="812" t="str">
        <f t="shared" si="469"/>
        <v>F4Q13A</v>
      </c>
      <c r="AN101" s="811" t="str">
        <f t="shared" si="469"/>
        <v>F1Q14A</v>
      </c>
      <c r="AO101" s="811" t="str">
        <f t="shared" si="469"/>
        <v>F2Q14A</v>
      </c>
      <c r="AP101" s="811" t="str">
        <f t="shared" si="469"/>
        <v>F3Q14A</v>
      </c>
      <c r="AQ101" s="812" t="str">
        <f t="shared" si="469"/>
        <v>F4Q14A</v>
      </c>
      <c r="AR101" s="811" t="str">
        <f t="shared" si="469"/>
        <v>F1Q15A</v>
      </c>
      <c r="AS101" s="811" t="str">
        <f t="shared" si="469"/>
        <v>F2Q15A</v>
      </c>
      <c r="AT101" s="811" t="str">
        <f t="shared" si="469"/>
        <v>F3Q15A</v>
      </c>
      <c r="AU101" s="812" t="str">
        <f t="shared" si="469"/>
        <v>F4Q15A</v>
      </c>
      <c r="AV101" s="811" t="str">
        <f t="shared" si="469"/>
        <v>F1Q16A</v>
      </c>
      <c r="AW101" s="811" t="str">
        <f t="shared" si="469"/>
        <v>F2Q16A</v>
      </c>
      <c r="AX101" s="811" t="str">
        <f t="shared" si="469"/>
        <v>F3Q16A</v>
      </c>
      <c r="AY101" s="812" t="str">
        <f t="shared" si="469"/>
        <v>F4Q16A</v>
      </c>
      <c r="AZ101" s="811" t="str">
        <f t="shared" si="469"/>
        <v>F1Q17A</v>
      </c>
      <c r="BA101" s="811" t="str">
        <f t="shared" si="469"/>
        <v>F2Q17A</v>
      </c>
      <c r="BB101" s="811" t="str">
        <f t="shared" si="469"/>
        <v>F3Q17A</v>
      </c>
      <c r="BC101" s="812" t="str">
        <f t="shared" si="469"/>
        <v>F4Q17A</v>
      </c>
      <c r="BD101" s="811" t="str">
        <f t="shared" si="469"/>
        <v>F1Q18A</v>
      </c>
      <c r="BE101" s="811" t="str">
        <f t="shared" si="469"/>
        <v>F2Q18E</v>
      </c>
      <c r="BF101" s="811" t="str">
        <f t="shared" si="469"/>
        <v>F3Q18E</v>
      </c>
      <c r="BG101" s="812" t="str">
        <f t="shared" si="469"/>
        <v>F4Q18E</v>
      </c>
      <c r="BH101" s="811" t="str">
        <f t="shared" si="469"/>
        <v>F1Q19E</v>
      </c>
      <c r="BI101" s="811" t="str">
        <f t="shared" si="469"/>
        <v>F2Q19E</v>
      </c>
      <c r="BJ101" s="811" t="str">
        <f t="shared" si="469"/>
        <v>F3Q19E</v>
      </c>
      <c r="BK101" s="812" t="str">
        <f t="shared" si="469"/>
        <v>F4Q19E</v>
      </c>
      <c r="BL101" s="811" t="str">
        <f t="shared" si="469"/>
        <v>F1Q20E</v>
      </c>
      <c r="BM101" s="811" t="str">
        <f t="shared" si="469"/>
        <v>F2Q20E</v>
      </c>
      <c r="BN101" s="811" t="str">
        <f t="shared" si="469"/>
        <v>F3Q20E</v>
      </c>
      <c r="BO101" s="812" t="str">
        <f t="shared" si="469"/>
        <v>F4Q20E</v>
      </c>
      <c r="BP101" s="253"/>
      <c r="BQ101" s="878" t="str">
        <f t="shared" si="469"/>
        <v>FY2005A</v>
      </c>
      <c r="BR101" s="811" t="str">
        <f t="shared" si="469"/>
        <v>FY2006A</v>
      </c>
      <c r="BS101" s="811" t="str">
        <f t="shared" si="469"/>
        <v>FY2007A</v>
      </c>
      <c r="BT101" s="811" t="str">
        <f t="shared" si="469"/>
        <v>FY2008A</v>
      </c>
      <c r="BU101" s="811" t="str">
        <f t="shared" si="469"/>
        <v>FY2009A</v>
      </c>
      <c r="BV101" s="811" t="str">
        <f t="shared" si="469"/>
        <v>FY2010A</v>
      </c>
      <c r="BW101" s="811" t="str">
        <f t="shared" si="469"/>
        <v>FY2011A</v>
      </c>
      <c r="BX101" s="878" t="str">
        <f t="shared" si="469"/>
        <v>FY2012A</v>
      </c>
      <c r="BY101" s="878" t="str">
        <f t="shared" si="469"/>
        <v>FY2013A</v>
      </c>
      <c r="BZ101" s="811" t="str">
        <f t="shared" si="469"/>
        <v>FY2014A</v>
      </c>
      <c r="CA101" s="811" t="str">
        <f t="shared" si="469"/>
        <v>FY2015A</v>
      </c>
      <c r="CB101" s="811" t="str">
        <f t="shared" si="469"/>
        <v>FY2016A</v>
      </c>
      <c r="CC101" s="811" t="str">
        <f t="shared" si="469"/>
        <v>FY2017A</v>
      </c>
      <c r="CD101" s="811" t="str">
        <f t="shared" si="469"/>
        <v>FY2018E</v>
      </c>
      <c r="CE101" s="811" t="str">
        <f t="shared" si="469"/>
        <v>FY2019E</v>
      </c>
      <c r="CF101" s="812" t="str">
        <f t="shared" si="469"/>
        <v>FY2020E</v>
      </c>
      <c r="CG101" s="25"/>
      <c r="CH101" s="8"/>
      <c r="CI101" s="8"/>
      <c r="CJ101" s="8"/>
      <c r="CK101" s="8"/>
      <c r="CL101" s="8"/>
      <c r="CM101" s="8"/>
      <c r="CN101" s="8"/>
      <c r="CO101" s="8"/>
      <c r="CP101" s="8"/>
      <c r="CQ101" s="8"/>
      <c r="CR101" s="8"/>
      <c r="CS101" s="8"/>
      <c r="CT101" s="8"/>
      <c r="CU101" s="8"/>
      <c r="CV101" s="8"/>
      <c r="CW101" s="8"/>
    </row>
    <row r="102" spans="1:101" ht="14.25" customHeight="1">
      <c r="A102" s="8"/>
      <c r="B102" s="714" t="s">
        <v>337</v>
      </c>
      <c r="C102" s="253"/>
      <c r="D102" s="25"/>
      <c r="E102" s="17"/>
      <c r="F102" s="17"/>
      <c r="G102" s="253"/>
      <c r="H102" s="25"/>
      <c r="I102" s="17"/>
      <c r="J102" s="17"/>
      <c r="K102" s="253"/>
      <c r="L102" s="25"/>
      <c r="M102" s="17"/>
      <c r="N102" s="17"/>
      <c r="O102" s="253"/>
      <c r="P102" s="25"/>
      <c r="Q102" s="17"/>
      <c r="R102" s="17"/>
      <c r="S102" s="253"/>
      <c r="T102" s="25"/>
      <c r="U102" s="17"/>
      <c r="V102" s="17"/>
      <c r="W102" s="253"/>
      <c r="X102" s="25"/>
      <c r="Y102" s="17"/>
      <c r="Z102" s="17"/>
      <c r="AA102" s="253"/>
      <c r="AB102" s="25"/>
      <c r="AC102" s="17"/>
      <c r="AD102" s="17"/>
      <c r="AE102" s="253"/>
      <c r="AF102" s="17"/>
      <c r="AG102" s="17"/>
      <c r="AH102" s="17"/>
      <c r="AI102" s="17"/>
      <c r="AJ102" s="25"/>
      <c r="AK102" s="17"/>
      <c r="AL102" s="17"/>
      <c r="AM102" s="999"/>
      <c r="AN102" s="25"/>
      <c r="AO102" s="17"/>
      <c r="AP102" s="17"/>
      <c r="AQ102" s="17"/>
      <c r="AR102" s="25"/>
      <c r="AS102" s="17"/>
      <c r="AT102" s="17"/>
      <c r="AU102" s="17"/>
      <c r="AV102" s="25"/>
      <c r="AW102" s="999"/>
      <c r="AX102" s="999"/>
      <c r="AY102" s="17"/>
      <c r="AZ102" s="25"/>
      <c r="BA102" s="999"/>
      <c r="BB102" s="999"/>
      <c r="BC102" s="247"/>
      <c r="BD102" s="1059"/>
      <c r="BE102" s="999"/>
      <c r="BF102" s="999"/>
      <c r="BG102" s="247"/>
      <c r="BH102" s="1059"/>
      <c r="BI102" s="999"/>
      <c r="BJ102" s="999"/>
      <c r="BK102" s="247"/>
      <c r="BL102" s="1059"/>
      <c r="BM102" s="999"/>
      <c r="BN102" s="999"/>
      <c r="BO102" s="247"/>
      <c r="BP102" s="253"/>
      <c r="BQ102" s="25"/>
      <c r="BR102" s="17"/>
      <c r="BS102" s="17"/>
      <c r="BT102" s="17"/>
      <c r="BU102" s="17"/>
      <c r="BV102" s="17"/>
      <c r="BW102" s="999"/>
      <c r="BX102" s="25"/>
      <c r="BY102" s="25"/>
      <c r="BZ102" s="17"/>
      <c r="CA102" s="17"/>
      <c r="CB102" s="17"/>
      <c r="CC102" s="17"/>
      <c r="CD102" s="17"/>
      <c r="CE102" s="17"/>
      <c r="CF102" s="253"/>
      <c r="CG102" s="25"/>
      <c r="CH102" s="8"/>
      <c r="CI102" s="8"/>
      <c r="CJ102" s="8"/>
      <c r="CK102" s="8"/>
      <c r="CL102" s="8"/>
      <c r="CM102" s="8"/>
      <c r="CN102" s="8"/>
      <c r="CO102" s="8"/>
      <c r="CP102" s="8"/>
      <c r="CQ102" s="8"/>
      <c r="CR102" s="8"/>
      <c r="CS102" s="8"/>
      <c r="CT102" s="8"/>
      <c r="CU102" s="8"/>
      <c r="CV102" s="8"/>
      <c r="CW102" s="8"/>
    </row>
    <row r="103" spans="1:101" ht="14.25" customHeight="1">
      <c r="A103" s="721"/>
      <c r="B103" s="725" t="s">
        <v>341</v>
      </c>
      <c r="C103" s="740"/>
      <c r="D103" s="804"/>
      <c r="E103" s="319"/>
      <c r="F103" s="319"/>
      <c r="G103" s="740"/>
      <c r="H103" s="804"/>
      <c r="I103" s="319"/>
      <c r="J103" s="319"/>
      <c r="K103" s="740"/>
      <c r="L103" s="804"/>
      <c r="M103" s="319"/>
      <c r="N103" s="319"/>
      <c r="O103" s="740"/>
      <c r="P103" s="804"/>
      <c r="Q103" s="319"/>
      <c r="R103" s="319"/>
      <c r="S103" s="740"/>
      <c r="T103" s="804"/>
      <c r="U103" s="319"/>
      <c r="V103" s="319"/>
      <c r="W103" s="740"/>
      <c r="X103" s="804"/>
      <c r="Y103" s="319"/>
      <c r="Z103" s="319"/>
      <c r="AA103" s="740"/>
      <c r="AB103" s="804"/>
      <c r="AC103" s="319"/>
      <c r="AD103" s="319"/>
      <c r="AE103" s="744">
        <v>0</v>
      </c>
      <c r="AF103" s="319">
        <f t="shared" ref="AF103:AS103" si="470">+AE103+AF115</f>
        <v>0</v>
      </c>
      <c r="AG103" s="319">
        <f t="shared" si="470"/>
        <v>0</v>
      </c>
      <c r="AH103" s="319">
        <f t="shared" si="470"/>
        <v>0</v>
      </c>
      <c r="AI103" s="319">
        <f t="shared" si="470"/>
        <v>0</v>
      </c>
      <c r="AJ103" s="804">
        <f t="shared" si="470"/>
        <v>0</v>
      </c>
      <c r="AK103" s="319">
        <f t="shared" si="470"/>
        <v>0</v>
      </c>
      <c r="AL103" s="319">
        <f t="shared" si="470"/>
        <v>0</v>
      </c>
      <c r="AM103" s="319">
        <f>+AL103+AM115</f>
        <v>0</v>
      </c>
      <c r="AN103" s="804">
        <f t="shared" si="470"/>
        <v>0</v>
      </c>
      <c r="AO103" s="319">
        <f t="shared" si="470"/>
        <v>0</v>
      </c>
      <c r="AP103" s="319">
        <f t="shared" si="470"/>
        <v>0</v>
      </c>
      <c r="AQ103" s="319">
        <f t="shared" si="470"/>
        <v>0</v>
      </c>
      <c r="AR103" s="804">
        <f t="shared" si="470"/>
        <v>0</v>
      </c>
      <c r="AS103" s="319">
        <f t="shared" si="470"/>
        <v>0</v>
      </c>
      <c r="AT103" s="319">
        <f t="shared" ref="AT103:BG103" si="471">+AS103+AT115</f>
        <v>0</v>
      </c>
      <c r="AU103" s="319">
        <f t="shared" si="471"/>
        <v>0</v>
      </c>
      <c r="AV103" s="804">
        <f t="shared" si="471"/>
        <v>0</v>
      </c>
      <c r="AW103" s="319">
        <f t="shared" si="471"/>
        <v>0</v>
      </c>
      <c r="AX103" s="319">
        <f t="shared" si="471"/>
        <v>0</v>
      </c>
      <c r="AY103" s="319">
        <f t="shared" si="471"/>
        <v>0</v>
      </c>
      <c r="AZ103" s="804">
        <f t="shared" si="471"/>
        <v>0</v>
      </c>
      <c r="BA103" s="319">
        <f t="shared" si="471"/>
        <v>0</v>
      </c>
      <c r="BB103" s="319">
        <f t="shared" si="471"/>
        <v>0</v>
      </c>
      <c r="BC103" s="740">
        <f t="shared" si="471"/>
        <v>0</v>
      </c>
      <c r="BD103" s="804">
        <f t="shared" si="471"/>
        <v>0</v>
      </c>
      <c r="BE103" s="319">
        <f t="shared" si="471"/>
        <v>0</v>
      </c>
      <c r="BF103" s="319">
        <f t="shared" si="471"/>
        <v>0</v>
      </c>
      <c r="BG103" s="740">
        <f t="shared" si="471"/>
        <v>0</v>
      </c>
      <c r="BH103" s="804">
        <f t="shared" ref="BH103:BH104" si="472">+BG103+BH115</f>
        <v>0</v>
      </c>
      <c r="BI103" s="319">
        <f t="shared" ref="BI103:BI104" si="473">+BH103+BI115</f>
        <v>0</v>
      </c>
      <c r="BJ103" s="319">
        <f t="shared" ref="BJ103:BJ104" si="474">+BI103+BJ115</f>
        <v>0</v>
      </c>
      <c r="BK103" s="740">
        <f t="shared" ref="BK103:BK104" si="475">+BJ103+BK115</f>
        <v>0</v>
      </c>
      <c r="BL103" s="804">
        <f t="shared" ref="BL103:BL104" si="476">+BK103+BL115</f>
        <v>0</v>
      </c>
      <c r="BM103" s="319">
        <f t="shared" ref="BM103:BM104" si="477">+BL103+BM115</f>
        <v>0</v>
      </c>
      <c r="BN103" s="319">
        <f t="shared" ref="BN103:BN104" si="478">+BM103+BN115</f>
        <v>0</v>
      </c>
      <c r="BO103" s="740">
        <f t="shared" ref="BO103:BO104" si="479">+BN103+BO115</f>
        <v>0</v>
      </c>
      <c r="BP103" s="740"/>
      <c r="BQ103" s="804"/>
      <c r="BR103" s="319"/>
      <c r="BS103" s="319"/>
      <c r="BT103" s="319"/>
      <c r="BU103" s="319"/>
      <c r="BV103" s="319"/>
      <c r="BW103" s="319">
        <f t="shared" ref="BW103:BW112" si="480">+AE103</f>
        <v>0</v>
      </c>
      <c r="BX103" s="804">
        <f t="shared" ref="BX103:BX112" si="481">+AI103</f>
        <v>0</v>
      </c>
      <c r="BY103" s="804">
        <f t="shared" ref="BY103:BY112" si="482">+AM103</f>
        <v>0</v>
      </c>
      <c r="BZ103" s="319">
        <f t="shared" ref="BZ103:BZ112" si="483">+AQ103</f>
        <v>0</v>
      </c>
      <c r="CA103" s="319">
        <f t="shared" ref="CA103:CA112" si="484">AU103</f>
        <v>0</v>
      </c>
      <c r="CB103" s="319">
        <f t="shared" ref="CB103:CB112" si="485">AY103</f>
        <v>0</v>
      </c>
      <c r="CC103" s="319">
        <f t="shared" ref="CC103:CC112" si="486">BC103</f>
        <v>0</v>
      </c>
      <c r="CD103" s="319">
        <f t="shared" ref="CD103:CD112" si="487">BG103</f>
        <v>0</v>
      </c>
      <c r="CE103" s="319">
        <f t="shared" ref="CE103:CE112" si="488">BK103</f>
        <v>0</v>
      </c>
      <c r="CF103" s="740">
        <f>BO103</f>
        <v>0</v>
      </c>
      <c r="CG103" s="804"/>
      <c r="CH103" s="721"/>
      <c r="CI103" s="721"/>
      <c r="CJ103" s="721"/>
      <c r="CK103" s="721"/>
      <c r="CL103" s="721"/>
      <c r="CM103" s="721"/>
      <c r="CN103" s="721"/>
      <c r="CO103" s="721"/>
      <c r="CP103" s="721"/>
      <c r="CQ103" s="721"/>
      <c r="CR103" s="721"/>
      <c r="CS103" s="721"/>
      <c r="CT103" s="721"/>
      <c r="CU103" s="721"/>
      <c r="CV103" s="721"/>
      <c r="CW103" s="721"/>
    </row>
    <row r="104" spans="1:101" ht="14.25" customHeight="1">
      <c r="A104" s="721"/>
      <c r="B104" s="715" t="s">
        <v>339</v>
      </c>
      <c r="C104" s="740"/>
      <c r="D104" s="804"/>
      <c r="E104" s="319"/>
      <c r="F104" s="319"/>
      <c r="G104" s="740"/>
      <c r="H104" s="804"/>
      <c r="I104" s="319"/>
      <c r="J104" s="319"/>
      <c r="K104" s="740"/>
      <c r="L104" s="804"/>
      <c r="M104" s="319"/>
      <c r="N104" s="319"/>
      <c r="O104" s="740"/>
      <c r="P104" s="804"/>
      <c r="Q104" s="319"/>
      <c r="R104" s="319"/>
      <c r="S104" s="740"/>
      <c r="T104" s="804"/>
      <c r="U104" s="319"/>
      <c r="V104" s="319"/>
      <c r="W104" s="740"/>
      <c r="X104" s="804"/>
      <c r="Y104" s="319"/>
      <c r="Z104" s="319"/>
      <c r="AA104" s="740"/>
      <c r="AB104" s="807">
        <f>145-3.6*0.5</f>
        <v>143.19999999999999</v>
      </c>
      <c r="AC104" s="319">
        <f>+AB104+AC116</f>
        <v>139.6</v>
      </c>
      <c r="AD104" s="319">
        <f>+AC104+AD116</f>
        <v>118.458</v>
      </c>
      <c r="AE104" s="740">
        <f>+AD104+AE116</f>
        <v>114.833</v>
      </c>
      <c r="AF104" s="319">
        <f t="shared" ref="AF104:AS104" si="489">+AE104+AF116</f>
        <v>99.207999999999998</v>
      </c>
      <c r="AG104" s="319">
        <f t="shared" si="489"/>
        <v>95.582999999999998</v>
      </c>
      <c r="AH104" s="319">
        <f t="shared" si="489"/>
        <v>91.957999999999998</v>
      </c>
      <c r="AI104" s="319">
        <f t="shared" si="489"/>
        <v>58.332999999999998</v>
      </c>
      <c r="AJ104" s="804">
        <f t="shared" si="489"/>
        <v>-1.7749999999999986</v>
      </c>
      <c r="AK104" s="319">
        <f t="shared" si="489"/>
        <v>-1.7749999999999986</v>
      </c>
      <c r="AL104" s="319">
        <f t="shared" si="489"/>
        <v>-1.7749999999999986</v>
      </c>
      <c r="AM104" s="319">
        <f>+AL104+AM116</f>
        <v>-1.7749999999999986</v>
      </c>
      <c r="AN104" s="804">
        <f t="shared" si="489"/>
        <v>0</v>
      </c>
      <c r="AO104" s="319">
        <f t="shared" si="489"/>
        <v>0</v>
      </c>
      <c r="AP104" s="319">
        <f t="shared" si="489"/>
        <v>0</v>
      </c>
      <c r="AQ104" s="319">
        <f t="shared" si="489"/>
        <v>0</v>
      </c>
      <c r="AR104" s="804">
        <f t="shared" si="489"/>
        <v>0</v>
      </c>
      <c r="AS104" s="319">
        <f t="shared" si="489"/>
        <v>0</v>
      </c>
      <c r="AT104" s="319">
        <f t="shared" ref="AT104:BG104" si="490">+AS104+AT116</f>
        <v>0</v>
      </c>
      <c r="AU104" s="319">
        <f t="shared" si="490"/>
        <v>0</v>
      </c>
      <c r="AV104" s="804">
        <f t="shared" si="490"/>
        <v>0</v>
      </c>
      <c r="AW104" s="319">
        <f t="shared" si="490"/>
        <v>0</v>
      </c>
      <c r="AX104" s="319">
        <f t="shared" si="490"/>
        <v>0</v>
      </c>
      <c r="AY104" s="319">
        <f t="shared" si="490"/>
        <v>0</v>
      </c>
      <c r="AZ104" s="804">
        <f t="shared" si="490"/>
        <v>0</v>
      </c>
      <c r="BA104" s="319">
        <f t="shared" si="490"/>
        <v>0</v>
      </c>
      <c r="BB104" s="319">
        <f t="shared" si="490"/>
        <v>0</v>
      </c>
      <c r="BC104" s="740">
        <f t="shared" si="490"/>
        <v>0</v>
      </c>
      <c r="BD104" s="804">
        <f t="shared" si="490"/>
        <v>0</v>
      </c>
      <c r="BE104" s="319">
        <f t="shared" si="490"/>
        <v>0</v>
      </c>
      <c r="BF104" s="319">
        <f t="shared" si="490"/>
        <v>0</v>
      </c>
      <c r="BG104" s="740">
        <f t="shared" si="490"/>
        <v>0</v>
      </c>
      <c r="BH104" s="804">
        <f t="shared" si="472"/>
        <v>0</v>
      </c>
      <c r="BI104" s="319">
        <f t="shared" si="473"/>
        <v>0</v>
      </c>
      <c r="BJ104" s="319">
        <f t="shared" si="474"/>
        <v>0</v>
      </c>
      <c r="BK104" s="740">
        <f t="shared" si="475"/>
        <v>0</v>
      </c>
      <c r="BL104" s="804">
        <f t="shared" si="476"/>
        <v>0</v>
      </c>
      <c r="BM104" s="319">
        <f t="shared" si="477"/>
        <v>0</v>
      </c>
      <c r="BN104" s="319">
        <f t="shared" si="478"/>
        <v>0</v>
      </c>
      <c r="BO104" s="740">
        <f t="shared" si="479"/>
        <v>0</v>
      </c>
      <c r="BP104" s="740"/>
      <c r="BQ104" s="804"/>
      <c r="BR104" s="319"/>
      <c r="BS104" s="319"/>
      <c r="BT104" s="319"/>
      <c r="BU104" s="319"/>
      <c r="BV104" s="319"/>
      <c r="BW104" s="319">
        <f t="shared" si="480"/>
        <v>114.833</v>
      </c>
      <c r="BX104" s="804">
        <f t="shared" si="481"/>
        <v>58.332999999999998</v>
      </c>
      <c r="BY104" s="804">
        <f t="shared" si="482"/>
        <v>-1.7749999999999986</v>
      </c>
      <c r="BZ104" s="319">
        <f t="shared" si="483"/>
        <v>0</v>
      </c>
      <c r="CA104" s="319">
        <f t="shared" si="484"/>
        <v>0</v>
      </c>
      <c r="CB104" s="319">
        <f t="shared" si="485"/>
        <v>0</v>
      </c>
      <c r="CC104" s="319">
        <f t="shared" si="486"/>
        <v>0</v>
      </c>
      <c r="CD104" s="319">
        <f t="shared" si="487"/>
        <v>0</v>
      </c>
      <c r="CE104" s="319">
        <f t="shared" si="488"/>
        <v>0</v>
      </c>
      <c r="CF104" s="740">
        <f t="shared" ref="CF104:CF112" si="491">BO104</f>
        <v>0</v>
      </c>
      <c r="CG104" s="804"/>
      <c r="CH104" s="721"/>
      <c r="CI104" s="721"/>
      <c r="CJ104" s="721"/>
      <c r="CK104" s="721"/>
      <c r="CL104" s="721"/>
      <c r="CM104" s="721"/>
      <c r="CN104" s="721"/>
      <c r="CO104" s="721"/>
      <c r="CP104" s="721"/>
      <c r="CQ104" s="721"/>
      <c r="CR104" s="721"/>
      <c r="CS104" s="721"/>
      <c r="CT104" s="721"/>
      <c r="CU104" s="721"/>
      <c r="CV104" s="721"/>
      <c r="CW104" s="721"/>
    </row>
    <row r="105" spans="1:101" ht="14.25" customHeight="1">
      <c r="A105" s="721"/>
      <c r="B105" s="715" t="s">
        <v>342</v>
      </c>
      <c r="C105" s="740"/>
      <c r="D105" s="804"/>
      <c r="E105" s="319"/>
      <c r="F105" s="319"/>
      <c r="G105" s="740"/>
      <c r="H105" s="804"/>
      <c r="I105" s="319"/>
      <c r="J105" s="319"/>
      <c r="K105" s="740"/>
      <c r="L105" s="804"/>
      <c r="M105" s="319"/>
      <c r="N105" s="319"/>
      <c r="O105" s="740"/>
      <c r="P105" s="804"/>
      <c r="Q105" s="319"/>
      <c r="R105" s="319"/>
      <c r="S105" s="740"/>
      <c r="T105" s="804"/>
      <c r="U105" s="319"/>
      <c r="V105" s="319"/>
      <c r="W105" s="740"/>
      <c r="X105" s="804"/>
      <c r="Y105" s="319"/>
      <c r="Z105" s="319"/>
      <c r="AA105" s="740"/>
      <c r="AB105" s="807">
        <v>0</v>
      </c>
      <c r="AC105" s="791">
        <v>375</v>
      </c>
      <c r="AD105" s="791">
        <v>375</v>
      </c>
      <c r="AE105" s="744">
        <v>375</v>
      </c>
      <c r="AF105" s="319">
        <f>+AE105</f>
        <v>375</v>
      </c>
      <c r="AG105" s="319">
        <f t="shared" ref="AG105:AS106" si="492">+AF105</f>
        <v>375</v>
      </c>
      <c r="AH105" s="319">
        <f t="shared" si="492"/>
        <v>375</v>
      </c>
      <c r="AI105" s="319">
        <f t="shared" si="492"/>
        <v>375</v>
      </c>
      <c r="AJ105" s="804">
        <f t="shared" si="492"/>
        <v>375</v>
      </c>
      <c r="AK105" s="319">
        <f t="shared" si="492"/>
        <v>375</v>
      </c>
      <c r="AL105" s="319"/>
      <c r="AM105" s="319"/>
      <c r="AN105" s="804"/>
      <c r="AO105" s="319"/>
      <c r="AP105" s="1052">
        <v>0</v>
      </c>
      <c r="AQ105" s="319">
        <f t="shared" si="492"/>
        <v>0</v>
      </c>
      <c r="AR105" s="804"/>
      <c r="AS105" s="319"/>
      <c r="AT105" s="1052">
        <v>0</v>
      </c>
      <c r="AU105" s="319">
        <f>+AT105</f>
        <v>0</v>
      </c>
      <c r="AV105" s="804"/>
      <c r="AW105" s="319">
        <f>+AV105</f>
        <v>0</v>
      </c>
      <c r="AX105" s="1052">
        <v>0</v>
      </c>
      <c r="AY105" s="319">
        <f>+AX105</f>
        <v>0</v>
      </c>
      <c r="AZ105" s="804"/>
      <c r="BA105" s="319">
        <f>+AZ105</f>
        <v>0</v>
      </c>
      <c r="BB105" s="1052">
        <v>0</v>
      </c>
      <c r="BC105" s="740">
        <f>+BB105</f>
        <v>0</v>
      </c>
      <c r="BD105" s="804">
        <f>+BC105</f>
        <v>0</v>
      </c>
      <c r="BE105" s="319">
        <f>+BD105</f>
        <v>0</v>
      </c>
      <c r="BF105" s="1052">
        <v>0</v>
      </c>
      <c r="BG105" s="740">
        <f>+BF105</f>
        <v>0</v>
      </c>
      <c r="BH105" s="804">
        <f>+BG105</f>
        <v>0</v>
      </c>
      <c r="BI105" s="319">
        <f>+BH105</f>
        <v>0</v>
      </c>
      <c r="BJ105" s="1052">
        <v>0</v>
      </c>
      <c r="BK105" s="740">
        <f>+BJ105</f>
        <v>0</v>
      </c>
      <c r="BL105" s="804">
        <f>+BK105</f>
        <v>0</v>
      </c>
      <c r="BM105" s="319">
        <f>+BL105</f>
        <v>0</v>
      </c>
      <c r="BN105" s="1052">
        <v>0</v>
      </c>
      <c r="BO105" s="740">
        <f>+BN105</f>
        <v>0</v>
      </c>
      <c r="BP105" s="740"/>
      <c r="BQ105" s="804"/>
      <c r="BR105" s="319"/>
      <c r="BS105" s="319"/>
      <c r="BT105" s="319"/>
      <c r="BU105" s="319"/>
      <c r="BV105" s="319"/>
      <c r="BW105" s="319">
        <f t="shared" si="480"/>
        <v>375</v>
      </c>
      <c r="BX105" s="804">
        <f t="shared" si="481"/>
        <v>375</v>
      </c>
      <c r="BY105" s="804">
        <f t="shared" si="482"/>
        <v>0</v>
      </c>
      <c r="BZ105" s="319">
        <f t="shared" si="483"/>
        <v>0</v>
      </c>
      <c r="CA105" s="319">
        <f t="shared" si="484"/>
        <v>0</v>
      </c>
      <c r="CB105" s="319">
        <f t="shared" si="485"/>
        <v>0</v>
      </c>
      <c r="CC105" s="319">
        <f t="shared" si="486"/>
        <v>0</v>
      </c>
      <c r="CD105" s="319">
        <f t="shared" si="487"/>
        <v>0</v>
      </c>
      <c r="CE105" s="319">
        <f t="shared" si="488"/>
        <v>0</v>
      </c>
      <c r="CF105" s="740">
        <f t="shared" si="491"/>
        <v>0</v>
      </c>
      <c r="CG105" s="804"/>
      <c r="CH105" s="721"/>
      <c r="CI105" s="721"/>
      <c r="CJ105" s="721"/>
      <c r="CK105" s="721"/>
      <c r="CL105" s="721"/>
      <c r="CM105" s="721"/>
      <c r="CN105" s="721"/>
      <c r="CO105" s="721"/>
      <c r="CP105" s="721"/>
      <c r="CQ105" s="721"/>
      <c r="CR105" s="721"/>
      <c r="CS105" s="721"/>
      <c r="CT105" s="721"/>
      <c r="CU105" s="721"/>
      <c r="CV105" s="721"/>
      <c r="CW105" s="721"/>
    </row>
    <row r="106" spans="1:101" ht="14.25" customHeight="1">
      <c r="A106" s="722"/>
      <c r="B106" s="715" t="s">
        <v>340</v>
      </c>
      <c r="C106" s="741"/>
      <c r="D106" s="805"/>
      <c r="E106" s="792"/>
      <c r="F106" s="792"/>
      <c r="G106" s="741"/>
      <c r="H106" s="805"/>
      <c r="I106" s="792"/>
      <c r="J106" s="792"/>
      <c r="K106" s="741"/>
      <c r="L106" s="805"/>
      <c r="M106" s="792"/>
      <c r="N106" s="792"/>
      <c r="O106" s="741"/>
      <c r="P106" s="805"/>
      <c r="Q106" s="792"/>
      <c r="R106" s="792"/>
      <c r="S106" s="741"/>
      <c r="T106" s="805"/>
      <c r="U106" s="792"/>
      <c r="V106" s="792"/>
      <c r="W106" s="741"/>
      <c r="X106" s="805"/>
      <c r="Y106" s="792"/>
      <c r="Z106" s="792"/>
      <c r="AA106" s="741"/>
      <c r="AB106" s="807">
        <v>375</v>
      </c>
      <c r="AC106" s="791">
        <v>375</v>
      </c>
      <c r="AD106" s="791">
        <v>375</v>
      </c>
      <c r="AE106" s="744">
        <v>375</v>
      </c>
      <c r="AF106" s="319">
        <f>+AE106</f>
        <v>375</v>
      </c>
      <c r="AG106" s="319">
        <f t="shared" si="492"/>
        <v>375</v>
      </c>
      <c r="AH106" s="319">
        <f t="shared" si="492"/>
        <v>375</v>
      </c>
      <c r="AI106" s="319">
        <f t="shared" si="492"/>
        <v>375</v>
      </c>
      <c r="AJ106" s="804">
        <f t="shared" si="492"/>
        <v>375</v>
      </c>
      <c r="AK106" s="319">
        <f t="shared" si="492"/>
        <v>375</v>
      </c>
      <c r="AL106" s="319">
        <f t="shared" si="492"/>
        <v>375</v>
      </c>
      <c r="AM106" s="319">
        <f>+AL106</f>
        <v>375</v>
      </c>
      <c r="AN106" s="804">
        <f t="shared" si="492"/>
        <v>375</v>
      </c>
      <c r="AO106" s="319">
        <f t="shared" si="492"/>
        <v>375</v>
      </c>
      <c r="AP106" s="319">
        <f>+AO106</f>
        <v>375</v>
      </c>
      <c r="AQ106" s="319">
        <f t="shared" si="492"/>
        <v>375</v>
      </c>
      <c r="AR106" s="804">
        <f t="shared" si="492"/>
        <v>375</v>
      </c>
      <c r="AS106" s="319">
        <f t="shared" si="492"/>
        <v>375</v>
      </c>
      <c r="AT106" s="319">
        <f>+AS106</f>
        <v>375</v>
      </c>
      <c r="AU106" s="319">
        <f>+AT106</f>
        <v>375</v>
      </c>
      <c r="AV106" s="804">
        <f>+AU106</f>
        <v>375</v>
      </c>
      <c r="AW106" s="319"/>
      <c r="AX106" s="319">
        <f t="shared" ref="AX106:AX109" si="493">+AW106</f>
        <v>0</v>
      </c>
      <c r="AY106" s="319">
        <f>+AX106</f>
        <v>0</v>
      </c>
      <c r="AZ106" s="804">
        <f>+AY106</f>
        <v>0</v>
      </c>
      <c r="BA106" s="319">
        <f t="shared" ref="BA106:BD109" si="494">+AZ106</f>
        <v>0</v>
      </c>
      <c r="BB106" s="319">
        <f t="shared" si="494"/>
        <v>0</v>
      </c>
      <c r="BC106" s="740">
        <f t="shared" si="494"/>
        <v>0</v>
      </c>
      <c r="BD106" s="804">
        <f t="shared" si="494"/>
        <v>0</v>
      </c>
      <c r="BE106" s="319"/>
      <c r="BF106" s="319">
        <f t="shared" ref="BF106:BG109" si="495">+BE106</f>
        <v>0</v>
      </c>
      <c r="BG106" s="740">
        <f t="shared" si="495"/>
        <v>0</v>
      </c>
      <c r="BH106" s="804">
        <f t="shared" ref="BH106:BH109" si="496">+BG106</f>
        <v>0</v>
      </c>
      <c r="BI106" s="319"/>
      <c r="BJ106" s="319">
        <f t="shared" ref="BJ106:BK109" si="497">+BI106</f>
        <v>0</v>
      </c>
      <c r="BK106" s="740">
        <f t="shared" si="497"/>
        <v>0</v>
      </c>
      <c r="BL106" s="804">
        <f t="shared" ref="BL106:BL109" si="498">+BK106</f>
        <v>0</v>
      </c>
      <c r="BM106" s="319"/>
      <c r="BN106" s="319">
        <f>+BM106</f>
        <v>0</v>
      </c>
      <c r="BO106" s="740">
        <f>+BN106</f>
        <v>0</v>
      </c>
      <c r="BP106" s="741"/>
      <c r="BQ106" s="805"/>
      <c r="BR106" s="792"/>
      <c r="BS106" s="792"/>
      <c r="BT106" s="792"/>
      <c r="BU106" s="792"/>
      <c r="BV106" s="792"/>
      <c r="BW106" s="792">
        <f t="shared" si="480"/>
        <v>375</v>
      </c>
      <c r="BX106" s="805">
        <f t="shared" si="481"/>
        <v>375</v>
      </c>
      <c r="BY106" s="805">
        <f t="shared" si="482"/>
        <v>375</v>
      </c>
      <c r="BZ106" s="792">
        <f t="shared" si="483"/>
        <v>375</v>
      </c>
      <c r="CA106" s="792">
        <f t="shared" si="484"/>
        <v>375</v>
      </c>
      <c r="CB106" s="792">
        <f t="shared" si="485"/>
        <v>0</v>
      </c>
      <c r="CC106" s="792">
        <f t="shared" si="486"/>
        <v>0</v>
      </c>
      <c r="CD106" s="792">
        <f t="shared" si="487"/>
        <v>0</v>
      </c>
      <c r="CE106" s="792">
        <f t="shared" si="488"/>
        <v>0</v>
      </c>
      <c r="CF106" s="741">
        <f t="shared" si="491"/>
        <v>0</v>
      </c>
      <c r="CG106" s="805"/>
      <c r="CH106" s="722"/>
      <c r="CI106" s="722"/>
      <c r="CJ106" s="722"/>
      <c r="CK106" s="722"/>
      <c r="CL106" s="722"/>
      <c r="CM106" s="722"/>
      <c r="CN106" s="722"/>
      <c r="CO106" s="722"/>
      <c r="CP106" s="722"/>
      <c r="CQ106" s="722"/>
      <c r="CR106" s="722"/>
      <c r="CS106" s="722"/>
      <c r="CT106" s="722"/>
      <c r="CU106" s="722"/>
      <c r="CV106" s="722"/>
      <c r="CW106" s="722"/>
    </row>
    <row r="107" spans="1:101" ht="14.25" customHeight="1">
      <c r="A107" s="722"/>
      <c r="B107" s="715" t="s">
        <v>553</v>
      </c>
      <c r="C107" s="741"/>
      <c r="D107" s="805"/>
      <c r="E107" s="792"/>
      <c r="F107" s="792"/>
      <c r="G107" s="741"/>
      <c r="H107" s="805"/>
      <c r="I107" s="792"/>
      <c r="J107" s="792"/>
      <c r="K107" s="741"/>
      <c r="L107" s="805"/>
      <c r="M107" s="792"/>
      <c r="N107" s="792"/>
      <c r="O107" s="741"/>
      <c r="P107" s="805"/>
      <c r="Q107" s="792"/>
      <c r="R107" s="792"/>
      <c r="S107" s="741"/>
      <c r="T107" s="805"/>
      <c r="U107" s="792"/>
      <c r="V107" s="792"/>
      <c r="W107" s="741"/>
      <c r="X107" s="805"/>
      <c r="Y107" s="792"/>
      <c r="Z107" s="792"/>
      <c r="AA107" s="741"/>
      <c r="AB107" s="807"/>
      <c r="AC107" s="791"/>
      <c r="AD107" s="791"/>
      <c r="AE107" s="744"/>
      <c r="AF107" s="319"/>
      <c r="AG107" s="319"/>
      <c r="AH107" s="319"/>
      <c r="AI107" s="319"/>
      <c r="AJ107" s="804"/>
      <c r="AK107" s="319"/>
      <c r="AL107" s="319"/>
      <c r="AM107" s="319"/>
      <c r="AN107" s="804"/>
      <c r="AO107" s="319"/>
      <c r="AP107" s="319"/>
      <c r="AQ107" s="319"/>
      <c r="AR107" s="804"/>
      <c r="AS107" s="319"/>
      <c r="AT107" s="319"/>
      <c r="AU107" s="319"/>
      <c r="AV107" s="804"/>
      <c r="AW107" s="319"/>
      <c r="AX107" s="319">
        <v>850</v>
      </c>
      <c r="AY107" s="319"/>
      <c r="AZ107" s="804"/>
      <c r="BA107" s="319">
        <f t="shared" ref="BA107:BC108" si="499">+AZ107</f>
        <v>0</v>
      </c>
      <c r="BB107" s="319">
        <f t="shared" si="499"/>
        <v>0</v>
      </c>
      <c r="BC107" s="740">
        <f t="shared" si="499"/>
        <v>0</v>
      </c>
      <c r="BD107" s="804">
        <f t="shared" si="494"/>
        <v>0</v>
      </c>
      <c r="BE107" s="319">
        <f>+BD107</f>
        <v>0</v>
      </c>
      <c r="BF107" s="319">
        <f t="shared" si="495"/>
        <v>0</v>
      </c>
      <c r="BG107" s="740">
        <f t="shared" si="495"/>
        <v>0</v>
      </c>
      <c r="BH107" s="804">
        <f t="shared" si="496"/>
        <v>0</v>
      </c>
      <c r="BI107" s="319">
        <f>+BH107</f>
        <v>0</v>
      </c>
      <c r="BJ107" s="319">
        <f t="shared" si="497"/>
        <v>0</v>
      </c>
      <c r="BK107" s="740">
        <f t="shared" si="497"/>
        <v>0</v>
      </c>
      <c r="BL107" s="804">
        <f t="shared" si="498"/>
        <v>0</v>
      </c>
      <c r="BM107" s="319">
        <f>+BL107</f>
        <v>0</v>
      </c>
      <c r="BN107" s="319">
        <f>+BM107</f>
        <v>0</v>
      </c>
      <c r="BO107" s="740">
        <f>+BN107</f>
        <v>0</v>
      </c>
      <c r="BP107" s="741"/>
      <c r="BQ107" s="805"/>
      <c r="BR107" s="792"/>
      <c r="BS107" s="792"/>
      <c r="BT107" s="792"/>
      <c r="BU107" s="792"/>
      <c r="BV107" s="792"/>
      <c r="BW107" s="792"/>
      <c r="BX107" s="805"/>
      <c r="BY107" s="805"/>
      <c r="BZ107" s="792"/>
      <c r="CA107" s="792"/>
      <c r="CB107" s="319">
        <f t="shared" si="485"/>
        <v>0</v>
      </c>
      <c r="CC107" s="319">
        <f t="shared" si="486"/>
        <v>0</v>
      </c>
      <c r="CD107" s="319">
        <f t="shared" si="487"/>
        <v>0</v>
      </c>
      <c r="CE107" s="319">
        <f t="shared" si="488"/>
        <v>0</v>
      </c>
      <c r="CF107" s="740">
        <f t="shared" si="491"/>
        <v>0</v>
      </c>
      <c r="CG107" s="805"/>
      <c r="CH107" s="722"/>
      <c r="CI107" s="722"/>
      <c r="CJ107" s="722"/>
      <c r="CK107" s="722"/>
      <c r="CL107" s="722"/>
      <c r="CM107" s="722"/>
      <c r="CN107" s="722"/>
      <c r="CO107" s="722"/>
      <c r="CP107" s="722"/>
      <c r="CQ107" s="722"/>
      <c r="CR107" s="722"/>
      <c r="CS107" s="722"/>
      <c r="CT107" s="722"/>
      <c r="CU107" s="722"/>
      <c r="CV107" s="722"/>
      <c r="CW107" s="722"/>
    </row>
    <row r="108" spans="1:101" ht="14.25" customHeight="1">
      <c r="A108" s="722"/>
      <c r="B108" s="715" t="s">
        <v>554</v>
      </c>
      <c r="C108" s="741"/>
      <c r="D108" s="805"/>
      <c r="E108" s="792"/>
      <c r="F108" s="792"/>
      <c r="G108" s="741"/>
      <c r="H108" s="805"/>
      <c r="I108" s="792"/>
      <c r="J108" s="792"/>
      <c r="K108" s="741"/>
      <c r="L108" s="805"/>
      <c r="M108" s="792"/>
      <c r="N108" s="792"/>
      <c r="O108" s="741"/>
      <c r="P108" s="805"/>
      <c r="Q108" s="792"/>
      <c r="R108" s="792"/>
      <c r="S108" s="741"/>
      <c r="T108" s="805"/>
      <c r="U108" s="792"/>
      <c r="V108" s="792"/>
      <c r="W108" s="741"/>
      <c r="X108" s="805"/>
      <c r="Y108" s="792"/>
      <c r="Z108" s="792"/>
      <c r="AA108" s="741"/>
      <c r="AB108" s="807"/>
      <c r="AC108" s="791"/>
      <c r="AD108" s="791"/>
      <c r="AE108" s="744"/>
      <c r="AF108" s="319"/>
      <c r="AG108" s="319"/>
      <c r="AH108" s="319"/>
      <c r="AI108" s="319"/>
      <c r="AJ108" s="804"/>
      <c r="AK108" s="319"/>
      <c r="AL108" s="319"/>
      <c r="AM108" s="319"/>
      <c r="AN108" s="804"/>
      <c r="AO108" s="319"/>
      <c r="AP108" s="319"/>
      <c r="AQ108" s="319"/>
      <c r="AR108" s="804"/>
      <c r="AS108" s="319"/>
      <c r="AT108" s="319"/>
      <c r="AU108" s="319"/>
      <c r="AV108" s="804"/>
      <c r="AW108" s="319"/>
      <c r="AX108" s="319">
        <v>400</v>
      </c>
      <c r="AY108" s="319"/>
      <c r="AZ108" s="804"/>
      <c r="BA108" s="319">
        <f t="shared" si="499"/>
        <v>0</v>
      </c>
      <c r="BB108" s="319">
        <f t="shared" si="499"/>
        <v>0</v>
      </c>
      <c r="BC108" s="740">
        <f t="shared" si="499"/>
        <v>0</v>
      </c>
      <c r="BD108" s="804">
        <f t="shared" si="494"/>
        <v>0</v>
      </c>
      <c r="BE108" s="319">
        <f>+BD108</f>
        <v>0</v>
      </c>
      <c r="BF108" s="319">
        <f t="shared" si="495"/>
        <v>0</v>
      </c>
      <c r="BG108" s="740">
        <f t="shared" si="495"/>
        <v>0</v>
      </c>
      <c r="BH108" s="804">
        <f t="shared" si="496"/>
        <v>0</v>
      </c>
      <c r="BI108" s="319">
        <f>+BH108</f>
        <v>0</v>
      </c>
      <c r="BJ108" s="319">
        <f t="shared" si="497"/>
        <v>0</v>
      </c>
      <c r="BK108" s="740">
        <f t="shared" si="497"/>
        <v>0</v>
      </c>
      <c r="BL108" s="804">
        <f t="shared" si="498"/>
        <v>0</v>
      </c>
      <c r="BM108" s="319">
        <f>+BL108</f>
        <v>0</v>
      </c>
      <c r="BN108" s="319">
        <f>+BM108</f>
        <v>0</v>
      </c>
      <c r="BO108" s="740">
        <f>+BN108</f>
        <v>0</v>
      </c>
      <c r="BP108" s="741"/>
      <c r="BQ108" s="805"/>
      <c r="BR108" s="792"/>
      <c r="BS108" s="792"/>
      <c r="BT108" s="792"/>
      <c r="BU108" s="792"/>
      <c r="BV108" s="792"/>
      <c r="BW108" s="792"/>
      <c r="BX108" s="805"/>
      <c r="BY108" s="805"/>
      <c r="BZ108" s="792"/>
      <c r="CA108" s="792"/>
      <c r="CB108" s="319">
        <f t="shared" si="485"/>
        <v>0</v>
      </c>
      <c r="CC108" s="319">
        <f t="shared" si="486"/>
        <v>0</v>
      </c>
      <c r="CD108" s="319">
        <f t="shared" si="487"/>
        <v>0</v>
      </c>
      <c r="CE108" s="319">
        <f t="shared" si="488"/>
        <v>0</v>
      </c>
      <c r="CF108" s="740">
        <f t="shared" si="491"/>
        <v>0</v>
      </c>
      <c r="CG108" s="805"/>
      <c r="CH108" s="722"/>
      <c r="CI108" s="722"/>
      <c r="CJ108" s="722"/>
      <c r="CK108" s="722"/>
      <c r="CL108" s="722"/>
      <c r="CM108" s="722"/>
      <c r="CN108" s="722"/>
      <c r="CO108" s="722"/>
      <c r="CP108" s="722"/>
      <c r="CQ108" s="722"/>
      <c r="CR108" s="722"/>
      <c r="CS108" s="722"/>
      <c r="CT108" s="722"/>
      <c r="CU108" s="722"/>
      <c r="CV108" s="722"/>
      <c r="CW108" s="722"/>
    </row>
    <row r="109" spans="1:101" ht="14.25" customHeight="1">
      <c r="A109" s="722"/>
      <c r="B109" s="716" t="s">
        <v>516</v>
      </c>
      <c r="C109" s="741"/>
      <c r="D109" s="805"/>
      <c r="E109" s="792"/>
      <c r="F109" s="792"/>
      <c r="G109" s="741"/>
      <c r="H109" s="805"/>
      <c r="I109" s="792"/>
      <c r="J109" s="792"/>
      <c r="K109" s="741"/>
      <c r="L109" s="805"/>
      <c r="M109" s="792"/>
      <c r="N109" s="792"/>
      <c r="O109" s="741"/>
      <c r="P109" s="805"/>
      <c r="Q109" s="792"/>
      <c r="R109" s="792"/>
      <c r="S109" s="741"/>
      <c r="T109" s="805"/>
      <c r="U109" s="792"/>
      <c r="V109" s="792"/>
      <c r="W109" s="741"/>
      <c r="X109" s="805"/>
      <c r="Y109" s="792"/>
      <c r="Z109" s="792"/>
      <c r="AA109" s="741"/>
      <c r="AB109" s="1100"/>
      <c r="AC109" s="791"/>
      <c r="AD109" s="791"/>
      <c r="AE109" s="744"/>
      <c r="AF109" s="319"/>
      <c r="AG109" s="319"/>
      <c r="AH109" s="319"/>
      <c r="AI109" s="319"/>
      <c r="AJ109" s="804"/>
      <c r="AK109" s="319"/>
      <c r="AL109" s="792">
        <v>500</v>
      </c>
      <c r="AM109" s="792">
        <f t="shared" ref="AM109:AZ109" si="500">+AL109</f>
        <v>500</v>
      </c>
      <c r="AN109" s="805">
        <f t="shared" si="500"/>
        <v>500</v>
      </c>
      <c r="AO109" s="792">
        <f t="shared" si="500"/>
        <v>500</v>
      </c>
      <c r="AP109" s="792">
        <f t="shared" si="500"/>
        <v>500</v>
      </c>
      <c r="AQ109" s="792">
        <f t="shared" si="500"/>
        <v>500</v>
      </c>
      <c r="AR109" s="805">
        <f t="shared" si="500"/>
        <v>500</v>
      </c>
      <c r="AS109" s="792">
        <f t="shared" si="500"/>
        <v>500</v>
      </c>
      <c r="AT109" s="792">
        <f t="shared" si="500"/>
        <v>500</v>
      </c>
      <c r="AU109" s="792">
        <f t="shared" si="500"/>
        <v>500</v>
      </c>
      <c r="AV109" s="805">
        <f t="shared" si="500"/>
        <v>500</v>
      </c>
      <c r="AW109" s="792">
        <f t="shared" si="500"/>
        <v>500</v>
      </c>
      <c r="AX109" s="792">
        <f t="shared" si="493"/>
        <v>500</v>
      </c>
      <c r="AY109" s="741">
        <f t="shared" si="500"/>
        <v>500</v>
      </c>
      <c r="AZ109" s="805">
        <f t="shared" si="500"/>
        <v>500</v>
      </c>
      <c r="BA109" s="792">
        <f>+AZ109</f>
        <v>500</v>
      </c>
      <c r="BB109" s="792">
        <f t="shared" si="494"/>
        <v>500</v>
      </c>
      <c r="BC109" s="741">
        <f t="shared" si="494"/>
        <v>500</v>
      </c>
      <c r="BD109" s="805">
        <f t="shared" si="494"/>
        <v>500</v>
      </c>
      <c r="BE109" s="792">
        <f>+BD109</f>
        <v>500</v>
      </c>
      <c r="BF109" s="792">
        <f t="shared" si="495"/>
        <v>500</v>
      </c>
      <c r="BG109" s="741">
        <f t="shared" si="495"/>
        <v>500</v>
      </c>
      <c r="BH109" s="805">
        <f t="shared" si="496"/>
        <v>500</v>
      </c>
      <c r="BI109" s="792">
        <f>+BH109</f>
        <v>500</v>
      </c>
      <c r="BJ109" s="792">
        <f t="shared" si="497"/>
        <v>500</v>
      </c>
      <c r="BK109" s="741">
        <f t="shared" si="497"/>
        <v>500</v>
      </c>
      <c r="BL109" s="805">
        <f t="shared" si="498"/>
        <v>500</v>
      </c>
      <c r="BM109" s="792">
        <f>+BL109</f>
        <v>500</v>
      </c>
      <c r="BN109" s="792">
        <f>+BM109</f>
        <v>500</v>
      </c>
      <c r="BO109" s="741">
        <f>+BN109</f>
        <v>500</v>
      </c>
      <c r="BP109" s="741"/>
      <c r="BQ109" s="805"/>
      <c r="BR109" s="792"/>
      <c r="BS109" s="792"/>
      <c r="BT109" s="792"/>
      <c r="BU109" s="792"/>
      <c r="BV109" s="792"/>
      <c r="BW109" s="792">
        <f t="shared" si="480"/>
        <v>0</v>
      </c>
      <c r="BX109" s="805">
        <f t="shared" si="481"/>
        <v>0</v>
      </c>
      <c r="BY109" s="805">
        <f t="shared" si="482"/>
        <v>500</v>
      </c>
      <c r="BZ109" s="792">
        <f t="shared" si="483"/>
        <v>500</v>
      </c>
      <c r="CA109" s="792">
        <f t="shared" si="484"/>
        <v>500</v>
      </c>
      <c r="CB109" s="792">
        <f t="shared" si="485"/>
        <v>500</v>
      </c>
      <c r="CC109" s="792">
        <f t="shared" si="486"/>
        <v>500</v>
      </c>
      <c r="CD109" s="792">
        <f t="shared" si="487"/>
        <v>500</v>
      </c>
      <c r="CE109" s="792">
        <f t="shared" si="488"/>
        <v>500</v>
      </c>
      <c r="CF109" s="741">
        <f t="shared" si="491"/>
        <v>500</v>
      </c>
      <c r="CG109" s="805"/>
      <c r="CH109" s="722"/>
      <c r="CI109" s="722"/>
      <c r="CJ109" s="722"/>
      <c r="CK109" s="722"/>
      <c r="CL109" s="722"/>
      <c r="CM109" s="722"/>
      <c r="CN109" s="722"/>
      <c r="CO109" s="722"/>
      <c r="CP109" s="722"/>
      <c r="CQ109" s="722"/>
      <c r="CR109" s="722"/>
      <c r="CS109" s="722"/>
      <c r="CT109" s="722"/>
      <c r="CU109" s="722"/>
      <c r="CV109" s="722"/>
      <c r="CW109" s="722"/>
    </row>
    <row r="110" spans="1:101" ht="14.25" customHeight="1">
      <c r="A110" s="723"/>
      <c r="B110" s="717" t="s">
        <v>343</v>
      </c>
      <c r="C110" s="664"/>
      <c r="D110" s="724"/>
      <c r="E110" s="663"/>
      <c r="F110" s="663"/>
      <c r="G110" s="664"/>
      <c r="H110" s="724"/>
      <c r="I110" s="663"/>
      <c r="J110" s="663"/>
      <c r="K110" s="664"/>
      <c r="L110" s="724"/>
      <c r="M110" s="663"/>
      <c r="N110" s="663"/>
      <c r="O110" s="664"/>
      <c r="P110" s="724"/>
      <c r="Q110" s="663"/>
      <c r="R110" s="663"/>
      <c r="S110" s="664"/>
      <c r="T110" s="724"/>
      <c r="U110" s="663"/>
      <c r="V110" s="663"/>
      <c r="W110" s="664"/>
      <c r="X110" s="724"/>
      <c r="Y110" s="663"/>
      <c r="Z110" s="663"/>
      <c r="AA110" s="664"/>
      <c r="AB110" s="724">
        <f>+SUM(AB103:AB109)</f>
        <v>518.20000000000005</v>
      </c>
      <c r="AC110" s="663">
        <f>+SUM(AC103:AC109)</f>
        <v>889.6</v>
      </c>
      <c r="AD110" s="663">
        <f>+SUM(AD103:AD109)</f>
        <v>868.45799999999997</v>
      </c>
      <c r="AE110" s="664">
        <f>+SUM(AE103:AE109)</f>
        <v>864.83299999999997</v>
      </c>
      <c r="AF110" s="663">
        <f t="shared" ref="AF110:AQ110" si="501">+SUM(AF103:AF109)</f>
        <v>849.20799999999997</v>
      </c>
      <c r="AG110" s="663">
        <f t="shared" si="501"/>
        <v>845.58299999999997</v>
      </c>
      <c r="AH110" s="663">
        <f t="shared" si="501"/>
        <v>841.95799999999997</v>
      </c>
      <c r="AI110" s="663">
        <f>+SUM(AI103:AI109)</f>
        <v>808.33299999999997</v>
      </c>
      <c r="AJ110" s="724">
        <f>+SUM(AJ103:AJ109)</f>
        <v>748.22500000000002</v>
      </c>
      <c r="AK110" s="663">
        <f t="shared" si="501"/>
        <v>748.22500000000002</v>
      </c>
      <c r="AL110" s="663">
        <f t="shared" si="501"/>
        <v>873.22500000000002</v>
      </c>
      <c r="AM110" s="663">
        <f t="shared" si="501"/>
        <v>873.22500000000002</v>
      </c>
      <c r="AN110" s="724">
        <f t="shared" si="501"/>
        <v>875</v>
      </c>
      <c r="AO110" s="663">
        <f t="shared" si="501"/>
        <v>875</v>
      </c>
      <c r="AP110" s="663">
        <f t="shared" si="501"/>
        <v>875</v>
      </c>
      <c r="AQ110" s="663">
        <f t="shared" si="501"/>
        <v>875</v>
      </c>
      <c r="AR110" s="724">
        <f>+SUM(AR103:AR109)</f>
        <v>875</v>
      </c>
      <c r="AS110" s="663">
        <f>+SUM(AS103:AS109)</f>
        <v>875</v>
      </c>
      <c r="AT110" s="663">
        <f>+SUM(AT103:AT109)</f>
        <v>875</v>
      </c>
      <c r="AU110" s="663">
        <f>+SUM(AU103:AU109)</f>
        <v>875</v>
      </c>
      <c r="AV110" s="724">
        <f>+SUM(AV103:AV109)</f>
        <v>875</v>
      </c>
      <c r="AW110" s="663">
        <f>AV110</f>
        <v>875</v>
      </c>
      <c r="AX110" s="663">
        <f>+SUM(AX103:AX109)</f>
        <v>1750</v>
      </c>
      <c r="AY110" s="664">
        <f>+SUM(AY103:AY109)</f>
        <v>500</v>
      </c>
      <c r="AZ110" s="724">
        <f>+SUM(AZ103:AZ109)</f>
        <v>500</v>
      </c>
      <c r="BA110" s="663">
        <f t="shared" ref="BA110:BG110" si="502">AZ110</f>
        <v>500</v>
      </c>
      <c r="BB110" s="663">
        <f t="shared" si="502"/>
        <v>500</v>
      </c>
      <c r="BC110" s="664">
        <f t="shared" si="502"/>
        <v>500</v>
      </c>
      <c r="BD110" s="663">
        <f t="shared" si="502"/>
        <v>500</v>
      </c>
      <c r="BE110" s="663">
        <f t="shared" si="502"/>
        <v>500</v>
      </c>
      <c r="BF110" s="663">
        <f t="shared" si="502"/>
        <v>500</v>
      </c>
      <c r="BG110" s="663">
        <f t="shared" si="502"/>
        <v>500</v>
      </c>
      <c r="BH110" s="663">
        <f t="shared" ref="BH110" si="503">BG110</f>
        <v>500</v>
      </c>
      <c r="BI110" s="663">
        <f t="shared" ref="BI110" si="504">BH110</f>
        <v>500</v>
      </c>
      <c r="BJ110" s="663">
        <f t="shared" ref="BJ110" si="505">BI110</f>
        <v>500</v>
      </c>
      <c r="BK110" s="663">
        <f t="shared" ref="BK110" si="506">BJ110</f>
        <v>500</v>
      </c>
      <c r="BL110" s="663">
        <f t="shared" ref="BL110" si="507">BK110</f>
        <v>500</v>
      </c>
      <c r="BM110" s="663">
        <f t="shared" ref="BM110" si="508">BL110</f>
        <v>500</v>
      </c>
      <c r="BN110" s="663">
        <f t="shared" ref="BN110" si="509">BM110</f>
        <v>500</v>
      </c>
      <c r="BO110" s="663">
        <f t="shared" ref="BO110" si="510">BN110</f>
        <v>500</v>
      </c>
      <c r="BP110" s="664"/>
      <c r="BQ110" s="724"/>
      <c r="BR110" s="663"/>
      <c r="BS110" s="663"/>
      <c r="BT110" s="663"/>
      <c r="BU110" s="663"/>
      <c r="BV110" s="663"/>
      <c r="BW110" s="663">
        <f t="shared" si="480"/>
        <v>864.83299999999997</v>
      </c>
      <c r="BX110" s="724">
        <f t="shared" si="481"/>
        <v>808.33299999999997</v>
      </c>
      <c r="BY110" s="724">
        <f t="shared" si="482"/>
        <v>873.22500000000002</v>
      </c>
      <c r="BZ110" s="663">
        <f t="shared" si="483"/>
        <v>875</v>
      </c>
      <c r="CA110" s="663">
        <f t="shared" si="484"/>
        <v>875</v>
      </c>
      <c r="CB110" s="663">
        <f t="shared" si="485"/>
        <v>500</v>
      </c>
      <c r="CC110" s="663">
        <f t="shared" si="486"/>
        <v>500</v>
      </c>
      <c r="CD110" s="663">
        <f t="shared" si="487"/>
        <v>500</v>
      </c>
      <c r="CE110" s="663">
        <f t="shared" si="488"/>
        <v>500</v>
      </c>
      <c r="CF110" s="664">
        <f t="shared" si="491"/>
        <v>500</v>
      </c>
      <c r="CG110" s="724"/>
      <c r="CH110" s="723"/>
      <c r="CI110" s="723"/>
      <c r="CJ110" s="723"/>
      <c r="CK110" s="723"/>
      <c r="CL110" s="723"/>
      <c r="CM110" s="723"/>
      <c r="CN110" s="723"/>
      <c r="CO110" s="723"/>
      <c r="CP110" s="723"/>
      <c r="CQ110" s="723"/>
      <c r="CR110" s="723"/>
      <c r="CS110" s="723"/>
      <c r="CT110" s="723"/>
      <c r="CU110" s="723"/>
      <c r="CV110" s="723"/>
      <c r="CW110" s="723"/>
    </row>
    <row r="111" spans="1:101" ht="14.25" customHeight="1">
      <c r="A111" s="769"/>
      <c r="B111" s="913" t="s">
        <v>482</v>
      </c>
      <c r="C111" s="794"/>
      <c r="D111" s="806"/>
      <c r="E111" s="793"/>
      <c r="F111" s="793"/>
      <c r="G111" s="794"/>
      <c r="H111" s="806"/>
      <c r="I111" s="793"/>
      <c r="J111" s="793"/>
      <c r="K111" s="794"/>
      <c r="L111" s="806"/>
      <c r="M111" s="793"/>
      <c r="N111" s="793"/>
      <c r="O111" s="794"/>
      <c r="P111" s="806"/>
      <c r="Q111" s="793"/>
      <c r="R111" s="793"/>
      <c r="S111" s="794"/>
      <c r="T111" s="806"/>
      <c r="U111" s="793"/>
      <c r="V111" s="793"/>
      <c r="W111" s="794"/>
      <c r="X111" s="806"/>
      <c r="Y111" s="793"/>
      <c r="Z111" s="793"/>
      <c r="AA111" s="794"/>
      <c r="AB111" s="806"/>
      <c r="AC111" s="793"/>
      <c r="AD111" s="793"/>
      <c r="AE111" s="794"/>
      <c r="AF111" s="793"/>
      <c r="AG111" s="793"/>
      <c r="AH111" s="793"/>
      <c r="AI111" s="899">
        <v>0</v>
      </c>
      <c r="AJ111" s="921">
        <f t="shared" ref="AJ111:AO111" si="511">+AJ110-AJ112</f>
        <v>-11.447000000000003</v>
      </c>
      <c r="AK111" s="651">
        <f t="shared" si="511"/>
        <v>-9.6299999999999955</v>
      </c>
      <c r="AL111" s="651">
        <f t="shared" si="511"/>
        <v>1.1209999999999809</v>
      </c>
      <c r="AM111" s="651">
        <f t="shared" si="511"/>
        <v>0.98400000000003729</v>
      </c>
      <c r="AN111" s="921">
        <f t="shared" si="511"/>
        <v>2.6219999999999573</v>
      </c>
      <c r="AO111" s="651">
        <f t="shared" si="511"/>
        <v>2.4850000000000136</v>
      </c>
      <c r="AP111" s="651">
        <f>+AP110-AP112</f>
        <v>2.3479999999999563</v>
      </c>
      <c r="AQ111" s="651">
        <f>+AQ110-AQ112</f>
        <v>2.2110000000000127</v>
      </c>
      <c r="AR111" s="921">
        <f>+AR110-AR112</f>
        <v>2.0739999999999554</v>
      </c>
      <c r="AS111" s="651">
        <f>+AS110-AS112</f>
        <v>376.601</v>
      </c>
      <c r="AT111" s="651">
        <f>+AT110-AT112</f>
        <v>376.55200000000002</v>
      </c>
      <c r="AU111" s="651">
        <v>376.50299999999999</v>
      </c>
      <c r="AV111" s="921">
        <f>+AV110-AV112</f>
        <v>-855.94800000000009</v>
      </c>
      <c r="AW111" s="651">
        <f t="shared" ref="AW111:BC111" si="512">+AV111</f>
        <v>-855.94800000000009</v>
      </c>
      <c r="AX111" s="651">
        <v>18.242000000000001</v>
      </c>
      <c r="AY111" s="652">
        <v>376.50299999999999</v>
      </c>
      <c r="AZ111" s="921">
        <f>+AZ110-AZ112</f>
        <v>-3305.4</v>
      </c>
      <c r="BA111" s="651">
        <f t="shared" si="512"/>
        <v>-3305.4</v>
      </c>
      <c r="BB111" s="651">
        <f t="shared" si="512"/>
        <v>-3305.4</v>
      </c>
      <c r="BC111" s="652">
        <f t="shared" si="512"/>
        <v>-3305.4</v>
      </c>
      <c r="BD111" s="820">
        <f t="shared" ref="BD111:BK111" si="513">+BC111</f>
        <v>-3305.4</v>
      </c>
      <c r="BE111" s="651">
        <f t="shared" si="513"/>
        <v>-3305.4</v>
      </c>
      <c r="BF111" s="651">
        <f t="shared" si="513"/>
        <v>-3305.4</v>
      </c>
      <c r="BG111" s="652">
        <f t="shared" si="513"/>
        <v>-3305.4</v>
      </c>
      <c r="BH111" s="820">
        <f t="shared" si="513"/>
        <v>-3305.4</v>
      </c>
      <c r="BI111" s="651">
        <f t="shared" si="513"/>
        <v>-3305.4</v>
      </c>
      <c r="BJ111" s="651">
        <f t="shared" si="513"/>
        <v>-3305.4</v>
      </c>
      <c r="BK111" s="652">
        <f t="shared" si="513"/>
        <v>-3305.4</v>
      </c>
      <c r="BL111" s="820">
        <f t="shared" ref="BL111" si="514">+BK111</f>
        <v>-3305.4</v>
      </c>
      <c r="BM111" s="651">
        <f t="shared" ref="BM111" si="515">+BL111</f>
        <v>-3305.4</v>
      </c>
      <c r="BN111" s="651">
        <f t="shared" ref="BN111" si="516">+BM111</f>
        <v>-3305.4</v>
      </c>
      <c r="BO111" s="652">
        <f t="shared" ref="BO111" si="517">+BN111</f>
        <v>-3305.4</v>
      </c>
      <c r="BP111" s="794"/>
      <c r="BQ111" s="806"/>
      <c r="BR111" s="793"/>
      <c r="BS111" s="793"/>
      <c r="BT111" s="793"/>
      <c r="BU111" s="793"/>
      <c r="BV111" s="793"/>
      <c r="BW111" s="651">
        <f t="shared" si="480"/>
        <v>0</v>
      </c>
      <c r="BX111" s="820">
        <f t="shared" si="481"/>
        <v>0</v>
      </c>
      <c r="BY111" s="820">
        <f t="shared" si="482"/>
        <v>0.98400000000003729</v>
      </c>
      <c r="BZ111" s="651">
        <f t="shared" si="483"/>
        <v>2.2110000000000127</v>
      </c>
      <c r="CA111" s="651">
        <f t="shared" si="484"/>
        <v>376.50299999999999</v>
      </c>
      <c r="CB111" s="651">
        <f t="shared" si="485"/>
        <v>376.50299999999999</v>
      </c>
      <c r="CC111" s="651">
        <f t="shared" si="486"/>
        <v>-3305.4</v>
      </c>
      <c r="CD111" s="651">
        <f t="shared" si="487"/>
        <v>-3305.4</v>
      </c>
      <c r="CE111" s="651">
        <f t="shared" si="488"/>
        <v>-3305.4</v>
      </c>
      <c r="CF111" s="652">
        <f t="shared" si="491"/>
        <v>-3305.4</v>
      </c>
      <c r="CG111" s="806"/>
      <c r="CH111" s="769"/>
      <c r="CI111" s="769"/>
      <c r="CJ111" s="769"/>
      <c r="CK111" s="769"/>
      <c r="CL111" s="769"/>
      <c r="CM111" s="769"/>
      <c r="CN111" s="769"/>
      <c r="CO111" s="769"/>
      <c r="CP111" s="769"/>
      <c r="CQ111" s="769"/>
      <c r="CR111" s="769"/>
      <c r="CS111" s="769"/>
      <c r="CT111" s="769"/>
      <c r="CU111" s="769"/>
      <c r="CV111" s="769"/>
      <c r="CW111" s="769"/>
    </row>
    <row r="112" spans="1:101" ht="14.25" customHeight="1">
      <c r="A112" s="723"/>
      <c r="B112" s="730" t="s">
        <v>350</v>
      </c>
      <c r="C112" s="664"/>
      <c r="D112" s="724"/>
      <c r="E112" s="663"/>
      <c r="F112" s="663"/>
      <c r="G112" s="664"/>
      <c r="H112" s="724"/>
      <c r="I112" s="663"/>
      <c r="J112" s="663"/>
      <c r="K112" s="664"/>
      <c r="L112" s="724"/>
      <c r="M112" s="663"/>
      <c r="N112" s="663"/>
      <c r="O112" s="664"/>
      <c r="P112" s="724"/>
      <c r="Q112" s="663"/>
      <c r="R112" s="663"/>
      <c r="S112" s="664"/>
      <c r="T112" s="724"/>
      <c r="U112" s="663"/>
      <c r="V112" s="663"/>
      <c r="W112" s="664"/>
      <c r="X112" s="724"/>
      <c r="Y112" s="663"/>
      <c r="Z112" s="663"/>
      <c r="AA112" s="664"/>
      <c r="AB112" s="939">
        <f t="shared" ref="AB112:AG112" si="518">+AB39</f>
        <v>523.04600000000005</v>
      </c>
      <c r="AC112" s="938">
        <f t="shared" si="518"/>
        <v>892.43200000000002</v>
      </c>
      <c r="AD112" s="938">
        <f t="shared" si="518"/>
        <v>875.76599999999996</v>
      </c>
      <c r="AE112" s="1101">
        <f t="shared" si="518"/>
        <v>871.87599999999998</v>
      </c>
      <c r="AF112" s="938">
        <f t="shared" si="518"/>
        <v>855.66200000000003</v>
      </c>
      <c r="AG112" s="938">
        <f t="shared" si="518"/>
        <v>847.98299999999995</v>
      </c>
      <c r="AH112" s="938">
        <f t="shared" ref="AH112:AO112" si="519">+AH39</f>
        <v>842.54</v>
      </c>
      <c r="AI112" s="938">
        <f t="shared" si="519"/>
        <v>807.09799999999996</v>
      </c>
      <c r="AJ112" s="939">
        <f t="shared" si="519"/>
        <v>759.67200000000003</v>
      </c>
      <c r="AK112" s="938">
        <f t="shared" si="519"/>
        <v>757.85500000000002</v>
      </c>
      <c r="AL112" s="938">
        <f t="shared" si="519"/>
        <v>872.10400000000004</v>
      </c>
      <c r="AM112" s="1069">
        <f>+AM39</f>
        <v>872.24099999999999</v>
      </c>
      <c r="AN112" s="1068">
        <f t="shared" si="519"/>
        <v>872.37800000000004</v>
      </c>
      <c r="AO112" s="1070">
        <f t="shared" si="519"/>
        <v>872.51499999999999</v>
      </c>
      <c r="AP112" s="1070">
        <f>+AP39</f>
        <v>872.65200000000004</v>
      </c>
      <c r="AQ112" s="1069">
        <f>+AQ39</f>
        <v>872.78899999999999</v>
      </c>
      <c r="AR112" s="1068">
        <f>+AR39</f>
        <v>872.92600000000004</v>
      </c>
      <c r="AS112" s="1070">
        <f>+AS39</f>
        <v>498.399</v>
      </c>
      <c r="AT112" s="1070">
        <f>+AT39</f>
        <v>498.44799999999998</v>
      </c>
      <c r="AU112" s="1069">
        <f t="shared" ref="AU112:BC112" si="520">+AU110-AU111</f>
        <v>498.49700000000001</v>
      </c>
      <c r="AV112" s="1068">
        <f>+AV39</f>
        <v>1730.9480000000001</v>
      </c>
      <c r="AW112" s="793">
        <f t="shared" si="520"/>
        <v>1730.9480000000001</v>
      </c>
      <c r="AX112" s="793">
        <f t="shared" si="520"/>
        <v>1731.758</v>
      </c>
      <c r="AY112" s="1203">
        <f t="shared" ref="AY112" si="521">+AY110-AY111</f>
        <v>123.49700000000001</v>
      </c>
      <c r="AZ112" s="1068">
        <f>+AZ39</f>
        <v>3805.4</v>
      </c>
      <c r="BA112" s="793">
        <f t="shared" si="520"/>
        <v>3805.4</v>
      </c>
      <c r="BB112" s="793">
        <f t="shared" si="520"/>
        <v>3805.4</v>
      </c>
      <c r="BC112" s="794">
        <f t="shared" si="520"/>
        <v>3805.4</v>
      </c>
      <c r="BD112" s="806">
        <f t="shared" ref="BD112:BK112" si="522">+BD110-BD111</f>
        <v>3805.4</v>
      </c>
      <c r="BE112" s="793">
        <f t="shared" si="522"/>
        <v>3805.4</v>
      </c>
      <c r="BF112" s="793">
        <f t="shared" si="522"/>
        <v>3805.4</v>
      </c>
      <c r="BG112" s="794">
        <f t="shared" si="522"/>
        <v>3805.4</v>
      </c>
      <c r="BH112" s="806">
        <f t="shared" si="522"/>
        <v>3805.4</v>
      </c>
      <c r="BI112" s="793">
        <f t="shared" si="522"/>
        <v>3805.4</v>
      </c>
      <c r="BJ112" s="793">
        <f t="shared" si="522"/>
        <v>3805.4</v>
      </c>
      <c r="BK112" s="794">
        <f t="shared" si="522"/>
        <v>3805.4</v>
      </c>
      <c r="BL112" s="806">
        <f t="shared" ref="BL112:BO112" si="523">+BL110-BL111</f>
        <v>3805.4</v>
      </c>
      <c r="BM112" s="793">
        <f t="shared" si="523"/>
        <v>3805.4</v>
      </c>
      <c r="BN112" s="793">
        <f t="shared" si="523"/>
        <v>3805.4</v>
      </c>
      <c r="BO112" s="794">
        <f t="shared" si="523"/>
        <v>3805.4</v>
      </c>
      <c r="BP112" s="664"/>
      <c r="BQ112" s="724"/>
      <c r="BR112" s="663"/>
      <c r="BS112" s="663"/>
      <c r="BT112" s="663"/>
      <c r="BU112" s="663"/>
      <c r="BV112" s="663"/>
      <c r="BW112" s="319">
        <f t="shared" si="480"/>
        <v>871.87599999999998</v>
      </c>
      <c r="BX112" s="804">
        <f t="shared" si="481"/>
        <v>807.09799999999996</v>
      </c>
      <c r="BY112" s="804">
        <f t="shared" si="482"/>
        <v>872.24099999999999</v>
      </c>
      <c r="BZ112" s="319">
        <f t="shared" si="483"/>
        <v>872.78899999999999</v>
      </c>
      <c r="CA112" s="319">
        <f t="shared" si="484"/>
        <v>498.49700000000001</v>
      </c>
      <c r="CB112" s="319">
        <f t="shared" si="485"/>
        <v>123.49700000000001</v>
      </c>
      <c r="CC112" s="319">
        <f t="shared" si="486"/>
        <v>3805.4</v>
      </c>
      <c r="CD112" s="319">
        <f t="shared" si="487"/>
        <v>3805.4</v>
      </c>
      <c r="CE112" s="319">
        <f t="shared" si="488"/>
        <v>3805.4</v>
      </c>
      <c r="CF112" s="740">
        <f t="shared" si="491"/>
        <v>3805.4</v>
      </c>
      <c r="CG112" s="724"/>
      <c r="CH112" s="723"/>
      <c r="CI112" s="723"/>
      <c r="CJ112" s="723"/>
      <c r="CK112" s="723"/>
      <c r="CL112" s="723"/>
      <c r="CM112" s="723"/>
      <c r="CN112" s="723"/>
      <c r="CO112" s="723"/>
      <c r="CP112" s="723"/>
      <c r="CQ112" s="723"/>
      <c r="CR112" s="723"/>
      <c r="CS112" s="723"/>
      <c r="CT112" s="723"/>
      <c r="CU112" s="723"/>
      <c r="CV112" s="723"/>
      <c r="CW112" s="723"/>
    </row>
    <row r="113" spans="1:101" ht="14.25" customHeight="1">
      <c r="A113" s="721"/>
      <c r="B113" s="717"/>
      <c r="C113" s="740"/>
      <c r="D113" s="804"/>
      <c r="E113" s="319"/>
      <c r="F113" s="319"/>
      <c r="G113" s="740"/>
      <c r="H113" s="804"/>
      <c r="I113" s="319"/>
      <c r="J113" s="319"/>
      <c r="K113" s="740"/>
      <c r="L113" s="804"/>
      <c r="M113" s="319"/>
      <c r="N113" s="319"/>
      <c r="O113" s="740"/>
      <c r="P113" s="804"/>
      <c r="Q113" s="319"/>
      <c r="R113" s="319"/>
      <c r="S113" s="740"/>
      <c r="T113" s="804"/>
      <c r="U113" s="319"/>
      <c r="V113" s="319"/>
      <c r="W113" s="740"/>
      <c r="X113" s="804"/>
      <c r="Y113" s="319"/>
      <c r="Z113" s="319"/>
      <c r="AA113" s="740"/>
      <c r="AB113" s="804"/>
      <c r="AC113" s="319"/>
      <c r="AD113" s="319"/>
      <c r="AE113" s="740"/>
      <c r="AF113" s="319"/>
      <c r="AG113" s="319"/>
      <c r="AH113" s="319"/>
      <c r="AI113" s="319"/>
      <c r="AJ113" s="804"/>
      <c r="AK113" s="319"/>
      <c r="AL113" s="319"/>
      <c r="AM113" s="319"/>
      <c r="AN113" s="804"/>
      <c r="AO113" s="319"/>
      <c r="AP113" s="319"/>
      <c r="AQ113" s="319"/>
      <c r="AR113" s="804"/>
      <c r="AS113" s="319"/>
      <c r="AT113" s="319"/>
      <c r="AU113" s="319"/>
      <c r="AV113" s="804"/>
      <c r="AW113" s="319"/>
      <c r="AX113" s="319"/>
      <c r="AY113" s="319"/>
      <c r="AZ113" s="804"/>
      <c r="BA113" s="319"/>
      <c r="BB113" s="319"/>
      <c r="BC113" s="740"/>
      <c r="BD113" s="804"/>
      <c r="BE113" s="319"/>
      <c r="BF113" s="319"/>
      <c r="BG113" s="740"/>
      <c r="BH113" s="804"/>
      <c r="BI113" s="319"/>
      <c r="BJ113" s="319"/>
      <c r="BK113" s="740"/>
      <c r="BL113" s="804"/>
      <c r="BM113" s="319"/>
      <c r="BN113" s="319"/>
      <c r="BO113" s="740"/>
      <c r="BP113" s="740"/>
      <c r="BQ113" s="804"/>
      <c r="BR113" s="319"/>
      <c r="BS113" s="319"/>
      <c r="BT113" s="319"/>
      <c r="BU113" s="319"/>
      <c r="BV113" s="319"/>
      <c r="BW113" s="319"/>
      <c r="BX113" s="804"/>
      <c r="BY113" s="804"/>
      <c r="BZ113" s="319"/>
      <c r="CA113" s="319"/>
      <c r="CB113" s="319"/>
      <c r="CC113" s="319"/>
      <c r="CD113" s="319"/>
      <c r="CE113" s="319"/>
      <c r="CF113" s="740"/>
      <c r="CG113" s="804"/>
      <c r="CH113" s="721"/>
      <c r="CI113" s="721"/>
      <c r="CJ113" s="721"/>
      <c r="CK113" s="721"/>
      <c r="CL113" s="721"/>
      <c r="CM113" s="721"/>
      <c r="CN113" s="721"/>
      <c r="CO113" s="721"/>
      <c r="CP113" s="721"/>
      <c r="CQ113" s="721"/>
      <c r="CR113" s="721"/>
      <c r="CS113" s="721"/>
      <c r="CT113" s="721"/>
      <c r="CU113" s="721"/>
      <c r="CV113" s="721"/>
      <c r="CW113" s="721"/>
    </row>
    <row r="114" spans="1:101" ht="14.25" customHeight="1">
      <c r="A114" s="721"/>
      <c r="B114" s="717" t="s">
        <v>349</v>
      </c>
      <c r="C114" s="740"/>
      <c r="D114" s="804"/>
      <c r="E114" s="319"/>
      <c r="F114" s="319"/>
      <c r="G114" s="740"/>
      <c r="H114" s="804"/>
      <c r="I114" s="319"/>
      <c r="J114" s="319"/>
      <c r="K114" s="740"/>
      <c r="L114" s="804"/>
      <c r="M114" s="319"/>
      <c r="N114" s="319"/>
      <c r="O114" s="740"/>
      <c r="P114" s="804"/>
      <c r="Q114" s="319"/>
      <c r="R114" s="319"/>
      <c r="S114" s="740"/>
      <c r="T114" s="804"/>
      <c r="U114" s="319"/>
      <c r="V114" s="319"/>
      <c r="W114" s="740"/>
      <c r="X114" s="804"/>
      <c r="Y114" s="319"/>
      <c r="Z114" s="319"/>
      <c r="AA114" s="740"/>
      <c r="AB114" s="804"/>
      <c r="AC114" s="319"/>
      <c r="AD114" s="319"/>
      <c r="AE114" s="740"/>
      <c r="AF114" s="319"/>
      <c r="AG114" s="319"/>
      <c r="AH114" s="319"/>
      <c r="AI114" s="319"/>
      <c r="AJ114" s="804"/>
      <c r="AK114" s="319"/>
      <c r="AL114" s="319"/>
      <c r="AM114" s="319"/>
      <c r="AN114" s="804"/>
      <c r="AO114" s="319"/>
      <c r="AP114" s="319"/>
      <c r="AQ114" s="319"/>
      <c r="AR114" s="804"/>
      <c r="AS114" s="319"/>
      <c r="AT114" s="319"/>
      <c r="AU114" s="319"/>
      <c r="AV114" s="804"/>
      <c r="AW114" s="319"/>
      <c r="AX114" s="319"/>
      <c r="AY114" s="319"/>
      <c r="AZ114" s="804"/>
      <c r="BA114" s="319"/>
      <c r="BB114" s="319"/>
      <c r="BC114" s="740"/>
      <c r="BD114" s="804"/>
      <c r="BE114" s="319"/>
      <c r="BF114" s="319"/>
      <c r="BG114" s="740"/>
      <c r="BH114" s="804"/>
      <c r="BI114" s="319"/>
      <c r="BJ114" s="319"/>
      <c r="BK114" s="740"/>
      <c r="BL114" s="804"/>
      <c r="BM114" s="319"/>
      <c r="BN114" s="319"/>
      <c r="BO114" s="740"/>
      <c r="BP114" s="740"/>
      <c r="BQ114" s="804"/>
      <c r="BR114" s="319"/>
      <c r="BS114" s="319"/>
      <c r="BT114" s="319"/>
      <c r="BU114" s="319"/>
      <c r="BV114" s="319"/>
      <c r="BW114" s="319"/>
      <c r="BX114" s="804"/>
      <c r="BY114" s="804"/>
      <c r="BZ114" s="319"/>
      <c r="CA114" s="319"/>
      <c r="CB114" s="319"/>
      <c r="CC114" s="319"/>
      <c r="CD114" s="319"/>
      <c r="CE114" s="319"/>
      <c r="CF114" s="740"/>
      <c r="CG114" s="804"/>
      <c r="CH114" s="721"/>
      <c r="CI114" s="721"/>
      <c r="CJ114" s="721"/>
      <c r="CK114" s="721"/>
      <c r="CL114" s="721"/>
      <c r="CM114" s="721"/>
      <c r="CN114" s="721"/>
      <c r="CO114" s="721"/>
      <c r="CP114" s="721"/>
      <c r="CQ114" s="721"/>
      <c r="CR114" s="721"/>
      <c r="CS114" s="721"/>
      <c r="CT114" s="721"/>
      <c r="CU114" s="721"/>
      <c r="CV114" s="721"/>
      <c r="CW114" s="721"/>
    </row>
    <row r="115" spans="1:101" ht="14.25" customHeight="1">
      <c r="A115" s="720"/>
      <c r="B115" s="725" t="s">
        <v>341</v>
      </c>
      <c r="C115" s="251"/>
      <c r="D115" s="389"/>
      <c r="E115" s="250"/>
      <c r="F115" s="250"/>
      <c r="G115" s="251"/>
      <c r="H115" s="389"/>
      <c r="I115" s="250"/>
      <c r="J115" s="250"/>
      <c r="K115" s="251"/>
      <c r="L115" s="389"/>
      <c r="M115" s="250"/>
      <c r="N115" s="250"/>
      <c r="O115" s="251"/>
      <c r="P115" s="389"/>
      <c r="Q115" s="250"/>
      <c r="R115" s="250"/>
      <c r="S115" s="251"/>
      <c r="T115" s="389"/>
      <c r="U115" s="250"/>
      <c r="V115" s="250"/>
      <c r="W115" s="251"/>
      <c r="X115" s="389"/>
      <c r="Y115" s="250"/>
      <c r="Z115" s="250"/>
      <c r="AA115" s="251"/>
      <c r="AB115" s="389"/>
      <c r="AC115" s="256">
        <v>0</v>
      </c>
      <c r="AD115" s="256">
        <v>0</v>
      </c>
      <c r="AE115" s="257">
        <v>0</v>
      </c>
      <c r="AF115" s="256">
        <v>0</v>
      </c>
      <c r="AG115" s="256">
        <v>0</v>
      </c>
      <c r="AH115" s="256">
        <v>0</v>
      </c>
      <c r="AI115" s="257">
        <v>0</v>
      </c>
      <c r="AJ115" s="256">
        <v>0</v>
      </c>
      <c r="AK115" s="256">
        <v>0</v>
      </c>
      <c r="AL115" s="256">
        <v>0</v>
      </c>
      <c r="AM115" s="256">
        <v>0</v>
      </c>
      <c r="AN115" s="393">
        <v>0</v>
      </c>
      <c r="AO115" s="256">
        <v>0</v>
      </c>
      <c r="AP115" s="256">
        <v>0</v>
      </c>
      <c r="AQ115" s="256">
        <v>0</v>
      </c>
      <c r="AR115" s="393">
        <v>0</v>
      </c>
      <c r="AS115" s="256">
        <v>0</v>
      </c>
      <c r="AT115" s="256">
        <v>0</v>
      </c>
      <c r="AU115" s="256">
        <v>0</v>
      </c>
      <c r="AV115" s="393">
        <v>0</v>
      </c>
      <c r="AW115" s="256">
        <v>0</v>
      </c>
      <c r="AX115" s="256">
        <v>0</v>
      </c>
      <c r="AY115" s="256">
        <v>0</v>
      </c>
      <c r="AZ115" s="393">
        <v>0</v>
      </c>
      <c r="BA115" s="256">
        <v>0</v>
      </c>
      <c r="BB115" s="256">
        <v>0</v>
      </c>
      <c r="BC115" s="257">
        <v>0</v>
      </c>
      <c r="BD115" s="393">
        <v>0</v>
      </c>
      <c r="BE115" s="256">
        <v>0</v>
      </c>
      <c r="BF115" s="256">
        <v>0</v>
      </c>
      <c r="BG115" s="257">
        <v>0</v>
      </c>
      <c r="BH115" s="393">
        <v>0</v>
      </c>
      <c r="BI115" s="256">
        <v>0</v>
      </c>
      <c r="BJ115" s="256">
        <v>0</v>
      </c>
      <c r="BK115" s="257">
        <v>0</v>
      </c>
      <c r="BL115" s="393">
        <v>0</v>
      </c>
      <c r="BM115" s="256">
        <v>0</v>
      </c>
      <c r="BN115" s="256">
        <v>0</v>
      </c>
      <c r="BO115" s="257">
        <v>0</v>
      </c>
      <c r="BP115" s="1393"/>
      <c r="BQ115" s="389"/>
      <c r="BR115" s="250"/>
      <c r="BS115" s="250"/>
      <c r="BT115" s="250"/>
      <c r="BU115" s="250"/>
      <c r="BV115" s="250"/>
      <c r="BW115" s="250"/>
      <c r="BX115" s="389"/>
      <c r="BY115" s="389"/>
      <c r="BZ115" s="250"/>
      <c r="CA115" s="250"/>
      <c r="CB115" s="250"/>
      <c r="CC115" s="250"/>
      <c r="CD115" s="1392"/>
      <c r="CE115" s="1392"/>
      <c r="CF115" s="1393"/>
      <c r="CG115" s="389"/>
      <c r="CH115" s="720"/>
      <c r="CI115" s="720"/>
      <c r="CJ115" s="720"/>
      <c r="CK115" s="720"/>
      <c r="CL115" s="720"/>
      <c r="CM115" s="720"/>
      <c r="CN115" s="720"/>
      <c r="CO115" s="720"/>
      <c r="CP115" s="720"/>
      <c r="CQ115" s="720"/>
      <c r="CR115" s="720"/>
      <c r="CS115" s="720"/>
      <c r="CT115" s="720"/>
      <c r="CU115" s="720"/>
      <c r="CV115" s="720"/>
      <c r="CW115" s="720"/>
    </row>
    <row r="116" spans="1:101" ht="14.25" customHeight="1">
      <c r="A116" s="720"/>
      <c r="B116" s="715" t="s">
        <v>339</v>
      </c>
      <c r="C116" s="251"/>
      <c r="D116" s="389"/>
      <c r="E116" s="250"/>
      <c r="F116" s="250"/>
      <c r="G116" s="251"/>
      <c r="H116" s="389"/>
      <c r="I116" s="250"/>
      <c r="J116" s="250"/>
      <c r="K116" s="251"/>
      <c r="L116" s="389"/>
      <c r="M116" s="250"/>
      <c r="N116" s="250"/>
      <c r="O116" s="251"/>
      <c r="P116" s="389"/>
      <c r="Q116" s="250"/>
      <c r="R116" s="250"/>
      <c r="S116" s="251"/>
      <c r="T116" s="389"/>
      <c r="U116" s="250"/>
      <c r="V116" s="250"/>
      <c r="W116" s="251"/>
      <c r="X116" s="389"/>
      <c r="Y116" s="250"/>
      <c r="Z116" s="250"/>
      <c r="AA116" s="251"/>
      <c r="AB116" s="389"/>
      <c r="AC116" s="256">
        <v>-3.6</v>
      </c>
      <c r="AD116" s="912">
        <f>+CFS!AD46</f>
        <v>-21.141999999999999</v>
      </c>
      <c r="AE116" s="1012">
        <f>+CFS!AE46</f>
        <v>-3.625</v>
      </c>
      <c r="AF116" s="893">
        <f>+CFS!AF46</f>
        <v>-15.625</v>
      </c>
      <c r="AG116" s="893">
        <f>+CFS!AG46</f>
        <v>-3.625</v>
      </c>
      <c r="AH116" s="893">
        <f>+CFS!AH46</f>
        <v>-3.625</v>
      </c>
      <c r="AI116" s="1012">
        <f>+CFS!AI46</f>
        <v>-33.625</v>
      </c>
      <c r="AJ116" s="893">
        <f>+CFS!AJ46</f>
        <v>-60.107999999999997</v>
      </c>
      <c r="AK116" s="893">
        <f>+CFS!AK46</f>
        <v>0</v>
      </c>
      <c r="AL116" s="893">
        <f>+CFS!AL46</f>
        <v>0</v>
      </c>
      <c r="AM116" s="256">
        <f>+CFS!AM46</f>
        <v>0</v>
      </c>
      <c r="AN116" s="1053">
        <f>-AM104</f>
        <v>1.7749999999999986</v>
      </c>
      <c r="AO116" s="256">
        <v>0</v>
      </c>
      <c r="AP116" s="256">
        <v>0</v>
      </c>
      <c r="AQ116" s="256">
        <v>0</v>
      </c>
      <c r="AR116" s="1053">
        <f>-AQ104</f>
        <v>0</v>
      </c>
      <c r="AS116" s="256">
        <v>0</v>
      </c>
      <c r="AT116" s="256">
        <v>0</v>
      </c>
      <c r="AU116" s="256">
        <v>0</v>
      </c>
      <c r="AV116" s="1053">
        <f>-AU104</f>
        <v>0</v>
      </c>
      <c r="AW116" s="256">
        <v>0</v>
      </c>
      <c r="AX116" s="256">
        <v>0</v>
      </c>
      <c r="AY116" s="256">
        <v>0</v>
      </c>
      <c r="AZ116" s="1053">
        <f>-AY104</f>
        <v>0</v>
      </c>
      <c r="BA116" s="256">
        <v>0</v>
      </c>
      <c r="BB116" s="256">
        <v>0</v>
      </c>
      <c r="BC116" s="257">
        <v>0</v>
      </c>
      <c r="BD116" s="393">
        <f>-BC104</f>
        <v>0</v>
      </c>
      <c r="BE116" s="256">
        <v>0</v>
      </c>
      <c r="BF116" s="256">
        <v>0</v>
      </c>
      <c r="BG116" s="257">
        <v>0</v>
      </c>
      <c r="BH116" s="393">
        <f>-BG104</f>
        <v>0</v>
      </c>
      <c r="BI116" s="256">
        <v>0</v>
      </c>
      <c r="BJ116" s="256">
        <v>0</v>
      </c>
      <c r="BK116" s="257">
        <v>0</v>
      </c>
      <c r="BL116" s="393">
        <f>-BK104</f>
        <v>0</v>
      </c>
      <c r="BM116" s="256">
        <v>0</v>
      </c>
      <c r="BN116" s="256">
        <v>0</v>
      </c>
      <c r="BO116" s="257">
        <v>0</v>
      </c>
      <c r="BP116" s="1393"/>
      <c r="BQ116" s="389"/>
      <c r="BR116" s="250"/>
      <c r="BS116" s="250"/>
      <c r="BT116" s="250"/>
      <c r="BU116" s="250"/>
      <c r="BV116" s="250"/>
      <c r="BW116" s="250"/>
      <c r="BX116" s="389"/>
      <c r="BY116" s="389"/>
      <c r="BZ116" s="250"/>
      <c r="CA116" s="250"/>
      <c r="CB116" s="250"/>
      <c r="CC116" s="250"/>
      <c r="CD116" s="1392"/>
      <c r="CE116" s="1392"/>
      <c r="CF116" s="1393"/>
      <c r="CG116" s="389"/>
      <c r="CH116" s="720"/>
      <c r="CI116" s="720"/>
      <c r="CJ116" s="720"/>
      <c r="CK116" s="720"/>
      <c r="CL116" s="720"/>
      <c r="CM116" s="720"/>
      <c r="CN116" s="720"/>
      <c r="CO116" s="720"/>
      <c r="CP116" s="720"/>
      <c r="CQ116" s="720"/>
      <c r="CR116" s="720"/>
      <c r="CS116" s="720"/>
      <c r="CT116" s="720"/>
      <c r="CU116" s="720"/>
      <c r="CV116" s="720"/>
      <c r="CW116" s="720"/>
    </row>
    <row r="117" spans="1:101" ht="14.25" customHeight="1">
      <c r="A117" s="720"/>
      <c r="B117" s="715" t="s">
        <v>342</v>
      </c>
      <c r="C117" s="251"/>
      <c r="D117" s="389"/>
      <c r="E117" s="250"/>
      <c r="F117" s="250"/>
      <c r="G117" s="251"/>
      <c r="H117" s="389"/>
      <c r="I117" s="250"/>
      <c r="J117" s="250"/>
      <c r="K117" s="251"/>
      <c r="L117" s="389"/>
      <c r="M117" s="250"/>
      <c r="N117" s="250"/>
      <c r="O117" s="251"/>
      <c r="P117" s="389"/>
      <c r="Q117" s="250"/>
      <c r="R117" s="250"/>
      <c r="S117" s="251"/>
      <c r="T117" s="389"/>
      <c r="U117" s="250"/>
      <c r="V117" s="250"/>
      <c r="W117" s="251"/>
      <c r="X117" s="389"/>
      <c r="Y117" s="250"/>
      <c r="Z117" s="250"/>
      <c r="AA117" s="251"/>
      <c r="AB117" s="389"/>
      <c r="AC117" s="256">
        <v>0</v>
      </c>
      <c r="AD117" s="256">
        <v>0</v>
      </c>
      <c r="AE117" s="257">
        <v>0</v>
      </c>
      <c r="AF117" s="256">
        <v>0</v>
      </c>
      <c r="AG117" s="256">
        <v>0</v>
      </c>
      <c r="AH117" s="256">
        <v>0</v>
      </c>
      <c r="AI117" s="257">
        <v>0</v>
      </c>
      <c r="AJ117" s="256">
        <v>0</v>
      </c>
      <c r="AK117" s="256">
        <v>0</v>
      </c>
      <c r="AL117" s="256">
        <v>0</v>
      </c>
      <c r="AM117" s="256">
        <v>0</v>
      </c>
      <c r="AN117" s="393">
        <v>0</v>
      </c>
      <c r="AO117" s="256">
        <v>0</v>
      </c>
      <c r="AP117" s="256">
        <v>0</v>
      </c>
      <c r="AQ117" s="256">
        <v>0</v>
      </c>
      <c r="AR117" s="393">
        <v>0</v>
      </c>
      <c r="AS117" s="256">
        <v>0</v>
      </c>
      <c r="AT117" s="256">
        <v>0</v>
      </c>
      <c r="AU117" s="256">
        <v>0</v>
      </c>
      <c r="AV117" s="393">
        <v>0</v>
      </c>
      <c r="AW117" s="256">
        <v>0</v>
      </c>
      <c r="AX117" s="256">
        <v>0</v>
      </c>
      <c r="AY117" s="256">
        <v>0</v>
      </c>
      <c r="AZ117" s="393">
        <v>0</v>
      </c>
      <c r="BA117" s="256">
        <v>0</v>
      </c>
      <c r="BB117" s="256">
        <v>0</v>
      </c>
      <c r="BC117" s="257">
        <v>0</v>
      </c>
      <c r="BD117" s="393">
        <v>0</v>
      </c>
      <c r="BE117" s="256">
        <v>0</v>
      </c>
      <c r="BF117" s="256">
        <v>0</v>
      </c>
      <c r="BG117" s="257">
        <v>0</v>
      </c>
      <c r="BH117" s="393">
        <v>0</v>
      </c>
      <c r="BI117" s="256">
        <v>0</v>
      </c>
      <c r="BJ117" s="256">
        <v>0</v>
      </c>
      <c r="BK117" s="257">
        <v>0</v>
      </c>
      <c r="BL117" s="393">
        <v>0</v>
      </c>
      <c r="BM117" s="256">
        <v>0</v>
      </c>
      <c r="BN117" s="256">
        <v>0</v>
      </c>
      <c r="BO117" s="257">
        <v>0</v>
      </c>
      <c r="BP117" s="1393"/>
      <c r="BQ117" s="389"/>
      <c r="BR117" s="250"/>
      <c r="BS117" s="250"/>
      <c r="BT117" s="250"/>
      <c r="BU117" s="250"/>
      <c r="BV117" s="250"/>
      <c r="BW117" s="250"/>
      <c r="BX117" s="389"/>
      <c r="BY117" s="389"/>
      <c r="BZ117" s="250"/>
      <c r="CA117" s="250"/>
      <c r="CB117" s="250"/>
      <c r="CC117" s="250"/>
      <c r="CD117" s="1392"/>
      <c r="CE117" s="1392"/>
      <c r="CF117" s="1393"/>
      <c r="CG117" s="389"/>
      <c r="CH117" s="720"/>
      <c r="CI117" s="720"/>
      <c r="CJ117" s="720"/>
      <c r="CK117" s="720"/>
      <c r="CL117" s="720"/>
      <c r="CM117" s="720"/>
      <c r="CN117" s="720"/>
      <c r="CO117" s="720"/>
      <c r="CP117" s="720"/>
      <c r="CQ117" s="720"/>
      <c r="CR117" s="720"/>
      <c r="CS117" s="720"/>
      <c r="CT117" s="720"/>
      <c r="CU117" s="720"/>
      <c r="CV117" s="720"/>
      <c r="CW117" s="720"/>
    </row>
    <row r="118" spans="1:101" ht="14.25" customHeight="1">
      <c r="A118" s="720"/>
      <c r="B118" s="716" t="s">
        <v>340</v>
      </c>
      <c r="C118" s="251"/>
      <c r="D118" s="389"/>
      <c r="E118" s="250"/>
      <c r="F118" s="250"/>
      <c r="G118" s="251"/>
      <c r="H118" s="389"/>
      <c r="I118" s="250"/>
      <c r="J118" s="250"/>
      <c r="K118" s="251"/>
      <c r="L118" s="389"/>
      <c r="M118" s="250"/>
      <c r="N118" s="250"/>
      <c r="O118" s="251"/>
      <c r="P118" s="389"/>
      <c r="Q118" s="250"/>
      <c r="R118" s="250"/>
      <c r="S118" s="251"/>
      <c r="T118" s="389"/>
      <c r="U118" s="250"/>
      <c r="V118" s="250"/>
      <c r="W118" s="251"/>
      <c r="X118" s="389"/>
      <c r="Y118" s="250"/>
      <c r="Z118" s="250"/>
      <c r="AA118" s="251"/>
      <c r="AB118" s="389"/>
      <c r="AC118" s="795">
        <v>0</v>
      </c>
      <c r="AD118" s="795">
        <v>0</v>
      </c>
      <c r="AE118" s="742">
        <v>0</v>
      </c>
      <c r="AF118" s="795">
        <v>0</v>
      </c>
      <c r="AG118" s="795">
        <v>0</v>
      </c>
      <c r="AH118" s="795">
        <v>0</v>
      </c>
      <c r="AI118" s="742">
        <v>0</v>
      </c>
      <c r="AJ118" s="795">
        <v>0</v>
      </c>
      <c r="AK118" s="795">
        <v>0</v>
      </c>
      <c r="AL118" s="795">
        <v>0</v>
      </c>
      <c r="AM118" s="795">
        <v>0</v>
      </c>
      <c r="AN118" s="1054">
        <v>0</v>
      </c>
      <c r="AO118" s="795">
        <v>0</v>
      </c>
      <c r="AP118" s="795">
        <v>0</v>
      </c>
      <c r="AQ118" s="795">
        <v>0</v>
      </c>
      <c r="AR118" s="1054">
        <v>0</v>
      </c>
      <c r="AS118" s="795">
        <v>0</v>
      </c>
      <c r="AT118" s="795">
        <v>0</v>
      </c>
      <c r="AU118" s="795">
        <v>0</v>
      </c>
      <c r="AV118" s="1054">
        <v>0</v>
      </c>
      <c r="AW118" s="795">
        <v>0</v>
      </c>
      <c r="AX118" s="795">
        <v>0</v>
      </c>
      <c r="AY118" s="795">
        <v>0</v>
      </c>
      <c r="AZ118" s="1054">
        <v>0</v>
      </c>
      <c r="BA118" s="795">
        <v>0</v>
      </c>
      <c r="BB118" s="795">
        <v>0</v>
      </c>
      <c r="BC118" s="742">
        <v>0</v>
      </c>
      <c r="BD118" s="1054">
        <v>0</v>
      </c>
      <c r="BE118" s="795">
        <v>0</v>
      </c>
      <c r="BF118" s="795">
        <v>0</v>
      </c>
      <c r="BG118" s="742">
        <v>0</v>
      </c>
      <c r="BH118" s="1054">
        <v>0</v>
      </c>
      <c r="BI118" s="795">
        <v>0</v>
      </c>
      <c r="BJ118" s="795">
        <v>0</v>
      </c>
      <c r="BK118" s="742">
        <v>0</v>
      </c>
      <c r="BL118" s="1054">
        <v>0</v>
      </c>
      <c r="BM118" s="795">
        <v>0</v>
      </c>
      <c r="BN118" s="795">
        <v>0</v>
      </c>
      <c r="BO118" s="742">
        <v>0</v>
      </c>
      <c r="BP118" s="1393"/>
      <c r="BQ118" s="389"/>
      <c r="BR118" s="250"/>
      <c r="BS118" s="250"/>
      <c r="BT118" s="250"/>
      <c r="BU118" s="250"/>
      <c r="BV118" s="250"/>
      <c r="BW118" s="250"/>
      <c r="BX118" s="389"/>
      <c r="BY118" s="389"/>
      <c r="BZ118" s="250"/>
      <c r="CA118" s="250"/>
      <c r="CB118" s="250"/>
      <c r="CC118" s="250"/>
      <c r="CD118" s="1392"/>
      <c r="CE118" s="1392"/>
      <c r="CF118" s="1393"/>
      <c r="CG118" s="389"/>
      <c r="CH118" s="720"/>
      <c r="CI118" s="720"/>
      <c r="CJ118" s="720"/>
      <c r="CK118" s="720"/>
      <c r="CL118" s="720"/>
      <c r="CM118" s="720"/>
      <c r="CN118" s="720"/>
      <c r="CO118" s="720"/>
      <c r="CP118" s="720"/>
      <c r="CQ118" s="720"/>
      <c r="CR118" s="720"/>
      <c r="CS118" s="720"/>
      <c r="CT118" s="720"/>
      <c r="CU118" s="720"/>
      <c r="CV118" s="720"/>
      <c r="CW118" s="720"/>
    </row>
    <row r="119" spans="1:101" ht="14.25" customHeight="1">
      <c r="A119" s="720"/>
      <c r="B119" s="717" t="s">
        <v>343</v>
      </c>
      <c r="C119" s="251"/>
      <c r="D119" s="389"/>
      <c r="E119" s="250"/>
      <c r="F119" s="250"/>
      <c r="G119" s="251"/>
      <c r="H119" s="389"/>
      <c r="I119" s="250"/>
      <c r="J119" s="250"/>
      <c r="K119" s="251"/>
      <c r="L119" s="389"/>
      <c r="M119" s="250"/>
      <c r="N119" s="250"/>
      <c r="O119" s="251"/>
      <c r="P119" s="389"/>
      <c r="Q119" s="250"/>
      <c r="R119" s="250"/>
      <c r="S119" s="251"/>
      <c r="T119" s="389"/>
      <c r="U119" s="250"/>
      <c r="V119" s="250"/>
      <c r="W119" s="251"/>
      <c r="X119" s="389"/>
      <c r="Y119" s="250"/>
      <c r="Z119" s="250"/>
      <c r="AA119" s="251"/>
      <c r="AB119" s="389"/>
      <c r="AC119" s="796">
        <f>+SUM(AC115:AC118)</f>
        <v>-3.6</v>
      </c>
      <c r="AD119" s="796">
        <f t="shared" ref="AD119:AQ119" si="524">+SUM(AD115:AD118)</f>
        <v>-21.141999999999999</v>
      </c>
      <c r="AE119" s="743">
        <f t="shared" si="524"/>
        <v>-3.625</v>
      </c>
      <c r="AF119" s="796">
        <f t="shared" si="524"/>
        <v>-15.625</v>
      </c>
      <c r="AG119" s="796">
        <f t="shared" si="524"/>
        <v>-3.625</v>
      </c>
      <c r="AH119" s="796">
        <f t="shared" si="524"/>
        <v>-3.625</v>
      </c>
      <c r="AI119" s="743">
        <f t="shared" si="524"/>
        <v>-33.625</v>
      </c>
      <c r="AJ119" s="796">
        <f>+SUM(AJ115:AJ118)</f>
        <v>-60.107999999999997</v>
      </c>
      <c r="AK119" s="796">
        <f>+SUM(AK115:AK118)</f>
        <v>0</v>
      </c>
      <c r="AL119" s="796">
        <f>+SUM(AL115:AL118)</f>
        <v>0</v>
      </c>
      <c r="AM119" s="796">
        <f>+SUM(AM115:AM118)</f>
        <v>0</v>
      </c>
      <c r="AN119" s="1055">
        <f t="shared" si="524"/>
        <v>1.7749999999999986</v>
      </c>
      <c r="AO119" s="796">
        <f t="shared" si="524"/>
        <v>0</v>
      </c>
      <c r="AP119" s="796">
        <f t="shared" si="524"/>
        <v>0</v>
      </c>
      <c r="AQ119" s="796">
        <f t="shared" si="524"/>
        <v>0</v>
      </c>
      <c r="AR119" s="1055">
        <f>+SUM(AR115:AR118)</f>
        <v>0</v>
      </c>
      <c r="AS119" s="796">
        <f t="shared" ref="AS119:AX119" si="525">+SUM(AS115:AS118)</f>
        <v>0</v>
      </c>
      <c r="AT119" s="796">
        <f t="shared" si="525"/>
        <v>0</v>
      </c>
      <c r="AU119" s="796">
        <f t="shared" si="525"/>
        <v>0</v>
      </c>
      <c r="AV119" s="1055">
        <f>+SUM(AV115:AV118)</f>
        <v>0</v>
      </c>
      <c r="AW119" s="796">
        <f t="shared" si="525"/>
        <v>0</v>
      </c>
      <c r="AX119" s="796">
        <f t="shared" si="525"/>
        <v>0</v>
      </c>
      <c r="AY119" s="796">
        <f t="shared" ref="AY119" si="526">+SUM(AY115:AY118)</f>
        <v>0</v>
      </c>
      <c r="AZ119" s="1055">
        <f>+SUM(AZ115:AZ118)</f>
        <v>0</v>
      </c>
      <c r="BA119" s="796">
        <f t="shared" ref="BA119:BG119" si="527">+SUM(BA115:BA118)</f>
        <v>0</v>
      </c>
      <c r="BB119" s="796">
        <f t="shared" si="527"/>
        <v>0</v>
      </c>
      <c r="BC119" s="743">
        <f t="shared" si="527"/>
        <v>0</v>
      </c>
      <c r="BD119" s="1055">
        <f t="shared" si="527"/>
        <v>0</v>
      </c>
      <c r="BE119" s="796">
        <f t="shared" si="527"/>
        <v>0</v>
      </c>
      <c r="BF119" s="796">
        <f t="shared" si="527"/>
        <v>0</v>
      </c>
      <c r="BG119" s="743">
        <f t="shared" si="527"/>
        <v>0</v>
      </c>
      <c r="BH119" s="1055">
        <f t="shared" ref="BH119:BK119" si="528">+SUM(BH115:BH118)</f>
        <v>0</v>
      </c>
      <c r="BI119" s="796">
        <f t="shared" si="528"/>
        <v>0</v>
      </c>
      <c r="BJ119" s="796">
        <f t="shared" si="528"/>
        <v>0</v>
      </c>
      <c r="BK119" s="743">
        <f t="shared" si="528"/>
        <v>0</v>
      </c>
      <c r="BL119" s="1055">
        <f t="shared" ref="BL119:BO119" si="529">+SUM(BL115:BL118)</f>
        <v>0</v>
      </c>
      <c r="BM119" s="796">
        <f t="shared" si="529"/>
        <v>0</v>
      </c>
      <c r="BN119" s="796">
        <f t="shared" si="529"/>
        <v>0</v>
      </c>
      <c r="BO119" s="743">
        <f t="shared" si="529"/>
        <v>0</v>
      </c>
      <c r="BP119" s="1393"/>
      <c r="BQ119" s="389"/>
      <c r="BR119" s="250"/>
      <c r="BS119" s="250"/>
      <c r="BT119" s="250"/>
      <c r="BU119" s="250"/>
      <c r="BV119" s="250"/>
      <c r="BW119" s="250"/>
      <c r="BX119" s="389"/>
      <c r="BY119" s="389"/>
      <c r="BZ119" s="250"/>
      <c r="CA119" s="250"/>
      <c r="CB119" s="250"/>
      <c r="CC119" s="250"/>
      <c r="CD119" s="1392"/>
      <c r="CE119" s="1392"/>
      <c r="CF119" s="1393"/>
      <c r="CG119" s="389"/>
      <c r="CH119" s="720"/>
      <c r="CI119" s="720"/>
      <c r="CJ119" s="720"/>
      <c r="CK119" s="720"/>
      <c r="CL119" s="720"/>
      <c r="CM119" s="720"/>
      <c r="CN119" s="720"/>
      <c r="CO119" s="720"/>
      <c r="CP119" s="720"/>
      <c r="CQ119" s="720"/>
      <c r="CR119" s="720"/>
      <c r="CS119" s="720"/>
      <c r="CT119" s="720"/>
      <c r="CU119" s="720"/>
      <c r="CV119" s="720"/>
      <c r="CW119" s="720"/>
    </row>
    <row r="120" spans="1:101" ht="14.25" customHeight="1">
      <c r="A120" s="721"/>
      <c r="B120" s="717"/>
      <c r="C120" s="740"/>
      <c r="D120" s="804"/>
      <c r="E120" s="319"/>
      <c r="F120" s="319"/>
      <c r="G120" s="740"/>
      <c r="H120" s="804"/>
      <c r="I120" s="319"/>
      <c r="J120" s="319"/>
      <c r="K120" s="740"/>
      <c r="L120" s="804"/>
      <c r="M120" s="319"/>
      <c r="N120" s="319"/>
      <c r="O120" s="740"/>
      <c r="P120" s="804"/>
      <c r="Q120" s="319"/>
      <c r="R120" s="319"/>
      <c r="S120" s="740"/>
      <c r="T120" s="804"/>
      <c r="U120" s="319"/>
      <c r="V120" s="319"/>
      <c r="W120" s="740"/>
      <c r="X120" s="804"/>
      <c r="Y120" s="319"/>
      <c r="Z120" s="319"/>
      <c r="AA120" s="740"/>
      <c r="AB120" s="804"/>
      <c r="AC120" s="319"/>
      <c r="AD120" s="319"/>
      <c r="AE120" s="740"/>
      <c r="AF120" s="319"/>
      <c r="AG120" s="319"/>
      <c r="AH120" s="319"/>
      <c r="AI120" s="319"/>
      <c r="AJ120" s="804"/>
      <c r="AK120" s="319"/>
      <c r="AL120" s="319"/>
      <c r="AM120" s="319"/>
      <c r="AN120" s="804"/>
      <c r="AO120" s="319"/>
      <c r="AP120" s="319"/>
      <c r="AQ120" s="319"/>
      <c r="AR120" s="804"/>
      <c r="AS120" s="319"/>
      <c r="AT120" s="319"/>
      <c r="AU120" s="319"/>
      <c r="AV120" s="804"/>
      <c r="AW120" s="319"/>
      <c r="AX120" s="319"/>
      <c r="AY120" s="319"/>
      <c r="AZ120" s="804"/>
      <c r="BA120" s="319"/>
      <c r="BB120" s="319"/>
      <c r="BC120" s="740"/>
      <c r="BD120" s="804"/>
      <c r="BE120" s="319"/>
      <c r="BF120" s="319"/>
      <c r="BG120" s="740"/>
      <c r="BH120" s="804"/>
      <c r="BI120" s="319"/>
      <c r="BJ120" s="319"/>
      <c r="BK120" s="740"/>
      <c r="BL120" s="804"/>
      <c r="BM120" s="319"/>
      <c r="BN120" s="319"/>
      <c r="BO120" s="740"/>
      <c r="BP120" s="740"/>
      <c r="BQ120" s="804"/>
      <c r="BR120" s="319"/>
      <c r="BS120" s="319"/>
      <c r="BT120" s="319"/>
      <c r="BU120" s="319"/>
      <c r="BV120" s="319"/>
      <c r="BW120" s="319"/>
      <c r="BX120" s="804"/>
      <c r="BY120" s="804"/>
      <c r="BZ120" s="319"/>
      <c r="CA120" s="319"/>
      <c r="CB120" s="319"/>
      <c r="CC120" s="319"/>
      <c r="CD120" s="319"/>
      <c r="CE120" s="319"/>
      <c r="CF120" s="740"/>
      <c r="CG120" s="804"/>
      <c r="CH120" s="721"/>
      <c r="CI120" s="721"/>
      <c r="CJ120" s="721"/>
      <c r="CK120" s="721"/>
      <c r="CL120" s="721"/>
      <c r="CM120" s="721"/>
      <c r="CN120" s="721"/>
      <c r="CO120" s="721"/>
      <c r="CP120" s="721"/>
      <c r="CQ120" s="721"/>
      <c r="CR120" s="721"/>
      <c r="CS120" s="721"/>
      <c r="CT120" s="721"/>
      <c r="CU120" s="721"/>
      <c r="CV120" s="721"/>
      <c r="CW120" s="721"/>
    </row>
    <row r="121" spans="1:101" ht="14.25" customHeight="1">
      <c r="A121" s="721"/>
      <c r="B121" s="726" t="s">
        <v>345</v>
      </c>
      <c r="C121" s="740"/>
      <c r="D121" s="804"/>
      <c r="E121" s="319"/>
      <c r="F121" s="319"/>
      <c r="G121" s="740"/>
      <c r="H121" s="804"/>
      <c r="I121" s="319"/>
      <c r="J121" s="319"/>
      <c r="K121" s="740"/>
      <c r="L121" s="804"/>
      <c r="M121" s="319"/>
      <c r="N121" s="319"/>
      <c r="O121" s="740"/>
      <c r="P121" s="804"/>
      <c r="Q121" s="319"/>
      <c r="R121" s="319"/>
      <c r="S121" s="740"/>
      <c r="T121" s="804"/>
      <c r="U121" s="319"/>
      <c r="V121" s="319"/>
      <c r="W121" s="740"/>
      <c r="X121" s="804"/>
      <c r="Y121" s="319"/>
      <c r="Z121" s="319"/>
      <c r="AA121" s="740"/>
      <c r="AB121" s="804"/>
      <c r="AC121" s="319"/>
      <c r="AD121" s="319"/>
      <c r="AE121" s="740"/>
      <c r="AF121" s="319"/>
      <c r="AG121" s="319"/>
      <c r="AH121" s="319"/>
      <c r="AI121" s="319"/>
      <c r="AJ121" s="804"/>
      <c r="AK121" s="319"/>
      <c r="AL121" s="319"/>
      <c r="AM121" s="319"/>
      <c r="AN121" s="804"/>
      <c r="AO121" s="319"/>
      <c r="AP121" s="319"/>
      <c r="AQ121" s="319"/>
      <c r="AR121" s="804"/>
      <c r="AS121" s="319"/>
      <c r="AT121" s="319"/>
      <c r="AU121" s="319"/>
      <c r="AV121" s="804"/>
      <c r="AW121" s="319"/>
      <c r="AX121" s="319"/>
      <c r="AY121" s="319"/>
      <c r="AZ121" s="804"/>
      <c r="BA121" s="319"/>
      <c r="BB121" s="319"/>
      <c r="BC121" s="740"/>
      <c r="BD121" s="804"/>
      <c r="BE121" s="319"/>
      <c r="BF121" s="319"/>
      <c r="BG121" s="740"/>
      <c r="BH121" s="804"/>
      <c r="BI121" s="319"/>
      <c r="BJ121" s="319"/>
      <c r="BK121" s="740"/>
      <c r="BL121" s="804"/>
      <c r="BM121" s="319"/>
      <c r="BN121" s="319"/>
      <c r="BO121" s="740"/>
      <c r="BP121" s="740"/>
      <c r="BQ121" s="804"/>
      <c r="BR121" s="319"/>
      <c r="BS121" s="319"/>
      <c r="BT121" s="319"/>
      <c r="BU121" s="319"/>
      <c r="BV121" s="319"/>
      <c r="BW121" s="319"/>
      <c r="BX121" s="804"/>
      <c r="BY121" s="804"/>
      <c r="BZ121" s="319"/>
      <c r="CA121" s="319"/>
      <c r="CB121" s="319"/>
      <c r="CC121" s="319"/>
      <c r="CD121" s="319"/>
      <c r="CE121" s="319"/>
      <c r="CF121" s="740"/>
      <c r="CG121" s="804"/>
      <c r="CH121" s="721"/>
      <c r="CI121" s="721"/>
      <c r="CJ121" s="721"/>
      <c r="CK121" s="721"/>
      <c r="CL121" s="721"/>
      <c r="CM121" s="721"/>
      <c r="CN121" s="721"/>
      <c r="CO121" s="721"/>
      <c r="CP121" s="721"/>
      <c r="CQ121" s="721"/>
      <c r="CR121" s="721"/>
      <c r="CS121" s="721"/>
      <c r="CT121" s="721"/>
      <c r="CU121" s="721"/>
      <c r="CV121" s="721"/>
      <c r="CW121" s="721"/>
    </row>
    <row r="122" spans="1:101" ht="14.25" customHeight="1">
      <c r="A122" s="721"/>
      <c r="B122" s="736" t="s">
        <v>346</v>
      </c>
      <c r="C122" s="740"/>
      <c r="D122" s="804"/>
      <c r="E122" s="319"/>
      <c r="F122" s="319"/>
      <c r="G122" s="740"/>
      <c r="H122" s="804"/>
      <c r="I122" s="319"/>
      <c r="J122" s="319"/>
      <c r="K122" s="740"/>
      <c r="L122" s="804"/>
      <c r="M122" s="319"/>
      <c r="N122" s="319"/>
      <c r="O122" s="740"/>
      <c r="P122" s="804"/>
      <c r="Q122" s="319"/>
      <c r="R122" s="319"/>
      <c r="S122" s="740"/>
      <c r="T122" s="804"/>
      <c r="U122" s="319"/>
      <c r="V122" s="319"/>
      <c r="W122" s="740"/>
      <c r="X122" s="804"/>
      <c r="Y122" s="319"/>
      <c r="Z122" s="319"/>
      <c r="AA122" s="740"/>
      <c r="AB122" s="804"/>
      <c r="AC122" s="319"/>
      <c r="AD122" s="319"/>
      <c r="AE122" s="744">
        <v>375</v>
      </c>
      <c r="AF122" s="791">
        <v>375</v>
      </c>
      <c r="AG122" s="791">
        <v>375</v>
      </c>
      <c r="AH122" s="791">
        <v>375</v>
      </c>
      <c r="AI122" s="791">
        <v>375</v>
      </c>
      <c r="AJ122" s="807">
        <v>375</v>
      </c>
      <c r="AK122" s="791">
        <v>375</v>
      </c>
      <c r="AL122" s="791">
        <v>375</v>
      </c>
      <c r="AM122" s="791">
        <v>375</v>
      </c>
      <c r="AN122" s="807">
        <v>375</v>
      </c>
      <c r="AO122" s="791">
        <v>375</v>
      </c>
      <c r="AP122" s="791">
        <v>375</v>
      </c>
      <c r="AQ122" s="791">
        <v>375</v>
      </c>
      <c r="AR122" s="807">
        <v>375</v>
      </c>
      <c r="AS122" s="791">
        <v>375</v>
      </c>
      <c r="AT122" s="791">
        <v>375</v>
      </c>
      <c r="AU122" s="791">
        <v>375</v>
      </c>
      <c r="AV122" s="807">
        <v>375</v>
      </c>
      <c r="AW122" s="791">
        <v>375</v>
      </c>
      <c r="AX122" s="791">
        <v>375</v>
      </c>
      <c r="AY122" s="791">
        <v>375</v>
      </c>
      <c r="AZ122" s="807">
        <v>375</v>
      </c>
      <c r="BA122" s="791">
        <v>375</v>
      </c>
      <c r="BB122" s="791">
        <v>375</v>
      </c>
      <c r="BC122" s="744">
        <v>375</v>
      </c>
      <c r="BD122" s="807">
        <v>375</v>
      </c>
      <c r="BE122" s="791">
        <v>375</v>
      </c>
      <c r="BF122" s="791">
        <v>375</v>
      </c>
      <c r="BG122" s="744">
        <v>375</v>
      </c>
      <c r="BH122" s="807">
        <v>375</v>
      </c>
      <c r="BI122" s="791">
        <v>375</v>
      </c>
      <c r="BJ122" s="791">
        <v>375</v>
      </c>
      <c r="BK122" s="744">
        <v>375</v>
      </c>
      <c r="BL122" s="807">
        <v>375</v>
      </c>
      <c r="BM122" s="791">
        <v>375</v>
      </c>
      <c r="BN122" s="791">
        <v>375</v>
      </c>
      <c r="BO122" s="744">
        <v>375</v>
      </c>
      <c r="BP122" s="740"/>
      <c r="BQ122" s="804"/>
      <c r="BR122" s="319"/>
      <c r="BS122" s="319"/>
      <c r="BT122" s="319"/>
      <c r="BU122" s="319"/>
      <c r="BV122" s="319"/>
      <c r="BW122" s="319"/>
      <c r="BX122" s="804"/>
      <c r="BY122" s="804"/>
      <c r="BZ122" s="319"/>
      <c r="CA122" s="319"/>
      <c r="CB122" s="319"/>
      <c r="CC122" s="319"/>
      <c r="CD122" s="319"/>
      <c r="CE122" s="319"/>
      <c r="CF122" s="740"/>
      <c r="CG122" s="804"/>
      <c r="CH122" s="721"/>
      <c r="CI122" s="721"/>
      <c r="CJ122" s="721"/>
      <c r="CK122" s="721"/>
      <c r="CL122" s="721"/>
      <c r="CM122" s="721"/>
      <c r="CN122" s="721"/>
      <c r="CO122" s="721"/>
      <c r="CP122" s="721"/>
      <c r="CQ122" s="721"/>
      <c r="CR122" s="721"/>
      <c r="CS122" s="721"/>
      <c r="CT122" s="721"/>
      <c r="CU122" s="721"/>
      <c r="CV122" s="721"/>
      <c r="CW122" s="721"/>
    </row>
    <row r="123" spans="1:101" ht="14.25" customHeight="1">
      <c r="A123" s="721"/>
      <c r="B123" s="724"/>
      <c r="C123" s="740"/>
      <c r="D123" s="804"/>
      <c r="E123" s="319"/>
      <c r="F123" s="319"/>
      <c r="G123" s="740"/>
      <c r="H123" s="804"/>
      <c r="I123" s="319"/>
      <c r="J123" s="319"/>
      <c r="K123" s="740"/>
      <c r="L123" s="804"/>
      <c r="M123" s="319"/>
      <c r="N123" s="319"/>
      <c r="O123" s="740"/>
      <c r="P123" s="804"/>
      <c r="Q123" s="319"/>
      <c r="R123" s="319"/>
      <c r="S123" s="740"/>
      <c r="T123" s="804"/>
      <c r="U123" s="319"/>
      <c r="V123" s="319"/>
      <c r="W123" s="740"/>
      <c r="X123" s="804"/>
      <c r="Y123" s="319"/>
      <c r="Z123" s="319"/>
      <c r="AA123" s="740"/>
      <c r="AB123" s="804"/>
      <c r="AC123" s="319"/>
      <c r="AD123" s="319"/>
      <c r="AE123" s="740"/>
      <c r="AF123" s="319"/>
      <c r="AG123" s="319"/>
      <c r="AH123" s="319"/>
      <c r="AI123" s="319"/>
      <c r="AJ123" s="804"/>
      <c r="AK123" s="319"/>
      <c r="AL123" s="319"/>
      <c r="AM123" s="319"/>
      <c r="AN123" s="804"/>
      <c r="AO123" s="319"/>
      <c r="AP123" s="319"/>
      <c r="AQ123" s="319"/>
      <c r="AR123" s="804"/>
      <c r="AS123" s="319"/>
      <c r="AT123" s="319"/>
      <c r="AU123" s="319"/>
      <c r="AV123" s="804"/>
      <c r="AW123" s="319"/>
      <c r="AX123" s="319"/>
      <c r="AY123" s="319"/>
      <c r="AZ123" s="804"/>
      <c r="BA123" s="319"/>
      <c r="BB123" s="319"/>
      <c r="BC123" s="740"/>
      <c r="BD123" s="804"/>
      <c r="BE123" s="319"/>
      <c r="BF123" s="319"/>
      <c r="BG123" s="740"/>
      <c r="BH123" s="804"/>
      <c r="BI123" s="319"/>
      <c r="BJ123" s="319"/>
      <c r="BK123" s="740"/>
      <c r="BL123" s="804"/>
      <c r="BM123" s="319"/>
      <c r="BN123" s="319"/>
      <c r="BO123" s="740"/>
      <c r="BP123" s="740"/>
      <c r="BQ123" s="804"/>
      <c r="BR123" s="319"/>
      <c r="BS123" s="319"/>
      <c r="BT123" s="319"/>
      <c r="BU123" s="319"/>
      <c r="BV123" s="319"/>
      <c r="BW123" s="319"/>
      <c r="BX123" s="804"/>
      <c r="BY123" s="804"/>
      <c r="BZ123" s="319"/>
      <c r="CA123" s="319"/>
      <c r="CB123" s="319"/>
      <c r="CC123" s="319"/>
      <c r="CD123" s="319"/>
      <c r="CE123" s="319"/>
      <c r="CF123" s="740"/>
      <c r="CG123" s="804"/>
      <c r="CH123" s="721"/>
      <c r="CI123" s="721"/>
      <c r="CJ123" s="721"/>
      <c r="CK123" s="721"/>
      <c r="CL123" s="721"/>
      <c r="CM123" s="721"/>
      <c r="CN123" s="721"/>
      <c r="CO123" s="721"/>
      <c r="CP123" s="721"/>
      <c r="CQ123" s="721"/>
      <c r="CR123" s="721"/>
      <c r="CS123" s="721"/>
      <c r="CT123" s="721"/>
      <c r="CU123" s="721"/>
      <c r="CV123" s="721"/>
      <c r="CW123" s="721"/>
    </row>
    <row r="124" spans="1:101" ht="14.25" customHeight="1">
      <c r="A124" s="721"/>
      <c r="B124" s="717" t="s">
        <v>348</v>
      </c>
      <c r="C124" s="740"/>
      <c r="D124" s="804"/>
      <c r="E124" s="319"/>
      <c r="F124" s="319"/>
      <c r="G124" s="740"/>
      <c r="H124" s="804"/>
      <c r="I124" s="319"/>
      <c r="J124" s="319"/>
      <c r="K124" s="740"/>
      <c r="L124" s="804"/>
      <c r="M124" s="319"/>
      <c r="N124" s="319"/>
      <c r="O124" s="740"/>
      <c r="P124" s="804"/>
      <c r="Q124" s="319"/>
      <c r="R124" s="319"/>
      <c r="S124" s="740"/>
      <c r="T124" s="804"/>
      <c r="U124" s="319"/>
      <c r="V124" s="319"/>
      <c r="W124" s="740"/>
      <c r="X124" s="804"/>
      <c r="Y124" s="319"/>
      <c r="Z124" s="319"/>
      <c r="AA124" s="740"/>
      <c r="AB124" s="804"/>
      <c r="AC124" s="319"/>
      <c r="AD124" s="319"/>
      <c r="AE124" s="740"/>
      <c r="AF124" s="319"/>
      <c r="AG124" s="319"/>
      <c r="AH124" s="319"/>
      <c r="AI124" s="319"/>
      <c r="AJ124" s="804"/>
      <c r="AK124" s="319"/>
      <c r="AL124" s="319"/>
      <c r="AM124" s="319"/>
      <c r="AN124" s="804"/>
      <c r="AO124" s="319"/>
      <c r="AP124" s="319"/>
      <c r="AQ124" s="319"/>
      <c r="AR124" s="804"/>
      <c r="AS124" s="319"/>
      <c r="AT124" s="319"/>
      <c r="AU124" s="319"/>
      <c r="AV124" s="804"/>
      <c r="AW124" s="319"/>
      <c r="AX124" s="319"/>
      <c r="AY124" s="319"/>
      <c r="AZ124" s="804"/>
      <c r="BA124" s="319"/>
      <c r="BB124" s="319"/>
      <c r="BC124" s="740"/>
      <c r="BD124" s="804"/>
      <c r="BE124" s="319"/>
      <c r="BF124" s="319"/>
      <c r="BG124" s="740"/>
      <c r="BH124" s="804"/>
      <c r="BI124" s="319"/>
      <c r="BJ124" s="319"/>
      <c r="BK124" s="740"/>
      <c r="BL124" s="804"/>
      <c r="BM124" s="319"/>
      <c r="BN124" s="319"/>
      <c r="BO124" s="740"/>
      <c r="BP124" s="740"/>
      <c r="BQ124" s="804"/>
      <c r="BR124" s="319"/>
      <c r="BS124" s="319"/>
      <c r="BT124" s="319"/>
      <c r="BU124" s="319"/>
      <c r="BV124" s="319"/>
      <c r="BW124" s="319"/>
      <c r="BX124" s="804"/>
      <c r="BY124" s="804"/>
      <c r="BZ124" s="319"/>
      <c r="CA124" s="319"/>
      <c r="CB124" s="319"/>
      <c r="CC124" s="319"/>
      <c r="CD124" s="319"/>
      <c r="CE124" s="319"/>
      <c r="CF124" s="740"/>
      <c r="CG124" s="804"/>
      <c r="CH124" s="721"/>
      <c r="CI124" s="721"/>
      <c r="CJ124" s="721"/>
      <c r="CK124" s="721"/>
      <c r="CL124" s="721"/>
      <c r="CM124" s="721"/>
      <c r="CN124" s="721"/>
      <c r="CO124" s="721"/>
      <c r="CP124" s="721"/>
      <c r="CQ124" s="721"/>
      <c r="CR124" s="721"/>
      <c r="CS124" s="721"/>
      <c r="CT124" s="721"/>
      <c r="CU124" s="721"/>
      <c r="CV124" s="721"/>
      <c r="CW124" s="721"/>
    </row>
    <row r="125" spans="1:101" ht="14.25" customHeight="1">
      <c r="A125" s="721"/>
      <c r="B125" s="730" t="s">
        <v>344</v>
      </c>
      <c r="C125" s="740"/>
      <c r="D125" s="804"/>
      <c r="E125" s="319"/>
      <c r="F125" s="319"/>
      <c r="G125" s="740"/>
      <c r="H125" s="804"/>
      <c r="I125" s="319"/>
      <c r="J125" s="319"/>
      <c r="K125" s="740"/>
      <c r="L125" s="804"/>
      <c r="M125" s="319"/>
      <c r="N125" s="319"/>
      <c r="O125" s="740"/>
      <c r="P125" s="804"/>
      <c r="Q125" s="319"/>
      <c r="R125" s="319"/>
      <c r="S125" s="740"/>
      <c r="T125" s="804"/>
      <c r="U125" s="319"/>
      <c r="V125" s="319"/>
      <c r="W125" s="740"/>
      <c r="X125" s="804"/>
      <c r="Y125" s="319"/>
      <c r="Z125" s="319"/>
      <c r="AA125" s="740"/>
      <c r="AB125" s="804"/>
      <c r="AC125" s="319"/>
      <c r="AD125" s="319"/>
      <c r="AE125" s="745">
        <v>5.0000000000000001E-3</v>
      </c>
      <c r="AF125" s="797">
        <v>5.0000000000000001E-3</v>
      </c>
      <c r="AG125" s="797">
        <v>5.0000000000000001E-3</v>
      </c>
      <c r="AH125" s="797">
        <v>5.0000000000000001E-3</v>
      </c>
      <c r="AI125" s="797">
        <v>5.0000000000000001E-3</v>
      </c>
      <c r="AJ125" s="808">
        <v>5.0000000000000001E-3</v>
      </c>
      <c r="AK125" s="797">
        <v>5.0000000000000001E-3</v>
      </c>
      <c r="AL125" s="797">
        <v>5.0000000000000001E-3</v>
      </c>
      <c r="AM125" s="797">
        <v>5.0000000000000001E-3</v>
      </c>
      <c r="AN125" s="808">
        <v>5.0000000000000001E-3</v>
      </c>
      <c r="AO125" s="797">
        <v>5.0000000000000001E-3</v>
      </c>
      <c r="AP125" s="797">
        <v>5.0000000000000001E-3</v>
      </c>
      <c r="AQ125" s="797">
        <v>5.0000000000000001E-3</v>
      </c>
      <c r="AR125" s="808">
        <v>5.0000000000000001E-3</v>
      </c>
      <c r="AS125" s="797">
        <v>5.0000000000000001E-3</v>
      </c>
      <c r="AT125" s="797">
        <v>5.0000000000000001E-3</v>
      </c>
      <c r="AU125" s="797">
        <v>5.0000000000000001E-3</v>
      </c>
      <c r="AV125" s="808">
        <v>5.0000000000000001E-3</v>
      </c>
      <c r="AW125" s="797">
        <v>5.0000000000000001E-3</v>
      </c>
      <c r="AX125" s="797">
        <v>5.0000000000000001E-3</v>
      </c>
      <c r="AY125" s="797">
        <v>5.0000000000000001E-3</v>
      </c>
      <c r="AZ125" s="808">
        <v>5.0000000000000001E-3</v>
      </c>
      <c r="BA125" s="797">
        <v>5.0000000000000001E-3</v>
      </c>
      <c r="BB125" s="797">
        <v>5.0000000000000001E-3</v>
      </c>
      <c r="BC125" s="745">
        <v>5.0000000000000001E-3</v>
      </c>
      <c r="BD125" s="808">
        <v>5.0000000000000001E-3</v>
      </c>
      <c r="BE125" s="797">
        <v>5.0000000000000001E-3</v>
      </c>
      <c r="BF125" s="797">
        <v>5.0000000000000001E-3</v>
      </c>
      <c r="BG125" s="745">
        <v>5.0000000000000001E-3</v>
      </c>
      <c r="BH125" s="808">
        <v>5.0000000000000001E-3</v>
      </c>
      <c r="BI125" s="797">
        <v>5.0000000000000001E-3</v>
      </c>
      <c r="BJ125" s="797">
        <v>5.0000000000000001E-3</v>
      </c>
      <c r="BK125" s="745">
        <v>5.0000000000000001E-3</v>
      </c>
      <c r="BL125" s="808">
        <v>5.0000000000000001E-3</v>
      </c>
      <c r="BM125" s="797">
        <v>5.0000000000000001E-3</v>
      </c>
      <c r="BN125" s="797">
        <v>5.0000000000000001E-3</v>
      </c>
      <c r="BO125" s="745">
        <v>5.0000000000000001E-3</v>
      </c>
      <c r="BP125" s="740"/>
      <c r="BQ125" s="804"/>
      <c r="BR125" s="319"/>
      <c r="BS125" s="319"/>
      <c r="BT125" s="319"/>
      <c r="BU125" s="319"/>
      <c r="BV125" s="319"/>
      <c r="BW125" s="771">
        <f>+AE125</f>
        <v>5.0000000000000001E-3</v>
      </c>
      <c r="BX125" s="809">
        <f>+AI125</f>
        <v>5.0000000000000001E-3</v>
      </c>
      <c r="BY125" s="809">
        <f>+AM125</f>
        <v>5.0000000000000001E-3</v>
      </c>
      <c r="BZ125" s="771">
        <f>+AQ125</f>
        <v>5.0000000000000001E-3</v>
      </c>
      <c r="CA125" s="771">
        <f>AU125</f>
        <v>5.0000000000000001E-3</v>
      </c>
      <c r="CB125" s="771">
        <f>AY125</f>
        <v>5.0000000000000001E-3</v>
      </c>
      <c r="CC125" s="771">
        <f>BC125</f>
        <v>5.0000000000000001E-3</v>
      </c>
      <c r="CD125" s="771">
        <f>BG125</f>
        <v>5.0000000000000001E-3</v>
      </c>
      <c r="CE125" s="771">
        <f>BK125</f>
        <v>5.0000000000000001E-3</v>
      </c>
      <c r="CF125" s="772">
        <f>BO125</f>
        <v>5.0000000000000001E-3</v>
      </c>
      <c r="CG125" s="804"/>
      <c r="CH125" s="721"/>
      <c r="CI125" s="721"/>
      <c r="CJ125" s="721"/>
      <c r="CK125" s="721"/>
      <c r="CL125" s="721"/>
      <c r="CM125" s="721"/>
      <c r="CN125" s="721"/>
      <c r="CO125" s="721"/>
      <c r="CP125" s="721"/>
      <c r="CQ125" s="721"/>
      <c r="CR125" s="721"/>
      <c r="CS125" s="721"/>
      <c r="CT125" s="721"/>
      <c r="CU125" s="721"/>
      <c r="CV125" s="721"/>
      <c r="CW125" s="721"/>
    </row>
    <row r="126" spans="1:101" ht="14.25" customHeight="1">
      <c r="A126" s="731"/>
      <c r="B126" s="732" t="s">
        <v>341</v>
      </c>
      <c r="C126" s="772"/>
      <c r="D126" s="809"/>
      <c r="E126" s="771"/>
      <c r="F126" s="771"/>
      <c r="G126" s="772"/>
      <c r="H126" s="809"/>
      <c r="I126" s="771"/>
      <c r="J126" s="771"/>
      <c r="K126" s="772"/>
      <c r="L126" s="809"/>
      <c r="M126" s="771"/>
      <c r="N126" s="771"/>
      <c r="O126" s="772"/>
      <c r="P126" s="809"/>
      <c r="Q126" s="771"/>
      <c r="R126" s="771"/>
      <c r="S126" s="772"/>
      <c r="T126" s="809"/>
      <c r="U126" s="771"/>
      <c r="V126" s="771"/>
      <c r="W126" s="772"/>
      <c r="X126" s="809"/>
      <c r="Y126" s="771"/>
      <c r="Z126" s="771"/>
      <c r="AA126" s="772"/>
      <c r="AB126" s="809"/>
      <c r="AC126" s="771"/>
      <c r="AD126" s="771"/>
      <c r="AE126" s="745">
        <f>+AE125+1.25%</f>
        <v>1.7500000000000002E-2</v>
      </c>
      <c r="AF126" s="797">
        <f>+AF125+1.25%</f>
        <v>1.7500000000000002E-2</v>
      </c>
      <c r="AG126" s="797">
        <f>+AG125+1.25%</f>
        <v>1.7500000000000002E-2</v>
      </c>
      <c r="AH126" s="797">
        <f t="shared" ref="AH126:AQ126" si="530">+AH125+1.25%</f>
        <v>1.7500000000000002E-2</v>
      </c>
      <c r="AI126" s="797">
        <f>+AI125+1.25%</f>
        <v>1.7500000000000002E-2</v>
      </c>
      <c r="AJ126" s="808">
        <f t="shared" si="530"/>
        <v>1.7500000000000002E-2</v>
      </c>
      <c r="AK126" s="797">
        <f t="shared" si="530"/>
        <v>1.7500000000000002E-2</v>
      </c>
      <c r="AL126" s="797">
        <f t="shared" si="530"/>
        <v>1.7500000000000002E-2</v>
      </c>
      <c r="AM126" s="797">
        <f t="shared" si="530"/>
        <v>1.7500000000000002E-2</v>
      </c>
      <c r="AN126" s="808">
        <f t="shared" si="530"/>
        <v>1.7500000000000002E-2</v>
      </c>
      <c r="AO126" s="797">
        <f t="shared" si="530"/>
        <v>1.7500000000000002E-2</v>
      </c>
      <c r="AP126" s="797">
        <f t="shared" si="530"/>
        <v>1.7500000000000002E-2</v>
      </c>
      <c r="AQ126" s="797">
        <f t="shared" si="530"/>
        <v>1.7500000000000002E-2</v>
      </c>
      <c r="AR126" s="808">
        <f>+AR125+1.25%</f>
        <v>1.7500000000000002E-2</v>
      </c>
      <c r="AS126" s="797">
        <f t="shared" ref="AS126:AX126" si="531">+AS125+1.25%</f>
        <v>1.7500000000000002E-2</v>
      </c>
      <c r="AT126" s="797">
        <f t="shared" si="531"/>
        <v>1.7500000000000002E-2</v>
      </c>
      <c r="AU126" s="797">
        <f t="shared" si="531"/>
        <v>1.7500000000000002E-2</v>
      </c>
      <c r="AV126" s="808">
        <f>+AV125+1.25%</f>
        <v>1.7500000000000002E-2</v>
      </c>
      <c r="AW126" s="797">
        <f t="shared" si="531"/>
        <v>1.7500000000000002E-2</v>
      </c>
      <c r="AX126" s="797">
        <f t="shared" si="531"/>
        <v>1.7500000000000002E-2</v>
      </c>
      <c r="AY126" s="797">
        <f t="shared" ref="AY126" si="532">+AY125+1.25%</f>
        <v>1.7500000000000002E-2</v>
      </c>
      <c r="AZ126" s="808">
        <f>+AZ125+1.25%</f>
        <v>1.7500000000000002E-2</v>
      </c>
      <c r="BA126" s="797">
        <f t="shared" ref="BA126:BG126" si="533">+BA125+1.25%</f>
        <v>1.7500000000000002E-2</v>
      </c>
      <c r="BB126" s="797">
        <f t="shared" si="533"/>
        <v>1.7500000000000002E-2</v>
      </c>
      <c r="BC126" s="745">
        <f t="shared" si="533"/>
        <v>1.7500000000000002E-2</v>
      </c>
      <c r="BD126" s="808">
        <f t="shared" si="533"/>
        <v>1.7500000000000002E-2</v>
      </c>
      <c r="BE126" s="797">
        <f t="shared" si="533"/>
        <v>1.7500000000000002E-2</v>
      </c>
      <c r="BF126" s="797">
        <f t="shared" si="533"/>
        <v>1.7500000000000002E-2</v>
      </c>
      <c r="BG126" s="745">
        <f t="shared" si="533"/>
        <v>1.7500000000000002E-2</v>
      </c>
      <c r="BH126" s="808">
        <f t="shared" ref="BH126:BK126" si="534">+BH125+1.25%</f>
        <v>1.7500000000000002E-2</v>
      </c>
      <c r="BI126" s="797">
        <f t="shared" si="534"/>
        <v>1.7500000000000002E-2</v>
      </c>
      <c r="BJ126" s="797">
        <f t="shared" si="534"/>
        <v>1.7500000000000002E-2</v>
      </c>
      <c r="BK126" s="745">
        <f t="shared" si="534"/>
        <v>1.7500000000000002E-2</v>
      </c>
      <c r="BL126" s="808">
        <f t="shared" ref="BL126:BO126" si="535">+BL125+1.25%</f>
        <v>1.7500000000000002E-2</v>
      </c>
      <c r="BM126" s="797">
        <f t="shared" si="535"/>
        <v>1.7500000000000002E-2</v>
      </c>
      <c r="BN126" s="797">
        <f t="shared" si="535"/>
        <v>1.7500000000000002E-2</v>
      </c>
      <c r="BO126" s="745">
        <f t="shared" si="535"/>
        <v>1.7500000000000002E-2</v>
      </c>
      <c r="BP126" s="772"/>
      <c r="BQ126" s="809"/>
      <c r="BR126" s="771"/>
      <c r="BS126" s="771"/>
      <c r="BT126" s="771"/>
      <c r="BU126" s="771"/>
      <c r="BV126" s="771"/>
      <c r="BW126" s="771">
        <f>+AE126</f>
        <v>1.7500000000000002E-2</v>
      </c>
      <c r="BX126" s="809">
        <f>+AI126</f>
        <v>1.7500000000000002E-2</v>
      </c>
      <c r="BY126" s="809">
        <f>+AM126</f>
        <v>1.7500000000000002E-2</v>
      </c>
      <c r="BZ126" s="771">
        <f>+AQ126</f>
        <v>1.7500000000000002E-2</v>
      </c>
      <c r="CA126" s="771">
        <f>AU126</f>
        <v>1.7500000000000002E-2</v>
      </c>
      <c r="CB126" s="771">
        <f>AY126</f>
        <v>1.7500000000000002E-2</v>
      </c>
      <c r="CC126" s="771">
        <f>BC126</f>
        <v>1.7500000000000002E-2</v>
      </c>
      <c r="CD126" s="771">
        <f>BG126</f>
        <v>1.7500000000000002E-2</v>
      </c>
      <c r="CE126" s="771">
        <f>BK126</f>
        <v>1.7500000000000002E-2</v>
      </c>
      <c r="CF126" s="772">
        <f t="shared" ref="CF126:CF129" si="536">BO126</f>
        <v>1.7500000000000002E-2</v>
      </c>
      <c r="CG126" s="809"/>
      <c r="CH126" s="731"/>
      <c r="CI126" s="731"/>
      <c r="CJ126" s="731"/>
      <c r="CK126" s="731"/>
      <c r="CL126" s="731"/>
      <c r="CM126" s="731"/>
      <c r="CN126" s="731"/>
      <c r="CO126" s="731"/>
      <c r="CP126" s="731"/>
      <c r="CQ126" s="731"/>
      <c r="CR126" s="731"/>
      <c r="CS126" s="731"/>
      <c r="CT126" s="731"/>
      <c r="CU126" s="731"/>
      <c r="CV126" s="731"/>
      <c r="CW126" s="731"/>
    </row>
    <row r="127" spans="1:101" ht="14.25" customHeight="1">
      <c r="A127" s="731"/>
      <c r="B127" s="732" t="s">
        <v>339</v>
      </c>
      <c r="C127" s="772"/>
      <c r="D127" s="809"/>
      <c r="E127" s="771"/>
      <c r="F127" s="771"/>
      <c r="G127" s="772"/>
      <c r="H127" s="809"/>
      <c r="I127" s="771"/>
      <c r="J127" s="771"/>
      <c r="K127" s="772"/>
      <c r="L127" s="809"/>
      <c r="M127" s="771"/>
      <c r="N127" s="771"/>
      <c r="O127" s="772"/>
      <c r="P127" s="809"/>
      <c r="Q127" s="771"/>
      <c r="R127" s="771"/>
      <c r="S127" s="772"/>
      <c r="T127" s="809"/>
      <c r="U127" s="771"/>
      <c r="V127" s="771"/>
      <c r="W127" s="772"/>
      <c r="X127" s="809"/>
      <c r="Y127" s="771"/>
      <c r="Z127" s="771"/>
      <c r="AA127" s="772"/>
      <c r="AB127" s="809"/>
      <c r="AC127" s="771"/>
      <c r="AD127" s="771"/>
      <c r="AE127" s="745">
        <f>+AE125+1.25%</f>
        <v>1.7500000000000002E-2</v>
      </c>
      <c r="AF127" s="797">
        <f>+AF125+1.25%</f>
        <v>1.7500000000000002E-2</v>
      </c>
      <c r="AG127" s="797">
        <f>+AG125+1.25%</f>
        <v>1.7500000000000002E-2</v>
      </c>
      <c r="AH127" s="797">
        <f>+AH125+1.25%</f>
        <v>1.7500000000000002E-2</v>
      </c>
      <c r="AI127" s="797">
        <f t="shared" ref="AI127:AQ127" si="537">+AI125+1.25%</f>
        <v>1.7500000000000002E-2</v>
      </c>
      <c r="AJ127" s="808">
        <f t="shared" si="537"/>
        <v>1.7500000000000002E-2</v>
      </c>
      <c r="AK127" s="797">
        <f t="shared" si="537"/>
        <v>1.7500000000000002E-2</v>
      </c>
      <c r="AL127" s="797">
        <f t="shared" si="537"/>
        <v>1.7500000000000002E-2</v>
      </c>
      <c r="AM127" s="797">
        <f t="shared" si="537"/>
        <v>1.7500000000000002E-2</v>
      </c>
      <c r="AN127" s="808">
        <f t="shared" si="537"/>
        <v>1.7500000000000002E-2</v>
      </c>
      <c r="AO127" s="797">
        <f t="shared" si="537"/>
        <v>1.7500000000000002E-2</v>
      </c>
      <c r="AP127" s="797">
        <f t="shared" si="537"/>
        <v>1.7500000000000002E-2</v>
      </c>
      <c r="AQ127" s="797">
        <f t="shared" si="537"/>
        <v>1.7500000000000002E-2</v>
      </c>
      <c r="AR127" s="808">
        <f>+AR125+1.25%</f>
        <v>1.7500000000000002E-2</v>
      </c>
      <c r="AS127" s="797">
        <f t="shared" ref="AS127:AX127" si="538">+AS125+1.25%</f>
        <v>1.7500000000000002E-2</v>
      </c>
      <c r="AT127" s="797">
        <f t="shared" si="538"/>
        <v>1.7500000000000002E-2</v>
      </c>
      <c r="AU127" s="797">
        <f t="shared" si="538"/>
        <v>1.7500000000000002E-2</v>
      </c>
      <c r="AV127" s="808">
        <f>+AV125+1.25%</f>
        <v>1.7500000000000002E-2</v>
      </c>
      <c r="AW127" s="797">
        <f t="shared" si="538"/>
        <v>1.7500000000000002E-2</v>
      </c>
      <c r="AX127" s="797">
        <f t="shared" si="538"/>
        <v>1.7500000000000002E-2</v>
      </c>
      <c r="AY127" s="797">
        <f t="shared" ref="AY127" si="539">+AY125+1.25%</f>
        <v>1.7500000000000002E-2</v>
      </c>
      <c r="AZ127" s="808">
        <f>+AZ125+1.25%</f>
        <v>1.7500000000000002E-2</v>
      </c>
      <c r="BA127" s="797">
        <f t="shared" ref="BA127:BG127" si="540">+BA125+1.25%</f>
        <v>1.7500000000000002E-2</v>
      </c>
      <c r="BB127" s="797">
        <f t="shared" si="540"/>
        <v>1.7500000000000002E-2</v>
      </c>
      <c r="BC127" s="745">
        <f t="shared" si="540"/>
        <v>1.7500000000000002E-2</v>
      </c>
      <c r="BD127" s="808">
        <f t="shared" si="540"/>
        <v>1.7500000000000002E-2</v>
      </c>
      <c r="BE127" s="797">
        <f t="shared" si="540"/>
        <v>1.7500000000000002E-2</v>
      </c>
      <c r="BF127" s="797">
        <f t="shared" si="540"/>
        <v>1.7500000000000002E-2</v>
      </c>
      <c r="BG127" s="745">
        <f t="shared" si="540"/>
        <v>1.7500000000000002E-2</v>
      </c>
      <c r="BH127" s="808">
        <f t="shared" ref="BH127:BK127" si="541">+BH125+1.25%</f>
        <v>1.7500000000000002E-2</v>
      </c>
      <c r="BI127" s="797">
        <f t="shared" si="541"/>
        <v>1.7500000000000002E-2</v>
      </c>
      <c r="BJ127" s="797">
        <f t="shared" si="541"/>
        <v>1.7500000000000002E-2</v>
      </c>
      <c r="BK127" s="745">
        <f t="shared" si="541"/>
        <v>1.7500000000000002E-2</v>
      </c>
      <c r="BL127" s="808">
        <f t="shared" ref="BL127:BO127" si="542">+BL125+1.25%</f>
        <v>1.7500000000000002E-2</v>
      </c>
      <c r="BM127" s="797">
        <f t="shared" si="542"/>
        <v>1.7500000000000002E-2</v>
      </c>
      <c r="BN127" s="797">
        <f t="shared" si="542"/>
        <v>1.7500000000000002E-2</v>
      </c>
      <c r="BO127" s="745">
        <f t="shared" si="542"/>
        <v>1.7500000000000002E-2</v>
      </c>
      <c r="BP127" s="772"/>
      <c r="BQ127" s="809"/>
      <c r="BR127" s="771"/>
      <c r="BS127" s="771"/>
      <c r="BT127" s="771"/>
      <c r="BU127" s="771"/>
      <c r="BV127" s="771"/>
      <c r="BW127" s="771">
        <f>+AE127</f>
        <v>1.7500000000000002E-2</v>
      </c>
      <c r="BX127" s="809">
        <f>+AI127</f>
        <v>1.7500000000000002E-2</v>
      </c>
      <c r="BY127" s="809">
        <f>+AM127</f>
        <v>1.7500000000000002E-2</v>
      </c>
      <c r="BZ127" s="771">
        <f>+AQ127</f>
        <v>1.7500000000000002E-2</v>
      </c>
      <c r="CA127" s="771">
        <f>AU127</f>
        <v>1.7500000000000002E-2</v>
      </c>
      <c r="CB127" s="771">
        <f>AY127</f>
        <v>1.7500000000000002E-2</v>
      </c>
      <c r="CC127" s="771">
        <f>BC127</f>
        <v>1.7500000000000002E-2</v>
      </c>
      <c r="CD127" s="771">
        <f>BG127</f>
        <v>1.7500000000000002E-2</v>
      </c>
      <c r="CE127" s="771">
        <f>BK127</f>
        <v>1.7500000000000002E-2</v>
      </c>
      <c r="CF127" s="772">
        <f t="shared" si="536"/>
        <v>1.7500000000000002E-2</v>
      </c>
      <c r="CG127" s="809"/>
      <c r="CH127" s="731"/>
      <c r="CI127" s="731"/>
      <c r="CJ127" s="731"/>
      <c r="CK127" s="731"/>
      <c r="CL127" s="731"/>
      <c r="CM127" s="731"/>
      <c r="CN127" s="731"/>
      <c r="CO127" s="731"/>
      <c r="CP127" s="731"/>
      <c r="CQ127" s="731"/>
      <c r="CR127" s="731"/>
      <c r="CS127" s="731"/>
      <c r="CT127" s="731"/>
      <c r="CU127" s="731"/>
      <c r="CV127" s="731"/>
      <c r="CW127" s="731"/>
    </row>
    <row r="128" spans="1:101" ht="14.25" customHeight="1">
      <c r="A128" s="731"/>
      <c r="B128" s="733" t="s">
        <v>342</v>
      </c>
      <c r="C128" s="772"/>
      <c r="D128" s="809"/>
      <c r="E128" s="771"/>
      <c r="F128" s="771"/>
      <c r="G128" s="772"/>
      <c r="H128" s="809"/>
      <c r="I128" s="771"/>
      <c r="J128" s="771"/>
      <c r="K128" s="772"/>
      <c r="L128" s="809"/>
      <c r="M128" s="771"/>
      <c r="N128" s="771"/>
      <c r="O128" s="772"/>
      <c r="P128" s="809"/>
      <c r="Q128" s="771"/>
      <c r="R128" s="771"/>
      <c r="S128" s="772"/>
      <c r="T128" s="809"/>
      <c r="U128" s="771"/>
      <c r="V128" s="771"/>
      <c r="W128" s="772"/>
      <c r="X128" s="809"/>
      <c r="Y128" s="771"/>
      <c r="Z128" s="771"/>
      <c r="AA128" s="772"/>
      <c r="AB128" s="809"/>
      <c r="AC128" s="771"/>
      <c r="AD128" s="771"/>
      <c r="AE128" s="745">
        <v>5.1999999999999998E-2</v>
      </c>
      <c r="AF128" s="771">
        <f>+AE128</f>
        <v>5.1999999999999998E-2</v>
      </c>
      <c r="AG128" s="771">
        <f t="shared" ref="AG128:AS128" si="543">+AF128</f>
        <v>5.1999999999999998E-2</v>
      </c>
      <c r="AH128" s="771">
        <f t="shared" si="543"/>
        <v>5.1999999999999998E-2</v>
      </c>
      <c r="AI128" s="771">
        <f t="shared" si="543"/>
        <v>5.1999999999999998E-2</v>
      </c>
      <c r="AJ128" s="809">
        <f t="shared" si="543"/>
        <v>5.1999999999999998E-2</v>
      </c>
      <c r="AK128" s="771">
        <f t="shared" si="543"/>
        <v>5.1999999999999998E-2</v>
      </c>
      <c r="AL128" s="771">
        <f t="shared" si="543"/>
        <v>5.1999999999999998E-2</v>
      </c>
      <c r="AM128" s="771">
        <f t="shared" si="543"/>
        <v>5.1999999999999998E-2</v>
      </c>
      <c r="AN128" s="809">
        <f t="shared" si="543"/>
        <v>5.1999999999999998E-2</v>
      </c>
      <c r="AO128" s="771">
        <f t="shared" si="543"/>
        <v>5.1999999999999998E-2</v>
      </c>
      <c r="AP128" s="771">
        <f t="shared" si="543"/>
        <v>5.1999999999999998E-2</v>
      </c>
      <c r="AQ128" s="771">
        <f t="shared" si="543"/>
        <v>5.1999999999999998E-2</v>
      </c>
      <c r="AR128" s="809">
        <f t="shared" si="543"/>
        <v>5.1999999999999998E-2</v>
      </c>
      <c r="AS128" s="771">
        <f t="shared" si="543"/>
        <v>5.1999999999999998E-2</v>
      </c>
      <c r="AT128" s="771">
        <f t="shared" ref="AT128:AV129" si="544">+AS128</f>
        <v>5.1999999999999998E-2</v>
      </c>
      <c r="AU128" s="771">
        <f t="shared" si="544"/>
        <v>5.1999999999999998E-2</v>
      </c>
      <c r="AV128" s="809">
        <f t="shared" si="544"/>
        <v>5.1999999999999998E-2</v>
      </c>
      <c r="AW128" s="771">
        <f t="shared" ref="AW128:AZ129" si="545">+AV128</f>
        <v>5.1999999999999998E-2</v>
      </c>
      <c r="AX128" s="771">
        <f t="shared" si="545"/>
        <v>5.1999999999999998E-2</v>
      </c>
      <c r="AY128" s="771">
        <f t="shared" si="545"/>
        <v>5.1999999999999998E-2</v>
      </c>
      <c r="AZ128" s="809">
        <f t="shared" si="545"/>
        <v>5.1999999999999998E-2</v>
      </c>
      <c r="BA128" s="771">
        <f t="shared" ref="BA128:BC129" si="546">+AZ128</f>
        <v>5.1999999999999998E-2</v>
      </c>
      <c r="BB128" s="771">
        <f t="shared" si="546"/>
        <v>5.1999999999999998E-2</v>
      </c>
      <c r="BC128" s="772">
        <f t="shared" si="546"/>
        <v>5.1999999999999998E-2</v>
      </c>
      <c r="BD128" s="809">
        <f t="shared" ref="BD128:BG131" si="547">+BC128</f>
        <v>5.1999999999999998E-2</v>
      </c>
      <c r="BE128" s="771">
        <f t="shared" si="547"/>
        <v>5.1999999999999998E-2</v>
      </c>
      <c r="BF128" s="771">
        <f t="shared" si="547"/>
        <v>5.1999999999999998E-2</v>
      </c>
      <c r="BG128" s="772">
        <f t="shared" si="547"/>
        <v>5.1999999999999998E-2</v>
      </c>
      <c r="BH128" s="809">
        <f t="shared" ref="BH128:BH131" si="548">+BG128</f>
        <v>5.1999999999999998E-2</v>
      </c>
      <c r="BI128" s="771">
        <f t="shared" ref="BI128:BI131" si="549">+BH128</f>
        <v>5.1999999999999998E-2</v>
      </c>
      <c r="BJ128" s="771">
        <f t="shared" ref="BJ128:BJ131" si="550">+BI128</f>
        <v>5.1999999999999998E-2</v>
      </c>
      <c r="BK128" s="772">
        <f t="shared" ref="BK128:BK131" si="551">+BJ128</f>
        <v>5.1999999999999998E-2</v>
      </c>
      <c r="BL128" s="809">
        <f t="shared" ref="BL128:BL131" si="552">+BK128</f>
        <v>5.1999999999999998E-2</v>
      </c>
      <c r="BM128" s="771">
        <f t="shared" ref="BM128:BM131" si="553">+BL128</f>
        <v>5.1999999999999998E-2</v>
      </c>
      <c r="BN128" s="771">
        <f t="shared" ref="BN128:BN131" si="554">+BM128</f>
        <v>5.1999999999999998E-2</v>
      </c>
      <c r="BO128" s="772">
        <f t="shared" ref="BO128:BO131" si="555">+BN128</f>
        <v>5.1999999999999998E-2</v>
      </c>
      <c r="BP128" s="772"/>
      <c r="BQ128" s="809"/>
      <c r="BR128" s="771"/>
      <c r="BS128" s="771"/>
      <c r="BT128" s="771"/>
      <c r="BU128" s="771"/>
      <c r="BV128" s="771"/>
      <c r="BW128" s="771">
        <f>+AE128</f>
        <v>5.1999999999999998E-2</v>
      </c>
      <c r="BX128" s="809">
        <f>+AI128</f>
        <v>5.1999999999999998E-2</v>
      </c>
      <c r="BY128" s="809">
        <f>+AM128</f>
        <v>5.1999999999999998E-2</v>
      </c>
      <c r="BZ128" s="771">
        <f>+AQ128</f>
        <v>5.1999999999999998E-2</v>
      </c>
      <c r="CA128" s="771">
        <f>AU128</f>
        <v>5.1999999999999998E-2</v>
      </c>
      <c r="CB128" s="771">
        <f>AY128</f>
        <v>5.1999999999999998E-2</v>
      </c>
      <c r="CC128" s="771">
        <f>BC128</f>
        <v>5.1999999999999998E-2</v>
      </c>
      <c r="CD128" s="771">
        <f>BG128</f>
        <v>5.1999999999999998E-2</v>
      </c>
      <c r="CE128" s="771">
        <f>BK128</f>
        <v>5.1999999999999998E-2</v>
      </c>
      <c r="CF128" s="772">
        <f t="shared" si="536"/>
        <v>5.1999999999999998E-2</v>
      </c>
      <c r="CG128" s="809"/>
      <c r="CH128" s="731"/>
      <c r="CI128" s="731"/>
      <c r="CJ128" s="731"/>
      <c r="CK128" s="731"/>
      <c r="CL128" s="731"/>
      <c r="CM128" s="731"/>
      <c r="CN128" s="731"/>
      <c r="CO128" s="731"/>
      <c r="CP128" s="731"/>
      <c r="CQ128" s="731"/>
      <c r="CR128" s="731"/>
      <c r="CS128" s="731"/>
      <c r="CT128" s="731"/>
      <c r="CU128" s="731"/>
      <c r="CV128" s="731"/>
      <c r="CW128" s="731"/>
    </row>
    <row r="129" spans="1:101" ht="14.25" customHeight="1">
      <c r="A129" s="731"/>
      <c r="B129" s="733" t="s">
        <v>340</v>
      </c>
      <c r="C129" s="772"/>
      <c r="D129" s="809"/>
      <c r="E129" s="771"/>
      <c r="F129" s="771"/>
      <c r="G129" s="772"/>
      <c r="H129" s="809"/>
      <c r="I129" s="771"/>
      <c r="J129" s="771"/>
      <c r="K129" s="772"/>
      <c r="L129" s="809"/>
      <c r="M129" s="771"/>
      <c r="N129" s="771"/>
      <c r="O129" s="772"/>
      <c r="P129" s="809"/>
      <c r="Q129" s="771"/>
      <c r="R129" s="771"/>
      <c r="S129" s="772"/>
      <c r="T129" s="809"/>
      <c r="U129" s="771"/>
      <c r="V129" s="771"/>
      <c r="W129" s="772"/>
      <c r="X129" s="809"/>
      <c r="Y129" s="771"/>
      <c r="Z129" s="771"/>
      <c r="AA129" s="772"/>
      <c r="AB129" s="809"/>
      <c r="AC129" s="771"/>
      <c r="AD129" s="771"/>
      <c r="AE129" s="745">
        <v>3.2000000000000001E-2</v>
      </c>
      <c r="AF129" s="771">
        <f>+AE129</f>
        <v>3.2000000000000001E-2</v>
      </c>
      <c r="AG129" s="771">
        <f t="shared" ref="AG129:AS129" si="556">+AF129</f>
        <v>3.2000000000000001E-2</v>
      </c>
      <c r="AH129" s="771">
        <f t="shared" si="556"/>
        <v>3.2000000000000001E-2</v>
      </c>
      <c r="AI129" s="771">
        <f t="shared" si="556"/>
        <v>3.2000000000000001E-2</v>
      </c>
      <c r="AJ129" s="809">
        <f t="shared" si="556"/>
        <v>3.2000000000000001E-2</v>
      </c>
      <c r="AK129" s="771">
        <f t="shared" si="556"/>
        <v>3.2000000000000001E-2</v>
      </c>
      <c r="AL129" s="771">
        <f t="shared" si="556"/>
        <v>3.2000000000000001E-2</v>
      </c>
      <c r="AM129" s="771">
        <f t="shared" si="556"/>
        <v>3.2000000000000001E-2</v>
      </c>
      <c r="AN129" s="809">
        <f t="shared" si="556"/>
        <v>3.2000000000000001E-2</v>
      </c>
      <c r="AO129" s="771">
        <f t="shared" si="556"/>
        <v>3.2000000000000001E-2</v>
      </c>
      <c r="AP129" s="771">
        <f t="shared" si="556"/>
        <v>3.2000000000000001E-2</v>
      </c>
      <c r="AQ129" s="771">
        <f t="shared" si="556"/>
        <v>3.2000000000000001E-2</v>
      </c>
      <c r="AR129" s="809">
        <f t="shared" si="556"/>
        <v>3.2000000000000001E-2</v>
      </c>
      <c r="AS129" s="771">
        <f t="shared" si="556"/>
        <v>3.2000000000000001E-2</v>
      </c>
      <c r="AT129" s="771">
        <f t="shared" si="544"/>
        <v>3.2000000000000001E-2</v>
      </c>
      <c r="AU129" s="771">
        <f t="shared" si="544"/>
        <v>3.2000000000000001E-2</v>
      </c>
      <c r="AV129" s="809">
        <f t="shared" si="544"/>
        <v>3.2000000000000001E-2</v>
      </c>
      <c r="AW129" s="771">
        <f t="shared" si="545"/>
        <v>3.2000000000000001E-2</v>
      </c>
      <c r="AX129" s="771">
        <f t="shared" si="545"/>
        <v>3.2000000000000001E-2</v>
      </c>
      <c r="AY129" s="771">
        <f t="shared" si="545"/>
        <v>3.2000000000000001E-2</v>
      </c>
      <c r="AZ129" s="809">
        <f t="shared" si="545"/>
        <v>3.2000000000000001E-2</v>
      </c>
      <c r="BA129" s="771">
        <f t="shared" si="546"/>
        <v>3.2000000000000001E-2</v>
      </c>
      <c r="BB129" s="771">
        <f t="shared" si="546"/>
        <v>3.2000000000000001E-2</v>
      </c>
      <c r="BC129" s="772">
        <f t="shared" si="546"/>
        <v>3.2000000000000001E-2</v>
      </c>
      <c r="BD129" s="809">
        <f t="shared" si="547"/>
        <v>3.2000000000000001E-2</v>
      </c>
      <c r="BE129" s="771">
        <f t="shared" si="547"/>
        <v>3.2000000000000001E-2</v>
      </c>
      <c r="BF129" s="771">
        <f t="shared" si="547"/>
        <v>3.2000000000000001E-2</v>
      </c>
      <c r="BG129" s="772">
        <f t="shared" si="547"/>
        <v>3.2000000000000001E-2</v>
      </c>
      <c r="BH129" s="809">
        <f t="shared" si="548"/>
        <v>3.2000000000000001E-2</v>
      </c>
      <c r="BI129" s="771">
        <f t="shared" si="549"/>
        <v>3.2000000000000001E-2</v>
      </c>
      <c r="BJ129" s="771">
        <f t="shared" si="550"/>
        <v>3.2000000000000001E-2</v>
      </c>
      <c r="BK129" s="772">
        <f t="shared" si="551"/>
        <v>3.2000000000000001E-2</v>
      </c>
      <c r="BL129" s="809">
        <f t="shared" si="552"/>
        <v>3.2000000000000001E-2</v>
      </c>
      <c r="BM129" s="771">
        <f t="shared" si="553"/>
        <v>3.2000000000000001E-2</v>
      </c>
      <c r="BN129" s="771">
        <f t="shared" si="554"/>
        <v>3.2000000000000001E-2</v>
      </c>
      <c r="BO129" s="772">
        <f t="shared" si="555"/>
        <v>3.2000000000000001E-2</v>
      </c>
      <c r="BP129" s="772"/>
      <c r="BQ129" s="809"/>
      <c r="BR129" s="771"/>
      <c r="BS129" s="771"/>
      <c r="BT129" s="771"/>
      <c r="BU129" s="771"/>
      <c r="BV129" s="771"/>
      <c r="BW129" s="771">
        <f>+AE129</f>
        <v>3.2000000000000001E-2</v>
      </c>
      <c r="BX129" s="809">
        <f>+AI129</f>
        <v>3.2000000000000001E-2</v>
      </c>
      <c r="BY129" s="809">
        <f>+AM129</f>
        <v>3.2000000000000001E-2</v>
      </c>
      <c r="BZ129" s="771">
        <f>+AQ129</f>
        <v>3.2000000000000001E-2</v>
      </c>
      <c r="CA129" s="771">
        <f>AU129</f>
        <v>3.2000000000000001E-2</v>
      </c>
      <c r="CB129" s="771">
        <f>AY129</f>
        <v>3.2000000000000001E-2</v>
      </c>
      <c r="CC129" s="771">
        <f>BC129</f>
        <v>3.2000000000000001E-2</v>
      </c>
      <c r="CD129" s="771">
        <f>BG129</f>
        <v>3.2000000000000001E-2</v>
      </c>
      <c r="CE129" s="771">
        <f>BK129</f>
        <v>3.2000000000000001E-2</v>
      </c>
      <c r="CF129" s="772">
        <f t="shared" si="536"/>
        <v>3.2000000000000001E-2</v>
      </c>
      <c r="CG129" s="809"/>
      <c r="CH129" s="731"/>
      <c r="CI129" s="731"/>
      <c r="CJ129" s="731"/>
      <c r="CK129" s="731"/>
      <c r="CL129" s="731"/>
      <c r="CM129" s="731"/>
      <c r="CN129" s="731"/>
      <c r="CO129" s="731"/>
      <c r="CP129" s="731"/>
      <c r="CQ129" s="731"/>
      <c r="CR129" s="731"/>
      <c r="CS129" s="731"/>
      <c r="CT129" s="731"/>
      <c r="CU129" s="731"/>
      <c r="CV129" s="731"/>
      <c r="CW129" s="731"/>
    </row>
    <row r="130" spans="1:101" ht="14.25" customHeight="1">
      <c r="A130" s="731"/>
      <c r="B130" s="715" t="s">
        <v>553</v>
      </c>
      <c r="C130" s="772"/>
      <c r="D130" s="809"/>
      <c r="E130" s="771"/>
      <c r="F130" s="771"/>
      <c r="G130" s="772"/>
      <c r="H130" s="809"/>
      <c r="I130" s="771"/>
      <c r="J130" s="771"/>
      <c r="K130" s="772"/>
      <c r="L130" s="809"/>
      <c r="M130" s="771"/>
      <c r="N130" s="771"/>
      <c r="O130" s="772"/>
      <c r="P130" s="809"/>
      <c r="Q130" s="771"/>
      <c r="R130" s="771"/>
      <c r="S130" s="772"/>
      <c r="T130" s="809"/>
      <c r="U130" s="771"/>
      <c r="V130" s="771"/>
      <c r="W130" s="772"/>
      <c r="X130" s="809"/>
      <c r="Y130" s="771"/>
      <c r="Z130" s="771"/>
      <c r="AA130" s="772"/>
      <c r="AB130" s="809"/>
      <c r="AC130" s="771"/>
      <c r="AD130" s="771"/>
      <c r="AE130" s="745"/>
      <c r="AF130" s="771"/>
      <c r="AG130" s="771"/>
      <c r="AH130" s="771"/>
      <c r="AI130" s="771"/>
      <c r="AJ130" s="809"/>
      <c r="AK130" s="771"/>
      <c r="AL130" s="771"/>
      <c r="AM130" s="771"/>
      <c r="AN130" s="809"/>
      <c r="AO130" s="771"/>
      <c r="AP130" s="771"/>
      <c r="AQ130" s="771"/>
      <c r="AR130" s="809"/>
      <c r="AS130" s="771"/>
      <c r="AT130" s="771"/>
      <c r="AU130" s="771"/>
      <c r="AV130" s="809"/>
      <c r="AW130" s="771"/>
      <c r="AX130" s="771">
        <v>3.9E-2</v>
      </c>
      <c r="AY130" s="771"/>
      <c r="AZ130" s="809"/>
      <c r="BA130" s="771">
        <f t="shared" ref="BA130:BC131" si="557">+AZ130</f>
        <v>0</v>
      </c>
      <c r="BB130" s="771">
        <f t="shared" si="557"/>
        <v>0</v>
      </c>
      <c r="BC130" s="772">
        <f t="shared" si="557"/>
        <v>0</v>
      </c>
      <c r="BD130" s="809">
        <f t="shared" si="547"/>
        <v>0</v>
      </c>
      <c r="BE130" s="771">
        <f t="shared" si="547"/>
        <v>0</v>
      </c>
      <c r="BF130" s="771">
        <f t="shared" si="547"/>
        <v>0</v>
      </c>
      <c r="BG130" s="772">
        <f t="shared" si="547"/>
        <v>0</v>
      </c>
      <c r="BH130" s="809">
        <f t="shared" si="548"/>
        <v>0</v>
      </c>
      <c r="BI130" s="771">
        <f t="shared" si="549"/>
        <v>0</v>
      </c>
      <c r="BJ130" s="771">
        <f t="shared" si="550"/>
        <v>0</v>
      </c>
      <c r="BK130" s="772">
        <f t="shared" si="551"/>
        <v>0</v>
      </c>
      <c r="BL130" s="809">
        <f t="shared" si="552"/>
        <v>0</v>
      </c>
      <c r="BM130" s="771">
        <f t="shared" si="553"/>
        <v>0</v>
      </c>
      <c r="BN130" s="771">
        <f t="shared" si="554"/>
        <v>0</v>
      </c>
      <c r="BO130" s="772">
        <f t="shared" si="555"/>
        <v>0</v>
      </c>
      <c r="BP130" s="772"/>
      <c r="BQ130" s="809"/>
      <c r="BR130" s="771"/>
      <c r="BS130" s="771"/>
      <c r="BT130" s="771"/>
      <c r="BU130" s="771"/>
      <c r="BV130" s="771"/>
      <c r="BW130" s="771"/>
      <c r="BX130" s="809"/>
      <c r="BY130" s="809"/>
      <c r="BZ130" s="771"/>
      <c r="CA130" s="771"/>
      <c r="CB130" s="771"/>
      <c r="CC130" s="771"/>
      <c r="CD130" s="771"/>
      <c r="CE130" s="771"/>
      <c r="CF130" s="772"/>
      <c r="CG130" s="809"/>
      <c r="CH130" s="731"/>
      <c r="CI130" s="731"/>
      <c r="CJ130" s="731"/>
      <c r="CK130" s="731"/>
      <c r="CL130" s="731"/>
      <c r="CM130" s="731"/>
      <c r="CN130" s="731"/>
      <c r="CO130" s="731"/>
      <c r="CP130" s="731"/>
      <c r="CQ130" s="731"/>
      <c r="CR130" s="731"/>
      <c r="CS130" s="731"/>
      <c r="CT130" s="731"/>
      <c r="CU130" s="731"/>
      <c r="CV130" s="731"/>
      <c r="CW130" s="731"/>
    </row>
    <row r="131" spans="1:101" ht="14.25" customHeight="1">
      <c r="A131" s="731"/>
      <c r="B131" s="715" t="s">
        <v>554</v>
      </c>
      <c r="C131" s="772"/>
      <c r="D131" s="809"/>
      <c r="E131" s="771"/>
      <c r="F131" s="771"/>
      <c r="G131" s="772"/>
      <c r="H131" s="809"/>
      <c r="I131" s="771"/>
      <c r="J131" s="771"/>
      <c r="K131" s="772"/>
      <c r="L131" s="809"/>
      <c r="M131" s="771"/>
      <c r="N131" s="771"/>
      <c r="O131" s="772"/>
      <c r="P131" s="809"/>
      <c r="Q131" s="771"/>
      <c r="R131" s="771"/>
      <c r="S131" s="772"/>
      <c r="T131" s="809"/>
      <c r="U131" s="771"/>
      <c r="V131" s="771"/>
      <c r="W131" s="772"/>
      <c r="X131" s="809"/>
      <c r="Y131" s="771"/>
      <c r="Z131" s="771"/>
      <c r="AA131" s="772"/>
      <c r="AB131" s="809"/>
      <c r="AC131" s="771"/>
      <c r="AD131" s="771"/>
      <c r="AE131" s="745"/>
      <c r="AF131" s="771"/>
      <c r="AG131" s="771"/>
      <c r="AH131" s="771"/>
      <c r="AI131" s="771"/>
      <c r="AJ131" s="809"/>
      <c r="AK131" s="771"/>
      <c r="AL131" s="771"/>
      <c r="AM131" s="771"/>
      <c r="AN131" s="809"/>
      <c r="AO131" s="771"/>
      <c r="AP131" s="771"/>
      <c r="AQ131" s="771"/>
      <c r="AR131" s="809"/>
      <c r="AS131" s="771"/>
      <c r="AT131" s="771"/>
      <c r="AU131" s="771"/>
      <c r="AV131" s="809"/>
      <c r="AW131" s="771"/>
      <c r="AX131" s="771">
        <v>5.3999999999999999E-2</v>
      </c>
      <c r="AY131" s="771"/>
      <c r="AZ131" s="809"/>
      <c r="BA131" s="771">
        <f t="shared" si="557"/>
        <v>0</v>
      </c>
      <c r="BB131" s="771">
        <f t="shared" si="557"/>
        <v>0</v>
      </c>
      <c r="BC131" s="772">
        <f t="shared" si="557"/>
        <v>0</v>
      </c>
      <c r="BD131" s="809">
        <f t="shared" si="547"/>
        <v>0</v>
      </c>
      <c r="BE131" s="771">
        <f t="shared" si="547"/>
        <v>0</v>
      </c>
      <c r="BF131" s="771">
        <f t="shared" si="547"/>
        <v>0</v>
      </c>
      <c r="BG131" s="772">
        <f t="shared" si="547"/>
        <v>0</v>
      </c>
      <c r="BH131" s="809">
        <f t="shared" si="548"/>
        <v>0</v>
      </c>
      <c r="BI131" s="771">
        <f t="shared" si="549"/>
        <v>0</v>
      </c>
      <c r="BJ131" s="771">
        <f t="shared" si="550"/>
        <v>0</v>
      </c>
      <c r="BK131" s="772">
        <f t="shared" si="551"/>
        <v>0</v>
      </c>
      <c r="BL131" s="809">
        <f t="shared" si="552"/>
        <v>0</v>
      </c>
      <c r="BM131" s="771">
        <f t="shared" si="553"/>
        <v>0</v>
      </c>
      <c r="BN131" s="771">
        <f t="shared" si="554"/>
        <v>0</v>
      </c>
      <c r="BO131" s="772">
        <f t="shared" si="555"/>
        <v>0</v>
      </c>
      <c r="BP131" s="772"/>
      <c r="BQ131" s="809"/>
      <c r="BR131" s="771"/>
      <c r="BS131" s="771"/>
      <c r="BT131" s="771"/>
      <c r="BU131" s="771"/>
      <c r="BV131" s="771"/>
      <c r="BW131" s="771"/>
      <c r="BX131" s="809"/>
      <c r="BY131" s="809"/>
      <c r="BZ131" s="771"/>
      <c r="CA131" s="771"/>
      <c r="CB131" s="771"/>
      <c r="CC131" s="771"/>
      <c r="CD131" s="771"/>
      <c r="CE131" s="771"/>
      <c r="CF131" s="772"/>
      <c r="CG131" s="809"/>
      <c r="CH131" s="731"/>
      <c r="CI131" s="731"/>
      <c r="CJ131" s="731"/>
      <c r="CK131" s="731"/>
      <c r="CL131" s="731"/>
      <c r="CM131" s="731"/>
      <c r="CN131" s="731"/>
      <c r="CO131" s="731"/>
      <c r="CP131" s="731"/>
      <c r="CQ131" s="731"/>
      <c r="CR131" s="731"/>
      <c r="CS131" s="731"/>
      <c r="CT131" s="731"/>
      <c r="CU131" s="731"/>
      <c r="CV131" s="731"/>
      <c r="CW131" s="731"/>
    </row>
    <row r="132" spans="1:101" ht="14.25" customHeight="1">
      <c r="A132" s="731"/>
      <c r="B132" s="733" t="s">
        <v>515</v>
      </c>
      <c r="C132" s="772"/>
      <c r="D132" s="809"/>
      <c r="E132" s="771"/>
      <c r="F132" s="771"/>
      <c r="G132" s="772"/>
      <c r="H132" s="809"/>
      <c r="I132" s="771"/>
      <c r="J132" s="771"/>
      <c r="K132" s="772"/>
      <c r="L132" s="809"/>
      <c r="M132" s="771"/>
      <c r="N132" s="771"/>
      <c r="O132" s="772"/>
      <c r="P132" s="809"/>
      <c r="Q132" s="771"/>
      <c r="R132" s="771"/>
      <c r="S132" s="772"/>
      <c r="T132" s="809"/>
      <c r="U132" s="771"/>
      <c r="V132" s="771"/>
      <c r="W132" s="772"/>
      <c r="X132" s="809"/>
      <c r="Y132" s="771"/>
      <c r="Z132" s="771"/>
      <c r="AA132" s="772"/>
      <c r="AB132" s="809"/>
      <c r="AC132" s="771"/>
      <c r="AD132" s="771"/>
      <c r="AE132" s="745"/>
      <c r="AF132" s="771"/>
      <c r="AG132" s="771"/>
      <c r="AH132" s="771"/>
      <c r="AI132" s="771"/>
      <c r="AJ132" s="809"/>
      <c r="AK132" s="771"/>
      <c r="AL132" s="771">
        <v>2.8750000000000001E-2</v>
      </c>
      <c r="AM132" s="771">
        <f>AL132</f>
        <v>2.8750000000000001E-2</v>
      </c>
      <c r="AN132" s="809">
        <f t="shared" ref="AN132:AZ132" si="558">AM132</f>
        <v>2.8750000000000001E-2</v>
      </c>
      <c r="AO132" s="771">
        <f t="shared" si="558"/>
        <v>2.8750000000000001E-2</v>
      </c>
      <c r="AP132" s="771">
        <f t="shared" si="558"/>
        <v>2.8750000000000001E-2</v>
      </c>
      <c r="AQ132" s="771">
        <f t="shared" si="558"/>
        <v>2.8750000000000001E-2</v>
      </c>
      <c r="AR132" s="809">
        <f t="shared" si="558"/>
        <v>2.8750000000000001E-2</v>
      </c>
      <c r="AS132" s="771">
        <f t="shared" si="558"/>
        <v>2.8750000000000001E-2</v>
      </c>
      <c r="AT132" s="771">
        <f t="shared" si="558"/>
        <v>2.8750000000000001E-2</v>
      </c>
      <c r="AU132" s="771">
        <f t="shared" si="558"/>
        <v>2.8750000000000001E-2</v>
      </c>
      <c r="AV132" s="809">
        <f t="shared" si="558"/>
        <v>2.8750000000000001E-2</v>
      </c>
      <c r="AW132" s="771">
        <f t="shared" si="558"/>
        <v>2.8750000000000001E-2</v>
      </c>
      <c r="AX132" s="771">
        <f t="shared" si="558"/>
        <v>2.8750000000000001E-2</v>
      </c>
      <c r="AY132" s="771">
        <f t="shared" si="558"/>
        <v>2.8750000000000001E-2</v>
      </c>
      <c r="AZ132" s="809">
        <f t="shared" si="558"/>
        <v>2.8750000000000001E-2</v>
      </c>
      <c r="BA132" s="771">
        <f t="shared" ref="BA132:BG132" si="559">AZ132</f>
        <v>2.8750000000000001E-2</v>
      </c>
      <c r="BB132" s="771">
        <f t="shared" si="559"/>
        <v>2.8750000000000001E-2</v>
      </c>
      <c r="BC132" s="772">
        <f t="shared" si="559"/>
        <v>2.8750000000000001E-2</v>
      </c>
      <c r="BD132" s="809">
        <f t="shared" si="559"/>
        <v>2.8750000000000001E-2</v>
      </c>
      <c r="BE132" s="771">
        <f t="shared" si="559"/>
        <v>2.8750000000000001E-2</v>
      </c>
      <c r="BF132" s="771">
        <f t="shared" si="559"/>
        <v>2.8750000000000001E-2</v>
      </c>
      <c r="BG132" s="772">
        <f t="shared" si="559"/>
        <v>2.8750000000000001E-2</v>
      </c>
      <c r="BH132" s="809">
        <f t="shared" ref="BH132" si="560">BG132</f>
        <v>2.8750000000000001E-2</v>
      </c>
      <c r="BI132" s="771">
        <f t="shared" ref="BI132" si="561">BH132</f>
        <v>2.8750000000000001E-2</v>
      </c>
      <c r="BJ132" s="771">
        <f t="shared" ref="BJ132" si="562">BI132</f>
        <v>2.8750000000000001E-2</v>
      </c>
      <c r="BK132" s="772">
        <f t="shared" ref="BK132" si="563">BJ132</f>
        <v>2.8750000000000001E-2</v>
      </c>
      <c r="BL132" s="809">
        <f t="shared" ref="BL132" si="564">BK132</f>
        <v>2.8750000000000001E-2</v>
      </c>
      <c r="BM132" s="771">
        <f t="shared" ref="BM132" si="565">BL132</f>
        <v>2.8750000000000001E-2</v>
      </c>
      <c r="BN132" s="771">
        <f t="shared" ref="BN132" si="566">BM132</f>
        <v>2.8750000000000001E-2</v>
      </c>
      <c r="BO132" s="772">
        <f t="shared" ref="BO132" si="567">BN132</f>
        <v>2.8750000000000001E-2</v>
      </c>
      <c r="BP132" s="772"/>
      <c r="BQ132" s="809"/>
      <c r="BR132" s="771"/>
      <c r="BS132" s="771"/>
      <c r="BT132" s="771"/>
      <c r="BU132" s="771"/>
      <c r="BV132" s="771"/>
      <c r="BW132" s="771"/>
      <c r="BX132" s="809"/>
      <c r="BY132" s="809"/>
      <c r="BZ132" s="771"/>
      <c r="CA132" s="771"/>
      <c r="CB132" s="771"/>
      <c r="CC132" s="771"/>
      <c r="CD132" s="771"/>
      <c r="CE132" s="771"/>
      <c r="CF132" s="772"/>
      <c r="CG132" s="809"/>
      <c r="CH132" s="731"/>
      <c r="CI132" s="731"/>
      <c r="CJ132" s="731"/>
      <c r="CK132" s="731"/>
      <c r="CL132" s="731"/>
      <c r="CM132" s="731"/>
      <c r="CN132" s="731"/>
      <c r="CO132" s="731"/>
      <c r="CP132" s="731"/>
      <c r="CQ132" s="731"/>
      <c r="CR132" s="731"/>
      <c r="CS132" s="731"/>
      <c r="CT132" s="731"/>
      <c r="CU132" s="731"/>
      <c r="CV132" s="731"/>
      <c r="CW132" s="731"/>
    </row>
    <row r="133" spans="1:101" ht="14.25" customHeight="1">
      <c r="A133" s="731"/>
      <c r="B133" s="736" t="s">
        <v>347</v>
      </c>
      <c r="C133" s="772"/>
      <c r="D133" s="809"/>
      <c r="E133" s="771"/>
      <c r="F133" s="771"/>
      <c r="G133" s="772"/>
      <c r="H133" s="809"/>
      <c r="I133" s="771"/>
      <c r="J133" s="771"/>
      <c r="K133" s="772"/>
      <c r="L133" s="809"/>
      <c r="M133" s="771"/>
      <c r="N133" s="771"/>
      <c r="O133" s="772"/>
      <c r="P133" s="809"/>
      <c r="Q133" s="771"/>
      <c r="R133" s="771"/>
      <c r="S133" s="772"/>
      <c r="T133" s="809"/>
      <c r="U133" s="771"/>
      <c r="V133" s="771"/>
      <c r="W133" s="772"/>
      <c r="X133" s="809"/>
      <c r="Y133" s="771"/>
      <c r="Z133" s="771"/>
      <c r="AA133" s="772"/>
      <c r="AB133" s="809"/>
      <c r="AC133" s="771"/>
      <c r="AD133" s="771"/>
      <c r="AE133" s="745">
        <f>+AE125+2.05%</f>
        <v>2.5499999999999998E-2</v>
      </c>
      <c r="AF133" s="797">
        <f t="shared" ref="AF133:AQ133" si="568">+AF125+2.05%</f>
        <v>2.5499999999999998E-2</v>
      </c>
      <c r="AG133" s="797">
        <f t="shared" si="568"/>
        <v>2.5499999999999998E-2</v>
      </c>
      <c r="AH133" s="797">
        <f t="shared" si="568"/>
        <v>2.5499999999999998E-2</v>
      </c>
      <c r="AI133" s="797">
        <f t="shared" si="568"/>
        <v>2.5499999999999998E-2</v>
      </c>
      <c r="AJ133" s="808">
        <f t="shared" si="568"/>
        <v>2.5499999999999998E-2</v>
      </c>
      <c r="AK133" s="797">
        <f t="shared" si="568"/>
        <v>2.5499999999999998E-2</v>
      </c>
      <c r="AL133" s="797">
        <f t="shared" si="568"/>
        <v>2.5499999999999998E-2</v>
      </c>
      <c r="AM133" s="797">
        <f t="shared" si="568"/>
        <v>2.5499999999999998E-2</v>
      </c>
      <c r="AN133" s="808">
        <f t="shared" si="568"/>
        <v>2.5499999999999998E-2</v>
      </c>
      <c r="AO133" s="797">
        <f t="shared" si="568"/>
        <v>2.5499999999999998E-2</v>
      </c>
      <c r="AP133" s="797">
        <f t="shared" si="568"/>
        <v>2.5499999999999998E-2</v>
      </c>
      <c r="AQ133" s="797">
        <f t="shared" si="568"/>
        <v>2.5499999999999998E-2</v>
      </c>
      <c r="AR133" s="808">
        <f>+AR125+2.05%</f>
        <v>2.5499999999999998E-2</v>
      </c>
      <c r="AS133" s="797">
        <f t="shared" ref="AS133:AX133" si="569">+AS125+2.05%</f>
        <v>2.5499999999999998E-2</v>
      </c>
      <c r="AT133" s="797">
        <f t="shared" si="569"/>
        <v>2.5499999999999998E-2</v>
      </c>
      <c r="AU133" s="797">
        <f t="shared" si="569"/>
        <v>2.5499999999999998E-2</v>
      </c>
      <c r="AV133" s="808">
        <f>+AV125+2.05%</f>
        <v>2.5499999999999998E-2</v>
      </c>
      <c r="AW133" s="797">
        <f t="shared" si="569"/>
        <v>2.5499999999999998E-2</v>
      </c>
      <c r="AX133" s="797">
        <f t="shared" si="569"/>
        <v>2.5499999999999998E-2</v>
      </c>
      <c r="AY133" s="797">
        <f t="shared" ref="AY133" si="570">+AY125+2.05%</f>
        <v>2.5499999999999998E-2</v>
      </c>
      <c r="AZ133" s="808">
        <f>+AZ125+2.05%</f>
        <v>2.5499999999999998E-2</v>
      </c>
      <c r="BA133" s="797">
        <f t="shared" ref="BA133:BG133" si="571">+BA125+2.05%</f>
        <v>2.5499999999999998E-2</v>
      </c>
      <c r="BB133" s="797">
        <f t="shared" si="571"/>
        <v>2.5499999999999998E-2</v>
      </c>
      <c r="BC133" s="745">
        <f t="shared" si="571"/>
        <v>2.5499999999999998E-2</v>
      </c>
      <c r="BD133" s="808">
        <f t="shared" si="571"/>
        <v>2.5499999999999998E-2</v>
      </c>
      <c r="BE133" s="797">
        <f t="shared" si="571"/>
        <v>2.5499999999999998E-2</v>
      </c>
      <c r="BF133" s="797">
        <f t="shared" si="571"/>
        <v>2.5499999999999998E-2</v>
      </c>
      <c r="BG133" s="745">
        <f t="shared" si="571"/>
        <v>2.5499999999999998E-2</v>
      </c>
      <c r="BH133" s="808">
        <f t="shared" ref="BH133:BK133" si="572">+BH125+2.05%</f>
        <v>2.5499999999999998E-2</v>
      </c>
      <c r="BI133" s="797">
        <f t="shared" si="572"/>
        <v>2.5499999999999998E-2</v>
      </c>
      <c r="BJ133" s="797">
        <f t="shared" si="572"/>
        <v>2.5499999999999998E-2</v>
      </c>
      <c r="BK133" s="745">
        <f t="shared" si="572"/>
        <v>2.5499999999999998E-2</v>
      </c>
      <c r="BL133" s="808">
        <f t="shared" ref="BL133:BO133" si="573">+BL125+2.05%</f>
        <v>2.5499999999999998E-2</v>
      </c>
      <c r="BM133" s="797">
        <f t="shared" si="573"/>
        <v>2.5499999999999998E-2</v>
      </c>
      <c r="BN133" s="797">
        <f t="shared" si="573"/>
        <v>2.5499999999999998E-2</v>
      </c>
      <c r="BO133" s="745">
        <f t="shared" si="573"/>
        <v>2.5499999999999998E-2</v>
      </c>
      <c r="BP133" s="772"/>
      <c r="BQ133" s="809"/>
      <c r="BR133" s="771"/>
      <c r="BS133" s="771"/>
      <c r="BT133" s="771"/>
      <c r="BU133" s="771"/>
      <c r="BV133" s="771"/>
      <c r="BW133" s="771">
        <f>+AE133</f>
        <v>2.5499999999999998E-2</v>
      </c>
      <c r="BX133" s="809">
        <f>+AI133</f>
        <v>2.5499999999999998E-2</v>
      </c>
      <c r="BY133" s="809">
        <f>+AM133</f>
        <v>2.5499999999999998E-2</v>
      </c>
      <c r="BZ133" s="771">
        <f>+AQ133</f>
        <v>2.5499999999999998E-2</v>
      </c>
      <c r="CA133" s="771">
        <f>AU133</f>
        <v>2.5499999999999998E-2</v>
      </c>
      <c r="CB133" s="771">
        <f>AY133</f>
        <v>2.5499999999999998E-2</v>
      </c>
      <c r="CC133" s="771">
        <f>BC133</f>
        <v>2.5499999999999998E-2</v>
      </c>
      <c r="CD133" s="771">
        <f>BG133</f>
        <v>2.5499999999999998E-2</v>
      </c>
      <c r="CE133" s="771">
        <f>BK133</f>
        <v>2.5499999999999998E-2</v>
      </c>
      <c r="CF133" s="772">
        <f>BO133</f>
        <v>2.5499999999999998E-2</v>
      </c>
      <c r="CG133" s="809"/>
      <c r="CH133" s="731"/>
      <c r="CI133" s="731"/>
      <c r="CJ133" s="731"/>
      <c r="CK133" s="731"/>
      <c r="CL133" s="731"/>
      <c r="CM133" s="731"/>
      <c r="CN133" s="731"/>
      <c r="CO133" s="731"/>
      <c r="CP133" s="731"/>
      <c r="CQ133" s="731"/>
      <c r="CR133" s="731"/>
      <c r="CS133" s="731"/>
      <c r="CT133" s="731"/>
      <c r="CU133" s="731"/>
      <c r="CV133" s="731"/>
      <c r="CW133" s="731"/>
    </row>
    <row r="134" spans="1:101" ht="14.25" customHeight="1">
      <c r="A134" s="734"/>
      <c r="B134" s="735"/>
      <c r="C134" s="746"/>
      <c r="D134" s="810"/>
      <c r="E134" s="798"/>
      <c r="F134" s="798"/>
      <c r="G134" s="746"/>
      <c r="H134" s="810"/>
      <c r="I134" s="798"/>
      <c r="J134" s="798"/>
      <c r="K134" s="746"/>
      <c r="L134" s="810"/>
      <c r="M134" s="798"/>
      <c r="N134" s="798"/>
      <c r="O134" s="746"/>
      <c r="P134" s="810"/>
      <c r="Q134" s="798"/>
      <c r="R134" s="798"/>
      <c r="S134" s="746"/>
      <c r="T134" s="810"/>
      <c r="U134" s="798"/>
      <c r="V134" s="798"/>
      <c r="W134" s="746"/>
      <c r="X134" s="810"/>
      <c r="Y134" s="798"/>
      <c r="Z134" s="798"/>
      <c r="AA134" s="746"/>
      <c r="AB134" s="810"/>
      <c r="AC134" s="798"/>
      <c r="AD134" s="798"/>
      <c r="AE134" s="746"/>
      <c r="AF134" s="798"/>
      <c r="AG134" s="798"/>
      <c r="AH134" s="798"/>
      <c r="AI134" s="798"/>
      <c r="AJ134" s="810"/>
      <c r="AK134" s="798"/>
      <c r="AL134" s="798"/>
      <c r="AM134" s="798"/>
      <c r="AN134" s="810"/>
      <c r="AO134" s="798"/>
      <c r="AP134" s="798"/>
      <c r="AQ134" s="798"/>
      <c r="AR134" s="810"/>
      <c r="AS134" s="798"/>
      <c r="AT134" s="798"/>
      <c r="AU134" s="798"/>
      <c r="AV134" s="810"/>
      <c r="AW134" s="798"/>
      <c r="AX134" s="798"/>
      <c r="AY134" s="798"/>
      <c r="AZ134" s="810"/>
      <c r="BA134" s="798"/>
      <c r="BB134" s="798"/>
      <c r="BC134" s="746"/>
      <c r="BD134" s="810"/>
      <c r="BE134" s="798"/>
      <c r="BF134" s="798"/>
      <c r="BG134" s="746"/>
      <c r="BH134" s="810"/>
      <c r="BI134" s="798"/>
      <c r="BJ134" s="798"/>
      <c r="BK134" s="746"/>
      <c r="BL134" s="810"/>
      <c r="BM134" s="798"/>
      <c r="BN134" s="798"/>
      <c r="BO134" s="746"/>
      <c r="BP134" s="746"/>
      <c r="BQ134" s="810"/>
      <c r="BR134" s="798"/>
      <c r="BS134" s="798"/>
      <c r="BT134" s="798"/>
      <c r="BU134" s="798"/>
      <c r="BV134" s="798"/>
      <c r="BW134" s="798"/>
      <c r="BX134" s="810"/>
      <c r="BY134" s="810"/>
      <c r="BZ134" s="798"/>
      <c r="CA134" s="798"/>
      <c r="CB134" s="798"/>
      <c r="CC134" s="798"/>
      <c r="CD134" s="798"/>
      <c r="CE134" s="798"/>
      <c r="CF134" s="746"/>
      <c r="CG134" s="810"/>
      <c r="CH134" s="734"/>
      <c r="CI134" s="734"/>
      <c r="CJ134" s="734"/>
      <c r="CK134" s="734"/>
      <c r="CL134" s="734"/>
      <c r="CM134" s="734"/>
      <c r="CN134" s="734"/>
      <c r="CO134" s="734"/>
      <c r="CP134" s="734"/>
      <c r="CQ134" s="734"/>
      <c r="CR134" s="734"/>
      <c r="CS134" s="734"/>
      <c r="CT134" s="734"/>
      <c r="CU134" s="734"/>
      <c r="CV134" s="734"/>
      <c r="CW134" s="734"/>
    </row>
    <row r="135" spans="1:101" ht="14.25" customHeight="1">
      <c r="A135" s="8"/>
      <c r="B135" s="718" t="s">
        <v>338</v>
      </c>
      <c r="C135" s="253"/>
      <c r="D135" s="25"/>
      <c r="E135" s="17"/>
      <c r="F135" s="17"/>
      <c r="G135" s="253"/>
      <c r="H135" s="25"/>
      <c r="I135" s="17"/>
      <c r="J135" s="17"/>
      <c r="K135" s="253"/>
      <c r="L135" s="25"/>
      <c r="M135" s="17"/>
      <c r="N135" s="17"/>
      <c r="O135" s="253"/>
      <c r="P135" s="25"/>
      <c r="Q135" s="17"/>
      <c r="R135" s="17"/>
      <c r="S135" s="253"/>
      <c r="T135" s="25"/>
      <c r="U135" s="17"/>
      <c r="V135" s="17"/>
      <c r="W135" s="253"/>
      <c r="X135" s="25"/>
      <c r="Y135" s="17"/>
      <c r="Z135" s="17"/>
      <c r="AA135" s="253"/>
      <c r="AB135" s="25"/>
      <c r="AC135" s="17"/>
      <c r="AD135" s="17"/>
      <c r="AE135" s="253"/>
      <c r="AF135" s="17"/>
      <c r="AG135" s="17"/>
      <c r="AH135" s="17"/>
      <c r="AI135" s="253"/>
      <c r="AJ135" s="17"/>
      <c r="AK135" s="17"/>
      <c r="AL135" s="17"/>
      <c r="AM135" s="17"/>
      <c r="AN135" s="25"/>
      <c r="AO135" s="17"/>
      <c r="AP135" s="17"/>
      <c r="AQ135" s="17"/>
      <c r="AR135" s="25"/>
      <c r="AS135" s="17"/>
      <c r="AT135" s="17"/>
      <c r="AU135" s="17"/>
      <c r="AV135" s="25"/>
      <c r="AW135" s="17"/>
      <c r="AX135" s="17"/>
      <c r="AY135" s="17"/>
      <c r="AZ135" s="25"/>
      <c r="BA135" s="17"/>
      <c r="BB135" s="17"/>
      <c r="BC135" s="253"/>
      <c r="BD135" s="25"/>
      <c r="BE135" s="17"/>
      <c r="BF135" s="17"/>
      <c r="BG135" s="253"/>
      <c r="BH135" s="25"/>
      <c r="BI135" s="17"/>
      <c r="BJ135" s="17"/>
      <c r="BK135" s="253"/>
      <c r="BL135" s="25"/>
      <c r="BM135" s="17"/>
      <c r="BN135" s="17"/>
      <c r="BO135" s="253"/>
      <c r="BP135" s="253"/>
      <c r="BQ135" s="25"/>
      <c r="BR135" s="17"/>
      <c r="BS135" s="17"/>
      <c r="BT135" s="17"/>
      <c r="BU135" s="17"/>
      <c r="BV135" s="17"/>
      <c r="BW135" s="17"/>
      <c r="BX135" s="25"/>
      <c r="BY135" s="25"/>
      <c r="BZ135" s="17"/>
      <c r="CA135" s="17"/>
      <c r="CB135" s="17"/>
      <c r="CC135" s="17"/>
      <c r="CD135" s="17"/>
      <c r="CE135" s="17"/>
      <c r="CF135" s="253"/>
      <c r="CG135" s="25"/>
      <c r="CH135" s="8"/>
      <c r="CI135" s="8"/>
      <c r="CJ135" s="8"/>
      <c r="CK135" s="8"/>
      <c r="CL135" s="8"/>
      <c r="CM135" s="8"/>
      <c r="CN135" s="8"/>
      <c r="CO135" s="8"/>
      <c r="CP135" s="8"/>
      <c r="CQ135" s="8"/>
      <c r="CR135" s="8"/>
      <c r="CS135" s="8"/>
      <c r="CT135" s="8"/>
      <c r="CU135" s="8"/>
      <c r="CV135" s="8"/>
      <c r="CW135" s="8"/>
    </row>
    <row r="136" spans="1:101" ht="14.25" customHeight="1">
      <c r="A136" s="8"/>
      <c r="B136" s="732" t="s">
        <v>341</v>
      </c>
      <c r="C136" s="253"/>
      <c r="D136" s="25"/>
      <c r="E136" s="17"/>
      <c r="F136" s="17"/>
      <c r="G136" s="253"/>
      <c r="H136" s="25"/>
      <c r="I136" s="17"/>
      <c r="J136" s="17"/>
      <c r="K136" s="253"/>
      <c r="L136" s="25"/>
      <c r="M136" s="17"/>
      <c r="N136" s="17"/>
      <c r="O136" s="253"/>
      <c r="P136" s="25"/>
      <c r="Q136" s="17"/>
      <c r="R136" s="17"/>
      <c r="S136" s="253"/>
      <c r="T136" s="25"/>
      <c r="U136" s="17"/>
      <c r="V136" s="17"/>
      <c r="W136" s="253"/>
      <c r="X136" s="25"/>
      <c r="Y136" s="17"/>
      <c r="Z136" s="17"/>
      <c r="AA136" s="253"/>
      <c r="AB136" s="25"/>
      <c r="AC136" s="17"/>
      <c r="AD136" s="17"/>
      <c r="AE136" s="251">
        <f t="shared" ref="AE136:AQ136" si="574">+AE126*AE103/4</f>
        <v>0</v>
      </c>
      <c r="AF136" s="250">
        <f t="shared" si="574"/>
        <v>0</v>
      </c>
      <c r="AG136" s="250">
        <f t="shared" si="574"/>
        <v>0</v>
      </c>
      <c r="AH136" s="250">
        <f t="shared" si="574"/>
        <v>0</v>
      </c>
      <c r="AI136" s="251">
        <f t="shared" ref="AI136:AM138" si="575">+AI126*AI103/4</f>
        <v>0</v>
      </c>
      <c r="AJ136" s="250">
        <f t="shared" si="575"/>
        <v>0</v>
      </c>
      <c r="AK136" s="250">
        <f t="shared" si="575"/>
        <v>0</v>
      </c>
      <c r="AL136" s="250">
        <f t="shared" si="575"/>
        <v>0</v>
      </c>
      <c r="AM136" s="250">
        <f t="shared" si="575"/>
        <v>0</v>
      </c>
      <c r="AN136" s="389">
        <f t="shared" si="574"/>
        <v>0</v>
      </c>
      <c r="AO136" s="250">
        <f t="shared" si="574"/>
        <v>0</v>
      </c>
      <c r="AP136" s="250">
        <f t="shared" si="574"/>
        <v>0</v>
      </c>
      <c r="AQ136" s="250">
        <f t="shared" si="574"/>
        <v>0</v>
      </c>
      <c r="AR136" s="389">
        <f t="shared" ref="AR136:BG136" si="576">+AR126*AR103/4</f>
        <v>0</v>
      </c>
      <c r="AS136" s="250">
        <f t="shared" si="576"/>
        <v>0</v>
      </c>
      <c r="AT136" s="250">
        <f t="shared" si="576"/>
        <v>0</v>
      </c>
      <c r="AU136" s="250">
        <f t="shared" si="576"/>
        <v>0</v>
      </c>
      <c r="AV136" s="389">
        <f t="shared" si="576"/>
        <v>0</v>
      </c>
      <c r="AW136" s="250">
        <f t="shared" si="576"/>
        <v>0</v>
      </c>
      <c r="AX136" s="250">
        <f t="shared" si="576"/>
        <v>0</v>
      </c>
      <c r="AY136" s="250">
        <f t="shared" ref="AY136:AZ136" si="577">+AY126*AY103/4</f>
        <v>0</v>
      </c>
      <c r="AZ136" s="389">
        <f t="shared" si="577"/>
        <v>0</v>
      </c>
      <c r="BA136" s="250">
        <f t="shared" si="576"/>
        <v>0</v>
      </c>
      <c r="BB136" s="250">
        <f t="shared" si="576"/>
        <v>0</v>
      </c>
      <c r="BC136" s="251">
        <f t="shared" si="576"/>
        <v>0</v>
      </c>
      <c r="BD136" s="389">
        <f t="shared" si="576"/>
        <v>0</v>
      </c>
      <c r="BE136" s="250">
        <f t="shared" si="576"/>
        <v>0</v>
      </c>
      <c r="BF136" s="250">
        <f t="shared" si="576"/>
        <v>0</v>
      </c>
      <c r="BG136" s="251">
        <f t="shared" si="576"/>
        <v>0</v>
      </c>
      <c r="BH136" s="389">
        <f t="shared" ref="BH136:BK136" si="578">+BH126*BH103/4</f>
        <v>0</v>
      </c>
      <c r="BI136" s="250">
        <f t="shared" si="578"/>
        <v>0</v>
      </c>
      <c r="BJ136" s="250">
        <f t="shared" si="578"/>
        <v>0</v>
      </c>
      <c r="BK136" s="251">
        <f t="shared" si="578"/>
        <v>0</v>
      </c>
      <c r="BL136" s="1398">
        <f t="shared" ref="BL136:BO136" si="579">+BL126*BL103/4</f>
        <v>0</v>
      </c>
      <c r="BM136" s="1392">
        <f t="shared" si="579"/>
        <v>0</v>
      </c>
      <c r="BN136" s="1392">
        <f t="shared" si="579"/>
        <v>0</v>
      </c>
      <c r="BO136" s="1393">
        <f t="shared" si="579"/>
        <v>0</v>
      </c>
      <c r="BP136" s="253"/>
      <c r="BQ136" s="25"/>
      <c r="BR136" s="17"/>
      <c r="BS136" s="17"/>
      <c r="BT136" s="17"/>
      <c r="BU136" s="17"/>
      <c r="BV136" s="17"/>
      <c r="BW136" s="1005"/>
      <c r="BX136" s="389">
        <f>+SUM(AF136:AI136)</f>
        <v>0</v>
      </c>
      <c r="BY136" s="389">
        <f>+SUM(AJ136:AM136)</f>
        <v>0</v>
      </c>
      <c r="BZ136" s="720">
        <f>+SUM(AN136:AQ136)</f>
        <v>0</v>
      </c>
      <c r="CA136" s="720">
        <f>+SUM(AR136:AU136)</f>
        <v>0</v>
      </c>
      <c r="CB136" s="720">
        <f>+SUM(AV136:AY136)</f>
        <v>0</v>
      </c>
      <c r="CC136" s="250">
        <f t="shared" ref="CC136:CC138" si="580">+SUM(AZ136:BC136)</f>
        <v>0</v>
      </c>
      <c r="CD136" s="1392">
        <f t="shared" ref="CD136:CD138" si="581">+SUM(BD136:BG136)</f>
        <v>0</v>
      </c>
      <c r="CE136" s="1392">
        <f t="shared" ref="CE136:CE138" si="582">+SUM(BH136:BK136)</f>
        <v>0</v>
      </c>
      <c r="CF136" s="1393">
        <f t="shared" ref="CF136:CF138" si="583">+SUM(BL136:BO136)</f>
        <v>0</v>
      </c>
      <c r="CG136" s="25"/>
      <c r="CH136" s="8"/>
      <c r="CI136" s="8"/>
      <c r="CJ136" s="8"/>
      <c r="CK136" s="8"/>
      <c r="CL136" s="8"/>
      <c r="CM136" s="8"/>
      <c r="CN136" s="8"/>
      <c r="CO136" s="8"/>
      <c r="CP136" s="8"/>
      <c r="CQ136" s="8"/>
      <c r="CR136" s="8"/>
      <c r="CS136" s="8"/>
      <c r="CT136" s="8"/>
      <c r="CU136" s="8"/>
      <c r="CV136" s="8"/>
      <c r="CW136" s="8"/>
    </row>
    <row r="137" spans="1:101" ht="14.25" customHeight="1">
      <c r="A137" s="8"/>
      <c r="B137" s="732" t="s">
        <v>339</v>
      </c>
      <c r="C137" s="253"/>
      <c r="D137" s="25"/>
      <c r="E137" s="17"/>
      <c r="F137" s="17"/>
      <c r="G137" s="253"/>
      <c r="H137" s="25"/>
      <c r="I137" s="17"/>
      <c r="J137" s="17"/>
      <c r="K137" s="253"/>
      <c r="L137" s="25"/>
      <c r="M137" s="17"/>
      <c r="N137" s="17"/>
      <c r="O137" s="253"/>
      <c r="P137" s="25"/>
      <c r="Q137" s="17"/>
      <c r="R137" s="17"/>
      <c r="S137" s="253"/>
      <c r="T137" s="25"/>
      <c r="U137" s="17"/>
      <c r="V137" s="17"/>
      <c r="W137" s="253"/>
      <c r="X137" s="25"/>
      <c r="Y137" s="17"/>
      <c r="Z137" s="17"/>
      <c r="AA137" s="253"/>
      <c r="AB137" s="25"/>
      <c r="AC137" s="17"/>
      <c r="AD137" s="17"/>
      <c r="AE137" s="251">
        <f t="shared" ref="AE137:AQ137" si="584">+AE127*AE104/4</f>
        <v>0.50239437500000006</v>
      </c>
      <c r="AF137" s="250">
        <f t="shared" si="584"/>
        <v>0.43403500000000006</v>
      </c>
      <c r="AG137" s="250">
        <f t="shared" si="584"/>
        <v>0.41817562500000005</v>
      </c>
      <c r="AH137" s="250">
        <f t="shared" si="584"/>
        <v>0.40231625000000004</v>
      </c>
      <c r="AI137" s="251">
        <f t="shared" si="575"/>
        <v>0.255206875</v>
      </c>
      <c r="AJ137" s="250">
        <f t="shared" si="575"/>
        <v>-7.7656249999999948E-3</v>
      </c>
      <c r="AK137" s="250">
        <f t="shared" si="575"/>
        <v>-7.7656249999999948E-3</v>
      </c>
      <c r="AL137" s="250">
        <f t="shared" si="575"/>
        <v>-7.7656249999999948E-3</v>
      </c>
      <c r="AM137" s="250">
        <f t="shared" si="575"/>
        <v>-7.7656249999999948E-3</v>
      </c>
      <c r="AN137" s="389">
        <f t="shared" si="584"/>
        <v>0</v>
      </c>
      <c r="AO137" s="250">
        <f t="shared" si="584"/>
        <v>0</v>
      </c>
      <c r="AP137" s="250">
        <f t="shared" si="584"/>
        <v>0</v>
      </c>
      <c r="AQ137" s="250">
        <f t="shared" si="584"/>
        <v>0</v>
      </c>
      <c r="AR137" s="389">
        <f t="shared" ref="AR137:BG137" si="585">+AR127*AR104/4</f>
        <v>0</v>
      </c>
      <c r="AS137" s="250">
        <f t="shared" si="585"/>
        <v>0</v>
      </c>
      <c r="AT137" s="250">
        <f t="shared" si="585"/>
        <v>0</v>
      </c>
      <c r="AU137" s="250">
        <f t="shared" si="585"/>
        <v>0</v>
      </c>
      <c r="AV137" s="389">
        <f t="shared" si="585"/>
        <v>0</v>
      </c>
      <c r="AW137" s="250">
        <f t="shared" si="585"/>
        <v>0</v>
      </c>
      <c r="AX137" s="250">
        <f t="shared" si="585"/>
        <v>0</v>
      </c>
      <c r="AY137" s="250">
        <f t="shared" ref="AY137:AZ137" si="586">+AY127*AY104/4</f>
        <v>0</v>
      </c>
      <c r="AZ137" s="389">
        <f t="shared" si="586"/>
        <v>0</v>
      </c>
      <c r="BA137" s="250">
        <f t="shared" si="585"/>
        <v>0</v>
      </c>
      <c r="BB137" s="250">
        <f t="shared" si="585"/>
        <v>0</v>
      </c>
      <c r="BC137" s="251">
        <f t="shared" si="585"/>
        <v>0</v>
      </c>
      <c r="BD137" s="389">
        <f t="shared" si="585"/>
        <v>0</v>
      </c>
      <c r="BE137" s="250">
        <f t="shared" si="585"/>
        <v>0</v>
      </c>
      <c r="BF137" s="250">
        <f t="shared" si="585"/>
        <v>0</v>
      </c>
      <c r="BG137" s="251">
        <f t="shared" si="585"/>
        <v>0</v>
      </c>
      <c r="BH137" s="389">
        <f t="shared" ref="BH137:BK137" si="587">+BH127*BH104/4</f>
        <v>0</v>
      </c>
      <c r="BI137" s="250">
        <f t="shared" si="587"/>
        <v>0</v>
      </c>
      <c r="BJ137" s="250">
        <f t="shared" si="587"/>
        <v>0</v>
      </c>
      <c r="BK137" s="251">
        <f t="shared" si="587"/>
        <v>0</v>
      </c>
      <c r="BL137" s="1398">
        <f t="shared" ref="BL137:BO137" si="588">+BL127*BL104/4</f>
        <v>0</v>
      </c>
      <c r="BM137" s="1392">
        <f t="shared" si="588"/>
        <v>0</v>
      </c>
      <c r="BN137" s="1392">
        <f t="shared" si="588"/>
        <v>0</v>
      </c>
      <c r="BO137" s="1393">
        <f t="shared" si="588"/>
        <v>0</v>
      </c>
      <c r="BP137" s="253"/>
      <c r="BQ137" s="25"/>
      <c r="BR137" s="17"/>
      <c r="BS137" s="17"/>
      <c r="BT137" s="17"/>
      <c r="BU137" s="17"/>
      <c r="BV137" s="17"/>
      <c r="BW137" s="17"/>
      <c r="BX137" s="389">
        <f>+SUM(AF137:AI137)</f>
        <v>1.5097337500000003</v>
      </c>
      <c r="BY137" s="389">
        <f>+SUM(AJ137:AM137)</f>
        <v>-3.1062499999999979E-2</v>
      </c>
      <c r="BZ137" s="720">
        <f>+SUM(AN137:AQ137)</f>
        <v>0</v>
      </c>
      <c r="CA137" s="720">
        <f>+SUM(AR137:AU137)</f>
        <v>0</v>
      </c>
      <c r="CB137" s="720">
        <f>+SUM(AV137:AY137)</f>
        <v>0</v>
      </c>
      <c r="CC137" s="250">
        <f t="shared" si="580"/>
        <v>0</v>
      </c>
      <c r="CD137" s="1392">
        <f t="shared" si="581"/>
        <v>0</v>
      </c>
      <c r="CE137" s="1392">
        <f t="shared" si="582"/>
        <v>0</v>
      </c>
      <c r="CF137" s="1393">
        <f t="shared" si="583"/>
        <v>0</v>
      </c>
      <c r="CG137" s="25"/>
      <c r="CH137" s="8"/>
      <c r="CI137" s="8"/>
      <c r="CJ137" s="8"/>
      <c r="CK137" s="8"/>
      <c r="CL137" s="8"/>
      <c r="CM137" s="8"/>
      <c r="CN137" s="8"/>
      <c r="CO137" s="8"/>
      <c r="CP137" s="8"/>
      <c r="CQ137" s="8"/>
      <c r="CR137" s="8"/>
      <c r="CS137" s="8"/>
      <c r="CT137" s="8"/>
      <c r="CU137" s="8"/>
      <c r="CV137" s="8"/>
      <c r="CW137" s="8"/>
    </row>
    <row r="138" spans="1:101" ht="14.25" customHeight="1">
      <c r="A138" s="8"/>
      <c r="B138" s="733" t="s">
        <v>342</v>
      </c>
      <c r="C138" s="253"/>
      <c r="D138" s="25"/>
      <c r="E138" s="17"/>
      <c r="F138" s="17"/>
      <c r="G138" s="253"/>
      <c r="H138" s="25"/>
      <c r="I138" s="17"/>
      <c r="J138" s="17"/>
      <c r="K138" s="253"/>
      <c r="L138" s="25"/>
      <c r="M138" s="17"/>
      <c r="N138" s="17"/>
      <c r="O138" s="253"/>
      <c r="P138" s="25"/>
      <c r="Q138" s="17"/>
      <c r="R138" s="17"/>
      <c r="S138" s="253"/>
      <c r="T138" s="25"/>
      <c r="U138" s="17"/>
      <c r="V138" s="17"/>
      <c r="W138" s="253"/>
      <c r="X138" s="25"/>
      <c r="Y138" s="17"/>
      <c r="Z138" s="17"/>
      <c r="AA138" s="253"/>
      <c r="AB138" s="25"/>
      <c r="AC138" s="17"/>
      <c r="AD138" s="17"/>
      <c r="AE138" s="251">
        <f t="shared" ref="AE138:AQ138" si="589">+AE128*AE105/4</f>
        <v>4.875</v>
      </c>
      <c r="AF138" s="250">
        <f t="shared" si="589"/>
        <v>4.875</v>
      </c>
      <c r="AG138" s="250">
        <f t="shared" si="589"/>
        <v>4.875</v>
      </c>
      <c r="AH138" s="250">
        <f t="shared" si="589"/>
        <v>4.875</v>
      </c>
      <c r="AI138" s="251">
        <f t="shared" si="575"/>
        <v>4.875</v>
      </c>
      <c r="AJ138" s="250">
        <f t="shared" si="575"/>
        <v>4.875</v>
      </c>
      <c r="AK138" s="250">
        <f t="shared" si="575"/>
        <v>4.875</v>
      </c>
      <c r="AL138" s="250">
        <f t="shared" si="575"/>
        <v>0</v>
      </c>
      <c r="AM138" s="250">
        <f t="shared" si="575"/>
        <v>0</v>
      </c>
      <c r="AN138" s="389">
        <f t="shared" si="589"/>
        <v>0</v>
      </c>
      <c r="AO138" s="250">
        <f t="shared" si="589"/>
        <v>0</v>
      </c>
      <c r="AP138" s="250">
        <f t="shared" si="589"/>
        <v>0</v>
      </c>
      <c r="AQ138" s="250">
        <f t="shared" si="589"/>
        <v>0</v>
      </c>
      <c r="AR138" s="389">
        <f t="shared" ref="AR138:BG138" si="590">+AR128*AR105/4</f>
        <v>0</v>
      </c>
      <c r="AS138" s="250">
        <f t="shared" si="590"/>
        <v>0</v>
      </c>
      <c r="AT138" s="250">
        <f t="shared" si="590"/>
        <v>0</v>
      </c>
      <c r="AU138" s="250">
        <f t="shared" si="590"/>
        <v>0</v>
      </c>
      <c r="AV138" s="389">
        <f t="shared" si="590"/>
        <v>0</v>
      </c>
      <c r="AW138" s="250">
        <f t="shared" si="590"/>
        <v>0</v>
      </c>
      <c r="AX138" s="250">
        <f t="shared" si="590"/>
        <v>0</v>
      </c>
      <c r="AY138" s="250">
        <f t="shared" ref="AY138:AZ138" si="591">+AY128*AY105/4</f>
        <v>0</v>
      </c>
      <c r="AZ138" s="389">
        <f t="shared" si="591"/>
        <v>0</v>
      </c>
      <c r="BA138" s="250">
        <f t="shared" si="590"/>
        <v>0</v>
      </c>
      <c r="BB138" s="250">
        <f t="shared" si="590"/>
        <v>0</v>
      </c>
      <c r="BC138" s="251">
        <f t="shared" si="590"/>
        <v>0</v>
      </c>
      <c r="BD138" s="389">
        <f t="shared" si="590"/>
        <v>0</v>
      </c>
      <c r="BE138" s="250">
        <f t="shared" si="590"/>
        <v>0</v>
      </c>
      <c r="BF138" s="250">
        <f t="shared" si="590"/>
        <v>0</v>
      </c>
      <c r="BG138" s="251">
        <f t="shared" si="590"/>
        <v>0</v>
      </c>
      <c r="BH138" s="389">
        <f t="shared" ref="BH138:BK138" si="592">+BH128*BH105/4</f>
        <v>0</v>
      </c>
      <c r="BI138" s="250">
        <f t="shared" si="592"/>
        <v>0</v>
      </c>
      <c r="BJ138" s="250">
        <f t="shared" si="592"/>
        <v>0</v>
      </c>
      <c r="BK138" s="251">
        <f t="shared" si="592"/>
        <v>0</v>
      </c>
      <c r="BL138" s="1398">
        <f t="shared" ref="BL138:BO138" si="593">+BL128*BL105/4</f>
        <v>0</v>
      </c>
      <c r="BM138" s="1392">
        <f t="shared" si="593"/>
        <v>0</v>
      </c>
      <c r="BN138" s="1392">
        <f t="shared" si="593"/>
        <v>0</v>
      </c>
      <c r="BO138" s="1393">
        <f t="shared" si="593"/>
        <v>0</v>
      </c>
      <c r="BP138" s="253"/>
      <c r="BQ138" s="25"/>
      <c r="BR138" s="17"/>
      <c r="BS138" s="17"/>
      <c r="BT138" s="17"/>
      <c r="BU138" s="17"/>
      <c r="BV138" s="17"/>
      <c r="BW138" s="17"/>
      <c r="BX138" s="389">
        <f>+SUM(AF138:AI138)</f>
        <v>19.5</v>
      </c>
      <c r="BY138" s="389">
        <f>+SUM(AJ138:AM138)</f>
        <v>9.75</v>
      </c>
      <c r="BZ138" s="720">
        <f>+SUM(AN138:AQ138)</f>
        <v>0</v>
      </c>
      <c r="CA138" s="720">
        <f>+SUM(AR138:AU138)</f>
        <v>0</v>
      </c>
      <c r="CB138" s="720">
        <f>+SUM(AV138:AY138)</f>
        <v>0</v>
      </c>
      <c r="CC138" s="250">
        <f t="shared" si="580"/>
        <v>0</v>
      </c>
      <c r="CD138" s="1392">
        <f t="shared" si="581"/>
        <v>0</v>
      </c>
      <c r="CE138" s="1392">
        <f t="shared" si="582"/>
        <v>0</v>
      </c>
      <c r="CF138" s="1393">
        <f t="shared" si="583"/>
        <v>0</v>
      </c>
      <c r="CG138" s="25"/>
      <c r="CH138" s="8"/>
      <c r="CI138" s="8"/>
      <c r="CJ138" s="8"/>
      <c r="CK138" s="8"/>
      <c r="CL138" s="8"/>
      <c r="CM138" s="8"/>
      <c r="CN138" s="8"/>
      <c r="CO138" s="8"/>
      <c r="CP138" s="8"/>
      <c r="CQ138" s="8"/>
      <c r="CR138" s="8"/>
      <c r="CS138" s="8"/>
      <c r="CT138" s="8"/>
      <c r="CU138" s="8"/>
      <c r="CV138" s="8"/>
      <c r="CW138" s="8"/>
    </row>
    <row r="139" spans="1:101" ht="14.25" customHeight="1">
      <c r="A139" s="8"/>
      <c r="B139" s="733" t="s">
        <v>340</v>
      </c>
      <c r="C139" s="253"/>
      <c r="D139" s="25"/>
      <c r="E139" s="17"/>
      <c r="F139" s="17"/>
      <c r="G139" s="253"/>
      <c r="H139" s="25"/>
      <c r="I139" s="17"/>
      <c r="J139" s="17"/>
      <c r="K139" s="253"/>
      <c r="L139" s="25"/>
      <c r="M139" s="17"/>
      <c r="N139" s="17"/>
      <c r="O139" s="253"/>
      <c r="P139" s="25"/>
      <c r="Q139" s="17"/>
      <c r="R139" s="17"/>
      <c r="S139" s="253"/>
      <c r="T139" s="25"/>
      <c r="U139" s="17"/>
      <c r="V139" s="17"/>
      <c r="W139" s="253"/>
      <c r="X139" s="25"/>
      <c r="Y139" s="17"/>
      <c r="Z139" s="17"/>
      <c r="AA139" s="253"/>
      <c r="AB139" s="25"/>
      <c r="AC139" s="17"/>
      <c r="AD139" s="17"/>
      <c r="AE139" s="251">
        <f t="shared" ref="AE139:AX139" si="594">+AE129*AE109/4</f>
        <v>0</v>
      </c>
      <c r="AF139" s="250">
        <f t="shared" si="594"/>
        <v>0</v>
      </c>
      <c r="AG139" s="250">
        <f t="shared" si="594"/>
        <v>0</v>
      </c>
      <c r="AH139" s="250">
        <f t="shared" si="594"/>
        <v>0</v>
      </c>
      <c r="AI139" s="251">
        <f t="shared" si="594"/>
        <v>0</v>
      </c>
      <c r="AJ139" s="250">
        <f t="shared" si="594"/>
        <v>0</v>
      </c>
      <c r="AK139" s="250">
        <f t="shared" si="594"/>
        <v>0</v>
      </c>
      <c r="AL139" s="250">
        <f t="shared" si="594"/>
        <v>4</v>
      </c>
      <c r="AM139" s="250">
        <f t="shared" si="594"/>
        <v>4</v>
      </c>
      <c r="AN139" s="389">
        <f t="shared" si="594"/>
        <v>4</v>
      </c>
      <c r="AO139" s="250">
        <f t="shared" si="594"/>
        <v>4</v>
      </c>
      <c r="AP139" s="250">
        <f t="shared" si="594"/>
        <v>4</v>
      </c>
      <c r="AQ139" s="250">
        <f t="shared" si="594"/>
        <v>4</v>
      </c>
      <c r="AR139" s="389">
        <f>+AR129*AR109/4</f>
        <v>4</v>
      </c>
      <c r="AS139" s="250">
        <f>+AS129*AS109/4</f>
        <v>4</v>
      </c>
      <c r="AT139" s="250">
        <f t="shared" si="594"/>
        <v>4</v>
      </c>
      <c r="AU139" s="250">
        <f t="shared" si="594"/>
        <v>4</v>
      </c>
      <c r="AV139" s="389">
        <f>+AV129*AV109/4</f>
        <v>4</v>
      </c>
      <c r="AW139" s="250">
        <f t="shared" si="594"/>
        <v>4</v>
      </c>
      <c r="AX139" s="250">
        <f t="shared" si="594"/>
        <v>4</v>
      </c>
      <c r="AY139" s="250">
        <f t="shared" ref="AY139" si="595">+AY129*AY109/4</f>
        <v>4</v>
      </c>
      <c r="AZ139" s="389">
        <f>+AZ129*AZ109/4</f>
        <v>4</v>
      </c>
      <c r="BA139" s="250">
        <f t="shared" ref="BA139:BG139" si="596">+BA129*BA109/4</f>
        <v>4</v>
      </c>
      <c r="BB139" s="250">
        <f t="shared" si="596"/>
        <v>4</v>
      </c>
      <c r="BC139" s="251">
        <f t="shared" si="596"/>
        <v>4</v>
      </c>
      <c r="BD139" s="389">
        <f t="shared" si="596"/>
        <v>4</v>
      </c>
      <c r="BE139" s="250">
        <f t="shared" si="596"/>
        <v>4</v>
      </c>
      <c r="BF139" s="250">
        <f t="shared" si="596"/>
        <v>4</v>
      </c>
      <c r="BG139" s="251">
        <f t="shared" si="596"/>
        <v>4</v>
      </c>
      <c r="BH139" s="389">
        <f t="shared" ref="BH139:BK139" si="597">+BH129*BH109/4</f>
        <v>4</v>
      </c>
      <c r="BI139" s="250">
        <f t="shared" si="597"/>
        <v>4</v>
      </c>
      <c r="BJ139" s="250">
        <f t="shared" si="597"/>
        <v>4</v>
      </c>
      <c r="BK139" s="251">
        <f t="shared" si="597"/>
        <v>4</v>
      </c>
      <c r="BL139" s="1398">
        <f t="shared" ref="BL139:BO139" si="598">+BL129*BL109/4</f>
        <v>4</v>
      </c>
      <c r="BM139" s="1392">
        <f t="shared" si="598"/>
        <v>4</v>
      </c>
      <c r="BN139" s="1392">
        <f t="shared" si="598"/>
        <v>4</v>
      </c>
      <c r="BO139" s="1393">
        <f t="shared" si="598"/>
        <v>4</v>
      </c>
      <c r="BP139" s="253"/>
      <c r="BQ139" s="25"/>
      <c r="BR139" s="17"/>
      <c r="BS139" s="17"/>
      <c r="BT139" s="17"/>
      <c r="BU139" s="17"/>
      <c r="BV139" s="17"/>
      <c r="BW139" s="17"/>
      <c r="BX139" s="389">
        <f>+SUM(AF139:AI139)</f>
        <v>0</v>
      </c>
      <c r="BY139" s="389">
        <f>+SUM(AJ139:AM139)</f>
        <v>8</v>
      </c>
      <c r="BZ139" s="720">
        <f>+SUM(AN139:AQ139)</f>
        <v>16</v>
      </c>
      <c r="CA139" s="720">
        <f>+SUM(AR139:AU139)</f>
        <v>16</v>
      </c>
      <c r="CB139" s="720">
        <f>+SUM(AV139:AY139)</f>
        <v>16</v>
      </c>
      <c r="CC139" s="250">
        <f>+SUM(AZ139:BC139)</f>
        <v>16</v>
      </c>
      <c r="CD139" s="1392">
        <f>+SUM(BD139:BG139)</f>
        <v>16</v>
      </c>
      <c r="CE139" s="1392">
        <f>+SUM(BH139:BK139)</f>
        <v>16</v>
      </c>
      <c r="CF139" s="1393">
        <f>+SUM(BL139:BO139)</f>
        <v>16</v>
      </c>
      <c r="CG139" s="25"/>
      <c r="CH139" s="8"/>
      <c r="CI139" s="8"/>
      <c r="CJ139" s="8"/>
      <c r="CK139" s="8"/>
      <c r="CL139" s="8"/>
      <c r="CM139" s="8"/>
      <c r="CN139" s="8"/>
      <c r="CO139" s="8"/>
      <c r="CP139" s="8"/>
      <c r="CQ139" s="8"/>
      <c r="CR139" s="8"/>
      <c r="CS139" s="8"/>
      <c r="CT139" s="8"/>
      <c r="CU139" s="8"/>
      <c r="CV139" s="8"/>
      <c r="CW139" s="8"/>
    </row>
    <row r="140" spans="1:101" ht="14.25" customHeight="1">
      <c r="A140" s="8"/>
      <c r="B140" s="715" t="s">
        <v>553</v>
      </c>
      <c r="C140" s="253"/>
      <c r="D140" s="25"/>
      <c r="E140" s="17"/>
      <c r="F140" s="17"/>
      <c r="G140" s="253"/>
      <c r="H140" s="25"/>
      <c r="I140" s="17"/>
      <c r="J140" s="17"/>
      <c r="K140" s="253"/>
      <c r="L140" s="25"/>
      <c r="M140" s="17"/>
      <c r="N140" s="17"/>
      <c r="O140" s="253"/>
      <c r="P140" s="25"/>
      <c r="Q140" s="17"/>
      <c r="R140" s="17"/>
      <c r="S140" s="253"/>
      <c r="T140" s="25"/>
      <c r="U140" s="17"/>
      <c r="V140" s="17"/>
      <c r="W140" s="253"/>
      <c r="X140" s="25"/>
      <c r="Y140" s="17"/>
      <c r="Z140" s="17"/>
      <c r="AA140" s="253"/>
      <c r="AB140" s="25"/>
      <c r="AC140" s="17"/>
      <c r="AD140" s="17"/>
      <c r="AE140" s="251"/>
      <c r="AF140" s="250"/>
      <c r="AG140" s="250"/>
      <c r="AH140" s="250"/>
      <c r="AI140" s="251"/>
      <c r="AJ140" s="250"/>
      <c r="AK140" s="250"/>
      <c r="AL140" s="250"/>
      <c r="AM140" s="250"/>
      <c r="AN140" s="389"/>
      <c r="AO140" s="250"/>
      <c r="AP140" s="250"/>
      <c r="AQ140" s="250"/>
      <c r="AR140" s="389"/>
      <c r="AS140" s="250"/>
      <c r="AT140" s="250"/>
      <c r="AU140" s="250"/>
      <c r="AV140" s="389"/>
      <c r="AW140" s="250"/>
      <c r="AX140" s="250">
        <f t="shared" ref="AX140:BC141" si="599">+AX130*AX107/4</f>
        <v>8.2874999999999996</v>
      </c>
      <c r="AY140" s="250"/>
      <c r="AZ140" s="389"/>
      <c r="BA140" s="250">
        <f t="shared" si="599"/>
        <v>0</v>
      </c>
      <c r="BB140" s="250">
        <f t="shared" si="599"/>
        <v>0</v>
      </c>
      <c r="BC140" s="251">
        <f t="shared" si="599"/>
        <v>0</v>
      </c>
      <c r="BD140" s="389"/>
      <c r="BE140" s="250"/>
      <c r="BF140" s="250"/>
      <c r="BG140" s="251"/>
      <c r="BH140" s="389"/>
      <c r="BI140" s="250"/>
      <c r="BJ140" s="250"/>
      <c r="BK140" s="251"/>
      <c r="BL140" s="1398"/>
      <c r="BM140" s="1392"/>
      <c r="BN140" s="1392"/>
      <c r="BO140" s="1393"/>
      <c r="BP140" s="253"/>
      <c r="BQ140" s="25"/>
      <c r="BR140" s="17"/>
      <c r="BS140" s="17"/>
      <c r="BT140" s="17"/>
      <c r="BU140" s="17"/>
      <c r="BV140" s="17"/>
      <c r="BW140" s="17"/>
      <c r="BX140" s="389"/>
      <c r="BY140" s="389"/>
      <c r="BZ140" s="720"/>
      <c r="CA140" s="720"/>
      <c r="CB140" s="720"/>
      <c r="CC140" s="250"/>
      <c r="CD140" s="1392"/>
      <c r="CE140" s="1392"/>
      <c r="CF140" s="1393"/>
      <c r="CG140" s="25"/>
      <c r="CH140" s="8"/>
      <c r="CI140" s="8"/>
      <c r="CJ140" s="8"/>
      <c r="CK140" s="8"/>
      <c r="CL140" s="8"/>
      <c r="CM140" s="8"/>
      <c r="CN140" s="8"/>
      <c r="CO140" s="8"/>
      <c r="CP140" s="8"/>
      <c r="CQ140" s="8"/>
      <c r="CR140" s="8"/>
      <c r="CS140" s="8"/>
      <c r="CT140" s="8"/>
      <c r="CU140" s="8"/>
      <c r="CV140" s="8"/>
      <c r="CW140" s="8"/>
    </row>
    <row r="141" spans="1:101" ht="14.25" customHeight="1">
      <c r="A141" s="8"/>
      <c r="B141" s="715" t="s">
        <v>554</v>
      </c>
      <c r="C141" s="253"/>
      <c r="D141" s="25"/>
      <c r="E141" s="17"/>
      <c r="F141" s="17"/>
      <c r="G141" s="253"/>
      <c r="H141" s="25"/>
      <c r="I141" s="17"/>
      <c r="J141" s="17"/>
      <c r="K141" s="253"/>
      <c r="L141" s="25"/>
      <c r="M141" s="17"/>
      <c r="N141" s="17"/>
      <c r="O141" s="253"/>
      <c r="P141" s="25"/>
      <c r="Q141" s="17"/>
      <c r="R141" s="17"/>
      <c r="S141" s="253"/>
      <c r="T141" s="25"/>
      <c r="U141" s="17"/>
      <c r="V141" s="17"/>
      <c r="W141" s="253"/>
      <c r="X141" s="25"/>
      <c r="Y141" s="17"/>
      <c r="Z141" s="17"/>
      <c r="AA141" s="253"/>
      <c r="AB141" s="25"/>
      <c r="AC141" s="17"/>
      <c r="AD141" s="17"/>
      <c r="AE141" s="251"/>
      <c r="AF141" s="250"/>
      <c r="AG141" s="250"/>
      <c r="AH141" s="250"/>
      <c r="AI141" s="251"/>
      <c r="AJ141" s="250"/>
      <c r="AK141" s="250"/>
      <c r="AL141" s="250"/>
      <c r="AM141" s="250"/>
      <c r="AN141" s="389"/>
      <c r="AO141" s="250"/>
      <c r="AP141" s="250"/>
      <c r="AQ141" s="250"/>
      <c r="AR141" s="389"/>
      <c r="AS141" s="250"/>
      <c r="AT141" s="250"/>
      <c r="AU141" s="250"/>
      <c r="AV141" s="389"/>
      <c r="AW141" s="250"/>
      <c r="AX141" s="250">
        <f t="shared" si="599"/>
        <v>5.4</v>
      </c>
      <c r="AY141" s="250"/>
      <c r="AZ141" s="389"/>
      <c r="BA141" s="250">
        <f t="shared" si="599"/>
        <v>0</v>
      </c>
      <c r="BB141" s="250">
        <f t="shared" si="599"/>
        <v>0</v>
      </c>
      <c r="BC141" s="251">
        <f t="shared" si="599"/>
        <v>0</v>
      </c>
      <c r="BD141" s="389"/>
      <c r="BE141" s="250"/>
      <c r="BF141" s="250"/>
      <c r="BG141" s="251"/>
      <c r="BH141" s="389"/>
      <c r="BI141" s="250"/>
      <c r="BJ141" s="250"/>
      <c r="BK141" s="251"/>
      <c r="BL141" s="1398"/>
      <c r="BM141" s="1392"/>
      <c r="BN141" s="1392"/>
      <c r="BO141" s="1393"/>
      <c r="BP141" s="253"/>
      <c r="BQ141" s="25"/>
      <c r="BR141" s="17"/>
      <c r="BS141" s="17"/>
      <c r="BT141" s="17"/>
      <c r="BU141" s="17"/>
      <c r="BV141" s="17"/>
      <c r="BW141" s="17"/>
      <c r="BX141" s="389"/>
      <c r="BY141" s="389"/>
      <c r="BZ141" s="720"/>
      <c r="CA141" s="720"/>
      <c r="CB141" s="720"/>
      <c r="CC141" s="250"/>
      <c r="CD141" s="1392"/>
      <c r="CE141" s="1392"/>
      <c r="CF141" s="1393"/>
      <c r="CG141" s="25"/>
      <c r="CH141" s="8"/>
      <c r="CI141" s="8"/>
      <c r="CJ141" s="8"/>
      <c r="CK141" s="8"/>
      <c r="CL141" s="8"/>
      <c r="CM141" s="8"/>
      <c r="CN141" s="8"/>
      <c r="CO141" s="8"/>
      <c r="CP141" s="8"/>
      <c r="CQ141" s="8"/>
      <c r="CR141" s="8"/>
      <c r="CS141" s="8"/>
      <c r="CT141" s="8"/>
      <c r="CU141" s="8"/>
      <c r="CV141" s="8"/>
      <c r="CW141" s="8"/>
    </row>
    <row r="142" spans="1:101" ht="14.25" customHeight="1">
      <c r="A142" s="8"/>
      <c r="B142" s="733" t="s">
        <v>515</v>
      </c>
      <c r="C142" s="253"/>
      <c r="D142" s="25"/>
      <c r="E142" s="17"/>
      <c r="F142" s="17"/>
      <c r="G142" s="253"/>
      <c r="H142" s="25"/>
      <c r="I142" s="17"/>
      <c r="J142" s="17"/>
      <c r="K142" s="253"/>
      <c r="L142" s="25"/>
      <c r="M142" s="17"/>
      <c r="N142" s="17"/>
      <c r="O142" s="253"/>
      <c r="P142" s="25"/>
      <c r="Q142" s="17"/>
      <c r="R142" s="17"/>
      <c r="S142" s="253"/>
      <c r="T142" s="25"/>
      <c r="U142" s="17"/>
      <c r="V142" s="17"/>
      <c r="W142" s="253"/>
      <c r="X142" s="25"/>
      <c r="Y142" s="17"/>
      <c r="Z142" s="17"/>
      <c r="AA142" s="253"/>
      <c r="AB142" s="25"/>
      <c r="AC142" s="17"/>
      <c r="AD142" s="17"/>
      <c r="AE142" s="251"/>
      <c r="AF142" s="250"/>
      <c r="AG142" s="250"/>
      <c r="AH142" s="250"/>
      <c r="AI142" s="251"/>
      <c r="AJ142" s="250"/>
      <c r="AK142" s="250"/>
      <c r="AL142" s="250">
        <f>+AL132*AL109/4</f>
        <v>3.59375</v>
      </c>
      <c r="AM142" s="250">
        <f>+AM132*AM109/4</f>
        <v>3.59375</v>
      </c>
      <c r="AN142" s="389">
        <f>+AN132*AN109/4</f>
        <v>3.59375</v>
      </c>
      <c r="AO142" s="250">
        <f t="shared" ref="AO142:AX142" si="600">+AO132*AO109/4</f>
        <v>3.59375</v>
      </c>
      <c r="AP142" s="250">
        <f t="shared" si="600"/>
        <v>3.59375</v>
      </c>
      <c r="AQ142" s="250">
        <f t="shared" si="600"/>
        <v>3.59375</v>
      </c>
      <c r="AR142" s="389">
        <f>+AR132*AR109/4</f>
        <v>3.59375</v>
      </c>
      <c r="AS142" s="250">
        <f>+AS132*AS109/4</f>
        <v>3.59375</v>
      </c>
      <c r="AT142" s="250">
        <f t="shared" si="600"/>
        <v>3.59375</v>
      </c>
      <c r="AU142" s="250">
        <f t="shared" si="600"/>
        <v>3.59375</v>
      </c>
      <c r="AV142" s="389">
        <f>+AV132*AV109/4</f>
        <v>3.59375</v>
      </c>
      <c r="AW142" s="250">
        <f t="shared" si="600"/>
        <v>3.59375</v>
      </c>
      <c r="AX142" s="250">
        <f t="shared" si="600"/>
        <v>3.59375</v>
      </c>
      <c r="AY142" s="250">
        <f t="shared" ref="AY142" si="601">+AY132*AY109/4</f>
        <v>3.59375</v>
      </c>
      <c r="AZ142" s="389">
        <f>+AZ132*AZ109/4</f>
        <v>3.59375</v>
      </c>
      <c r="BA142" s="250">
        <f t="shared" ref="BA142:BG142" si="602">+BA132*BA109/4</f>
        <v>3.59375</v>
      </c>
      <c r="BB142" s="250">
        <f t="shared" si="602"/>
        <v>3.59375</v>
      </c>
      <c r="BC142" s="251">
        <f t="shared" si="602"/>
        <v>3.59375</v>
      </c>
      <c r="BD142" s="389">
        <f t="shared" si="602"/>
        <v>3.59375</v>
      </c>
      <c r="BE142" s="250">
        <f t="shared" si="602"/>
        <v>3.59375</v>
      </c>
      <c r="BF142" s="250">
        <f t="shared" si="602"/>
        <v>3.59375</v>
      </c>
      <c r="BG142" s="251">
        <f t="shared" si="602"/>
        <v>3.59375</v>
      </c>
      <c r="BH142" s="389">
        <f t="shared" ref="BH142:BK142" si="603">+BH132*BH109/4</f>
        <v>3.59375</v>
      </c>
      <c r="BI142" s="250">
        <f t="shared" si="603"/>
        <v>3.59375</v>
      </c>
      <c r="BJ142" s="250">
        <f t="shared" si="603"/>
        <v>3.59375</v>
      </c>
      <c r="BK142" s="251">
        <f t="shared" si="603"/>
        <v>3.59375</v>
      </c>
      <c r="BL142" s="1398">
        <f t="shared" ref="BL142:BO142" si="604">+BL132*BL109/4</f>
        <v>3.59375</v>
      </c>
      <c r="BM142" s="1392">
        <f t="shared" si="604"/>
        <v>3.59375</v>
      </c>
      <c r="BN142" s="1392">
        <f t="shared" si="604"/>
        <v>3.59375</v>
      </c>
      <c r="BO142" s="1393">
        <f t="shared" si="604"/>
        <v>3.59375</v>
      </c>
      <c r="BP142" s="253"/>
      <c r="BQ142" s="25"/>
      <c r="BR142" s="17"/>
      <c r="BS142" s="17"/>
      <c r="BT142" s="17"/>
      <c r="BU142" s="17"/>
      <c r="BV142" s="17"/>
      <c r="BW142" s="17"/>
      <c r="BX142" s="389"/>
      <c r="BY142" s="389"/>
      <c r="BZ142" s="720"/>
      <c r="CA142" s="720"/>
      <c r="CB142" s="720"/>
      <c r="CC142" s="250"/>
      <c r="CD142" s="1392"/>
      <c r="CE142" s="1392"/>
      <c r="CF142" s="1393"/>
      <c r="CG142" s="25"/>
      <c r="CH142" s="8"/>
      <c r="CI142" s="8"/>
      <c r="CJ142" s="8"/>
      <c r="CK142" s="8"/>
      <c r="CL142" s="8"/>
      <c r="CM142" s="8"/>
      <c r="CN142" s="8"/>
      <c r="CO142" s="8"/>
      <c r="CP142" s="8"/>
      <c r="CQ142" s="8"/>
      <c r="CR142" s="8"/>
      <c r="CS142" s="8"/>
      <c r="CT142" s="8"/>
      <c r="CU142" s="8"/>
      <c r="CV142" s="8"/>
      <c r="CW142" s="8"/>
    </row>
    <row r="143" spans="1:101" ht="14.25" customHeight="1">
      <c r="A143" s="8"/>
      <c r="B143" s="870" t="s">
        <v>347</v>
      </c>
      <c r="C143" s="253"/>
      <c r="D143" s="25"/>
      <c r="E143" s="17"/>
      <c r="F143" s="17"/>
      <c r="G143" s="253"/>
      <c r="H143" s="25"/>
      <c r="I143" s="17"/>
      <c r="J143" s="17"/>
      <c r="K143" s="253"/>
      <c r="L143" s="25"/>
      <c r="M143" s="17"/>
      <c r="N143" s="17"/>
      <c r="O143" s="253"/>
      <c r="P143" s="25"/>
      <c r="Q143" s="17"/>
      <c r="R143" s="17"/>
      <c r="S143" s="253"/>
      <c r="T143" s="25"/>
      <c r="U143" s="17"/>
      <c r="V143" s="17"/>
      <c r="W143" s="253"/>
      <c r="X143" s="25"/>
      <c r="Y143" s="17"/>
      <c r="Z143" s="17"/>
      <c r="AA143" s="253"/>
      <c r="AB143" s="25"/>
      <c r="AC143" s="17"/>
      <c r="AD143" s="17"/>
      <c r="AE143" s="251">
        <f t="shared" ref="AE143:AM143" si="605">AE122*AE133/4</f>
        <v>2.390625</v>
      </c>
      <c r="AF143" s="250">
        <f t="shared" si="605"/>
        <v>2.390625</v>
      </c>
      <c r="AG143" s="250">
        <f t="shared" si="605"/>
        <v>2.390625</v>
      </c>
      <c r="AH143" s="250">
        <f t="shared" si="605"/>
        <v>2.390625</v>
      </c>
      <c r="AI143" s="251">
        <f t="shared" si="605"/>
        <v>2.390625</v>
      </c>
      <c r="AJ143" s="250">
        <f t="shared" si="605"/>
        <v>2.390625</v>
      </c>
      <c r="AK143" s="250">
        <f t="shared" si="605"/>
        <v>2.390625</v>
      </c>
      <c r="AL143" s="250">
        <f t="shared" si="605"/>
        <v>2.390625</v>
      </c>
      <c r="AM143" s="250">
        <f t="shared" si="605"/>
        <v>2.390625</v>
      </c>
      <c r="AN143" s="389"/>
      <c r="AO143" s="250"/>
      <c r="AP143" s="250"/>
      <c r="AQ143" s="250"/>
      <c r="AR143" s="389"/>
      <c r="AS143" s="250"/>
      <c r="AT143" s="250"/>
      <c r="AU143" s="250"/>
      <c r="AV143" s="389"/>
      <c r="AW143" s="250"/>
      <c r="AX143" s="250"/>
      <c r="AY143" s="250"/>
      <c r="AZ143" s="389"/>
      <c r="BA143" s="250"/>
      <c r="BB143" s="250"/>
      <c r="BC143" s="251"/>
      <c r="BD143" s="389"/>
      <c r="BE143" s="250"/>
      <c r="BF143" s="250"/>
      <c r="BG143" s="251"/>
      <c r="BH143" s="389"/>
      <c r="BI143" s="250"/>
      <c r="BJ143" s="250"/>
      <c r="BK143" s="251"/>
      <c r="BL143" s="1398"/>
      <c r="BM143" s="1392"/>
      <c r="BN143" s="1392"/>
      <c r="BO143" s="1393"/>
      <c r="BP143" s="253"/>
      <c r="BQ143" s="25"/>
      <c r="BR143" s="17"/>
      <c r="BS143" s="17"/>
      <c r="BT143" s="17"/>
      <c r="BU143" s="17"/>
      <c r="BV143" s="17"/>
      <c r="BW143" s="17"/>
      <c r="BX143" s="389">
        <f>+SUM(AF143:AI143)</f>
        <v>9.5625</v>
      </c>
      <c r="BY143" s="389">
        <f>+SUM(AJ143:AM143)</f>
        <v>9.5625</v>
      </c>
      <c r="BZ143" s="720">
        <f>+SUM(AN143:AQ143)</f>
        <v>0</v>
      </c>
      <c r="CA143" s="720">
        <f>+SUM(AR143:AU143)</f>
        <v>0</v>
      </c>
      <c r="CB143" s="720">
        <f>+SUM(AV143:AY143)</f>
        <v>0</v>
      </c>
      <c r="CC143" s="250">
        <f t="shared" ref="CC143:CC144" si="606">+SUM(AZ143:BC143)</f>
        <v>0</v>
      </c>
      <c r="CD143" s="1392">
        <f t="shared" ref="CD143:CD144" si="607">+SUM(BD143:BG143)</f>
        <v>0</v>
      </c>
      <c r="CE143" s="1392">
        <f t="shared" ref="CE143:CE144" si="608">+SUM(BH143:BK143)</f>
        <v>0</v>
      </c>
      <c r="CF143" s="1393">
        <f t="shared" ref="CF143:CF144" si="609">+SUM(BL143:BO143)</f>
        <v>0</v>
      </c>
      <c r="CG143" s="25"/>
      <c r="CH143" s="8"/>
      <c r="CI143" s="8"/>
      <c r="CJ143" s="8"/>
      <c r="CK143" s="8"/>
      <c r="CL143" s="8"/>
      <c r="CM143" s="8"/>
      <c r="CN143" s="8"/>
      <c r="CO143" s="8"/>
      <c r="CP143" s="8"/>
      <c r="CQ143" s="8"/>
      <c r="CR143" s="8"/>
      <c r="CS143" s="8"/>
      <c r="CT143" s="8"/>
      <c r="CU143" s="8"/>
      <c r="CV143" s="8"/>
      <c r="CW143" s="8"/>
    </row>
    <row r="144" spans="1:101" ht="14.25" customHeight="1">
      <c r="A144" s="675"/>
      <c r="B144" s="737" t="s">
        <v>196</v>
      </c>
      <c r="C144" s="946"/>
      <c r="D144" s="685"/>
      <c r="E144" s="799"/>
      <c r="F144" s="799"/>
      <c r="G144" s="946"/>
      <c r="H144" s="685"/>
      <c r="I144" s="799"/>
      <c r="J144" s="799"/>
      <c r="K144" s="946"/>
      <c r="L144" s="685"/>
      <c r="M144" s="799"/>
      <c r="N144" s="799"/>
      <c r="O144" s="946"/>
      <c r="P144" s="685"/>
      <c r="Q144" s="799"/>
      <c r="R144" s="799"/>
      <c r="S144" s="946"/>
      <c r="T144" s="685"/>
      <c r="U144" s="799"/>
      <c r="V144" s="799"/>
      <c r="W144" s="946"/>
      <c r="X144" s="685"/>
      <c r="Y144" s="799"/>
      <c r="Z144" s="799"/>
      <c r="AA144" s="946"/>
      <c r="AB144" s="685"/>
      <c r="AC144" s="799"/>
      <c r="AD144" s="799"/>
      <c r="AE144" s="747">
        <f t="shared" ref="AE144:AM144" si="610">+AE145-AE143-AE139-AE137</f>
        <v>3.1859806249999996</v>
      </c>
      <c r="AF144" s="800">
        <f t="shared" si="610"/>
        <v>3.8573400000000002</v>
      </c>
      <c r="AG144" s="800">
        <f t="shared" si="610"/>
        <v>4.0811993749999997</v>
      </c>
      <c r="AH144" s="800">
        <f t="shared" si="610"/>
        <v>3.6660587499999995</v>
      </c>
      <c r="AI144" s="747">
        <f t="shared" si="610"/>
        <v>3.745168125000002</v>
      </c>
      <c r="AJ144" s="250">
        <f t="shared" si="610"/>
        <v>4.0311406249999999</v>
      </c>
      <c r="AK144" s="250">
        <f t="shared" si="610"/>
        <v>3.974140625</v>
      </c>
      <c r="AL144" s="250">
        <f t="shared" si="610"/>
        <v>1.2891406249999997</v>
      </c>
      <c r="AM144" s="250">
        <f t="shared" si="610"/>
        <v>0.27614062499999892</v>
      </c>
      <c r="AN144" s="897"/>
      <c r="AO144" s="1057"/>
      <c r="AP144" s="1057"/>
      <c r="AQ144" s="1057"/>
      <c r="AR144" s="897"/>
      <c r="AS144" s="1057"/>
      <c r="AT144" s="1057"/>
      <c r="AU144" s="1057"/>
      <c r="AV144" s="897"/>
      <c r="AW144" s="1057"/>
      <c r="AX144" s="1057"/>
      <c r="AY144" s="1057"/>
      <c r="AZ144" s="897"/>
      <c r="BA144" s="1057"/>
      <c r="BB144" s="1057"/>
      <c r="BC144" s="1058"/>
      <c r="BD144" s="1056"/>
      <c r="BE144" s="1057"/>
      <c r="BF144" s="1057"/>
      <c r="BG144" s="1058"/>
      <c r="BH144" s="1056"/>
      <c r="BI144" s="1057"/>
      <c r="BJ144" s="1057"/>
      <c r="BK144" s="1058"/>
      <c r="BL144" s="1056"/>
      <c r="BM144" s="1057"/>
      <c r="BN144" s="1057"/>
      <c r="BO144" s="1058"/>
      <c r="BP144" s="946"/>
      <c r="BQ144" s="685"/>
      <c r="BR144" s="799"/>
      <c r="BS144" s="799"/>
      <c r="BT144" s="799"/>
      <c r="BU144" s="799"/>
      <c r="BV144" s="799"/>
      <c r="BW144" s="799"/>
      <c r="BX144" s="1019">
        <f>+SUM(AF144:AI144)</f>
        <v>15.349766250000002</v>
      </c>
      <c r="BY144" s="1398">
        <f>+SUM(AJ144:AM144)</f>
        <v>9.5705624999999976</v>
      </c>
      <c r="BZ144" s="720">
        <f>+SUM(AN144:AQ144)</f>
        <v>0</v>
      </c>
      <c r="CA144" s="720">
        <f>+SUM(AR144:AU144)</f>
        <v>0</v>
      </c>
      <c r="CB144" s="720">
        <f>+SUM(AV144:AY144)</f>
        <v>0</v>
      </c>
      <c r="CC144" s="1392">
        <f t="shared" si="606"/>
        <v>0</v>
      </c>
      <c r="CD144" s="1392">
        <f t="shared" si="607"/>
        <v>0</v>
      </c>
      <c r="CE144" s="1392">
        <f t="shared" si="608"/>
        <v>0</v>
      </c>
      <c r="CF144" s="1087">
        <f t="shared" si="609"/>
        <v>0</v>
      </c>
      <c r="CG144" s="685"/>
      <c r="CH144" s="675"/>
      <c r="CI144" s="675"/>
      <c r="CJ144" s="675"/>
      <c r="CK144" s="675"/>
      <c r="CL144" s="675"/>
      <c r="CM144" s="675"/>
      <c r="CN144" s="675"/>
      <c r="CO144" s="675"/>
      <c r="CP144" s="675"/>
      <c r="CQ144" s="675"/>
      <c r="CR144" s="675"/>
      <c r="CS144" s="675"/>
      <c r="CT144" s="675"/>
      <c r="CU144" s="675"/>
      <c r="CV144" s="675"/>
      <c r="CW144" s="675"/>
    </row>
    <row r="145" spans="1:101" ht="14.25" customHeight="1">
      <c r="A145" s="107"/>
      <c r="B145" s="719" t="s">
        <v>343</v>
      </c>
      <c r="C145" s="1037"/>
      <c r="D145" s="879"/>
      <c r="E145" s="801"/>
      <c r="F145" s="801"/>
      <c r="G145" s="1037"/>
      <c r="H145" s="879"/>
      <c r="I145" s="801"/>
      <c r="J145" s="801"/>
      <c r="K145" s="1037"/>
      <c r="L145" s="879"/>
      <c r="M145" s="801"/>
      <c r="N145" s="801"/>
      <c r="O145" s="1037"/>
      <c r="P145" s="879"/>
      <c r="Q145" s="801"/>
      <c r="R145" s="801"/>
      <c r="S145" s="1037"/>
      <c r="T145" s="879"/>
      <c r="U145" s="801"/>
      <c r="V145" s="801"/>
      <c r="W145" s="1037"/>
      <c r="X145" s="879"/>
      <c r="Y145" s="801"/>
      <c r="Z145" s="801"/>
      <c r="AA145" s="1037"/>
      <c r="AB145" s="879"/>
      <c r="AC145" s="801"/>
      <c r="AD145" s="801"/>
      <c r="AE145" s="1040">
        <f>-IS!AE75</f>
        <v>6.0789999999999997</v>
      </c>
      <c r="AF145" s="1039">
        <f>-IS!AF75</f>
        <v>6.6820000000000004</v>
      </c>
      <c r="AG145" s="1039">
        <f>-IS!AG75</f>
        <v>6.89</v>
      </c>
      <c r="AH145" s="1039">
        <f>-IS!AH75</f>
        <v>6.4589999999999996</v>
      </c>
      <c r="AI145" s="1040">
        <f>-IS!AI75</f>
        <v>6.3910000000000018</v>
      </c>
      <c r="AJ145" s="1039">
        <f>-IS!AJ75</f>
        <v>6.4139999999999997</v>
      </c>
      <c r="AK145" s="1039">
        <f>-IS!AK75</f>
        <v>6.3570000000000002</v>
      </c>
      <c r="AL145" s="1039">
        <f>-IS!AL75</f>
        <v>7.6719999999999997</v>
      </c>
      <c r="AM145" s="1040">
        <f>-IS!AM75</f>
        <v>6.6589999999999989</v>
      </c>
      <c r="AN145" s="1039">
        <f t="shared" ref="AN145:AX145" si="611">+SUM(AN139:AN144,AN136:AN137)</f>
        <v>7.59375</v>
      </c>
      <c r="AO145" s="1039">
        <f t="shared" si="611"/>
        <v>7.59375</v>
      </c>
      <c r="AP145" s="1039">
        <f t="shared" si="611"/>
        <v>7.59375</v>
      </c>
      <c r="AQ145" s="1040">
        <f t="shared" si="611"/>
        <v>7.59375</v>
      </c>
      <c r="AR145" s="1039">
        <f>+SUM(AR139:AR144,AR136:AR137)</f>
        <v>7.59375</v>
      </c>
      <c r="AS145" s="1039">
        <f>+SUM(AS139:AS144,AS136:AS137)</f>
        <v>7.59375</v>
      </c>
      <c r="AT145" s="1039">
        <f t="shared" si="611"/>
        <v>7.59375</v>
      </c>
      <c r="AU145" s="1040">
        <f t="shared" si="611"/>
        <v>7.59375</v>
      </c>
      <c r="AV145" s="1039">
        <f>+SUM(AV139:AV144,AV136:AV137)</f>
        <v>7.59375</v>
      </c>
      <c r="AW145" s="1039">
        <f t="shared" si="611"/>
        <v>7.59375</v>
      </c>
      <c r="AX145" s="1039">
        <f t="shared" si="611"/>
        <v>21.28125</v>
      </c>
      <c r="AY145" s="1040">
        <f t="shared" ref="AY145" si="612">+SUM(AY139:AY144,AY136:AY137)</f>
        <v>7.59375</v>
      </c>
      <c r="AZ145" s="1039">
        <f>+SUM(AZ139:AZ144,AZ136:AZ137)</f>
        <v>7.59375</v>
      </c>
      <c r="BA145" s="1039">
        <f t="shared" ref="BA145:BG145" si="613">+SUM(BA139:BA144,BA136:BA137)</f>
        <v>7.59375</v>
      </c>
      <c r="BB145" s="1039">
        <f t="shared" si="613"/>
        <v>7.59375</v>
      </c>
      <c r="BC145" s="1040">
        <f t="shared" si="613"/>
        <v>7.59375</v>
      </c>
      <c r="BD145" s="1038">
        <f t="shared" si="613"/>
        <v>7.59375</v>
      </c>
      <c r="BE145" s="1039">
        <f t="shared" si="613"/>
        <v>7.59375</v>
      </c>
      <c r="BF145" s="1039">
        <f t="shared" si="613"/>
        <v>7.59375</v>
      </c>
      <c r="BG145" s="1040">
        <f t="shared" si="613"/>
        <v>7.59375</v>
      </c>
      <c r="BH145" s="1038">
        <f t="shared" ref="BH145:BK145" si="614">+SUM(BH139:BH144,BH136:BH137)</f>
        <v>7.59375</v>
      </c>
      <c r="BI145" s="1039">
        <f t="shared" si="614"/>
        <v>7.59375</v>
      </c>
      <c r="BJ145" s="1039">
        <f t="shared" si="614"/>
        <v>7.59375</v>
      </c>
      <c r="BK145" s="1040">
        <f t="shared" si="614"/>
        <v>7.59375</v>
      </c>
      <c r="BL145" s="1038">
        <f t="shared" ref="BL145:BO145" si="615">+SUM(BL139:BL144,BL136:BL137)</f>
        <v>7.59375</v>
      </c>
      <c r="BM145" s="1039">
        <f t="shared" si="615"/>
        <v>7.59375</v>
      </c>
      <c r="BN145" s="1039">
        <f t="shared" si="615"/>
        <v>7.59375</v>
      </c>
      <c r="BO145" s="1040">
        <f t="shared" si="615"/>
        <v>7.59375</v>
      </c>
      <c r="BP145" s="345"/>
      <c r="BQ145" s="879"/>
      <c r="BR145" s="801"/>
      <c r="BS145" s="801"/>
      <c r="BT145" s="801"/>
      <c r="BU145" s="801"/>
      <c r="BV145" s="801"/>
      <c r="BW145" s="801"/>
      <c r="BX145" s="803">
        <f>+SUM(AF145:AI145)</f>
        <v>26.422000000000001</v>
      </c>
      <c r="BY145" s="1468">
        <f>+SUM(AJ145:AM145)</f>
        <v>27.102</v>
      </c>
      <c r="BZ145" s="1469">
        <f>+SUM(AN145:AQ145)</f>
        <v>30.375</v>
      </c>
      <c r="CA145" s="1469">
        <f>+SUM(AR145:AU145)</f>
        <v>30.375</v>
      </c>
      <c r="CB145" s="1469">
        <f>+SUM(AV145:AY145)</f>
        <v>44.0625</v>
      </c>
      <c r="CC145" s="1469">
        <f t="shared" ref="CC145" si="616">+SUM(AZ145:BC145)</f>
        <v>30.375</v>
      </c>
      <c r="CD145" s="1469">
        <f t="shared" ref="CD145" si="617">+SUM(BD145:BG145)</f>
        <v>30.375</v>
      </c>
      <c r="CE145" s="1469">
        <f t="shared" ref="CE145" si="618">+SUM(BH145:BK145)</f>
        <v>30.375</v>
      </c>
      <c r="CF145" s="802">
        <f t="shared" ref="CF145" si="619">+SUM(BL145:BO145)</f>
        <v>30.375</v>
      </c>
      <c r="CG145" s="344"/>
      <c r="CH145" s="107"/>
      <c r="CI145" s="107"/>
      <c r="CJ145" s="107"/>
      <c r="CK145" s="107"/>
      <c r="CL145" s="107"/>
      <c r="CM145" s="107"/>
      <c r="CN145" s="107"/>
      <c r="CO145" s="107"/>
      <c r="CP145" s="107"/>
      <c r="CQ145" s="107"/>
      <c r="CR145" s="107"/>
      <c r="CS145" s="107"/>
      <c r="CT145" s="107"/>
      <c r="CU145" s="107"/>
      <c r="CV145" s="107"/>
      <c r="CW145" s="107"/>
    </row>
    <row r="146" spans="1:101" ht="14.25" customHeight="1">
      <c r="A146" s="8"/>
      <c r="B146" s="871"/>
      <c r="C146" s="8"/>
      <c r="D146" s="8"/>
      <c r="E146" s="8"/>
      <c r="F146" s="8"/>
      <c r="G146" s="8"/>
      <c r="H146" s="8"/>
      <c r="I146" s="8"/>
      <c r="J146" s="8"/>
      <c r="K146" s="8"/>
      <c r="L146" s="8"/>
      <c r="M146" s="8"/>
      <c r="N146" s="8"/>
      <c r="O146" s="8"/>
      <c r="P146" s="8"/>
      <c r="Q146" s="8"/>
      <c r="R146" s="8"/>
      <c r="S146" s="8"/>
      <c r="T146" s="8"/>
      <c r="U146" s="8"/>
      <c r="V146" s="8"/>
      <c r="W146" s="8"/>
      <c r="X146" s="8"/>
      <c r="Y146" s="8"/>
      <c r="Z146" s="8"/>
      <c r="AA146" s="8"/>
      <c r="AB146" s="8"/>
      <c r="AC146" s="8"/>
      <c r="AD146" s="8"/>
      <c r="AE146" s="8"/>
      <c r="AF146" s="8"/>
      <c r="AG146" s="8"/>
      <c r="AH146" s="8"/>
      <c r="AI146" s="8"/>
      <c r="AJ146" s="8"/>
      <c r="AK146" s="8"/>
      <c r="AL146" s="8"/>
      <c r="AM146" s="8"/>
      <c r="AN146" s="8"/>
      <c r="AO146" s="8"/>
      <c r="AP146" s="8"/>
      <c r="AQ146" s="8"/>
      <c r="AR146" s="8"/>
      <c r="AS146" s="8"/>
      <c r="AT146" s="8"/>
      <c r="AU146" s="8"/>
      <c r="AV146" s="8"/>
      <c r="AW146" s="8"/>
      <c r="AX146" s="8"/>
      <c r="AY146" s="8"/>
      <c r="AZ146" s="8"/>
      <c r="BA146" s="8"/>
      <c r="BB146" s="8"/>
      <c r="BC146" s="8"/>
      <c r="BD146" s="8"/>
      <c r="BE146" s="8"/>
      <c r="BF146" s="8"/>
      <c r="BG146" s="8"/>
      <c r="BH146" s="8"/>
      <c r="BI146" s="8"/>
      <c r="BJ146" s="8"/>
      <c r="BK146" s="8"/>
      <c r="BL146" s="8"/>
      <c r="BM146" s="8"/>
      <c r="BN146" s="8"/>
      <c r="BO146" s="8"/>
      <c r="BP146" s="8"/>
      <c r="BQ146" s="8"/>
      <c r="BR146" s="8"/>
      <c r="BS146" s="8"/>
      <c r="BT146" s="8"/>
      <c r="BU146" s="17"/>
      <c r="BV146" s="8"/>
      <c r="BW146" s="8"/>
      <c r="BX146" s="17"/>
      <c r="BY146" s="8"/>
      <c r="BZ146" s="8"/>
      <c r="CA146" s="8"/>
      <c r="CB146" s="8"/>
      <c r="CC146" s="8"/>
      <c r="CD146" s="8"/>
      <c r="CE146" s="8"/>
      <c r="CF146" s="8"/>
      <c r="CG146" s="8"/>
      <c r="CH146" s="8"/>
      <c r="CI146" s="8"/>
      <c r="CJ146" s="8"/>
      <c r="CK146" s="8"/>
      <c r="CL146" s="8"/>
      <c r="CM146" s="8"/>
      <c r="CN146" s="8"/>
      <c r="CO146" s="8"/>
      <c r="CP146" s="8"/>
      <c r="CQ146" s="8"/>
      <c r="CR146" s="8"/>
      <c r="CS146" s="8"/>
      <c r="CT146" s="8"/>
      <c r="CU146" s="8"/>
      <c r="CV146" s="8"/>
      <c r="CW146" s="8"/>
    </row>
    <row r="147" spans="1:101" ht="14.25" customHeight="1">
      <c r="A147" s="8"/>
      <c r="B147" s="871"/>
      <c r="C147" s="8"/>
      <c r="D147" s="8"/>
      <c r="E147" s="8"/>
      <c r="F147" s="8"/>
      <c r="G147" s="8"/>
      <c r="H147" s="8"/>
      <c r="I147" s="8"/>
      <c r="J147" s="8"/>
      <c r="K147" s="8"/>
      <c r="L147" s="8"/>
      <c r="M147" s="8"/>
      <c r="N147" s="8"/>
      <c r="O147" s="8"/>
      <c r="P147" s="8"/>
      <c r="Q147" s="8"/>
      <c r="R147" s="8"/>
      <c r="S147" s="8"/>
      <c r="T147" s="8"/>
      <c r="U147" s="8"/>
      <c r="V147" s="8"/>
      <c r="W147" s="8"/>
      <c r="X147" s="8"/>
      <c r="Y147" s="8"/>
      <c r="Z147" s="8"/>
      <c r="AA147" s="8"/>
      <c r="AB147" s="8"/>
      <c r="AC147" s="8"/>
      <c r="AD147" s="8"/>
      <c r="AE147" s="8"/>
      <c r="AF147" s="8"/>
      <c r="AG147" s="8"/>
      <c r="AH147" s="8"/>
      <c r="AI147" s="8"/>
      <c r="AJ147" s="8"/>
      <c r="AK147" s="8"/>
      <c r="AL147" s="8"/>
      <c r="AM147" s="8"/>
      <c r="AN147" s="8"/>
      <c r="AO147" s="8"/>
      <c r="AP147" s="8"/>
      <c r="AQ147" s="8"/>
      <c r="AR147" s="8"/>
      <c r="AS147" s="8"/>
      <c r="AT147" s="8"/>
      <c r="AU147" s="8"/>
      <c r="AV147" s="8"/>
      <c r="AW147" s="8"/>
      <c r="AX147" s="8"/>
      <c r="AY147" s="8"/>
      <c r="AZ147" s="8"/>
      <c r="BA147" s="8"/>
      <c r="BB147" s="8"/>
      <c r="BC147" s="8"/>
      <c r="BD147" s="8"/>
      <c r="BE147" s="8"/>
      <c r="BF147" s="8"/>
      <c r="BG147" s="8"/>
      <c r="BH147" s="8"/>
      <c r="BI147" s="8"/>
      <c r="BJ147" s="8"/>
      <c r="BK147" s="8"/>
      <c r="BL147" s="8"/>
      <c r="BM147" s="8"/>
      <c r="BN147" s="8"/>
      <c r="BO147" s="8"/>
      <c r="BP147" s="8"/>
      <c r="BQ147" s="8"/>
      <c r="BR147" s="8"/>
      <c r="BS147" s="8"/>
      <c r="BT147" s="8"/>
      <c r="BU147" s="17"/>
      <c r="BV147" s="8"/>
      <c r="BW147" s="8"/>
      <c r="BX147" s="17"/>
      <c r="BY147" s="8"/>
      <c r="BZ147" s="8"/>
      <c r="CA147" s="8"/>
      <c r="CB147" s="8"/>
      <c r="CC147" s="8"/>
      <c r="CD147" s="8"/>
      <c r="CE147" s="8"/>
      <c r="CF147" s="8"/>
      <c r="CG147" s="8"/>
      <c r="CH147" s="8"/>
      <c r="CI147" s="8"/>
      <c r="CJ147" s="8"/>
      <c r="CK147" s="8"/>
      <c r="CL147" s="8"/>
      <c r="CM147" s="8"/>
      <c r="CN147" s="8"/>
      <c r="CO147" s="8"/>
      <c r="CP147" s="8"/>
      <c r="CQ147" s="8"/>
      <c r="CR147" s="8"/>
      <c r="CS147" s="8"/>
      <c r="CT147" s="8"/>
      <c r="CU147" s="8"/>
      <c r="CV147" s="8"/>
      <c r="CW147" s="8"/>
    </row>
    <row r="148" spans="1:101" ht="14.25" customHeight="1">
      <c r="A148" s="8"/>
      <c r="B148" s="713" t="s">
        <v>477</v>
      </c>
      <c r="C148" s="739"/>
      <c r="D148" s="811" t="str">
        <f t="shared" ref="D148:AE148" si="620">+D$9</f>
        <v>F1Q05A</v>
      </c>
      <c r="E148" s="811" t="str">
        <f t="shared" si="620"/>
        <v>F2Q05A</v>
      </c>
      <c r="F148" s="811" t="str">
        <f t="shared" si="620"/>
        <v>F3Q05A</v>
      </c>
      <c r="G148" s="812" t="str">
        <f t="shared" si="620"/>
        <v>F4Q05A</v>
      </c>
      <c r="H148" s="811" t="str">
        <f t="shared" si="620"/>
        <v>F1Q06A</v>
      </c>
      <c r="I148" s="811" t="str">
        <f t="shared" si="620"/>
        <v>F2Q06A</v>
      </c>
      <c r="J148" s="811" t="str">
        <f t="shared" si="620"/>
        <v>F3Q06A</v>
      </c>
      <c r="K148" s="812" t="str">
        <f t="shared" si="620"/>
        <v>F4Q06A</v>
      </c>
      <c r="L148" s="811" t="str">
        <f t="shared" si="620"/>
        <v>F1Q07A</v>
      </c>
      <c r="M148" s="811" t="str">
        <f t="shared" si="620"/>
        <v>F2Q07A</v>
      </c>
      <c r="N148" s="811" t="str">
        <f t="shared" si="620"/>
        <v>F3Q07A</v>
      </c>
      <c r="O148" s="812" t="str">
        <f t="shared" si="620"/>
        <v>F4Q07A</v>
      </c>
      <c r="P148" s="811" t="str">
        <f t="shared" si="620"/>
        <v>F1Q08A</v>
      </c>
      <c r="Q148" s="811" t="str">
        <f t="shared" si="620"/>
        <v>F2Q08A</v>
      </c>
      <c r="R148" s="811" t="str">
        <f t="shared" si="620"/>
        <v>F3Q08A</v>
      </c>
      <c r="S148" s="812" t="str">
        <f t="shared" si="620"/>
        <v>F4Q08A</v>
      </c>
      <c r="T148" s="811" t="str">
        <f t="shared" si="620"/>
        <v>F1Q09A</v>
      </c>
      <c r="U148" s="811" t="str">
        <f t="shared" si="620"/>
        <v>F2Q09A</v>
      </c>
      <c r="V148" s="811" t="str">
        <f t="shared" si="620"/>
        <v>F3Q09A</v>
      </c>
      <c r="W148" s="812" t="str">
        <f t="shared" si="620"/>
        <v>F4Q09A</v>
      </c>
      <c r="X148" s="811" t="str">
        <f t="shared" si="620"/>
        <v>F1Q10A</v>
      </c>
      <c r="Y148" s="811" t="str">
        <f t="shared" si="620"/>
        <v>F2Q10A</v>
      </c>
      <c r="Z148" s="811" t="str">
        <f t="shared" si="620"/>
        <v>F3Q10A</v>
      </c>
      <c r="AA148" s="812" t="str">
        <f t="shared" si="620"/>
        <v>F4Q10A</v>
      </c>
      <c r="AB148" s="811" t="str">
        <f t="shared" si="620"/>
        <v>F1Q11A</v>
      </c>
      <c r="AC148" s="811" t="str">
        <f t="shared" si="620"/>
        <v>F2Q11A</v>
      </c>
      <c r="AD148" s="811" t="str">
        <f t="shared" si="620"/>
        <v>F3Q11A</v>
      </c>
      <c r="AE148" s="812" t="str">
        <f t="shared" si="620"/>
        <v>F4Q11A</v>
      </c>
      <c r="AF148" s="811" t="str">
        <f>+AF$9</f>
        <v>F1Q12A</v>
      </c>
      <c r="AG148" s="811" t="str">
        <f t="shared" ref="AG148:CF148" si="621">+AG$9</f>
        <v>F2Q12A</v>
      </c>
      <c r="AH148" s="811" t="str">
        <f t="shared" si="621"/>
        <v>F3Q12A</v>
      </c>
      <c r="AI148" s="812" t="str">
        <f t="shared" si="621"/>
        <v>F4Q12A</v>
      </c>
      <c r="AJ148" s="811" t="str">
        <f t="shared" si="621"/>
        <v>F1Q13A</v>
      </c>
      <c r="AK148" s="811" t="str">
        <f t="shared" si="621"/>
        <v>F2Q13A</v>
      </c>
      <c r="AL148" s="811" t="str">
        <f t="shared" si="621"/>
        <v>F3Q13A</v>
      </c>
      <c r="AM148" s="812" t="str">
        <f t="shared" si="621"/>
        <v>F4Q13A</v>
      </c>
      <c r="AN148" s="811" t="str">
        <f t="shared" si="621"/>
        <v>F1Q14A</v>
      </c>
      <c r="AO148" s="811" t="str">
        <f t="shared" si="621"/>
        <v>F2Q14A</v>
      </c>
      <c r="AP148" s="811" t="str">
        <f t="shared" si="621"/>
        <v>F3Q14A</v>
      </c>
      <c r="AQ148" s="812" t="str">
        <f t="shared" si="621"/>
        <v>F4Q14A</v>
      </c>
      <c r="AR148" s="811" t="str">
        <f t="shared" si="621"/>
        <v>F1Q15A</v>
      </c>
      <c r="AS148" s="811" t="str">
        <f t="shared" si="621"/>
        <v>F2Q15A</v>
      </c>
      <c r="AT148" s="811" t="str">
        <f t="shared" si="621"/>
        <v>F3Q15A</v>
      </c>
      <c r="AU148" s="812" t="str">
        <f t="shared" si="621"/>
        <v>F4Q15A</v>
      </c>
      <c r="AV148" s="811" t="str">
        <f t="shared" si="621"/>
        <v>F1Q16A</v>
      </c>
      <c r="AW148" s="811" t="str">
        <f t="shared" si="621"/>
        <v>F2Q16A</v>
      </c>
      <c r="AX148" s="811" t="str">
        <f t="shared" si="621"/>
        <v>F3Q16A</v>
      </c>
      <c r="AY148" s="812" t="str">
        <f t="shared" si="621"/>
        <v>F4Q16A</v>
      </c>
      <c r="AZ148" s="811" t="str">
        <f t="shared" si="621"/>
        <v>F1Q17A</v>
      </c>
      <c r="BA148" s="811" t="str">
        <f t="shared" si="621"/>
        <v>F2Q17A</v>
      </c>
      <c r="BB148" s="811" t="str">
        <f t="shared" si="621"/>
        <v>F3Q17A</v>
      </c>
      <c r="BC148" s="812" t="str">
        <f t="shared" si="621"/>
        <v>F4Q17A</v>
      </c>
      <c r="BD148" s="811" t="str">
        <f t="shared" si="621"/>
        <v>F1Q18A</v>
      </c>
      <c r="BE148" s="811" t="str">
        <f t="shared" si="621"/>
        <v>F2Q18E</v>
      </c>
      <c r="BF148" s="811" t="str">
        <f t="shared" si="621"/>
        <v>F3Q18E</v>
      </c>
      <c r="BG148" s="812" t="str">
        <f t="shared" si="621"/>
        <v>F4Q18E</v>
      </c>
      <c r="BH148" s="811" t="str">
        <f t="shared" si="621"/>
        <v>F1Q19E</v>
      </c>
      <c r="BI148" s="811" t="str">
        <f t="shared" si="621"/>
        <v>F2Q19E</v>
      </c>
      <c r="BJ148" s="811" t="str">
        <f t="shared" si="621"/>
        <v>F3Q19E</v>
      </c>
      <c r="BK148" s="812" t="str">
        <f t="shared" si="621"/>
        <v>F4Q19E</v>
      </c>
      <c r="BL148" s="811" t="str">
        <f t="shared" si="621"/>
        <v>F1Q20E</v>
      </c>
      <c r="BM148" s="811" t="str">
        <f t="shared" si="621"/>
        <v>F2Q20E</v>
      </c>
      <c r="BN148" s="811" t="str">
        <f t="shared" si="621"/>
        <v>F3Q20E</v>
      </c>
      <c r="BO148" s="812" t="str">
        <f t="shared" si="621"/>
        <v>F4Q20E</v>
      </c>
      <c r="BP148" s="23"/>
      <c r="BQ148" s="878" t="str">
        <f t="shared" si="621"/>
        <v>FY2005A</v>
      </c>
      <c r="BR148" s="811" t="str">
        <f t="shared" si="621"/>
        <v>FY2006A</v>
      </c>
      <c r="BS148" s="811" t="str">
        <f t="shared" si="621"/>
        <v>FY2007A</v>
      </c>
      <c r="BT148" s="811" t="str">
        <f t="shared" si="621"/>
        <v>FY2008A</v>
      </c>
      <c r="BU148" s="811" t="str">
        <f t="shared" si="621"/>
        <v>FY2009A</v>
      </c>
      <c r="BV148" s="811" t="str">
        <f t="shared" si="621"/>
        <v>FY2010A</v>
      </c>
      <c r="BW148" s="811" t="str">
        <f t="shared" si="621"/>
        <v>FY2011A</v>
      </c>
      <c r="BX148" s="878" t="str">
        <f t="shared" si="621"/>
        <v>FY2012A</v>
      </c>
      <c r="BY148" s="811" t="str">
        <f t="shared" si="621"/>
        <v>FY2013A</v>
      </c>
      <c r="BZ148" s="811" t="str">
        <f t="shared" si="621"/>
        <v>FY2014A</v>
      </c>
      <c r="CA148" s="811" t="str">
        <f t="shared" si="621"/>
        <v>FY2015A</v>
      </c>
      <c r="CB148" s="811" t="str">
        <f t="shared" si="621"/>
        <v>FY2016A</v>
      </c>
      <c r="CC148" s="811" t="str">
        <f t="shared" si="621"/>
        <v>FY2017A</v>
      </c>
      <c r="CD148" s="811" t="str">
        <f t="shared" si="621"/>
        <v>FY2018E</v>
      </c>
      <c r="CE148" s="811" t="str">
        <f t="shared" si="621"/>
        <v>FY2019E</v>
      </c>
      <c r="CF148" s="812" t="str">
        <f t="shared" si="621"/>
        <v>FY2020E</v>
      </c>
      <c r="CG148" s="25"/>
      <c r="CH148" s="8"/>
      <c r="CI148" s="8"/>
      <c r="CJ148" s="8"/>
      <c r="CK148" s="8"/>
      <c r="CL148" s="8"/>
      <c r="CM148" s="8"/>
      <c r="CN148" s="8"/>
      <c r="CO148" s="8"/>
      <c r="CP148" s="8"/>
      <c r="CQ148" s="8"/>
      <c r="CR148" s="8"/>
      <c r="CS148" s="8"/>
      <c r="CT148" s="8"/>
      <c r="CU148" s="8"/>
      <c r="CV148" s="8"/>
      <c r="CW148" s="8"/>
    </row>
    <row r="149" spans="1:101" ht="14.25" customHeight="1">
      <c r="A149" s="8"/>
      <c r="B149" s="714" t="s">
        <v>337</v>
      </c>
      <c r="C149" s="17"/>
      <c r="D149" s="17"/>
      <c r="E149" s="17"/>
      <c r="F149" s="17"/>
      <c r="G149" s="247"/>
      <c r="H149" s="17"/>
      <c r="I149" s="17"/>
      <c r="J149" s="17"/>
      <c r="K149" s="247"/>
      <c r="L149" s="17"/>
      <c r="M149" s="17"/>
      <c r="N149" s="17"/>
      <c r="O149" s="247"/>
      <c r="P149" s="17"/>
      <c r="Q149" s="17"/>
      <c r="R149" s="17"/>
      <c r="S149" s="247"/>
      <c r="T149" s="17"/>
      <c r="U149" s="17"/>
      <c r="V149" s="17"/>
      <c r="W149" s="247"/>
      <c r="X149" s="17"/>
      <c r="Y149" s="17"/>
      <c r="Z149" s="17"/>
      <c r="AA149" s="247"/>
      <c r="AB149" s="17"/>
      <c r="AC149" s="17"/>
      <c r="AD149" s="17"/>
      <c r="AE149" s="247"/>
      <c r="AF149" s="17"/>
      <c r="AG149" s="17"/>
      <c r="AH149" s="17"/>
      <c r="AI149" s="247"/>
      <c r="AJ149" s="17"/>
      <c r="AK149" s="17"/>
      <c r="AL149" s="17"/>
      <c r="AM149" s="247"/>
      <c r="AN149" s="17"/>
      <c r="AO149" s="8"/>
      <c r="AP149" s="8"/>
      <c r="AQ149" s="247"/>
      <c r="AR149" s="17"/>
      <c r="AS149" s="8"/>
      <c r="AT149" s="8"/>
      <c r="AU149" s="247"/>
      <c r="AV149" s="17"/>
      <c r="AW149" s="17"/>
      <c r="AX149" s="17"/>
      <c r="AY149" s="247"/>
      <c r="AZ149" s="17"/>
      <c r="BA149" s="17"/>
      <c r="BB149" s="17"/>
      <c r="BC149" s="247"/>
      <c r="BD149" s="17"/>
      <c r="BE149" s="17"/>
      <c r="BF149" s="17"/>
      <c r="BG149" s="247"/>
      <c r="BH149" s="17"/>
      <c r="BI149" s="17"/>
      <c r="BJ149" s="17"/>
      <c r="BK149" s="247"/>
      <c r="BL149" s="17"/>
      <c r="BM149" s="17"/>
      <c r="BN149" s="17"/>
      <c r="BO149" s="247"/>
      <c r="BP149" s="23"/>
      <c r="BQ149" s="25"/>
      <c r="BR149" s="17"/>
      <c r="BS149" s="17"/>
      <c r="BT149" s="17"/>
      <c r="BU149" s="17"/>
      <c r="BV149" s="17"/>
      <c r="BW149" s="17"/>
      <c r="BX149" s="25"/>
      <c r="BY149" s="17"/>
      <c r="BZ149" s="17"/>
      <c r="CA149" s="17"/>
      <c r="CB149" s="17"/>
      <c r="CC149" s="17"/>
      <c r="CD149" s="17"/>
      <c r="CE149" s="17"/>
      <c r="CF149" s="253"/>
      <c r="CG149" s="25"/>
      <c r="CH149" s="8"/>
      <c r="CI149" s="8"/>
      <c r="CJ149" s="8"/>
      <c r="CK149" s="8"/>
      <c r="CL149" s="8"/>
      <c r="CM149" s="8"/>
      <c r="CN149" s="8"/>
      <c r="CO149" s="8"/>
      <c r="CP149" s="8"/>
      <c r="CQ149" s="8"/>
      <c r="CR149" s="8"/>
      <c r="CS149" s="8"/>
      <c r="CT149" s="8"/>
      <c r="CU149" s="8"/>
      <c r="CV149" s="8"/>
      <c r="CW149" s="8"/>
    </row>
    <row r="150" spans="1:101" ht="14.25" customHeight="1">
      <c r="A150" s="8"/>
      <c r="B150" s="364" t="s">
        <v>334</v>
      </c>
      <c r="C150" s="319"/>
      <c r="D150" s="319"/>
      <c r="E150" s="319"/>
      <c r="F150" s="319"/>
      <c r="G150" s="740"/>
      <c r="H150" s="319"/>
      <c r="I150" s="319"/>
      <c r="J150" s="319"/>
      <c r="K150" s="740"/>
      <c r="L150" s="319"/>
      <c r="M150" s="319"/>
      <c r="N150" s="319"/>
      <c r="O150" s="740"/>
      <c r="P150" s="319"/>
      <c r="Q150" s="319"/>
      <c r="R150" s="319"/>
      <c r="S150" s="740"/>
      <c r="T150" s="319"/>
      <c r="U150" s="319"/>
      <c r="V150" s="319"/>
      <c r="W150" s="740"/>
      <c r="X150" s="319"/>
      <c r="Y150" s="319"/>
      <c r="Z150" s="319"/>
      <c r="AA150" s="740"/>
      <c r="AB150" s="319">
        <f t="shared" ref="AB150:AM150" si="622">+AB84</f>
        <v>1570.3209999999999</v>
      </c>
      <c r="AC150" s="319">
        <f t="shared" si="622"/>
        <v>1894.761</v>
      </c>
      <c r="AD150" s="319">
        <f t="shared" si="622"/>
        <v>1357.8209999999999</v>
      </c>
      <c r="AE150" s="740">
        <f t="shared" si="622"/>
        <v>1405.1</v>
      </c>
      <c r="AF150" s="319">
        <f t="shared" si="622"/>
        <v>1097.442</v>
      </c>
      <c r="AG150" s="319">
        <f t="shared" si="622"/>
        <v>695.06600000000003</v>
      </c>
      <c r="AH150" s="319">
        <f t="shared" si="622"/>
        <v>462.149</v>
      </c>
      <c r="AI150" s="740">
        <f t="shared" si="622"/>
        <v>528.83299999999997</v>
      </c>
      <c r="AJ150" s="319">
        <f t="shared" si="622"/>
        <v>795.79700000000003</v>
      </c>
      <c r="AK150" s="319">
        <f t="shared" si="622"/>
        <v>595.63099999999997</v>
      </c>
      <c r="AL150" s="319">
        <f t="shared" si="622"/>
        <v>460.06799999999998</v>
      </c>
      <c r="AM150" s="740">
        <f t="shared" si="622"/>
        <v>392.089</v>
      </c>
      <c r="AN150" s="319">
        <f t="shared" ref="AN150:AX150" si="623">+AN84</f>
        <v>417.22699999999998</v>
      </c>
      <c r="AO150" s="319">
        <f t="shared" si="623"/>
        <v>402.79</v>
      </c>
      <c r="AP150" s="319">
        <f t="shared" si="623"/>
        <v>2585.4409999999998</v>
      </c>
      <c r="AQ150" s="740">
        <f t="shared" si="623"/>
        <v>569.23299999999995</v>
      </c>
      <c r="AR150" s="319">
        <f t="shared" si="623"/>
        <v>650.202</v>
      </c>
      <c r="AS150" s="319">
        <f>+AS84</f>
        <v>636.21600000000001</v>
      </c>
      <c r="AT150" s="319">
        <f t="shared" si="623"/>
        <v>557.49699999999996</v>
      </c>
      <c r="AU150" s="740">
        <f t="shared" si="623"/>
        <v>884.35299999999995</v>
      </c>
      <c r="AV150" s="319">
        <f>+AV84</f>
        <v>1470.442</v>
      </c>
      <c r="AW150" s="319">
        <f t="shared" si="623"/>
        <v>1119.662</v>
      </c>
      <c r="AX150" s="319">
        <f t="shared" si="623"/>
        <v>1103.67</v>
      </c>
      <c r="AY150" s="740">
        <f t="shared" ref="AY150" si="624">+AY84</f>
        <v>921.13199999999995</v>
      </c>
      <c r="AZ150" s="319">
        <f>+AZ84</f>
        <v>4987.2629999999999</v>
      </c>
      <c r="BA150" s="319">
        <f t="shared" ref="BA150:BG151" si="625">+BA84</f>
        <v>5697.7430000000004</v>
      </c>
      <c r="BB150" s="319">
        <f t="shared" si="625"/>
        <v>908.56899999999996</v>
      </c>
      <c r="BC150" s="740">
        <f t="shared" si="625"/>
        <v>1047.838</v>
      </c>
      <c r="BD150" s="319">
        <f t="shared" si="625"/>
        <v>827.55</v>
      </c>
      <c r="BE150" s="319">
        <f t="shared" si="625"/>
        <v>1111.7053304119615</v>
      </c>
      <c r="BF150" s="319">
        <f t="shared" si="625"/>
        <v>1520.3406509803087</v>
      </c>
      <c r="BG150" s="740">
        <f t="shared" si="625"/>
        <v>1926.2352739750215</v>
      </c>
      <c r="BH150" s="319">
        <f t="shared" ref="BH150:BK150" si="626">+BH84</f>
        <v>2319.3313591015026</v>
      </c>
      <c r="BI150" s="319">
        <f t="shared" si="626"/>
        <v>2681.4838836572239</v>
      </c>
      <c r="BJ150" s="319">
        <f t="shared" si="626"/>
        <v>3087.1134031443271</v>
      </c>
      <c r="BK150" s="740">
        <f t="shared" si="626"/>
        <v>3516.5028310373932</v>
      </c>
      <c r="BL150" s="319">
        <f t="shared" ref="BL150:BO150" si="627">+BL84</f>
        <v>3987.7089439085007</v>
      </c>
      <c r="BM150" s="319">
        <f t="shared" si="627"/>
        <v>4407.9462268106636</v>
      </c>
      <c r="BN150" s="319">
        <f t="shared" si="627"/>
        <v>4871.877877717603</v>
      </c>
      <c r="BO150" s="740">
        <f t="shared" si="627"/>
        <v>5357.1166106517285</v>
      </c>
      <c r="BP150" s="1162"/>
      <c r="BQ150" s="804"/>
      <c r="BR150" s="319"/>
      <c r="BS150" s="319"/>
      <c r="BT150" s="319"/>
      <c r="BU150" s="319"/>
      <c r="BV150" s="319"/>
      <c r="BW150" s="319">
        <f>+AE150</f>
        <v>1405.1</v>
      </c>
      <c r="BX150" s="804">
        <f>+AI150</f>
        <v>528.83299999999997</v>
      </c>
      <c r="BY150" s="319">
        <f>+AM150</f>
        <v>392.089</v>
      </c>
      <c r="BZ150" s="319">
        <f>+AQ150</f>
        <v>569.23299999999995</v>
      </c>
      <c r="CA150" s="319">
        <f>AU150</f>
        <v>884.35299999999995</v>
      </c>
      <c r="CB150" s="319">
        <f>AY150</f>
        <v>921.13199999999995</v>
      </c>
      <c r="CC150" s="319">
        <f>BC150</f>
        <v>1047.838</v>
      </c>
      <c r="CD150" s="319">
        <f>BG150</f>
        <v>1926.2352739750215</v>
      </c>
      <c r="CE150" s="319">
        <f>BK150</f>
        <v>3516.5028310373932</v>
      </c>
      <c r="CF150" s="740">
        <f>BO150</f>
        <v>5357.1166106517285</v>
      </c>
      <c r="CG150" s="25"/>
      <c r="CH150" s="8"/>
      <c r="CI150" s="8"/>
      <c r="CJ150" s="8"/>
      <c r="CK150" s="8"/>
      <c r="CL150" s="8"/>
      <c r="CM150" s="8"/>
      <c r="CN150" s="8"/>
      <c r="CO150" s="8"/>
      <c r="CP150" s="8"/>
      <c r="CQ150" s="8"/>
      <c r="CR150" s="8"/>
      <c r="CS150" s="8"/>
      <c r="CT150" s="8"/>
      <c r="CU150" s="8"/>
      <c r="CV150" s="8"/>
      <c r="CW150" s="8"/>
    </row>
    <row r="151" spans="1:101" ht="14.25" customHeight="1">
      <c r="A151" s="675"/>
      <c r="B151" s="676" t="s">
        <v>335</v>
      </c>
      <c r="C151" s="792"/>
      <c r="D151" s="792"/>
      <c r="E151" s="792"/>
      <c r="F151" s="792"/>
      <c r="G151" s="741"/>
      <c r="H151" s="792"/>
      <c r="I151" s="792"/>
      <c r="J151" s="792"/>
      <c r="K151" s="741"/>
      <c r="L151" s="792"/>
      <c r="M151" s="792"/>
      <c r="N151" s="792"/>
      <c r="O151" s="741"/>
      <c r="P151" s="792"/>
      <c r="Q151" s="792"/>
      <c r="R151" s="792"/>
      <c r="S151" s="741"/>
      <c r="T151" s="792"/>
      <c r="U151" s="792"/>
      <c r="V151" s="792"/>
      <c r="W151" s="741"/>
      <c r="X151" s="792"/>
      <c r="Y151" s="792"/>
      <c r="Z151" s="792"/>
      <c r="AA151" s="741"/>
      <c r="AB151" s="792">
        <f t="shared" ref="AB151:AM151" si="628">+AB85</f>
        <v>1390.7950000000001</v>
      </c>
      <c r="AC151" s="792">
        <f t="shared" si="628"/>
        <v>1536.604</v>
      </c>
      <c r="AD151" s="792">
        <f t="shared" si="628"/>
        <v>2156.7170000000001</v>
      </c>
      <c r="AE151" s="741">
        <f t="shared" si="628"/>
        <v>2187.3620000000001</v>
      </c>
      <c r="AF151" s="792">
        <f t="shared" si="628"/>
        <v>2569.9560000000001</v>
      </c>
      <c r="AG151" s="792">
        <f t="shared" si="628"/>
        <v>3057.5590000000002</v>
      </c>
      <c r="AH151" s="792">
        <f t="shared" si="628"/>
        <v>3302.8960000000002</v>
      </c>
      <c r="AI151" s="741">
        <f t="shared" si="628"/>
        <v>3371.5450000000001</v>
      </c>
      <c r="AJ151" s="792">
        <f t="shared" si="628"/>
        <v>3191.1819999999998</v>
      </c>
      <c r="AK151" s="792">
        <f t="shared" si="628"/>
        <v>3576.51</v>
      </c>
      <c r="AL151" s="792">
        <f t="shared" si="628"/>
        <v>3990.2249999999999</v>
      </c>
      <c r="AM151" s="741">
        <f t="shared" si="628"/>
        <v>4290.8230000000003</v>
      </c>
      <c r="AN151" s="792">
        <f t="shared" ref="AN151:AX151" si="629">+AN85</f>
        <v>4283.8819999999996</v>
      </c>
      <c r="AO151" s="792">
        <f t="shared" si="629"/>
        <v>4404.4350000000004</v>
      </c>
      <c r="AP151" s="792">
        <f t="shared" si="629"/>
        <v>2346.8180000000002</v>
      </c>
      <c r="AQ151" s="741">
        <f t="shared" si="629"/>
        <v>2297.2349999999997</v>
      </c>
      <c r="AR151" s="792">
        <f t="shared" si="629"/>
        <v>2223.0789999999997</v>
      </c>
      <c r="AS151" s="792">
        <f>+AS85</f>
        <v>2438.5619999999999</v>
      </c>
      <c r="AT151" s="792">
        <f t="shared" si="629"/>
        <v>2542.4639999999999</v>
      </c>
      <c r="AU151" s="741">
        <f t="shared" si="629"/>
        <v>2144.5749999999998</v>
      </c>
      <c r="AV151" s="792">
        <f>+AV85</f>
        <v>2319.0259999999998</v>
      </c>
      <c r="AW151" s="792">
        <f t="shared" si="629"/>
        <v>2634.4189999999999</v>
      </c>
      <c r="AX151" s="792">
        <f t="shared" si="629"/>
        <v>2699.7640000000001</v>
      </c>
      <c r="AY151" s="741">
        <f t="shared" ref="AY151" si="630">+AY85</f>
        <v>3134.6610000000001</v>
      </c>
      <c r="AZ151" s="792">
        <f>+AZ85</f>
        <v>1329.8029999999999</v>
      </c>
      <c r="BA151" s="792">
        <f t="shared" si="625"/>
        <v>490.62900000000002</v>
      </c>
      <c r="BB151" s="792">
        <f t="shared" si="625"/>
        <v>0</v>
      </c>
      <c r="BC151" s="741">
        <f t="shared" si="625"/>
        <v>0</v>
      </c>
      <c r="BD151" s="792">
        <f t="shared" si="625"/>
        <v>0</v>
      </c>
      <c r="BE151" s="792">
        <f t="shared" si="625"/>
        <v>0</v>
      </c>
      <c r="BF151" s="792">
        <f t="shared" si="625"/>
        <v>0</v>
      </c>
      <c r="BG151" s="741">
        <f t="shared" si="625"/>
        <v>0</v>
      </c>
      <c r="BH151" s="792">
        <f t="shared" ref="BH151:BK151" si="631">+BH85</f>
        <v>0</v>
      </c>
      <c r="BI151" s="792">
        <f t="shared" si="631"/>
        <v>0</v>
      </c>
      <c r="BJ151" s="792">
        <f t="shared" si="631"/>
        <v>0</v>
      </c>
      <c r="BK151" s="741">
        <f t="shared" si="631"/>
        <v>0</v>
      </c>
      <c r="BL151" s="792">
        <f t="shared" ref="BL151:BO151" si="632">+BL85</f>
        <v>0</v>
      </c>
      <c r="BM151" s="792">
        <f t="shared" si="632"/>
        <v>0</v>
      </c>
      <c r="BN151" s="792">
        <f t="shared" si="632"/>
        <v>0</v>
      </c>
      <c r="BO151" s="741">
        <f t="shared" si="632"/>
        <v>0</v>
      </c>
      <c r="BP151" s="1163"/>
      <c r="BQ151" s="805"/>
      <c r="BR151" s="792"/>
      <c r="BS151" s="792"/>
      <c r="BT151" s="792"/>
      <c r="BU151" s="792"/>
      <c r="BV151" s="792"/>
      <c r="BW151" s="792">
        <f>+AE151</f>
        <v>2187.3620000000001</v>
      </c>
      <c r="BX151" s="805">
        <f>+AI151</f>
        <v>3371.5450000000001</v>
      </c>
      <c r="BY151" s="792">
        <f>+AM151</f>
        <v>4290.8230000000003</v>
      </c>
      <c r="BZ151" s="792">
        <f>+AQ151</f>
        <v>2297.2349999999997</v>
      </c>
      <c r="CA151" s="792">
        <f>AU151</f>
        <v>2144.5749999999998</v>
      </c>
      <c r="CB151" s="792">
        <f>AY151</f>
        <v>3134.6610000000001</v>
      </c>
      <c r="CC151" s="792">
        <f>BC151</f>
        <v>0</v>
      </c>
      <c r="CD151" s="792">
        <f>BG151</f>
        <v>0</v>
      </c>
      <c r="CE151" s="792">
        <f>BK151</f>
        <v>0</v>
      </c>
      <c r="CF151" s="741">
        <f>BO151</f>
        <v>0</v>
      </c>
      <c r="CG151" s="685"/>
      <c r="CH151" s="675"/>
      <c r="CI151" s="675"/>
      <c r="CJ151" s="675"/>
      <c r="CK151" s="675"/>
      <c r="CL151" s="675"/>
      <c r="CM151" s="675"/>
      <c r="CN151" s="675"/>
      <c r="CO151" s="675"/>
      <c r="CP151" s="675"/>
      <c r="CQ151" s="675"/>
      <c r="CR151" s="675"/>
      <c r="CS151" s="675"/>
      <c r="CT151" s="675"/>
      <c r="CU151" s="675"/>
      <c r="CV151" s="675"/>
      <c r="CW151" s="675"/>
    </row>
    <row r="152" spans="1:101" ht="14.25" customHeight="1">
      <c r="A152" s="8"/>
      <c r="B152" s="364" t="s">
        <v>336</v>
      </c>
      <c r="C152" s="319"/>
      <c r="D152" s="319"/>
      <c r="E152" s="319"/>
      <c r="F152" s="319"/>
      <c r="G152" s="740"/>
      <c r="H152" s="319"/>
      <c r="I152" s="319"/>
      <c r="J152" s="319"/>
      <c r="K152" s="740"/>
      <c r="L152" s="319"/>
      <c r="M152" s="319"/>
      <c r="N152" s="319"/>
      <c r="O152" s="740"/>
      <c r="P152" s="319"/>
      <c r="Q152" s="319"/>
      <c r="R152" s="319"/>
      <c r="S152" s="740"/>
      <c r="T152" s="319"/>
      <c r="U152" s="319"/>
      <c r="V152" s="319"/>
      <c r="W152" s="740"/>
      <c r="X152" s="319"/>
      <c r="Y152" s="319"/>
      <c r="Z152" s="319"/>
      <c r="AA152" s="740"/>
      <c r="AB152" s="319">
        <f>+SUM(AB150:AB151)</f>
        <v>2961.116</v>
      </c>
      <c r="AC152" s="319">
        <f t="shared" ref="AC152:AI152" si="633">+SUM(AC150:AC151)</f>
        <v>3431.3649999999998</v>
      </c>
      <c r="AD152" s="319">
        <f t="shared" si="633"/>
        <v>3514.538</v>
      </c>
      <c r="AE152" s="740">
        <f t="shared" si="633"/>
        <v>3592.462</v>
      </c>
      <c r="AF152" s="319">
        <f t="shared" si="633"/>
        <v>3667.3980000000001</v>
      </c>
      <c r="AG152" s="319">
        <f t="shared" si="633"/>
        <v>3752.625</v>
      </c>
      <c r="AH152" s="319">
        <f t="shared" si="633"/>
        <v>3765.0450000000001</v>
      </c>
      <c r="AI152" s="740">
        <f t="shared" si="633"/>
        <v>3900.3780000000002</v>
      </c>
      <c r="AJ152" s="319">
        <f t="shared" ref="AJ152:AQ152" si="634">+SUM(AJ150:AJ151)</f>
        <v>3986.9789999999998</v>
      </c>
      <c r="AK152" s="319">
        <f t="shared" si="634"/>
        <v>4172.1410000000005</v>
      </c>
      <c r="AL152" s="319">
        <f t="shared" si="634"/>
        <v>4450.2929999999997</v>
      </c>
      <c r="AM152" s="740">
        <f t="shared" si="634"/>
        <v>4682.9120000000003</v>
      </c>
      <c r="AN152" s="319">
        <f t="shared" si="634"/>
        <v>4701.1089999999995</v>
      </c>
      <c r="AO152" s="319">
        <f t="shared" si="634"/>
        <v>4807.2250000000004</v>
      </c>
      <c r="AP152" s="319">
        <f t="shared" si="634"/>
        <v>4932.259</v>
      </c>
      <c r="AQ152" s="740">
        <f t="shared" si="634"/>
        <v>2866.4679999999998</v>
      </c>
      <c r="AR152" s="319">
        <f t="shared" ref="AR152:AX152" si="635">+SUM(AR150:AR151)</f>
        <v>2873.2809999999999</v>
      </c>
      <c r="AS152" s="319">
        <f>+SUM(AS150:AS151)</f>
        <v>3074.7779999999998</v>
      </c>
      <c r="AT152" s="319">
        <f t="shared" si="635"/>
        <v>3099.9609999999998</v>
      </c>
      <c r="AU152" s="740">
        <f t="shared" si="635"/>
        <v>3028.9279999999999</v>
      </c>
      <c r="AV152" s="319">
        <f>+SUM(AV150:AV151)</f>
        <v>3789.4679999999998</v>
      </c>
      <c r="AW152" s="319">
        <f t="shared" si="635"/>
        <v>3754.0810000000001</v>
      </c>
      <c r="AX152" s="319">
        <f t="shared" si="635"/>
        <v>3803.4340000000002</v>
      </c>
      <c r="AY152" s="740">
        <f t="shared" ref="AY152" si="636">+SUM(AY150:AY151)</f>
        <v>4055.7930000000001</v>
      </c>
      <c r="AZ152" s="319">
        <f>+SUM(AZ150:AZ151)</f>
        <v>6317.0659999999998</v>
      </c>
      <c r="BA152" s="319">
        <f t="shared" ref="BA152:BG152" si="637">+SUM(BA150:BA151)</f>
        <v>6188.3720000000003</v>
      </c>
      <c r="BB152" s="319">
        <f t="shared" si="637"/>
        <v>908.56899999999996</v>
      </c>
      <c r="BC152" s="740">
        <f t="shared" si="637"/>
        <v>1047.838</v>
      </c>
      <c r="BD152" s="319">
        <f t="shared" si="637"/>
        <v>827.55</v>
      </c>
      <c r="BE152" s="319">
        <f t="shared" si="637"/>
        <v>1111.7053304119615</v>
      </c>
      <c r="BF152" s="319">
        <f t="shared" si="637"/>
        <v>1520.3406509803087</v>
      </c>
      <c r="BG152" s="740">
        <f t="shared" si="637"/>
        <v>1926.2352739750215</v>
      </c>
      <c r="BH152" s="319">
        <f t="shared" ref="BH152:BK152" si="638">+SUM(BH150:BH151)</f>
        <v>2319.3313591015026</v>
      </c>
      <c r="BI152" s="319">
        <f t="shared" si="638"/>
        <v>2681.4838836572239</v>
      </c>
      <c r="BJ152" s="319">
        <f t="shared" si="638"/>
        <v>3087.1134031443271</v>
      </c>
      <c r="BK152" s="740">
        <f t="shared" si="638"/>
        <v>3516.5028310373932</v>
      </c>
      <c r="BL152" s="319">
        <f t="shared" ref="BL152:BO152" si="639">+SUM(BL150:BL151)</f>
        <v>3987.7089439085007</v>
      </c>
      <c r="BM152" s="319">
        <f t="shared" si="639"/>
        <v>4407.9462268106636</v>
      </c>
      <c r="BN152" s="319">
        <f t="shared" si="639"/>
        <v>4871.877877717603</v>
      </c>
      <c r="BO152" s="740">
        <f t="shared" si="639"/>
        <v>5357.1166106517285</v>
      </c>
      <c r="BP152" s="1162"/>
      <c r="BQ152" s="804"/>
      <c r="BR152" s="319"/>
      <c r="BS152" s="319"/>
      <c r="BT152" s="319"/>
      <c r="BU152" s="319"/>
      <c r="BV152" s="319"/>
      <c r="BW152" s="319">
        <f>+AE152</f>
        <v>3592.462</v>
      </c>
      <c r="BX152" s="804">
        <f>+AI152</f>
        <v>3900.3780000000002</v>
      </c>
      <c r="BY152" s="319">
        <f>+AM152</f>
        <v>4682.9120000000003</v>
      </c>
      <c r="BZ152" s="319">
        <f>+AQ152</f>
        <v>2866.4679999999998</v>
      </c>
      <c r="CA152" s="319">
        <f>AU152</f>
        <v>3028.9279999999999</v>
      </c>
      <c r="CB152" s="319">
        <f>AY152</f>
        <v>4055.7930000000001</v>
      </c>
      <c r="CC152" s="319">
        <f>BC152</f>
        <v>1047.838</v>
      </c>
      <c r="CD152" s="319">
        <f>BG152</f>
        <v>1926.2352739750215</v>
      </c>
      <c r="CE152" s="319">
        <f>BK152</f>
        <v>3516.5028310373932</v>
      </c>
      <c r="CF152" s="740">
        <f>BO152</f>
        <v>5357.1166106517285</v>
      </c>
      <c r="CG152" s="25"/>
      <c r="CH152" s="8"/>
      <c r="CI152" s="8"/>
      <c r="CJ152" s="8"/>
      <c r="CK152" s="8"/>
      <c r="CL152" s="8"/>
      <c r="CM152" s="8"/>
      <c r="CN152" s="8"/>
      <c r="CO152" s="8"/>
      <c r="CP152" s="8"/>
      <c r="CQ152" s="8"/>
      <c r="CR152" s="8"/>
      <c r="CS152" s="8"/>
      <c r="CT152" s="8"/>
      <c r="CU152" s="8"/>
      <c r="CV152" s="8"/>
      <c r="CW152" s="8"/>
    </row>
    <row r="153" spans="1:101" ht="14.25" customHeight="1">
      <c r="A153" s="8"/>
      <c r="B153" s="716"/>
      <c r="C153" s="792"/>
      <c r="D153" s="792"/>
      <c r="E153" s="792"/>
      <c r="F153" s="792"/>
      <c r="G153" s="741"/>
      <c r="H153" s="792"/>
      <c r="I153" s="792"/>
      <c r="J153" s="792"/>
      <c r="K153" s="741"/>
      <c r="L153" s="792"/>
      <c r="M153" s="792"/>
      <c r="N153" s="792"/>
      <c r="O153" s="741"/>
      <c r="P153" s="792"/>
      <c r="Q153" s="792"/>
      <c r="R153" s="792"/>
      <c r="S153" s="741"/>
      <c r="T153" s="792"/>
      <c r="U153" s="792"/>
      <c r="V153" s="792"/>
      <c r="W153" s="741"/>
      <c r="X153" s="792"/>
      <c r="Y153" s="792"/>
      <c r="Z153" s="792"/>
      <c r="AA153" s="741"/>
      <c r="AB153" s="792"/>
      <c r="AC153" s="792"/>
      <c r="AD153" s="792"/>
      <c r="AE153" s="741"/>
      <c r="AF153" s="792"/>
      <c r="AG153" s="792"/>
      <c r="AH153" s="792"/>
      <c r="AI153" s="741"/>
      <c r="AJ153" s="792"/>
      <c r="AK153" s="792"/>
      <c r="AL153" s="792"/>
      <c r="AM153" s="741"/>
      <c r="AN153" s="792"/>
      <c r="AO153" s="792"/>
      <c r="AP153" s="792"/>
      <c r="AQ153" s="741"/>
      <c r="AR153" s="792"/>
      <c r="AS153" s="792"/>
      <c r="AT153" s="792"/>
      <c r="AU153" s="741"/>
      <c r="AV153" s="792"/>
      <c r="AW153" s="792"/>
      <c r="AX153" s="792"/>
      <c r="AY153" s="741"/>
      <c r="AZ153" s="792"/>
      <c r="BA153" s="792"/>
      <c r="BB153" s="792"/>
      <c r="BC153" s="741"/>
      <c r="BD153" s="792"/>
      <c r="BE153" s="792"/>
      <c r="BF153" s="792"/>
      <c r="BG153" s="741"/>
      <c r="BH153" s="792"/>
      <c r="BI153" s="792"/>
      <c r="BJ153" s="792"/>
      <c r="BK153" s="741"/>
      <c r="BL153" s="792"/>
      <c r="BM153" s="792"/>
      <c r="BN153" s="792"/>
      <c r="BO153" s="741"/>
      <c r="BP153" s="1163"/>
      <c r="BQ153" s="805"/>
      <c r="BR153" s="792"/>
      <c r="BS153" s="792"/>
      <c r="BT153" s="792"/>
      <c r="BU153" s="792"/>
      <c r="BV153" s="792"/>
      <c r="BW153" s="792"/>
      <c r="BX153" s="805"/>
      <c r="BY153" s="792"/>
      <c r="BZ153" s="792"/>
      <c r="CA153" s="792"/>
      <c r="CB153" s="792"/>
      <c r="CC153" s="792"/>
      <c r="CD153" s="792"/>
      <c r="CE153" s="792"/>
      <c r="CF153" s="741"/>
      <c r="CG153" s="25"/>
      <c r="CH153" s="8"/>
      <c r="CI153" s="8"/>
      <c r="CJ153" s="8"/>
      <c r="CK153" s="8"/>
      <c r="CL153" s="8"/>
      <c r="CM153" s="8"/>
      <c r="CN153" s="8"/>
      <c r="CO153" s="8"/>
      <c r="CP153" s="8"/>
      <c r="CQ153" s="8"/>
      <c r="CR153" s="8"/>
      <c r="CS153" s="8"/>
      <c r="CT153" s="8"/>
      <c r="CU153" s="8"/>
      <c r="CV153" s="8"/>
      <c r="CW153" s="8"/>
    </row>
    <row r="154" spans="1:101" ht="14.25" customHeight="1">
      <c r="A154" s="349"/>
      <c r="B154" s="894" t="s">
        <v>478</v>
      </c>
      <c r="C154" s="895"/>
      <c r="D154" s="880"/>
      <c r="E154" s="880"/>
      <c r="F154" s="880"/>
      <c r="G154" s="1014"/>
      <c r="H154" s="880"/>
      <c r="I154" s="880"/>
      <c r="J154" s="880"/>
      <c r="K154" s="1014"/>
      <c r="L154" s="880"/>
      <c r="M154" s="880"/>
      <c r="N154" s="880"/>
      <c r="O154" s="1014"/>
      <c r="P154" s="880"/>
      <c r="Q154" s="880"/>
      <c r="R154" s="880"/>
      <c r="S154" s="1014"/>
      <c r="T154" s="880"/>
      <c r="U154" s="880"/>
      <c r="V154" s="880"/>
      <c r="W154" s="1014"/>
      <c r="X154" s="880"/>
      <c r="Y154" s="880"/>
      <c r="Z154" s="880"/>
      <c r="AA154" s="1014"/>
      <c r="AB154" s="880">
        <f>+AB155/AB152*4</f>
        <v>3.0866740782867002E-3</v>
      </c>
      <c r="AC154" s="880">
        <f t="shared" ref="AC154:AH154" si="640">+AC155/AC152*4</f>
        <v>2.56107992009011E-3</v>
      </c>
      <c r="AD154" s="880">
        <f t="shared" si="640"/>
        <v>2.7258205772707537E-3</v>
      </c>
      <c r="AE154" s="1014">
        <f t="shared" si="640"/>
        <v>2.4306450562316317E-3</v>
      </c>
      <c r="AF154" s="880">
        <f t="shared" si="640"/>
        <v>3.6516353011044884E-3</v>
      </c>
      <c r="AG154" s="880">
        <f t="shared" si="640"/>
        <v>4.2285067119682889E-3</v>
      </c>
      <c r="AH154" s="880">
        <f t="shared" si="640"/>
        <v>3.7247894779478064E-3</v>
      </c>
      <c r="AI154" s="1014">
        <f>+AI155/AI152*4</f>
        <v>3.7196394810964481E-3</v>
      </c>
      <c r="AJ154" s="880">
        <f>+AJ155/AJ152*4</f>
        <v>3.2435585941134881E-3</v>
      </c>
      <c r="AK154" s="880">
        <f>+AK155/AK152*4</f>
        <v>2.9184056818789199E-3</v>
      </c>
      <c r="AL154" s="880">
        <f>+AL155/AL152*4</f>
        <v>2.8088038248268148E-3</v>
      </c>
      <c r="AM154" s="1014">
        <f>+AL154</f>
        <v>2.8088038248268148E-3</v>
      </c>
      <c r="AN154" s="880">
        <f>+AM154</f>
        <v>2.8088038248268148E-3</v>
      </c>
      <c r="AO154" s="880">
        <f>+AN154</f>
        <v>2.8088038248268148E-3</v>
      </c>
      <c r="AP154" s="880">
        <f>+AO154</f>
        <v>2.8088038248268148E-3</v>
      </c>
      <c r="AQ154" s="1014">
        <f>+AP154</f>
        <v>2.8088038248268148E-3</v>
      </c>
      <c r="AR154" s="880">
        <f t="shared" ref="AR154:AZ154" si="641">+AQ154</f>
        <v>2.8088038248268148E-3</v>
      </c>
      <c r="AS154" s="880">
        <f t="shared" si="641"/>
        <v>2.8088038248268148E-3</v>
      </c>
      <c r="AT154" s="880">
        <v>3.3E-3</v>
      </c>
      <c r="AU154" s="1014">
        <v>3.3E-3</v>
      </c>
      <c r="AV154" s="880">
        <f t="shared" si="641"/>
        <v>3.3E-3</v>
      </c>
      <c r="AW154" s="880">
        <f t="shared" si="641"/>
        <v>3.3E-3</v>
      </c>
      <c r="AX154" s="880">
        <f t="shared" si="641"/>
        <v>3.3E-3</v>
      </c>
      <c r="AY154" s="1014">
        <v>3.3E-3</v>
      </c>
      <c r="AZ154" s="880">
        <f t="shared" si="641"/>
        <v>3.3E-3</v>
      </c>
      <c r="BA154" s="880">
        <f t="shared" ref="BA154:BG154" si="642">+AZ154</f>
        <v>3.3E-3</v>
      </c>
      <c r="BB154" s="880">
        <f t="shared" si="642"/>
        <v>3.3E-3</v>
      </c>
      <c r="BC154" s="1014">
        <f t="shared" si="642"/>
        <v>3.3E-3</v>
      </c>
      <c r="BD154" s="880">
        <f t="shared" si="642"/>
        <v>3.3E-3</v>
      </c>
      <c r="BE154" s="880">
        <f t="shared" si="642"/>
        <v>3.3E-3</v>
      </c>
      <c r="BF154" s="880">
        <f t="shared" si="642"/>
        <v>3.3E-3</v>
      </c>
      <c r="BG154" s="1014">
        <f t="shared" si="642"/>
        <v>3.3E-3</v>
      </c>
      <c r="BH154" s="880">
        <f t="shared" ref="BH154" si="643">+BG154</f>
        <v>3.3E-3</v>
      </c>
      <c r="BI154" s="880">
        <f t="shared" ref="BI154" si="644">+BH154</f>
        <v>3.3E-3</v>
      </c>
      <c r="BJ154" s="880">
        <f t="shared" ref="BJ154" si="645">+BI154</f>
        <v>3.3E-3</v>
      </c>
      <c r="BK154" s="1014">
        <f t="shared" ref="BK154" si="646">+BJ154</f>
        <v>3.3E-3</v>
      </c>
      <c r="BL154" s="1403">
        <f t="shared" ref="BL154" si="647">+BK154</f>
        <v>3.3E-3</v>
      </c>
      <c r="BM154" s="1403">
        <f t="shared" ref="BM154" si="648">+BL154</f>
        <v>3.3E-3</v>
      </c>
      <c r="BN154" s="1403">
        <f t="shared" ref="BN154" si="649">+BM154</f>
        <v>3.3E-3</v>
      </c>
      <c r="BO154" s="1404">
        <f t="shared" ref="BO154" si="650">+BN154</f>
        <v>3.3E-3</v>
      </c>
      <c r="BP154" s="1164"/>
      <c r="BQ154" s="896"/>
      <c r="BR154" s="895"/>
      <c r="BS154" s="895"/>
      <c r="BT154" s="895"/>
      <c r="BU154" s="895"/>
      <c r="BV154" s="895"/>
      <c r="BW154" s="895"/>
      <c r="BX154" s="896"/>
      <c r="BY154" s="895"/>
      <c r="BZ154" s="895"/>
      <c r="CA154" s="895"/>
      <c r="CB154" s="895"/>
      <c r="CC154" s="895"/>
      <c r="CD154" s="895"/>
      <c r="CE154" s="895"/>
      <c r="CF154" s="1086"/>
      <c r="CG154" s="1000"/>
      <c r="CH154" s="349"/>
      <c r="CI154" s="349"/>
      <c r="CJ154" s="349"/>
      <c r="CK154" s="349"/>
      <c r="CL154" s="349"/>
      <c r="CM154" s="349"/>
      <c r="CN154" s="349"/>
      <c r="CO154" s="349"/>
      <c r="CP154" s="349"/>
      <c r="CQ154" s="349"/>
      <c r="CR154" s="349"/>
      <c r="CS154" s="349"/>
      <c r="CT154" s="349"/>
      <c r="CU154" s="349"/>
      <c r="CV154" s="349"/>
      <c r="CW154" s="349"/>
    </row>
    <row r="155" spans="1:101" ht="14.25" customHeight="1">
      <c r="A155" s="892"/>
      <c r="B155" s="1002" t="s">
        <v>461</v>
      </c>
      <c r="C155" s="1003"/>
      <c r="D155" s="1004"/>
      <c r="E155" s="1004"/>
      <c r="F155" s="1004"/>
      <c r="G155" s="1015"/>
      <c r="H155" s="1004"/>
      <c r="I155" s="1004"/>
      <c r="J155" s="1004"/>
      <c r="K155" s="1015"/>
      <c r="L155" s="1004"/>
      <c r="M155" s="1004"/>
      <c r="N155" s="1004"/>
      <c r="O155" s="1015"/>
      <c r="P155" s="1004"/>
      <c r="Q155" s="1004"/>
      <c r="R155" s="1004"/>
      <c r="S155" s="1015"/>
      <c r="T155" s="1004"/>
      <c r="U155" s="1004"/>
      <c r="V155" s="1004"/>
      <c r="W155" s="1015"/>
      <c r="X155" s="1004"/>
      <c r="Y155" s="1004"/>
      <c r="Z155" s="1004"/>
      <c r="AA155" s="1015"/>
      <c r="AB155" s="1004">
        <f>+IS!AB74</f>
        <v>2.2850000000000001</v>
      </c>
      <c r="AC155" s="1004">
        <f>+IS!AC74</f>
        <v>2.1970000000000001</v>
      </c>
      <c r="AD155" s="1004">
        <f>+IS!AD74</f>
        <v>2.395</v>
      </c>
      <c r="AE155" s="1015">
        <f>+IS!AE74</f>
        <v>2.1829999999999998</v>
      </c>
      <c r="AF155" s="1004">
        <f>+IS!AF74</f>
        <v>3.3479999999999999</v>
      </c>
      <c r="AG155" s="1004">
        <f>+IS!AG74</f>
        <v>3.9670000000000001</v>
      </c>
      <c r="AH155" s="1004">
        <f>+IS!AH74</f>
        <v>3.5059999999999998</v>
      </c>
      <c r="AI155" s="1015">
        <f>+IS!AI74</f>
        <v>3.6270000000000007</v>
      </c>
      <c r="AJ155" s="1004">
        <f>+IS!AJ74</f>
        <v>3.2330000000000001</v>
      </c>
      <c r="AK155" s="1004">
        <f>+IS!AK74</f>
        <v>3.044</v>
      </c>
      <c r="AL155" s="1004">
        <f>+IS!AL74</f>
        <v>3.125</v>
      </c>
      <c r="AM155" s="1015">
        <f t="shared" ref="AM155:AZ155" si="651">+AL152*AM154/4</f>
        <v>3.125</v>
      </c>
      <c r="AN155" s="1004">
        <f t="shared" si="651"/>
        <v>3.2883452842318475</v>
      </c>
      <c r="AO155" s="1004">
        <f t="shared" si="651"/>
        <v>3.3011232350319402</v>
      </c>
      <c r="AP155" s="1004">
        <f t="shared" si="651"/>
        <v>3.3756379917007715</v>
      </c>
      <c r="AQ155" s="1015">
        <f t="shared" si="651"/>
        <v>3.4634369860591203</v>
      </c>
      <c r="AR155" s="1004">
        <f t="shared" si="651"/>
        <v>2.0128365705359172</v>
      </c>
      <c r="AS155" s="1004">
        <f t="shared" si="651"/>
        <v>2.0176206656505538</v>
      </c>
      <c r="AT155" s="1004">
        <f t="shared" si="651"/>
        <v>2.53669185</v>
      </c>
      <c r="AU155" s="1015">
        <f t="shared" si="651"/>
        <v>2.5574678249999998</v>
      </c>
      <c r="AV155" s="1004">
        <f t="shared" si="651"/>
        <v>2.4988655999999998</v>
      </c>
      <c r="AW155" s="1004">
        <f t="shared" si="651"/>
        <v>3.1263110999999997</v>
      </c>
      <c r="AX155" s="1004">
        <f t="shared" si="651"/>
        <v>3.0971168250000001</v>
      </c>
      <c r="AY155" s="1015">
        <f t="shared" si="651"/>
        <v>3.1378330500000002</v>
      </c>
      <c r="AZ155" s="1004">
        <f t="shared" si="651"/>
        <v>3.3460292250000001</v>
      </c>
      <c r="BA155" s="1004">
        <f t="shared" ref="BA155:BG155" si="652">+AZ152*BA154/4</f>
        <v>5.2115794499999994</v>
      </c>
      <c r="BB155" s="1004">
        <f t="shared" si="652"/>
        <v>5.1054069000000002</v>
      </c>
      <c r="BC155" s="1015">
        <f t="shared" si="652"/>
        <v>0.74956942500000001</v>
      </c>
      <c r="BD155" s="1004">
        <f t="shared" si="652"/>
        <v>0.86446634999999994</v>
      </c>
      <c r="BE155" s="1004">
        <f t="shared" si="652"/>
        <v>0.68272875</v>
      </c>
      <c r="BF155" s="1004">
        <f t="shared" si="652"/>
        <v>0.91715689758986829</v>
      </c>
      <c r="BG155" s="1015">
        <f t="shared" si="652"/>
        <v>1.2542810370587547</v>
      </c>
      <c r="BH155" s="1004">
        <f t="shared" ref="BH155" si="653">+BG152*BH154/4</f>
        <v>1.5891441010293927</v>
      </c>
      <c r="BI155" s="1004">
        <f t="shared" ref="BI155" si="654">+BH152*BI154/4</f>
        <v>1.9134483712587396</v>
      </c>
      <c r="BJ155" s="1004">
        <f t="shared" ref="BJ155" si="655">+BI152*BJ154/4</f>
        <v>2.2122242040172098</v>
      </c>
      <c r="BK155" s="1015">
        <f t="shared" ref="BK155" si="656">+BJ152*BK154/4</f>
        <v>2.5468685575940699</v>
      </c>
      <c r="BL155" s="1004">
        <f t="shared" ref="BL155" si="657">+BK152*BL154/4</f>
        <v>2.9011148356058496</v>
      </c>
      <c r="BM155" s="1004">
        <f t="shared" ref="BM155" si="658">+BL152*BM154/4</f>
        <v>3.289859878724513</v>
      </c>
      <c r="BN155" s="1004">
        <f t="shared" ref="BN155" si="659">+BM152*BN154/4</f>
        <v>3.6365556371187973</v>
      </c>
      <c r="BO155" s="1015">
        <f t="shared" ref="BO155" si="660">+BN152*BO154/4</f>
        <v>4.0192992491170223</v>
      </c>
      <c r="BP155" s="1165"/>
      <c r="BQ155" s="897"/>
      <c r="BR155" s="898"/>
      <c r="BS155" s="898"/>
      <c r="BT155" s="898"/>
      <c r="BU155" s="898"/>
      <c r="BV155" s="898"/>
      <c r="BW155" s="898"/>
      <c r="BX155" s="897"/>
      <c r="BY155" s="898"/>
      <c r="BZ155" s="898"/>
      <c r="CA155" s="898"/>
      <c r="CB155" s="898"/>
      <c r="CC155" s="898"/>
      <c r="CD155" s="898"/>
      <c r="CE155" s="898"/>
      <c r="CF155" s="1087"/>
      <c r="CG155" s="1001"/>
      <c r="CH155" s="892"/>
      <c r="CI155" s="892"/>
      <c r="CJ155" s="892"/>
      <c r="CK155" s="892"/>
      <c r="CL155" s="892"/>
      <c r="CM155" s="892"/>
      <c r="CN155" s="892"/>
      <c r="CO155" s="892"/>
      <c r="CP155" s="892"/>
      <c r="CQ155" s="892"/>
      <c r="CR155" s="892"/>
      <c r="CS155" s="892"/>
      <c r="CT155" s="892"/>
      <c r="CU155" s="892"/>
      <c r="CV155" s="892"/>
      <c r="CW155" s="892"/>
    </row>
    <row r="156" spans="1:101" ht="14.25" customHeight="1">
      <c r="A156" s="8"/>
      <c r="B156" s="874"/>
      <c r="C156" s="8"/>
      <c r="D156" s="8"/>
      <c r="E156" s="8"/>
      <c r="F156" s="8"/>
      <c r="G156" s="8"/>
      <c r="H156" s="8"/>
      <c r="I156" s="8"/>
      <c r="J156" s="8"/>
      <c r="K156" s="8"/>
      <c r="L156" s="8"/>
      <c r="M156" s="8"/>
      <c r="N156" s="8"/>
      <c r="O156" s="8"/>
      <c r="P156" s="8"/>
      <c r="Q156" s="8"/>
      <c r="R156" s="8"/>
      <c r="S156" s="8"/>
      <c r="T156" s="8"/>
      <c r="U156" s="8"/>
      <c r="V156" s="8"/>
      <c r="W156" s="8"/>
      <c r="X156" s="8"/>
      <c r="Y156" s="8"/>
      <c r="Z156" s="8"/>
      <c r="AA156" s="8"/>
      <c r="AB156" s="8"/>
      <c r="AC156" s="8"/>
      <c r="AD156" s="8"/>
      <c r="AE156" s="8"/>
      <c r="AF156" s="8"/>
      <c r="AG156" s="8"/>
      <c r="AH156" s="8"/>
      <c r="AI156" s="8"/>
      <c r="AJ156" s="8"/>
      <c r="AK156" s="8"/>
      <c r="AL156" s="8"/>
      <c r="AM156" s="8"/>
      <c r="AN156" s="8"/>
      <c r="AO156" s="8"/>
      <c r="AP156" s="8"/>
      <c r="AQ156" s="8"/>
      <c r="AR156" s="8"/>
      <c r="AS156" s="8"/>
      <c r="AT156" s="8"/>
      <c r="AU156" s="8"/>
      <c r="AV156" s="8"/>
      <c r="AW156" s="8"/>
      <c r="AX156" s="8"/>
      <c r="AY156" s="8"/>
      <c r="AZ156" s="8"/>
      <c r="BA156" s="8"/>
      <c r="BB156" s="8"/>
      <c r="BC156" s="8"/>
      <c r="BD156" s="8"/>
      <c r="BE156" s="8"/>
      <c r="BF156" s="8"/>
      <c r="BG156" s="8"/>
      <c r="BH156" s="8"/>
      <c r="BI156" s="8"/>
      <c r="BJ156" s="8"/>
      <c r="BK156" s="8"/>
      <c r="BL156" s="8"/>
      <c r="BM156" s="8"/>
      <c r="BN156" s="8"/>
      <c r="BO156" s="8"/>
      <c r="BP156" s="8"/>
      <c r="BQ156" s="8"/>
      <c r="BR156" s="8"/>
      <c r="BS156" s="8"/>
      <c r="BT156" s="8"/>
      <c r="BU156" s="17"/>
      <c r="BV156" s="8"/>
      <c r="BW156" s="8"/>
      <c r="BX156" s="17"/>
      <c r="BY156" s="8"/>
      <c r="BZ156" s="8"/>
      <c r="CA156" s="8"/>
      <c r="CB156" s="8"/>
      <c r="CC156" s="8"/>
      <c r="CD156" s="8"/>
      <c r="CE156" s="8"/>
      <c r="CF156" s="8"/>
      <c r="CG156" s="8"/>
      <c r="CH156" s="8"/>
      <c r="CI156" s="8"/>
      <c r="CJ156" s="8"/>
      <c r="CK156" s="8"/>
      <c r="CL156" s="8"/>
      <c r="CM156" s="8"/>
      <c r="CN156" s="8"/>
      <c r="CO156" s="8"/>
      <c r="CP156" s="8"/>
      <c r="CQ156" s="8"/>
      <c r="CR156" s="8"/>
      <c r="CS156" s="8"/>
      <c r="CT156" s="8"/>
      <c r="CU156" s="8"/>
      <c r="CV156" s="8"/>
      <c r="CW156" s="8"/>
    </row>
    <row r="157" spans="1:101" ht="14.25" customHeight="1">
      <c r="A157" s="8"/>
      <c r="B157" s="875"/>
      <c r="C157" s="8"/>
      <c r="D157" s="8"/>
      <c r="E157" s="8"/>
      <c r="F157" s="8"/>
      <c r="G157" s="8"/>
      <c r="H157" s="8"/>
      <c r="I157" s="8"/>
      <c r="J157" s="8"/>
      <c r="K157" s="8"/>
      <c r="L157" s="8"/>
      <c r="M157" s="8"/>
      <c r="N157" s="8"/>
      <c r="O157" s="8"/>
      <c r="P157" s="8"/>
      <c r="Q157" s="8"/>
      <c r="R157" s="8"/>
      <c r="S157" s="8"/>
      <c r="T157" s="8"/>
      <c r="U157" s="8"/>
      <c r="V157" s="8"/>
      <c r="W157" s="8"/>
      <c r="X157" s="8"/>
      <c r="Y157" s="8"/>
      <c r="Z157" s="8"/>
      <c r="AA157" s="8"/>
      <c r="AB157" s="8"/>
      <c r="AC157" s="8"/>
      <c r="AD157" s="8"/>
      <c r="AE157" s="8"/>
      <c r="AF157" s="8"/>
      <c r="AG157" s="8"/>
      <c r="AH157" s="8"/>
      <c r="AI157" s="8"/>
      <c r="AJ157" s="8"/>
      <c r="AK157" s="8"/>
      <c r="AL157" s="8"/>
      <c r="AM157" s="8"/>
      <c r="AN157" s="8"/>
      <c r="AO157" s="8"/>
      <c r="AP157" s="8"/>
      <c r="AQ157" s="8"/>
      <c r="AR157" s="8"/>
      <c r="AS157" s="8"/>
      <c r="AT157" s="8"/>
      <c r="AU157" s="8"/>
      <c r="AV157" s="8"/>
      <c r="AW157" s="8"/>
      <c r="AX157" s="8"/>
      <c r="AY157" s="8"/>
      <c r="AZ157" s="8"/>
      <c r="BA157" s="8"/>
      <c r="BB157" s="8"/>
      <c r="BC157" s="8"/>
      <c r="BD157" s="8"/>
      <c r="BE157" s="8"/>
      <c r="BF157" s="8"/>
      <c r="BG157" s="8"/>
      <c r="BH157" s="8"/>
      <c r="BI157" s="8"/>
      <c r="BJ157" s="8"/>
      <c r="BK157" s="8"/>
      <c r="BL157" s="8"/>
      <c r="BM157" s="8"/>
      <c r="BN157" s="8"/>
      <c r="BO157" s="8"/>
      <c r="BP157" s="8"/>
      <c r="BQ157" s="8"/>
      <c r="BR157" s="8"/>
      <c r="BS157" s="8"/>
      <c r="BT157" s="8"/>
      <c r="BU157" s="17"/>
      <c r="BV157" s="8"/>
      <c r="BW157" s="8"/>
      <c r="BX157" s="17"/>
      <c r="BY157" s="8"/>
      <c r="BZ157" s="8"/>
      <c r="CA157" s="8"/>
      <c r="CB157" s="8"/>
      <c r="CC157" s="8"/>
      <c r="CD157" s="8"/>
      <c r="CE157" s="8"/>
      <c r="CF157" s="8"/>
      <c r="CG157" s="8"/>
      <c r="CH157" s="8"/>
      <c r="CI157" s="8"/>
      <c r="CJ157" s="8"/>
      <c r="CK157" s="8"/>
      <c r="CL157" s="8"/>
      <c r="CM157" s="8"/>
      <c r="CN157" s="8"/>
      <c r="CO157" s="8"/>
      <c r="CP157" s="8"/>
      <c r="CQ157" s="8"/>
      <c r="CR157" s="8"/>
      <c r="CS157" s="8"/>
      <c r="CT157" s="8"/>
      <c r="CU157" s="8"/>
      <c r="CV157" s="8"/>
      <c r="CW157" s="8"/>
    </row>
    <row r="158" spans="1:101" ht="14.25" customHeight="1">
      <c r="A158" s="8"/>
      <c r="B158" s="876"/>
      <c r="C158" s="8"/>
      <c r="D158" s="8"/>
      <c r="E158" s="8"/>
      <c r="F158" s="8"/>
      <c r="G158" s="8"/>
      <c r="H158" s="8"/>
      <c r="I158" s="8"/>
      <c r="J158" s="8"/>
      <c r="K158" s="8"/>
      <c r="L158" s="8"/>
      <c r="M158" s="8"/>
      <c r="N158" s="8"/>
      <c r="O158" s="8"/>
      <c r="P158" s="8"/>
      <c r="Q158" s="8"/>
      <c r="R158" s="8"/>
      <c r="S158" s="8"/>
      <c r="T158" s="8"/>
      <c r="U158" s="8"/>
      <c r="V158" s="8"/>
      <c r="W158" s="8"/>
      <c r="X158" s="8"/>
      <c r="Y158" s="8"/>
      <c r="Z158" s="8"/>
      <c r="AA158" s="8"/>
      <c r="AB158" s="8"/>
      <c r="AC158" s="8"/>
      <c r="AD158" s="8"/>
      <c r="AE158" s="8"/>
      <c r="AF158" s="8"/>
      <c r="AG158" s="8"/>
      <c r="AH158" s="8"/>
      <c r="AI158" s="8"/>
      <c r="AJ158" s="8"/>
      <c r="AK158" s="8"/>
      <c r="AL158" s="8"/>
      <c r="AM158" s="8"/>
      <c r="AN158" s="8"/>
      <c r="AO158" s="8"/>
      <c r="AP158" s="8"/>
      <c r="AQ158" s="8"/>
      <c r="AR158" s="8"/>
      <c r="AS158" s="8"/>
      <c r="AT158" s="8"/>
      <c r="AU158" s="8"/>
      <c r="AV158" s="8"/>
      <c r="AW158" s="8"/>
      <c r="AX158" s="8"/>
      <c r="AY158" s="8"/>
      <c r="AZ158" s="8"/>
      <c r="BA158" s="8"/>
      <c r="BB158" s="8"/>
      <c r="BC158" s="8"/>
      <c r="BD158" s="8"/>
      <c r="BE158" s="8"/>
      <c r="BF158" s="8"/>
      <c r="BG158" s="8"/>
      <c r="BH158" s="8"/>
      <c r="BI158" s="8"/>
      <c r="BJ158" s="8"/>
      <c r="BK158" s="8"/>
      <c r="BL158" s="8"/>
      <c r="BM158" s="8"/>
      <c r="BN158" s="8"/>
      <c r="BO158" s="8"/>
      <c r="BP158" s="8"/>
      <c r="BQ158" s="8"/>
      <c r="BR158" s="8"/>
      <c r="BS158" s="8"/>
      <c r="BT158" s="8"/>
      <c r="BU158" s="17"/>
      <c r="BV158" s="8"/>
      <c r="BW158" s="8"/>
      <c r="BX158" s="17"/>
      <c r="BY158" s="8"/>
      <c r="BZ158" s="8"/>
      <c r="CA158" s="8"/>
      <c r="CB158" s="8"/>
      <c r="CC158" s="8"/>
      <c r="CD158" s="8"/>
      <c r="CE158" s="8"/>
      <c r="CF158" s="8"/>
      <c r="CG158" s="8"/>
      <c r="CH158" s="8"/>
      <c r="CI158" s="8"/>
      <c r="CJ158" s="8"/>
      <c r="CK158" s="8"/>
      <c r="CL158" s="8"/>
      <c r="CM158" s="8"/>
      <c r="CN158" s="8"/>
      <c r="CO158" s="8"/>
      <c r="CP158" s="8"/>
      <c r="CQ158" s="8"/>
      <c r="CR158" s="8"/>
      <c r="CS158" s="8"/>
      <c r="CT158" s="8"/>
      <c r="CU158" s="8"/>
      <c r="CV158" s="8"/>
      <c r="CW158" s="8"/>
    </row>
    <row r="159" spans="1:101" ht="14.25" customHeight="1">
      <c r="A159" s="8"/>
      <c r="B159" s="877"/>
      <c r="C159" s="8"/>
      <c r="D159" s="8"/>
      <c r="E159" s="8"/>
      <c r="F159" s="8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  <c r="AY159" s="8"/>
      <c r="AZ159" s="8"/>
      <c r="BA159" s="8"/>
      <c r="BB159" s="8"/>
      <c r="BC159" s="8"/>
      <c r="BD159" s="8"/>
      <c r="BE159" s="8"/>
      <c r="BF159" s="8"/>
      <c r="BG159" s="8"/>
      <c r="BH159" s="8"/>
      <c r="BI159" s="8"/>
      <c r="BJ159" s="8"/>
      <c r="BK159" s="8"/>
      <c r="BL159" s="8"/>
      <c r="BM159" s="8"/>
      <c r="BN159" s="8"/>
      <c r="BO159" s="8"/>
      <c r="BP159" s="8"/>
      <c r="BQ159" s="8"/>
      <c r="BR159" s="8"/>
      <c r="BS159" s="8"/>
      <c r="BT159" s="8"/>
      <c r="BU159" s="17"/>
      <c r="BV159" s="8"/>
      <c r="BW159" s="8"/>
      <c r="BX159" s="17"/>
      <c r="BY159" s="8"/>
      <c r="BZ159" s="8"/>
      <c r="CA159" s="8"/>
      <c r="CB159" s="8"/>
      <c r="CC159" s="8"/>
      <c r="CD159" s="8"/>
      <c r="CE159" s="8"/>
      <c r="CF159" s="8"/>
      <c r="CG159" s="8"/>
      <c r="CH159" s="8"/>
      <c r="CI159" s="8"/>
      <c r="CJ159" s="8"/>
      <c r="CK159" s="8"/>
      <c r="CL159" s="8"/>
      <c r="CM159" s="8"/>
      <c r="CN159" s="8"/>
      <c r="CO159" s="8"/>
      <c r="CP159" s="8"/>
      <c r="CQ159" s="8"/>
      <c r="CR159" s="8"/>
      <c r="CS159" s="8"/>
      <c r="CT159" s="8"/>
      <c r="CU159" s="8"/>
      <c r="CV159" s="8"/>
      <c r="CW159" s="8"/>
    </row>
    <row r="160" spans="1:101" ht="14.25" customHeight="1">
      <c r="A160" s="8"/>
      <c r="B160" s="873"/>
      <c r="C160" s="8"/>
      <c r="D160" s="8"/>
      <c r="E160" s="8"/>
      <c r="F160" s="8"/>
      <c r="G160" s="8"/>
      <c r="H160" s="8"/>
      <c r="I160" s="8"/>
      <c r="J160" s="8"/>
      <c r="K160" s="8"/>
      <c r="L160" s="8"/>
      <c r="M160" s="8"/>
      <c r="N160" s="8"/>
      <c r="O160" s="8"/>
      <c r="P160" s="8"/>
      <c r="Q160" s="8"/>
      <c r="R160" s="8"/>
      <c r="S160" s="8"/>
      <c r="T160" s="8"/>
      <c r="U160" s="8"/>
      <c r="V160" s="8"/>
      <c r="W160" s="8"/>
      <c r="X160" s="8"/>
      <c r="Y160" s="8"/>
      <c r="Z160" s="8"/>
      <c r="AA160" s="8"/>
      <c r="AB160" s="8"/>
      <c r="AC160" s="8"/>
      <c r="AD160" s="8"/>
      <c r="AE160" s="8"/>
      <c r="AF160" s="8"/>
      <c r="AG160" s="8"/>
      <c r="AH160" s="8"/>
      <c r="AI160" s="8"/>
      <c r="AJ160" s="8"/>
      <c r="AK160" s="8"/>
      <c r="AL160" s="8"/>
      <c r="AM160" s="8"/>
      <c r="AN160" s="8"/>
      <c r="AO160" s="8"/>
      <c r="AP160" s="8"/>
      <c r="AQ160" s="8"/>
      <c r="AR160" s="8"/>
      <c r="AS160" s="8"/>
      <c r="AT160" s="8"/>
      <c r="AU160" s="8"/>
      <c r="AV160" s="8"/>
      <c r="AW160" s="8"/>
      <c r="AX160" s="8"/>
      <c r="AY160" s="8"/>
      <c r="AZ160" s="8"/>
      <c r="BA160" s="8"/>
      <c r="BB160" s="8"/>
      <c r="BC160" s="8"/>
      <c r="BD160" s="8"/>
      <c r="BE160" s="8"/>
      <c r="BF160" s="8"/>
      <c r="BG160" s="8"/>
      <c r="BH160" s="8"/>
      <c r="BI160" s="8"/>
      <c r="BJ160" s="8"/>
      <c r="BK160" s="8"/>
      <c r="BL160" s="8"/>
      <c r="BM160" s="8"/>
      <c r="BN160" s="8"/>
      <c r="BO160" s="8"/>
      <c r="BP160" s="8"/>
      <c r="BQ160" s="8"/>
      <c r="BR160" s="8"/>
      <c r="BS160" s="8"/>
      <c r="BT160" s="8"/>
      <c r="BU160" s="17"/>
      <c r="BV160" s="8"/>
      <c r="BW160" s="8"/>
      <c r="BX160" s="17"/>
      <c r="BY160" s="8"/>
      <c r="BZ160" s="8"/>
      <c r="CA160" s="8"/>
      <c r="CB160" s="8"/>
      <c r="CC160" s="8"/>
      <c r="CD160" s="8"/>
      <c r="CE160" s="8"/>
      <c r="CF160" s="8"/>
      <c r="CG160" s="8"/>
      <c r="CH160" s="8"/>
      <c r="CI160" s="8"/>
      <c r="CJ160" s="8"/>
      <c r="CK160" s="8"/>
      <c r="CL160" s="8"/>
      <c r="CM160" s="8"/>
      <c r="CN160" s="8"/>
      <c r="CO160" s="8"/>
      <c r="CP160" s="8"/>
      <c r="CQ160" s="8"/>
      <c r="CR160" s="8"/>
      <c r="CS160" s="8"/>
      <c r="CT160" s="8"/>
      <c r="CU160" s="8"/>
      <c r="CV160" s="8"/>
      <c r="CW160" s="8"/>
    </row>
    <row r="161" spans="1:101" ht="14.25" customHeight="1">
      <c r="A161" s="8"/>
      <c r="B161" s="874"/>
      <c r="C161" s="8"/>
      <c r="D161" s="8"/>
      <c r="E161" s="8"/>
      <c r="F161" s="8"/>
      <c r="G161" s="8"/>
      <c r="H161" s="8"/>
      <c r="I161" s="8"/>
      <c r="J161" s="8"/>
      <c r="K161" s="8"/>
      <c r="L161" s="8"/>
      <c r="M161" s="8"/>
      <c r="N161" s="8"/>
      <c r="O161" s="8"/>
      <c r="P161" s="8"/>
      <c r="Q161" s="8"/>
      <c r="R161" s="8"/>
      <c r="S161" s="8"/>
      <c r="T161" s="8"/>
      <c r="U161" s="8"/>
      <c r="V161" s="8"/>
      <c r="W161" s="8"/>
      <c r="X161" s="8"/>
      <c r="Y161" s="8"/>
      <c r="Z161" s="8"/>
      <c r="AA161" s="8"/>
      <c r="AB161" s="8"/>
      <c r="AC161" s="8"/>
      <c r="AD161" s="8"/>
      <c r="AE161" s="8"/>
      <c r="AF161" s="8"/>
      <c r="AG161" s="8"/>
      <c r="AH161" s="8"/>
      <c r="AI161" s="8"/>
      <c r="AJ161" s="8"/>
      <c r="AK161" s="8"/>
      <c r="AL161" s="8"/>
      <c r="AM161" s="8"/>
      <c r="AN161" s="8"/>
      <c r="AO161" s="8"/>
      <c r="AP161" s="8"/>
      <c r="AQ161" s="8"/>
      <c r="AR161" s="8"/>
      <c r="AS161" s="8"/>
      <c r="AT161" s="8"/>
      <c r="AU161" s="8"/>
      <c r="AV161" s="8"/>
      <c r="AW161" s="8"/>
      <c r="AX161" s="8"/>
      <c r="AY161" s="8"/>
      <c r="AZ161" s="8"/>
      <c r="BA161" s="8"/>
      <c r="BB161" s="8"/>
      <c r="BC161" s="8"/>
      <c r="BD161" s="8"/>
      <c r="BE161" s="8"/>
      <c r="BF161" s="8"/>
      <c r="BG161" s="8"/>
      <c r="BH161" s="8"/>
      <c r="BI161" s="8"/>
      <c r="BJ161" s="8"/>
      <c r="BK161" s="8"/>
      <c r="BL161" s="8"/>
      <c r="BM161" s="8"/>
      <c r="BN161" s="8"/>
      <c r="BO161" s="8"/>
      <c r="BP161" s="8"/>
      <c r="BQ161" s="8"/>
      <c r="BR161" s="8"/>
      <c r="BS161" s="8"/>
      <c r="BT161" s="8"/>
      <c r="BU161" s="17"/>
      <c r="BV161" s="8"/>
      <c r="BW161" s="8"/>
      <c r="BX161" s="17"/>
      <c r="BY161" s="8"/>
      <c r="BZ161" s="8"/>
      <c r="CA161" s="8"/>
      <c r="CB161" s="8"/>
      <c r="CC161" s="8"/>
      <c r="CD161" s="8"/>
      <c r="CE161" s="8"/>
      <c r="CF161" s="8"/>
      <c r="CG161" s="8"/>
      <c r="CH161" s="8"/>
      <c r="CI161" s="8"/>
      <c r="CJ161" s="8"/>
      <c r="CK161" s="8"/>
      <c r="CL161" s="8"/>
      <c r="CM161" s="8"/>
      <c r="CN161" s="8"/>
      <c r="CO161" s="8"/>
      <c r="CP161" s="8"/>
      <c r="CQ161" s="8"/>
      <c r="CR161" s="8"/>
      <c r="CS161" s="8"/>
      <c r="CT161" s="8"/>
      <c r="CU161" s="8"/>
      <c r="CV161" s="8"/>
      <c r="CW161" s="8"/>
    </row>
    <row r="162" spans="1:101" ht="14.25" customHeight="1">
      <c r="A162" s="8"/>
      <c r="B162" s="876"/>
      <c r="C162" s="8"/>
      <c r="D162" s="8"/>
      <c r="E162" s="8"/>
      <c r="F162" s="8"/>
      <c r="G162" s="8"/>
      <c r="H162" s="8"/>
      <c r="I162" s="8"/>
      <c r="J162" s="8"/>
      <c r="K162" s="8"/>
      <c r="L162" s="8"/>
      <c r="M162" s="8"/>
      <c r="N162" s="8"/>
      <c r="O162" s="8"/>
      <c r="P162" s="8"/>
      <c r="Q162" s="8"/>
      <c r="R162" s="8"/>
      <c r="S162" s="8"/>
      <c r="T162" s="8"/>
      <c r="U162" s="8"/>
      <c r="V162" s="8"/>
      <c r="W162" s="8"/>
      <c r="X162" s="8"/>
      <c r="Y162" s="8"/>
      <c r="Z162" s="8"/>
      <c r="AA162" s="8"/>
      <c r="AB162" s="8"/>
      <c r="AC162" s="8"/>
      <c r="AD162" s="8"/>
      <c r="AE162" s="8"/>
      <c r="AF162" s="8"/>
      <c r="AG162" s="8"/>
      <c r="AH162" s="8"/>
      <c r="AI162" s="8"/>
      <c r="AJ162" s="8"/>
      <c r="AK162" s="8"/>
      <c r="AL162" s="8"/>
      <c r="AM162" s="8"/>
      <c r="AN162" s="8"/>
      <c r="AO162" s="8"/>
      <c r="AP162" s="8"/>
      <c r="AQ162" s="8"/>
      <c r="AR162" s="8"/>
      <c r="AS162" s="8"/>
      <c r="AT162" s="8"/>
      <c r="AU162" s="8"/>
      <c r="AV162" s="8"/>
      <c r="AW162" s="8"/>
      <c r="AX162" s="8"/>
      <c r="AY162" s="8"/>
      <c r="AZ162" s="8"/>
      <c r="BA162" s="8"/>
      <c r="BB162" s="8"/>
      <c r="BC162" s="8"/>
      <c r="BD162" s="8"/>
      <c r="BE162" s="8"/>
      <c r="BF162" s="8"/>
      <c r="BG162" s="8"/>
      <c r="BH162" s="8"/>
      <c r="BI162" s="8"/>
      <c r="BJ162" s="8"/>
      <c r="BK162" s="8"/>
      <c r="BL162" s="8"/>
      <c r="BM162" s="8"/>
      <c r="BN162" s="8"/>
      <c r="BO162" s="8"/>
      <c r="BP162" s="8"/>
      <c r="BQ162" s="8"/>
      <c r="BR162" s="8"/>
      <c r="BS162" s="8"/>
      <c r="BT162" s="8"/>
      <c r="BU162" s="17"/>
      <c r="BV162" s="8"/>
      <c r="BW162" s="8"/>
      <c r="BX162" s="17"/>
      <c r="BY162" s="8"/>
      <c r="BZ162" s="8"/>
      <c r="CA162" s="8"/>
      <c r="CB162" s="8"/>
      <c r="CC162" s="8"/>
      <c r="CD162" s="8"/>
      <c r="CE162" s="8"/>
      <c r="CF162" s="8"/>
      <c r="CG162" s="8"/>
      <c r="CH162" s="8"/>
      <c r="CI162" s="8"/>
      <c r="CJ162" s="8"/>
      <c r="CK162" s="8"/>
      <c r="CL162" s="8"/>
      <c r="CM162" s="8"/>
      <c r="CN162" s="8"/>
      <c r="CO162" s="8"/>
      <c r="CP162" s="8"/>
      <c r="CQ162" s="8"/>
      <c r="CR162" s="8"/>
      <c r="CS162" s="8"/>
      <c r="CT162" s="8"/>
      <c r="CU162" s="8"/>
      <c r="CV162" s="8"/>
      <c r="CW162" s="8"/>
    </row>
    <row r="163" spans="1:101" ht="14.25" customHeight="1">
      <c r="A163" s="8"/>
      <c r="B163" s="877"/>
      <c r="C163" s="8"/>
      <c r="D163" s="8"/>
      <c r="E163" s="8"/>
      <c r="F163" s="8"/>
      <c r="G163" s="8"/>
      <c r="H163" s="8"/>
      <c r="I163" s="8"/>
      <c r="J163" s="8"/>
      <c r="K163" s="8"/>
      <c r="L163" s="8"/>
      <c r="M163" s="8"/>
      <c r="N163" s="8"/>
      <c r="O163" s="8"/>
      <c r="P163" s="8"/>
      <c r="Q163" s="8"/>
      <c r="R163" s="8"/>
      <c r="S163" s="8"/>
      <c r="T163" s="8"/>
      <c r="U163" s="8"/>
      <c r="V163" s="8"/>
      <c r="W163" s="8"/>
      <c r="X163" s="8"/>
      <c r="Y163" s="8"/>
      <c r="Z163" s="8"/>
      <c r="AA163" s="8"/>
      <c r="AB163" s="8"/>
      <c r="AC163" s="8"/>
      <c r="AD163" s="8"/>
      <c r="AE163" s="8"/>
      <c r="AF163" s="8"/>
      <c r="AG163" s="8"/>
      <c r="AH163" s="8"/>
      <c r="AI163" s="8"/>
      <c r="AJ163" s="8"/>
      <c r="AK163" s="8"/>
      <c r="AL163" s="8"/>
      <c r="AM163" s="8"/>
      <c r="AN163" s="8"/>
      <c r="AO163" s="8"/>
      <c r="AP163" s="8"/>
      <c r="AQ163" s="8"/>
      <c r="AR163" s="8"/>
      <c r="AS163" s="8"/>
      <c r="AT163" s="8"/>
      <c r="AU163" s="8"/>
      <c r="AV163" s="8"/>
      <c r="AW163" s="8"/>
      <c r="AX163" s="8"/>
      <c r="AY163" s="8"/>
      <c r="AZ163" s="8"/>
      <c r="BA163" s="8"/>
      <c r="BB163" s="8"/>
      <c r="BC163" s="8"/>
      <c r="BD163" s="8"/>
      <c r="BE163" s="8"/>
      <c r="BF163" s="8"/>
      <c r="BG163" s="8"/>
      <c r="BH163" s="8"/>
      <c r="BI163" s="8"/>
      <c r="BJ163" s="8"/>
      <c r="BK163" s="8"/>
      <c r="BL163" s="8"/>
      <c r="BM163" s="8"/>
      <c r="BN163" s="8"/>
      <c r="BO163" s="8"/>
      <c r="BP163" s="8"/>
      <c r="BQ163" s="8"/>
      <c r="BR163" s="8"/>
      <c r="BS163" s="8"/>
      <c r="BT163" s="8"/>
      <c r="BU163" s="17"/>
      <c r="BV163" s="8"/>
      <c r="BW163" s="8"/>
      <c r="BX163" s="17"/>
      <c r="BY163" s="8"/>
      <c r="BZ163" s="8"/>
      <c r="CA163" s="8"/>
      <c r="CB163" s="8"/>
      <c r="CC163" s="8"/>
      <c r="CD163" s="8"/>
      <c r="CE163" s="8"/>
      <c r="CF163" s="8"/>
      <c r="CG163" s="8"/>
      <c r="CH163" s="8"/>
      <c r="CI163" s="8"/>
      <c r="CJ163" s="8"/>
      <c r="CK163" s="8"/>
      <c r="CL163" s="8"/>
      <c r="CM163" s="8"/>
      <c r="CN163" s="8"/>
      <c r="CO163" s="8"/>
      <c r="CP163" s="8"/>
      <c r="CQ163" s="8"/>
      <c r="CR163" s="8"/>
      <c r="CS163" s="8"/>
      <c r="CT163" s="8"/>
      <c r="CU163" s="8"/>
      <c r="CV163" s="8"/>
      <c r="CW163" s="8"/>
    </row>
    <row r="164" spans="1:101" ht="14.25" customHeight="1">
      <c r="A164" s="8"/>
      <c r="B164" s="873"/>
      <c r="C164" s="8"/>
      <c r="D164" s="8"/>
      <c r="E164" s="8"/>
      <c r="F164" s="8"/>
      <c r="G164" s="8"/>
      <c r="H164" s="8"/>
      <c r="I164" s="8"/>
      <c r="J164" s="8"/>
      <c r="K164" s="8"/>
      <c r="L164" s="8"/>
      <c r="M164" s="8"/>
      <c r="N164" s="8"/>
      <c r="O164" s="8"/>
      <c r="P164" s="8"/>
      <c r="Q164" s="8"/>
      <c r="R164" s="8"/>
      <c r="S164" s="8"/>
      <c r="T164" s="8"/>
      <c r="U164" s="8"/>
      <c r="V164" s="8"/>
      <c r="W164" s="8"/>
      <c r="X164" s="8"/>
      <c r="Y164" s="8"/>
      <c r="Z164" s="8"/>
      <c r="AA164" s="8"/>
      <c r="AB164" s="8"/>
      <c r="AC164" s="8"/>
      <c r="AD164" s="8"/>
      <c r="AE164" s="8"/>
      <c r="AF164" s="8"/>
      <c r="AG164" s="8"/>
      <c r="AH164" s="8"/>
      <c r="AI164" s="8"/>
      <c r="AJ164" s="8"/>
      <c r="AK164" s="8"/>
      <c r="AL164" s="8"/>
      <c r="AM164" s="8"/>
      <c r="AN164" s="8"/>
      <c r="AO164" s="8"/>
      <c r="AP164" s="8"/>
      <c r="AQ164" s="8"/>
      <c r="AR164" s="8"/>
      <c r="AS164" s="8"/>
      <c r="AT164" s="8"/>
      <c r="AU164" s="8"/>
      <c r="AV164" s="8"/>
      <c r="AW164" s="8"/>
      <c r="AX164" s="8"/>
      <c r="AY164" s="8"/>
      <c r="AZ164" s="8"/>
      <c r="BA164" s="8"/>
      <c r="BB164" s="8"/>
      <c r="BC164" s="8"/>
      <c r="BD164" s="8"/>
      <c r="BE164" s="8"/>
      <c r="BF164" s="8"/>
      <c r="BG164" s="8"/>
      <c r="BH164" s="8"/>
      <c r="BI164" s="8"/>
      <c r="BJ164" s="8"/>
      <c r="BK164" s="8"/>
      <c r="BL164" s="8"/>
      <c r="BM164" s="8"/>
      <c r="BN164" s="8"/>
      <c r="BO164" s="8"/>
      <c r="BP164" s="8"/>
      <c r="BQ164" s="8"/>
      <c r="BR164" s="8"/>
      <c r="BS164" s="8"/>
      <c r="BT164" s="8"/>
      <c r="BU164" s="8"/>
      <c r="BV164" s="8"/>
      <c r="BW164" s="8"/>
      <c r="BX164" s="17"/>
      <c r="BY164" s="8"/>
      <c r="BZ164" s="8"/>
      <c r="CA164" s="8"/>
      <c r="CB164" s="8"/>
      <c r="CC164" s="8"/>
      <c r="CD164" s="8"/>
      <c r="CE164" s="8"/>
      <c r="CF164" s="8"/>
      <c r="CG164" s="8"/>
      <c r="CH164" s="8"/>
      <c r="CI164" s="8"/>
      <c r="CJ164" s="8"/>
      <c r="CK164" s="8"/>
      <c r="CL164" s="8"/>
      <c r="CM164" s="8"/>
      <c r="CN164" s="8"/>
      <c r="CO164" s="8"/>
      <c r="CP164" s="8"/>
      <c r="CQ164" s="8"/>
      <c r="CR164" s="8"/>
      <c r="CS164" s="8"/>
      <c r="CT164" s="8"/>
      <c r="CU164" s="8"/>
      <c r="CV164" s="8"/>
      <c r="CW164" s="8"/>
    </row>
    <row r="165" spans="1:101" ht="14.25" customHeight="1">
      <c r="A165" s="8"/>
      <c r="B165" s="874"/>
      <c r="C165" s="8"/>
      <c r="D165" s="8"/>
      <c r="E165" s="8"/>
      <c r="F165" s="8"/>
      <c r="G165" s="8"/>
      <c r="H165" s="8"/>
      <c r="I165" s="8"/>
      <c r="J165" s="8"/>
      <c r="K165" s="8"/>
      <c r="L165" s="8"/>
      <c r="M165" s="8"/>
      <c r="N165" s="8"/>
      <c r="O165" s="8"/>
      <c r="P165" s="8"/>
      <c r="Q165" s="8"/>
      <c r="R165" s="8"/>
      <c r="S165" s="8"/>
      <c r="T165" s="8"/>
      <c r="U165" s="8"/>
      <c r="V165" s="8"/>
      <c r="W165" s="8"/>
      <c r="X165" s="8"/>
      <c r="Y165" s="8"/>
      <c r="Z165" s="8"/>
      <c r="AA165" s="8"/>
      <c r="AB165" s="8"/>
      <c r="AC165" s="8"/>
      <c r="AD165" s="8"/>
      <c r="AE165" s="8"/>
      <c r="AF165" s="8"/>
      <c r="AG165" s="8"/>
      <c r="AH165" s="8"/>
      <c r="AI165" s="8"/>
      <c r="AJ165" s="8"/>
      <c r="AK165" s="8"/>
      <c r="AL165" s="8"/>
      <c r="AM165" s="8"/>
      <c r="AN165" s="8"/>
      <c r="AO165" s="8"/>
      <c r="AP165" s="8"/>
      <c r="AQ165" s="8"/>
      <c r="AR165" s="8"/>
      <c r="AS165" s="8"/>
      <c r="AT165" s="8"/>
      <c r="AU165" s="8"/>
      <c r="AV165" s="8"/>
      <c r="AW165" s="8"/>
      <c r="AX165" s="8"/>
      <c r="AY165" s="8"/>
      <c r="AZ165" s="8"/>
      <c r="BA165" s="8"/>
      <c r="BB165" s="8"/>
      <c r="BC165" s="8"/>
      <c r="BD165" s="8"/>
      <c r="BE165" s="8"/>
      <c r="BF165" s="8"/>
      <c r="BG165" s="8"/>
      <c r="BH165" s="8"/>
      <c r="BI165" s="8"/>
      <c r="BJ165" s="8"/>
      <c r="BK165" s="8"/>
      <c r="BL165" s="8"/>
      <c r="BM165" s="8"/>
      <c r="BN165" s="8"/>
      <c r="BO165" s="8"/>
      <c r="BP165" s="8"/>
      <c r="BQ165" s="8"/>
      <c r="BR165" s="8"/>
      <c r="BS165" s="8"/>
      <c r="BT165" s="8"/>
      <c r="BU165" s="8"/>
      <c r="BV165" s="8"/>
      <c r="BW165" s="8"/>
      <c r="BX165" s="17"/>
      <c r="BY165" s="8"/>
      <c r="BZ165" s="8"/>
      <c r="CA165" s="8"/>
      <c r="CB165" s="8"/>
      <c r="CC165" s="8"/>
      <c r="CD165" s="8"/>
      <c r="CE165" s="8"/>
      <c r="CF165" s="8"/>
      <c r="CG165" s="8"/>
      <c r="CH165" s="8"/>
      <c r="CI165" s="8"/>
      <c r="CJ165" s="8"/>
      <c r="CK165" s="8"/>
      <c r="CL165" s="8"/>
      <c r="CM165" s="8"/>
      <c r="CN165" s="8"/>
      <c r="CO165" s="8"/>
      <c r="CP165" s="8"/>
      <c r="CQ165" s="8"/>
      <c r="CR165" s="8"/>
      <c r="CS165" s="8"/>
      <c r="CT165" s="8"/>
      <c r="CU165" s="8"/>
      <c r="CV165" s="8"/>
      <c r="CW165" s="8"/>
    </row>
    <row r="166" spans="1:101" ht="14.25" customHeight="1">
      <c r="A166" s="8"/>
      <c r="B166" s="876"/>
      <c r="C166" s="8"/>
      <c r="D166" s="8"/>
      <c r="E166" s="8"/>
      <c r="F166" s="8"/>
      <c r="G166" s="8"/>
      <c r="H166" s="8"/>
      <c r="I166" s="8"/>
      <c r="J166" s="8"/>
      <c r="K166" s="8"/>
      <c r="L166" s="8"/>
      <c r="M166" s="8"/>
      <c r="N166" s="8"/>
      <c r="O166" s="8"/>
      <c r="P166" s="8"/>
      <c r="Q166" s="8"/>
      <c r="R166" s="8"/>
      <c r="S166" s="8"/>
      <c r="T166" s="8"/>
      <c r="U166" s="8"/>
      <c r="V166" s="8"/>
      <c r="W166" s="8"/>
      <c r="X166" s="8"/>
      <c r="Y166" s="8"/>
      <c r="Z166" s="8"/>
      <c r="AA166" s="8"/>
      <c r="AB166" s="8"/>
      <c r="AC166" s="8"/>
      <c r="AD166" s="8"/>
      <c r="AE166" s="8"/>
      <c r="AF166" s="8"/>
      <c r="AG166" s="8"/>
      <c r="AH166" s="8"/>
      <c r="AI166" s="8"/>
      <c r="AJ166" s="8"/>
      <c r="AK166" s="8"/>
      <c r="AL166" s="8"/>
      <c r="AM166" s="8"/>
      <c r="AN166" s="8"/>
      <c r="AO166" s="8"/>
      <c r="AP166" s="8"/>
      <c r="AQ166" s="8"/>
      <c r="AR166" s="8"/>
      <c r="AS166" s="8"/>
      <c r="AT166" s="8"/>
      <c r="AU166" s="8"/>
      <c r="AV166" s="8"/>
      <c r="AW166" s="8"/>
      <c r="AX166" s="8"/>
      <c r="AY166" s="8"/>
      <c r="AZ166" s="8"/>
      <c r="BA166" s="8"/>
      <c r="BB166" s="8"/>
      <c r="BC166" s="8"/>
      <c r="BD166" s="8"/>
      <c r="BE166" s="8"/>
      <c r="BF166" s="8"/>
      <c r="BG166" s="8"/>
      <c r="BH166" s="8"/>
      <c r="BI166" s="8"/>
      <c r="BJ166" s="8"/>
      <c r="BK166" s="8"/>
      <c r="BL166" s="8"/>
      <c r="BM166" s="8"/>
      <c r="BN166" s="8"/>
      <c r="BO166" s="8"/>
      <c r="BP166" s="8"/>
      <c r="BQ166" s="8"/>
      <c r="BR166" s="8"/>
      <c r="BS166" s="8"/>
      <c r="BT166" s="8"/>
      <c r="BU166" s="8"/>
      <c r="BV166" s="8"/>
      <c r="BW166" s="8"/>
      <c r="BX166" s="17"/>
      <c r="BY166" s="8"/>
      <c r="BZ166" s="8"/>
      <c r="CA166" s="8"/>
      <c r="CB166" s="8"/>
      <c r="CC166" s="8"/>
      <c r="CD166" s="8"/>
      <c r="CE166" s="8"/>
      <c r="CF166" s="8"/>
      <c r="CG166" s="8"/>
      <c r="CH166" s="8"/>
      <c r="CI166" s="8"/>
      <c r="CJ166" s="8"/>
      <c r="CK166" s="8"/>
      <c r="CL166" s="8"/>
      <c r="CM166" s="8"/>
      <c r="CN166" s="8"/>
      <c r="CO166" s="8"/>
      <c r="CP166" s="8"/>
      <c r="CQ166" s="8"/>
      <c r="CR166" s="8"/>
      <c r="CS166" s="8"/>
      <c r="CT166" s="8"/>
      <c r="CU166" s="8"/>
      <c r="CV166" s="8"/>
      <c r="CW166" s="8"/>
    </row>
    <row r="167" spans="1:101" ht="14.25" customHeight="1">
      <c r="A167" s="8"/>
      <c r="B167" s="871"/>
      <c r="C167" s="8"/>
      <c r="D167" s="8"/>
      <c r="E167" s="8"/>
      <c r="F167" s="8"/>
      <c r="G167" s="8"/>
      <c r="H167" s="8"/>
      <c r="I167" s="8"/>
      <c r="J167" s="8"/>
      <c r="K167" s="8"/>
      <c r="L167" s="8"/>
      <c r="M167" s="8"/>
      <c r="N167" s="8"/>
      <c r="O167" s="8"/>
      <c r="P167" s="8"/>
      <c r="Q167" s="8"/>
      <c r="R167" s="8"/>
      <c r="S167" s="8"/>
      <c r="T167" s="8"/>
      <c r="U167" s="8"/>
      <c r="V167" s="8"/>
      <c r="W167" s="8"/>
      <c r="X167" s="8"/>
      <c r="Y167" s="8"/>
      <c r="Z167" s="8"/>
      <c r="AA167" s="8"/>
      <c r="AB167" s="8"/>
      <c r="AC167" s="8"/>
      <c r="AD167" s="8"/>
      <c r="AE167" s="8"/>
      <c r="AF167" s="8"/>
      <c r="AG167" s="8"/>
      <c r="AH167" s="8"/>
      <c r="AI167" s="8"/>
      <c r="AJ167" s="8"/>
      <c r="AK167" s="8"/>
      <c r="AL167" s="8"/>
      <c r="AM167" s="8"/>
      <c r="AN167" s="8"/>
      <c r="AO167" s="8"/>
      <c r="AP167" s="8"/>
      <c r="AQ167" s="8"/>
      <c r="AR167" s="8"/>
      <c r="AS167" s="8"/>
      <c r="AT167" s="8"/>
      <c r="AU167" s="8"/>
      <c r="AV167" s="8"/>
      <c r="AW167" s="8"/>
      <c r="AX167" s="8"/>
      <c r="AY167" s="8"/>
      <c r="AZ167" s="8"/>
      <c r="BA167" s="8"/>
      <c r="BB167" s="8"/>
      <c r="BC167" s="8"/>
      <c r="BD167" s="8"/>
      <c r="BE167" s="8"/>
      <c r="BF167" s="8"/>
      <c r="BG167" s="8"/>
      <c r="BH167" s="8"/>
      <c r="BI167" s="8"/>
      <c r="BJ167" s="8"/>
      <c r="BK167" s="8"/>
      <c r="BL167" s="8"/>
      <c r="BM167" s="8"/>
      <c r="BN167" s="8"/>
      <c r="BO167" s="8"/>
      <c r="BP167" s="8"/>
      <c r="BQ167" s="8"/>
      <c r="BR167" s="8"/>
      <c r="BS167" s="8"/>
      <c r="BT167" s="8"/>
      <c r="BU167" s="8"/>
      <c r="BV167" s="8"/>
      <c r="BW167" s="8"/>
      <c r="BX167" s="17"/>
      <c r="BY167" s="8"/>
      <c r="BZ167" s="8"/>
      <c r="CA167" s="8"/>
      <c r="CB167" s="8"/>
      <c r="CC167" s="8"/>
      <c r="CD167" s="8"/>
      <c r="CE167" s="8"/>
      <c r="CF167" s="8"/>
      <c r="CG167" s="8"/>
      <c r="CH167" s="8"/>
      <c r="CI167" s="8"/>
      <c r="CJ167" s="8"/>
      <c r="CK167" s="8"/>
      <c r="CL167" s="8"/>
      <c r="CM167" s="8"/>
      <c r="CN167" s="8"/>
      <c r="CO167" s="8"/>
      <c r="CP167" s="8"/>
      <c r="CQ167" s="8"/>
      <c r="CR167" s="8"/>
      <c r="CS167" s="8"/>
      <c r="CT167" s="8"/>
      <c r="CU167" s="8"/>
      <c r="CV167" s="8"/>
      <c r="CW167" s="8"/>
    </row>
    <row r="168" spans="1:101" ht="14.25" customHeight="1">
      <c r="A168" s="8"/>
      <c r="B168" s="873"/>
      <c r="C168" s="8"/>
      <c r="D168" s="8"/>
      <c r="E168" s="8"/>
      <c r="F168" s="8"/>
      <c r="G168" s="8"/>
      <c r="H168" s="8"/>
      <c r="I168" s="8"/>
      <c r="J168" s="8"/>
      <c r="K168" s="8"/>
      <c r="L168" s="8"/>
      <c r="M168" s="8"/>
      <c r="N168" s="8"/>
      <c r="O168" s="8"/>
      <c r="P168" s="8"/>
      <c r="Q168" s="8"/>
      <c r="R168" s="8"/>
      <c r="S168" s="8"/>
      <c r="T168" s="8"/>
      <c r="U168" s="8"/>
      <c r="V168" s="8"/>
      <c r="W168" s="8"/>
      <c r="X168" s="8"/>
      <c r="Y168" s="8"/>
      <c r="Z168" s="8"/>
      <c r="AA168" s="8"/>
      <c r="AB168" s="8"/>
      <c r="AC168" s="8"/>
      <c r="AD168" s="8"/>
      <c r="AE168" s="8"/>
      <c r="AF168" s="8"/>
      <c r="AG168" s="8"/>
      <c r="AH168" s="8"/>
      <c r="AI168" s="8"/>
      <c r="AJ168" s="8"/>
      <c r="AK168" s="8"/>
      <c r="AL168" s="8"/>
      <c r="AM168" s="8"/>
      <c r="AN168" s="8"/>
      <c r="AO168" s="8"/>
      <c r="AP168" s="8"/>
      <c r="AQ168" s="8"/>
      <c r="AR168" s="8"/>
      <c r="AS168" s="8"/>
      <c r="AT168" s="8"/>
      <c r="AU168" s="8"/>
      <c r="AV168" s="8"/>
      <c r="AW168" s="8"/>
      <c r="AX168" s="8"/>
      <c r="AY168" s="8"/>
      <c r="AZ168" s="8"/>
      <c r="BA168" s="8"/>
      <c r="BB168" s="8"/>
      <c r="BC168" s="8"/>
      <c r="BD168" s="8"/>
      <c r="BE168" s="8"/>
      <c r="BF168" s="8"/>
      <c r="BG168" s="8"/>
      <c r="BH168" s="8"/>
      <c r="BI168" s="8"/>
      <c r="BJ168" s="8"/>
      <c r="BK168" s="8"/>
      <c r="BL168" s="8"/>
      <c r="BM168" s="8"/>
      <c r="BN168" s="8"/>
      <c r="BO168" s="8"/>
      <c r="BP168" s="8"/>
      <c r="BQ168" s="8"/>
      <c r="BR168" s="8"/>
      <c r="BS168" s="8"/>
      <c r="BT168" s="8"/>
      <c r="BU168" s="8"/>
      <c r="BV168" s="8"/>
      <c r="BW168" s="8"/>
      <c r="BX168" s="17"/>
      <c r="BY168" s="8"/>
      <c r="BZ168" s="8"/>
      <c r="CA168" s="8"/>
      <c r="CB168" s="8"/>
      <c r="CC168" s="8"/>
      <c r="CD168" s="8"/>
      <c r="CE168" s="8"/>
      <c r="CF168" s="8"/>
      <c r="CG168" s="8"/>
      <c r="CH168" s="8"/>
      <c r="CI168" s="8"/>
      <c r="CJ168" s="8"/>
      <c r="CK168" s="8"/>
      <c r="CL168" s="8"/>
      <c r="CM168" s="8"/>
      <c r="CN168" s="8"/>
      <c r="CO168" s="8"/>
      <c r="CP168" s="8"/>
      <c r="CQ168" s="8"/>
      <c r="CR168" s="8"/>
      <c r="CS168" s="8"/>
      <c r="CT168" s="8"/>
      <c r="CU168" s="8"/>
      <c r="CV168" s="8"/>
      <c r="CW168" s="8"/>
    </row>
    <row r="169" spans="1:101" ht="14.25" customHeight="1">
      <c r="A169" s="8"/>
      <c r="B169" s="874"/>
      <c r="C169" s="8"/>
      <c r="D169" s="8"/>
      <c r="E169" s="8"/>
      <c r="F169" s="8"/>
      <c r="G169" s="8"/>
      <c r="H169" s="8"/>
      <c r="I169" s="8"/>
      <c r="J169" s="8"/>
      <c r="K169" s="8"/>
      <c r="L169" s="8"/>
      <c r="M169" s="8"/>
      <c r="N169" s="8"/>
      <c r="O169" s="8"/>
      <c r="P169" s="8"/>
      <c r="Q169" s="8"/>
      <c r="R169" s="8"/>
      <c r="S169" s="8"/>
      <c r="T169" s="8"/>
      <c r="U169" s="8"/>
      <c r="V169" s="8"/>
      <c r="W169" s="8"/>
      <c r="X169" s="8"/>
      <c r="Y169" s="8"/>
      <c r="Z169" s="8"/>
      <c r="AA169" s="8"/>
      <c r="AB169" s="8"/>
      <c r="AC169" s="8"/>
      <c r="AD169" s="8"/>
      <c r="AE169" s="8"/>
      <c r="AF169" s="8"/>
      <c r="AG169" s="8"/>
      <c r="AH169" s="8"/>
      <c r="AI169" s="8"/>
      <c r="AJ169" s="8"/>
      <c r="AK169" s="8"/>
      <c r="AL169" s="8"/>
      <c r="AM169" s="8"/>
      <c r="AN169" s="8"/>
      <c r="AO169" s="8"/>
      <c r="AP169" s="8"/>
      <c r="AQ169" s="8"/>
      <c r="AR169" s="8"/>
      <c r="AS169" s="8"/>
      <c r="AT169" s="8"/>
      <c r="AU169" s="8"/>
      <c r="AV169" s="8"/>
      <c r="AW169" s="8"/>
      <c r="AX169" s="8"/>
      <c r="AY169" s="8"/>
      <c r="AZ169" s="8"/>
      <c r="BA169" s="8"/>
      <c r="BB169" s="8"/>
      <c r="BC169" s="8"/>
      <c r="BD169" s="8"/>
      <c r="BE169" s="8"/>
      <c r="BF169" s="8"/>
      <c r="BG169" s="8"/>
      <c r="BH169" s="8"/>
      <c r="BI169" s="8"/>
      <c r="BJ169" s="8"/>
      <c r="BK169" s="8"/>
      <c r="BL169" s="8"/>
      <c r="BM169" s="8"/>
      <c r="BN169" s="8"/>
      <c r="BO169" s="8"/>
      <c r="BP169" s="8"/>
      <c r="BQ169" s="8"/>
      <c r="BR169" s="8"/>
      <c r="BS169" s="8"/>
      <c r="BT169" s="8"/>
      <c r="BU169" s="8"/>
      <c r="BV169" s="8"/>
      <c r="BW169" s="8"/>
      <c r="BX169" s="17"/>
      <c r="BY169" s="8"/>
      <c r="BZ169" s="8"/>
      <c r="CA169" s="8"/>
      <c r="CB169" s="8"/>
      <c r="CC169" s="8"/>
      <c r="CD169" s="8"/>
      <c r="CE169" s="8"/>
      <c r="CF169" s="8"/>
      <c r="CG169" s="8"/>
      <c r="CH169" s="8"/>
      <c r="CI169" s="8"/>
      <c r="CJ169" s="8"/>
      <c r="CK169" s="8"/>
      <c r="CL169" s="8"/>
      <c r="CM169" s="8"/>
      <c r="CN169" s="8"/>
      <c r="CO169" s="8"/>
      <c r="CP169" s="8"/>
      <c r="CQ169" s="8"/>
      <c r="CR169" s="8"/>
      <c r="CS169" s="8"/>
      <c r="CT169" s="8"/>
      <c r="CU169" s="8"/>
      <c r="CV169" s="8"/>
      <c r="CW169" s="8"/>
    </row>
    <row r="170" spans="1:101" ht="14.25" customHeight="1">
      <c r="A170" s="8"/>
      <c r="B170" s="875"/>
      <c r="C170" s="8"/>
      <c r="D170" s="8"/>
      <c r="E170" s="8"/>
      <c r="F170" s="8"/>
      <c r="G170" s="8"/>
      <c r="H170" s="8"/>
      <c r="I170" s="8"/>
      <c r="J170" s="8"/>
      <c r="K170" s="8"/>
      <c r="L170" s="8"/>
      <c r="M170" s="8"/>
      <c r="N170" s="8"/>
      <c r="O170" s="8"/>
      <c r="P170" s="8"/>
      <c r="Q170" s="8"/>
      <c r="R170" s="8"/>
      <c r="S170" s="8"/>
      <c r="T170" s="8"/>
      <c r="U170" s="8"/>
      <c r="V170" s="8"/>
      <c r="W170" s="8"/>
      <c r="X170" s="8"/>
      <c r="Y170" s="8"/>
      <c r="Z170" s="8"/>
      <c r="AA170" s="8"/>
      <c r="AB170" s="8"/>
      <c r="AC170" s="8"/>
      <c r="AD170" s="8"/>
      <c r="AE170" s="8"/>
      <c r="AF170" s="8"/>
      <c r="AG170" s="8"/>
      <c r="AH170" s="8"/>
      <c r="AI170" s="8"/>
      <c r="AJ170" s="8"/>
      <c r="AK170" s="8"/>
      <c r="AL170" s="8"/>
      <c r="AM170" s="8"/>
      <c r="AN170" s="8"/>
      <c r="AO170" s="8"/>
      <c r="AP170" s="8"/>
      <c r="AQ170" s="8"/>
      <c r="AR170" s="8"/>
      <c r="AS170" s="8"/>
      <c r="AT170" s="8"/>
      <c r="AU170" s="8"/>
      <c r="AV170" s="8"/>
      <c r="AW170" s="8"/>
      <c r="AX170" s="8"/>
      <c r="AY170" s="8"/>
      <c r="AZ170" s="8"/>
      <c r="BA170" s="8"/>
      <c r="BB170" s="8"/>
      <c r="BC170" s="8"/>
      <c r="BD170" s="8"/>
      <c r="BE170" s="8"/>
      <c r="BF170" s="8"/>
      <c r="BG170" s="8"/>
      <c r="BH170" s="8"/>
      <c r="BI170" s="8"/>
      <c r="BJ170" s="8"/>
      <c r="BK170" s="8"/>
      <c r="BL170" s="8"/>
      <c r="BM170" s="8"/>
      <c r="BN170" s="8"/>
      <c r="BO170" s="8"/>
      <c r="BP170" s="8"/>
      <c r="BQ170" s="8"/>
      <c r="BR170" s="8"/>
      <c r="BS170" s="8"/>
      <c r="BT170" s="8"/>
      <c r="BU170" s="8"/>
      <c r="BV170" s="8"/>
      <c r="BW170" s="8"/>
      <c r="BX170" s="17"/>
      <c r="BY170" s="8"/>
      <c r="BZ170" s="8"/>
      <c r="CA170" s="8"/>
      <c r="CB170" s="8"/>
      <c r="CC170" s="8"/>
      <c r="CD170" s="8"/>
      <c r="CE170" s="8"/>
      <c r="CF170" s="8"/>
      <c r="CG170" s="8"/>
      <c r="CH170" s="8"/>
      <c r="CI170" s="8"/>
      <c r="CJ170" s="8"/>
      <c r="CK170" s="8"/>
      <c r="CL170" s="8"/>
      <c r="CM170" s="8"/>
      <c r="CN170" s="8"/>
      <c r="CO170" s="8"/>
      <c r="CP170" s="8"/>
      <c r="CQ170" s="8"/>
      <c r="CR170" s="8"/>
      <c r="CS170" s="8"/>
      <c r="CT170" s="8"/>
      <c r="CU170" s="8"/>
      <c r="CV170" s="8"/>
      <c r="CW170" s="8"/>
    </row>
    <row r="171" spans="1:101" ht="14.25" customHeight="1">
      <c r="A171" s="8"/>
      <c r="B171" s="877"/>
      <c r="C171" s="8"/>
      <c r="D171" s="8"/>
      <c r="E171" s="8"/>
      <c r="F171" s="8"/>
      <c r="G171" s="8"/>
      <c r="H171" s="8"/>
      <c r="I171" s="8"/>
      <c r="J171" s="8"/>
      <c r="K171" s="8"/>
      <c r="L171" s="8"/>
      <c r="M171" s="8"/>
      <c r="N171" s="8"/>
      <c r="O171" s="8"/>
      <c r="P171" s="8"/>
      <c r="Q171" s="8"/>
      <c r="R171" s="8"/>
      <c r="S171" s="8"/>
      <c r="T171" s="8"/>
      <c r="U171" s="8"/>
      <c r="V171" s="8"/>
      <c r="W171" s="8"/>
      <c r="X171" s="8"/>
      <c r="Y171" s="8"/>
      <c r="Z171" s="8"/>
      <c r="AA171" s="8"/>
      <c r="AB171" s="8"/>
      <c r="AC171" s="8"/>
      <c r="AD171" s="8"/>
      <c r="AE171" s="8"/>
      <c r="AF171" s="8"/>
      <c r="AG171" s="8"/>
      <c r="AH171" s="8"/>
      <c r="AI171" s="8"/>
      <c r="AJ171" s="8"/>
      <c r="AK171" s="8"/>
      <c r="AL171" s="8"/>
      <c r="AM171" s="8"/>
      <c r="AN171" s="8"/>
      <c r="AO171" s="8"/>
      <c r="AP171" s="8"/>
      <c r="AQ171" s="8"/>
      <c r="AR171" s="8"/>
      <c r="AS171" s="8"/>
      <c r="AT171" s="8"/>
      <c r="AU171" s="8"/>
      <c r="AV171" s="8"/>
      <c r="AW171" s="8"/>
      <c r="AX171" s="8"/>
      <c r="AY171" s="8"/>
      <c r="AZ171" s="8"/>
      <c r="BA171" s="8"/>
      <c r="BB171" s="8"/>
      <c r="BC171" s="8"/>
      <c r="BD171" s="8"/>
      <c r="BE171" s="8"/>
      <c r="BF171" s="8"/>
      <c r="BG171" s="8"/>
      <c r="BH171" s="8"/>
      <c r="BI171" s="8"/>
      <c r="BJ171" s="8"/>
      <c r="BK171" s="8"/>
      <c r="BL171" s="8"/>
      <c r="BM171" s="8"/>
      <c r="BN171" s="8"/>
      <c r="BO171" s="8"/>
      <c r="BP171" s="8"/>
      <c r="BQ171" s="8"/>
      <c r="BR171" s="8"/>
      <c r="BS171" s="8"/>
      <c r="BT171" s="8"/>
      <c r="BU171" s="8"/>
      <c r="BV171" s="8"/>
      <c r="BW171" s="8"/>
      <c r="BX171" s="17"/>
      <c r="BY171" s="8"/>
      <c r="BZ171" s="8"/>
      <c r="CA171" s="8"/>
      <c r="CB171" s="8"/>
      <c r="CC171" s="8"/>
      <c r="CD171" s="8"/>
      <c r="CE171" s="8"/>
      <c r="CF171" s="8"/>
      <c r="CG171" s="8"/>
      <c r="CH171" s="8"/>
      <c r="CI171" s="8"/>
      <c r="CJ171" s="8"/>
      <c r="CK171" s="8"/>
      <c r="CL171" s="8"/>
      <c r="CM171" s="8"/>
      <c r="CN171" s="8"/>
      <c r="CO171" s="8"/>
      <c r="CP171" s="8"/>
      <c r="CQ171" s="8"/>
      <c r="CR171" s="8"/>
      <c r="CS171" s="8"/>
      <c r="CT171" s="8"/>
      <c r="CU171" s="8"/>
      <c r="CV171" s="8"/>
      <c r="CW171" s="8"/>
    </row>
    <row r="172" spans="1:101" ht="14.25" customHeight="1">
      <c r="A172" s="8"/>
      <c r="B172" s="877"/>
      <c r="C172" s="8"/>
      <c r="D172" s="8"/>
      <c r="E172" s="8"/>
      <c r="F172" s="8"/>
      <c r="G172" s="8"/>
      <c r="H172" s="8"/>
      <c r="I172" s="8"/>
      <c r="J172" s="8"/>
      <c r="K172" s="8"/>
      <c r="L172" s="8"/>
      <c r="M172" s="8"/>
      <c r="N172" s="8"/>
      <c r="O172" s="8"/>
      <c r="P172" s="8"/>
      <c r="Q172" s="8"/>
      <c r="R172" s="8"/>
      <c r="S172" s="8"/>
      <c r="T172" s="8"/>
      <c r="U172" s="8"/>
      <c r="V172" s="8"/>
      <c r="W172" s="8"/>
      <c r="X172" s="8"/>
      <c r="Y172" s="8"/>
      <c r="Z172" s="8"/>
      <c r="AA172" s="8"/>
      <c r="AB172" s="8"/>
      <c r="AC172" s="8"/>
      <c r="AD172" s="8"/>
      <c r="AE172" s="8"/>
      <c r="AF172" s="8"/>
      <c r="AG172" s="8"/>
      <c r="AH172" s="8"/>
      <c r="AI172" s="8"/>
      <c r="AJ172" s="8"/>
      <c r="AK172" s="8"/>
      <c r="AL172" s="8"/>
      <c r="AM172" s="8"/>
      <c r="AN172" s="8"/>
      <c r="AO172" s="8"/>
      <c r="AP172" s="8"/>
      <c r="AQ172" s="8"/>
      <c r="AR172" s="8"/>
      <c r="AS172" s="8"/>
      <c r="AT172" s="8"/>
      <c r="AU172" s="8"/>
      <c r="AV172" s="8"/>
      <c r="AW172" s="8"/>
      <c r="AX172" s="8"/>
      <c r="AY172" s="8"/>
      <c r="AZ172" s="8"/>
      <c r="BA172" s="8"/>
      <c r="BB172" s="8"/>
      <c r="BC172" s="8"/>
      <c r="BD172" s="8"/>
      <c r="BE172" s="8"/>
      <c r="BF172" s="8"/>
      <c r="BG172" s="8"/>
      <c r="BH172" s="8"/>
      <c r="BI172" s="8"/>
      <c r="BJ172" s="8"/>
      <c r="BK172" s="8"/>
      <c r="BL172" s="8"/>
      <c r="BM172" s="8"/>
      <c r="BN172" s="8"/>
      <c r="BO172" s="8"/>
      <c r="BP172" s="8"/>
      <c r="BQ172" s="8"/>
      <c r="BR172" s="8"/>
      <c r="BS172" s="8"/>
      <c r="BT172" s="8"/>
      <c r="BU172" s="8"/>
      <c r="BV172" s="8"/>
      <c r="BW172" s="8"/>
      <c r="BX172" s="8"/>
      <c r="BY172" s="8"/>
      <c r="BZ172" s="8"/>
      <c r="CA172" s="8"/>
      <c r="CB172" s="8"/>
      <c r="CC172" s="8"/>
      <c r="CD172" s="8"/>
      <c r="CE172" s="8"/>
      <c r="CF172" s="8"/>
      <c r="CG172" s="8"/>
      <c r="CH172" s="8"/>
      <c r="CI172" s="8"/>
      <c r="CJ172" s="8"/>
      <c r="CK172" s="8"/>
      <c r="CL172" s="8"/>
      <c r="CM172" s="8"/>
      <c r="CN172" s="8"/>
      <c r="CO172" s="8"/>
      <c r="CP172" s="8"/>
      <c r="CQ172" s="8"/>
      <c r="CR172" s="8"/>
      <c r="CS172" s="8"/>
      <c r="CT172" s="8"/>
      <c r="CU172" s="8"/>
      <c r="CV172" s="8"/>
      <c r="CW172" s="8"/>
    </row>
    <row r="173" spans="1:101" ht="14.25" customHeight="1">
      <c r="A173" s="8"/>
      <c r="B173" s="873"/>
      <c r="C173" s="8"/>
      <c r="D173" s="8"/>
      <c r="E173" s="8"/>
      <c r="F173" s="8"/>
      <c r="G173" s="8"/>
      <c r="H173" s="8"/>
      <c r="I173" s="8"/>
      <c r="J173" s="8"/>
      <c r="K173" s="8"/>
      <c r="L173" s="8"/>
      <c r="M173" s="8"/>
      <c r="N173" s="8"/>
      <c r="O173" s="8"/>
      <c r="P173" s="8"/>
      <c r="Q173" s="8"/>
      <c r="R173" s="8"/>
      <c r="S173" s="8"/>
      <c r="T173" s="8"/>
      <c r="U173" s="8"/>
      <c r="V173" s="8"/>
      <c r="W173" s="8"/>
      <c r="X173" s="8"/>
      <c r="Y173" s="8"/>
      <c r="Z173" s="8"/>
      <c r="AA173" s="8"/>
      <c r="AB173" s="8"/>
      <c r="AC173" s="8"/>
      <c r="AD173" s="8"/>
      <c r="AE173" s="8"/>
      <c r="AF173" s="8"/>
      <c r="AG173" s="8"/>
      <c r="AH173" s="8"/>
      <c r="AI173" s="8"/>
      <c r="AJ173" s="8"/>
      <c r="AK173" s="8"/>
      <c r="AL173" s="8"/>
      <c r="AM173" s="8"/>
      <c r="AN173" s="8"/>
      <c r="AO173" s="8"/>
      <c r="AP173" s="8"/>
      <c r="AQ173" s="8"/>
      <c r="AR173" s="8"/>
      <c r="AS173" s="8"/>
      <c r="AT173" s="8"/>
      <c r="AU173" s="8"/>
      <c r="AV173" s="8"/>
      <c r="AW173" s="8"/>
      <c r="AX173" s="8"/>
      <c r="AY173" s="8"/>
      <c r="AZ173" s="8"/>
      <c r="BA173" s="8"/>
      <c r="BB173" s="8"/>
      <c r="BC173" s="8"/>
      <c r="BD173" s="8"/>
      <c r="BE173" s="8"/>
      <c r="BF173" s="8"/>
      <c r="BG173" s="8"/>
      <c r="BH173" s="8"/>
      <c r="BI173" s="8"/>
      <c r="BJ173" s="8"/>
      <c r="BK173" s="8"/>
      <c r="BL173" s="8"/>
      <c r="BM173" s="8"/>
      <c r="BN173" s="8"/>
      <c r="BO173" s="8"/>
      <c r="BP173" s="8"/>
      <c r="BQ173" s="8"/>
      <c r="BR173" s="8"/>
      <c r="BS173" s="8"/>
      <c r="BT173" s="8"/>
      <c r="BU173" s="8"/>
      <c r="BV173" s="8"/>
      <c r="BW173" s="8"/>
      <c r="BX173" s="8"/>
      <c r="BY173" s="8"/>
      <c r="BZ173" s="8"/>
      <c r="CA173" s="8"/>
      <c r="CB173" s="8"/>
      <c r="CC173" s="8"/>
      <c r="CD173" s="8"/>
      <c r="CE173" s="8"/>
      <c r="CF173" s="8"/>
      <c r="CG173" s="8"/>
      <c r="CH173" s="8"/>
      <c r="CI173" s="8"/>
      <c r="CJ173" s="8"/>
      <c r="CK173" s="8"/>
      <c r="CL173" s="8"/>
      <c r="CM173" s="8"/>
      <c r="CN173" s="8"/>
      <c r="CO173" s="8"/>
      <c r="CP173" s="8"/>
      <c r="CQ173" s="8"/>
      <c r="CR173" s="8"/>
      <c r="CS173" s="8"/>
      <c r="CT173" s="8"/>
      <c r="CU173" s="8"/>
      <c r="CV173" s="8"/>
      <c r="CW173" s="8"/>
    </row>
    <row r="174" spans="1:101" ht="14.25" customHeight="1">
      <c r="A174" s="8"/>
      <c r="B174" s="874"/>
      <c r="C174" s="8"/>
      <c r="D174" s="8"/>
      <c r="E174" s="8"/>
      <c r="F174" s="8"/>
      <c r="G174" s="8"/>
      <c r="H174" s="8"/>
      <c r="I174" s="8"/>
      <c r="J174" s="8"/>
      <c r="K174" s="8"/>
      <c r="L174" s="8"/>
      <c r="M174" s="8"/>
      <c r="N174" s="8"/>
      <c r="O174" s="8"/>
      <c r="P174" s="8"/>
      <c r="Q174" s="8"/>
      <c r="R174" s="8"/>
      <c r="S174" s="8"/>
      <c r="T174" s="8"/>
      <c r="U174" s="8"/>
      <c r="V174" s="8"/>
      <c r="W174" s="8"/>
      <c r="X174" s="8"/>
      <c r="Y174" s="8"/>
      <c r="Z174" s="8"/>
      <c r="AA174" s="8"/>
      <c r="AB174" s="8"/>
      <c r="AC174" s="8"/>
      <c r="AD174" s="8"/>
      <c r="AE174" s="8"/>
      <c r="AF174" s="8"/>
      <c r="AG174" s="8"/>
      <c r="AH174" s="8"/>
      <c r="AI174" s="8"/>
      <c r="AJ174" s="8"/>
      <c r="AK174" s="8"/>
      <c r="AL174" s="8"/>
      <c r="AM174" s="8"/>
      <c r="AN174" s="8"/>
      <c r="AO174" s="8"/>
      <c r="AP174" s="8"/>
      <c r="AQ174" s="8"/>
      <c r="AR174" s="8"/>
      <c r="AS174" s="8"/>
      <c r="AT174" s="8"/>
      <c r="AU174" s="8"/>
      <c r="AV174" s="8"/>
      <c r="AW174" s="8"/>
      <c r="AX174" s="8"/>
      <c r="AY174" s="8"/>
      <c r="AZ174" s="8"/>
      <c r="BA174" s="8"/>
      <c r="BB174" s="8"/>
      <c r="BC174" s="8"/>
      <c r="BD174" s="8"/>
      <c r="BE174" s="8"/>
      <c r="BF174" s="8"/>
      <c r="BG174" s="8"/>
      <c r="BH174" s="8"/>
      <c r="BI174" s="8"/>
      <c r="BJ174" s="8"/>
      <c r="BK174" s="8"/>
      <c r="BL174" s="8"/>
      <c r="BM174" s="8"/>
      <c r="BN174" s="8"/>
      <c r="BO174" s="8"/>
      <c r="BP174" s="8"/>
      <c r="BQ174" s="8"/>
      <c r="BR174" s="8"/>
      <c r="BS174" s="8"/>
      <c r="BT174" s="8"/>
      <c r="BU174" s="8"/>
      <c r="BV174" s="8"/>
      <c r="BW174" s="8"/>
      <c r="BX174" s="8"/>
      <c r="BY174" s="8"/>
      <c r="BZ174" s="8"/>
      <c r="CA174" s="8"/>
      <c r="CB174" s="8"/>
      <c r="CC174" s="8"/>
      <c r="CD174" s="8"/>
      <c r="CE174" s="8"/>
      <c r="CF174" s="8"/>
      <c r="CG174" s="8"/>
      <c r="CH174" s="8"/>
      <c r="CI174" s="8"/>
      <c r="CJ174" s="8"/>
      <c r="CK174" s="8"/>
      <c r="CL174" s="8"/>
      <c r="CM174" s="8"/>
      <c r="CN174" s="8"/>
      <c r="CO174" s="8"/>
      <c r="CP174" s="8"/>
      <c r="CQ174" s="8"/>
      <c r="CR174" s="8"/>
      <c r="CS174" s="8"/>
      <c r="CT174" s="8"/>
      <c r="CU174" s="8"/>
      <c r="CV174" s="8"/>
      <c r="CW174" s="8"/>
    </row>
    <row r="175" spans="1:101" ht="14.25" customHeight="1">
      <c r="A175" s="8"/>
      <c r="B175" s="875"/>
      <c r="C175" s="8"/>
      <c r="D175" s="8"/>
      <c r="E175" s="8"/>
      <c r="F175" s="8"/>
      <c r="G175" s="8"/>
      <c r="H175" s="8"/>
      <c r="I175" s="8"/>
      <c r="J175" s="8"/>
      <c r="K175" s="8"/>
      <c r="L175" s="8"/>
      <c r="M175" s="8"/>
      <c r="N175" s="8"/>
      <c r="O175" s="8"/>
      <c r="P175" s="8"/>
      <c r="Q175" s="8"/>
      <c r="R175" s="8"/>
      <c r="S175" s="8"/>
      <c r="T175" s="8"/>
      <c r="U175" s="8"/>
      <c r="V175" s="8"/>
      <c r="W175" s="8"/>
      <c r="X175" s="8"/>
      <c r="Y175" s="8"/>
      <c r="Z175" s="8"/>
      <c r="AA175" s="8"/>
      <c r="AB175" s="8"/>
      <c r="AC175" s="8"/>
      <c r="AD175" s="8"/>
      <c r="AE175" s="8"/>
      <c r="AF175" s="8"/>
      <c r="AG175" s="8"/>
      <c r="AH175" s="8"/>
      <c r="AI175" s="8"/>
      <c r="AJ175" s="8"/>
      <c r="AK175" s="8"/>
      <c r="AL175" s="8"/>
      <c r="AM175" s="8"/>
      <c r="AN175" s="8"/>
      <c r="AO175" s="8"/>
      <c r="AP175" s="8"/>
      <c r="AQ175" s="8"/>
      <c r="AR175" s="8"/>
      <c r="AS175" s="8"/>
      <c r="AT175" s="8"/>
      <c r="AU175" s="8"/>
      <c r="AV175" s="8"/>
      <c r="AW175" s="8"/>
      <c r="AX175" s="8"/>
      <c r="AY175" s="8"/>
      <c r="AZ175" s="8"/>
      <c r="BA175" s="8"/>
      <c r="BB175" s="8"/>
      <c r="BC175" s="8"/>
      <c r="BD175" s="8"/>
      <c r="BE175" s="8"/>
      <c r="BF175" s="8"/>
      <c r="BG175" s="8"/>
      <c r="BH175" s="8"/>
      <c r="BI175" s="8"/>
      <c r="BJ175" s="8"/>
      <c r="BK175" s="8"/>
      <c r="BL175" s="8"/>
      <c r="BM175" s="8"/>
      <c r="BN175" s="8"/>
      <c r="BO175" s="8"/>
      <c r="BP175" s="8"/>
      <c r="BQ175" s="8"/>
      <c r="BR175" s="8"/>
      <c r="BS175" s="8"/>
      <c r="BT175" s="8"/>
      <c r="BU175" s="8"/>
      <c r="BV175" s="8"/>
      <c r="BW175" s="8"/>
      <c r="BX175" s="8"/>
      <c r="BY175" s="8"/>
      <c r="BZ175" s="8"/>
      <c r="CA175" s="8"/>
      <c r="CB175" s="8"/>
      <c r="CC175" s="8"/>
      <c r="CD175" s="8"/>
      <c r="CE175" s="8"/>
      <c r="CF175" s="8"/>
      <c r="CG175" s="8"/>
      <c r="CH175" s="8"/>
      <c r="CI175" s="8"/>
      <c r="CJ175" s="8"/>
      <c r="CK175" s="8"/>
      <c r="CL175" s="8"/>
      <c r="CM175" s="8"/>
      <c r="CN175" s="8"/>
      <c r="CO175" s="8"/>
      <c r="CP175" s="8"/>
      <c r="CQ175" s="8"/>
      <c r="CR175" s="8"/>
      <c r="CS175" s="8"/>
      <c r="CT175" s="8"/>
      <c r="CU175" s="8"/>
      <c r="CV175" s="8"/>
      <c r="CW175" s="8"/>
    </row>
    <row r="176" spans="1:101" ht="14.25" customHeight="1">
      <c r="A176" s="8"/>
      <c r="B176" s="877"/>
      <c r="C176" s="8"/>
      <c r="D176" s="8"/>
      <c r="E176" s="8"/>
      <c r="F176" s="8"/>
      <c r="G176" s="8"/>
      <c r="H176" s="8"/>
      <c r="I176" s="8"/>
      <c r="J176" s="8"/>
      <c r="K176" s="8"/>
      <c r="L176" s="8"/>
      <c r="M176" s="8"/>
      <c r="N176" s="8"/>
      <c r="O176" s="8"/>
      <c r="P176" s="8"/>
      <c r="Q176" s="8"/>
      <c r="R176" s="8"/>
      <c r="S176" s="8"/>
      <c r="T176" s="8"/>
      <c r="U176" s="8"/>
      <c r="V176" s="8"/>
      <c r="W176" s="8"/>
      <c r="X176" s="8"/>
      <c r="Y176" s="8"/>
      <c r="Z176" s="8"/>
      <c r="AA176" s="8"/>
      <c r="AB176" s="8"/>
      <c r="AC176" s="8"/>
      <c r="AD176" s="8"/>
      <c r="AE176" s="8"/>
      <c r="AF176" s="8"/>
      <c r="AG176" s="8"/>
      <c r="AH176" s="8"/>
      <c r="AI176" s="8"/>
      <c r="AJ176" s="8"/>
      <c r="AK176" s="8"/>
      <c r="AL176" s="8"/>
      <c r="AM176" s="8"/>
      <c r="AN176" s="8"/>
      <c r="AO176" s="8"/>
      <c r="AP176" s="8"/>
      <c r="AQ176" s="8"/>
      <c r="AR176" s="8"/>
      <c r="AS176" s="8"/>
      <c r="AT176" s="8"/>
      <c r="AU176" s="8"/>
      <c r="AV176" s="8"/>
      <c r="AW176" s="8"/>
      <c r="AX176" s="8"/>
      <c r="AY176" s="8"/>
      <c r="AZ176" s="8"/>
      <c r="BA176" s="8"/>
      <c r="BB176" s="8"/>
      <c r="BC176" s="8"/>
      <c r="BD176" s="8"/>
      <c r="BE176" s="8"/>
      <c r="BF176" s="8"/>
      <c r="BG176" s="8"/>
      <c r="BH176" s="8"/>
      <c r="BI176" s="8"/>
      <c r="BJ176" s="8"/>
      <c r="BK176" s="8"/>
      <c r="BL176" s="8"/>
      <c r="BM176" s="8"/>
      <c r="BN176" s="8"/>
      <c r="BO176" s="8"/>
      <c r="BP176" s="8"/>
      <c r="BQ176" s="8"/>
      <c r="BR176" s="8"/>
      <c r="BS176" s="8"/>
      <c r="BT176" s="8"/>
      <c r="BU176" s="8"/>
      <c r="BV176" s="8"/>
      <c r="BW176" s="8"/>
      <c r="BX176" s="8"/>
      <c r="BY176" s="8"/>
      <c r="BZ176" s="8"/>
      <c r="CA176" s="8"/>
      <c r="CB176" s="8"/>
      <c r="CC176" s="8"/>
      <c r="CD176" s="8"/>
      <c r="CE176" s="8"/>
      <c r="CF176" s="8"/>
      <c r="CG176" s="8"/>
      <c r="CH176" s="8"/>
      <c r="CI176" s="8"/>
      <c r="CJ176" s="8"/>
      <c r="CK176" s="8"/>
      <c r="CL176" s="8"/>
      <c r="CM176" s="8"/>
      <c r="CN176" s="8"/>
      <c r="CO176" s="8"/>
      <c r="CP176" s="8"/>
      <c r="CQ176" s="8"/>
      <c r="CR176" s="8"/>
      <c r="CS176" s="8"/>
      <c r="CT176" s="8"/>
      <c r="CU176" s="8"/>
      <c r="CV176" s="8"/>
      <c r="CW176" s="8"/>
    </row>
    <row r="177" spans="1:101" ht="14.25" customHeight="1">
      <c r="A177" s="8"/>
      <c r="B177" s="872"/>
      <c r="C177" s="8"/>
      <c r="D177" s="8"/>
      <c r="E177" s="8"/>
      <c r="F177" s="8"/>
      <c r="G177" s="8"/>
      <c r="H177" s="8"/>
      <c r="I177" s="8"/>
      <c r="J177" s="8"/>
      <c r="K177" s="8"/>
      <c r="L177" s="8"/>
      <c r="M177" s="8"/>
      <c r="N177" s="8"/>
      <c r="O177" s="8"/>
      <c r="P177" s="8"/>
      <c r="Q177" s="8"/>
      <c r="R177" s="8"/>
      <c r="S177" s="8"/>
      <c r="T177" s="8"/>
      <c r="U177" s="8"/>
      <c r="V177" s="8"/>
      <c r="W177" s="8"/>
      <c r="X177" s="8"/>
      <c r="Y177" s="8"/>
      <c r="Z177" s="8"/>
      <c r="AA177" s="8"/>
      <c r="AB177" s="8"/>
      <c r="AC177" s="8"/>
      <c r="AD177" s="8"/>
      <c r="AE177" s="8"/>
      <c r="AF177" s="8"/>
      <c r="AG177" s="8"/>
      <c r="AH177" s="8"/>
      <c r="AI177" s="8"/>
      <c r="AJ177" s="8"/>
      <c r="AK177" s="8"/>
      <c r="AL177" s="8"/>
      <c r="AM177" s="8"/>
      <c r="AN177" s="8"/>
      <c r="AO177" s="8"/>
      <c r="AP177" s="8"/>
      <c r="AQ177" s="8"/>
      <c r="AR177" s="8"/>
      <c r="AS177" s="8"/>
      <c r="AT177" s="8"/>
      <c r="AU177" s="8"/>
      <c r="AV177" s="8"/>
      <c r="AW177" s="8"/>
      <c r="AX177" s="8"/>
      <c r="AY177" s="8"/>
      <c r="AZ177" s="8"/>
      <c r="BA177" s="8"/>
      <c r="BB177" s="8"/>
      <c r="BC177" s="8"/>
      <c r="BD177" s="8"/>
      <c r="BE177" s="8"/>
      <c r="BF177" s="8"/>
      <c r="BG177" s="8"/>
      <c r="BH177" s="8"/>
      <c r="BI177" s="8"/>
      <c r="BJ177" s="8"/>
      <c r="BK177" s="8"/>
      <c r="BL177" s="8"/>
      <c r="BM177" s="8"/>
      <c r="BN177" s="8"/>
      <c r="BO177" s="8"/>
      <c r="BP177" s="8"/>
      <c r="BQ177" s="8"/>
      <c r="BR177" s="8"/>
      <c r="BS177" s="8"/>
      <c r="BT177" s="8"/>
      <c r="BU177" s="8"/>
      <c r="BV177" s="8"/>
      <c r="BW177" s="8"/>
      <c r="BX177" s="8"/>
      <c r="BY177" s="8"/>
      <c r="BZ177" s="8"/>
      <c r="CA177" s="8"/>
      <c r="CB177" s="8"/>
      <c r="CC177" s="8"/>
      <c r="CD177" s="8"/>
      <c r="CE177" s="8"/>
      <c r="CF177" s="8"/>
      <c r="CG177" s="8"/>
      <c r="CH177" s="8"/>
      <c r="CI177" s="8"/>
      <c r="CJ177" s="8"/>
      <c r="CK177" s="8"/>
      <c r="CL177" s="8"/>
      <c r="CM177" s="8"/>
      <c r="CN177" s="8"/>
      <c r="CO177" s="8"/>
      <c r="CP177" s="8"/>
      <c r="CQ177" s="8"/>
      <c r="CR177" s="8"/>
      <c r="CS177" s="8"/>
      <c r="CT177" s="8"/>
      <c r="CU177" s="8"/>
      <c r="CV177" s="8"/>
      <c r="CW177" s="8"/>
    </row>
    <row r="178" spans="1:101" ht="14.25" customHeight="1">
      <c r="A178" s="8"/>
      <c r="B178" s="872"/>
      <c r="C178" s="8"/>
      <c r="D178" s="8"/>
      <c r="E178" s="8"/>
      <c r="F178" s="8"/>
      <c r="G178" s="8"/>
      <c r="H178" s="8"/>
      <c r="I178" s="8"/>
      <c r="J178" s="8"/>
      <c r="K178" s="8"/>
      <c r="L178" s="8"/>
      <c r="M178" s="8"/>
      <c r="N178" s="8"/>
      <c r="O178" s="8"/>
      <c r="P178" s="8"/>
      <c r="Q178" s="8"/>
      <c r="R178" s="8"/>
      <c r="S178" s="8"/>
      <c r="T178" s="8"/>
      <c r="U178" s="8"/>
      <c r="V178" s="8"/>
      <c r="W178" s="8"/>
      <c r="X178" s="8"/>
      <c r="Y178" s="8"/>
      <c r="Z178" s="8"/>
      <c r="AA178" s="8"/>
      <c r="AB178" s="8"/>
      <c r="AC178" s="8"/>
      <c r="AD178" s="8"/>
      <c r="AE178" s="8"/>
      <c r="AF178" s="8"/>
      <c r="AG178" s="8"/>
      <c r="AH178" s="8"/>
      <c r="AI178" s="8"/>
      <c r="AJ178" s="8"/>
      <c r="AK178" s="8"/>
      <c r="AL178" s="8"/>
      <c r="AM178" s="8"/>
      <c r="AN178" s="8"/>
      <c r="AO178" s="8"/>
      <c r="AP178" s="8"/>
      <c r="AQ178" s="8"/>
      <c r="AR178" s="8"/>
      <c r="AS178" s="8"/>
      <c r="AT178" s="8"/>
      <c r="AU178" s="8"/>
      <c r="AV178" s="8"/>
      <c r="AW178" s="8"/>
      <c r="AX178" s="8"/>
      <c r="AY178" s="8"/>
      <c r="AZ178" s="8"/>
      <c r="BA178" s="8"/>
      <c r="BB178" s="8"/>
      <c r="BC178" s="8"/>
      <c r="BD178" s="8"/>
      <c r="BE178" s="8"/>
      <c r="BF178" s="8"/>
      <c r="BG178" s="8"/>
      <c r="BH178" s="8"/>
      <c r="BI178" s="8"/>
      <c r="BJ178" s="8"/>
      <c r="BK178" s="8"/>
      <c r="BL178" s="8"/>
      <c r="BM178" s="8"/>
      <c r="BN178" s="8"/>
      <c r="BO178" s="8"/>
      <c r="BP178" s="8"/>
      <c r="BQ178" s="8"/>
      <c r="BR178" s="8"/>
      <c r="BS178" s="8"/>
      <c r="BT178" s="8"/>
      <c r="BU178" s="8"/>
      <c r="BV178" s="8"/>
      <c r="BW178" s="8"/>
      <c r="BX178" s="8"/>
      <c r="BY178" s="8"/>
      <c r="BZ178" s="8"/>
      <c r="CA178" s="8"/>
      <c r="CB178" s="8"/>
      <c r="CC178" s="8"/>
      <c r="CD178" s="8"/>
      <c r="CE178" s="8"/>
      <c r="CF178" s="8"/>
      <c r="CG178" s="8"/>
      <c r="CH178" s="8"/>
      <c r="CI178" s="8"/>
      <c r="CJ178" s="8"/>
      <c r="CK178" s="8"/>
      <c r="CL178" s="8"/>
      <c r="CM178" s="8"/>
      <c r="CN178" s="8"/>
      <c r="CO178" s="8"/>
      <c r="CP178" s="8"/>
      <c r="CQ178" s="8"/>
      <c r="CR178" s="8"/>
      <c r="CS178" s="8"/>
      <c r="CT178" s="8"/>
      <c r="CU178" s="8"/>
      <c r="CV178" s="8"/>
      <c r="CW178" s="8"/>
    </row>
    <row r="179" spans="1:101" ht="14.25" customHeight="1">
      <c r="A179" s="8"/>
      <c r="B179" s="872"/>
      <c r="C179" s="8"/>
      <c r="D179" s="8"/>
      <c r="E179" s="8"/>
      <c r="F179" s="8"/>
      <c r="G179" s="8"/>
      <c r="H179" s="8"/>
      <c r="I179" s="8"/>
      <c r="J179" s="8"/>
      <c r="K179" s="8"/>
      <c r="L179" s="8"/>
      <c r="M179" s="8"/>
      <c r="N179" s="8"/>
      <c r="O179" s="8"/>
      <c r="P179" s="8"/>
      <c r="Q179" s="8"/>
      <c r="R179" s="8"/>
      <c r="S179" s="8"/>
      <c r="T179" s="8"/>
      <c r="U179" s="8"/>
      <c r="V179" s="8"/>
      <c r="W179" s="8"/>
      <c r="X179" s="8"/>
      <c r="Y179" s="8"/>
      <c r="Z179" s="8"/>
      <c r="AA179" s="8"/>
      <c r="AB179" s="8"/>
      <c r="AC179" s="8"/>
      <c r="AD179" s="8"/>
      <c r="AE179" s="8"/>
      <c r="AF179" s="8"/>
      <c r="AG179" s="8"/>
      <c r="AH179" s="8"/>
      <c r="AI179" s="8"/>
      <c r="AJ179" s="8"/>
      <c r="AK179" s="8"/>
      <c r="AL179" s="8"/>
      <c r="AM179" s="8"/>
      <c r="AN179" s="8"/>
      <c r="AO179" s="8"/>
      <c r="AP179" s="8"/>
      <c r="AQ179" s="8"/>
      <c r="AR179" s="8"/>
      <c r="AS179" s="8"/>
      <c r="AT179" s="8"/>
      <c r="AU179" s="8"/>
      <c r="AV179" s="8"/>
      <c r="AW179" s="8"/>
      <c r="AX179" s="8"/>
      <c r="AY179" s="8"/>
      <c r="AZ179" s="8"/>
      <c r="BA179" s="8"/>
      <c r="BB179" s="8"/>
      <c r="BC179" s="8"/>
      <c r="BD179" s="8"/>
      <c r="BE179" s="8"/>
      <c r="BF179" s="8"/>
      <c r="BG179" s="8"/>
      <c r="BH179" s="8"/>
      <c r="BI179" s="8"/>
      <c r="BJ179" s="8"/>
      <c r="BK179" s="8"/>
      <c r="BL179" s="8"/>
      <c r="BM179" s="8"/>
      <c r="BN179" s="8"/>
      <c r="BO179" s="8"/>
      <c r="BP179" s="8"/>
      <c r="BQ179" s="8"/>
      <c r="BR179" s="8"/>
      <c r="BS179" s="8"/>
      <c r="BT179" s="8"/>
      <c r="BU179" s="8"/>
      <c r="BV179" s="8"/>
      <c r="BW179" s="8"/>
      <c r="BX179" s="8"/>
      <c r="BY179" s="8"/>
      <c r="BZ179" s="8"/>
      <c r="CA179" s="8"/>
      <c r="CB179" s="8"/>
      <c r="CC179" s="8"/>
      <c r="CD179" s="8"/>
      <c r="CE179" s="8"/>
      <c r="CF179" s="8"/>
      <c r="CG179" s="8"/>
      <c r="CH179" s="8"/>
      <c r="CI179" s="8"/>
      <c r="CJ179" s="8"/>
      <c r="CK179" s="8"/>
      <c r="CL179" s="8"/>
      <c r="CM179" s="8"/>
      <c r="CN179" s="8"/>
      <c r="CO179" s="8"/>
      <c r="CP179" s="8"/>
      <c r="CQ179" s="8"/>
      <c r="CR179" s="8"/>
      <c r="CS179" s="8"/>
      <c r="CT179" s="8"/>
      <c r="CU179" s="8"/>
      <c r="CV179" s="8"/>
      <c r="CW179" s="8"/>
    </row>
    <row r="180" spans="1:101" ht="14.25" customHeight="1">
      <c r="A180" s="8"/>
      <c r="B180" s="872"/>
      <c r="C180" s="8"/>
      <c r="D180" s="8"/>
      <c r="E180" s="8"/>
      <c r="F180" s="8"/>
      <c r="G180" s="8"/>
      <c r="H180" s="8"/>
      <c r="I180" s="8"/>
      <c r="J180" s="8"/>
      <c r="K180" s="8"/>
      <c r="L180" s="8"/>
      <c r="M180" s="8"/>
      <c r="N180" s="8"/>
      <c r="O180" s="8"/>
      <c r="P180" s="8"/>
      <c r="Q180" s="8"/>
      <c r="R180" s="8"/>
      <c r="S180" s="8"/>
      <c r="T180" s="8"/>
      <c r="U180" s="8"/>
      <c r="V180" s="8"/>
      <c r="W180" s="8"/>
      <c r="X180" s="8"/>
      <c r="Y180" s="8"/>
      <c r="Z180" s="8"/>
      <c r="AA180" s="8"/>
      <c r="AB180" s="8"/>
      <c r="AC180" s="8"/>
      <c r="AD180" s="8"/>
      <c r="AE180" s="8"/>
      <c r="AF180" s="8"/>
      <c r="AG180" s="8"/>
      <c r="AH180" s="8"/>
      <c r="AI180" s="8"/>
      <c r="AJ180" s="8"/>
      <c r="AK180" s="8"/>
      <c r="AL180" s="8"/>
      <c r="AM180" s="8"/>
      <c r="AN180" s="8"/>
      <c r="AO180" s="8"/>
      <c r="AP180" s="8"/>
      <c r="AQ180" s="8"/>
      <c r="AR180" s="8"/>
      <c r="AS180" s="8"/>
      <c r="AT180" s="8"/>
      <c r="AU180" s="8"/>
      <c r="AV180" s="8"/>
      <c r="AW180" s="8"/>
      <c r="AX180" s="8"/>
      <c r="AY180" s="8"/>
      <c r="AZ180" s="8"/>
      <c r="BA180" s="8"/>
      <c r="BB180" s="8"/>
      <c r="BC180" s="8"/>
      <c r="BD180" s="8"/>
      <c r="BE180" s="8"/>
      <c r="BF180" s="8"/>
      <c r="BG180" s="8"/>
      <c r="BH180" s="8"/>
      <c r="BI180" s="8"/>
      <c r="BJ180" s="8"/>
      <c r="BK180" s="8"/>
      <c r="BL180" s="8"/>
      <c r="BM180" s="8"/>
      <c r="BN180" s="8"/>
      <c r="BO180" s="8"/>
      <c r="BP180" s="8"/>
      <c r="BQ180" s="8"/>
      <c r="BR180" s="8"/>
      <c r="BS180" s="8"/>
      <c r="BT180" s="8"/>
      <c r="BU180" s="8"/>
      <c r="BV180" s="8"/>
      <c r="BW180" s="8"/>
      <c r="BX180" s="8"/>
      <c r="BY180" s="8"/>
      <c r="BZ180" s="8"/>
      <c r="CA180" s="8"/>
      <c r="CB180" s="8"/>
      <c r="CC180" s="8"/>
      <c r="CD180" s="8"/>
      <c r="CE180" s="8"/>
      <c r="CF180" s="8"/>
      <c r="CG180" s="8"/>
      <c r="CH180" s="8"/>
      <c r="CI180" s="8"/>
      <c r="CJ180" s="8"/>
      <c r="CK180" s="8"/>
      <c r="CL180" s="8"/>
      <c r="CM180" s="8"/>
      <c r="CN180" s="8"/>
      <c r="CO180" s="8"/>
      <c r="CP180" s="8"/>
      <c r="CQ180" s="8"/>
      <c r="CR180" s="8"/>
      <c r="CS180" s="8"/>
      <c r="CT180" s="8"/>
      <c r="CU180" s="8"/>
      <c r="CV180" s="8"/>
      <c r="CW180" s="8"/>
    </row>
    <row r="181" spans="1:101" ht="14.25" customHeight="1">
      <c r="A181" s="8"/>
      <c r="B181" s="872"/>
      <c r="C181" s="8"/>
      <c r="D181" s="8"/>
      <c r="E181" s="8"/>
      <c r="F181" s="8"/>
      <c r="G181" s="8"/>
      <c r="H181" s="8"/>
      <c r="I181" s="8"/>
      <c r="J181" s="8"/>
      <c r="K181" s="8"/>
      <c r="L181" s="8"/>
      <c r="M181" s="8"/>
      <c r="N181" s="8"/>
      <c r="O181" s="8"/>
      <c r="P181" s="8"/>
      <c r="Q181" s="8"/>
      <c r="R181" s="8"/>
      <c r="S181" s="8"/>
      <c r="T181" s="8"/>
      <c r="U181" s="8"/>
      <c r="V181" s="8"/>
      <c r="W181" s="8"/>
      <c r="X181" s="8"/>
      <c r="Y181" s="8"/>
      <c r="Z181" s="8"/>
      <c r="AA181" s="8"/>
      <c r="AB181" s="8"/>
      <c r="AC181" s="8"/>
      <c r="AD181" s="8"/>
      <c r="AE181" s="8"/>
      <c r="AF181" s="8"/>
      <c r="AG181" s="8"/>
      <c r="AH181" s="8"/>
      <c r="AI181" s="8"/>
      <c r="AJ181" s="8"/>
      <c r="AK181" s="8"/>
      <c r="AL181" s="8"/>
      <c r="AM181" s="8"/>
      <c r="AN181" s="8"/>
      <c r="AO181" s="8"/>
      <c r="AP181" s="8"/>
      <c r="AQ181" s="8"/>
      <c r="AR181" s="8"/>
      <c r="AS181" s="8"/>
      <c r="AT181" s="8"/>
      <c r="AU181" s="8"/>
      <c r="AV181" s="8"/>
      <c r="AW181" s="8"/>
      <c r="AX181" s="8"/>
      <c r="AY181" s="8"/>
      <c r="AZ181" s="8"/>
      <c r="BA181" s="8"/>
      <c r="BB181" s="8"/>
      <c r="BC181" s="8"/>
      <c r="BD181" s="8"/>
      <c r="BE181" s="8"/>
      <c r="BF181" s="8"/>
      <c r="BG181" s="8"/>
      <c r="BH181" s="8"/>
      <c r="BI181" s="8"/>
      <c r="BJ181" s="8"/>
      <c r="BK181" s="8"/>
      <c r="BL181" s="8"/>
      <c r="BM181" s="8"/>
      <c r="BN181" s="8"/>
      <c r="BO181" s="8"/>
      <c r="BP181" s="8"/>
      <c r="BQ181" s="8"/>
      <c r="BR181" s="8"/>
      <c r="BS181" s="8"/>
      <c r="BT181" s="8"/>
      <c r="BU181" s="8"/>
      <c r="BV181" s="8"/>
      <c r="BW181" s="8"/>
      <c r="BX181" s="8"/>
      <c r="BY181" s="8"/>
      <c r="BZ181" s="8"/>
      <c r="CA181" s="8"/>
      <c r="CB181" s="8"/>
      <c r="CC181" s="8"/>
      <c r="CD181" s="8"/>
      <c r="CE181" s="8"/>
      <c r="CF181" s="8"/>
      <c r="CG181" s="8"/>
      <c r="CH181" s="8"/>
      <c r="CI181" s="8"/>
      <c r="CJ181" s="8"/>
      <c r="CK181" s="8"/>
      <c r="CL181" s="8"/>
      <c r="CM181" s="8"/>
      <c r="CN181" s="8"/>
      <c r="CO181" s="8"/>
      <c r="CP181" s="8"/>
      <c r="CQ181" s="8"/>
      <c r="CR181" s="8"/>
      <c r="CS181" s="8"/>
      <c r="CT181" s="8"/>
      <c r="CU181" s="8"/>
      <c r="CV181" s="8"/>
      <c r="CW181" s="8"/>
    </row>
    <row r="183" spans="1:101" ht="14.25" customHeight="1">
      <c r="A183" s="8"/>
      <c r="B183" s="727"/>
      <c r="C183" s="104"/>
      <c r="D183" s="105" t="e">
        <f>IS!D165</f>
        <v>#NAME?</v>
      </c>
      <c r="E183" s="105" t="e">
        <f>IS!E165</f>
        <v>#NAME?</v>
      </c>
      <c r="F183" s="105" t="e">
        <f>IS!F165</f>
        <v>#NAME?</v>
      </c>
      <c r="G183" s="105" t="e">
        <f>IS!G165</f>
        <v>#NAME?</v>
      </c>
      <c r="H183" s="105" t="e">
        <f>IS!H165</f>
        <v>#NAME?</v>
      </c>
      <c r="I183" s="105" t="e">
        <f>IS!I165</f>
        <v>#NAME?</v>
      </c>
      <c r="J183" s="105" t="e">
        <f>IS!J165</f>
        <v>#NAME?</v>
      </c>
      <c r="K183" s="105" t="e">
        <f>IS!K165</f>
        <v>#NAME?</v>
      </c>
      <c r="L183" s="105" t="e">
        <f>IS!L165</f>
        <v>#NAME?</v>
      </c>
      <c r="M183" s="105" t="e">
        <f>IS!M165</f>
        <v>#NAME?</v>
      </c>
      <c r="N183" s="105" t="e">
        <f>IS!N165</f>
        <v>#NAME?</v>
      </c>
      <c r="O183" s="105" t="e">
        <f>IS!O165</f>
        <v>#NAME?</v>
      </c>
      <c r="P183" s="105" t="e">
        <f>IS!P165</f>
        <v>#NAME?</v>
      </c>
      <c r="Q183" s="105" t="e">
        <f>IS!Q165</f>
        <v>#NAME?</v>
      </c>
      <c r="R183" s="105" t="e">
        <f>IS!R165</f>
        <v>#NAME?</v>
      </c>
      <c r="S183" s="105" t="e">
        <f>IS!S165</f>
        <v>#NAME?</v>
      </c>
      <c r="T183" s="105" t="e">
        <f>IS!T165</f>
        <v>#NAME?</v>
      </c>
      <c r="U183" s="105" t="e">
        <f>IS!U165</f>
        <v>#NAME?</v>
      </c>
      <c r="V183" s="105" t="e">
        <f>IS!V165</f>
        <v>#NAME?</v>
      </c>
      <c r="W183" s="105" t="e">
        <f>IS!W165</f>
        <v>#NAME?</v>
      </c>
      <c r="X183" s="105" t="e">
        <f>IS!X165</f>
        <v>#NAME?</v>
      </c>
      <c r="Y183" s="105" t="e">
        <f>IS!Y165</f>
        <v>#NAME?</v>
      </c>
      <c r="Z183" s="105" t="e">
        <f>IS!Z165</f>
        <v>#NAME?</v>
      </c>
      <c r="AA183" s="105" t="e">
        <f>IS!AA165</f>
        <v>#NAME?</v>
      </c>
      <c r="AB183" s="105" t="e">
        <f>IS!AB165</f>
        <v>#NAME?</v>
      </c>
      <c r="AC183" s="105" t="e">
        <f>IS!AC165</f>
        <v>#NAME?</v>
      </c>
      <c r="AD183" s="105" t="e">
        <f>IS!AD165</f>
        <v>#NAME?</v>
      </c>
      <c r="AE183" s="105" t="e">
        <f>IS!AE165</f>
        <v>#NAME?</v>
      </c>
      <c r="AF183" s="105" t="e">
        <f>IS!AF165</f>
        <v>#NAME?</v>
      </c>
      <c r="AG183" s="105" t="str">
        <f>IS!AG165</f>
        <v>A</v>
      </c>
      <c r="AH183" s="105" t="e">
        <f>IS!AH165</f>
        <v>#NAME?</v>
      </c>
      <c r="AI183" s="105" t="e">
        <f>IS!AI165</f>
        <v>#NAME?</v>
      </c>
      <c r="AJ183" s="105" t="e">
        <f>IS!AJ165</f>
        <v>#NAME?</v>
      </c>
      <c r="AK183" s="105" t="e">
        <f>IS!AK165</f>
        <v>#NAME?</v>
      </c>
      <c r="AL183" s="105" t="e">
        <f>IS!AL165</f>
        <v>#NAME?</v>
      </c>
      <c r="AM183" s="105" t="e">
        <f>IS!AM165</f>
        <v>#NAME?</v>
      </c>
      <c r="AN183" s="105" t="e">
        <f>IS!AN165</f>
        <v>#NAME?</v>
      </c>
      <c r="AO183" s="105" t="e">
        <f>IS!AO165</f>
        <v>#NAME?</v>
      </c>
      <c r="AP183" s="105" t="e">
        <f>IS!AP165</f>
        <v>#NAME?</v>
      </c>
      <c r="AQ183" s="105" t="e">
        <f>IS!AQ165</f>
        <v>#NAME?</v>
      </c>
      <c r="AR183" s="105" t="e">
        <f>IS!AR165</f>
        <v>#NAME?</v>
      </c>
      <c r="AS183" s="105" t="e">
        <f>IS!AS165</f>
        <v>#NAME?</v>
      </c>
      <c r="AT183" s="105" t="e">
        <f>IS!AT165</f>
        <v>#NAME?</v>
      </c>
      <c r="AU183" s="105" t="e">
        <f>IS!AU165</f>
        <v>#NAME?</v>
      </c>
      <c r="AV183" s="105" t="e">
        <f>IS!AV165</f>
        <v>#NAME?</v>
      </c>
      <c r="AW183" s="105" t="e">
        <f>IS!AW165</f>
        <v>#NAME?</v>
      </c>
      <c r="AX183" s="105" t="e">
        <f>IS!AX165</f>
        <v>#NAME?</v>
      </c>
      <c r="AY183" s="105" t="e">
        <f>IS!AY165</f>
        <v>#NAME?</v>
      </c>
      <c r="AZ183" s="105" t="e">
        <f>IS!AZ165</f>
        <v>#NAME?</v>
      </c>
      <c r="BA183" s="105" t="e">
        <f>IS!BA165</f>
        <v>#NAME?</v>
      </c>
      <c r="BB183" s="105" t="e">
        <f>IS!BB165</f>
        <v>#NAME?</v>
      </c>
      <c r="BC183" s="105" t="e">
        <f>IS!BC165</f>
        <v>#NAME?</v>
      </c>
      <c r="BD183" s="105" t="e">
        <f>IS!BD165</f>
        <v>#NAME?</v>
      </c>
      <c r="BE183" s="105" t="e">
        <f>IS!BE165</f>
        <v>#NAME?</v>
      </c>
      <c r="BF183" s="105" t="e">
        <f>IS!BF165</f>
        <v>#NAME?</v>
      </c>
      <c r="BG183" s="105" t="e">
        <f>IS!BG165</f>
        <v>#NAME?</v>
      </c>
      <c r="BH183" s="105" t="e">
        <f>IS!BH165</f>
        <v>#NAME?</v>
      </c>
      <c r="BI183" s="105" t="e">
        <f>IS!BI165</f>
        <v>#NAME?</v>
      </c>
      <c r="BJ183" s="105" t="e">
        <f>IS!BJ165</f>
        <v>#NAME?</v>
      </c>
      <c r="BK183" s="105" t="e">
        <f>IS!BK165</f>
        <v>#NAME?</v>
      </c>
      <c r="BL183" s="105" t="e">
        <f>IS!BL165</f>
        <v>#NAME?</v>
      </c>
      <c r="BM183" s="105" t="e">
        <f>IS!BM165</f>
        <v>#NAME?</v>
      </c>
      <c r="BN183" s="105" t="e">
        <f>IS!BN165</f>
        <v>#NAME?</v>
      </c>
      <c r="BO183" s="105" t="e">
        <f>IS!BO165</f>
        <v>#NAME?</v>
      </c>
      <c r="BP183" s="105"/>
      <c r="BQ183" s="105" t="e">
        <f>IS!BQ165</f>
        <v>#NAME?</v>
      </c>
      <c r="BR183" s="105" t="e">
        <f>IS!BR165</f>
        <v>#NAME?</v>
      </c>
      <c r="BS183" s="105" t="e">
        <f>IS!BS165</f>
        <v>#NAME?</v>
      </c>
      <c r="BT183" s="105" t="e">
        <f>IS!BT165</f>
        <v>#NAME?</v>
      </c>
      <c r="BU183" s="105" t="e">
        <f>IS!BU165</f>
        <v>#NAME?</v>
      </c>
      <c r="BV183" s="105" t="e">
        <f>IS!BV165</f>
        <v>#NAME?</v>
      </c>
      <c r="BW183" s="105" t="e">
        <f>IS!BW165</f>
        <v>#NAME?</v>
      </c>
      <c r="BX183" s="105" t="e">
        <f>IS!BX165</f>
        <v>#NAME?</v>
      </c>
      <c r="BY183" s="105" t="e">
        <f>IS!BY165</f>
        <v>#NAME?</v>
      </c>
      <c r="BZ183" s="105" t="e">
        <f>IS!BZ165</f>
        <v>#NAME?</v>
      </c>
      <c r="CA183" s="105" t="e">
        <f>IS!CA165</f>
        <v>#NAME?</v>
      </c>
      <c r="CB183" s="105" t="e">
        <f>IS!CB165</f>
        <v>#NAME?</v>
      </c>
      <c r="CC183" s="105" t="e">
        <f>IS!CC165</f>
        <v>#NAME?</v>
      </c>
      <c r="CD183" s="105" t="e">
        <f>IS!CD165</f>
        <v>#NAME?</v>
      </c>
      <c r="CE183" s="105" t="e">
        <f>IS!CE165</f>
        <v>#NAME?</v>
      </c>
      <c r="CF183" s="105" t="e">
        <f>IS!CF165</f>
        <v>#NAME?</v>
      </c>
      <c r="CG183" s="8"/>
      <c r="CH183" s="105" t="e">
        <f>IS!CH165</f>
        <v>#NAME?</v>
      </c>
      <c r="CI183" s="105" t="e">
        <f>IS!CI165</f>
        <v>#NAME?</v>
      </c>
      <c r="CJ183" s="105" t="e">
        <f>IS!CJ165</f>
        <v>#NAME?</v>
      </c>
      <c r="CK183" s="105" t="e">
        <f>IS!CK165</f>
        <v>#NAME?</v>
      </c>
      <c r="CL183" s="105" t="e">
        <f>IS!CL165</f>
        <v>#NAME?</v>
      </c>
      <c r="CM183" s="105" t="e">
        <f>IS!CM165</f>
        <v>#NAME?</v>
      </c>
      <c r="CN183" s="105" t="e">
        <f>IS!CN165</f>
        <v>#NAME?</v>
      </c>
      <c r="CO183" s="105" t="e">
        <f>IS!CO165</f>
        <v>#NAME?</v>
      </c>
      <c r="CP183" s="105" t="e">
        <f>IS!CP165</f>
        <v>#NAME?</v>
      </c>
      <c r="CQ183" s="105" t="e">
        <f>IS!CQ165</f>
        <v>#NAME?</v>
      </c>
      <c r="CR183" s="105" t="e">
        <f>IS!CR165</f>
        <v>#NAME?</v>
      </c>
      <c r="CS183" s="105" t="e">
        <f>IS!CS165</f>
        <v>#NAME?</v>
      </c>
      <c r="CT183" s="105" t="e">
        <f>IS!CT165</f>
        <v>#NAME?</v>
      </c>
      <c r="CU183" s="105" t="e">
        <f>IS!CU165</f>
        <v>#NAME?</v>
      </c>
      <c r="CV183" s="105" t="e">
        <f>IS!CV165</f>
        <v>#NAME?</v>
      </c>
      <c r="CW183" s="8"/>
    </row>
    <row r="184" spans="1:101" ht="14.25" hidden="1" customHeight="1" outlineLevel="1">
      <c r="A184" s="8"/>
      <c r="B184" s="728"/>
      <c r="C184" s="70"/>
      <c r="D184" s="194" t="s">
        <v>116</v>
      </c>
      <c r="E184" s="194" t="s">
        <v>116</v>
      </c>
      <c r="F184" s="194" t="s">
        <v>116</v>
      </c>
      <c r="G184" s="194" t="s">
        <v>116</v>
      </c>
      <c r="H184" s="194" t="s">
        <v>116</v>
      </c>
      <c r="I184" s="194" t="s">
        <v>116</v>
      </c>
      <c r="J184" s="194" t="s">
        <v>116</v>
      </c>
      <c r="K184" s="194" t="s">
        <v>116</v>
      </c>
      <c r="L184" s="194" t="s">
        <v>116</v>
      </c>
      <c r="M184" s="194" t="s">
        <v>116</v>
      </c>
      <c r="N184" s="194" t="s">
        <v>116</v>
      </c>
      <c r="O184" s="194" t="s">
        <v>116</v>
      </c>
      <c r="P184" s="194" t="s">
        <v>116</v>
      </c>
      <c r="Q184" s="194" t="s">
        <v>116</v>
      </c>
      <c r="R184" s="194" t="s">
        <v>116</v>
      </c>
      <c r="S184" s="194" t="s">
        <v>116</v>
      </c>
      <c r="T184" s="194" t="s">
        <v>116</v>
      </c>
      <c r="U184" s="194" t="s">
        <v>116</v>
      </c>
      <c r="V184" s="194" t="s">
        <v>116</v>
      </c>
      <c r="W184" s="194" t="s">
        <v>116</v>
      </c>
      <c r="X184" s="194" t="s">
        <v>116</v>
      </c>
      <c r="Y184" s="194" t="s">
        <v>116</v>
      </c>
      <c r="Z184" s="194" t="s">
        <v>116</v>
      </c>
      <c r="AA184" s="194" t="s">
        <v>116</v>
      </c>
      <c r="AB184" s="194" t="s">
        <v>116</v>
      </c>
      <c r="AC184" s="194" t="s">
        <v>116</v>
      </c>
      <c r="AD184" s="194" t="s">
        <v>116</v>
      </c>
      <c r="AE184" s="194" t="s">
        <v>116</v>
      </c>
      <c r="AF184" s="194" t="s">
        <v>116</v>
      </c>
      <c r="AG184" s="194" t="s">
        <v>116</v>
      </c>
      <c r="AH184" s="194" t="s">
        <v>116</v>
      </c>
      <c r="AI184" s="194" t="s">
        <v>116</v>
      </c>
      <c r="AJ184" s="194" t="s">
        <v>116</v>
      </c>
      <c r="AK184" s="194" t="s">
        <v>116</v>
      </c>
      <c r="AL184" s="194" t="s">
        <v>116</v>
      </c>
      <c r="AM184" s="194" t="s">
        <v>116</v>
      </c>
      <c r="AN184" s="194" t="s">
        <v>116</v>
      </c>
      <c r="AO184" s="194" t="s">
        <v>116</v>
      </c>
      <c r="AP184" s="194" t="s">
        <v>116</v>
      </c>
      <c r="AQ184" s="194" t="s">
        <v>116</v>
      </c>
      <c r="AR184" s="194" t="s">
        <v>116</v>
      </c>
      <c r="AS184" s="194" t="s">
        <v>116</v>
      </c>
      <c r="AT184" s="194" t="s">
        <v>116</v>
      </c>
      <c r="AU184" s="194" t="s">
        <v>116</v>
      </c>
      <c r="AV184" s="194" t="s">
        <v>116</v>
      </c>
      <c r="AW184" s="194" t="s">
        <v>116</v>
      </c>
      <c r="AX184" s="194" t="s">
        <v>116</v>
      </c>
      <c r="AY184" s="194" t="s">
        <v>116</v>
      </c>
      <c r="AZ184" s="194" t="s">
        <v>116</v>
      </c>
      <c r="BA184" s="194" t="s">
        <v>116</v>
      </c>
      <c r="BB184" s="194" t="s">
        <v>116</v>
      </c>
      <c r="BC184" s="194" t="s">
        <v>116</v>
      </c>
      <c r="BD184" s="194" t="s">
        <v>116</v>
      </c>
      <c r="BE184" s="194" t="s">
        <v>116</v>
      </c>
      <c r="BF184" s="194" t="s">
        <v>116</v>
      </c>
      <c r="BG184" s="194" t="s">
        <v>116</v>
      </c>
      <c r="BH184" s="194" t="s">
        <v>116</v>
      </c>
      <c r="BI184" s="194" t="s">
        <v>116</v>
      </c>
      <c r="BJ184" s="194" t="s">
        <v>116</v>
      </c>
      <c r="BK184" s="194" t="s">
        <v>116</v>
      </c>
      <c r="BL184" s="194" t="s">
        <v>116</v>
      </c>
      <c r="BM184" s="194" t="s">
        <v>116</v>
      </c>
      <c r="BN184" s="194" t="s">
        <v>116</v>
      </c>
      <c r="BO184" s="194" t="s">
        <v>116</v>
      </c>
      <c r="BP184" s="8"/>
      <c r="BQ184" s="194" t="s">
        <v>116</v>
      </c>
      <c r="BR184" s="194" t="s">
        <v>116</v>
      </c>
      <c r="BS184" s="194" t="s">
        <v>116</v>
      </c>
      <c r="BT184" s="194" t="s">
        <v>116</v>
      </c>
      <c r="BU184" s="194" t="s">
        <v>116</v>
      </c>
      <c r="BV184" s="194" t="s">
        <v>116</v>
      </c>
      <c r="BW184" s="194" t="s">
        <v>116</v>
      </c>
      <c r="BX184" s="194" t="s">
        <v>116</v>
      </c>
      <c r="BY184" s="194" t="s">
        <v>116</v>
      </c>
      <c r="BZ184" s="194" t="s">
        <v>116</v>
      </c>
      <c r="CA184" s="194" t="s">
        <v>116</v>
      </c>
      <c r="CB184" s="194" t="s">
        <v>116</v>
      </c>
      <c r="CC184" s="194" t="s">
        <v>116</v>
      </c>
      <c r="CD184" s="194" t="s">
        <v>116</v>
      </c>
      <c r="CE184" s="194" t="s">
        <v>116</v>
      </c>
      <c r="CF184" s="194" t="s">
        <v>116</v>
      </c>
      <c r="CG184" s="8"/>
      <c r="CH184" s="194" t="s">
        <v>116</v>
      </c>
      <c r="CI184" s="194" t="s">
        <v>116</v>
      </c>
      <c r="CJ184" s="194" t="s">
        <v>116</v>
      </c>
      <c r="CK184" s="194" t="s">
        <v>116</v>
      </c>
      <c r="CL184" s="194" t="s">
        <v>116</v>
      </c>
      <c r="CM184" s="194" t="s">
        <v>116</v>
      </c>
      <c r="CN184" s="194" t="s">
        <v>116</v>
      </c>
      <c r="CO184" s="194" t="s">
        <v>116</v>
      </c>
      <c r="CP184" s="194" t="s">
        <v>116</v>
      </c>
      <c r="CQ184" s="194" t="s">
        <v>116</v>
      </c>
      <c r="CR184" s="194" t="s">
        <v>116</v>
      </c>
      <c r="CS184" s="194" t="s">
        <v>116</v>
      </c>
      <c r="CT184" s="194" t="s">
        <v>116</v>
      </c>
      <c r="CU184" s="194" t="s">
        <v>116</v>
      </c>
      <c r="CV184" s="194" t="s">
        <v>116</v>
      </c>
      <c r="CW184" s="8"/>
    </row>
    <row r="185" spans="1:101" ht="14.25" customHeight="1" collapsed="1">
      <c r="A185" s="8"/>
      <c r="B185" s="729"/>
      <c r="C185" s="70"/>
      <c r="D185" s="195">
        <f>C64-D64-D66+C66+D68-C68+D71-C71+D72-C72-IS!D91+IS!D103</f>
        <v>3627.855</v>
      </c>
      <c r="E185" s="195">
        <f>D64-E64-E66+D66+E68-D68+E71-D71+E72-D72-IS!E91+IS!E103</f>
        <v>-130.28099999999981</v>
      </c>
      <c r="F185" s="195">
        <f>E64-F64-F66+E66+F68-E68+F71-E71+F72-E72-IS!F91+IS!F103</f>
        <v>8.1019999999998049</v>
      </c>
      <c r="G185" s="195">
        <f>F64-G64-G66+F66+G68-F68+G71-F71+G72-F72-IS!G91+IS!G103</f>
        <v>-209.69799999999958</v>
      </c>
      <c r="H185" s="195">
        <f>G64-H64-H66+G66+H68-G68+H71-G71+H72-G72-IS!H91+IS!H103</f>
        <v>-93.112000000000407</v>
      </c>
      <c r="I185" s="195">
        <f>H64-I64-I66+H66+I68-H68+I71-H71+I72-H72-IS!I91+IS!I103</f>
        <v>-206.43099999999993</v>
      </c>
      <c r="J185" s="195">
        <f>I64-J64-J66+I66+J68-I68+J71-I71+J72-I72-IS!J91+IS!J103</f>
        <v>-133.78999999999965</v>
      </c>
      <c r="K185" s="195">
        <f>J64-K64-K66+J66+K68-J68+K71-J71+K72-J72-IS!K91+IS!K103</f>
        <v>-356.99800000000027</v>
      </c>
      <c r="L185" s="195">
        <f>K64-L64-L66+K66+L68-K68+L71-K71+L72-K72-IS!L91+IS!L103</f>
        <v>-336.2179999999999</v>
      </c>
      <c r="M185" s="195">
        <f>L64-M64-M66+L66+M68-L68+M71-L71+M72-L72-IS!M91+IS!M103</f>
        <v>-329.51600000000008</v>
      </c>
      <c r="N185" s="195">
        <f>M64-N64-N66+M66+N68-M68+N71-M71+N72-M72-IS!N91+IS!N103</f>
        <v>-653.99199999999985</v>
      </c>
      <c r="O185" s="195">
        <f>N64-O64-O66+N66+O68-N68+O71-N71+O72-N72-IS!O91+IS!O103</f>
        <v>-314.13499999999965</v>
      </c>
      <c r="P185" s="195">
        <f>O64-P64-P66+O66+P68-O68+P71-O71+P72-O72-IS!P91+IS!P103</f>
        <v>-118.0900000000002</v>
      </c>
      <c r="Q185" s="195">
        <f>P64-Q64-Q66+P66+Q68-P68+Q71-P71+Q72-P72-IS!Q91+IS!Q103</f>
        <v>-160.91200000000003</v>
      </c>
      <c r="R185" s="195">
        <f>Q64-R64-R66+Q66+R68-Q68+R71-Q71+R72-Q72-IS!R91+IS!R103</f>
        <v>-37.105000000000302</v>
      </c>
      <c r="S185" s="195">
        <f>R64-S64-S66+R66+S68-R68+S71-R71+S72-R72-IS!S91+IS!S103</f>
        <v>-44.672000000000367</v>
      </c>
      <c r="T185" s="195">
        <f>S64-T64-T66+S66+T68-S68+T71-S71+T72-S72-IS!T91+IS!T103</f>
        <v>-46.708000000000055</v>
      </c>
      <c r="U185" s="195">
        <f>T64-U64-U66+T66+U68-T68+U71-T71+U72-T72-IS!U91+IS!U103</f>
        <v>-47.654999999999859</v>
      </c>
      <c r="V185" s="195">
        <f>U64-V64-V66+U66+V68-U68+V71-U71+V72-U72-IS!V91+IS!V103</f>
        <v>-40.70499999999987</v>
      </c>
      <c r="W185" s="195">
        <f>V64-W64-W66+V66+W68-V68+W71-V71+W72-V72-IS!W91+IS!W103</f>
        <v>-41.384000000000128</v>
      </c>
      <c r="X185" s="195">
        <f>W64-X64-X66+W66+X68-W68+X71-W71+X72-W72-IS!X91+IS!X103</f>
        <v>119.95699999999985</v>
      </c>
      <c r="Y185" s="195">
        <f>X64-Y64-Y66+X66+Y68-X68+Y71-X71+Y72-X72-IS!Y91+IS!Y103</f>
        <v>-41.127999999999815</v>
      </c>
      <c r="Z185" s="195">
        <f>Y64-Z64-Z66+Y66+Z68-Y68+Z71-Y71+Z72-Y72-IS!Z91+IS!Z103</f>
        <v>-52.054999999999836</v>
      </c>
      <c r="AA185" s="195">
        <f>Z64-AA64-AA66+Z66+AA68-Z68+AA71-Z71+AA72-Z72-IS!AA91+IS!AA103</f>
        <v>-44.084000000000231</v>
      </c>
      <c r="AB185" s="195">
        <f>AA64-AB64-AB66+AA66+AB68-AA68+AB71-AA71+AB72-AA72-IS!AB91+IS!AB103</f>
        <v>-48.993999999999915</v>
      </c>
      <c r="AC185" s="195">
        <f>AB64-AC64-AC66+AB66+AC68-AB68+AC71-AB71+AC72-AB72-IS!AC91+IS!AC103</f>
        <v>-33.043000000000006</v>
      </c>
      <c r="AD185" s="195">
        <f>AC64-AD64-AD66+AC66+AD68-AC68+AD71-AC71+AD72-AC72-IS!AD91+IS!AD103</f>
        <v>-83.264999999999958</v>
      </c>
      <c r="AE185" s="195">
        <f>AD64-AE64-AE66+AD66+AE68-AD68+AE71-AD71+AE72-AD72-IS!AE91+IS!AE103</f>
        <v>-107.32200000000006</v>
      </c>
      <c r="AF185" s="195">
        <f>AE64-AF64-AF66+AE66+AF68-AE68+AF71-AE71+AF72-AE72-IS!AF91+IS!AF103</f>
        <v>-87.110999999999791</v>
      </c>
      <c r="AG185" s="195">
        <f>AF64-AG64-AG66+AF66+AG68-AF68+AG71-AF71+AG72-AF72-IS!AG91+IS!AG103</f>
        <v>-78.391000000000219</v>
      </c>
      <c r="AH185" s="195">
        <f>AG64-AH64-AH66+AG66+AH68-AG68+AH71-AG71+AH72-AG72-IS!AH91+IS!AH103</f>
        <v>-64.768999999999693</v>
      </c>
      <c r="AI185" s="195">
        <f>AH64-AI64-AI66+AH66+AI68-AH68+AI71-AH71+AI72-AH72-IS!AI91+IS!AI103</f>
        <v>-12.79400000000004</v>
      </c>
      <c r="AJ185" s="195">
        <f>AI64-AJ64-AJ66+AI66+AJ68-AI68+AJ71-AI71+AJ72-AI72-IS!AJ91+IS!AJ103</f>
        <v>26.51699999999957</v>
      </c>
      <c r="AK185" s="195">
        <f>AJ64-AK64-AK66+AJ66+AK68-AJ68+AK71-AJ71+AK72-AJ72-IS!AK91+IS!AK103</f>
        <v>-24.341999999999871</v>
      </c>
      <c r="AL185" s="195">
        <f>AK64-AL64-AL66+AK66+AL68-AK68+AL71-AK71+AL72-AK72-IS!AL91+IS!AL103</f>
        <v>3.2839999999996508</v>
      </c>
      <c r="AM185" s="195">
        <f>AL64-AM64-AM66+AL66+AM68-AL68+AM71-AL71+AM72-AL72-IS!AM91+IS!AM103</f>
        <v>-88.577000000000197</v>
      </c>
      <c r="AN185" s="195">
        <f>AM64-AN64-AN66+AM66+AN68-AM68+AN71-AM71+AN72-AM72-IS!AN91+IS!AN103</f>
        <v>-94.136000000000251</v>
      </c>
      <c r="AO185" s="195">
        <f>AN64-AO64-AO66+AN66+AO68-AN68+AO71-AN71+AO72-AN72-IS!AO91+IS!AO103</f>
        <v>-58.033999999999565</v>
      </c>
      <c r="AP185" s="195">
        <f>AO64-AP64-AP66+AO66+AP68-AO68+AP71-AO71+AP72-AO72-IS!AP91+IS!AP103</f>
        <v>-104.12699999999967</v>
      </c>
      <c r="AQ185" s="195">
        <f>AP64-AQ64-AQ66+AP66+AQ68-AP68+AQ71-AP71+AQ72-AP72-IS!AQ91+IS!AQ103</f>
        <v>-266.72200000000004</v>
      </c>
      <c r="AR185" s="195">
        <f>AQ64-AR64-AR66+AQ66+AR68-AQ68+AR71-AQ71+AR72-AQ72-IS!AR91+IS!AR103</f>
        <v>-106.54900000000035</v>
      </c>
      <c r="AS185" s="195">
        <f>AR64-AS64-AS66+AR66+AS68-AR68+AS71-AR71+AS72-AR72-IS!AS91+IS!AS103</f>
        <v>-68.906000000000262</v>
      </c>
      <c r="AT185" s="195">
        <f>AS64-AT64-AT66+AS66+AT68-AS68+AT71-AS71+AT72-AS72-IS!AT91+IS!AT103</f>
        <v>-113.6190000000006</v>
      </c>
      <c r="AU185" s="195">
        <f>AT64-AU64-AU66+AT66+AU68-AT68+AU71-AT71+AU72-AT72-IS!AU91+IS!AU103</f>
        <v>-210.4170000000002</v>
      </c>
      <c r="AV185" s="195">
        <f>AU64-AV64-AV66+AU66+AV68-AU68+AV71-AU71+AV72-AU72-IS!AV91+IS!AV103</f>
        <v>-233.64499999999958</v>
      </c>
      <c r="AW185" s="195">
        <f>AV64-AW64-AW66+AV66+AW68-AV68+AW71-AV71+AW72-AV72-IS!AW91+IS!AW103</f>
        <v>-307.81599999999941</v>
      </c>
      <c r="AX185" s="195">
        <f>AW64-AX64-AX66+AW66+AX68-AW68+AX71-AW71+AX72-AW72-IS!AX91+IS!AX103</f>
        <v>-114.96700000000018</v>
      </c>
      <c r="AY185" s="195">
        <f>AX64-AY64-AY66+AX66+AY68-AX68+AY71-AX71+AY72-AX72-IS!AY91+IS!AY103</f>
        <v>-89.614000000000431</v>
      </c>
      <c r="AZ185" s="195">
        <f>AY64-AZ64-AZ66+AY66+AZ68-AY68+AZ71-AY71+AZ72-AY72-IS!AZ91+IS!AZ103</f>
        <v>-73.836999999999534</v>
      </c>
      <c r="BA185" s="195">
        <f>AZ64-BA64-BA66+AZ66+BA68-AZ68+BA71-AZ71+BA72-AZ72-IS!BA91+IS!BA103</f>
        <v>4557.0129999999999</v>
      </c>
      <c r="BB185" s="195">
        <f>BA64-BB64-BB66+BA66+BB68-BA68+BB71-BA71+BB72-BA72-IS!BB91+IS!BB103</f>
        <v>-120.57500000000059</v>
      </c>
      <c r="BC185" s="195">
        <f>BB64-BC64-BC66+BB66+BC68-BB68+BC71-BB71+BC72-BB72-IS!BC91+IS!BC103</f>
        <v>-106.39299999999963</v>
      </c>
      <c r="BD185" s="195">
        <f>BC64-BD64-BD66+BC66+BD68-BC68+BD71-BC71+BD72-BC72-IS!BD91+IS!BD103</f>
        <v>-98.935000000000855</v>
      </c>
      <c r="BE185" s="195">
        <f>BD64-BE64-BE66+BD66+BE68-BD68+BE71-BD71+BE72-BD72-IS!BE91+IS!BE103</f>
        <v>-101.05104999999929</v>
      </c>
      <c r="BF185" s="195">
        <f>BE64-BF64-BF66+BE66+BF68-BE68+BF71-BE71+BF72-BE72-IS!BF91+IS!BF103</f>
        <v>-101.5010500000011</v>
      </c>
      <c r="BG185" s="195">
        <f>BF64-BG64-BG66+BF66+BG68-BF68+BG71-BF71+BG72-BF72-IS!BG91+IS!BG103</f>
        <v>-101.95105000000058</v>
      </c>
      <c r="BH185" s="195">
        <f>BG64-BH64-BH66+BG66+BH68-BG68+BH71-BG71+BH72-BG72-IS!BH91+IS!BH103</f>
        <v>-102.40105000000079</v>
      </c>
      <c r="BI185" s="195">
        <f>BH64-BI64-BI66+BH66+BI68-BH68+BI71-BH71+BI72-BH72-IS!BI91+IS!BI103</f>
        <v>-102.8510500000001</v>
      </c>
      <c r="BJ185" s="195">
        <f>BI64-BJ64-BJ66+BI66+BJ68-BI68+BJ71-BI71+BJ72-BI72-IS!BJ91+IS!BJ103</f>
        <v>-103.30105000000026</v>
      </c>
      <c r="BK185" s="195">
        <f>BJ64-BK64-BK66+BJ66+BK68-BJ68+BK71-BJ71+BK72-BJ72-IS!BK91+IS!BK103</f>
        <v>-103.75105000000087</v>
      </c>
      <c r="BL185" s="195">
        <f>BK64-BL64-BL66+BK66+BL68-BK68+BL71-BK71+BL72-BK72-IS!BL91+IS!BL103</f>
        <v>-104.20105000000035</v>
      </c>
      <c r="BM185" s="195">
        <f>BL64-BM64-BM66+BL66+BM68-BL68+BM71-BL71+BM72-BL72-IS!BM91+IS!BM103</f>
        <v>-104.65105000000142</v>
      </c>
      <c r="BN185" s="195">
        <f>BM64-BN64-BN66+BM66+BN68-BM68+BN71-BM71+BN72-BM72-IS!BN91+IS!BN103</f>
        <v>-105.10105000000033</v>
      </c>
      <c r="BO185" s="195">
        <f>BN64-BO64-BO66+BN66+BO68-BN68+BO71-BN71+BO72-BN72-IS!BO91+IS!BO103</f>
        <v>-105.55105000000071</v>
      </c>
      <c r="BP185" s="195"/>
      <c r="BQ185" s="195">
        <f>BP64-BQ64-BQ66+BP66+BQ68-BP68+BQ71-BP71+BQ72-BP72-IS!BQ91+IS!BQ103</f>
        <v>3295.9780000000005</v>
      </c>
      <c r="BR185" s="195">
        <f>BQ64-BR64-BR66+BQ66+BR68-BQ68+BR71-BQ71+BR72-BQ72-IS!BR91+IS!BR103</f>
        <v>-790.33100000000002</v>
      </c>
      <c r="BS185" s="195">
        <f>BR64-BS64-BS66+BR66+BS68-BR68+BS71-BR71+BS72-BR72-IS!BS91+IS!BS103</f>
        <v>-1633.8609999999994</v>
      </c>
      <c r="BT185" s="195">
        <f>BS64-BT64-BT66+BS66+BT68-BS68+BT71-BS71+BT72-BS72-IS!BT91+IS!BT103</f>
        <v>-360.77900000000045</v>
      </c>
      <c r="BU185" s="195">
        <f>BT64-BU64-BU66+BT66+BU68-BT68+BU71-BT71+BU72-BT72-IS!BU91+IS!BU103</f>
        <v>-176.45199999999966</v>
      </c>
      <c r="BV185" s="195">
        <f>BU64-BV64-BV66+BU66+BV68-BU68+BV71-BU71+BV72-BU72-IS!BV91+IS!BV103</f>
        <v>-17.309999999999945</v>
      </c>
      <c r="BW185" s="195">
        <f>BV64-BW64-BW66+BV66+BW68-BV68+BW71-BV71+BW72-BV72-IS!BW91+IS!BW103</f>
        <v>-272.62400000000014</v>
      </c>
      <c r="BX185" s="195">
        <f>BW64-BX64-BX66+BW66+BX68-BW68+BX71-BW71+BX72-BW72-IS!BX91+IS!BX103</f>
        <v>-243.06499999999937</v>
      </c>
      <c r="BY185" s="195">
        <f>BX64-BY64-BY66+BX66+BY68-BX68+BY71-BX71+BY72-BX72-IS!BY91+IS!BY103</f>
        <v>-83.118000000001075</v>
      </c>
      <c r="BZ185" s="195">
        <f>BY64-BZ64-BZ66+BY66+BZ68-BY68+BZ71-BY71+BZ72-BY72-IS!BZ91+IS!BZ103</f>
        <v>-523.01899999999932</v>
      </c>
      <c r="CA185" s="195">
        <f>BZ64-CA64-CA66+BZ66+CA68-BZ68+CA71-BZ71+CA72-BZ72-IS!CA91+IS!CA103</f>
        <v>-499.49099999999999</v>
      </c>
      <c r="CB185" s="195">
        <f>CA64-CB64-CB66+CA66+CB68-CA68+CB71-CA71+CB72-CA72-IS!CB91+IS!CB103</f>
        <v>-746.04200000000003</v>
      </c>
      <c r="CC185" s="195">
        <f>CB64-CC64-CC66+CB66+CC68-CB68+CC71-CB71+CC72-CB72-IS!CC91+IS!CC103</f>
        <v>4256.2079999999996</v>
      </c>
      <c r="CD185" s="195">
        <f>CC64-CD64-CD66+CC66+CD68-CC68+CD71-CC71+CD72-CC72-IS!CD91+IS!CD103</f>
        <v>-403.43815000000177</v>
      </c>
      <c r="CE185" s="195">
        <f>CD64-CE64-CE66+CD66+CE68-CD68+CE71-CD71+CE72-CD72-IS!CE91+IS!CE103</f>
        <v>-412.30420000000095</v>
      </c>
      <c r="CF185" s="195">
        <f>CE64-CF64-CF66+CE66+CF68-CE68+CF71-CE71+CF72-CE72-IS!CF91+IS!CF103</f>
        <v>-419.50420000000122</v>
      </c>
      <c r="CG185" s="195"/>
      <c r="CH185" s="195">
        <f>CG64-CH64-CH66+CG66+CH68-CG68+CH71-CG71+CH72-CG72-IS!CH91+IS!CH103</f>
        <v>3310.3089999999997</v>
      </c>
      <c r="CI185" s="195">
        <f>CH64-CI64-CI66+CH66+CI68-CH68+CI71-CH71+CI72-CH72-IS!CI91+IS!CI103</f>
        <v>-1033.4369999999997</v>
      </c>
      <c r="CJ185" s="195">
        <f>CI64-CJ64-CJ66+CI66+CJ68-CI68+CJ71-CI71+CJ72-CI72-IS!CJ91+IS!CJ103</f>
        <v>-1415.7330000000002</v>
      </c>
      <c r="CK185" s="195">
        <f>CJ64-CK64-CK66+CJ66+CK68-CJ68+CK71-CJ71+CK72-CJ72-IS!CK91+IS!CK103</f>
        <v>-289.39700000000005</v>
      </c>
      <c r="CL185" s="195">
        <f>CK64-CL64-CL66+CK66+CL68-CK68+CL71-CK71+CL72-CK72-IS!CL91+IS!CL103</f>
        <v>-9.7870000000000914</v>
      </c>
      <c r="CM185" s="195">
        <f>CL64-CM64-CM66+CL66+CM68-CL68+CM71-CL71+CM72-CL72-IS!CM91+IS!CM103</f>
        <v>-186.26099999999974</v>
      </c>
      <c r="CN185" s="195">
        <f>CM64-CN64-CN66+CM66+CN68-CM68+CN71-CM71+CN72-CM72-IS!CN91+IS!CN103</f>
        <v>-310.74099999999976</v>
      </c>
      <c r="CO185" s="195">
        <f>CN64-CO64-CO66+CN66+CO68-CN68+CO71-CN71+CO72-CN72-IS!CO91+IS!CO103</f>
        <v>-129.43700000000024</v>
      </c>
      <c r="CP185" s="195">
        <f>CO64-CP64-CP66+CO66+CP68-CO68+CP71-CO71+CP72-CO72-IS!CP91+IS!CP103</f>
        <v>-203.77100000000064</v>
      </c>
      <c r="CQ185" s="195">
        <f>CP64-CQ64-CQ66+CP66+CQ68-CP68+CQ71-CP71+CQ72-CP72-IS!CQ91+IS!CQ103</f>
        <v>-535.43199999999933</v>
      </c>
      <c r="CR185" s="195">
        <f>CQ64-CR64-CR66+CQ66+CR68-CQ68+CR71-CQ71+CR72-CQ72-IS!CR91+IS!CR103</f>
        <v>-626.58699999999931</v>
      </c>
      <c r="CS185" s="195">
        <f>CR64-CS64-CS66+CR66+CS68-CR68+CS71-CR71+CS72-CR72-IS!CS91+IS!CS103</f>
        <v>-586.2339999999997</v>
      </c>
      <c r="CT185" s="195">
        <f>CS64-CT64-CT66+CS66+CT68-CS68+CT71-CS71+CT72-CS72-IS!CT91+IS!CT103</f>
        <v>4231.1099999999997</v>
      </c>
      <c r="CU185" s="195">
        <f>CT64-CU64-CU66+CT66+CU68-CT68+CU71-CT71+CU72-CT72-IS!CU91+IS!CU103</f>
        <v>-406.9042000000029</v>
      </c>
      <c r="CV185" s="195">
        <f>CU64-CV64-CV66+CU66+CV68-CU68+CV71-CU71+CV72-CU72-IS!CV91+IS!CV103</f>
        <v>-414.10420000000022</v>
      </c>
      <c r="CW185" s="8"/>
    </row>
  </sheetData>
  <phoneticPr fontId="35" type="noConversion"/>
  <conditionalFormatting sqref="D7:AH9">
    <cfRule type="expression" dxfId="67" priority="1" stopIfTrue="1">
      <formula>D$183="A"</formula>
    </cfRule>
    <cfRule type="expression" dxfId="66" priority="2" stopIfTrue="1">
      <formula>D$183="E"</formula>
    </cfRule>
  </conditionalFormatting>
  <conditionalFormatting sqref="B6">
    <cfRule type="cellIs" dxfId="65" priority="3" stopIfTrue="1" operator="equal">
      <formula>"Bear Case"</formula>
    </cfRule>
    <cfRule type="cellIs" dxfId="64" priority="4" stopIfTrue="1" operator="equal">
      <formula>"Bull Case"</formula>
    </cfRule>
    <cfRule type="cellIs" dxfId="63" priority="5" stopIfTrue="1" operator="equal">
      <formula>"Base Case"</formula>
    </cfRule>
  </conditionalFormatting>
  <pageMargins left="0" right="0" top="0" bottom="0" header="0" footer="0"/>
  <pageSetup paperSize="5" scale="46" orientation="landscape" r:id="rId1"/>
  <headerFooter alignWithMargins="0"/>
  <colBreaks count="1" manualBreakCount="1">
    <brk id="78" max="1048575" man="1"/>
  </colBreaks>
  <ignoredErrors>
    <ignoredError sqref="BP33:BZ33 BP65:BZ65 CW65 M33:AE33 AG21 CG65 BP30:BZ30 BP21:BZ21" formula="1"/>
    <ignoredError sqref="D74:AF74 CW74 BQ74:BZ74 CG74:CP74" formulaRange="1"/>
  </ignoredErrors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indexed="17"/>
    <pageSetUpPr fitToPage="1"/>
  </sheetPr>
  <dimension ref="A1:DG199"/>
  <sheetViews>
    <sheetView showGridLines="0" zoomScale="85" zoomScaleNormal="85" workbookViewId="0">
      <pane xSplit="3" ySplit="9" topLeftCell="BG85" activePane="bottomRight" state="frozen"/>
      <selection activeCell="BA7" sqref="BA7"/>
      <selection pane="topRight" activeCell="BA7" sqref="BA7"/>
      <selection pane="bottomLeft" activeCell="BA7" sqref="BA7"/>
      <selection pane="bottomRight" activeCell="CD90" sqref="CD90"/>
    </sheetView>
  </sheetViews>
  <sheetFormatPr defaultRowHeight="14.25" customHeight="1" outlineLevelRow="1" outlineLevelCol="1"/>
  <cols>
    <col min="1" max="1" width="1.7109375" customWidth="1"/>
    <col min="2" max="2" width="56" customWidth="1"/>
    <col min="3" max="3" width="1.7109375" customWidth="1"/>
    <col min="4" max="31" width="11.42578125" hidden="1" customWidth="1" outlineLevel="1"/>
    <col min="32" max="32" width="11.42578125" hidden="1" customWidth="1" outlineLevel="1" collapsed="1"/>
    <col min="33" max="35" width="11.42578125" hidden="1" customWidth="1" outlineLevel="1"/>
    <col min="36" max="36" width="11.42578125" hidden="1" customWidth="1" collapsed="1"/>
    <col min="37" max="38" width="11.42578125" hidden="1" customWidth="1"/>
    <col min="39" max="39" width="10" hidden="1" customWidth="1"/>
    <col min="40" max="42" width="11.42578125" hidden="1" customWidth="1" outlineLevel="1"/>
    <col min="43" max="43" width="9.7109375" hidden="1" customWidth="1" outlineLevel="1"/>
    <col min="44" max="44" width="11.42578125" hidden="1" customWidth="1" outlineLevel="1" collapsed="1"/>
    <col min="45" max="46" width="11.42578125" hidden="1" customWidth="1" outlineLevel="1"/>
    <col min="47" max="47" width="9.7109375" hidden="1" customWidth="1" outlineLevel="1"/>
    <col min="48" max="51" width="11.42578125" hidden="1" customWidth="1" outlineLevel="1"/>
    <col min="52" max="52" width="11.42578125" customWidth="1" collapsed="1"/>
    <col min="53" max="63" width="11.42578125" customWidth="1"/>
    <col min="64" max="67" width="11.42578125" hidden="1" customWidth="1" outlineLevel="1"/>
    <col min="68" max="68" width="2.7109375" customWidth="1" collapsed="1"/>
    <col min="69" max="73" width="11.42578125" hidden="1" customWidth="1" outlineLevel="1"/>
    <col min="74" max="74" width="11.42578125" hidden="1" customWidth="1" outlineLevel="1" collapsed="1"/>
    <col min="75" max="75" width="11.42578125" hidden="1" customWidth="1" outlineLevel="1"/>
    <col min="76" max="76" width="11.42578125" hidden="1" customWidth="1" collapsed="1"/>
    <col min="77" max="80" width="11.42578125" hidden="1" customWidth="1" outlineLevel="1"/>
    <col min="81" max="81" width="11.42578125" customWidth="1" collapsed="1"/>
    <col min="82" max="83" width="11.42578125" customWidth="1"/>
    <col min="84" max="84" width="11.42578125" hidden="1" customWidth="1" outlineLevel="1"/>
    <col min="85" max="85" width="5.5703125" customWidth="1" collapsed="1"/>
    <col min="86" max="91" width="11.42578125" hidden="1" customWidth="1" outlineLevel="1"/>
    <col min="92" max="92" width="11.42578125" hidden="1" customWidth="1" outlineLevel="1" collapsed="1"/>
    <col min="93" max="97" width="11.42578125" hidden="1" customWidth="1" outlineLevel="1"/>
    <col min="98" max="98" width="11.42578125" customWidth="1" collapsed="1"/>
    <col min="99" max="101" width="11.42578125" customWidth="1"/>
  </cols>
  <sheetData>
    <row r="1" spans="1:110" ht="67.5" customHeight="1">
      <c r="A1" s="5"/>
      <c r="B1" s="322"/>
      <c r="C1" s="1"/>
      <c r="D1" s="2" t="str">
        <f>IF(SUM(BS)&lt;&gt;0,"BS BREAK","")</f>
        <v/>
      </c>
      <c r="E1" s="1"/>
      <c r="F1" s="2" t="str">
        <f>IF(SUM(BS)&lt;&gt;0,"BS BREAK","")</f>
        <v/>
      </c>
      <c r="G1" s="1"/>
      <c r="H1" s="2" t="str">
        <f>IF(SUM(BS)&lt;&gt;0,"BS BREAK","")</f>
        <v/>
      </c>
      <c r="I1" s="1"/>
      <c r="J1" s="2" t="str">
        <f>IF(SUM(BS)&lt;&gt;0,"BS BREAK","")</f>
        <v/>
      </c>
      <c r="K1" s="1"/>
      <c r="L1" s="2" t="str">
        <f>IF(SUM(BS)&lt;&gt;0,"BS BREAK","")</f>
        <v/>
      </c>
      <c r="M1" s="1"/>
      <c r="N1" s="2" t="str">
        <f>IF(SUM(BS)&lt;&gt;0,"BS BREAK","")</f>
        <v/>
      </c>
      <c r="O1" s="1"/>
      <c r="P1" s="2" t="str">
        <f>IF(SUM(BS)&lt;&gt;0,"BS BREAK","")</f>
        <v/>
      </c>
      <c r="Q1" s="1"/>
      <c r="R1" s="2" t="str">
        <f>IF(SUM(BS)&lt;&gt;0,"BS BREAK","")</f>
        <v/>
      </c>
      <c r="S1" s="1"/>
      <c r="T1" s="2" t="str">
        <f>IF(SUM(BS)&lt;&gt;0,"BS BREAK","")</f>
        <v/>
      </c>
      <c r="U1" s="1"/>
      <c r="V1" s="2" t="str">
        <f>IF(SUM(BS)&lt;&gt;0,"BS BREAK","")</f>
        <v/>
      </c>
      <c r="W1" s="1"/>
      <c r="X1" s="2" t="str">
        <f>IF(SUM(BS)&lt;&gt;0,"BS BREAK","")</f>
        <v/>
      </c>
      <c r="Y1" s="1"/>
      <c r="Z1" s="2" t="str">
        <f>IF(SUM(BS)&lt;&gt;0,"BS BREAK","")</f>
        <v/>
      </c>
      <c r="AA1" s="1"/>
      <c r="AB1" s="2" t="str">
        <f>IF(SUM(BS)&lt;&gt;0,"BS BREAK","")</f>
        <v/>
      </c>
      <c r="AC1" s="1"/>
      <c r="AD1" s="2" t="str">
        <f>IF(SUM(BS)&lt;&gt;0,"BS BREAK","")</f>
        <v/>
      </c>
      <c r="AE1" s="1"/>
      <c r="AF1" s="2" t="str">
        <f>IF(SUM(BS)&lt;&gt;0,"BS BREAK","")</f>
        <v/>
      </c>
      <c r="AG1" s="1"/>
      <c r="AH1" s="2" t="str">
        <f>IF(SUM(BS)&lt;&gt;0,"BS BREAK","")</f>
        <v/>
      </c>
      <c r="AI1" s="1"/>
      <c r="AJ1" s="2" t="str">
        <f>IF(SUM(BS)&lt;&gt;0,"BS BREAK","")</f>
        <v/>
      </c>
      <c r="AK1" s="1"/>
      <c r="AL1" s="2" t="str">
        <f>IF(SUM(BS)&lt;&gt;0,"BS BREAK","")</f>
        <v/>
      </c>
      <c r="AM1" s="1"/>
      <c r="AN1" s="2" t="str">
        <f>IF(SUM(BS)&lt;&gt;0,"BS BREAK","")</f>
        <v/>
      </c>
      <c r="AO1" s="1"/>
      <c r="AP1" s="2" t="str">
        <f>IF(SUM(BS)&lt;&gt;0,"BS BREAK","")</f>
        <v/>
      </c>
      <c r="AQ1" s="1"/>
      <c r="AR1" s="2" t="str">
        <f>IF(SUM(BS)&lt;&gt;0,"BS BREAK","")</f>
        <v/>
      </c>
      <c r="AS1" s="1"/>
      <c r="AT1" s="2" t="str">
        <f>IF(SUM(BS)&lt;&gt;0,"BS BREAK","")</f>
        <v/>
      </c>
      <c r="AU1" s="1"/>
      <c r="AV1" s="2" t="str">
        <f>IF(SUM(BS)&lt;&gt;0,"BS BREAK","")</f>
        <v/>
      </c>
      <c r="AW1" s="1"/>
      <c r="AX1" s="2" t="str">
        <f>IF(SUM(BS)&lt;&gt;0,"BS BREAK","")</f>
        <v/>
      </c>
      <c r="AY1" s="1"/>
      <c r="AZ1" s="2" t="str">
        <f>IF(SUM(BS)&lt;&gt;0,"BS BREAK","")</f>
        <v/>
      </c>
      <c r="BA1" s="1"/>
      <c r="BB1" s="2" t="str">
        <f>IF(SUM(BS)&lt;&gt;0,"BS BREAK","")</f>
        <v/>
      </c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2" t="str">
        <f>IF(SUM(BS)&lt;&gt;0,"BS BREAK","")</f>
        <v/>
      </c>
      <c r="BQ1" s="2" t="str">
        <f>IF(SUM(BS)&lt;&gt;0,"BS BREAK","")</f>
        <v/>
      </c>
      <c r="BR1" s="1"/>
      <c r="BS1" s="2" t="str">
        <f>IF(SUM(BS)&lt;&gt;0,"BS BREAK","")</f>
        <v/>
      </c>
      <c r="BT1" s="1"/>
      <c r="BU1" s="2" t="str">
        <f>IF(SUM(BS)&lt;&gt;0,"BS BREAK","")</f>
        <v/>
      </c>
      <c r="BV1" s="1"/>
      <c r="BW1" s="2" t="str">
        <f>IF(SUM(BS)&lt;&gt;0,"BS BREAK","")</f>
        <v/>
      </c>
      <c r="BX1" s="1"/>
      <c r="BY1" s="2" t="str">
        <f>IF(SUM(BS)&lt;&gt;0,"BS BREAK","")</f>
        <v/>
      </c>
      <c r="BZ1" s="1"/>
      <c r="CA1" s="1"/>
      <c r="CB1" s="1"/>
      <c r="CC1" s="1"/>
      <c r="CD1" s="1"/>
      <c r="CE1" s="1" t="str">
        <f>IF(SUM(BS)&lt;&gt;0,"BS BREAK","")</f>
        <v/>
      </c>
      <c r="CF1" s="2" t="str">
        <f>IF(SUM(BS)&lt;&gt;0,"BS BREAK","")</f>
        <v/>
      </c>
      <c r="CG1" s="1"/>
      <c r="CH1" s="2" t="str">
        <f>IF(SUM(BS)&lt;&gt;0,"BS BREAK","")</f>
        <v/>
      </c>
      <c r="CI1" s="1"/>
      <c r="CJ1" s="2" t="str">
        <f>IF(SUM(BS)&lt;&gt;0,"BS BREAK","")</f>
        <v/>
      </c>
      <c r="CK1" s="1"/>
      <c r="CL1" s="2" t="str">
        <f>IF(SUM(BS)&lt;&gt;0,"BS BREAK","")</f>
        <v/>
      </c>
      <c r="CM1" s="1"/>
      <c r="CN1" s="2" t="str">
        <f>IF(SUM(BS)&lt;&gt;0,"BS BREAK","")</f>
        <v/>
      </c>
      <c r="CO1" s="1"/>
      <c r="CP1" s="2" t="str">
        <f>IF(SUM(BS)&lt;&gt;0,"BS BREAK","")</f>
        <v/>
      </c>
      <c r="CQ1" s="1" t="str">
        <f>IF(SUM(BS)&lt;&gt;0,"BS BREAK","")</f>
        <v/>
      </c>
      <c r="CR1" s="1" t="str">
        <f>IF(SUM(BS)&lt;&gt;0,"BS BREAK","")</f>
        <v/>
      </c>
      <c r="CS1" s="1" t="str">
        <f>IF(SUM(BS)&lt;&gt;0,"BS BREAK","")</f>
        <v/>
      </c>
      <c r="CT1" s="1"/>
      <c r="CU1" s="1"/>
      <c r="CV1" s="1"/>
      <c r="CW1" s="1"/>
    </row>
    <row r="2" spans="1:110" ht="18" customHeight="1">
      <c r="A2" s="1"/>
      <c r="B2" s="4" t="s">
        <v>227</v>
      </c>
      <c r="C2" s="4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</row>
    <row r="3" spans="1:110" ht="14.25" customHeight="1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198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</row>
    <row r="4" spans="1:110" ht="14.25" customHeight="1">
      <c r="A4" s="1"/>
      <c r="B4" s="1"/>
      <c r="C4" s="1"/>
      <c r="D4" s="1"/>
      <c r="E4" s="1"/>
      <c r="F4" s="1"/>
      <c r="G4" s="198"/>
      <c r="H4" s="1"/>
      <c r="I4" s="1"/>
      <c r="J4" s="1"/>
      <c r="K4" s="198"/>
      <c r="L4" s="1"/>
      <c r="M4" s="1"/>
      <c r="N4" s="1"/>
      <c r="O4" s="198"/>
      <c r="P4" s="1"/>
      <c r="Q4" s="1"/>
      <c r="R4" s="1"/>
      <c r="S4" s="198"/>
      <c r="T4" s="1"/>
      <c r="U4" s="1"/>
      <c r="V4" s="1"/>
      <c r="W4" s="198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</row>
    <row r="5" spans="1:110" ht="14.25" customHeight="1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320"/>
      <c r="AG5" s="320"/>
      <c r="AH5" s="320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</row>
    <row r="6" spans="1:110" ht="14.25" customHeight="1">
      <c r="A6" s="1"/>
      <c r="B6" s="373" t="str">
        <f>IS!$B$6</f>
        <v>Base Case</v>
      </c>
      <c r="C6" s="7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33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</row>
    <row r="7" spans="1:110" ht="14.25" customHeight="1">
      <c r="A7" s="8"/>
      <c r="B7" s="9" t="s">
        <v>230</v>
      </c>
      <c r="C7" s="10"/>
      <c r="D7" s="110" t="str">
        <f>BS!D7</f>
        <v>C4Q04A</v>
      </c>
      <c r="E7" s="108" t="str">
        <f>BS!E7</f>
        <v>C1Q05A</v>
      </c>
      <c r="F7" s="108" t="str">
        <f>BS!F7</f>
        <v>C2Q05A</v>
      </c>
      <c r="G7" s="109" t="str">
        <f>BS!G7</f>
        <v>C3Q05A</v>
      </c>
      <c r="H7" s="110" t="str">
        <f>BS!H7</f>
        <v>C4Q05A</v>
      </c>
      <c r="I7" s="108" t="str">
        <f>BS!I7</f>
        <v>C1Q06A</v>
      </c>
      <c r="J7" s="108" t="str">
        <f>BS!J7</f>
        <v>C2Q06A</v>
      </c>
      <c r="K7" s="109" t="str">
        <f>BS!K7</f>
        <v>C3Q06A</v>
      </c>
      <c r="L7" s="110" t="str">
        <f>BS!L7</f>
        <v>C4Q06A</v>
      </c>
      <c r="M7" s="108" t="str">
        <f>BS!M7</f>
        <v>C1Q07A</v>
      </c>
      <c r="N7" s="108" t="str">
        <f>BS!N7</f>
        <v>C2Q07A</v>
      </c>
      <c r="O7" s="109" t="str">
        <f>BS!O7</f>
        <v>C3Q07A</v>
      </c>
      <c r="P7" s="110" t="str">
        <f>BS!P7</f>
        <v>C4Q07A</v>
      </c>
      <c r="Q7" s="108" t="str">
        <f>BS!Q7</f>
        <v>C1Q08A</v>
      </c>
      <c r="R7" s="108" t="str">
        <f>BS!R7</f>
        <v>C2Q08A</v>
      </c>
      <c r="S7" s="109" t="str">
        <f>BS!S7</f>
        <v>C3Q08A</v>
      </c>
      <c r="T7" s="110" t="str">
        <f>BS!T7</f>
        <v>C4Q08A</v>
      </c>
      <c r="U7" s="108" t="str">
        <f>BS!U7</f>
        <v>C1Q09A</v>
      </c>
      <c r="V7" s="108" t="str">
        <f>BS!V7</f>
        <v>C2Q09A</v>
      </c>
      <c r="W7" s="109" t="str">
        <f>BS!W7</f>
        <v>C3Q09A</v>
      </c>
      <c r="X7" s="110" t="str">
        <f>BS!X7</f>
        <v>C4Q09A</v>
      </c>
      <c r="Y7" s="108" t="str">
        <f>BS!Y7</f>
        <v>C1Q10A</v>
      </c>
      <c r="Z7" s="108" t="str">
        <f>BS!Z7</f>
        <v>C2Q10A</v>
      </c>
      <c r="AA7" s="109" t="str">
        <f>BS!AA7</f>
        <v>C3Q10A</v>
      </c>
      <c r="AB7" s="110" t="str">
        <f>BS!AB7</f>
        <v>C4Q10A</v>
      </c>
      <c r="AC7" s="108" t="str">
        <f>BS!AC7</f>
        <v>C1Q11A</v>
      </c>
      <c r="AD7" s="108" t="str">
        <f>BS!AD7</f>
        <v>C2Q11A</v>
      </c>
      <c r="AE7" s="109" t="str">
        <f>BS!AE7</f>
        <v>C3Q11A</v>
      </c>
      <c r="AF7" s="110" t="str">
        <f>BS!AF7</f>
        <v>C4Q11A</v>
      </c>
      <c r="AG7" s="108" t="str">
        <f>BS!AG7</f>
        <v>C1Q12A</v>
      </c>
      <c r="AH7" s="108" t="str">
        <f>BS!AH7</f>
        <v>C2Q12A</v>
      </c>
      <c r="AI7" s="696" t="str">
        <f>BS!AI7</f>
        <v>C3Q12A</v>
      </c>
      <c r="AJ7" s="697" t="str">
        <f>BS!AJ7</f>
        <v>C4Q12A</v>
      </c>
      <c r="AK7" s="695" t="str">
        <f>BS!AK7</f>
        <v>C1Q13A</v>
      </c>
      <c r="AL7" s="695" t="str">
        <f>BS!AL7</f>
        <v>C2Q13A</v>
      </c>
      <c r="AM7" s="696" t="str">
        <f>BS!AM7</f>
        <v>C3Q13A</v>
      </c>
      <c r="AN7" s="697" t="str">
        <f>BS!AN7</f>
        <v>C4Q13A</v>
      </c>
      <c r="AO7" s="695" t="str">
        <f>BS!AO7</f>
        <v>C1Q14A</v>
      </c>
      <c r="AP7" s="695" t="str">
        <f>BS!AP7</f>
        <v>C2Q14A</v>
      </c>
      <c r="AQ7" s="696" t="str">
        <f>BS!AQ7</f>
        <v>C3Q14A</v>
      </c>
      <c r="AR7" s="697" t="s">
        <v>534</v>
      </c>
      <c r="AS7" s="695" t="s">
        <v>527</v>
      </c>
      <c r="AT7" s="695" t="s">
        <v>530</v>
      </c>
      <c r="AU7" s="696" t="s">
        <v>532</v>
      </c>
      <c r="AV7" s="697" t="str">
        <f>BS!AV7</f>
        <v>C4Q15A</v>
      </c>
      <c r="AW7" s="695" t="s">
        <v>527</v>
      </c>
      <c r="AX7" s="695" t="str">
        <f>BS!AX7</f>
        <v>C2Q16A</v>
      </c>
      <c r="AY7" s="696" t="str">
        <f>BS!AY7</f>
        <v>C3Q16A</v>
      </c>
      <c r="AZ7" s="697" t="str">
        <f>BS!AZ7</f>
        <v>C4Q16P</v>
      </c>
      <c r="BA7" s="695" t="str">
        <f>BS!BA7</f>
        <v>C1Q17A</v>
      </c>
      <c r="BB7" s="695" t="str">
        <f>BS!BB7</f>
        <v>C2Q17A</v>
      </c>
      <c r="BC7" s="696" t="str">
        <f>BS!BC7</f>
        <v>C3Q17A</v>
      </c>
      <c r="BD7" s="697" t="str">
        <f>BS!BD7</f>
        <v>C4Q17A</v>
      </c>
      <c r="BE7" s="695" t="str">
        <f>BS!BE7</f>
        <v>C1Q18E</v>
      </c>
      <c r="BF7" s="695" t="str">
        <f>BS!BF7</f>
        <v>C2Q18E</v>
      </c>
      <c r="BG7" s="696" t="str">
        <f>BS!BG7</f>
        <v>C3Q18E</v>
      </c>
      <c r="BH7" s="697" t="str">
        <f>BS!BH7</f>
        <v>C4Q18E</v>
      </c>
      <c r="BI7" s="695" t="str">
        <f>BS!BI7</f>
        <v>C1Q19E</v>
      </c>
      <c r="BJ7" s="695" t="str">
        <f>BS!BJ7</f>
        <v>C2Q19E</v>
      </c>
      <c r="BK7" s="696" t="str">
        <f>BS!BK7</f>
        <v>C3Q19E</v>
      </c>
      <c r="BL7" s="697" t="str">
        <f>BS!BL7</f>
        <v>C4Q19E</v>
      </c>
      <c r="BM7" s="695" t="str">
        <f>BS!BM7</f>
        <v>C1Q20E</v>
      </c>
      <c r="BN7" s="695" t="str">
        <f>BS!BN7</f>
        <v>C2Q20E</v>
      </c>
      <c r="BO7" s="696" t="str">
        <f>BS!BO7</f>
        <v>C3Q20E</v>
      </c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F7">
        <f>CF13/IS!CF10</f>
        <v>3.9259704300213125E-2</v>
      </c>
      <c r="CG7" s="1030"/>
      <c r="CH7" s="708" t="str">
        <f>BS!CH7</f>
        <v>CY2005</v>
      </c>
      <c r="CI7" s="709" t="str">
        <f>BS!CI7</f>
        <v>CY2006</v>
      </c>
      <c r="CJ7" s="709" t="str">
        <f>BS!CJ7</f>
        <v>CY2007</v>
      </c>
      <c r="CK7" s="709" t="str">
        <f>BS!CK7</f>
        <v>CY2008</v>
      </c>
      <c r="CL7" s="709" t="str">
        <f>BS!CL7</f>
        <v>CY2009</v>
      </c>
      <c r="CM7" s="709" t="str">
        <f>BS!CM7</f>
        <v>CY2010</v>
      </c>
      <c r="CN7" s="708" t="str">
        <f>BS!CN7</f>
        <v>CY2011</v>
      </c>
      <c r="CO7" s="709" t="str">
        <f>BS!CO7</f>
        <v>CY2012</v>
      </c>
      <c r="CP7" s="709" t="str">
        <f>BS!CP7</f>
        <v>CY2013</v>
      </c>
      <c r="CQ7" s="709" t="str">
        <f>BS!CQ7</f>
        <v>CY2014</v>
      </c>
      <c r="CR7" s="709" t="str">
        <f>BS!CR7</f>
        <v>CY2015</v>
      </c>
      <c r="CS7" s="709" t="str">
        <f>BS!CS7</f>
        <v>CY2016</v>
      </c>
      <c r="CT7" s="709" t="str">
        <f>BS!CT7</f>
        <v>CY2017</v>
      </c>
      <c r="CU7" s="709" t="str">
        <f>BS!CU7</f>
        <v>CY2018</v>
      </c>
      <c r="CV7" s="710" t="str">
        <f>BS!CV7</f>
        <v>CY2019</v>
      </c>
      <c r="CW7" s="1011"/>
    </row>
    <row r="8" spans="1:110" ht="14.25" customHeight="1">
      <c r="A8" s="8"/>
      <c r="B8" s="12" t="s">
        <v>232</v>
      </c>
      <c r="C8" s="13"/>
      <c r="D8" s="110">
        <f>BS!D8</f>
        <v>38383</v>
      </c>
      <c r="E8" s="108">
        <f>BS!E8</f>
        <v>38472</v>
      </c>
      <c r="F8" s="108">
        <f>BS!F8</f>
        <v>38564</v>
      </c>
      <c r="G8" s="109">
        <f>BS!G8</f>
        <v>38656</v>
      </c>
      <c r="H8" s="110">
        <f>BS!H8</f>
        <v>38748</v>
      </c>
      <c r="I8" s="108">
        <f>BS!I8</f>
        <v>38837</v>
      </c>
      <c r="J8" s="108">
        <f>BS!J8</f>
        <v>38929</v>
      </c>
      <c r="K8" s="109">
        <f>BS!K8</f>
        <v>39021</v>
      </c>
      <c r="L8" s="110">
        <f>BS!L8</f>
        <v>39113</v>
      </c>
      <c r="M8" s="108">
        <f>BS!M8</f>
        <v>39202</v>
      </c>
      <c r="N8" s="108">
        <f>BS!N8</f>
        <v>39294</v>
      </c>
      <c r="O8" s="109">
        <f>BS!O8</f>
        <v>39386</v>
      </c>
      <c r="P8" s="110">
        <f>BS!P8</f>
        <v>39478</v>
      </c>
      <c r="Q8" s="108">
        <f>BS!Q8</f>
        <v>39568</v>
      </c>
      <c r="R8" s="108">
        <f>BS!R8</f>
        <v>39660</v>
      </c>
      <c r="S8" s="109">
        <f>BS!S8</f>
        <v>39752</v>
      </c>
      <c r="T8" s="110">
        <f>BS!T8</f>
        <v>39844</v>
      </c>
      <c r="U8" s="108">
        <f>BS!U8</f>
        <v>39933</v>
      </c>
      <c r="V8" s="108">
        <f>BS!V8</f>
        <v>40025</v>
      </c>
      <c r="W8" s="109">
        <f>BS!W8</f>
        <v>40117</v>
      </c>
      <c r="X8" s="110">
        <f>BS!X8</f>
        <v>40209</v>
      </c>
      <c r="Y8" s="108">
        <f>BS!Y8</f>
        <v>40298</v>
      </c>
      <c r="Z8" s="108">
        <f>BS!Z8</f>
        <v>40390</v>
      </c>
      <c r="AA8" s="109">
        <f>BS!AA8</f>
        <v>40482</v>
      </c>
      <c r="AB8" s="110">
        <f>BS!AB8</f>
        <v>40574</v>
      </c>
      <c r="AC8" s="108">
        <f>BS!AC8</f>
        <v>40663</v>
      </c>
      <c r="AD8" s="108">
        <f>BS!AD8</f>
        <v>40755</v>
      </c>
      <c r="AE8" s="109">
        <f>BS!AE8</f>
        <v>40847</v>
      </c>
      <c r="AF8" s="110">
        <f>BS!AF8</f>
        <v>40939</v>
      </c>
      <c r="AG8" s="108">
        <f>BS!AG8</f>
        <v>41029</v>
      </c>
      <c r="AH8" s="108">
        <f>BS!AH8</f>
        <v>41121</v>
      </c>
      <c r="AI8" s="696">
        <f>BS!AI8</f>
        <v>41213</v>
      </c>
      <c r="AJ8" s="697">
        <f>BS!AJ8</f>
        <v>41305</v>
      </c>
      <c r="AK8" s="695">
        <f>BS!AK8</f>
        <v>41394</v>
      </c>
      <c r="AL8" s="695">
        <f>BS!AL8</f>
        <v>41486</v>
      </c>
      <c r="AM8" s="696">
        <f>BS!AM8</f>
        <v>41578</v>
      </c>
      <c r="AN8" s="697">
        <f>BS!AN8</f>
        <v>41670</v>
      </c>
      <c r="AO8" s="695">
        <f>BS!AO8</f>
        <v>41759</v>
      </c>
      <c r="AP8" s="695">
        <f>BS!AP8</f>
        <v>41851</v>
      </c>
      <c r="AQ8" s="696">
        <f>BS!AQ8</f>
        <v>41943</v>
      </c>
      <c r="AR8" s="697">
        <f>BS!AR8</f>
        <v>42035</v>
      </c>
      <c r="AS8" s="695">
        <f>BS!AS8</f>
        <v>42124</v>
      </c>
      <c r="AT8" s="695">
        <f>BS!AT8</f>
        <v>42216</v>
      </c>
      <c r="AU8" s="696">
        <f>BS!AU8</f>
        <v>42308</v>
      </c>
      <c r="AV8" s="697">
        <f>BS!AV8</f>
        <v>42400</v>
      </c>
      <c r="AW8" s="695">
        <f>BS!AW8</f>
        <v>42490</v>
      </c>
      <c r="AX8" s="695">
        <f>BS!AX8</f>
        <v>42582</v>
      </c>
      <c r="AY8" s="696">
        <f>BS!AY8</f>
        <v>42674</v>
      </c>
      <c r="AZ8" s="697">
        <f>BS!AZ8</f>
        <v>42766</v>
      </c>
      <c r="BA8" s="695">
        <f>BS!BA8</f>
        <v>42855</v>
      </c>
      <c r="BB8" s="695">
        <f>BS!BB8</f>
        <v>42947</v>
      </c>
      <c r="BC8" s="696">
        <f>BS!BC8</f>
        <v>43039</v>
      </c>
      <c r="BD8" s="697">
        <f>BS!BD8</f>
        <v>43131</v>
      </c>
      <c r="BE8" s="695">
        <f>BS!BE8</f>
        <v>43220</v>
      </c>
      <c r="BF8" s="695">
        <f>BS!BF8</f>
        <v>43312</v>
      </c>
      <c r="BG8" s="696">
        <f>BS!BG8</f>
        <v>43404</v>
      </c>
      <c r="BH8" s="697">
        <f>BS!BH8</f>
        <v>43496</v>
      </c>
      <c r="BI8" s="695">
        <f>BS!BI8</f>
        <v>43585</v>
      </c>
      <c r="BJ8" s="695">
        <f>BS!BJ8</f>
        <v>43677</v>
      </c>
      <c r="BK8" s="696">
        <f>BS!BK8</f>
        <v>43769</v>
      </c>
      <c r="BL8" s="697">
        <f>BS!BL8</f>
        <v>43861</v>
      </c>
      <c r="BM8" s="695">
        <f>BS!BM8</f>
        <v>43951</v>
      </c>
      <c r="BN8" s="695">
        <f>BS!BN8</f>
        <v>44043</v>
      </c>
      <c r="BO8" s="696">
        <f>BS!BO8</f>
        <v>44135</v>
      </c>
      <c r="BP8" s="11"/>
      <c r="BQ8" s="11"/>
      <c r="BR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27"/>
      <c r="CH8" s="697">
        <f>BS!CH8</f>
        <v>38748</v>
      </c>
      <c r="CI8" s="695">
        <f>BS!CI8</f>
        <v>39113</v>
      </c>
      <c r="CJ8" s="695">
        <f>BS!CJ8</f>
        <v>39478</v>
      </c>
      <c r="CK8" s="695">
        <f>BS!CK8</f>
        <v>39844</v>
      </c>
      <c r="CL8" s="695">
        <f>BS!CL8</f>
        <v>40209</v>
      </c>
      <c r="CM8" s="695">
        <f>BS!CM8</f>
        <v>40574</v>
      </c>
      <c r="CN8" s="697">
        <f>BS!CN8</f>
        <v>40939</v>
      </c>
      <c r="CO8" s="695">
        <f>BS!CO8</f>
        <v>41275</v>
      </c>
      <c r="CP8" s="695">
        <f>BS!CP8</f>
        <v>41640</v>
      </c>
      <c r="CQ8" s="695">
        <f>BS!CQ8</f>
        <v>42005</v>
      </c>
      <c r="CR8" s="695">
        <f>BS!CR8</f>
        <v>42370</v>
      </c>
      <c r="CS8" s="695">
        <f>BS!CS8</f>
        <v>42736</v>
      </c>
      <c r="CT8" s="695">
        <f>BS!CT8</f>
        <v>43101</v>
      </c>
      <c r="CU8" s="695">
        <f>BS!CU8</f>
        <v>43466</v>
      </c>
      <c r="CV8" s="696">
        <f>BS!CV8</f>
        <v>43831</v>
      </c>
      <c r="CW8" s="26"/>
    </row>
    <row r="9" spans="1:110" ht="14.25" customHeight="1">
      <c r="A9" s="8"/>
      <c r="B9" s="12"/>
      <c r="C9" s="199"/>
      <c r="D9" s="20" t="str">
        <f>BS!D9</f>
        <v>F1Q05A</v>
      </c>
      <c r="E9" s="21" t="str">
        <f>BS!E9</f>
        <v>F2Q05A</v>
      </c>
      <c r="F9" s="21" t="str">
        <f>BS!F9</f>
        <v>F3Q05A</v>
      </c>
      <c r="G9" s="22" t="str">
        <f>BS!G9</f>
        <v>F4Q05A</v>
      </c>
      <c r="H9" s="20" t="str">
        <f>BS!H9</f>
        <v>F1Q06A</v>
      </c>
      <c r="I9" s="21" t="str">
        <f>BS!I9</f>
        <v>F2Q06A</v>
      </c>
      <c r="J9" s="21" t="str">
        <f>BS!J9</f>
        <v>F3Q06A</v>
      </c>
      <c r="K9" s="22" t="str">
        <f>BS!K9</f>
        <v>F4Q06A</v>
      </c>
      <c r="L9" s="20" t="str">
        <f>BS!L9</f>
        <v>F1Q07A</v>
      </c>
      <c r="M9" s="21" t="str">
        <f>BS!M9</f>
        <v>F2Q07A</v>
      </c>
      <c r="N9" s="21" t="str">
        <f>BS!N9</f>
        <v>F3Q07A</v>
      </c>
      <c r="O9" s="22" t="str">
        <f>BS!O9</f>
        <v>F4Q07A</v>
      </c>
      <c r="P9" s="20" t="str">
        <f>BS!P9</f>
        <v>F1Q08A</v>
      </c>
      <c r="Q9" s="21" t="str">
        <f>BS!Q9</f>
        <v>F2Q08A</v>
      </c>
      <c r="R9" s="21" t="str">
        <f>BS!R9</f>
        <v>F3Q08A</v>
      </c>
      <c r="S9" s="22" t="str">
        <f>BS!S9</f>
        <v>F4Q08A</v>
      </c>
      <c r="T9" s="20" t="str">
        <f>BS!T9</f>
        <v>F1Q09A</v>
      </c>
      <c r="U9" s="21" t="str">
        <f>BS!U9</f>
        <v>F2Q09A</v>
      </c>
      <c r="V9" s="21" t="str">
        <f>BS!V9</f>
        <v>F3Q09A</v>
      </c>
      <c r="W9" s="22" t="str">
        <f>BS!W9</f>
        <v>F4Q09A</v>
      </c>
      <c r="X9" s="20" t="str">
        <f>BS!X9</f>
        <v>F1Q10A</v>
      </c>
      <c r="Y9" s="21" t="str">
        <f>BS!Y9</f>
        <v>F2Q10A</v>
      </c>
      <c r="Z9" s="21" t="str">
        <f>BS!Z9</f>
        <v>F3Q10A</v>
      </c>
      <c r="AA9" s="22" t="str">
        <f>BS!AA9</f>
        <v>F4Q10A</v>
      </c>
      <c r="AB9" s="20" t="str">
        <f>BS!AB9</f>
        <v>F1Q11A</v>
      </c>
      <c r="AC9" s="21" t="str">
        <f>BS!AC9</f>
        <v>F2Q11A</v>
      </c>
      <c r="AD9" s="21" t="str">
        <f>BS!AD9</f>
        <v>F3Q11A</v>
      </c>
      <c r="AE9" s="22" t="str">
        <f>BS!AE9</f>
        <v>F4Q11A</v>
      </c>
      <c r="AF9" s="20" t="str">
        <f>BS!AF9</f>
        <v>F1Q12A</v>
      </c>
      <c r="AG9" s="21" t="str">
        <f>BS!AG9</f>
        <v>F2Q12A</v>
      </c>
      <c r="AH9" s="21" t="str">
        <f>BS!AH9</f>
        <v>F3Q12A</v>
      </c>
      <c r="AI9" s="22" t="str">
        <f>BS!AI9</f>
        <v>F4Q12A</v>
      </c>
      <c r="AJ9" s="20" t="str">
        <f>BS!AJ9</f>
        <v>F1Q13A</v>
      </c>
      <c r="AK9" s="21" t="str">
        <f>BS!AK9</f>
        <v>F2Q13A</v>
      </c>
      <c r="AL9" s="21" t="str">
        <f>BS!AL9</f>
        <v>F3Q13A</v>
      </c>
      <c r="AM9" s="22" t="str">
        <f>BS!AM9</f>
        <v>F4Q13A</v>
      </c>
      <c r="AN9" s="20" t="str">
        <f>BS!AN9</f>
        <v>F1Q14A</v>
      </c>
      <c r="AO9" s="21" t="str">
        <f>BS!AO9</f>
        <v>F2Q14A</v>
      </c>
      <c r="AP9" s="21" t="str">
        <f>BS!AP9</f>
        <v>F3Q14A</v>
      </c>
      <c r="AQ9" s="22" t="str">
        <f>BS!AQ9</f>
        <v>F4Q14A</v>
      </c>
      <c r="AR9" s="20" t="str">
        <f>BS!AR9</f>
        <v>F1Q15A</v>
      </c>
      <c r="AS9" s="21" t="str">
        <f>BS!AS9</f>
        <v>F2Q15A</v>
      </c>
      <c r="AT9" s="21" t="str">
        <f>BS!AT9</f>
        <v>F3Q15A</v>
      </c>
      <c r="AU9" s="22" t="str">
        <f>BS!AU9</f>
        <v>F4Q15A</v>
      </c>
      <c r="AV9" s="705" t="str">
        <f>BS!AV9</f>
        <v>F1Q16A</v>
      </c>
      <c r="AW9" s="1180" t="str">
        <f>BS!AW9</f>
        <v>F2Q16A</v>
      </c>
      <c r="AX9" s="706" t="str">
        <f>BS!AX9</f>
        <v>F3Q16A</v>
      </c>
      <c r="AY9" s="707" t="str">
        <f>BS!AY9</f>
        <v>F4Q16A</v>
      </c>
      <c r="AZ9" s="20" t="str">
        <f>BS!AZ9</f>
        <v>F1Q17A</v>
      </c>
      <c r="BA9" s="1180" t="str">
        <f>BS!BA9</f>
        <v>F2Q17A</v>
      </c>
      <c r="BB9" s="21" t="str">
        <f>BS!BB9</f>
        <v>F3Q17A</v>
      </c>
      <c r="BC9" s="22" t="str">
        <f>BS!BC9</f>
        <v>F4Q17A</v>
      </c>
      <c r="BD9" s="20" t="str">
        <f>BS!BD9</f>
        <v>F1Q18A</v>
      </c>
      <c r="BE9" s="21" t="str">
        <f>BS!BE9</f>
        <v>F2Q18E</v>
      </c>
      <c r="BF9" s="21" t="str">
        <f>BS!BF9</f>
        <v>F3Q18E</v>
      </c>
      <c r="BG9" s="22" t="str">
        <f>BS!BG9</f>
        <v>F4Q18E</v>
      </c>
      <c r="BH9" s="1437" t="str">
        <f>BS!BH9</f>
        <v>F1Q19E</v>
      </c>
      <c r="BI9" s="1438" t="str">
        <f>BS!BI9</f>
        <v>F2Q19E</v>
      </c>
      <c r="BJ9" s="1438" t="str">
        <f>BS!BJ9</f>
        <v>F3Q19E</v>
      </c>
      <c r="BK9" s="1439" t="str">
        <f>BS!BK9</f>
        <v>F4Q19E</v>
      </c>
      <c r="BL9" s="1437" t="str">
        <f>BS!BL9</f>
        <v>F1Q20E</v>
      </c>
      <c r="BM9" s="1438" t="str">
        <f>BS!BM9</f>
        <v>F2Q20E</v>
      </c>
      <c r="BN9" s="1438" t="str">
        <f>BS!BN9</f>
        <v>F3Q20E</v>
      </c>
      <c r="BO9" s="1439" t="str">
        <f>BS!BO9</f>
        <v>F4Q20E</v>
      </c>
      <c r="BP9" s="176"/>
      <c r="BQ9" s="20" t="str">
        <f>BS!BQ9</f>
        <v>FY2005A</v>
      </c>
      <c r="BR9" s="21" t="str">
        <f>BS!BR9</f>
        <v>FY2006A</v>
      </c>
      <c r="BS9" s="21" t="str">
        <f>BS!BS9</f>
        <v>FY2007A</v>
      </c>
      <c r="BT9" s="21" t="str">
        <f>BS!BT9</f>
        <v>FY2008A</v>
      </c>
      <c r="BU9" s="21" t="str">
        <f>BS!BU9</f>
        <v>FY2009A</v>
      </c>
      <c r="BV9" s="20" t="str">
        <f>BS!BV9</f>
        <v>FY2010A</v>
      </c>
      <c r="BW9" s="21" t="str">
        <f>BS!BW9</f>
        <v>FY2011A</v>
      </c>
      <c r="BX9" s="20" t="str">
        <f>BS!BX9</f>
        <v>FY2012A</v>
      </c>
      <c r="BY9" s="20" t="str">
        <f>BS!BY9</f>
        <v>FY2013A</v>
      </c>
      <c r="BZ9" s="1438" t="str">
        <f>BS!BZ9</f>
        <v>FY2014A</v>
      </c>
      <c r="CA9" s="21" t="str">
        <f>BS!CA9</f>
        <v>FY2015A</v>
      </c>
      <c r="CB9" s="21" t="str">
        <f>BS!CB9</f>
        <v>FY2016A</v>
      </c>
      <c r="CC9" s="21" t="str">
        <f>BS!CC9</f>
        <v>FY2017A</v>
      </c>
      <c r="CD9" s="1438" t="str">
        <f>BS!CD9</f>
        <v>FY2018E</v>
      </c>
      <c r="CE9" s="1438" t="str">
        <f>BS!CE9</f>
        <v>FY2019E</v>
      </c>
      <c r="CF9" s="1439" t="str">
        <f>BS!CF9</f>
        <v>FY2020E</v>
      </c>
      <c r="CG9" s="176"/>
      <c r="CH9" s="705"/>
      <c r="CI9" s="706"/>
      <c r="CJ9" s="706"/>
      <c r="CK9" s="706"/>
      <c r="CL9" s="706"/>
      <c r="CM9" s="706"/>
      <c r="CN9" s="705"/>
      <c r="CO9" s="706"/>
      <c r="CP9" s="706"/>
      <c r="CQ9" s="706"/>
      <c r="CR9" s="706"/>
      <c r="CS9" s="706"/>
      <c r="CT9" s="706"/>
      <c r="CU9" s="706"/>
      <c r="CV9" s="707"/>
      <c r="CW9" s="1151"/>
    </row>
    <row r="10" spans="1:110" ht="14.25" customHeight="1">
      <c r="A10" s="8"/>
      <c r="B10" s="200" t="str">
        <f t="shared" ref="B10:B29" si="0">B112</f>
        <v>Cash flows provided by (used for) operating activities:</v>
      </c>
      <c r="C10" s="52"/>
      <c r="D10" s="203"/>
      <c r="E10" s="201"/>
      <c r="F10" s="201"/>
      <c r="G10" s="202"/>
      <c r="H10" s="203"/>
      <c r="I10" s="201"/>
      <c r="J10" s="201"/>
      <c r="K10" s="202"/>
      <c r="L10" s="203"/>
      <c r="M10" s="201"/>
      <c r="N10" s="201"/>
      <c r="O10" s="202"/>
      <c r="P10" s="203"/>
      <c r="Q10" s="201"/>
      <c r="R10" s="201"/>
      <c r="S10" s="202"/>
      <c r="T10" s="203"/>
      <c r="U10" s="201"/>
      <c r="V10" s="201"/>
      <c r="W10" s="202"/>
      <c r="X10" s="203"/>
      <c r="Y10" s="201"/>
      <c r="Z10" s="201"/>
      <c r="AA10" s="202"/>
      <c r="AB10" s="203"/>
      <c r="AC10" s="201"/>
      <c r="AD10" s="201"/>
      <c r="AE10" s="202"/>
      <c r="AF10" s="203"/>
      <c r="AG10" s="201"/>
      <c r="AH10" s="201"/>
      <c r="AI10" s="202"/>
      <c r="AJ10" s="203"/>
      <c r="AK10" s="201"/>
      <c r="AL10" s="201"/>
      <c r="AM10" s="202"/>
      <c r="AN10" s="203"/>
      <c r="AO10" s="201"/>
      <c r="AP10" s="201"/>
      <c r="AQ10" s="202"/>
      <c r="AR10" s="203"/>
      <c r="AS10" s="201"/>
      <c r="AT10" s="201"/>
      <c r="AU10" s="202"/>
      <c r="AV10" s="203"/>
      <c r="AW10" s="201"/>
      <c r="AX10" s="201"/>
      <c r="AY10" s="202"/>
      <c r="AZ10" s="203"/>
      <c r="BA10" s="201"/>
      <c r="BB10" s="201"/>
      <c r="BC10" s="205"/>
      <c r="BD10" s="201"/>
      <c r="BE10" s="201"/>
      <c r="BF10" s="201"/>
      <c r="BG10" s="205"/>
      <c r="BH10" s="201"/>
      <c r="BI10" s="201"/>
      <c r="BJ10" s="201"/>
      <c r="BK10" s="205"/>
      <c r="BL10" s="201"/>
      <c r="BM10" s="201"/>
      <c r="BN10" s="201"/>
      <c r="BO10" s="201"/>
      <c r="BP10" s="23"/>
      <c r="BQ10" s="204"/>
      <c r="BR10" s="201"/>
      <c r="BS10" s="201"/>
      <c r="BT10" s="201"/>
      <c r="BU10" s="201"/>
      <c r="BV10" s="203"/>
      <c r="BW10" s="201"/>
      <c r="BX10" s="203"/>
      <c r="BY10" s="203"/>
      <c r="BZ10" s="201"/>
      <c r="CA10" s="201"/>
      <c r="CB10" s="201"/>
      <c r="CC10" s="201"/>
      <c r="CD10" s="201"/>
      <c r="CE10" s="201"/>
      <c r="CF10" s="205"/>
      <c r="CG10" s="23"/>
      <c r="CH10" s="203"/>
      <c r="CI10" s="201"/>
      <c r="CJ10" s="201"/>
      <c r="CK10" s="201"/>
      <c r="CL10" s="201"/>
      <c r="CM10" s="201"/>
      <c r="CN10" s="201"/>
      <c r="CO10" s="201"/>
      <c r="CP10" s="201"/>
      <c r="CQ10" s="201"/>
      <c r="CR10" s="201"/>
      <c r="CS10" s="201"/>
      <c r="CT10" s="201"/>
      <c r="CU10" s="201"/>
      <c r="CV10" s="202"/>
      <c r="CW10" s="25"/>
    </row>
    <row r="11" spans="1:110" ht="14.25" customHeight="1">
      <c r="A11" s="8"/>
      <c r="B11" s="26" t="str">
        <f t="shared" si="0"/>
        <v>Net income</v>
      </c>
      <c r="C11" s="27"/>
      <c r="D11" s="1134">
        <f>IS!D105</f>
        <v>107.44299999999991</v>
      </c>
      <c r="E11" s="1132">
        <f>IS!E105</f>
        <v>117.59900000000002</v>
      </c>
      <c r="F11" s="1132">
        <f>IS!F105</f>
        <v>121.40400000000005</v>
      </c>
      <c r="G11" s="1133">
        <f>IS!G105</f>
        <v>68.341000000000051</v>
      </c>
      <c r="H11" s="1134">
        <f>IS!H105</f>
        <v>120.55699999999997</v>
      </c>
      <c r="I11" s="1132">
        <f>IS!I105</f>
        <v>145.82099999999997</v>
      </c>
      <c r="J11" s="1132">
        <f>IS!J105</f>
        <v>144.68499999999997</v>
      </c>
      <c r="K11" s="1133">
        <f>IS!K105</f>
        <v>138.41899999999998</v>
      </c>
      <c r="L11" s="1134">
        <f>IS!L105</f>
        <v>153.22699999999998</v>
      </c>
      <c r="M11" s="1132">
        <f>IS!M105</f>
        <v>125.35599999999995</v>
      </c>
      <c r="N11" s="1132">
        <f>IS!N105</f>
        <v>120.43500000000009</v>
      </c>
      <c r="O11" s="1133">
        <f>IS!O105</f>
        <v>97.889000000000053</v>
      </c>
      <c r="P11" s="1134">
        <f>IS!P105</f>
        <v>370.71900000000005</v>
      </c>
      <c r="Q11" s="1132">
        <f>IS!Q105</f>
        <v>133.08600000000004</v>
      </c>
      <c r="R11" s="1132">
        <f>IS!R105</f>
        <v>138.608</v>
      </c>
      <c r="S11" s="1133">
        <f>IS!S105</f>
        <v>143.87100000000007</v>
      </c>
      <c r="T11" s="1134">
        <f>IS!T105</f>
        <v>24.949000000000009</v>
      </c>
      <c r="U11" s="1132">
        <f>IS!U105</f>
        <v>51.754000000000019</v>
      </c>
      <c r="V11" s="1132">
        <f>IS!V105</f>
        <v>65.45999999999998</v>
      </c>
      <c r="W11" s="1133">
        <f>IS!W105</f>
        <v>105.60900000000004</v>
      </c>
      <c r="X11" s="1134">
        <f>IS!X105</f>
        <v>120.45899999999993</v>
      </c>
      <c r="Y11" s="1132">
        <f>IS!Y105</f>
        <v>167.14</v>
      </c>
      <c r="Z11" s="1132">
        <f>IS!Z105</f>
        <v>199.49099999999999</v>
      </c>
      <c r="AA11" s="1133">
        <f>IS!AA105</f>
        <v>224.99400000000009</v>
      </c>
      <c r="AB11" s="1134">
        <f>IS!AB105</f>
        <v>222.10599999999999</v>
      </c>
      <c r="AC11" s="1132">
        <f>IS!AC105</f>
        <v>241.82599999999991</v>
      </c>
      <c r="AD11" s="1132">
        <f>IS!AD105</f>
        <v>219.93500000000003</v>
      </c>
      <c r="AE11" s="1133">
        <f>IS!AE105</f>
        <v>183.52699999999999</v>
      </c>
      <c r="AF11" s="1134">
        <f>IS!AF105</f>
        <v>139.38199999999998</v>
      </c>
      <c r="AG11" s="1132">
        <f>IS!AG105</f>
        <v>162.89900000000003</v>
      </c>
      <c r="AH11" s="1132">
        <f>IS!AH105</f>
        <v>169.76799999999994</v>
      </c>
      <c r="AI11" s="1133">
        <f>IS!AI105</f>
        <v>179.18700000000007</v>
      </c>
      <c r="AJ11" s="1134">
        <f>IS!AJ105</f>
        <v>131.22200000000001</v>
      </c>
      <c r="AK11" s="1132">
        <f>IS!AK105</f>
        <v>164.47199999999998</v>
      </c>
      <c r="AL11" s="1132">
        <f>IS!AL105</f>
        <v>176.23900000000003</v>
      </c>
      <c r="AM11" s="1133">
        <f>IS!AM105</f>
        <v>201.55400000000006</v>
      </c>
      <c r="AN11" s="1134">
        <f>IS!AN105</f>
        <v>152.58600000000007</v>
      </c>
      <c r="AO11" s="1132">
        <f>IS!AO105</f>
        <v>187.43299999999991</v>
      </c>
      <c r="AP11" s="1132">
        <f>IS!AP105</f>
        <v>180.60599999999994</v>
      </c>
      <c r="AQ11" s="1133">
        <f>IS!AQ105</f>
        <v>108.69499999999998</v>
      </c>
      <c r="AR11" s="1134">
        <f>IS!AR105</f>
        <v>178.75699999999998</v>
      </c>
      <c r="AS11" s="1132">
        <f>IS!AS105</f>
        <v>205.33800000000005</v>
      </c>
      <c r="AT11" s="1132">
        <f>IS!AT105</f>
        <v>216.47800000000007</v>
      </c>
      <c r="AU11" s="1133">
        <f>IS!AU105</f>
        <v>96.305000000000106</v>
      </c>
      <c r="AV11" s="1134">
        <f>IS!AV105</f>
        <v>164.50399999999996</v>
      </c>
      <c r="AW11" s="1132">
        <f>IS!AW105</f>
        <v>170.57299999999992</v>
      </c>
      <c r="AX11" s="1132">
        <f>IS!AX105</f>
        <v>230.42999999999992</v>
      </c>
      <c r="AY11" s="1133">
        <f>IS!AY105</f>
        <v>296.1570000000001</v>
      </c>
      <c r="AZ11" s="1134">
        <f>IS!AZ105</f>
        <v>217.12899999999991</v>
      </c>
      <c r="BA11" s="1132">
        <f>IS!BA105</f>
        <v>93.563999999999965</v>
      </c>
      <c r="BB11" s="1132">
        <f>IS!BB102</f>
        <v>68.916000000000025</v>
      </c>
      <c r="BC11" s="1133">
        <f>IS!BC105</f>
        <v>347.65000000000015</v>
      </c>
      <c r="BD11" s="1132">
        <f>IS!BD105</f>
        <v>268.17200000000003</v>
      </c>
      <c r="BE11" s="1132">
        <f>IS!BE105</f>
        <v>360.98042645555978</v>
      </c>
      <c r="BF11" s="1132">
        <f>IS!BF105</f>
        <v>528.96839675493754</v>
      </c>
      <c r="BG11" s="1133">
        <f>IS!BG105</f>
        <v>556.93309973660143</v>
      </c>
      <c r="BH11" s="1132">
        <f>IS!BH105</f>
        <v>479.45640495781339</v>
      </c>
      <c r="BI11" s="1132">
        <f>IS!BI105</f>
        <v>524.20737207307582</v>
      </c>
      <c r="BJ11" s="1132">
        <f>IS!BJ105</f>
        <v>562.63532786794281</v>
      </c>
      <c r="BK11" s="1133">
        <f>IS!BK105</f>
        <v>600.52626968575726</v>
      </c>
      <c r="BL11" s="1132">
        <f>IS!BL105</f>
        <v>539.3776174205766</v>
      </c>
      <c r="BM11" s="1132">
        <f>IS!BM105</f>
        <v>583.80046747766767</v>
      </c>
      <c r="BN11" s="1132">
        <f>IS!BN105</f>
        <v>619.48675405347069</v>
      </c>
      <c r="BO11" s="1133">
        <f>IS!BO105</f>
        <v>653.47537969215841</v>
      </c>
      <c r="BP11" s="23"/>
      <c r="BQ11" s="102">
        <f>SUM(D11:G11)</f>
        <v>414.78700000000003</v>
      </c>
      <c r="BR11" s="102">
        <f>SUM(H11:K11)</f>
        <v>549.48199999999986</v>
      </c>
      <c r="BS11" s="102">
        <f>SUM(L11:O11)</f>
        <v>496.9070000000001</v>
      </c>
      <c r="BT11" s="102">
        <f>SUM(P11:S11)</f>
        <v>786.28400000000011</v>
      </c>
      <c r="BU11" s="102">
        <f>SUM(T11:W11)</f>
        <v>247.77200000000005</v>
      </c>
      <c r="BV11" s="101">
        <f>SUM(X11:AA11)</f>
        <v>712.08400000000006</v>
      </c>
      <c r="BW11" s="102">
        <f>SUM(AB11:AE11)</f>
        <v>867.39400000000001</v>
      </c>
      <c r="BX11" s="101">
        <f>SUM(AF11:AI11)</f>
        <v>651.2360000000001</v>
      </c>
      <c r="BY11" s="101">
        <f>SUM(AJ11:AM11)</f>
        <v>673.48700000000008</v>
      </c>
      <c r="BZ11" s="102">
        <f>SUM(AN11:AQ11)</f>
        <v>629.31999999999994</v>
      </c>
      <c r="CA11" s="102">
        <f>SUM(AR11:AU11)</f>
        <v>696.87800000000016</v>
      </c>
      <c r="CB11" s="102">
        <f>SUM(AV11:AY11)</f>
        <v>861.66399999999999</v>
      </c>
      <c r="CC11" s="102">
        <f>SUM(AZ11:BC11)</f>
        <v>727.25900000000001</v>
      </c>
      <c r="CD11" s="102">
        <f>SUM(BD11:BG11)</f>
        <v>1715.0539229470987</v>
      </c>
      <c r="CE11" s="102">
        <f>SUM(BH11:BK11)</f>
        <v>2166.8253745845891</v>
      </c>
      <c r="CF11" s="102">
        <f>SUM(BL11:BO11)</f>
        <v>2396.1402186438736</v>
      </c>
      <c r="CG11" s="23"/>
      <c r="CH11" s="101">
        <f>SUM(E11:H11)</f>
        <v>427.90100000000007</v>
      </c>
      <c r="CI11" s="102">
        <f>SUM(I11:L11)</f>
        <v>582.15199999999993</v>
      </c>
      <c r="CJ11" s="102">
        <f>SUM(M11:P11)</f>
        <v>714.39900000000011</v>
      </c>
      <c r="CK11" s="102">
        <f>SUM(Q11:T11)</f>
        <v>440.51400000000018</v>
      </c>
      <c r="CL11" s="102">
        <f>SUM(U11:X11)</f>
        <v>343.28199999999998</v>
      </c>
      <c r="CM11" s="102">
        <f>SUM(Y11:AB11)</f>
        <v>813.73099999999999</v>
      </c>
      <c r="CN11" s="102">
        <f>SUM(AC11:AF11)</f>
        <v>784.67</v>
      </c>
      <c r="CO11" s="102">
        <f>SUM(AG11:AJ11)</f>
        <v>643.07600000000002</v>
      </c>
      <c r="CP11" s="102">
        <f>SUM(AK11:AN11)</f>
        <v>694.85100000000011</v>
      </c>
      <c r="CQ11" s="102">
        <f>SUM(AO11:AR11)</f>
        <v>655.49099999999987</v>
      </c>
      <c r="CR11" s="102">
        <f>SUM(AS11:AV11)</f>
        <v>682.62500000000023</v>
      </c>
      <c r="CS11" s="102">
        <f>SUM(AW11:AZ11)</f>
        <v>914.28899999999976</v>
      </c>
      <c r="CT11" s="102">
        <f>SUM(BA11:BD11)</f>
        <v>778.30200000000013</v>
      </c>
      <c r="CU11" s="102">
        <f>SUM(BE11:BH11)</f>
        <v>1926.3383279049121</v>
      </c>
      <c r="CV11" s="103">
        <f>SUM(BI11:BL11)</f>
        <v>2226.7465870473525</v>
      </c>
      <c r="CW11" s="1149"/>
      <c r="DF11" s="1109"/>
    </row>
    <row r="12" spans="1:110" ht="14.25" customHeight="1">
      <c r="A12" s="8"/>
      <c r="B12" s="206" t="str">
        <f t="shared" si="0"/>
        <v>Adjustments to reconcile net income to net cash</v>
      </c>
      <c r="C12" s="207"/>
      <c r="D12" s="400"/>
      <c r="E12" s="401"/>
      <c r="F12" s="401"/>
      <c r="G12" s="402"/>
      <c r="H12" s="400"/>
      <c r="I12" s="401"/>
      <c r="J12" s="401"/>
      <c r="K12" s="402"/>
      <c r="L12" s="400"/>
      <c r="M12" s="401"/>
      <c r="N12" s="401"/>
      <c r="O12" s="402"/>
      <c r="P12" s="400"/>
      <c r="Q12" s="401"/>
      <c r="R12" s="401"/>
      <c r="S12" s="402"/>
      <c r="T12" s="400"/>
      <c r="U12" s="401"/>
      <c r="V12" s="401"/>
      <c r="W12" s="402"/>
      <c r="X12" s="400"/>
      <c r="Y12" s="401"/>
      <c r="Z12" s="401"/>
      <c r="AA12" s="402"/>
      <c r="AB12" s="210"/>
      <c r="AC12" s="208"/>
      <c r="AD12" s="208"/>
      <c r="AE12" s="402"/>
      <c r="AF12" s="210"/>
      <c r="AG12" s="208"/>
      <c r="AH12" s="208"/>
      <c r="AI12" s="209"/>
      <c r="AJ12" s="210"/>
      <c r="AK12" s="208"/>
      <c r="AL12" s="208"/>
      <c r="AM12" s="209"/>
      <c r="AN12" s="210"/>
      <c r="AO12" s="208"/>
      <c r="AP12" s="208"/>
      <c r="AQ12" s="209"/>
      <c r="AR12" s="210"/>
      <c r="AS12" s="208"/>
      <c r="AT12" s="208"/>
      <c r="AU12" s="209"/>
      <c r="AV12" s="210"/>
      <c r="AW12" s="208"/>
      <c r="AX12" s="208"/>
      <c r="AY12" s="209"/>
      <c r="AZ12" s="210"/>
      <c r="BA12" s="208"/>
      <c r="BB12" s="208"/>
      <c r="BC12" s="209"/>
      <c r="BD12" s="208"/>
      <c r="BE12" s="208"/>
      <c r="BF12" s="208"/>
      <c r="BG12" s="209"/>
      <c r="BH12" s="208"/>
      <c r="BI12" s="208"/>
      <c r="BJ12" s="208"/>
      <c r="BK12" s="209"/>
      <c r="BL12" s="208"/>
      <c r="BM12" s="208"/>
      <c r="BN12" s="208"/>
      <c r="BO12" s="208"/>
      <c r="BP12" s="23"/>
      <c r="BQ12" s="208"/>
      <c r="BR12" s="208"/>
      <c r="BS12" s="208"/>
      <c r="BT12" s="208"/>
      <c r="BU12" s="208"/>
      <c r="BV12" s="210"/>
      <c r="BW12" s="208"/>
      <c r="BX12" s="210"/>
      <c r="BY12" s="210"/>
      <c r="BZ12" s="208"/>
      <c r="CA12" s="208"/>
      <c r="CB12" s="208"/>
      <c r="CC12" s="208"/>
      <c r="CD12" s="208"/>
      <c r="CE12" s="208"/>
      <c r="CF12" s="208"/>
      <c r="CG12" s="23"/>
      <c r="CH12" s="210"/>
      <c r="CI12" s="208"/>
      <c r="CJ12" s="208"/>
      <c r="CK12" s="208"/>
      <c r="CL12" s="208"/>
      <c r="CM12" s="208"/>
      <c r="CN12" s="208"/>
      <c r="CO12" s="208"/>
      <c r="CP12" s="208"/>
      <c r="CQ12" s="208"/>
      <c r="CR12" s="208"/>
      <c r="CS12" s="208"/>
      <c r="CT12" s="208"/>
      <c r="CU12" s="208"/>
      <c r="CV12" s="209"/>
      <c r="CW12" s="1149"/>
      <c r="DF12" s="1109"/>
    </row>
    <row r="13" spans="1:110" ht="14.25" customHeight="1">
      <c r="A13" s="8"/>
      <c r="B13" s="56" t="str">
        <f t="shared" si="0"/>
        <v>Depreciation</v>
      </c>
      <c r="C13" s="57"/>
      <c r="D13" s="213">
        <f t="shared" ref="D13:D21" si="1">D115</f>
        <v>38.313000000000002</v>
      </c>
      <c r="E13" s="211">
        <f t="shared" ref="E13:E21" si="2">E115-D13</f>
        <v>39.012999999999991</v>
      </c>
      <c r="F13" s="211">
        <f t="shared" ref="F13:F21" si="3">F115-E13-D13</f>
        <v>37.801000000000002</v>
      </c>
      <c r="G13" s="212">
        <f t="shared" ref="G13:G21" si="4">G115-F13-E13-D13</f>
        <v>38.054000000000016</v>
      </c>
      <c r="H13" s="213">
        <f t="shared" ref="H13:H21" si="5">H115</f>
        <v>43.079000000000001</v>
      </c>
      <c r="I13" s="211">
        <f t="shared" ref="I13:I21" si="6">I115-H13</f>
        <v>42.687000000000005</v>
      </c>
      <c r="J13" s="211">
        <f t="shared" ref="J13:J21" si="7">J115-I13-H13</f>
        <v>42.18099999999999</v>
      </c>
      <c r="K13" s="212">
        <f t="shared" ref="K13:K21" si="8">K115-J13-I13-H13</f>
        <v>38.904000000000003</v>
      </c>
      <c r="L13" s="213">
        <f t="shared" ref="L13:L21" si="9">L115</f>
        <v>35.613</v>
      </c>
      <c r="M13" s="211">
        <f t="shared" ref="M13:M21" si="10">M115-L13</f>
        <v>35.715000000000003</v>
      </c>
      <c r="N13" s="211">
        <f t="shared" ref="N13:N21" si="11">N115-M13-L13</f>
        <v>35.741</v>
      </c>
      <c r="O13" s="212">
        <f t="shared" ref="O13:O21" si="12">O115-N13-M13-L13</f>
        <v>35.103999999999999</v>
      </c>
      <c r="P13" s="213">
        <f t="shared" ref="P13:P21" si="13">P115</f>
        <v>35.551000000000002</v>
      </c>
      <c r="Q13" s="211">
        <f t="shared" ref="Q13:Q21" si="14">Q115-P13</f>
        <v>36.265999999999991</v>
      </c>
      <c r="R13" s="211">
        <f t="shared" ref="R13:R21" si="15">R115-Q13-P13</f>
        <v>36.244000000000014</v>
      </c>
      <c r="S13" s="212">
        <f t="shared" ref="S13:S21" si="16">S115-R13-Q13-P13</f>
        <v>36.161000000000001</v>
      </c>
      <c r="T13" s="213">
        <f t="shared" ref="T13:T21" si="17">T115</f>
        <v>38.755000000000003</v>
      </c>
      <c r="U13" s="211">
        <f t="shared" ref="U13:U21" si="18">U115-T13</f>
        <v>33.439999999999991</v>
      </c>
      <c r="V13" s="211">
        <f t="shared" ref="V13:V21" si="19">V115-U13-T13</f>
        <v>30.300000000000004</v>
      </c>
      <c r="W13" s="212">
        <f t="shared" ref="W13:W21" si="20">W115-V13-U13-T13</f>
        <v>29.997999999999983</v>
      </c>
      <c r="X13" s="213">
        <f t="shared" ref="X13:X21" si="21">X115</f>
        <v>29.280999999999999</v>
      </c>
      <c r="Y13" s="211">
        <f t="shared" ref="Y13:Y21" si="22">Y115-X13</f>
        <v>28.913000000000004</v>
      </c>
      <c r="Z13" s="211">
        <f t="shared" ref="Z13:Z21" si="23">Z115-Y13-X13</f>
        <v>28.581999999999994</v>
      </c>
      <c r="AA13" s="212">
        <f t="shared" ref="AA13:AA21" si="24">AA115-Z13-Y13-X13</f>
        <v>29.307000000000002</v>
      </c>
      <c r="AB13" s="213">
        <f t="shared" ref="AB13:AB21" si="25">AB115</f>
        <v>29.492999999999999</v>
      </c>
      <c r="AC13" s="211">
        <f t="shared" ref="AC13:AC21" si="26">AC115-AB13</f>
        <v>29.466000000000005</v>
      </c>
      <c r="AD13" s="211">
        <f t="shared" ref="AD13:AD21" si="27">AD115-AC13-AB13</f>
        <v>29.132999999999992</v>
      </c>
      <c r="AE13" s="212">
        <f t="shared" ref="AE13:AE21" si="28">AE115-AD13-AC13-AB13</f>
        <v>28.781000000000002</v>
      </c>
      <c r="AF13" s="213">
        <f t="shared" ref="AF13:AF21" si="29">AF115</f>
        <v>28.242999999999999</v>
      </c>
      <c r="AG13" s="211">
        <f t="shared" ref="AG13:AG21" si="30">AG115-AF13</f>
        <v>26.870999999999999</v>
      </c>
      <c r="AH13" s="211">
        <f t="shared" ref="AH13:AH21" si="31">AH115-AG13-AF13</f>
        <v>27.10700000000001</v>
      </c>
      <c r="AI13" s="212">
        <f t="shared" ref="AI13:AI21" si="32">AI115-AH13-AG13-AF13</f>
        <v>27.483999999999991</v>
      </c>
      <c r="AJ13" s="213">
        <f t="shared" ref="AJ13:AJ21" si="33">AJ115</f>
        <v>27.754999999999999</v>
      </c>
      <c r="AK13" s="211">
        <f t="shared" ref="AK13:AK21" si="34">AK115-AJ13</f>
        <v>27.478000000000005</v>
      </c>
      <c r="AL13" s="211">
        <f t="shared" ref="AL13:AL21" si="35">AL115-AK13-AJ13</f>
        <v>27.44799999999999</v>
      </c>
      <c r="AM13" s="212">
        <f t="shared" ref="AM13:AM21" si="36">AM115-AL13-AK13-AJ13</f>
        <v>27.514999999999997</v>
      </c>
      <c r="AN13" s="213">
        <f t="shared" ref="AN13:AN21" si="37">AN115</f>
        <v>27.335000000000001</v>
      </c>
      <c r="AO13" s="211">
        <f t="shared" ref="AO13:AO21" si="38">AO115-AN13</f>
        <v>27.458999999999996</v>
      </c>
      <c r="AP13" s="211">
        <f t="shared" ref="AP13:AP21" si="39">AP115-AO13-AN13</f>
        <v>28.353000000000009</v>
      </c>
      <c r="AQ13" s="212">
        <f t="shared" ref="AQ13:AQ21" si="40">AQ115-AP13-AO13-AN13</f>
        <v>30.916999999999987</v>
      </c>
      <c r="AR13" s="213">
        <f t="shared" ref="AR13:AR21" si="41">AR115</f>
        <v>31.773</v>
      </c>
      <c r="AS13" s="211">
        <f t="shared" ref="AS13:AS21" si="42">AS115-AR13</f>
        <v>32.036000000000001</v>
      </c>
      <c r="AT13" s="211">
        <f t="shared" ref="AT13:AT21" si="43">AT115-AS13-AR13</f>
        <v>33.650000000000006</v>
      </c>
      <c r="AU13" s="212">
        <f t="shared" ref="AU13:AU21" si="44">AU115-AT13-AS13-AR13</f>
        <v>32.687999999999988</v>
      </c>
      <c r="AV13" s="213">
        <f t="shared" ref="AV13:AV21" si="45">AV115</f>
        <v>33.209000000000003</v>
      </c>
      <c r="AW13" s="211">
        <f t="shared" ref="AW13:AW21" si="46">AW115-AV13</f>
        <v>33.48299999999999</v>
      </c>
      <c r="AX13" s="211">
        <f t="shared" ref="AX13:AX21" si="47">AX115-AW13-AV13</f>
        <v>33.732000000000014</v>
      </c>
      <c r="AY13" s="212">
        <f t="shared" ref="AY13:AY21" si="48">AY115-AX13-AW13-AV13</f>
        <v>34.115999999999985</v>
      </c>
      <c r="AZ13" s="213">
        <f t="shared" ref="AZ13:AZ21" si="49">AZ115</f>
        <v>34.378999999999998</v>
      </c>
      <c r="BA13" s="211">
        <f t="shared" ref="BA13:BA21" si="50">BA115-AZ13</f>
        <v>48.771999999999998</v>
      </c>
      <c r="BB13" s="211">
        <f t="shared" ref="BB13:BB21" si="51">BB115-BA13-AZ13</f>
        <v>55.217000000000006</v>
      </c>
      <c r="BC13" s="212">
        <f t="shared" ref="BC13:BC21" si="52">BC115-BB13-BA13-AZ13</f>
        <v>56.297999999999995</v>
      </c>
      <c r="BD13" s="213">
        <f t="shared" ref="BD13:BD21" si="53">BD115</f>
        <v>56.414999999999999</v>
      </c>
      <c r="BE13" s="211">
        <f t="shared" ref="BE13:BG13" si="54">BE82</f>
        <v>57.646111661514844</v>
      </c>
      <c r="BF13" s="211">
        <f t="shared" si="54"/>
        <v>58.913322459729336</v>
      </c>
      <c r="BG13" s="212">
        <f t="shared" si="54"/>
        <v>60.222365010802449</v>
      </c>
      <c r="BH13" s="211">
        <f t="shared" ref="BH13:BK13" si="55">BH82</f>
        <v>58.726801575683773</v>
      </c>
      <c r="BI13" s="211">
        <f t="shared" si="55"/>
        <v>59.966677768973426</v>
      </c>
      <c r="BJ13" s="211">
        <f t="shared" si="55"/>
        <v>61.252020999431963</v>
      </c>
      <c r="BK13" s="212">
        <f t="shared" si="55"/>
        <v>62.590942698182054</v>
      </c>
      <c r="BL13" s="211">
        <f t="shared" ref="BL13:BO13" si="56">BL82</f>
        <v>63.860283107458798</v>
      </c>
      <c r="BM13" s="211">
        <f t="shared" si="56"/>
        <v>65.183338064734073</v>
      </c>
      <c r="BN13" s="211">
        <f t="shared" si="56"/>
        <v>66.548140188935093</v>
      </c>
      <c r="BO13" s="211">
        <f t="shared" si="56"/>
        <v>67.961399049982532</v>
      </c>
      <c r="BP13" s="23"/>
      <c r="BQ13" s="211">
        <f t="shared" ref="BQ13:BQ21" si="57">SUM(D13:G13)</f>
        <v>153.18100000000001</v>
      </c>
      <c r="BR13" s="211">
        <f t="shared" ref="BR13:BR21" si="58">SUM(H13:K13)</f>
        <v>166.851</v>
      </c>
      <c r="BS13" s="211">
        <f t="shared" ref="BS13:BS21" si="59">SUM(L13:O13)</f>
        <v>142.173</v>
      </c>
      <c r="BT13" s="211">
        <f t="shared" ref="BT13:BT21" si="60">SUM(P13:S13)</f>
        <v>144.22200000000001</v>
      </c>
      <c r="BU13" s="211">
        <f t="shared" ref="BU13:BU21" si="61">SUM(T13:W13)</f>
        <v>132.49299999999999</v>
      </c>
      <c r="BV13" s="213">
        <f t="shared" ref="BV13:BV21" si="62">SUM(X13:AA13)</f>
        <v>116.083</v>
      </c>
      <c r="BW13" s="211">
        <f t="shared" ref="BW13:BW21" si="63">SUM(AB13:AE13)</f>
        <v>116.873</v>
      </c>
      <c r="BX13" s="213">
        <f t="shared" ref="BX13:BX21" si="64">SUM(AF13:AI13)</f>
        <v>109.705</v>
      </c>
      <c r="BY13" s="213">
        <f t="shared" ref="BY13:BY21" si="65">SUM(AJ13:AM13)</f>
        <v>110.196</v>
      </c>
      <c r="BZ13" s="211">
        <f t="shared" ref="BZ13:BZ21" si="66">SUM(AN13:AQ13)</f>
        <v>114.06399999999999</v>
      </c>
      <c r="CA13" s="211">
        <f t="shared" ref="CA13:CA21" si="67">SUM(AR13:AU13)</f>
        <v>130.14699999999999</v>
      </c>
      <c r="CB13" s="211">
        <f t="shared" ref="CB13:CB21" si="68">SUM(AV13:AY13)</f>
        <v>134.54</v>
      </c>
      <c r="CC13" s="211">
        <f t="shared" ref="CC13:CC21" si="69">SUM(AZ13:BC13)</f>
        <v>194.666</v>
      </c>
      <c r="CD13" s="211">
        <f t="shared" ref="CD13:CD21" si="70">SUM(BD13:BG13)</f>
        <v>233.19679913204664</v>
      </c>
      <c r="CE13" s="211">
        <f t="shared" ref="CE13:CE21" si="71">SUM(BH13:BK13)</f>
        <v>242.53644304227123</v>
      </c>
      <c r="CF13" s="211">
        <f t="shared" ref="CF13:CF21" si="72">SUM(BL13:BO13)</f>
        <v>263.55316041111053</v>
      </c>
      <c r="CG13" s="23"/>
      <c r="CH13" s="213">
        <f t="shared" ref="CH13:CH21" si="73">SUM(E13:H13)</f>
        <v>157.947</v>
      </c>
      <c r="CI13" s="211">
        <f t="shared" ref="CI13:CI21" si="74">SUM(I13:L13)</f>
        <v>159.38499999999999</v>
      </c>
      <c r="CJ13" s="211">
        <f t="shared" ref="CJ13:CJ21" si="75">SUM(M13:P13)</f>
        <v>142.11099999999999</v>
      </c>
      <c r="CK13" s="211">
        <f t="shared" ref="CK13:CK21" si="76">SUM(Q13:T13)</f>
        <v>147.42600000000002</v>
      </c>
      <c r="CL13" s="211">
        <f t="shared" ref="CL13:CL21" si="77">SUM(U13:X13)</f>
        <v>123.01899999999998</v>
      </c>
      <c r="CM13" s="211">
        <f t="shared" ref="CM13:CM21" si="78">SUM(Y13:AB13)</f>
        <v>116.29499999999999</v>
      </c>
      <c r="CN13" s="211">
        <f t="shared" ref="CN13:CN21" si="79">SUM(AC13:AF13)</f>
        <v>115.62299999999999</v>
      </c>
      <c r="CO13" s="211">
        <f t="shared" ref="CO13:CO21" si="80">SUM(AG13:AJ13)</f>
        <v>109.217</v>
      </c>
      <c r="CP13" s="211">
        <f t="shared" ref="CP13:CP21" si="81">SUM(AK13:AN13)</f>
        <v>109.77599999999998</v>
      </c>
      <c r="CQ13" s="211">
        <f t="shared" ref="CQ13:CQ21" si="82">SUM(AO13:AR13)</f>
        <v>118.50199999999998</v>
      </c>
      <c r="CR13" s="211">
        <f t="shared" ref="CR13:CR21" si="83">SUM(AS13:AV13)</f>
        <v>131.583</v>
      </c>
      <c r="CS13" s="211">
        <f t="shared" ref="CS13:CS21" si="84">SUM(AW13:AZ13)</f>
        <v>135.70999999999998</v>
      </c>
      <c r="CT13" s="211">
        <f>SUM(BA13:BD13)</f>
        <v>216.702</v>
      </c>
      <c r="CU13" s="211">
        <f>SUM(BE13:BH13)</f>
        <v>235.50860070773038</v>
      </c>
      <c r="CV13" s="212">
        <f t="shared" ref="CV13:CV21" si="85">SUM(BI13:BL13)</f>
        <v>247.66992457404623</v>
      </c>
      <c r="CW13" s="1149"/>
      <c r="DF13" s="1109"/>
    </row>
    <row r="14" spans="1:110" ht="14.25" customHeight="1">
      <c r="A14" s="8"/>
      <c r="B14" s="56" t="str">
        <f t="shared" si="0"/>
        <v>Amortization of intangibles</v>
      </c>
      <c r="C14" s="57"/>
      <c r="D14" s="213">
        <f t="shared" si="1"/>
        <v>0.68400000000000005</v>
      </c>
      <c r="E14" s="211">
        <f t="shared" si="2"/>
        <v>0.68499999999999994</v>
      </c>
      <c r="F14" s="211">
        <f t="shared" si="3"/>
        <v>0.67199999999999982</v>
      </c>
      <c r="G14" s="212">
        <f t="shared" si="4"/>
        <v>0.34200000000000019</v>
      </c>
      <c r="H14" s="213">
        <f t="shared" si="5"/>
        <v>0.40400000000000003</v>
      </c>
      <c r="I14" s="211">
        <f t="shared" si="6"/>
        <v>0.40400000000000003</v>
      </c>
      <c r="J14" s="211">
        <f t="shared" si="7"/>
        <v>1.145</v>
      </c>
      <c r="K14" s="212">
        <f t="shared" si="8"/>
        <v>3.359</v>
      </c>
      <c r="L14" s="213">
        <f t="shared" si="9"/>
        <v>3.61</v>
      </c>
      <c r="M14" s="211">
        <f t="shared" si="10"/>
        <v>3.2589999999999999</v>
      </c>
      <c r="N14" s="211">
        <f t="shared" si="11"/>
        <v>3.1680000000000006</v>
      </c>
      <c r="O14" s="212">
        <f t="shared" si="12"/>
        <v>2.5729999999999982</v>
      </c>
      <c r="P14" s="213">
        <f t="shared" si="13"/>
        <v>2.423</v>
      </c>
      <c r="Q14" s="211">
        <f t="shared" si="14"/>
        <v>2.6150000000000002</v>
      </c>
      <c r="R14" s="211">
        <f t="shared" si="15"/>
        <v>2.4379999999999997</v>
      </c>
      <c r="S14" s="212">
        <f t="shared" si="16"/>
        <v>1.774</v>
      </c>
      <c r="T14" s="213">
        <f t="shared" si="17"/>
        <v>1.9570000000000001</v>
      </c>
      <c r="U14" s="211">
        <f t="shared" si="18"/>
        <v>1.591</v>
      </c>
      <c r="V14" s="211">
        <f t="shared" si="19"/>
        <v>1.679</v>
      </c>
      <c r="W14" s="212">
        <f t="shared" si="20"/>
        <v>2.1499999999999995</v>
      </c>
      <c r="X14" s="213">
        <f t="shared" si="21"/>
        <v>1.8009999999999999</v>
      </c>
      <c r="Y14" s="211">
        <f t="shared" si="22"/>
        <v>1.7790000000000001</v>
      </c>
      <c r="Z14" s="211">
        <f t="shared" si="23"/>
        <v>0.60900000000000021</v>
      </c>
      <c r="AA14" s="212">
        <f t="shared" si="24"/>
        <v>0.63900000000000046</v>
      </c>
      <c r="AB14" s="211">
        <f t="shared" si="25"/>
        <v>0.39200000000000002</v>
      </c>
      <c r="AC14" s="211">
        <f t="shared" si="26"/>
        <v>0.33999999999999997</v>
      </c>
      <c r="AD14" s="211">
        <f t="shared" si="27"/>
        <v>0.34699999999999998</v>
      </c>
      <c r="AE14" s="212">
        <f t="shared" si="28"/>
        <v>0.26700000000000013</v>
      </c>
      <c r="AF14" s="211">
        <f t="shared" si="29"/>
        <v>0</v>
      </c>
      <c r="AG14" s="211">
        <f t="shared" si="30"/>
        <v>1.7999999999999999E-2</v>
      </c>
      <c r="AH14" s="211">
        <f t="shared" si="31"/>
        <v>5.5999999999999994E-2</v>
      </c>
      <c r="AI14" s="212">
        <f t="shared" si="32"/>
        <v>5.4000000000000006E-2</v>
      </c>
      <c r="AJ14" s="211">
        <f t="shared" si="33"/>
        <v>5.5E-2</v>
      </c>
      <c r="AK14" s="211">
        <f t="shared" si="34"/>
        <v>5.5E-2</v>
      </c>
      <c r="AL14" s="211">
        <f t="shared" si="35"/>
        <v>5.5000000000000014E-2</v>
      </c>
      <c r="AM14" s="212">
        <f t="shared" si="36"/>
        <v>5.4999999999999986E-2</v>
      </c>
      <c r="AN14" s="211">
        <f t="shared" si="37"/>
        <v>5.5E-2</v>
      </c>
      <c r="AO14" s="211">
        <f t="shared" si="38"/>
        <v>5.5E-2</v>
      </c>
      <c r="AP14" s="211">
        <f t="shared" si="39"/>
        <v>1.61</v>
      </c>
      <c r="AQ14" s="212">
        <f t="shared" si="40"/>
        <v>26.186</v>
      </c>
      <c r="AR14" s="211">
        <f t="shared" si="41"/>
        <v>24.739000000000001</v>
      </c>
      <c r="AS14" s="211">
        <f t="shared" si="42"/>
        <v>25.154</v>
      </c>
      <c r="AT14" s="211">
        <f t="shared" si="43"/>
        <v>23.898</v>
      </c>
      <c r="AU14" s="212">
        <f t="shared" si="44"/>
        <v>18.30200000000001</v>
      </c>
      <c r="AV14" s="211">
        <f t="shared" si="45"/>
        <v>18.347000000000001</v>
      </c>
      <c r="AW14" s="211">
        <f t="shared" si="46"/>
        <v>18.439999999999998</v>
      </c>
      <c r="AX14" s="211">
        <f t="shared" si="47"/>
        <v>18.916000000000004</v>
      </c>
      <c r="AY14" s="212">
        <f t="shared" si="48"/>
        <v>19.546999999999997</v>
      </c>
      <c r="AZ14" s="211">
        <f t="shared" si="49"/>
        <v>19.946999999999999</v>
      </c>
      <c r="BA14" s="211">
        <f t="shared" si="50"/>
        <v>88.77</v>
      </c>
      <c r="BB14" s="211">
        <f t="shared" si="51"/>
        <v>147.238</v>
      </c>
      <c r="BC14" s="212">
        <f t="shared" si="52"/>
        <v>133.43799999999999</v>
      </c>
      <c r="BD14" s="211">
        <f t="shared" si="53"/>
        <v>142.05000000000001</v>
      </c>
      <c r="BE14" s="214">
        <v>0</v>
      </c>
      <c r="BF14" s="214">
        <v>0</v>
      </c>
      <c r="BG14" s="215">
        <v>0</v>
      </c>
      <c r="BH14" s="214">
        <v>0</v>
      </c>
      <c r="BI14" s="214">
        <v>0</v>
      </c>
      <c r="BJ14" s="214">
        <v>0</v>
      </c>
      <c r="BK14" s="215">
        <v>0</v>
      </c>
      <c r="BL14" s="214">
        <v>0</v>
      </c>
      <c r="BM14" s="214">
        <v>0</v>
      </c>
      <c r="BN14" s="214">
        <v>0</v>
      </c>
      <c r="BO14" s="214">
        <v>0</v>
      </c>
      <c r="BP14" s="23"/>
      <c r="BQ14" s="211">
        <f t="shared" si="57"/>
        <v>2.383</v>
      </c>
      <c r="BR14" s="211">
        <f t="shared" si="58"/>
        <v>5.3120000000000003</v>
      </c>
      <c r="BS14" s="211">
        <f t="shared" si="59"/>
        <v>12.61</v>
      </c>
      <c r="BT14" s="211">
        <f t="shared" si="60"/>
        <v>9.25</v>
      </c>
      <c r="BU14" s="211">
        <f t="shared" si="61"/>
        <v>7.3769999999999998</v>
      </c>
      <c r="BV14" s="213">
        <f t="shared" si="62"/>
        <v>4.8280000000000003</v>
      </c>
      <c r="BW14" s="211">
        <f t="shared" si="63"/>
        <v>1.3460000000000001</v>
      </c>
      <c r="BX14" s="213">
        <f t="shared" si="64"/>
        <v>0.128</v>
      </c>
      <c r="BY14" s="213">
        <f t="shared" si="65"/>
        <v>0.22</v>
      </c>
      <c r="BZ14" s="211">
        <f t="shared" si="66"/>
        <v>27.905999999999999</v>
      </c>
      <c r="CA14" s="211">
        <f t="shared" si="67"/>
        <v>92.093000000000004</v>
      </c>
      <c r="CB14" s="211">
        <f t="shared" si="68"/>
        <v>75.25</v>
      </c>
      <c r="CC14" s="211">
        <f t="shared" si="69"/>
        <v>389.39299999999997</v>
      </c>
      <c r="CD14" s="211">
        <f t="shared" si="70"/>
        <v>142.05000000000001</v>
      </c>
      <c r="CE14" s="211">
        <f t="shared" si="71"/>
        <v>0</v>
      </c>
      <c r="CF14" s="211">
        <f t="shared" si="72"/>
        <v>0</v>
      </c>
      <c r="CG14" s="23"/>
      <c r="CH14" s="213">
        <f t="shared" si="73"/>
        <v>2.1029999999999998</v>
      </c>
      <c r="CI14" s="211">
        <f t="shared" si="74"/>
        <v>8.5179999999999989</v>
      </c>
      <c r="CJ14" s="211">
        <f t="shared" si="75"/>
        <v>11.422999999999998</v>
      </c>
      <c r="CK14" s="211">
        <f t="shared" si="76"/>
        <v>8.7840000000000007</v>
      </c>
      <c r="CL14" s="211">
        <f t="shared" si="77"/>
        <v>7.2210000000000001</v>
      </c>
      <c r="CM14" s="211">
        <f t="shared" si="78"/>
        <v>3.4190000000000009</v>
      </c>
      <c r="CN14" s="211">
        <f t="shared" si="79"/>
        <v>0.95400000000000007</v>
      </c>
      <c r="CO14" s="211">
        <f t="shared" si="80"/>
        <v>0.183</v>
      </c>
      <c r="CP14" s="211">
        <f t="shared" si="81"/>
        <v>0.22</v>
      </c>
      <c r="CQ14" s="211">
        <f t="shared" si="82"/>
        <v>52.59</v>
      </c>
      <c r="CR14" s="211">
        <f t="shared" si="83"/>
        <v>85.701000000000022</v>
      </c>
      <c r="CS14" s="211">
        <f t="shared" si="84"/>
        <v>76.849999999999994</v>
      </c>
      <c r="CT14" s="211">
        <f t="shared" ref="CT14:CT29" si="86">SUM(BA14:BD14)</f>
        <v>511.49599999999998</v>
      </c>
      <c r="CU14" s="211">
        <f t="shared" ref="CU14:CU21" si="87">SUM(BE14:BH14)</f>
        <v>0</v>
      </c>
      <c r="CV14" s="212">
        <f t="shared" si="85"/>
        <v>0</v>
      </c>
      <c r="CW14" s="1149"/>
      <c r="DF14" s="1109"/>
    </row>
    <row r="15" spans="1:110" ht="14.25" customHeight="1">
      <c r="A15" s="8"/>
      <c r="B15" s="56" t="str">
        <f t="shared" si="0"/>
        <v>Stock-based compensation expense</v>
      </c>
      <c r="C15" s="57"/>
      <c r="D15" s="213">
        <f t="shared" si="1"/>
        <v>1.798</v>
      </c>
      <c r="E15" s="211">
        <f t="shared" si="2"/>
        <v>0.78600000000000003</v>
      </c>
      <c r="F15" s="211">
        <f t="shared" si="3"/>
        <v>1.3029999999999999</v>
      </c>
      <c r="G15" s="212">
        <f t="shared" si="4"/>
        <v>0.9830000000000001</v>
      </c>
      <c r="H15" s="213">
        <f t="shared" si="5"/>
        <v>21.306999999999999</v>
      </c>
      <c r="I15" s="211">
        <f t="shared" si="6"/>
        <v>17.217000000000002</v>
      </c>
      <c r="J15" s="211">
        <f t="shared" si="7"/>
        <v>19.306000000000001</v>
      </c>
      <c r="K15" s="212">
        <f t="shared" si="8"/>
        <v>17.599000000000007</v>
      </c>
      <c r="L15" s="213">
        <f t="shared" si="9"/>
        <v>20.056999999999999</v>
      </c>
      <c r="M15" s="211">
        <f t="shared" si="10"/>
        <v>17.623999999999999</v>
      </c>
      <c r="N15" s="211">
        <f t="shared" si="11"/>
        <v>17.465000000000007</v>
      </c>
      <c r="O15" s="212">
        <f t="shared" si="12"/>
        <v>17.506000000000004</v>
      </c>
      <c r="P15" s="213">
        <f t="shared" si="13"/>
        <v>10.595000000000001</v>
      </c>
      <c r="Q15" s="211">
        <f t="shared" si="14"/>
        <v>12.726999999999999</v>
      </c>
      <c r="R15" s="211">
        <f t="shared" si="15"/>
        <v>13.573000000000006</v>
      </c>
      <c r="S15" s="212">
        <f t="shared" si="16"/>
        <v>13.351999999999995</v>
      </c>
      <c r="T15" s="213">
        <f t="shared" si="17"/>
        <v>11.411</v>
      </c>
      <c r="U15" s="211">
        <f t="shared" si="18"/>
        <v>12.566000000000001</v>
      </c>
      <c r="V15" s="211">
        <f t="shared" si="19"/>
        <v>12.014999999999995</v>
      </c>
      <c r="W15" s="212">
        <f t="shared" si="20"/>
        <v>12.621000000000004</v>
      </c>
      <c r="X15" s="213">
        <f t="shared" si="21"/>
        <v>11.835000000000001</v>
      </c>
      <c r="Y15" s="211">
        <f t="shared" si="22"/>
        <v>13.254999999999999</v>
      </c>
      <c r="Z15" s="211">
        <f t="shared" si="23"/>
        <v>13.175999999999998</v>
      </c>
      <c r="AA15" s="212">
        <f t="shared" si="24"/>
        <v>13.486000000000008</v>
      </c>
      <c r="AB15" s="211">
        <f t="shared" si="25"/>
        <v>12.603</v>
      </c>
      <c r="AC15" s="211">
        <f t="shared" si="26"/>
        <v>12.892999999999999</v>
      </c>
      <c r="AD15" s="211">
        <f t="shared" si="27"/>
        <v>13.309999999999997</v>
      </c>
      <c r="AE15" s="212">
        <f t="shared" si="28"/>
        <v>13.552000000000001</v>
      </c>
      <c r="AF15" s="211">
        <f t="shared" si="29"/>
        <v>13.332000000000001</v>
      </c>
      <c r="AG15" s="211">
        <f t="shared" si="30"/>
        <v>12.099999999999998</v>
      </c>
      <c r="AH15" s="211">
        <f t="shared" si="31"/>
        <v>13.791</v>
      </c>
      <c r="AI15" s="212">
        <f t="shared" si="32"/>
        <v>14.277000000000005</v>
      </c>
      <c r="AJ15" s="211">
        <f t="shared" si="33"/>
        <v>13.061</v>
      </c>
      <c r="AK15" s="211">
        <f t="shared" si="34"/>
        <v>17.956</v>
      </c>
      <c r="AL15" s="211">
        <f t="shared" si="35"/>
        <v>12.747000000000003</v>
      </c>
      <c r="AM15" s="212">
        <f t="shared" si="36"/>
        <v>13.121999999999996</v>
      </c>
      <c r="AN15" s="211">
        <f t="shared" si="37"/>
        <v>11.407</v>
      </c>
      <c r="AO15" s="211">
        <f t="shared" si="38"/>
        <v>10.542000000000002</v>
      </c>
      <c r="AP15" s="211">
        <f t="shared" si="39"/>
        <v>13.469999999999995</v>
      </c>
      <c r="AQ15" s="212">
        <f t="shared" si="40"/>
        <v>15.392999999999997</v>
      </c>
      <c r="AR15" s="211">
        <f t="shared" si="41"/>
        <v>20.370999999999999</v>
      </c>
      <c r="AS15" s="211">
        <f t="shared" si="42"/>
        <v>16.101000000000003</v>
      </c>
      <c r="AT15" s="211">
        <f t="shared" si="43"/>
        <v>16.364000000000001</v>
      </c>
      <c r="AU15" s="212">
        <f t="shared" si="44"/>
        <v>16.082999999999995</v>
      </c>
      <c r="AV15" s="211">
        <f t="shared" si="45"/>
        <v>15.609</v>
      </c>
      <c r="AW15" s="211">
        <f t="shared" si="46"/>
        <v>15.959000000000001</v>
      </c>
      <c r="AX15" s="211">
        <f t="shared" si="47"/>
        <v>16.618999999999993</v>
      </c>
      <c r="AY15" s="212">
        <f t="shared" si="48"/>
        <v>15.234000000000004</v>
      </c>
      <c r="AZ15" s="211">
        <f t="shared" si="49"/>
        <v>16.529</v>
      </c>
      <c r="BA15" s="211">
        <f t="shared" si="50"/>
        <v>22.486000000000001</v>
      </c>
      <c r="BB15" s="211">
        <f t="shared" si="51"/>
        <v>32.823999999999998</v>
      </c>
      <c r="BC15" s="212">
        <f t="shared" si="52"/>
        <v>32.349000000000004</v>
      </c>
      <c r="BD15" s="211">
        <f t="shared" si="53"/>
        <v>37.902000000000001</v>
      </c>
      <c r="BE15" s="1135">
        <f>+IS!BE159</f>
        <v>37.902000000000001</v>
      </c>
      <c r="BF15" s="1135">
        <f>+IS!BF159</f>
        <v>37.902000000000001</v>
      </c>
      <c r="BG15" s="1136">
        <f>+IS!BG159</f>
        <v>37.902000000000001</v>
      </c>
      <c r="BH15" s="1135">
        <f>+IS!BH159</f>
        <v>37.902000000000001</v>
      </c>
      <c r="BI15" s="1135">
        <f>+IS!BI159</f>
        <v>37.902000000000001</v>
      </c>
      <c r="BJ15" s="1135">
        <f>+IS!BJ159</f>
        <v>37.902000000000001</v>
      </c>
      <c r="BK15" s="1136">
        <f>+IS!BK159</f>
        <v>37.902000000000001</v>
      </c>
      <c r="BL15" s="1135">
        <f>+IS!BL159</f>
        <v>37.902000000000001</v>
      </c>
      <c r="BM15" s="1135">
        <f>+IS!BM159</f>
        <v>37.902000000000001</v>
      </c>
      <c r="BN15" s="1135">
        <f>+IS!BN159</f>
        <v>37.902000000000001</v>
      </c>
      <c r="BO15" s="1136">
        <f>+IS!BO159</f>
        <v>37.902000000000001</v>
      </c>
      <c r="BP15" s="23"/>
      <c r="BQ15" s="211">
        <f t="shared" si="57"/>
        <v>4.87</v>
      </c>
      <c r="BR15" s="211">
        <f t="shared" si="58"/>
        <v>75.429000000000002</v>
      </c>
      <c r="BS15" s="211">
        <f t="shared" si="59"/>
        <v>72.652000000000001</v>
      </c>
      <c r="BT15" s="211">
        <f t="shared" si="60"/>
        <v>50.247</v>
      </c>
      <c r="BU15" s="211">
        <f t="shared" si="61"/>
        <v>48.613</v>
      </c>
      <c r="BV15" s="213">
        <f t="shared" si="62"/>
        <v>51.75200000000001</v>
      </c>
      <c r="BW15" s="211">
        <f t="shared" si="63"/>
        <v>52.357999999999997</v>
      </c>
      <c r="BX15" s="213">
        <f t="shared" si="64"/>
        <v>53.5</v>
      </c>
      <c r="BY15" s="213">
        <f t="shared" si="65"/>
        <v>56.885999999999996</v>
      </c>
      <c r="BZ15" s="211">
        <f t="shared" si="66"/>
        <v>50.811999999999998</v>
      </c>
      <c r="CA15" s="211">
        <f t="shared" si="67"/>
        <v>68.918999999999997</v>
      </c>
      <c r="CB15" s="211">
        <f t="shared" si="68"/>
        <v>63.420999999999999</v>
      </c>
      <c r="CC15" s="211">
        <f t="shared" si="69"/>
        <v>104.188</v>
      </c>
      <c r="CD15" s="211">
        <f t="shared" si="70"/>
        <v>151.608</v>
      </c>
      <c r="CE15" s="211">
        <f t="shared" si="71"/>
        <v>151.608</v>
      </c>
      <c r="CF15" s="211">
        <f t="shared" si="72"/>
        <v>151.608</v>
      </c>
      <c r="CG15" s="23"/>
      <c r="CH15" s="213">
        <f t="shared" si="73"/>
        <v>24.378999999999998</v>
      </c>
      <c r="CI15" s="211">
        <f t="shared" si="74"/>
        <v>74.179000000000016</v>
      </c>
      <c r="CJ15" s="211">
        <f t="shared" si="75"/>
        <v>63.190000000000012</v>
      </c>
      <c r="CK15" s="211">
        <f t="shared" si="76"/>
        <v>51.063000000000002</v>
      </c>
      <c r="CL15" s="211">
        <f t="shared" si="77"/>
        <v>49.036999999999999</v>
      </c>
      <c r="CM15" s="211">
        <f t="shared" si="78"/>
        <v>52.52</v>
      </c>
      <c r="CN15" s="211">
        <f t="shared" si="79"/>
        <v>53.086999999999996</v>
      </c>
      <c r="CO15" s="211">
        <f t="shared" si="80"/>
        <v>53.229000000000006</v>
      </c>
      <c r="CP15" s="211">
        <f t="shared" si="81"/>
        <v>55.231999999999999</v>
      </c>
      <c r="CQ15" s="211">
        <f t="shared" si="82"/>
        <v>59.775999999999996</v>
      </c>
      <c r="CR15" s="211">
        <f t="shared" si="83"/>
        <v>64.156999999999996</v>
      </c>
      <c r="CS15" s="211">
        <f t="shared" si="84"/>
        <v>64.340999999999994</v>
      </c>
      <c r="CT15" s="211">
        <f t="shared" si="86"/>
        <v>125.56100000000001</v>
      </c>
      <c r="CU15" s="211">
        <f t="shared" si="87"/>
        <v>151.608</v>
      </c>
      <c r="CV15" s="212">
        <f t="shared" si="85"/>
        <v>151.608</v>
      </c>
      <c r="CW15" s="1149"/>
      <c r="DF15" s="1109"/>
    </row>
    <row r="16" spans="1:110" ht="14.25" customHeight="1">
      <c r="A16" s="8"/>
      <c r="B16" s="56" t="str">
        <f t="shared" si="0"/>
        <v>Net loss on sale of property, plant and equipment</v>
      </c>
      <c r="C16" s="57"/>
      <c r="D16" s="213">
        <f t="shared" si="1"/>
        <v>0</v>
      </c>
      <c r="E16" s="211">
        <f t="shared" si="2"/>
        <v>0</v>
      </c>
      <c r="F16" s="211">
        <f t="shared" si="3"/>
        <v>0</v>
      </c>
      <c r="G16" s="212">
        <f t="shared" si="4"/>
        <v>0</v>
      </c>
      <c r="H16" s="213">
        <f t="shared" si="5"/>
        <v>0</v>
      </c>
      <c r="I16" s="211">
        <f t="shared" si="6"/>
        <v>0</v>
      </c>
      <c r="J16" s="211">
        <f t="shared" si="7"/>
        <v>0</v>
      </c>
      <c r="K16" s="212">
        <f t="shared" si="8"/>
        <v>0</v>
      </c>
      <c r="L16" s="213">
        <f t="shared" si="9"/>
        <v>0</v>
      </c>
      <c r="M16" s="211">
        <f t="shared" si="10"/>
        <v>0</v>
      </c>
      <c r="N16" s="211">
        <f t="shared" si="11"/>
        <v>0</v>
      </c>
      <c r="O16" s="212">
        <f t="shared" si="12"/>
        <v>0</v>
      </c>
      <c r="P16" s="213">
        <f t="shared" si="13"/>
        <v>0</v>
      </c>
      <c r="Q16" s="211">
        <f t="shared" si="14"/>
        <v>0</v>
      </c>
      <c r="R16" s="211">
        <f t="shared" si="15"/>
        <v>0</v>
      </c>
      <c r="S16" s="212">
        <f t="shared" si="16"/>
        <v>0</v>
      </c>
      <c r="T16" s="213">
        <f t="shared" si="17"/>
        <v>0</v>
      </c>
      <c r="U16" s="211">
        <f t="shared" si="18"/>
        <v>0</v>
      </c>
      <c r="V16" s="211">
        <f t="shared" si="19"/>
        <v>0</v>
      </c>
      <c r="W16" s="212">
        <f t="shared" si="20"/>
        <v>0</v>
      </c>
      <c r="X16" s="213">
        <f t="shared" si="21"/>
        <v>0</v>
      </c>
      <c r="Y16" s="211">
        <f t="shared" si="22"/>
        <v>0</v>
      </c>
      <c r="Z16" s="211">
        <f t="shared" si="23"/>
        <v>0</v>
      </c>
      <c r="AA16" s="212">
        <f t="shared" si="24"/>
        <v>0</v>
      </c>
      <c r="AB16" s="211">
        <f t="shared" si="25"/>
        <v>0</v>
      </c>
      <c r="AC16" s="211">
        <f t="shared" si="26"/>
        <v>0</v>
      </c>
      <c r="AD16" s="211">
        <f t="shared" si="27"/>
        <v>0</v>
      </c>
      <c r="AE16" s="212">
        <f t="shared" si="28"/>
        <v>0</v>
      </c>
      <c r="AF16" s="211">
        <f t="shared" si="29"/>
        <v>0</v>
      </c>
      <c r="AG16" s="211">
        <f t="shared" si="30"/>
        <v>0</v>
      </c>
      <c r="AH16" s="211">
        <f t="shared" si="31"/>
        <v>0</v>
      </c>
      <c r="AI16" s="212">
        <f t="shared" si="32"/>
        <v>0</v>
      </c>
      <c r="AJ16" s="211">
        <f t="shared" si="33"/>
        <v>0</v>
      </c>
      <c r="AK16" s="211">
        <f t="shared" si="34"/>
        <v>0</v>
      </c>
      <c r="AL16" s="211">
        <f t="shared" si="35"/>
        <v>0</v>
      </c>
      <c r="AM16" s="212">
        <f t="shared" si="36"/>
        <v>0</v>
      </c>
      <c r="AN16" s="211">
        <f t="shared" si="37"/>
        <v>0</v>
      </c>
      <c r="AO16" s="211">
        <f t="shared" si="38"/>
        <v>0</v>
      </c>
      <c r="AP16" s="211">
        <f t="shared" si="39"/>
        <v>0</v>
      </c>
      <c r="AQ16" s="212">
        <f t="shared" si="40"/>
        <v>0</v>
      </c>
      <c r="AR16" s="211">
        <f t="shared" si="41"/>
        <v>0</v>
      </c>
      <c r="AS16" s="211">
        <f t="shared" si="42"/>
        <v>0</v>
      </c>
      <c r="AT16" s="211">
        <f t="shared" si="43"/>
        <v>0</v>
      </c>
      <c r="AU16" s="212">
        <f t="shared" si="44"/>
        <v>0</v>
      </c>
      <c r="AV16" s="211">
        <f t="shared" si="45"/>
        <v>0</v>
      </c>
      <c r="AW16" s="211">
        <f t="shared" si="46"/>
        <v>0</v>
      </c>
      <c r="AX16" s="211">
        <f t="shared" si="47"/>
        <v>0</v>
      </c>
      <c r="AY16" s="212">
        <f t="shared" si="48"/>
        <v>0</v>
      </c>
      <c r="AZ16" s="211">
        <f t="shared" si="49"/>
        <v>0</v>
      </c>
      <c r="BA16" s="211">
        <f t="shared" si="50"/>
        <v>0</v>
      </c>
      <c r="BB16" s="211">
        <f t="shared" si="51"/>
        <v>0</v>
      </c>
      <c r="BC16" s="212">
        <f t="shared" si="52"/>
        <v>0</v>
      </c>
      <c r="BD16" s="211">
        <f>BD118</f>
        <v>0</v>
      </c>
      <c r="BE16" s="214">
        <v>0</v>
      </c>
      <c r="BF16" s="214">
        <v>0</v>
      </c>
      <c r="BG16" s="215">
        <v>0</v>
      </c>
      <c r="BH16" s="214">
        <v>0</v>
      </c>
      <c r="BI16" s="214">
        <v>0</v>
      </c>
      <c r="BJ16" s="214">
        <v>0</v>
      </c>
      <c r="BK16" s="215">
        <v>0</v>
      </c>
      <c r="BL16" s="214">
        <v>0</v>
      </c>
      <c r="BM16" s="214">
        <v>0</v>
      </c>
      <c r="BN16" s="214">
        <v>0</v>
      </c>
      <c r="BO16" s="214">
        <v>0</v>
      </c>
      <c r="BP16" s="23"/>
      <c r="BQ16" s="211">
        <f t="shared" si="57"/>
        <v>0</v>
      </c>
      <c r="BR16" s="211">
        <f t="shared" si="58"/>
        <v>0</v>
      </c>
      <c r="BS16" s="211">
        <f t="shared" si="59"/>
        <v>0</v>
      </c>
      <c r="BT16" s="211">
        <f t="shared" si="60"/>
        <v>0</v>
      </c>
      <c r="BU16" s="211">
        <f t="shared" si="61"/>
        <v>0</v>
      </c>
      <c r="BV16" s="213">
        <f t="shared" si="62"/>
        <v>0</v>
      </c>
      <c r="BW16" s="211">
        <f t="shared" si="63"/>
        <v>0</v>
      </c>
      <c r="BX16" s="213">
        <f t="shared" si="64"/>
        <v>0</v>
      </c>
      <c r="BY16" s="213">
        <f t="shared" si="65"/>
        <v>0</v>
      </c>
      <c r="BZ16" s="211">
        <f t="shared" si="66"/>
        <v>0</v>
      </c>
      <c r="CA16" s="211">
        <f t="shared" si="67"/>
        <v>0</v>
      </c>
      <c r="CB16" s="211">
        <f t="shared" si="68"/>
        <v>0</v>
      </c>
      <c r="CC16" s="211">
        <f t="shared" si="69"/>
        <v>0</v>
      </c>
      <c r="CD16" s="211">
        <f t="shared" si="70"/>
        <v>0</v>
      </c>
      <c r="CE16" s="211">
        <f t="shared" si="71"/>
        <v>0</v>
      </c>
      <c r="CF16" s="211">
        <f t="shared" si="72"/>
        <v>0</v>
      </c>
      <c r="CG16" s="23"/>
      <c r="CH16" s="213">
        <f t="shared" si="73"/>
        <v>0</v>
      </c>
      <c r="CI16" s="211">
        <f t="shared" si="74"/>
        <v>0</v>
      </c>
      <c r="CJ16" s="211">
        <f t="shared" si="75"/>
        <v>0</v>
      </c>
      <c r="CK16" s="211">
        <f t="shared" si="76"/>
        <v>0</v>
      </c>
      <c r="CL16" s="211">
        <f t="shared" si="77"/>
        <v>0</v>
      </c>
      <c r="CM16" s="211">
        <f t="shared" si="78"/>
        <v>0</v>
      </c>
      <c r="CN16" s="211">
        <f t="shared" si="79"/>
        <v>0</v>
      </c>
      <c r="CO16" s="211">
        <f t="shared" si="80"/>
        <v>0</v>
      </c>
      <c r="CP16" s="211">
        <f t="shared" si="81"/>
        <v>0</v>
      </c>
      <c r="CQ16" s="211">
        <f t="shared" si="82"/>
        <v>0</v>
      </c>
      <c r="CR16" s="211">
        <f t="shared" si="83"/>
        <v>0</v>
      </c>
      <c r="CS16" s="211">
        <f t="shared" si="84"/>
        <v>0</v>
      </c>
      <c r="CT16" s="211">
        <f t="shared" si="86"/>
        <v>0</v>
      </c>
      <c r="CU16" s="211">
        <f t="shared" si="87"/>
        <v>0</v>
      </c>
      <c r="CV16" s="212">
        <f t="shared" si="85"/>
        <v>0</v>
      </c>
      <c r="CW16" s="1149"/>
      <c r="DF16" s="1109"/>
    </row>
    <row r="17" spans="1:110" ht="14.25" customHeight="1">
      <c r="A17" s="8"/>
      <c r="B17" s="56" t="str">
        <f t="shared" si="0"/>
        <v>Gain on sale of business</v>
      </c>
      <c r="C17" s="57"/>
      <c r="D17" s="213">
        <f t="shared" si="1"/>
        <v>0</v>
      </c>
      <c r="E17" s="211">
        <f t="shared" si="2"/>
        <v>0</v>
      </c>
      <c r="F17" s="211">
        <f t="shared" si="3"/>
        <v>0</v>
      </c>
      <c r="G17" s="212">
        <f t="shared" si="4"/>
        <v>0</v>
      </c>
      <c r="H17" s="213">
        <f t="shared" si="5"/>
        <v>0</v>
      </c>
      <c r="I17" s="211">
        <f t="shared" si="6"/>
        <v>-13.026999999999999</v>
      </c>
      <c r="J17" s="211">
        <f t="shared" si="7"/>
        <v>0</v>
      </c>
      <c r="K17" s="212">
        <f t="shared" si="8"/>
        <v>0</v>
      </c>
      <c r="L17" s="213">
        <f t="shared" si="9"/>
        <v>-7.9189999999999996</v>
      </c>
      <c r="M17" s="211">
        <f t="shared" si="10"/>
        <v>0</v>
      </c>
      <c r="N17" s="211">
        <f t="shared" si="11"/>
        <v>0</v>
      </c>
      <c r="O17" s="212">
        <f t="shared" si="12"/>
        <v>0</v>
      </c>
      <c r="P17" s="213">
        <f t="shared" si="13"/>
        <v>-246.983</v>
      </c>
      <c r="Q17" s="211">
        <f t="shared" si="14"/>
        <v>-67.283000000000015</v>
      </c>
      <c r="R17" s="211">
        <f t="shared" si="15"/>
        <v>-3.8019999999999641</v>
      </c>
      <c r="S17" s="212">
        <f t="shared" si="16"/>
        <v>69.739999999999981</v>
      </c>
      <c r="T17" s="213">
        <f t="shared" si="17"/>
        <v>0</v>
      </c>
      <c r="U17" s="211">
        <f t="shared" si="18"/>
        <v>0</v>
      </c>
      <c r="V17" s="211">
        <f t="shared" si="19"/>
        <v>-4.1050000000000004</v>
      </c>
      <c r="W17" s="212">
        <f t="shared" si="20"/>
        <v>4.1050000000000004</v>
      </c>
      <c r="X17" s="213">
        <f t="shared" si="21"/>
        <v>-0.85899999999999999</v>
      </c>
      <c r="Y17" s="211">
        <f t="shared" si="22"/>
        <v>0</v>
      </c>
      <c r="Z17" s="211">
        <f t="shared" si="23"/>
        <v>0</v>
      </c>
      <c r="AA17" s="212">
        <f t="shared" si="24"/>
        <v>0</v>
      </c>
      <c r="AB17" s="211">
        <f t="shared" si="25"/>
        <v>-6.5</v>
      </c>
      <c r="AC17" s="211">
        <f t="shared" si="26"/>
        <v>0</v>
      </c>
      <c r="AD17" s="211">
        <f t="shared" si="27"/>
        <v>0</v>
      </c>
      <c r="AE17" s="212">
        <f t="shared" si="28"/>
        <v>0</v>
      </c>
      <c r="AF17" s="211">
        <f t="shared" si="29"/>
        <v>0</v>
      </c>
      <c r="AG17" s="211">
        <f t="shared" si="30"/>
        <v>0</v>
      </c>
      <c r="AH17" s="211">
        <f t="shared" si="31"/>
        <v>0</v>
      </c>
      <c r="AI17" s="212">
        <f t="shared" si="32"/>
        <v>-1.2310000000000001</v>
      </c>
      <c r="AJ17" s="211">
        <f t="shared" si="33"/>
        <v>0</v>
      </c>
      <c r="AK17" s="211">
        <f t="shared" si="34"/>
        <v>0</v>
      </c>
      <c r="AL17" s="211">
        <f t="shared" si="35"/>
        <v>0</v>
      </c>
      <c r="AM17" s="212">
        <f t="shared" si="36"/>
        <v>0</v>
      </c>
      <c r="AN17" s="211">
        <f t="shared" si="37"/>
        <v>0</v>
      </c>
      <c r="AO17" s="211">
        <f t="shared" si="38"/>
        <v>0</v>
      </c>
      <c r="AP17" s="211">
        <f t="shared" si="39"/>
        <v>0</v>
      </c>
      <c r="AQ17" s="212">
        <f t="shared" si="40"/>
        <v>0</v>
      </c>
      <c r="AR17" s="211">
        <f t="shared" si="41"/>
        <v>0</v>
      </c>
      <c r="AS17" s="211">
        <f t="shared" si="42"/>
        <v>0</v>
      </c>
      <c r="AT17" s="211">
        <f t="shared" si="43"/>
        <v>0</v>
      </c>
      <c r="AU17" s="212">
        <f t="shared" si="44"/>
        <v>0</v>
      </c>
      <c r="AV17" s="211">
        <f t="shared" si="45"/>
        <v>0</v>
      </c>
      <c r="AW17" s="211">
        <f t="shared" si="46"/>
        <v>0</v>
      </c>
      <c r="AX17" s="211">
        <f t="shared" si="47"/>
        <v>0</v>
      </c>
      <c r="AY17" s="212">
        <f t="shared" si="48"/>
        <v>0</v>
      </c>
      <c r="AZ17" s="211">
        <f t="shared" si="49"/>
        <v>0</v>
      </c>
      <c r="BA17" s="211">
        <f t="shared" si="50"/>
        <v>0</v>
      </c>
      <c r="BB17" s="211">
        <f t="shared" si="51"/>
        <v>0</v>
      </c>
      <c r="BC17" s="212">
        <f t="shared" si="52"/>
        <v>0</v>
      </c>
      <c r="BD17" s="211">
        <f t="shared" si="53"/>
        <v>0</v>
      </c>
      <c r="BE17" s="214">
        <v>0</v>
      </c>
      <c r="BF17" s="214">
        <v>0</v>
      </c>
      <c r="BG17" s="215">
        <v>0</v>
      </c>
      <c r="BH17" s="214">
        <v>0</v>
      </c>
      <c r="BI17" s="214">
        <v>0</v>
      </c>
      <c r="BJ17" s="214">
        <v>0</v>
      </c>
      <c r="BK17" s="215">
        <v>0</v>
      </c>
      <c r="BL17" s="214">
        <v>0</v>
      </c>
      <c r="BM17" s="214">
        <v>0</v>
      </c>
      <c r="BN17" s="214">
        <v>0</v>
      </c>
      <c r="BO17" s="214">
        <v>0</v>
      </c>
      <c r="BP17" s="23"/>
      <c r="BQ17" s="211">
        <f t="shared" si="57"/>
        <v>0</v>
      </c>
      <c r="BR17" s="211">
        <f t="shared" si="58"/>
        <v>-13.026999999999999</v>
      </c>
      <c r="BS17" s="211">
        <f t="shared" si="59"/>
        <v>-7.9189999999999996</v>
      </c>
      <c r="BT17" s="211">
        <f t="shared" si="60"/>
        <v>-248.328</v>
      </c>
      <c r="BU17" s="211">
        <f t="shared" si="61"/>
        <v>0</v>
      </c>
      <c r="BV17" s="213">
        <f t="shared" si="62"/>
        <v>-0.85899999999999999</v>
      </c>
      <c r="BW17" s="211">
        <f t="shared" si="63"/>
        <v>-6.5</v>
      </c>
      <c r="BX17" s="213">
        <f t="shared" si="64"/>
        <v>-1.2310000000000001</v>
      </c>
      <c r="BY17" s="213">
        <f t="shared" si="65"/>
        <v>0</v>
      </c>
      <c r="BZ17" s="211">
        <f t="shared" si="66"/>
        <v>0</v>
      </c>
      <c r="CA17" s="211">
        <f t="shared" si="67"/>
        <v>0</v>
      </c>
      <c r="CB17" s="211">
        <f t="shared" si="68"/>
        <v>0</v>
      </c>
      <c r="CC17" s="211">
        <f t="shared" si="69"/>
        <v>0</v>
      </c>
      <c r="CD17" s="211">
        <f t="shared" si="70"/>
        <v>0</v>
      </c>
      <c r="CE17" s="211">
        <f t="shared" si="71"/>
        <v>0</v>
      </c>
      <c r="CF17" s="211">
        <f t="shared" si="72"/>
        <v>0</v>
      </c>
      <c r="CG17" s="23"/>
      <c r="CH17" s="213">
        <f t="shared" si="73"/>
        <v>0</v>
      </c>
      <c r="CI17" s="211">
        <f t="shared" si="74"/>
        <v>-20.945999999999998</v>
      </c>
      <c r="CJ17" s="211">
        <f t="shared" si="75"/>
        <v>-246.983</v>
      </c>
      <c r="CK17" s="211">
        <f t="shared" si="76"/>
        <v>-1.3449999999999989</v>
      </c>
      <c r="CL17" s="211">
        <f t="shared" si="77"/>
        <v>-0.85899999999999999</v>
      </c>
      <c r="CM17" s="211">
        <f t="shared" si="78"/>
        <v>-6.5</v>
      </c>
      <c r="CN17" s="211">
        <f t="shared" si="79"/>
        <v>0</v>
      </c>
      <c r="CO17" s="211">
        <f t="shared" si="80"/>
        <v>-1.2310000000000001</v>
      </c>
      <c r="CP17" s="211">
        <f t="shared" si="81"/>
        <v>0</v>
      </c>
      <c r="CQ17" s="211">
        <f t="shared" si="82"/>
        <v>0</v>
      </c>
      <c r="CR17" s="211">
        <f t="shared" si="83"/>
        <v>0</v>
      </c>
      <c r="CS17" s="211">
        <f t="shared" si="84"/>
        <v>0</v>
      </c>
      <c r="CT17" s="211">
        <f t="shared" si="86"/>
        <v>0</v>
      </c>
      <c r="CU17" s="211">
        <f t="shared" si="87"/>
        <v>0</v>
      </c>
      <c r="CV17" s="212">
        <f t="shared" si="85"/>
        <v>0</v>
      </c>
      <c r="CW17" s="1149"/>
      <c r="DF17" s="1109"/>
    </row>
    <row r="18" spans="1:110" ht="14.25" customHeight="1">
      <c r="A18" s="8"/>
      <c r="B18" s="56" t="str">
        <f t="shared" si="0"/>
        <v>Non-cash portion of special charges</v>
      </c>
      <c r="C18" s="57"/>
      <c r="D18" s="213">
        <f t="shared" si="1"/>
        <v>0</v>
      </c>
      <c r="E18" s="211">
        <f t="shared" si="2"/>
        <v>0</v>
      </c>
      <c r="F18" s="211">
        <f t="shared" si="3"/>
        <v>0</v>
      </c>
      <c r="G18" s="212">
        <f t="shared" si="4"/>
        <v>0</v>
      </c>
      <c r="H18" s="213">
        <f t="shared" si="5"/>
        <v>0.45900000000000002</v>
      </c>
      <c r="I18" s="211">
        <f t="shared" si="6"/>
        <v>0</v>
      </c>
      <c r="J18" s="211">
        <f t="shared" si="7"/>
        <v>0</v>
      </c>
      <c r="K18" s="212">
        <f t="shared" si="8"/>
        <v>0</v>
      </c>
      <c r="L18" s="213">
        <f t="shared" si="9"/>
        <v>0</v>
      </c>
      <c r="M18" s="211">
        <f t="shared" si="10"/>
        <v>0</v>
      </c>
      <c r="N18" s="211">
        <f t="shared" si="11"/>
        <v>0</v>
      </c>
      <c r="O18" s="212">
        <f t="shared" si="12"/>
        <v>0.438</v>
      </c>
      <c r="P18" s="213">
        <f t="shared" si="13"/>
        <v>0</v>
      </c>
      <c r="Q18" s="211">
        <f t="shared" si="14"/>
        <v>0</v>
      </c>
      <c r="R18" s="211">
        <f t="shared" si="15"/>
        <v>0</v>
      </c>
      <c r="S18" s="212">
        <f t="shared" si="16"/>
        <v>0</v>
      </c>
      <c r="T18" s="213">
        <f t="shared" si="17"/>
        <v>13.693</v>
      </c>
      <c r="U18" s="211">
        <f t="shared" si="18"/>
        <v>7.5000000000001066E-2</v>
      </c>
      <c r="V18" s="211">
        <f t="shared" si="19"/>
        <v>0</v>
      </c>
      <c r="W18" s="212">
        <f t="shared" si="20"/>
        <v>1.6999999999999993</v>
      </c>
      <c r="X18" s="213">
        <f t="shared" si="21"/>
        <v>0.48699999999999999</v>
      </c>
      <c r="Y18" s="211">
        <f t="shared" si="22"/>
        <v>0</v>
      </c>
      <c r="Z18" s="211">
        <f t="shared" si="23"/>
        <v>0</v>
      </c>
      <c r="AA18" s="212">
        <f t="shared" si="24"/>
        <v>0</v>
      </c>
      <c r="AB18" s="211">
        <f t="shared" si="25"/>
        <v>0</v>
      </c>
      <c r="AC18" s="211">
        <f t="shared" si="26"/>
        <v>0</v>
      </c>
      <c r="AD18" s="211">
        <f t="shared" si="27"/>
        <v>0</v>
      </c>
      <c r="AE18" s="212">
        <f t="shared" si="28"/>
        <v>0</v>
      </c>
      <c r="AF18" s="211">
        <f t="shared" si="29"/>
        <v>0</v>
      </c>
      <c r="AG18" s="211">
        <f t="shared" si="30"/>
        <v>0</v>
      </c>
      <c r="AH18" s="211">
        <f t="shared" si="31"/>
        <v>0.219</v>
      </c>
      <c r="AI18" s="212">
        <f t="shared" si="32"/>
        <v>0</v>
      </c>
      <c r="AJ18" s="211">
        <f t="shared" si="33"/>
        <v>0</v>
      </c>
      <c r="AK18" s="211">
        <f t="shared" si="34"/>
        <v>0</v>
      </c>
      <c r="AL18" s="211">
        <f t="shared" si="35"/>
        <v>0</v>
      </c>
      <c r="AM18" s="212">
        <f t="shared" si="36"/>
        <v>0</v>
      </c>
      <c r="AN18" s="211">
        <f t="shared" si="37"/>
        <v>0</v>
      </c>
      <c r="AO18" s="211">
        <f t="shared" si="38"/>
        <v>0</v>
      </c>
      <c r="AP18" s="211">
        <f t="shared" si="39"/>
        <v>0</v>
      </c>
      <c r="AQ18" s="212">
        <f t="shared" si="40"/>
        <v>0</v>
      </c>
      <c r="AR18" s="211">
        <f t="shared" si="41"/>
        <v>0</v>
      </c>
      <c r="AS18" s="211">
        <f t="shared" si="42"/>
        <v>0</v>
      </c>
      <c r="AT18" s="211">
        <f t="shared" si="43"/>
        <v>0</v>
      </c>
      <c r="AU18" s="212">
        <f t="shared" si="44"/>
        <v>0</v>
      </c>
      <c r="AV18" s="211">
        <f t="shared" si="45"/>
        <v>0</v>
      </c>
      <c r="AW18" s="211">
        <f t="shared" si="46"/>
        <v>0</v>
      </c>
      <c r="AX18" s="211">
        <f t="shared" si="47"/>
        <v>0</v>
      </c>
      <c r="AY18" s="212">
        <f t="shared" si="48"/>
        <v>0</v>
      </c>
      <c r="AZ18" s="211">
        <f t="shared" si="49"/>
        <v>0</v>
      </c>
      <c r="BA18" s="211">
        <f t="shared" si="50"/>
        <v>0</v>
      </c>
      <c r="BB18" s="211">
        <f t="shared" si="51"/>
        <v>0</v>
      </c>
      <c r="BC18" s="212">
        <f t="shared" si="52"/>
        <v>0</v>
      </c>
      <c r="BD18" s="211">
        <v>0</v>
      </c>
      <c r="BE18" s="214">
        <v>0</v>
      </c>
      <c r="BF18" s="214">
        <v>0</v>
      </c>
      <c r="BG18" s="215">
        <v>0</v>
      </c>
      <c r="BH18" s="214">
        <v>0</v>
      </c>
      <c r="BI18" s="214">
        <v>0</v>
      </c>
      <c r="BJ18" s="214">
        <v>0</v>
      </c>
      <c r="BK18" s="215">
        <v>0</v>
      </c>
      <c r="BL18" s="214">
        <v>0</v>
      </c>
      <c r="BM18" s="214">
        <v>0</v>
      </c>
      <c r="BN18" s="214">
        <v>0</v>
      </c>
      <c r="BO18" s="214">
        <v>0</v>
      </c>
      <c r="BP18" s="23"/>
      <c r="BQ18" s="211">
        <f t="shared" si="57"/>
        <v>0</v>
      </c>
      <c r="BR18" s="211">
        <f t="shared" si="58"/>
        <v>0.45900000000000002</v>
      </c>
      <c r="BS18" s="211">
        <f t="shared" si="59"/>
        <v>0.438</v>
      </c>
      <c r="BT18" s="211">
        <f t="shared" si="60"/>
        <v>0</v>
      </c>
      <c r="BU18" s="211">
        <f t="shared" si="61"/>
        <v>15.468</v>
      </c>
      <c r="BV18" s="213">
        <f t="shared" si="62"/>
        <v>0.48699999999999999</v>
      </c>
      <c r="BW18" s="211">
        <f t="shared" si="63"/>
        <v>0</v>
      </c>
      <c r="BX18" s="213">
        <f t="shared" si="64"/>
        <v>0.219</v>
      </c>
      <c r="BY18" s="213">
        <f t="shared" si="65"/>
        <v>0</v>
      </c>
      <c r="BZ18" s="211">
        <f t="shared" si="66"/>
        <v>0</v>
      </c>
      <c r="CA18" s="211">
        <f t="shared" si="67"/>
        <v>0</v>
      </c>
      <c r="CB18" s="211">
        <f t="shared" si="68"/>
        <v>0</v>
      </c>
      <c r="CC18" s="211">
        <f t="shared" si="69"/>
        <v>0</v>
      </c>
      <c r="CD18" s="211">
        <f t="shared" si="70"/>
        <v>0</v>
      </c>
      <c r="CE18" s="211">
        <f t="shared" si="71"/>
        <v>0</v>
      </c>
      <c r="CF18" s="211">
        <f t="shared" si="72"/>
        <v>0</v>
      </c>
      <c r="CG18" s="23"/>
      <c r="CH18" s="213">
        <f t="shared" si="73"/>
        <v>0.45900000000000002</v>
      </c>
      <c r="CI18" s="211">
        <f t="shared" si="74"/>
        <v>0</v>
      </c>
      <c r="CJ18" s="211">
        <f t="shared" si="75"/>
        <v>0.438</v>
      </c>
      <c r="CK18" s="211">
        <f t="shared" si="76"/>
        <v>13.693</v>
      </c>
      <c r="CL18" s="211">
        <f t="shared" si="77"/>
        <v>2.2620000000000005</v>
      </c>
      <c r="CM18" s="211">
        <f t="shared" si="78"/>
        <v>0</v>
      </c>
      <c r="CN18" s="211">
        <f t="shared" si="79"/>
        <v>0</v>
      </c>
      <c r="CO18" s="211">
        <f t="shared" si="80"/>
        <v>0.219</v>
      </c>
      <c r="CP18" s="211">
        <f t="shared" si="81"/>
        <v>0</v>
      </c>
      <c r="CQ18" s="211">
        <f t="shared" si="82"/>
        <v>0</v>
      </c>
      <c r="CR18" s="211">
        <f t="shared" si="83"/>
        <v>0</v>
      </c>
      <c r="CS18" s="211">
        <f t="shared" si="84"/>
        <v>0</v>
      </c>
      <c r="CT18" s="211">
        <f t="shared" si="86"/>
        <v>0</v>
      </c>
      <c r="CU18" s="211">
        <f t="shared" si="87"/>
        <v>0</v>
      </c>
      <c r="CV18" s="212">
        <f t="shared" si="85"/>
        <v>0</v>
      </c>
      <c r="CW18" s="1149"/>
      <c r="DF18" s="1109"/>
    </row>
    <row r="19" spans="1:110" ht="14.25" customHeight="1">
      <c r="A19" s="8"/>
      <c r="B19" s="56" t="str">
        <f t="shared" si="0"/>
        <v>Other non-cash activities</v>
      </c>
      <c r="C19" s="57"/>
      <c r="D19" s="213">
        <f t="shared" si="1"/>
        <v>0.71799999999999997</v>
      </c>
      <c r="E19" s="211">
        <f t="shared" si="2"/>
        <v>3.3000000000000029E-2</v>
      </c>
      <c r="F19" s="211">
        <f t="shared" si="3"/>
        <v>0.17300000000000004</v>
      </c>
      <c r="G19" s="212">
        <f t="shared" si="4"/>
        <v>0.89800000000000013</v>
      </c>
      <c r="H19" s="213">
        <f t="shared" si="5"/>
        <v>0.55700000000000005</v>
      </c>
      <c r="I19" s="211">
        <f t="shared" si="6"/>
        <v>2.2999999999999909E-2</v>
      </c>
      <c r="J19" s="211">
        <f t="shared" si="7"/>
        <v>8.4000000000000075E-2</v>
      </c>
      <c r="K19" s="212">
        <f t="shared" si="8"/>
        <v>0.12</v>
      </c>
      <c r="L19" s="213">
        <f t="shared" si="9"/>
        <v>0.13400000000000001</v>
      </c>
      <c r="M19" s="211">
        <f t="shared" si="10"/>
        <v>0.14400000000000002</v>
      </c>
      <c r="N19" s="211">
        <f t="shared" si="11"/>
        <v>3.6999999999999977E-2</v>
      </c>
      <c r="O19" s="212">
        <f t="shared" si="12"/>
        <v>0.53800000000000003</v>
      </c>
      <c r="P19" s="213">
        <f t="shared" si="13"/>
        <v>-7.2999999999999995E-2</v>
      </c>
      <c r="Q19" s="211">
        <f t="shared" si="14"/>
        <v>0.22699999999999998</v>
      </c>
      <c r="R19" s="211">
        <f t="shared" si="15"/>
        <v>1.1520000000000001</v>
      </c>
      <c r="S19" s="212">
        <f t="shared" si="16"/>
        <v>-0.996</v>
      </c>
      <c r="T19" s="213">
        <f t="shared" si="17"/>
        <v>0.20699999999999999</v>
      </c>
      <c r="U19" s="211">
        <f t="shared" si="18"/>
        <v>0.32200000000000006</v>
      </c>
      <c r="V19" s="211">
        <f t="shared" si="19"/>
        <v>0.76999999999999991</v>
      </c>
      <c r="W19" s="212">
        <f t="shared" si="20"/>
        <v>0.3640000000000001</v>
      </c>
      <c r="X19" s="213">
        <f t="shared" si="21"/>
        <v>0.17799999999999999</v>
      </c>
      <c r="Y19" s="211">
        <f t="shared" si="22"/>
        <v>0.17099999999999999</v>
      </c>
      <c r="Z19" s="211">
        <f t="shared" si="23"/>
        <v>1.071</v>
      </c>
      <c r="AA19" s="212">
        <f t="shared" si="24"/>
        <v>0.24199999999999999</v>
      </c>
      <c r="AB19" s="211">
        <f t="shared" si="25"/>
        <v>0.16300000000000001</v>
      </c>
      <c r="AC19" s="211">
        <f t="shared" si="26"/>
        <v>0.53699999999999992</v>
      </c>
      <c r="AD19" s="211">
        <f t="shared" si="27"/>
        <v>0.4850000000000001</v>
      </c>
      <c r="AE19" s="212">
        <f t="shared" si="28"/>
        <v>-0.35200000000000009</v>
      </c>
      <c r="AF19" s="211">
        <f t="shared" si="29"/>
        <v>0.59099999999999997</v>
      </c>
      <c r="AG19" s="211">
        <f t="shared" si="30"/>
        <v>-0.98099999999999998</v>
      </c>
      <c r="AH19" s="211">
        <f t="shared" si="31"/>
        <v>-2.6110000000000007</v>
      </c>
      <c r="AI19" s="212">
        <f t="shared" si="32"/>
        <v>-0.18599999999999917</v>
      </c>
      <c r="AJ19" s="211">
        <f t="shared" si="33"/>
        <v>-1.3620000000000001</v>
      </c>
      <c r="AK19" s="211">
        <f t="shared" si="34"/>
        <v>-2.0000000000000018E-2</v>
      </c>
      <c r="AL19" s="211">
        <f t="shared" si="35"/>
        <v>10.514999999999999</v>
      </c>
      <c r="AM19" s="212">
        <f t="shared" si="36"/>
        <v>-9.3179999999999996</v>
      </c>
      <c r="AN19" s="211">
        <f t="shared" si="37"/>
        <v>1.417</v>
      </c>
      <c r="AO19" s="211">
        <f t="shared" si="38"/>
        <v>1.4000000000000001</v>
      </c>
      <c r="AP19" s="211">
        <f t="shared" si="39"/>
        <v>1.006</v>
      </c>
      <c r="AQ19" s="212">
        <f t="shared" si="40"/>
        <v>0.59999999999999942</v>
      </c>
      <c r="AR19" s="211">
        <f t="shared" si="41"/>
        <v>3.7429999999999999</v>
      </c>
      <c r="AS19" s="211">
        <f t="shared" si="42"/>
        <v>1.8320000000000003</v>
      </c>
      <c r="AT19" s="211">
        <f t="shared" si="43"/>
        <v>3.8269999999999986</v>
      </c>
      <c r="AU19" s="212">
        <f t="shared" si="44"/>
        <v>-2.4279999999999986</v>
      </c>
      <c r="AV19" s="211">
        <f t="shared" si="45"/>
        <v>4.0339999999999998</v>
      </c>
      <c r="AW19" s="211">
        <f t="shared" si="46"/>
        <v>-2.79</v>
      </c>
      <c r="AX19" s="211">
        <f t="shared" si="47"/>
        <v>4.4170000000000007</v>
      </c>
      <c r="AY19" s="212">
        <f t="shared" si="48"/>
        <v>22.198999999999998</v>
      </c>
      <c r="AZ19" s="211">
        <f t="shared" si="49"/>
        <v>13.071</v>
      </c>
      <c r="BA19" s="211">
        <f t="shared" si="50"/>
        <v>132.191</v>
      </c>
      <c r="BB19" s="211">
        <f t="shared" si="51"/>
        <v>152.803</v>
      </c>
      <c r="BC19" s="212">
        <f t="shared" si="52"/>
        <v>49.788000000000011</v>
      </c>
      <c r="BD19" s="211">
        <f t="shared" si="53"/>
        <v>6.7619999999999996</v>
      </c>
      <c r="BE19" s="211">
        <f>BS!BE66-BS!BD66</f>
        <v>0</v>
      </c>
      <c r="BF19" s="211">
        <f>BS!BF66-BS!BE66</f>
        <v>0</v>
      </c>
      <c r="BG19" s="212">
        <f>BS!BG66-BS!BF66</f>
        <v>0</v>
      </c>
      <c r="BH19" s="211">
        <f>BS!BH66-BS!BG66</f>
        <v>0</v>
      </c>
      <c r="BI19" s="211">
        <f>BS!BI66-BS!BH66</f>
        <v>0</v>
      </c>
      <c r="BJ19" s="211">
        <f>BS!BJ66-BS!BI66</f>
        <v>0</v>
      </c>
      <c r="BK19" s="212">
        <f>BS!BK66-BS!BJ66</f>
        <v>0</v>
      </c>
      <c r="BL19" s="211">
        <f>BS!BL66-BS!BK66</f>
        <v>0</v>
      </c>
      <c r="BM19" s="211">
        <f>BS!BM66-BS!BL66</f>
        <v>0</v>
      </c>
      <c r="BN19" s="211">
        <f>BS!BN66-BS!BM66</f>
        <v>0</v>
      </c>
      <c r="BO19" s="212">
        <f>BS!BO66-BS!BN66</f>
        <v>0</v>
      </c>
      <c r="BP19" s="23"/>
      <c r="BQ19" s="211">
        <f t="shared" si="57"/>
        <v>1.8220000000000001</v>
      </c>
      <c r="BR19" s="211">
        <f t="shared" si="58"/>
        <v>0.78400000000000003</v>
      </c>
      <c r="BS19" s="211">
        <f t="shared" si="59"/>
        <v>0.85299999999999998</v>
      </c>
      <c r="BT19" s="211">
        <f t="shared" si="60"/>
        <v>0.31000000000000005</v>
      </c>
      <c r="BU19" s="211">
        <f t="shared" si="61"/>
        <v>1.663</v>
      </c>
      <c r="BV19" s="213">
        <f t="shared" si="62"/>
        <v>1.6619999999999999</v>
      </c>
      <c r="BW19" s="211">
        <f t="shared" si="63"/>
        <v>0.83299999999999996</v>
      </c>
      <c r="BX19" s="213">
        <f t="shared" si="64"/>
        <v>-3.1869999999999998</v>
      </c>
      <c r="BY19" s="213">
        <f t="shared" si="65"/>
        <v>-0.1850000000000005</v>
      </c>
      <c r="BZ19" s="211">
        <f t="shared" si="66"/>
        <v>4.423</v>
      </c>
      <c r="CA19" s="211">
        <f t="shared" si="67"/>
        <v>6.9740000000000002</v>
      </c>
      <c r="CB19" s="211">
        <f t="shared" si="68"/>
        <v>27.86</v>
      </c>
      <c r="CC19" s="211">
        <f t="shared" si="69"/>
        <v>347.85300000000001</v>
      </c>
      <c r="CD19" s="211">
        <f t="shared" si="70"/>
        <v>6.7619999999999996</v>
      </c>
      <c r="CE19" s="211">
        <f t="shared" si="71"/>
        <v>0</v>
      </c>
      <c r="CF19" s="211">
        <f t="shared" si="72"/>
        <v>0</v>
      </c>
      <c r="CG19" s="23"/>
      <c r="CH19" s="213">
        <f t="shared" si="73"/>
        <v>1.661</v>
      </c>
      <c r="CI19" s="211">
        <f t="shared" si="74"/>
        <v>0.36099999999999999</v>
      </c>
      <c r="CJ19" s="211">
        <f t="shared" si="75"/>
        <v>0.64600000000000013</v>
      </c>
      <c r="CK19" s="211">
        <f t="shared" si="76"/>
        <v>0.59</v>
      </c>
      <c r="CL19" s="211">
        <f t="shared" si="77"/>
        <v>1.6340000000000001</v>
      </c>
      <c r="CM19" s="211">
        <f t="shared" si="78"/>
        <v>1.647</v>
      </c>
      <c r="CN19" s="211">
        <f t="shared" si="79"/>
        <v>1.2609999999999999</v>
      </c>
      <c r="CO19" s="211">
        <f t="shared" si="80"/>
        <v>-5.14</v>
      </c>
      <c r="CP19" s="211">
        <f t="shared" si="81"/>
        <v>2.5939999999999994</v>
      </c>
      <c r="CQ19" s="211">
        <f t="shared" si="82"/>
        <v>6.7489999999999988</v>
      </c>
      <c r="CR19" s="211">
        <f t="shared" si="83"/>
        <v>7.2650000000000006</v>
      </c>
      <c r="CS19" s="211">
        <f t="shared" si="84"/>
        <v>36.896999999999998</v>
      </c>
      <c r="CT19" s="211">
        <f t="shared" si="86"/>
        <v>341.54400000000004</v>
      </c>
      <c r="CU19" s="211">
        <f t="shared" si="87"/>
        <v>0</v>
      </c>
      <c r="CV19" s="212">
        <f t="shared" si="85"/>
        <v>0</v>
      </c>
      <c r="CW19" s="1149"/>
      <c r="DF19" s="1109"/>
    </row>
    <row r="20" spans="1:110" ht="14.25" customHeight="1">
      <c r="A20" s="8"/>
      <c r="B20" s="56" t="str">
        <f t="shared" si="0"/>
        <v>Excess tax benefit - stock options</v>
      </c>
      <c r="C20" s="57"/>
      <c r="D20" s="213">
        <f t="shared" si="1"/>
        <v>0</v>
      </c>
      <c r="E20" s="211">
        <f t="shared" si="2"/>
        <v>0</v>
      </c>
      <c r="F20" s="211">
        <f t="shared" si="3"/>
        <v>0</v>
      </c>
      <c r="G20" s="212">
        <f t="shared" si="4"/>
        <v>50.374000000000002</v>
      </c>
      <c r="H20" s="213">
        <f t="shared" si="5"/>
        <v>0</v>
      </c>
      <c r="I20" s="211">
        <f t="shared" si="6"/>
        <v>-14.736000000000001</v>
      </c>
      <c r="J20" s="211">
        <f t="shared" si="7"/>
        <v>-141.22</v>
      </c>
      <c r="K20" s="212">
        <f t="shared" si="8"/>
        <v>-25.221999999999998</v>
      </c>
      <c r="L20" s="213">
        <f t="shared" si="9"/>
        <v>-6.4669999999999996</v>
      </c>
      <c r="M20" s="211">
        <f t="shared" si="10"/>
        <v>-15.027000000000001</v>
      </c>
      <c r="N20" s="211">
        <f t="shared" si="11"/>
        <v>-3.5590000000000002</v>
      </c>
      <c r="O20" s="212">
        <f t="shared" si="12"/>
        <v>-15.818000000000005</v>
      </c>
      <c r="P20" s="213">
        <f t="shared" si="13"/>
        <v>-6.71</v>
      </c>
      <c r="Q20" s="211">
        <f t="shared" si="14"/>
        <v>-3.1740000000000004</v>
      </c>
      <c r="R20" s="211">
        <f t="shared" si="15"/>
        <v>-3.0829999999999993</v>
      </c>
      <c r="S20" s="212">
        <f t="shared" si="16"/>
        <v>-5.6190000000000007</v>
      </c>
      <c r="T20" s="213">
        <f t="shared" si="17"/>
        <v>0</v>
      </c>
      <c r="U20" s="211">
        <f t="shared" si="18"/>
        <v>-5.0000000000000001E-3</v>
      </c>
      <c r="V20" s="211">
        <f t="shared" si="19"/>
        <v>0</v>
      </c>
      <c r="W20" s="212">
        <f t="shared" si="20"/>
        <v>-1.4999999999999999E-2</v>
      </c>
      <c r="X20" s="213">
        <f t="shared" si="21"/>
        <v>-5.2999999999999999E-2</v>
      </c>
      <c r="Y20" s="211">
        <f t="shared" si="22"/>
        <v>-7.2000000000000008E-2</v>
      </c>
      <c r="Z20" s="211">
        <f t="shared" si="23"/>
        <v>-2.799999999999999E-2</v>
      </c>
      <c r="AA20" s="212">
        <f t="shared" si="24"/>
        <v>-0.16400000000000003</v>
      </c>
      <c r="AB20" s="211">
        <f t="shared" si="25"/>
        <v>-3.6070000000000002</v>
      </c>
      <c r="AC20" s="211">
        <f t="shared" si="26"/>
        <v>-32.407000000000004</v>
      </c>
      <c r="AD20" s="211">
        <f t="shared" si="27"/>
        <v>-1.2819999999999956</v>
      </c>
      <c r="AE20" s="212">
        <f t="shared" si="28"/>
        <v>-7.64</v>
      </c>
      <c r="AF20" s="211">
        <f t="shared" si="29"/>
        <v>-1.8959999999999999</v>
      </c>
      <c r="AG20" s="211">
        <f t="shared" si="30"/>
        <v>-2.6020000000000003</v>
      </c>
      <c r="AH20" s="211">
        <f t="shared" si="31"/>
        <v>-5.0539999999999994</v>
      </c>
      <c r="AI20" s="212">
        <f t="shared" si="32"/>
        <v>-2.6780000000000008</v>
      </c>
      <c r="AJ20" s="211">
        <f t="shared" si="33"/>
        <v>-5.9749999999999996</v>
      </c>
      <c r="AK20" s="211">
        <f t="shared" si="34"/>
        <v>-2.8330000000000002</v>
      </c>
      <c r="AL20" s="211">
        <f t="shared" si="35"/>
        <v>-6.2650000000000006</v>
      </c>
      <c r="AM20" s="212">
        <f t="shared" si="36"/>
        <v>-1.097999999999999</v>
      </c>
      <c r="AN20" s="211">
        <f t="shared" si="37"/>
        <v>-7.6040000000000001</v>
      </c>
      <c r="AO20" s="211">
        <f t="shared" si="38"/>
        <v>-4.4229999999999992</v>
      </c>
      <c r="AP20" s="211">
        <f t="shared" si="39"/>
        <v>-9.3220000000000027</v>
      </c>
      <c r="AQ20" s="212">
        <f t="shared" si="40"/>
        <v>-0.88200000000000056</v>
      </c>
      <c r="AR20" s="211">
        <f t="shared" si="41"/>
        <v>-4.6349999999999998</v>
      </c>
      <c r="AS20" s="211">
        <f t="shared" si="42"/>
        <v>-11.141999999999999</v>
      </c>
      <c r="AT20" s="211">
        <f t="shared" si="43"/>
        <v>-6.3729999999999993</v>
      </c>
      <c r="AU20" s="212">
        <f t="shared" si="44"/>
        <v>-2.8950000000000049</v>
      </c>
      <c r="AV20" s="211">
        <f t="shared" si="45"/>
        <v>-0.98599999999999999</v>
      </c>
      <c r="AW20" s="211">
        <f t="shared" si="46"/>
        <v>-3.2120000000000006</v>
      </c>
      <c r="AX20" s="211">
        <f t="shared" si="47"/>
        <v>-2.9819999999999993</v>
      </c>
      <c r="AY20" s="212">
        <f t="shared" si="48"/>
        <v>-3.2729999999999997</v>
      </c>
      <c r="AZ20" s="211">
        <f t="shared" si="49"/>
        <v>-8.1020000000000003</v>
      </c>
      <c r="BA20" s="211">
        <f t="shared" si="50"/>
        <v>-17.850999999999999</v>
      </c>
      <c r="BB20" s="211">
        <f t="shared" si="51"/>
        <v>-4.282</v>
      </c>
      <c r="BC20" s="212">
        <f t="shared" si="52"/>
        <v>-11.538</v>
      </c>
      <c r="BD20" s="211">
        <v>0</v>
      </c>
      <c r="BE20" s="214">
        <v>0</v>
      </c>
      <c r="BF20" s="214">
        <v>0</v>
      </c>
      <c r="BG20" s="215">
        <v>0</v>
      </c>
      <c r="BH20" s="214">
        <v>0</v>
      </c>
      <c r="BI20" s="214">
        <v>0</v>
      </c>
      <c r="BJ20" s="214">
        <v>0</v>
      </c>
      <c r="BK20" s="215">
        <v>0</v>
      </c>
      <c r="BL20" s="214">
        <v>0</v>
      </c>
      <c r="BM20" s="214">
        <v>0</v>
      </c>
      <c r="BN20" s="214">
        <v>0</v>
      </c>
      <c r="BO20" s="214">
        <v>0</v>
      </c>
      <c r="BP20" s="23"/>
      <c r="BQ20" s="211">
        <f t="shared" si="57"/>
        <v>50.374000000000002</v>
      </c>
      <c r="BR20" s="211">
        <f t="shared" si="58"/>
        <v>-181.178</v>
      </c>
      <c r="BS20" s="211">
        <f t="shared" si="59"/>
        <v>-40.871000000000009</v>
      </c>
      <c r="BT20" s="211">
        <f t="shared" si="60"/>
        <v>-18.585999999999999</v>
      </c>
      <c r="BU20" s="211">
        <f t="shared" si="61"/>
        <v>-0.02</v>
      </c>
      <c r="BV20" s="213">
        <f t="shared" si="62"/>
        <v>-0.31700000000000006</v>
      </c>
      <c r="BW20" s="211">
        <f t="shared" si="63"/>
        <v>-44.936</v>
      </c>
      <c r="BX20" s="213">
        <f t="shared" si="64"/>
        <v>-12.23</v>
      </c>
      <c r="BY20" s="213">
        <f t="shared" si="65"/>
        <v>-16.170999999999999</v>
      </c>
      <c r="BZ20" s="211">
        <f t="shared" si="66"/>
        <v>-22.231000000000005</v>
      </c>
      <c r="CA20" s="211">
        <f t="shared" si="67"/>
        <v>-25.045000000000002</v>
      </c>
      <c r="CB20" s="211">
        <f t="shared" si="68"/>
        <v>-10.452999999999999</v>
      </c>
      <c r="CC20" s="211">
        <f t="shared" si="69"/>
        <v>-41.772999999999996</v>
      </c>
      <c r="CD20" s="211">
        <f t="shared" si="70"/>
        <v>0</v>
      </c>
      <c r="CE20" s="211">
        <f t="shared" si="71"/>
        <v>0</v>
      </c>
      <c r="CF20" s="211">
        <f t="shared" si="72"/>
        <v>0</v>
      </c>
      <c r="CG20" s="23"/>
      <c r="CH20" s="213">
        <f t="shared" si="73"/>
        <v>50.374000000000002</v>
      </c>
      <c r="CI20" s="211">
        <f t="shared" si="74"/>
        <v>-187.64500000000001</v>
      </c>
      <c r="CJ20" s="211">
        <f t="shared" si="75"/>
        <v>-41.114000000000011</v>
      </c>
      <c r="CK20" s="211">
        <f t="shared" si="76"/>
        <v>-11.876000000000001</v>
      </c>
      <c r="CL20" s="211">
        <f t="shared" si="77"/>
        <v>-7.2999999999999995E-2</v>
      </c>
      <c r="CM20" s="211">
        <f t="shared" si="78"/>
        <v>-3.8710000000000004</v>
      </c>
      <c r="CN20" s="211">
        <f t="shared" si="79"/>
        <v>-43.225000000000001</v>
      </c>
      <c r="CO20" s="211">
        <f t="shared" si="80"/>
        <v>-16.308999999999997</v>
      </c>
      <c r="CP20" s="211">
        <f t="shared" si="81"/>
        <v>-17.8</v>
      </c>
      <c r="CQ20" s="211">
        <f t="shared" si="82"/>
        <v>-19.262</v>
      </c>
      <c r="CR20" s="211">
        <f t="shared" si="83"/>
        <v>-21.396000000000004</v>
      </c>
      <c r="CS20" s="211">
        <f t="shared" si="84"/>
        <v>-17.568999999999999</v>
      </c>
      <c r="CT20" s="211">
        <f t="shared" si="86"/>
        <v>-33.670999999999999</v>
      </c>
      <c r="CU20" s="211">
        <f t="shared" si="87"/>
        <v>0</v>
      </c>
      <c r="CV20" s="212">
        <f t="shared" si="85"/>
        <v>0</v>
      </c>
      <c r="CW20" s="1149"/>
      <c r="DF20" s="1109"/>
    </row>
    <row r="21" spans="1:110" ht="14.25" customHeight="1">
      <c r="A21" s="8"/>
      <c r="B21" s="56" t="str">
        <f t="shared" si="0"/>
        <v>Deferred income taxes</v>
      </c>
      <c r="C21" s="57"/>
      <c r="D21" s="213">
        <f t="shared" si="1"/>
        <v>0.77800000000000002</v>
      </c>
      <c r="E21" s="211">
        <f t="shared" si="2"/>
        <v>6.423</v>
      </c>
      <c r="F21" s="211">
        <f t="shared" si="3"/>
        <v>1.7359999999999993</v>
      </c>
      <c r="G21" s="212">
        <f t="shared" si="4"/>
        <v>5.6669999999999998</v>
      </c>
      <c r="H21" s="213">
        <f t="shared" si="5"/>
        <v>-15.625</v>
      </c>
      <c r="I21" s="211">
        <f t="shared" si="6"/>
        <v>-4.7759999999999998</v>
      </c>
      <c r="J21" s="211">
        <f t="shared" si="7"/>
        <v>-11.985000000000003</v>
      </c>
      <c r="K21" s="212">
        <f t="shared" si="8"/>
        <v>3.9320000000000022</v>
      </c>
      <c r="L21" s="213">
        <f t="shared" si="9"/>
        <v>2.4329999999999998</v>
      </c>
      <c r="M21" s="211">
        <f t="shared" si="10"/>
        <v>-7.7509999999999994</v>
      </c>
      <c r="N21" s="211">
        <f t="shared" si="11"/>
        <v>-5.2560000000000002</v>
      </c>
      <c r="O21" s="212">
        <f t="shared" si="12"/>
        <v>7.7240000000000002</v>
      </c>
      <c r="P21" s="213">
        <f t="shared" si="13"/>
        <v>1.7999999999999999E-2</v>
      </c>
      <c r="Q21" s="211">
        <f t="shared" si="14"/>
        <v>-2.8649999999999998</v>
      </c>
      <c r="R21" s="211">
        <f t="shared" si="15"/>
        <v>-4.8129999999999997</v>
      </c>
      <c r="S21" s="212">
        <f t="shared" si="16"/>
        <v>-3.7090000000000001</v>
      </c>
      <c r="T21" s="213">
        <f t="shared" si="17"/>
        <v>-15.925000000000001</v>
      </c>
      <c r="U21" s="211">
        <f t="shared" si="18"/>
        <v>13.991000000000001</v>
      </c>
      <c r="V21" s="211">
        <f t="shared" si="19"/>
        <v>1.7129999999999992</v>
      </c>
      <c r="W21" s="212">
        <f t="shared" si="20"/>
        <v>11.816000000000001</v>
      </c>
      <c r="X21" s="213">
        <f t="shared" si="21"/>
        <v>5.5970000000000004</v>
      </c>
      <c r="Y21" s="211">
        <f t="shared" si="22"/>
        <v>-14.074999999999999</v>
      </c>
      <c r="Z21" s="211">
        <f t="shared" si="23"/>
        <v>-7.7550000000000017</v>
      </c>
      <c r="AA21" s="212">
        <f t="shared" si="24"/>
        <v>6.3670000000000018</v>
      </c>
      <c r="AB21" s="211">
        <f t="shared" si="25"/>
        <v>-2.3050000000000002</v>
      </c>
      <c r="AC21" s="211">
        <f t="shared" si="26"/>
        <v>-9.3339999999999996</v>
      </c>
      <c r="AD21" s="211">
        <f t="shared" si="27"/>
        <v>4.6500000000000004</v>
      </c>
      <c r="AE21" s="212">
        <f t="shared" si="28"/>
        <v>8.6929999999999996</v>
      </c>
      <c r="AF21" s="211">
        <f t="shared" si="29"/>
        <v>3.6230000000000002</v>
      </c>
      <c r="AG21" s="211">
        <f t="shared" si="30"/>
        <v>-7.7620000000000005</v>
      </c>
      <c r="AH21" s="211">
        <f t="shared" si="31"/>
        <v>3.3999999999999808E-2</v>
      </c>
      <c r="AI21" s="212">
        <f t="shared" si="32"/>
        <v>-5.6960000000000006</v>
      </c>
      <c r="AJ21" s="211">
        <f t="shared" si="33"/>
        <v>-9.6349999999999998</v>
      </c>
      <c r="AK21" s="211">
        <f t="shared" si="34"/>
        <v>-0.76699999999999946</v>
      </c>
      <c r="AL21" s="211">
        <f t="shared" si="35"/>
        <v>-0.73900000000000077</v>
      </c>
      <c r="AM21" s="212">
        <f t="shared" si="36"/>
        <v>-6.5580000000000016</v>
      </c>
      <c r="AN21" s="211">
        <f t="shared" si="37"/>
        <v>-2.9929999999999999</v>
      </c>
      <c r="AO21" s="211">
        <f t="shared" si="38"/>
        <v>1.0679999999999998</v>
      </c>
      <c r="AP21" s="211">
        <f t="shared" si="39"/>
        <v>-6.379999999999999</v>
      </c>
      <c r="AQ21" s="212">
        <f t="shared" si="40"/>
        <v>-69.406000000000006</v>
      </c>
      <c r="AR21" s="211">
        <f t="shared" si="41"/>
        <v>-2.915</v>
      </c>
      <c r="AS21" s="211">
        <f t="shared" si="42"/>
        <v>-6.4810000000000008</v>
      </c>
      <c r="AT21" s="211">
        <f t="shared" si="43"/>
        <v>-17.167999999999999</v>
      </c>
      <c r="AU21" s="212">
        <f t="shared" si="44"/>
        <v>-25.65</v>
      </c>
      <c r="AV21" s="211">
        <f t="shared" si="45"/>
        <v>-7.7169999999999996</v>
      </c>
      <c r="AW21" s="211">
        <f t="shared" si="46"/>
        <v>0.5389999999999997</v>
      </c>
      <c r="AX21" s="211">
        <f t="shared" si="47"/>
        <v>12.25</v>
      </c>
      <c r="AY21" s="212">
        <f t="shared" si="48"/>
        <v>3.0520000000000005</v>
      </c>
      <c r="AZ21" s="211">
        <f t="shared" si="49"/>
        <v>-7.0549999999999997</v>
      </c>
      <c r="BA21" s="211">
        <f t="shared" si="50"/>
        <v>-79.97999999999999</v>
      </c>
      <c r="BB21" s="211">
        <f t="shared" si="51"/>
        <v>98.509999999999991</v>
      </c>
      <c r="BC21" s="212">
        <f t="shared" si="52"/>
        <v>-837.34400000000005</v>
      </c>
      <c r="BD21" s="211">
        <f t="shared" si="53"/>
        <v>-691.49599999999998</v>
      </c>
      <c r="BE21" s="214">
        <v>0</v>
      </c>
      <c r="BF21" s="214">
        <v>0</v>
      </c>
      <c r="BG21" s="215">
        <v>0</v>
      </c>
      <c r="BH21" s="214">
        <v>0</v>
      </c>
      <c r="BI21" s="214">
        <v>0</v>
      </c>
      <c r="BJ21" s="214">
        <v>0</v>
      </c>
      <c r="BK21" s="215">
        <v>0</v>
      </c>
      <c r="BL21" s="214">
        <v>0</v>
      </c>
      <c r="BM21" s="214">
        <v>0</v>
      </c>
      <c r="BN21" s="214">
        <v>0</v>
      </c>
      <c r="BO21" s="214">
        <v>0</v>
      </c>
      <c r="BP21" s="23"/>
      <c r="BQ21" s="211">
        <f t="shared" si="57"/>
        <v>14.603999999999999</v>
      </c>
      <c r="BR21" s="211">
        <f t="shared" si="58"/>
        <v>-28.454000000000001</v>
      </c>
      <c r="BS21" s="211">
        <f t="shared" si="59"/>
        <v>-2.8499999999999996</v>
      </c>
      <c r="BT21" s="211">
        <f t="shared" si="60"/>
        <v>-11.369</v>
      </c>
      <c r="BU21" s="211">
        <f t="shared" si="61"/>
        <v>11.595000000000001</v>
      </c>
      <c r="BV21" s="213">
        <f t="shared" si="62"/>
        <v>-9.8659999999999997</v>
      </c>
      <c r="BW21" s="211">
        <f t="shared" si="63"/>
        <v>1.7040000000000006</v>
      </c>
      <c r="BX21" s="213">
        <f t="shared" si="64"/>
        <v>-9.8010000000000019</v>
      </c>
      <c r="BY21" s="213">
        <f t="shared" si="65"/>
        <v>-17.699000000000002</v>
      </c>
      <c r="BZ21" s="211">
        <f t="shared" si="66"/>
        <v>-77.711000000000013</v>
      </c>
      <c r="CA21" s="211">
        <f t="shared" si="67"/>
        <v>-52.213999999999999</v>
      </c>
      <c r="CB21" s="211">
        <f t="shared" si="68"/>
        <v>8.1240000000000006</v>
      </c>
      <c r="CC21" s="211">
        <f t="shared" si="69"/>
        <v>-825.86900000000003</v>
      </c>
      <c r="CD21" s="211">
        <f t="shared" si="70"/>
        <v>-691.49599999999998</v>
      </c>
      <c r="CE21" s="211">
        <f t="shared" si="71"/>
        <v>0</v>
      </c>
      <c r="CF21" s="211">
        <f t="shared" si="72"/>
        <v>0</v>
      </c>
      <c r="CG21" s="23"/>
      <c r="CH21" s="213">
        <f t="shared" si="73"/>
        <v>-1.7990000000000013</v>
      </c>
      <c r="CI21" s="211">
        <f t="shared" si="74"/>
        <v>-10.396000000000001</v>
      </c>
      <c r="CJ21" s="211">
        <f t="shared" si="75"/>
        <v>-5.2649999999999997</v>
      </c>
      <c r="CK21" s="211">
        <f t="shared" si="76"/>
        <v>-27.311999999999998</v>
      </c>
      <c r="CL21" s="211">
        <f t="shared" si="77"/>
        <v>33.117000000000004</v>
      </c>
      <c r="CM21" s="211">
        <f t="shared" si="78"/>
        <v>-17.768000000000001</v>
      </c>
      <c r="CN21" s="211">
        <f t="shared" si="79"/>
        <v>7.6320000000000006</v>
      </c>
      <c r="CO21" s="211">
        <f t="shared" si="80"/>
        <v>-23.059000000000001</v>
      </c>
      <c r="CP21" s="211">
        <f t="shared" si="81"/>
        <v>-11.057000000000002</v>
      </c>
      <c r="CQ21" s="211">
        <f t="shared" si="82"/>
        <v>-77.63300000000001</v>
      </c>
      <c r="CR21" s="211">
        <f t="shared" si="83"/>
        <v>-57.015999999999998</v>
      </c>
      <c r="CS21" s="211">
        <f t="shared" si="84"/>
        <v>8.7860000000000014</v>
      </c>
      <c r="CT21" s="211">
        <f t="shared" si="86"/>
        <v>-1510.31</v>
      </c>
      <c r="CU21" s="211">
        <f t="shared" si="87"/>
        <v>0</v>
      </c>
      <c r="CV21" s="212">
        <f t="shared" si="85"/>
        <v>0</v>
      </c>
      <c r="CW21" s="1149"/>
      <c r="DF21" s="1109"/>
    </row>
    <row r="22" spans="1:110" ht="14.25" customHeight="1">
      <c r="A22" s="8"/>
      <c r="B22" s="31" t="str">
        <f t="shared" si="0"/>
        <v>Changes in current assets and liabilities:</v>
      </c>
      <c r="C22" s="32"/>
      <c r="D22" s="213"/>
      <c r="E22" s="211"/>
      <c r="F22" s="211"/>
      <c r="G22" s="212"/>
      <c r="H22" s="213"/>
      <c r="I22" s="211"/>
      <c r="J22" s="211"/>
      <c r="K22" s="212"/>
      <c r="L22" s="213"/>
      <c r="M22" s="211"/>
      <c r="N22" s="211"/>
      <c r="O22" s="212"/>
      <c r="P22" s="213"/>
      <c r="Q22" s="211"/>
      <c r="R22" s="211"/>
      <c r="S22" s="212"/>
      <c r="T22" s="213"/>
      <c r="U22" s="211"/>
      <c r="V22" s="211"/>
      <c r="W22" s="212"/>
      <c r="X22" s="213"/>
      <c r="Y22" s="211"/>
      <c r="Z22" s="211"/>
      <c r="AA22" s="212"/>
      <c r="AB22" s="211"/>
      <c r="AC22" s="211"/>
      <c r="AD22" s="211"/>
      <c r="AE22" s="212"/>
      <c r="AF22" s="211"/>
      <c r="AG22" s="211"/>
      <c r="AH22" s="211"/>
      <c r="AI22" s="212"/>
      <c r="AJ22" s="211"/>
      <c r="AK22" s="211"/>
      <c r="AL22" s="211"/>
      <c r="AM22" s="212"/>
      <c r="AN22" s="211"/>
      <c r="AO22" s="211"/>
      <c r="AP22" s="211"/>
      <c r="AQ22" s="212"/>
      <c r="AR22" s="211"/>
      <c r="AS22" s="211"/>
      <c r="AT22" s="211"/>
      <c r="AU22" s="212"/>
      <c r="AV22" s="211"/>
      <c r="AW22" s="211"/>
      <c r="AX22" s="211"/>
      <c r="AY22" s="212"/>
      <c r="AZ22" s="211"/>
      <c r="BA22" s="211"/>
      <c r="BB22" s="211"/>
      <c r="BC22" s="212"/>
      <c r="BD22" s="211"/>
      <c r="BE22" s="214"/>
      <c r="BF22" s="214"/>
      <c r="BG22" s="215"/>
      <c r="BH22" s="214"/>
      <c r="BI22" s="214"/>
      <c r="BJ22" s="214"/>
      <c r="BK22" s="215"/>
      <c r="BL22" s="214"/>
      <c r="BM22" s="214"/>
      <c r="BN22" s="214"/>
      <c r="BO22" s="214"/>
      <c r="BP22" s="23"/>
      <c r="BQ22" s="211"/>
      <c r="BR22" s="211"/>
      <c r="BS22" s="211"/>
      <c r="BT22" s="211"/>
      <c r="BU22" s="211"/>
      <c r="BV22" s="213"/>
      <c r="BW22" s="211"/>
      <c r="BX22" s="213"/>
      <c r="BY22" s="213"/>
      <c r="BZ22" s="211"/>
      <c r="CA22" s="211"/>
      <c r="CB22" s="211"/>
      <c r="CC22" s="211"/>
      <c r="CD22" s="211"/>
      <c r="CE22" s="211"/>
      <c r="CF22" s="211"/>
      <c r="CG22" s="23"/>
      <c r="CH22" s="213"/>
      <c r="CI22" s="211"/>
      <c r="CJ22" s="211"/>
      <c r="CK22" s="211"/>
      <c r="CL22" s="211"/>
      <c r="CM22" s="211"/>
      <c r="CN22" s="211"/>
      <c r="CO22" s="211"/>
      <c r="CP22" s="211"/>
      <c r="CQ22" s="211"/>
      <c r="CR22" s="211"/>
      <c r="CS22" s="211"/>
      <c r="CT22" s="211"/>
      <c r="CU22" s="211"/>
      <c r="CV22" s="212"/>
      <c r="CW22" s="1149"/>
      <c r="DF22" s="1109"/>
    </row>
    <row r="23" spans="1:110" ht="14.25" customHeight="1">
      <c r="A23" s="8"/>
      <c r="B23" s="56" t="str">
        <f t="shared" si="0"/>
        <v>Accounts receivable</v>
      </c>
      <c r="C23" s="57"/>
      <c r="D23" s="213">
        <f t="shared" ref="D23:D30" si="88">D125</f>
        <v>0</v>
      </c>
      <c r="E23" s="211">
        <f t="shared" ref="E23:E30" si="89">E125-D23</f>
        <v>0</v>
      </c>
      <c r="F23" s="211">
        <f t="shared" ref="F23:F30" si="90">F125-E23-D23</f>
        <v>0</v>
      </c>
      <c r="G23" s="212">
        <f t="shared" ref="G23:G30" si="91">G125-F23-E23-D23</f>
        <v>5.298</v>
      </c>
      <c r="H23" s="213">
        <f t="shared" ref="H23:H30" si="92">H125</f>
        <v>0</v>
      </c>
      <c r="I23" s="211">
        <f t="shared" ref="I23:I30" si="93">I125-H23</f>
        <v>0</v>
      </c>
      <c r="J23" s="211">
        <f t="shared" ref="J23:J30" si="94">J125-I23-H23</f>
        <v>0</v>
      </c>
      <c r="K23" s="212">
        <f t="shared" ref="K23:K30" si="95">K125-J23-I23-H23</f>
        <v>-6.7050000000000001</v>
      </c>
      <c r="L23" s="213">
        <f t="shared" ref="L23:L30" si="96">L125</f>
        <v>0</v>
      </c>
      <c r="M23" s="211">
        <f t="shared" ref="M23:M30" si="97">M125-L23</f>
        <v>0</v>
      </c>
      <c r="N23" s="211">
        <f t="shared" ref="N23:N30" si="98">N125-M23-L23</f>
        <v>0</v>
      </c>
      <c r="O23" s="212">
        <f t="shared" ref="O23:O30" si="99">O125-N23-M23-L23</f>
        <v>-27.010999999999999</v>
      </c>
      <c r="P23" s="213">
        <f t="shared" ref="P23:P30" si="100">P125</f>
        <v>0</v>
      </c>
      <c r="Q23" s="211">
        <f t="shared" ref="Q23:Q30" si="101">Q125-P23</f>
        <v>0</v>
      </c>
      <c r="R23" s="211">
        <f t="shared" ref="R23:R30" si="102">R125-Q23-P23</f>
        <v>0</v>
      </c>
      <c r="S23" s="212">
        <f t="shared" ref="S23:S30" si="103">S125-R23-Q23-P23</f>
        <v>48.902999999999999</v>
      </c>
      <c r="T23" s="213">
        <f t="shared" ref="T23:T30" si="104">T125</f>
        <v>0</v>
      </c>
      <c r="U23" s="211">
        <f t="shared" ref="U23:U30" si="105">U125-T23</f>
        <v>0</v>
      </c>
      <c r="V23" s="211">
        <f t="shared" ref="V23:V30" si="106">V125-U23-T23</f>
        <v>0</v>
      </c>
      <c r="W23" s="212">
        <f t="shared" ref="W23:W30" si="107">W125-V23-U23-T23</f>
        <v>16.561</v>
      </c>
      <c r="X23" s="213">
        <f t="shared" ref="X23:X30" si="108">X125</f>
        <v>0</v>
      </c>
      <c r="Y23" s="211">
        <f t="shared" ref="Y23:Y30" si="109">Y125-X23</f>
        <v>0</v>
      </c>
      <c r="Z23" s="211">
        <f t="shared" ref="Z23:Z30" si="110">Z125-Y23-X23</f>
        <v>0</v>
      </c>
      <c r="AA23" s="212">
        <f t="shared" ref="AA23:AA30" si="111">AA125-Z23-Y23-X23</f>
        <v>-82.38</v>
      </c>
      <c r="AB23" s="211">
        <f t="shared" ref="AB23:AB30" si="112">AB125</f>
        <v>0</v>
      </c>
      <c r="AC23" s="211">
        <f t="shared" ref="AC23:AC30" si="113">AC125-AB23</f>
        <v>0</v>
      </c>
      <c r="AD23" s="211">
        <f t="shared" ref="AD23:AD30" si="114">AD125-AC23-AB23</f>
        <v>0</v>
      </c>
      <c r="AE23" s="212">
        <f t="shared" ref="AE23:AE30" si="115">AE125-AD23-AC23-AB23</f>
        <v>40.024999999999999</v>
      </c>
      <c r="AF23" s="211">
        <f t="shared" ref="AF23:AF30" si="116">AF125</f>
        <v>0</v>
      </c>
      <c r="AG23" s="211">
        <f t="shared" ref="AG23:AG30" si="117">AG125-AF23</f>
        <v>0</v>
      </c>
      <c r="AH23" s="211">
        <f t="shared" ref="AH23:AH30" si="118">AH125-AG23-AF23</f>
        <v>0</v>
      </c>
      <c r="AI23" s="212">
        <f t="shared" ref="AI23:AI30" si="119">AI125-AH23-AG23-AF23</f>
        <v>0</v>
      </c>
      <c r="AJ23" s="211">
        <f t="shared" ref="AJ23:AJ30" si="120">AJ125</f>
        <v>0</v>
      </c>
      <c r="AK23" s="211">
        <f t="shared" ref="AK23:AK30" si="121">AK125-AJ23</f>
        <v>0</v>
      </c>
      <c r="AL23" s="211">
        <f t="shared" ref="AL23:AL30" si="122">AL125-AK23-AJ23</f>
        <v>0</v>
      </c>
      <c r="AM23" s="212">
        <f t="shared" ref="AM23:AM30" si="123">AM125-AL23-AK23-AJ23</f>
        <v>0</v>
      </c>
      <c r="AN23" s="211">
        <f t="shared" ref="AN23:AN30" si="124">AN125</f>
        <v>0</v>
      </c>
      <c r="AO23" s="211">
        <f t="shared" ref="AO23:AO30" si="125">AO125-AN23</f>
        <v>0</v>
      </c>
      <c r="AP23" s="211">
        <f t="shared" ref="AP23:AP30" si="126">AP125-AO23-AN23</f>
        <v>0</v>
      </c>
      <c r="AQ23" s="212">
        <f t="shared" ref="AQ23:AQ30" si="127">AQ125-AP23-AO23-AN23</f>
        <v>0</v>
      </c>
      <c r="AR23" s="211">
        <f t="shared" ref="AR23:AR30" si="128">AR125</f>
        <v>0</v>
      </c>
      <c r="AS23" s="211">
        <f t="shared" ref="AS23:AS30" si="129">AS125-AR23</f>
        <v>0</v>
      </c>
      <c r="AT23" s="211">
        <f t="shared" ref="AT23:AT30" si="130">AT125-AS23-AR23</f>
        <v>0</v>
      </c>
      <c r="AU23" s="212">
        <f t="shared" ref="AU23:AU30" si="131">AU125-AT23-AS23-AR23</f>
        <v>0</v>
      </c>
      <c r="AV23" s="211">
        <f t="shared" ref="AV23:AV30" si="132">AV125</f>
        <v>0</v>
      </c>
      <c r="AW23" s="211">
        <f t="shared" ref="AW23:AW30" si="133">AW125-AV23</f>
        <v>0</v>
      </c>
      <c r="AX23" s="211">
        <f t="shared" ref="AX23:AX30" si="134">AX125-AW23-AV23</f>
        <v>0</v>
      </c>
      <c r="AY23" s="212">
        <f t="shared" ref="AY23:AY30" si="135">AY125-AX23-AW23-AV23</f>
        <v>0</v>
      </c>
      <c r="AZ23" s="211">
        <f t="shared" ref="AZ23:AZ30" si="136">AZ125</f>
        <v>0</v>
      </c>
      <c r="BA23" s="211">
        <f t="shared" ref="BA23:BA30" si="137">BA125-AZ23</f>
        <v>0</v>
      </c>
      <c r="BB23" s="211">
        <f t="shared" ref="BB23:BB30" si="138">BB125-BA23-AZ23</f>
        <v>0</v>
      </c>
      <c r="BC23" s="212">
        <f t="shared" ref="BC23:BC30" si="139">BC125-BB23-BA23-AZ23</f>
        <v>0</v>
      </c>
      <c r="BD23" s="211">
        <f t="shared" ref="BD23:BD30" si="140">BD125</f>
        <v>0</v>
      </c>
      <c r="BE23" s="1135">
        <f>BS!BD13-BS!BE13</f>
        <v>22.550270967122401</v>
      </c>
      <c r="BF23" s="1135">
        <f>BS!BE13-BS!BF13</f>
        <v>-20.150661247324365</v>
      </c>
      <c r="BG23" s="1136">
        <f>BS!BF13-BS!BG13</f>
        <v>-23.350627142408712</v>
      </c>
      <c r="BH23" s="1135">
        <f>BS!BG13-BS!BH13</f>
        <v>22.604239628428672</v>
      </c>
      <c r="BI23" s="1135">
        <f>BS!BH13-BS!BI13</f>
        <v>-32.373837642695435</v>
      </c>
      <c r="BJ23" s="1135">
        <f>BS!BI13-BS!BJ13</f>
        <v>-27.153924975861969</v>
      </c>
      <c r="BK23" s="1136">
        <f>BS!BJ13-BS!BK13</f>
        <v>-31.998251896342936</v>
      </c>
      <c r="BL23" s="1135">
        <f>BS!BK13-BS!BL13</f>
        <v>41.555492324360785</v>
      </c>
      <c r="BM23" s="1135">
        <f>BS!BL13-BS!BM13</f>
        <v>-32.079521721346168</v>
      </c>
      <c r="BN23" s="1135">
        <f>BS!BM13-BS!BN13</f>
        <v>-24.932335802879152</v>
      </c>
      <c r="BO23" s="1136">
        <f>BS!BN13-BS!BO13</f>
        <v>-28.939440061051982</v>
      </c>
      <c r="BP23" s="23"/>
      <c r="BQ23" s="211">
        <f t="shared" ref="BQ23:BQ30" si="141">SUM(D23:G23)</f>
        <v>5.298</v>
      </c>
      <c r="BR23" s="211">
        <f t="shared" ref="BR23:BR30" si="142">SUM(H23:K23)</f>
        <v>-6.7050000000000001</v>
      </c>
      <c r="BS23" s="211">
        <f t="shared" ref="BS23:BS30" si="143">SUM(L23:O23)</f>
        <v>-27.010999999999999</v>
      </c>
      <c r="BT23" s="211">
        <f t="shared" ref="BT23:BT30" si="144">SUM(P23:S23)</f>
        <v>48.902999999999999</v>
      </c>
      <c r="BU23" s="211">
        <f t="shared" ref="BU23:BU30" si="145">SUM(T23:W23)</f>
        <v>16.561</v>
      </c>
      <c r="BV23" s="213">
        <f t="shared" ref="BV23:BV30" si="146">SUM(X23:AA23)</f>
        <v>-82.38</v>
      </c>
      <c r="BW23" s="211">
        <f t="shared" ref="BW23:BW30" si="147">SUM(AB23:AE23)</f>
        <v>40.024999999999999</v>
      </c>
      <c r="BX23" s="213">
        <f t="shared" ref="BX23:BX30" si="148">SUM(AF23:AI23)</f>
        <v>0</v>
      </c>
      <c r="BY23" s="213">
        <f t="shared" ref="BY23:BY30" si="149">SUM(AJ23:AM23)</f>
        <v>0</v>
      </c>
      <c r="BZ23" s="211">
        <f t="shared" ref="BZ23:BZ30" si="150">SUM(AN23:AQ23)</f>
        <v>0</v>
      </c>
      <c r="CA23" s="211">
        <f t="shared" ref="CA23:CA30" si="151">SUM(AR23:AU23)</f>
        <v>0</v>
      </c>
      <c r="CB23" s="211">
        <f t="shared" ref="CB23:CB30" si="152">SUM(AV23:AY23)</f>
        <v>0</v>
      </c>
      <c r="CC23" s="211">
        <f t="shared" ref="CC23:CC30" si="153">SUM(AZ23:BC23)</f>
        <v>0</v>
      </c>
      <c r="CD23" s="211">
        <f t="shared" ref="CD23:CD30" si="154">SUM(BD23:BG23)</f>
        <v>-20.951017422610676</v>
      </c>
      <c r="CE23" s="211">
        <f t="shared" ref="CE23:CE30" si="155">SUM(BH23:BK23)</f>
        <v>-68.921774886471667</v>
      </c>
      <c r="CF23" s="211">
        <f t="shared" ref="CF23:CF30" si="156">SUM(BL23:BO23)</f>
        <v>-44.395805260916518</v>
      </c>
      <c r="CG23" s="23"/>
      <c r="CH23" s="213">
        <f t="shared" ref="CH23:CH30" si="157">SUM(E23:H23)</f>
        <v>5.298</v>
      </c>
      <c r="CI23" s="211">
        <f t="shared" ref="CI23:CI30" si="158">SUM(I23:L23)</f>
        <v>-6.7050000000000001</v>
      </c>
      <c r="CJ23" s="211">
        <f t="shared" ref="CJ23:CJ30" si="159">SUM(M23:P23)</f>
        <v>-27.010999999999999</v>
      </c>
      <c r="CK23" s="211">
        <f t="shared" ref="CK23:CK30" si="160">SUM(Q23:T23)</f>
        <v>48.902999999999999</v>
      </c>
      <c r="CL23" s="211">
        <f t="shared" ref="CL23:CL30" si="161">SUM(U23:X23)</f>
        <v>16.561</v>
      </c>
      <c r="CM23" s="211">
        <f t="shared" ref="CM23:CM30" si="162">SUM(Y23:AB23)</f>
        <v>-82.38</v>
      </c>
      <c r="CN23" s="211">
        <f t="shared" ref="CN23:CN30" si="163">SUM(AC23:AF23)</f>
        <v>40.024999999999999</v>
      </c>
      <c r="CO23" s="211">
        <f t="shared" ref="CO23:CO30" si="164">SUM(AG23:AJ23)</f>
        <v>0</v>
      </c>
      <c r="CP23" s="211">
        <f t="shared" ref="CP23:CP30" si="165">SUM(AK23:AN23)</f>
        <v>0</v>
      </c>
      <c r="CQ23" s="211">
        <f t="shared" ref="CQ23:CQ30" si="166">SUM(AO23:AR23)</f>
        <v>0</v>
      </c>
      <c r="CR23" s="211">
        <f t="shared" ref="CR23:CR30" si="167">SUM(AS23:AV23)</f>
        <v>0</v>
      </c>
      <c r="CS23" s="211">
        <f t="shared" ref="CS23:CS30" si="168">SUM(AW23:AZ23)</f>
        <v>0</v>
      </c>
      <c r="CT23" s="211">
        <f t="shared" si="86"/>
        <v>0</v>
      </c>
      <c r="CU23" s="211">
        <f t="shared" ref="CU23:CU30" si="169">SUM(BE23:BH23)</f>
        <v>1.6532222058179968</v>
      </c>
      <c r="CV23" s="212">
        <f t="shared" ref="CV23:CV30" si="170">SUM(BI23:BL23)</f>
        <v>-49.970522190539555</v>
      </c>
      <c r="CW23" s="1149"/>
      <c r="DF23" s="1109"/>
    </row>
    <row r="24" spans="1:110" ht="14.25" customHeight="1">
      <c r="A24" s="8"/>
      <c r="B24" s="56" t="str">
        <f t="shared" si="0"/>
        <v>Inventory</v>
      </c>
      <c r="C24" s="57"/>
      <c r="D24" s="213">
        <f t="shared" si="88"/>
        <v>0</v>
      </c>
      <c r="E24" s="211">
        <f t="shared" si="89"/>
        <v>0</v>
      </c>
      <c r="F24" s="211">
        <f t="shared" si="90"/>
        <v>0</v>
      </c>
      <c r="G24" s="212">
        <f t="shared" si="91"/>
        <v>22.797000000000001</v>
      </c>
      <c r="H24" s="213">
        <f t="shared" si="92"/>
        <v>0</v>
      </c>
      <c r="I24" s="211">
        <f t="shared" si="93"/>
        <v>0</v>
      </c>
      <c r="J24" s="211">
        <f t="shared" si="94"/>
        <v>0</v>
      </c>
      <c r="K24" s="212">
        <f t="shared" si="95"/>
        <v>-52.042999999999999</v>
      </c>
      <c r="L24" s="213">
        <f t="shared" si="96"/>
        <v>0</v>
      </c>
      <c r="M24" s="211">
        <f t="shared" si="97"/>
        <v>0</v>
      </c>
      <c r="N24" s="211">
        <f t="shared" si="98"/>
        <v>0</v>
      </c>
      <c r="O24" s="212">
        <f t="shared" si="99"/>
        <v>16.548999999999999</v>
      </c>
      <c r="P24" s="213">
        <f t="shared" si="100"/>
        <v>0</v>
      </c>
      <c r="Q24" s="211">
        <f t="shared" si="101"/>
        <v>0</v>
      </c>
      <c r="R24" s="211">
        <f t="shared" si="102"/>
        <v>0</v>
      </c>
      <c r="S24" s="212">
        <f t="shared" si="103"/>
        <v>16.783999999999999</v>
      </c>
      <c r="T24" s="213">
        <f t="shared" si="104"/>
        <v>0</v>
      </c>
      <c r="U24" s="211">
        <f t="shared" si="105"/>
        <v>0</v>
      </c>
      <c r="V24" s="211">
        <f t="shared" si="106"/>
        <v>0</v>
      </c>
      <c r="W24" s="212">
        <f t="shared" si="107"/>
        <v>67.346999999999994</v>
      </c>
      <c r="X24" s="213">
        <f t="shared" si="108"/>
        <v>0</v>
      </c>
      <c r="Y24" s="211">
        <f t="shared" si="109"/>
        <v>0</v>
      </c>
      <c r="Z24" s="211">
        <f t="shared" si="110"/>
        <v>0</v>
      </c>
      <c r="AA24" s="212">
        <f t="shared" si="111"/>
        <v>-24.274000000000001</v>
      </c>
      <c r="AB24" s="211">
        <f t="shared" si="112"/>
        <v>0</v>
      </c>
      <c r="AC24" s="211">
        <f t="shared" si="113"/>
        <v>0</v>
      </c>
      <c r="AD24" s="211">
        <f t="shared" si="114"/>
        <v>0</v>
      </c>
      <c r="AE24" s="212">
        <f t="shared" si="115"/>
        <v>-17.603000000000002</v>
      </c>
      <c r="AF24" s="211">
        <f t="shared" si="116"/>
        <v>0</v>
      </c>
      <c r="AG24" s="211">
        <f t="shared" si="117"/>
        <v>0</v>
      </c>
      <c r="AH24" s="211">
        <f t="shared" si="118"/>
        <v>0</v>
      </c>
      <c r="AI24" s="212">
        <f t="shared" si="119"/>
        <v>0</v>
      </c>
      <c r="AJ24" s="211">
        <f t="shared" si="120"/>
        <v>0</v>
      </c>
      <c r="AK24" s="211">
        <f t="shared" si="121"/>
        <v>0</v>
      </c>
      <c r="AL24" s="211">
        <f t="shared" si="122"/>
        <v>0</v>
      </c>
      <c r="AM24" s="212">
        <f t="shared" si="123"/>
        <v>0</v>
      </c>
      <c r="AN24" s="211">
        <f t="shared" si="124"/>
        <v>0</v>
      </c>
      <c r="AO24" s="211">
        <f t="shared" si="125"/>
        <v>0</v>
      </c>
      <c r="AP24" s="211">
        <f t="shared" si="126"/>
        <v>0</v>
      </c>
      <c r="AQ24" s="212">
        <f t="shared" si="127"/>
        <v>0</v>
      </c>
      <c r="AR24" s="211">
        <f t="shared" si="128"/>
        <v>0</v>
      </c>
      <c r="AS24" s="211">
        <f t="shared" si="129"/>
        <v>0</v>
      </c>
      <c r="AT24" s="211">
        <f t="shared" si="130"/>
        <v>0</v>
      </c>
      <c r="AU24" s="212">
        <f t="shared" si="131"/>
        <v>0</v>
      </c>
      <c r="AV24" s="211">
        <f t="shared" si="132"/>
        <v>0</v>
      </c>
      <c r="AW24" s="211">
        <f t="shared" si="133"/>
        <v>0</v>
      </c>
      <c r="AX24" s="211">
        <f t="shared" si="134"/>
        <v>0</v>
      </c>
      <c r="AY24" s="212">
        <f t="shared" si="135"/>
        <v>0</v>
      </c>
      <c r="AZ24" s="211">
        <f t="shared" si="136"/>
        <v>0</v>
      </c>
      <c r="BA24" s="211">
        <f t="shared" si="137"/>
        <v>0</v>
      </c>
      <c r="BB24" s="211">
        <f t="shared" si="138"/>
        <v>0</v>
      </c>
      <c r="BC24" s="212">
        <f t="shared" si="139"/>
        <v>0</v>
      </c>
      <c r="BD24" s="211">
        <f t="shared" si="140"/>
        <v>0</v>
      </c>
      <c r="BE24" s="1135">
        <f>BS!BD14-BS!BE14</f>
        <v>25.957915031627863</v>
      </c>
      <c r="BF24" s="1135">
        <f>BS!BE14-BS!BF14</f>
        <v>35.291164595780117</v>
      </c>
      <c r="BG24" s="1136">
        <f>BS!BF14-BS!BG14</f>
        <v>-8.8891255126813462</v>
      </c>
      <c r="BH24" s="1135">
        <f>BS!BG14-BS!BH14</f>
        <v>7.7774268300219092</v>
      </c>
      <c r="BI24" s="1135">
        <f>BS!BH14-BS!BI14</f>
        <v>-9.8797720890432288</v>
      </c>
      <c r="BJ24" s="1135">
        <f>BS!BI14-BS!BJ14</f>
        <v>-7.7059898762240095</v>
      </c>
      <c r="BK24" s="1136">
        <f>BS!BJ14-BS!BK14</f>
        <v>-18.599386595058945</v>
      </c>
      <c r="BL24" s="1135">
        <f>BS!BK14-BS!BL14</f>
        <v>9.2245170091883892</v>
      </c>
      <c r="BM24" s="1135">
        <f>BS!BL14-BS!BM14</f>
        <v>-9.9722497563770958</v>
      </c>
      <c r="BN24" s="1135">
        <f>BS!BM14-BS!BN14</f>
        <v>-6.9228824680948264</v>
      </c>
      <c r="BO24" s="1136">
        <f>BS!BN14-BS!BO14</f>
        <v>-17.600275209589086</v>
      </c>
      <c r="BP24" s="23"/>
      <c r="BQ24" s="211">
        <f t="shared" si="141"/>
        <v>22.797000000000001</v>
      </c>
      <c r="BR24" s="211">
        <f t="shared" si="142"/>
        <v>-52.042999999999999</v>
      </c>
      <c r="BS24" s="211">
        <f t="shared" si="143"/>
        <v>16.548999999999999</v>
      </c>
      <c r="BT24" s="211">
        <f t="shared" si="144"/>
        <v>16.783999999999999</v>
      </c>
      <c r="BU24" s="211">
        <f t="shared" si="145"/>
        <v>67.346999999999994</v>
      </c>
      <c r="BV24" s="213">
        <f t="shared" si="146"/>
        <v>-24.274000000000001</v>
      </c>
      <c r="BW24" s="211">
        <f t="shared" si="147"/>
        <v>-17.603000000000002</v>
      </c>
      <c r="BX24" s="213">
        <f t="shared" si="148"/>
        <v>0</v>
      </c>
      <c r="BY24" s="213">
        <f t="shared" si="149"/>
        <v>0</v>
      </c>
      <c r="BZ24" s="211">
        <f t="shared" si="150"/>
        <v>0</v>
      </c>
      <c r="CA24" s="211">
        <f t="shared" si="151"/>
        <v>0</v>
      </c>
      <c r="CB24" s="211">
        <f t="shared" si="152"/>
        <v>0</v>
      </c>
      <c r="CC24" s="211">
        <f t="shared" si="153"/>
        <v>0</v>
      </c>
      <c r="CD24" s="211">
        <f t="shared" si="154"/>
        <v>52.359954114726634</v>
      </c>
      <c r="CE24" s="211">
        <f t="shared" si="155"/>
        <v>-28.407721730304274</v>
      </c>
      <c r="CF24" s="211">
        <f t="shared" si="156"/>
        <v>-25.270890424872618</v>
      </c>
      <c r="CG24" s="23"/>
      <c r="CH24" s="213">
        <f t="shared" si="157"/>
        <v>22.797000000000001</v>
      </c>
      <c r="CI24" s="211">
        <f t="shared" si="158"/>
        <v>-52.042999999999999</v>
      </c>
      <c r="CJ24" s="211">
        <f t="shared" si="159"/>
        <v>16.548999999999999</v>
      </c>
      <c r="CK24" s="211">
        <f t="shared" si="160"/>
        <v>16.783999999999999</v>
      </c>
      <c r="CL24" s="211">
        <f t="shared" si="161"/>
        <v>67.346999999999994</v>
      </c>
      <c r="CM24" s="211">
        <f t="shared" si="162"/>
        <v>-24.274000000000001</v>
      </c>
      <c r="CN24" s="211">
        <f t="shared" si="163"/>
        <v>-17.603000000000002</v>
      </c>
      <c r="CO24" s="211">
        <f t="shared" si="164"/>
        <v>0</v>
      </c>
      <c r="CP24" s="211">
        <f t="shared" si="165"/>
        <v>0</v>
      </c>
      <c r="CQ24" s="211">
        <f t="shared" si="166"/>
        <v>0</v>
      </c>
      <c r="CR24" s="211">
        <f t="shared" si="167"/>
        <v>0</v>
      </c>
      <c r="CS24" s="211">
        <f t="shared" si="168"/>
        <v>0</v>
      </c>
      <c r="CT24" s="211">
        <f t="shared" si="86"/>
        <v>0</v>
      </c>
      <c r="CU24" s="211">
        <f t="shared" si="169"/>
        <v>60.137380944748543</v>
      </c>
      <c r="CV24" s="212">
        <f t="shared" si="170"/>
        <v>-26.960631551137794</v>
      </c>
      <c r="CW24" s="1149"/>
      <c r="DF24" s="1109"/>
    </row>
    <row r="25" spans="1:110" ht="14.25" customHeight="1">
      <c r="A25" s="8"/>
      <c r="B25" s="56" t="str">
        <f t="shared" si="0"/>
        <v>Prepaid expenses and other assets</v>
      </c>
      <c r="C25" s="57"/>
      <c r="D25" s="213">
        <f t="shared" si="88"/>
        <v>0</v>
      </c>
      <c r="E25" s="211">
        <f t="shared" si="89"/>
        <v>0</v>
      </c>
      <c r="F25" s="211">
        <f t="shared" si="90"/>
        <v>0</v>
      </c>
      <c r="G25" s="212">
        <f t="shared" si="91"/>
        <v>-7.32</v>
      </c>
      <c r="H25" s="213">
        <f t="shared" si="92"/>
        <v>0</v>
      </c>
      <c r="I25" s="211">
        <f t="shared" si="93"/>
        <v>0</v>
      </c>
      <c r="J25" s="211">
        <f t="shared" si="94"/>
        <v>0</v>
      </c>
      <c r="K25" s="212">
        <f t="shared" si="95"/>
        <v>-17.327000000000002</v>
      </c>
      <c r="L25" s="213">
        <f t="shared" si="96"/>
        <v>0</v>
      </c>
      <c r="M25" s="211">
        <f t="shared" si="97"/>
        <v>0</v>
      </c>
      <c r="N25" s="211">
        <f t="shared" si="98"/>
        <v>0</v>
      </c>
      <c r="O25" s="212">
        <f t="shared" si="99"/>
        <v>34.89</v>
      </c>
      <c r="P25" s="213">
        <f t="shared" si="100"/>
        <v>0</v>
      </c>
      <c r="Q25" s="211">
        <f t="shared" si="101"/>
        <v>0</v>
      </c>
      <c r="R25" s="211">
        <f t="shared" si="102"/>
        <v>0</v>
      </c>
      <c r="S25" s="212">
        <f t="shared" si="103"/>
        <v>6.5570000000000004</v>
      </c>
      <c r="T25" s="213">
        <f t="shared" si="104"/>
        <v>0</v>
      </c>
      <c r="U25" s="211">
        <f t="shared" si="105"/>
        <v>0</v>
      </c>
      <c r="V25" s="211">
        <f t="shared" si="106"/>
        <v>0</v>
      </c>
      <c r="W25" s="212">
        <f t="shared" si="107"/>
        <v>0.73099999999999998</v>
      </c>
      <c r="X25" s="213">
        <f t="shared" si="108"/>
        <v>0</v>
      </c>
      <c r="Y25" s="211">
        <f t="shared" si="109"/>
        <v>0</v>
      </c>
      <c r="Z25" s="211">
        <f t="shared" si="110"/>
        <v>0</v>
      </c>
      <c r="AA25" s="212">
        <f t="shared" si="111"/>
        <v>-4.0019999999999998</v>
      </c>
      <c r="AB25" s="211">
        <f t="shared" si="112"/>
        <v>0</v>
      </c>
      <c r="AC25" s="211">
        <f t="shared" si="113"/>
        <v>0</v>
      </c>
      <c r="AD25" s="211">
        <f t="shared" si="114"/>
        <v>0</v>
      </c>
      <c r="AE25" s="212">
        <f t="shared" si="115"/>
        <v>0.82199999999999995</v>
      </c>
      <c r="AF25" s="211">
        <f t="shared" si="116"/>
        <v>0</v>
      </c>
      <c r="AG25" s="211">
        <f t="shared" si="117"/>
        <v>0</v>
      </c>
      <c r="AH25" s="211">
        <f t="shared" si="118"/>
        <v>0</v>
      </c>
      <c r="AI25" s="212">
        <f t="shared" si="119"/>
        <v>0</v>
      </c>
      <c r="AJ25" s="211">
        <f t="shared" si="120"/>
        <v>0</v>
      </c>
      <c r="AK25" s="211">
        <f t="shared" si="121"/>
        <v>0</v>
      </c>
      <c r="AL25" s="211">
        <f t="shared" si="122"/>
        <v>0</v>
      </c>
      <c r="AM25" s="212">
        <f t="shared" si="123"/>
        <v>0</v>
      </c>
      <c r="AN25" s="211">
        <f t="shared" si="124"/>
        <v>0</v>
      </c>
      <c r="AO25" s="211">
        <f t="shared" si="125"/>
        <v>0</v>
      </c>
      <c r="AP25" s="211">
        <f t="shared" si="126"/>
        <v>0</v>
      </c>
      <c r="AQ25" s="212">
        <f t="shared" si="127"/>
        <v>0</v>
      </c>
      <c r="AR25" s="211">
        <f t="shared" si="128"/>
        <v>0</v>
      </c>
      <c r="AS25" s="211">
        <f t="shared" si="129"/>
        <v>0</v>
      </c>
      <c r="AT25" s="211">
        <f t="shared" si="130"/>
        <v>0</v>
      </c>
      <c r="AU25" s="212">
        <f t="shared" si="131"/>
        <v>0</v>
      </c>
      <c r="AV25" s="211">
        <f t="shared" si="132"/>
        <v>0</v>
      </c>
      <c r="AW25" s="211">
        <f t="shared" si="133"/>
        <v>0</v>
      </c>
      <c r="AX25" s="211">
        <f t="shared" si="134"/>
        <v>0</v>
      </c>
      <c r="AY25" s="212">
        <f t="shared" si="135"/>
        <v>0</v>
      </c>
      <c r="AZ25" s="211">
        <f t="shared" si="136"/>
        <v>0</v>
      </c>
      <c r="BA25" s="211">
        <f t="shared" si="137"/>
        <v>0</v>
      </c>
      <c r="BB25" s="211">
        <f t="shared" si="138"/>
        <v>0</v>
      </c>
      <c r="BC25" s="212">
        <f t="shared" si="139"/>
        <v>0</v>
      </c>
      <c r="BD25" s="211">
        <f t="shared" si="140"/>
        <v>0</v>
      </c>
      <c r="BE25" s="1135">
        <f>BS!BD16-BS!BE16</f>
        <v>2.5644479213584219</v>
      </c>
      <c r="BF25" s="1135">
        <f>BS!BE16-BS!BF16</f>
        <v>-2.2915609938807222</v>
      </c>
      <c r="BG25" s="1136">
        <f>BS!BF16-BS!BG16</f>
        <v>-2.6554655296635445</v>
      </c>
      <c r="BH25" s="1135">
        <f>BS!BG16-BS!BH16</f>
        <v>4.324574061919563</v>
      </c>
      <c r="BI25" s="1135">
        <f>BS!BH16-BS!BI16</f>
        <v>-3.6014072145315765</v>
      </c>
      <c r="BJ25" s="1135">
        <f>BS!BI16-BS!BJ16</f>
        <v>-3.0207213117652572</v>
      </c>
      <c r="BK25" s="1136">
        <f>BS!BJ16-BS!BK16</f>
        <v>-3.5596254143163009</v>
      </c>
      <c r="BL25" s="1135">
        <f>BS!BK16-BS!BL16</f>
        <v>4.6228146169174522</v>
      </c>
      <c r="BM25" s="1135">
        <f>BS!BL16-BS!BM16</f>
        <v>-3.5686662249029411</v>
      </c>
      <c r="BN25" s="1135">
        <f>BS!BM16-BS!BN16</f>
        <v>-2.773582020970963</v>
      </c>
      <c r="BO25" s="1136">
        <f>BS!BN16-BS!BO16</f>
        <v>-3.2193498148308919</v>
      </c>
      <c r="BP25" s="23"/>
      <c r="BQ25" s="211">
        <f t="shared" si="141"/>
        <v>-7.32</v>
      </c>
      <c r="BR25" s="211">
        <f t="shared" si="142"/>
        <v>-17.327000000000002</v>
      </c>
      <c r="BS25" s="211">
        <f t="shared" si="143"/>
        <v>34.89</v>
      </c>
      <c r="BT25" s="211">
        <f t="shared" si="144"/>
        <v>6.5570000000000004</v>
      </c>
      <c r="BU25" s="211">
        <f t="shared" si="145"/>
        <v>0.73099999999999998</v>
      </c>
      <c r="BV25" s="213">
        <f t="shared" si="146"/>
        <v>-4.0019999999999998</v>
      </c>
      <c r="BW25" s="211">
        <f t="shared" si="147"/>
        <v>0.82199999999999995</v>
      </c>
      <c r="BX25" s="213">
        <f t="shared" si="148"/>
        <v>0</v>
      </c>
      <c r="BY25" s="213">
        <f t="shared" si="149"/>
        <v>0</v>
      </c>
      <c r="BZ25" s="211">
        <f t="shared" si="150"/>
        <v>0</v>
      </c>
      <c r="CA25" s="211">
        <f t="shared" si="151"/>
        <v>0</v>
      </c>
      <c r="CB25" s="211">
        <f t="shared" si="152"/>
        <v>0</v>
      </c>
      <c r="CC25" s="211">
        <f t="shared" si="153"/>
        <v>0</v>
      </c>
      <c r="CD25" s="211">
        <f t="shared" si="154"/>
        <v>-2.3825786021858448</v>
      </c>
      <c r="CE25" s="211">
        <f t="shared" si="155"/>
        <v>-5.8571798786935716</v>
      </c>
      <c r="CF25" s="211">
        <f t="shared" si="156"/>
        <v>-4.9387834437873437</v>
      </c>
      <c r="CG25" s="23"/>
      <c r="CH25" s="213">
        <f t="shared" si="157"/>
        <v>-7.32</v>
      </c>
      <c r="CI25" s="211">
        <f t="shared" si="158"/>
        <v>-17.327000000000002</v>
      </c>
      <c r="CJ25" s="211">
        <f t="shared" si="159"/>
        <v>34.89</v>
      </c>
      <c r="CK25" s="211">
        <f t="shared" si="160"/>
        <v>6.5570000000000004</v>
      </c>
      <c r="CL25" s="211">
        <f t="shared" si="161"/>
        <v>0.73099999999999998</v>
      </c>
      <c r="CM25" s="211">
        <f t="shared" si="162"/>
        <v>-4.0019999999999998</v>
      </c>
      <c r="CN25" s="211">
        <f t="shared" si="163"/>
        <v>0.82199999999999995</v>
      </c>
      <c r="CO25" s="211">
        <f t="shared" si="164"/>
        <v>0</v>
      </c>
      <c r="CP25" s="211">
        <f t="shared" si="165"/>
        <v>0</v>
      </c>
      <c r="CQ25" s="211">
        <f t="shared" si="166"/>
        <v>0</v>
      </c>
      <c r="CR25" s="211">
        <f t="shared" si="167"/>
        <v>0</v>
      </c>
      <c r="CS25" s="211">
        <f t="shared" si="168"/>
        <v>0</v>
      </c>
      <c r="CT25" s="211">
        <f t="shared" si="86"/>
        <v>0</v>
      </c>
      <c r="CU25" s="211">
        <f t="shared" si="169"/>
        <v>1.9419954597337181</v>
      </c>
      <c r="CV25" s="212">
        <f t="shared" si="170"/>
        <v>-5.5589393236956823</v>
      </c>
      <c r="CW25" s="1149"/>
      <c r="DF25" s="1109"/>
    </row>
    <row r="26" spans="1:110" ht="14.25" customHeight="1">
      <c r="A26" s="8"/>
      <c r="B26" s="56" t="str">
        <f t="shared" si="0"/>
        <v>Deferred compensation plan investments</v>
      </c>
      <c r="C26" s="57"/>
      <c r="D26" s="213">
        <f t="shared" si="88"/>
        <v>0</v>
      </c>
      <c r="E26" s="211">
        <f t="shared" si="89"/>
        <v>0</v>
      </c>
      <c r="F26" s="211">
        <f t="shared" si="90"/>
        <v>0</v>
      </c>
      <c r="G26" s="212">
        <f t="shared" si="91"/>
        <v>41.234000000000002</v>
      </c>
      <c r="H26" s="213">
        <f t="shared" si="92"/>
        <v>0</v>
      </c>
      <c r="I26" s="211">
        <f t="shared" si="93"/>
        <v>0</v>
      </c>
      <c r="J26" s="211">
        <f t="shared" si="94"/>
        <v>0</v>
      </c>
      <c r="K26" s="212">
        <f t="shared" si="95"/>
        <v>245.62899999999999</v>
      </c>
      <c r="L26" s="213">
        <f t="shared" si="96"/>
        <v>0</v>
      </c>
      <c r="M26" s="211">
        <f t="shared" si="97"/>
        <v>0</v>
      </c>
      <c r="N26" s="211">
        <f t="shared" si="98"/>
        <v>0</v>
      </c>
      <c r="O26" s="212">
        <f t="shared" si="99"/>
        <v>-4.7549999999999999</v>
      </c>
      <c r="P26" s="213">
        <f t="shared" si="100"/>
        <v>0</v>
      </c>
      <c r="Q26" s="211">
        <f t="shared" si="101"/>
        <v>0</v>
      </c>
      <c r="R26" s="211">
        <f t="shared" si="102"/>
        <v>0</v>
      </c>
      <c r="S26" s="212">
        <f t="shared" si="103"/>
        <v>4.4009999999999998</v>
      </c>
      <c r="T26" s="213">
        <f t="shared" si="104"/>
        <v>0</v>
      </c>
      <c r="U26" s="211">
        <f t="shared" si="105"/>
        <v>0</v>
      </c>
      <c r="V26" s="211">
        <f t="shared" si="106"/>
        <v>0</v>
      </c>
      <c r="W26" s="212">
        <f t="shared" si="107"/>
        <v>24.097000000000001</v>
      </c>
      <c r="X26" s="213">
        <f t="shared" si="108"/>
        <v>0</v>
      </c>
      <c r="Y26" s="211">
        <f t="shared" si="109"/>
        <v>0</v>
      </c>
      <c r="Z26" s="211">
        <f t="shared" si="110"/>
        <v>0</v>
      </c>
      <c r="AA26" s="212">
        <f t="shared" si="111"/>
        <v>-0.747</v>
      </c>
      <c r="AB26" s="211">
        <f t="shared" si="112"/>
        <v>0</v>
      </c>
      <c r="AC26" s="211">
        <f t="shared" si="113"/>
        <v>0</v>
      </c>
      <c r="AD26" s="211">
        <f t="shared" si="114"/>
        <v>0</v>
      </c>
      <c r="AE26" s="212">
        <f t="shared" si="115"/>
        <v>-17.72</v>
      </c>
      <c r="AF26" s="211">
        <f t="shared" si="116"/>
        <v>0</v>
      </c>
      <c r="AG26" s="211">
        <f t="shared" si="117"/>
        <v>0</v>
      </c>
      <c r="AH26" s="211">
        <f t="shared" si="118"/>
        <v>0</v>
      </c>
      <c r="AI26" s="212">
        <f t="shared" si="119"/>
        <v>0</v>
      </c>
      <c r="AJ26" s="211">
        <f t="shared" si="120"/>
        <v>0</v>
      </c>
      <c r="AK26" s="211">
        <f t="shared" si="121"/>
        <v>0</v>
      </c>
      <c r="AL26" s="211">
        <f t="shared" si="122"/>
        <v>0</v>
      </c>
      <c r="AM26" s="212">
        <f t="shared" si="123"/>
        <v>0</v>
      </c>
      <c r="AN26" s="211">
        <f t="shared" si="124"/>
        <v>0</v>
      </c>
      <c r="AO26" s="211">
        <f t="shared" si="125"/>
        <v>0</v>
      </c>
      <c r="AP26" s="211">
        <f t="shared" si="126"/>
        <v>0</v>
      </c>
      <c r="AQ26" s="212">
        <f t="shared" si="127"/>
        <v>0</v>
      </c>
      <c r="AR26" s="211">
        <f t="shared" si="128"/>
        <v>0</v>
      </c>
      <c r="AS26" s="211">
        <f t="shared" si="129"/>
        <v>0</v>
      </c>
      <c r="AT26" s="211">
        <f t="shared" si="130"/>
        <v>0</v>
      </c>
      <c r="AU26" s="212">
        <f t="shared" si="131"/>
        <v>0</v>
      </c>
      <c r="AV26" s="211">
        <f t="shared" si="132"/>
        <v>0</v>
      </c>
      <c r="AW26" s="211">
        <f t="shared" si="133"/>
        <v>0</v>
      </c>
      <c r="AX26" s="211">
        <f t="shared" si="134"/>
        <v>0</v>
      </c>
      <c r="AY26" s="212">
        <f t="shared" si="135"/>
        <v>0</v>
      </c>
      <c r="AZ26" s="211">
        <f t="shared" si="136"/>
        <v>0</v>
      </c>
      <c r="BA26" s="211">
        <f t="shared" si="137"/>
        <v>0</v>
      </c>
      <c r="BB26" s="211">
        <f t="shared" si="138"/>
        <v>0</v>
      </c>
      <c r="BC26" s="212">
        <f t="shared" si="139"/>
        <v>0</v>
      </c>
      <c r="BD26" s="211">
        <f t="shared" si="140"/>
        <v>0</v>
      </c>
      <c r="BE26" s="1135">
        <f>BS!BD20-BS!BE20+BS!BE41-BS!BD41</f>
        <v>0</v>
      </c>
      <c r="BF26" s="1135">
        <f>BS!BE20-BS!BF20+BS!BF41-BS!BE41</f>
        <v>0</v>
      </c>
      <c r="BG26" s="1136">
        <f>BS!BF20-BS!BG20+BS!BG41-BS!BF41</f>
        <v>0</v>
      </c>
      <c r="BH26" s="1135">
        <f>BS!BG20-BS!BH20+BS!BH41-BS!BG41</f>
        <v>0</v>
      </c>
      <c r="BI26" s="1135">
        <f>BS!BH20-BS!BI20+BS!BI41-BS!BH41</f>
        <v>0</v>
      </c>
      <c r="BJ26" s="1135">
        <f>BS!BI20-BS!BJ20+BS!BJ41-BS!BI41</f>
        <v>0</v>
      </c>
      <c r="BK26" s="1136">
        <f>BS!BJ20-BS!BK20+BS!BK41-BS!BJ41</f>
        <v>0</v>
      </c>
      <c r="BL26" s="1135">
        <f>BS!BK20-BS!BL20+BS!BL41-BS!BK41</f>
        <v>0</v>
      </c>
      <c r="BM26" s="1135">
        <f>BS!BL20-BS!BM20+BS!BM41-BS!BL41</f>
        <v>0</v>
      </c>
      <c r="BN26" s="1135">
        <f>BS!BM20-BS!BN20+BS!BN41-BS!BM41</f>
        <v>0</v>
      </c>
      <c r="BO26" s="1136">
        <f>BS!BN20-BS!BO20+BS!BO41-BS!BN41</f>
        <v>0</v>
      </c>
      <c r="BP26" s="23"/>
      <c r="BQ26" s="211">
        <f t="shared" si="141"/>
        <v>41.234000000000002</v>
      </c>
      <c r="BR26" s="211">
        <f t="shared" si="142"/>
        <v>245.62899999999999</v>
      </c>
      <c r="BS26" s="211">
        <f t="shared" si="143"/>
        <v>-4.7549999999999999</v>
      </c>
      <c r="BT26" s="211">
        <f t="shared" si="144"/>
        <v>4.4009999999999998</v>
      </c>
      <c r="BU26" s="211">
        <f t="shared" si="145"/>
        <v>24.097000000000001</v>
      </c>
      <c r="BV26" s="213">
        <f t="shared" si="146"/>
        <v>-0.747</v>
      </c>
      <c r="BW26" s="211">
        <f t="shared" si="147"/>
        <v>-17.72</v>
      </c>
      <c r="BX26" s="213">
        <f t="shared" si="148"/>
        <v>0</v>
      </c>
      <c r="BY26" s="213">
        <f t="shared" si="149"/>
        <v>0</v>
      </c>
      <c r="BZ26" s="211">
        <f t="shared" si="150"/>
        <v>0</v>
      </c>
      <c r="CA26" s="211">
        <f t="shared" si="151"/>
        <v>0</v>
      </c>
      <c r="CB26" s="211">
        <f t="shared" si="152"/>
        <v>0</v>
      </c>
      <c r="CC26" s="211">
        <f t="shared" si="153"/>
        <v>0</v>
      </c>
      <c r="CD26" s="211">
        <f t="shared" si="154"/>
        <v>0</v>
      </c>
      <c r="CE26" s="211">
        <f t="shared" si="155"/>
        <v>0</v>
      </c>
      <c r="CF26" s="211">
        <f t="shared" si="156"/>
        <v>0</v>
      </c>
      <c r="CG26" s="23"/>
      <c r="CH26" s="213">
        <f t="shared" si="157"/>
        <v>41.234000000000002</v>
      </c>
      <c r="CI26" s="211">
        <f t="shared" si="158"/>
        <v>245.62899999999999</v>
      </c>
      <c r="CJ26" s="211">
        <f t="shared" si="159"/>
        <v>-4.7549999999999999</v>
      </c>
      <c r="CK26" s="211">
        <f t="shared" si="160"/>
        <v>4.4009999999999998</v>
      </c>
      <c r="CL26" s="211">
        <f t="shared" si="161"/>
        <v>24.097000000000001</v>
      </c>
      <c r="CM26" s="211">
        <f t="shared" si="162"/>
        <v>-0.747</v>
      </c>
      <c r="CN26" s="211">
        <f t="shared" si="163"/>
        <v>-17.72</v>
      </c>
      <c r="CO26" s="211">
        <f t="shared" si="164"/>
        <v>0</v>
      </c>
      <c r="CP26" s="211">
        <f t="shared" si="165"/>
        <v>0</v>
      </c>
      <c r="CQ26" s="211">
        <f t="shared" si="166"/>
        <v>0</v>
      </c>
      <c r="CR26" s="211">
        <f t="shared" si="167"/>
        <v>0</v>
      </c>
      <c r="CS26" s="211">
        <f t="shared" si="168"/>
        <v>0</v>
      </c>
      <c r="CT26" s="211">
        <f t="shared" si="86"/>
        <v>0</v>
      </c>
      <c r="CU26" s="211">
        <f t="shared" si="169"/>
        <v>0</v>
      </c>
      <c r="CV26" s="212">
        <f t="shared" si="170"/>
        <v>0</v>
      </c>
      <c r="CW26" s="1149"/>
      <c r="DF26" s="1109"/>
    </row>
    <row r="27" spans="1:110" ht="14.25" customHeight="1">
      <c r="A27" s="8"/>
      <c r="B27" s="56" t="str">
        <f t="shared" si="0"/>
        <v>Accounts payable, deferred income and accrued liabilities</v>
      </c>
      <c r="C27" s="57"/>
      <c r="D27" s="213">
        <f t="shared" si="88"/>
        <v>0</v>
      </c>
      <c r="E27" s="211">
        <f t="shared" si="89"/>
        <v>0</v>
      </c>
      <c r="F27" s="211">
        <f t="shared" si="90"/>
        <v>0</v>
      </c>
      <c r="G27" s="212">
        <f t="shared" si="91"/>
        <v>-5.9370000000000003</v>
      </c>
      <c r="H27" s="213">
        <f t="shared" si="92"/>
        <v>0</v>
      </c>
      <c r="I27" s="211">
        <f t="shared" si="93"/>
        <v>0</v>
      </c>
      <c r="J27" s="211">
        <f t="shared" si="94"/>
        <v>0</v>
      </c>
      <c r="K27" s="212">
        <f t="shared" si="95"/>
        <v>5.6820000000000004</v>
      </c>
      <c r="L27" s="213">
        <f t="shared" si="96"/>
        <v>0</v>
      </c>
      <c r="M27" s="211">
        <f t="shared" si="97"/>
        <v>0</v>
      </c>
      <c r="N27" s="211">
        <f t="shared" si="98"/>
        <v>0</v>
      </c>
      <c r="O27" s="212">
        <f t="shared" si="99"/>
        <v>53.692999999999998</v>
      </c>
      <c r="P27" s="213">
        <f t="shared" si="100"/>
        <v>0</v>
      </c>
      <c r="Q27" s="211">
        <f t="shared" si="101"/>
        <v>0</v>
      </c>
      <c r="R27" s="211">
        <f t="shared" si="102"/>
        <v>0</v>
      </c>
      <c r="S27" s="212">
        <f t="shared" si="103"/>
        <v>-60.735999999999997</v>
      </c>
      <c r="T27" s="213">
        <f t="shared" si="104"/>
        <v>0</v>
      </c>
      <c r="U27" s="211">
        <f t="shared" si="105"/>
        <v>0</v>
      </c>
      <c r="V27" s="211">
        <f t="shared" si="106"/>
        <v>0</v>
      </c>
      <c r="W27" s="212">
        <f t="shared" si="107"/>
        <v>-100.06399999999999</v>
      </c>
      <c r="X27" s="213">
        <f t="shared" si="108"/>
        <v>0</v>
      </c>
      <c r="Y27" s="211">
        <f t="shared" si="109"/>
        <v>0</v>
      </c>
      <c r="Z27" s="211">
        <f t="shared" si="110"/>
        <v>0</v>
      </c>
      <c r="AA27" s="212">
        <f t="shared" si="111"/>
        <v>190.04300000000001</v>
      </c>
      <c r="AB27" s="211">
        <f t="shared" si="112"/>
        <v>0</v>
      </c>
      <c r="AC27" s="211">
        <f t="shared" si="113"/>
        <v>0</v>
      </c>
      <c r="AD27" s="211">
        <f t="shared" si="114"/>
        <v>0</v>
      </c>
      <c r="AE27" s="212">
        <f t="shared" si="115"/>
        <v>-90.322999999999993</v>
      </c>
      <c r="AF27" s="211">
        <f t="shared" si="116"/>
        <v>0</v>
      </c>
      <c r="AG27" s="211">
        <f t="shared" si="117"/>
        <v>0</v>
      </c>
      <c r="AH27" s="211">
        <f t="shared" si="118"/>
        <v>0</v>
      </c>
      <c r="AI27" s="212">
        <f t="shared" si="119"/>
        <v>0</v>
      </c>
      <c r="AJ27" s="211">
        <f t="shared" si="120"/>
        <v>0</v>
      </c>
      <c r="AK27" s="211">
        <f t="shared" si="121"/>
        <v>0</v>
      </c>
      <c r="AL27" s="211">
        <f t="shared" si="122"/>
        <v>0</v>
      </c>
      <c r="AM27" s="212">
        <f t="shared" si="123"/>
        <v>0</v>
      </c>
      <c r="AN27" s="211">
        <f t="shared" si="124"/>
        <v>0</v>
      </c>
      <c r="AO27" s="211">
        <f t="shared" si="125"/>
        <v>0</v>
      </c>
      <c r="AP27" s="211">
        <f t="shared" si="126"/>
        <v>0</v>
      </c>
      <c r="AQ27" s="212">
        <f t="shared" si="127"/>
        <v>0</v>
      </c>
      <c r="AR27" s="211">
        <f t="shared" si="128"/>
        <v>0</v>
      </c>
      <c r="AS27" s="211">
        <f t="shared" si="129"/>
        <v>0</v>
      </c>
      <c r="AT27" s="211">
        <f t="shared" si="130"/>
        <v>0</v>
      </c>
      <c r="AU27" s="212">
        <f t="shared" si="131"/>
        <v>0</v>
      </c>
      <c r="AV27" s="211">
        <f t="shared" si="132"/>
        <v>0</v>
      </c>
      <c r="AW27" s="211">
        <f t="shared" si="133"/>
        <v>0</v>
      </c>
      <c r="AX27" s="211">
        <f t="shared" si="134"/>
        <v>0</v>
      </c>
      <c r="AY27" s="212">
        <f t="shared" si="135"/>
        <v>0</v>
      </c>
      <c r="AZ27" s="211">
        <f t="shared" si="136"/>
        <v>0</v>
      </c>
      <c r="BA27" s="211">
        <f t="shared" si="137"/>
        <v>0</v>
      </c>
      <c r="BB27" s="211">
        <f t="shared" si="138"/>
        <v>0</v>
      </c>
      <c r="BC27" s="212">
        <f t="shared" si="139"/>
        <v>0</v>
      </c>
      <c r="BD27" s="211">
        <f t="shared" si="140"/>
        <v>0</v>
      </c>
      <c r="BE27" s="1135">
        <f>BS!BE30-BS!BD30</f>
        <v>-10.974050375221651</v>
      </c>
      <c r="BF27" s="1135">
        <f>BS!BF30-BS!BE30</f>
        <v>-14.919804522144744</v>
      </c>
      <c r="BG27" s="1136">
        <f>BS!BG30-BS!BF30</f>
        <v>3.7579948562500647</v>
      </c>
      <c r="BH27" s="1135">
        <f>BS!BH30-BS!BG30</f>
        <v>-3.288009600088003</v>
      </c>
      <c r="BI27" s="1135">
        <f>BS!BI30-BS!BH30</f>
        <v>4.1768037405456369</v>
      </c>
      <c r="BJ27" s="1135">
        <f>BS!BJ30-BS!BI30</f>
        <v>3.2578086872382812</v>
      </c>
      <c r="BK27" s="1136">
        <f>BS!BK30-BS!BJ30</f>
        <v>7.8631355867258605</v>
      </c>
      <c r="BL27" s="1135">
        <f>BS!BL30-BS!BK30</f>
        <v>-3.8997860275981395</v>
      </c>
      <c r="BM27" s="1135">
        <f>BS!BM30-BS!BL30</f>
        <v>4.2158998920920396</v>
      </c>
      <c r="BN27" s="1135">
        <f>BS!BN30-BS!BM30</f>
        <v>2.9267397190430984</v>
      </c>
      <c r="BO27" s="1136">
        <f>BS!BO30-BS!BN30</f>
        <v>7.4407480929211829</v>
      </c>
      <c r="BP27" s="23"/>
      <c r="BQ27" s="211">
        <f t="shared" si="141"/>
        <v>-5.9370000000000003</v>
      </c>
      <c r="BR27" s="211">
        <f t="shared" si="142"/>
        <v>5.6820000000000004</v>
      </c>
      <c r="BS27" s="211">
        <f t="shared" si="143"/>
        <v>53.692999999999998</v>
      </c>
      <c r="BT27" s="211">
        <f t="shared" si="144"/>
        <v>-60.735999999999997</v>
      </c>
      <c r="BU27" s="211">
        <f t="shared" si="145"/>
        <v>-100.06399999999999</v>
      </c>
      <c r="BV27" s="213">
        <f t="shared" si="146"/>
        <v>190.04300000000001</v>
      </c>
      <c r="BW27" s="211">
        <f t="shared" si="147"/>
        <v>-90.322999999999993</v>
      </c>
      <c r="BX27" s="213">
        <f t="shared" si="148"/>
        <v>0</v>
      </c>
      <c r="BY27" s="213">
        <f t="shared" si="149"/>
        <v>0</v>
      </c>
      <c r="BZ27" s="211">
        <f t="shared" si="150"/>
        <v>0</v>
      </c>
      <c r="CA27" s="211">
        <f t="shared" si="151"/>
        <v>0</v>
      </c>
      <c r="CB27" s="211">
        <f t="shared" si="152"/>
        <v>0</v>
      </c>
      <c r="CC27" s="211">
        <f t="shared" si="153"/>
        <v>0</v>
      </c>
      <c r="CD27" s="211">
        <f t="shared" si="154"/>
        <v>-22.135860041116331</v>
      </c>
      <c r="CE27" s="211">
        <f t="shared" si="155"/>
        <v>12.009738414421776</v>
      </c>
      <c r="CF27" s="211">
        <f t="shared" si="156"/>
        <v>10.683601676458181</v>
      </c>
      <c r="CG27" s="23"/>
      <c r="CH27" s="213">
        <f t="shared" si="157"/>
        <v>-5.9370000000000003</v>
      </c>
      <c r="CI27" s="211">
        <f t="shared" si="158"/>
        <v>5.6820000000000004</v>
      </c>
      <c r="CJ27" s="211">
        <f t="shared" si="159"/>
        <v>53.692999999999998</v>
      </c>
      <c r="CK27" s="211">
        <f t="shared" si="160"/>
        <v>-60.735999999999997</v>
      </c>
      <c r="CL27" s="211">
        <f t="shared" si="161"/>
        <v>-100.06399999999999</v>
      </c>
      <c r="CM27" s="211">
        <f t="shared" si="162"/>
        <v>190.04300000000001</v>
      </c>
      <c r="CN27" s="211">
        <f t="shared" si="163"/>
        <v>-90.322999999999993</v>
      </c>
      <c r="CO27" s="211">
        <f t="shared" si="164"/>
        <v>0</v>
      </c>
      <c r="CP27" s="211">
        <f t="shared" si="165"/>
        <v>0</v>
      </c>
      <c r="CQ27" s="211">
        <f t="shared" si="166"/>
        <v>0</v>
      </c>
      <c r="CR27" s="211">
        <f t="shared" si="167"/>
        <v>0</v>
      </c>
      <c r="CS27" s="211">
        <f t="shared" si="168"/>
        <v>0</v>
      </c>
      <c r="CT27" s="211">
        <f t="shared" si="86"/>
        <v>0</v>
      </c>
      <c r="CU27" s="211">
        <f t="shared" si="169"/>
        <v>-25.423869641204334</v>
      </c>
      <c r="CV27" s="212">
        <f t="shared" si="170"/>
        <v>11.397961986911639</v>
      </c>
      <c r="CW27" s="1149"/>
      <c r="DF27" s="1110"/>
    </row>
    <row r="28" spans="1:110" ht="14.25" customHeight="1">
      <c r="A28" s="8"/>
      <c r="B28" s="56" t="str">
        <f t="shared" si="0"/>
        <v>Deferred compensation plan liabilities</v>
      </c>
      <c r="C28" s="57"/>
      <c r="D28" s="213">
        <f t="shared" si="88"/>
        <v>0</v>
      </c>
      <c r="E28" s="211">
        <f t="shared" si="89"/>
        <v>0</v>
      </c>
      <c r="F28" s="211">
        <f t="shared" si="90"/>
        <v>0</v>
      </c>
      <c r="G28" s="212">
        <f t="shared" si="91"/>
        <v>-43.271000000000001</v>
      </c>
      <c r="H28" s="213">
        <f t="shared" si="92"/>
        <v>0</v>
      </c>
      <c r="I28" s="211">
        <f t="shared" si="93"/>
        <v>0</v>
      </c>
      <c r="J28" s="211">
        <f t="shared" si="94"/>
        <v>0</v>
      </c>
      <c r="K28" s="212">
        <f t="shared" si="95"/>
        <v>-247.291</v>
      </c>
      <c r="L28" s="213">
        <f t="shared" si="96"/>
        <v>0</v>
      </c>
      <c r="M28" s="211">
        <f t="shared" si="97"/>
        <v>0</v>
      </c>
      <c r="N28" s="211">
        <f t="shared" si="98"/>
        <v>0</v>
      </c>
      <c r="O28" s="212">
        <f t="shared" si="99"/>
        <v>4.8109999999999999</v>
      </c>
      <c r="P28" s="213">
        <f t="shared" si="100"/>
        <v>0</v>
      </c>
      <c r="Q28" s="211">
        <f t="shared" si="101"/>
        <v>0</v>
      </c>
      <c r="R28" s="211">
        <f t="shared" si="102"/>
        <v>0</v>
      </c>
      <c r="S28" s="212">
        <f t="shared" si="103"/>
        <v>-3.8109999999999999</v>
      </c>
      <c r="T28" s="213">
        <f t="shared" si="104"/>
        <v>0</v>
      </c>
      <c r="U28" s="211">
        <f t="shared" si="105"/>
        <v>0</v>
      </c>
      <c r="V28" s="211">
        <f t="shared" si="106"/>
        <v>0</v>
      </c>
      <c r="W28" s="212">
        <f t="shared" si="107"/>
        <v>-24.800999999999998</v>
      </c>
      <c r="X28" s="213">
        <f t="shared" si="108"/>
        <v>0</v>
      </c>
      <c r="Y28" s="211">
        <f t="shared" si="109"/>
        <v>0</v>
      </c>
      <c r="Z28" s="211">
        <f t="shared" si="110"/>
        <v>0</v>
      </c>
      <c r="AA28" s="212">
        <f t="shared" si="111"/>
        <v>0.75</v>
      </c>
      <c r="AB28" s="211">
        <f t="shared" si="112"/>
        <v>0</v>
      </c>
      <c r="AC28" s="211">
        <f t="shared" si="113"/>
        <v>0</v>
      </c>
      <c r="AD28" s="211">
        <f t="shared" si="114"/>
        <v>0</v>
      </c>
      <c r="AE28" s="212">
        <f t="shared" si="115"/>
        <v>17.738</v>
      </c>
      <c r="AF28" s="211">
        <f t="shared" si="116"/>
        <v>0</v>
      </c>
      <c r="AG28" s="211">
        <f t="shared" si="117"/>
        <v>0</v>
      </c>
      <c r="AH28" s="211">
        <f t="shared" si="118"/>
        <v>0</v>
      </c>
      <c r="AI28" s="212">
        <f t="shared" si="119"/>
        <v>0</v>
      </c>
      <c r="AJ28" s="211">
        <f t="shared" si="120"/>
        <v>0</v>
      </c>
      <c r="AK28" s="211">
        <f t="shared" si="121"/>
        <v>0</v>
      </c>
      <c r="AL28" s="211">
        <f t="shared" si="122"/>
        <v>0</v>
      </c>
      <c r="AM28" s="212">
        <f t="shared" si="123"/>
        <v>0</v>
      </c>
      <c r="AN28" s="211">
        <f t="shared" si="124"/>
        <v>0</v>
      </c>
      <c r="AO28" s="211">
        <f t="shared" si="125"/>
        <v>0</v>
      </c>
      <c r="AP28" s="211">
        <f t="shared" si="126"/>
        <v>0</v>
      </c>
      <c r="AQ28" s="212">
        <f t="shared" si="127"/>
        <v>0</v>
      </c>
      <c r="AR28" s="211">
        <f t="shared" si="128"/>
        <v>0</v>
      </c>
      <c r="AS28" s="211">
        <f t="shared" si="129"/>
        <v>0</v>
      </c>
      <c r="AT28" s="211">
        <f t="shared" si="130"/>
        <v>0</v>
      </c>
      <c r="AU28" s="212">
        <f t="shared" si="131"/>
        <v>0</v>
      </c>
      <c r="AV28" s="211">
        <f t="shared" si="132"/>
        <v>0</v>
      </c>
      <c r="AW28" s="211">
        <f t="shared" si="133"/>
        <v>0</v>
      </c>
      <c r="AX28" s="211">
        <f t="shared" si="134"/>
        <v>0</v>
      </c>
      <c r="AY28" s="212">
        <f t="shared" si="135"/>
        <v>0</v>
      </c>
      <c r="AZ28" s="211">
        <f t="shared" si="136"/>
        <v>0</v>
      </c>
      <c r="BA28" s="211">
        <f t="shared" si="137"/>
        <v>0</v>
      </c>
      <c r="BB28" s="211">
        <f t="shared" si="138"/>
        <v>0</v>
      </c>
      <c r="BC28" s="212">
        <f t="shared" si="139"/>
        <v>0</v>
      </c>
      <c r="BD28" s="211">
        <f t="shared" si="140"/>
        <v>0</v>
      </c>
      <c r="BE28" s="1135">
        <f>BS!BE35-BS!BD35</f>
        <v>0</v>
      </c>
      <c r="BF28" s="1135">
        <f>BS!BF35-BS!BE35</f>
        <v>0</v>
      </c>
      <c r="BG28" s="1136">
        <f>BS!BG35-BS!BF35</f>
        <v>0</v>
      </c>
      <c r="BH28" s="1135">
        <f>BS!BH35-BS!BG35</f>
        <v>0</v>
      </c>
      <c r="BI28" s="1135">
        <f>BS!BI35-BS!BH35</f>
        <v>0</v>
      </c>
      <c r="BJ28" s="1135">
        <f>BS!BJ35-BS!BI35</f>
        <v>0</v>
      </c>
      <c r="BK28" s="1136">
        <f>BS!BK35-BS!BJ35</f>
        <v>0</v>
      </c>
      <c r="BL28" s="1135">
        <f>BS!BL35-BS!BK35</f>
        <v>0</v>
      </c>
      <c r="BM28" s="1135">
        <f>BS!BM35-BS!BL35</f>
        <v>0</v>
      </c>
      <c r="BN28" s="1135">
        <f>BS!BN35-BS!BM35</f>
        <v>0</v>
      </c>
      <c r="BO28" s="1136">
        <f>BS!BO35-BS!BN35</f>
        <v>0</v>
      </c>
      <c r="BP28" s="23"/>
      <c r="BQ28" s="211">
        <f t="shared" si="141"/>
        <v>-43.271000000000001</v>
      </c>
      <c r="BR28" s="211">
        <f t="shared" si="142"/>
        <v>-247.291</v>
      </c>
      <c r="BS28" s="211">
        <f t="shared" si="143"/>
        <v>4.8109999999999999</v>
      </c>
      <c r="BT28" s="211">
        <f t="shared" si="144"/>
        <v>-3.8109999999999999</v>
      </c>
      <c r="BU28" s="211">
        <f t="shared" si="145"/>
        <v>-24.800999999999998</v>
      </c>
      <c r="BV28" s="213">
        <f t="shared" si="146"/>
        <v>0.75</v>
      </c>
      <c r="BW28" s="211">
        <f t="shared" si="147"/>
        <v>17.738</v>
      </c>
      <c r="BX28" s="213">
        <f t="shared" si="148"/>
        <v>0</v>
      </c>
      <c r="BY28" s="213">
        <f t="shared" si="149"/>
        <v>0</v>
      </c>
      <c r="BZ28" s="211">
        <f t="shared" si="150"/>
        <v>0</v>
      </c>
      <c r="CA28" s="211">
        <f t="shared" si="151"/>
        <v>0</v>
      </c>
      <c r="CB28" s="211">
        <f t="shared" si="152"/>
        <v>0</v>
      </c>
      <c r="CC28" s="211">
        <f t="shared" si="153"/>
        <v>0</v>
      </c>
      <c r="CD28" s="211">
        <f t="shared" si="154"/>
        <v>0</v>
      </c>
      <c r="CE28" s="211">
        <f t="shared" si="155"/>
        <v>0</v>
      </c>
      <c r="CF28" s="211">
        <f t="shared" si="156"/>
        <v>0</v>
      </c>
      <c r="CG28" s="23"/>
      <c r="CH28" s="213">
        <f t="shared" si="157"/>
        <v>-43.271000000000001</v>
      </c>
      <c r="CI28" s="211">
        <f t="shared" si="158"/>
        <v>-247.291</v>
      </c>
      <c r="CJ28" s="211">
        <f t="shared" si="159"/>
        <v>4.8109999999999999</v>
      </c>
      <c r="CK28" s="211">
        <f t="shared" si="160"/>
        <v>-3.8109999999999999</v>
      </c>
      <c r="CL28" s="211">
        <f t="shared" si="161"/>
        <v>-24.800999999999998</v>
      </c>
      <c r="CM28" s="211">
        <f t="shared" si="162"/>
        <v>0.75</v>
      </c>
      <c r="CN28" s="211">
        <f t="shared" si="163"/>
        <v>17.738</v>
      </c>
      <c r="CO28" s="211">
        <f t="shared" si="164"/>
        <v>0</v>
      </c>
      <c r="CP28" s="211">
        <f t="shared" si="165"/>
        <v>0</v>
      </c>
      <c r="CQ28" s="211">
        <f t="shared" si="166"/>
        <v>0</v>
      </c>
      <c r="CR28" s="211">
        <f t="shared" si="167"/>
        <v>0</v>
      </c>
      <c r="CS28" s="211">
        <f t="shared" si="168"/>
        <v>0</v>
      </c>
      <c r="CT28" s="211">
        <f t="shared" si="86"/>
        <v>0</v>
      </c>
      <c r="CU28" s="211">
        <f t="shared" si="169"/>
        <v>0</v>
      </c>
      <c r="CV28" s="212">
        <f t="shared" si="170"/>
        <v>0</v>
      </c>
      <c r="CW28" s="1149"/>
      <c r="DF28" s="1109"/>
    </row>
    <row r="29" spans="1:110" ht="14.25" customHeight="1">
      <c r="A29" s="8"/>
      <c r="B29" s="56" t="str">
        <f t="shared" si="0"/>
        <v>Income taxes payable and receivable</v>
      </c>
      <c r="C29" s="57"/>
      <c r="D29" s="213">
        <f t="shared" si="88"/>
        <v>0</v>
      </c>
      <c r="E29" s="211">
        <f t="shared" si="89"/>
        <v>0</v>
      </c>
      <c r="F29" s="211">
        <f t="shared" si="90"/>
        <v>0</v>
      </c>
      <c r="G29" s="212">
        <f t="shared" si="91"/>
        <v>15.003</v>
      </c>
      <c r="H29" s="213">
        <f t="shared" si="92"/>
        <v>0</v>
      </c>
      <c r="I29" s="211">
        <f t="shared" si="93"/>
        <v>0</v>
      </c>
      <c r="J29" s="211">
        <f t="shared" si="94"/>
        <v>0</v>
      </c>
      <c r="K29" s="212">
        <f t="shared" si="95"/>
        <v>96.335999999999999</v>
      </c>
      <c r="L29" s="213">
        <f t="shared" si="96"/>
        <v>0</v>
      </c>
      <c r="M29" s="211">
        <f t="shared" si="97"/>
        <v>0</v>
      </c>
      <c r="N29" s="211">
        <f t="shared" si="98"/>
        <v>0</v>
      </c>
      <c r="O29" s="212">
        <f t="shared" si="99"/>
        <v>53.119</v>
      </c>
      <c r="P29" s="213">
        <f t="shared" si="100"/>
        <v>0</v>
      </c>
      <c r="Q29" s="211">
        <f t="shared" si="101"/>
        <v>0</v>
      </c>
      <c r="R29" s="211">
        <f t="shared" si="102"/>
        <v>0</v>
      </c>
      <c r="S29" s="212">
        <f t="shared" si="103"/>
        <v>41.442999999999998</v>
      </c>
      <c r="T29" s="213">
        <f t="shared" si="104"/>
        <v>0</v>
      </c>
      <c r="U29" s="211">
        <f t="shared" si="105"/>
        <v>0</v>
      </c>
      <c r="V29" s="211">
        <f t="shared" si="106"/>
        <v>0</v>
      </c>
      <c r="W29" s="212">
        <f t="shared" si="107"/>
        <v>-29.013999999999999</v>
      </c>
      <c r="X29" s="213">
        <f t="shared" si="108"/>
        <v>0</v>
      </c>
      <c r="Y29" s="211">
        <f t="shared" si="109"/>
        <v>0</v>
      </c>
      <c r="Z29" s="211">
        <f t="shared" si="110"/>
        <v>0</v>
      </c>
      <c r="AA29" s="212">
        <f t="shared" si="111"/>
        <v>61.984000000000002</v>
      </c>
      <c r="AB29" s="211">
        <f t="shared" si="112"/>
        <v>0</v>
      </c>
      <c r="AC29" s="211">
        <f t="shared" si="113"/>
        <v>0</v>
      </c>
      <c r="AD29" s="211">
        <f t="shared" si="114"/>
        <v>0</v>
      </c>
      <c r="AE29" s="212">
        <f t="shared" si="115"/>
        <v>-15.788</v>
      </c>
      <c r="AF29" s="211">
        <f t="shared" si="116"/>
        <v>0</v>
      </c>
      <c r="AG29" s="211">
        <f t="shared" si="117"/>
        <v>0</v>
      </c>
      <c r="AH29" s="211">
        <f t="shared" si="118"/>
        <v>0</v>
      </c>
      <c r="AI29" s="212">
        <f t="shared" si="119"/>
        <v>0</v>
      </c>
      <c r="AJ29" s="211">
        <f t="shared" si="120"/>
        <v>0</v>
      </c>
      <c r="AK29" s="211">
        <f t="shared" si="121"/>
        <v>0</v>
      </c>
      <c r="AL29" s="211">
        <f t="shared" si="122"/>
        <v>0</v>
      </c>
      <c r="AM29" s="212">
        <f t="shared" si="123"/>
        <v>0</v>
      </c>
      <c r="AN29" s="211">
        <f t="shared" si="124"/>
        <v>0</v>
      </c>
      <c r="AO29" s="211">
        <f t="shared" si="125"/>
        <v>0</v>
      </c>
      <c r="AP29" s="211">
        <f t="shared" si="126"/>
        <v>0</v>
      </c>
      <c r="AQ29" s="212">
        <f t="shared" si="127"/>
        <v>0</v>
      </c>
      <c r="AR29" s="211">
        <f t="shared" si="128"/>
        <v>0</v>
      </c>
      <c r="AS29" s="211">
        <f t="shared" si="129"/>
        <v>0</v>
      </c>
      <c r="AT29" s="211">
        <f t="shared" si="130"/>
        <v>0</v>
      </c>
      <c r="AU29" s="212">
        <f t="shared" si="131"/>
        <v>0</v>
      </c>
      <c r="AV29" s="211">
        <f t="shared" si="132"/>
        <v>0</v>
      </c>
      <c r="AW29" s="211">
        <f t="shared" si="133"/>
        <v>0</v>
      </c>
      <c r="AX29" s="211">
        <f t="shared" si="134"/>
        <v>0</v>
      </c>
      <c r="AY29" s="212">
        <f t="shared" si="135"/>
        <v>0</v>
      </c>
      <c r="AZ29" s="211">
        <f t="shared" si="136"/>
        <v>0</v>
      </c>
      <c r="BA29" s="211">
        <f t="shared" si="137"/>
        <v>0</v>
      </c>
      <c r="BB29" s="211">
        <f t="shared" si="138"/>
        <v>0</v>
      </c>
      <c r="BC29" s="212">
        <f t="shared" si="139"/>
        <v>0</v>
      </c>
      <c r="BD29" s="211">
        <f t="shared" si="140"/>
        <v>0</v>
      </c>
      <c r="BE29" s="1135">
        <f>BS!BD15-BS!BE15+BS!BD25-BS!BE25+BS!BE32-BS!BD32+BS!BE40-BS!BD40</f>
        <v>0</v>
      </c>
      <c r="BF29" s="1135">
        <f>BS!BE15-BS!BF15+BS!BE25-BS!BF25+BS!BF32-BS!BE32+BS!BF40-BS!BE40</f>
        <v>0</v>
      </c>
      <c r="BG29" s="1136">
        <f>BS!BF15-BS!BG15+BS!BF25-BS!BG25+BS!BG32-BS!BF32+BS!BG40-BS!BF40</f>
        <v>0</v>
      </c>
      <c r="BH29" s="1135">
        <f>BS!BG15-BS!BH15+BS!BG25-BS!BH25+BS!BH32-BS!BG32+BS!BH40-BS!BG40</f>
        <v>0</v>
      </c>
      <c r="BI29" s="1135">
        <f>BS!BH15-BS!BI15+BS!BH25-BS!BI25+BS!BI32-BS!BH32+BS!BI40-BS!BH40</f>
        <v>0</v>
      </c>
      <c r="BJ29" s="1135">
        <f>BS!BI15-BS!BJ15+BS!BI25-BS!BJ25+BS!BJ32-BS!BI32+BS!BJ40-BS!BI40</f>
        <v>0</v>
      </c>
      <c r="BK29" s="1136">
        <f>BS!BJ15-BS!BK15+BS!BJ25-BS!BK25+BS!BK32-BS!BJ32+BS!BK40-BS!BJ40</f>
        <v>0</v>
      </c>
      <c r="BL29" s="1135">
        <f>BS!BK15-BS!BL15+BS!BK25-BS!BL25+BS!BL32-BS!BK32+BS!BL40-BS!BK40</f>
        <v>0</v>
      </c>
      <c r="BM29" s="1135">
        <f>BS!BL15-BS!BM15+BS!BL25-BS!BM25+BS!BM32-BS!BL32+BS!BM40-BS!BL40</f>
        <v>0</v>
      </c>
      <c r="BN29" s="1135">
        <f>BS!BM15-BS!BN15+BS!BM25-BS!BN25+BS!BN32-BS!BM32+BS!BN40-BS!BM40</f>
        <v>0</v>
      </c>
      <c r="BO29" s="1136">
        <f>BS!BN15-BS!BO15+BS!BN25-BS!BO25+BS!BO32-BS!BN32+BS!BO40-BS!BN40</f>
        <v>0</v>
      </c>
      <c r="BP29" s="23"/>
      <c r="BQ29" s="211">
        <f t="shared" si="141"/>
        <v>15.003</v>
      </c>
      <c r="BR29" s="211">
        <f t="shared" si="142"/>
        <v>96.335999999999999</v>
      </c>
      <c r="BS29" s="211">
        <f t="shared" si="143"/>
        <v>53.119</v>
      </c>
      <c r="BT29" s="211">
        <f t="shared" si="144"/>
        <v>41.442999999999998</v>
      </c>
      <c r="BU29" s="211">
        <f t="shared" si="145"/>
        <v>-29.013999999999999</v>
      </c>
      <c r="BV29" s="213">
        <f t="shared" si="146"/>
        <v>61.984000000000002</v>
      </c>
      <c r="BW29" s="211">
        <f t="shared" si="147"/>
        <v>-15.788</v>
      </c>
      <c r="BX29" s="213">
        <f t="shared" si="148"/>
        <v>0</v>
      </c>
      <c r="BY29" s="213">
        <f t="shared" si="149"/>
        <v>0</v>
      </c>
      <c r="BZ29" s="211">
        <f t="shared" si="150"/>
        <v>0</v>
      </c>
      <c r="CA29" s="211">
        <f t="shared" si="151"/>
        <v>0</v>
      </c>
      <c r="CB29" s="211">
        <f t="shared" si="152"/>
        <v>0</v>
      </c>
      <c r="CC29" s="211">
        <f t="shared" si="153"/>
        <v>0</v>
      </c>
      <c r="CD29" s="211">
        <f t="shared" si="154"/>
        <v>0</v>
      </c>
      <c r="CE29" s="211">
        <f t="shared" si="155"/>
        <v>0</v>
      </c>
      <c r="CF29" s="211">
        <f t="shared" si="156"/>
        <v>0</v>
      </c>
      <c r="CG29" s="23"/>
      <c r="CH29" s="213">
        <f t="shared" si="157"/>
        <v>15.003</v>
      </c>
      <c r="CI29" s="211">
        <f t="shared" si="158"/>
        <v>96.335999999999999</v>
      </c>
      <c r="CJ29" s="211">
        <f t="shared" si="159"/>
        <v>53.119</v>
      </c>
      <c r="CK29" s="211">
        <f t="shared" si="160"/>
        <v>41.442999999999998</v>
      </c>
      <c r="CL29" s="211">
        <f t="shared" si="161"/>
        <v>-29.013999999999999</v>
      </c>
      <c r="CM29" s="211">
        <f t="shared" si="162"/>
        <v>61.984000000000002</v>
      </c>
      <c r="CN29" s="211">
        <f t="shared" si="163"/>
        <v>-15.788</v>
      </c>
      <c r="CO29" s="211">
        <f t="shared" si="164"/>
        <v>0</v>
      </c>
      <c r="CP29" s="211">
        <f t="shared" si="165"/>
        <v>0</v>
      </c>
      <c r="CQ29" s="211">
        <f t="shared" si="166"/>
        <v>0</v>
      </c>
      <c r="CR29" s="211">
        <f t="shared" si="167"/>
        <v>0</v>
      </c>
      <c r="CS29" s="211">
        <f t="shared" si="168"/>
        <v>0</v>
      </c>
      <c r="CT29" s="211">
        <f t="shared" si="86"/>
        <v>0</v>
      </c>
      <c r="CU29" s="211">
        <f t="shared" si="169"/>
        <v>0</v>
      </c>
      <c r="CV29" s="212">
        <f t="shared" si="170"/>
        <v>0</v>
      </c>
      <c r="CW29" s="1149"/>
      <c r="DF29" s="1109"/>
    </row>
    <row r="30" spans="1:110" ht="14.25" customHeight="1">
      <c r="A30" s="8"/>
      <c r="B30" s="56" t="s">
        <v>204</v>
      </c>
      <c r="C30" s="57"/>
      <c r="D30" s="213">
        <f t="shared" si="88"/>
        <v>-32.86</v>
      </c>
      <c r="E30" s="211">
        <f t="shared" si="89"/>
        <v>10.661999999999999</v>
      </c>
      <c r="F30" s="211">
        <f t="shared" si="90"/>
        <v>17.221</v>
      </c>
      <c r="G30" s="212">
        <f t="shared" si="91"/>
        <v>7.8560000000000016</v>
      </c>
      <c r="H30" s="213">
        <f t="shared" si="92"/>
        <v>4.5170000000000003</v>
      </c>
      <c r="I30" s="211">
        <f t="shared" si="93"/>
        <v>31.526</v>
      </c>
      <c r="J30" s="211">
        <f t="shared" si="94"/>
        <v>19.777000000000001</v>
      </c>
      <c r="K30" s="212">
        <f t="shared" si="95"/>
        <v>-34.657000000000004</v>
      </c>
      <c r="L30" s="213">
        <f t="shared" si="96"/>
        <v>7.4649999999999999</v>
      </c>
      <c r="M30" s="211">
        <f t="shared" si="97"/>
        <v>79.313000000000002</v>
      </c>
      <c r="N30" s="211">
        <f t="shared" si="98"/>
        <v>22.697999999999997</v>
      </c>
      <c r="O30" s="212">
        <f t="shared" si="99"/>
        <v>-94.4</v>
      </c>
      <c r="P30" s="213">
        <f t="shared" si="100"/>
        <v>11.88</v>
      </c>
      <c r="Q30" s="211">
        <f t="shared" si="101"/>
        <v>41.943999999999996</v>
      </c>
      <c r="R30" s="211">
        <f t="shared" si="102"/>
        <v>15.83</v>
      </c>
      <c r="S30" s="212">
        <f t="shared" si="103"/>
        <v>-165.857</v>
      </c>
      <c r="T30" s="213">
        <f t="shared" si="104"/>
        <v>-15.137</v>
      </c>
      <c r="U30" s="211">
        <f t="shared" si="105"/>
        <v>-37.738</v>
      </c>
      <c r="V30" s="211">
        <f t="shared" si="106"/>
        <v>25.731999999999999</v>
      </c>
      <c r="W30" s="212">
        <f t="shared" si="107"/>
        <v>39.472999999999999</v>
      </c>
      <c r="X30" s="213">
        <f t="shared" si="108"/>
        <v>45.046999999999997</v>
      </c>
      <c r="Y30" s="211">
        <f t="shared" si="109"/>
        <v>81.209000000000003</v>
      </c>
      <c r="Z30" s="211">
        <f t="shared" si="110"/>
        <v>-10.340000000000003</v>
      </c>
      <c r="AA30" s="212">
        <f t="shared" si="111"/>
        <v>-141.96899999999999</v>
      </c>
      <c r="AB30" s="211">
        <f t="shared" si="112"/>
        <v>-35.594000000000001</v>
      </c>
      <c r="AC30" s="211">
        <f t="shared" si="113"/>
        <v>-46.683</v>
      </c>
      <c r="AD30" s="211">
        <f t="shared" si="114"/>
        <v>-9.597999999999999</v>
      </c>
      <c r="AE30" s="212">
        <f t="shared" si="115"/>
        <v>86.180999999999997</v>
      </c>
      <c r="AF30" s="211">
        <f t="shared" si="116"/>
        <v>31.545000000000002</v>
      </c>
      <c r="AG30" s="211">
        <f t="shared" si="117"/>
        <v>35.426000000000002</v>
      </c>
      <c r="AH30" s="211">
        <f t="shared" si="118"/>
        <v>-65.604000000000013</v>
      </c>
      <c r="AI30" s="212">
        <f t="shared" si="119"/>
        <v>24.836000000000013</v>
      </c>
      <c r="AJ30" s="211">
        <f t="shared" si="120"/>
        <v>2.8479999999999999</v>
      </c>
      <c r="AK30" s="211">
        <f t="shared" si="121"/>
        <v>45.844999999999999</v>
      </c>
      <c r="AL30" s="211">
        <f t="shared" si="122"/>
        <v>2.5000000000004796E-2</v>
      </c>
      <c r="AM30" s="212">
        <f t="shared" si="123"/>
        <v>56.893000000000001</v>
      </c>
      <c r="AN30" s="211">
        <f t="shared" si="124"/>
        <v>-24.73</v>
      </c>
      <c r="AO30" s="211">
        <f t="shared" si="125"/>
        <v>14.89</v>
      </c>
      <c r="AP30" s="211">
        <f t="shared" si="126"/>
        <v>4.0990000000000002</v>
      </c>
      <c r="AQ30" s="212">
        <f t="shared" si="127"/>
        <v>150.76000000000002</v>
      </c>
      <c r="AR30" s="211">
        <f t="shared" si="128"/>
        <v>-83.18</v>
      </c>
      <c r="AS30" s="211">
        <f t="shared" si="129"/>
        <v>81.193000000000012</v>
      </c>
      <c r="AT30" s="211">
        <f t="shared" si="130"/>
        <v>-73.537000000000006</v>
      </c>
      <c r="AU30" s="212">
        <f t="shared" si="131"/>
        <v>65.569999999999993</v>
      </c>
      <c r="AV30" s="211">
        <f t="shared" si="132"/>
        <v>-7.2949999999999999</v>
      </c>
      <c r="AW30" s="211">
        <f t="shared" si="133"/>
        <v>87.211000000000013</v>
      </c>
      <c r="AX30" s="211">
        <f t="shared" si="134"/>
        <v>-59.379000000000005</v>
      </c>
      <c r="AY30" s="212">
        <f t="shared" si="135"/>
        <v>99.951999999999984</v>
      </c>
      <c r="AZ30" s="211">
        <f t="shared" si="136"/>
        <v>28.594000000000001</v>
      </c>
      <c r="BA30" s="211">
        <f t="shared" si="137"/>
        <v>233.512</v>
      </c>
      <c r="BB30" s="211">
        <f t="shared" si="138"/>
        <v>-915.50900000000001</v>
      </c>
      <c r="BC30" s="212">
        <f t="shared" si="139"/>
        <v>870.27800000000002</v>
      </c>
      <c r="BD30" s="211">
        <f t="shared" si="140"/>
        <v>568.88300000000004</v>
      </c>
      <c r="BE30" s="1135">
        <f>BS!BE31-BS!BD31+BS!BE34-BS!BD34+BS!BE36-BS!BD36</f>
        <v>0</v>
      </c>
      <c r="BF30" s="1135">
        <f>BS!BF31-BS!BE31+BS!BF34-BS!BE34+BS!BF36-BS!BE36</f>
        <v>0</v>
      </c>
      <c r="BG30" s="1136">
        <f>BS!BG31-BS!BF31+BS!BG34-BS!BF34+BS!BG36-BS!BF36</f>
        <v>0</v>
      </c>
      <c r="BH30" s="1135">
        <f>BS!BH31-BS!BG31+BS!BH34-BS!BG34+BS!BH36-BS!BG36</f>
        <v>0</v>
      </c>
      <c r="BI30" s="1135">
        <f>BS!BI31-BS!BH31+BS!BI34-BS!BH34+BS!BI36-BS!BH36</f>
        <v>0</v>
      </c>
      <c r="BJ30" s="1135">
        <f>BS!BJ31-BS!BI31+BS!BJ34-BS!BI34+BS!BJ36-BS!BI36</f>
        <v>0</v>
      </c>
      <c r="BK30" s="1136">
        <f>BS!BK31-BS!BJ31+BS!BK34-BS!BJ34+BS!BK36-BS!BJ36</f>
        <v>0</v>
      </c>
      <c r="BL30" s="1135">
        <f>BS!BL31-BS!BK31+BS!BL34-BS!BK34+BS!BL36-BS!BK36</f>
        <v>0</v>
      </c>
      <c r="BM30" s="1135">
        <f>BS!BM31-BS!BL31+BS!BM34-BS!BL34+BS!BM36-BS!BL36</f>
        <v>0</v>
      </c>
      <c r="BN30" s="1135">
        <f>BS!BN31-BS!BM31+BS!BN34-BS!BM34+BS!BN36-BS!BM36</f>
        <v>0</v>
      </c>
      <c r="BO30" s="1136">
        <f>BS!BO31-BS!BN31+BS!BO34-BS!BN34+BS!BO36-BS!BN36</f>
        <v>0</v>
      </c>
      <c r="BP30" s="23"/>
      <c r="BQ30" s="211">
        <f t="shared" si="141"/>
        <v>2.8790000000000013</v>
      </c>
      <c r="BR30" s="211">
        <f t="shared" si="142"/>
        <v>21.162999999999997</v>
      </c>
      <c r="BS30" s="211">
        <f t="shared" si="143"/>
        <v>15.075999999999993</v>
      </c>
      <c r="BT30" s="211">
        <f t="shared" si="144"/>
        <v>-96.203000000000003</v>
      </c>
      <c r="BU30" s="211">
        <f t="shared" si="145"/>
        <v>12.329999999999998</v>
      </c>
      <c r="BV30" s="213">
        <f t="shared" si="146"/>
        <v>-26.052999999999997</v>
      </c>
      <c r="BW30" s="211">
        <f t="shared" si="147"/>
        <v>-5.6940000000000026</v>
      </c>
      <c r="BX30" s="213">
        <f t="shared" si="148"/>
        <v>26.203000000000003</v>
      </c>
      <c r="BY30" s="213">
        <f t="shared" si="149"/>
        <v>105.611</v>
      </c>
      <c r="BZ30" s="211">
        <f t="shared" si="150"/>
        <v>145.01900000000001</v>
      </c>
      <c r="CA30" s="211">
        <f t="shared" si="151"/>
        <v>-9.9540000000000077</v>
      </c>
      <c r="CB30" s="211">
        <f t="shared" si="152"/>
        <v>120.48899999999999</v>
      </c>
      <c r="CC30" s="211">
        <f t="shared" si="153"/>
        <v>216.875</v>
      </c>
      <c r="CD30" s="211">
        <f t="shared" si="154"/>
        <v>568.88300000000004</v>
      </c>
      <c r="CE30" s="211">
        <f t="shared" si="155"/>
        <v>0</v>
      </c>
      <c r="CF30" s="211">
        <f t="shared" si="156"/>
        <v>0</v>
      </c>
      <c r="CG30" s="23"/>
      <c r="CH30" s="213">
        <f t="shared" si="157"/>
        <v>40.256000000000007</v>
      </c>
      <c r="CI30" s="211">
        <f t="shared" si="158"/>
        <v>24.110999999999994</v>
      </c>
      <c r="CJ30" s="211">
        <f t="shared" si="159"/>
        <v>19.490999999999993</v>
      </c>
      <c r="CK30" s="211">
        <f t="shared" si="160"/>
        <v>-123.22</v>
      </c>
      <c r="CL30" s="211">
        <f t="shared" si="161"/>
        <v>72.513999999999996</v>
      </c>
      <c r="CM30" s="211">
        <f t="shared" si="162"/>
        <v>-106.69399999999999</v>
      </c>
      <c r="CN30" s="211">
        <f t="shared" si="163"/>
        <v>61.445</v>
      </c>
      <c r="CO30" s="211">
        <f t="shared" si="164"/>
        <v>-2.4939999999999989</v>
      </c>
      <c r="CP30" s="211">
        <f t="shared" si="165"/>
        <v>78.033000000000001</v>
      </c>
      <c r="CQ30" s="211">
        <f t="shared" si="166"/>
        <v>86.569000000000017</v>
      </c>
      <c r="CR30" s="211">
        <f t="shared" si="167"/>
        <v>65.930999999999997</v>
      </c>
      <c r="CS30" s="211">
        <f t="shared" si="168"/>
        <v>156.37799999999999</v>
      </c>
      <c r="CT30" s="211">
        <f>SUM(BA30:BD30)</f>
        <v>757.16399999999999</v>
      </c>
      <c r="CU30" s="211">
        <f t="shared" si="169"/>
        <v>0</v>
      </c>
      <c r="CV30" s="212">
        <f t="shared" si="170"/>
        <v>0</v>
      </c>
      <c r="CW30" s="1149"/>
      <c r="DF30" s="1109"/>
    </row>
    <row r="31" spans="1:110" ht="14.25" customHeight="1" thickBot="1">
      <c r="A31" s="8"/>
      <c r="B31" s="217" t="str">
        <f>B133</f>
        <v>Net cash provided by operating activities</v>
      </c>
      <c r="C31" s="218"/>
      <c r="D31" s="220">
        <f t="shared" ref="D31:AN31" si="171">D11+SUM(D13:D21)+SUM(D23:D30)</f>
        <v>116.87399999999992</v>
      </c>
      <c r="E31" s="219">
        <f t="shared" si="171"/>
        <v>175.20100000000002</v>
      </c>
      <c r="F31" s="219">
        <f t="shared" si="171"/>
        <v>180.31000000000006</v>
      </c>
      <c r="G31" s="221">
        <f t="shared" si="171"/>
        <v>200.31900000000005</v>
      </c>
      <c r="H31" s="220">
        <f t="shared" si="171"/>
        <v>175.255</v>
      </c>
      <c r="I31" s="219">
        <f t="shared" si="171"/>
        <v>205.13899999999998</v>
      </c>
      <c r="J31" s="219">
        <f t="shared" si="171"/>
        <v>73.972999999999971</v>
      </c>
      <c r="K31" s="221">
        <f t="shared" si="171"/>
        <v>166.73499999999996</v>
      </c>
      <c r="L31" s="220">
        <f t="shared" si="171"/>
        <v>208.15299999999999</v>
      </c>
      <c r="M31" s="219">
        <f t="shared" si="171"/>
        <v>238.63299999999992</v>
      </c>
      <c r="N31" s="219">
        <f t="shared" si="171"/>
        <v>190.7290000000001</v>
      </c>
      <c r="O31" s="221">
        <f t="shared" si="171"/>
        <v>182.85000000000005</v>
      </c>
      <c r="P31" s="220">
        <f t="shared" si="171"/>
        <v>177.42000000000004</v>
      </c>
      <c r="Q31" s="219">
        <f t="shared" si="171"/>
        <v>153.54300000000001</v>
      </c>
      <c r="R31" s="219">
        <f t="shared" si="171"/>
        <v>196.14700000000008</v>
      </c>
      <c r="S31" s="221">
        <f t="shared" si="171"/>
        <v>142.25800000000007</v>
      </c>
      <c r="T31" s="220">
        <f t="shared" si="171"/>
        <v>59.910000000000011</v>
      </c>
      <c r="U31" s="219">
        <f t="shared" si="171"/>
        <v>75.996000000000009</v>
      </c>
      <c r="V31" s="219">
        <f t="shared" si="171"/>
        <v>133.56399999999996</v>
      </c>
      <c r="W31" s="221">
        <f t="shared" si="171"/>
        <v>162.678</v>
      </c>
      <c r="X31" s="220">
        <f t="shared" si="171"/>
        <v>213.77299999999994</v>
      </c>
      <c r="Y31" s="219">
        <f t="shared" si="171"/>
        <v>278.32</v>
      </c>
      <c r="Z31" s="219">
        <f t="shared" si="171"/>
        <v>224.80599999999995</v>
      </c>
      <c r="AA31" s="221">
        <f t="shared" si="171"/>
        <v>274.27600000000012</v>
      </c>
      <c r="AB31" s="219">
        <f t="shared" si="171"/>
        <v>216.751</v>
      </c>
      <c r="AC31" s="219">
        <f t="shared" si="171"/>
        <v>196.63799999999992</v>
      </c>
      <c r="AD31" s="219">
        <f t="shared" si="171"/>
        <v>256.98</v>
      </c>
      <c r="AE31" s="221">
        <f t="shared" si="171"/>
        <v>230.15999999999997</v>
      </c>
      <c r="AF31" s="219">
        <f t="shared" si="171"/>
        <v>214.82</v>
      </c>
      <c r="AG31" s="219">
        <f t="shared" si="171"/>
        <v>225.96899999999999</v>
      </c>
      <c r="AH31" s="219">
        <f t="shared" si="171"/>
        <v>137.70599999999993</v>
      </c>
      <c r="AI31" s="221">
        <f t="shared" si="171"/>
        <v>236.04700000000008</v>
      </c>
      <c r="AJ31" s="219">
        <f t="shared" si="171"/>
        <v>157.96900000000002</v>
      </c>
      <c r="AK31" s="219">
        <f t="shared" si="171"/>
        <v>252.18599999999998</v>
      </c>
      <c r="AL31" s="219">
        <f t="shared" si="171"/>
        <v>220.02500000000003</v>
      </c>
      <c r="AM31" s="221">
        <f t="shared" si="171"/>
        <v>282.16500000000008</v>
      </c>
      <c r="AN31" s="219">
        <f t="shared" si="171"/>
        <v>157.47300000000007</v>
      </c>
      <c r="AO31" s="219">
        <f t="shared" ref="AO31:AT31" si="172">AO11+SUM(AO13:AO21)+SUM(AO23:AO30)</f>
        <v>238.42399999999992</v>
      </c>
      <c r="AP31" s="219">
        <f t="shared" si="172"/>
        <v>213.44199999999992</v>
      </c>
      <c r="AQ31" s="221">
        <f t="shared" si="172"/>
        <v>262.26299999999998</v>
      </c>
      <c r="AR31" s="219">
        <f t="shared" si="172"/>
        <v>168.65299999999996</v>
      </c>
      <c r="AS31" s="219">
        <f t="shared" si="172"/>
        <v>344.03100000000006</v>
      </c>
      <c r="AT31" s="219">
        <f t="shared" si="172"/>
        <v>197.13900000000004</v>
      </c>
      <c r="AU31" s="221">
        <f t="shared" ref="AU31:BG31" si="173">AU11+SUM(AU13:AU21)+SUM(AU23:AU30)</f>
        <v>197.97500000000008</v>
      </c>
      <c r="AV31" s="219">
        <f t="shared" si="173"/>
        <v>219.70499999999998</v>
      </c>
      <c r="AW31" s="219">
        <f t="shared" si="173"/>
        <v>320.20299999999992</v>
      </c>
      <c r="AX31" s="219">
        <f t="shared" si="173"/>
        <v>254.00299999999993</v>
      </c>
      <c r="AY31" s="221">
        <f t="shared" ref="AY31:BB31" si="174">AY11+SUM(AY13:AY21)+SUM(AY23:AY30)</f>
        <v>486.98400000000009</v>
      </c>
      <c r="AZ31" s="219">
        <f t="shared" si="174"/>
        <v>314.4919999999999</v>
      </c>
      <c r="BA31" s="219">
        <f t="shared" si="174"/>
        <v>521.46399999999994</v>
      </c>
      <c r="BB31" s="219">
        <f t="shared" si="174"/>
        <v>-364.28300000000002</v>
      </c>
      <c r="BC31" s="221">
        <f t="shared" ref="BC31:BD31" si="175">BC11+SUM(BC13:BC21)+SUM(BC23:BC30)</f>
        <v>640.9190000000001</v>
      </c>
      <c r="BD31" s="219">
        <f t="shared" si="175"/>
        <v>388.6880000000001</v>
      </c>
      <c r="BE31" s="219">
        <f t="shared" si="173"/>
        <v>496.62712166196167</v>
      </c>
      <c r="BF31" s="219">
        <f t="shared" si="173"/>
        <v>623.71285704709726</v>
      </c>
      <c r="BG31" s="221">
        <f t="shared" si="173"/>
        <v>623.92024141890033</v>
      </c>
      <c r="BH31" s="219">
        <f t="shared" ref="BH31:BK31" si="176">BH11+SUM(BH13:BH21)+SUM(BH23:BH30)</f>
        <v>607.50343745377927</v>
      </c>
      <c r="BI31" s="219">
        <f t="shared" si="176"/>
        <v>580.39783663632466</v>
      </c>
      <c r="BJ31" s="219">
        <f t="shared" si="176"/>
        <v>627.16652139076177</v>
      </c>
      <c r="BK31" s="221">
        <f t="shared" si="176"/>
        <v>654.72508406494694</v>
      </c>
      <c r="BL31" s="219">
        <f t="shared" ref="BL31:BO31" si="177">BL11+SUM(BL13:BL21)+SUM(BL23:BL30)</f>
        <v>692.64293845090378</v>
      </c>
      <c r="BM31" s="219">
        <f t="shared" si="177"/>
        <v>645.48126773186755</v>
      </c>
      <c r="BN31" s="219">
        <f t="shared" si="177"/>
        <v>692.23483366950393</v>
      </c>
      <c r="BO31" s="219">
        <f t="shared" si="177"/>
        <v>717.02046174959014</v>
      </c>
      <c r="BP31" s="23"/>
      <c r="BQ31" s="219">
        <f t="shared" ref="BQ31:CB31" si="178">BQ11+SUM(BQ13:BQ21)+SUM(BQ23:BQ30)</f>
        <v>672.70400000000006</v>
      </c>
      <c r="BR31" s="219">
        <f t="shared" si="178"/>
        <v>621.10199999999986</v>
      </c>
      <c r="BS31" s="219">
        <f t="shared" si="178"/>
        <v>820.36500000000001</v>
      </c>
      <c r="BT31" s="219">
        <f t="shared" si="178"/>
        <v>669.36800000000005</v>
      </c>
      <c r="BU31" s="219">
        <f t="shared" si="178"/>
        <v>432.14800000000002</v>
      </c>
      <c r="BV31" s="220">
        <f t="shared" si="178"/>
        <v>991.17500000000007</v>
      </c>
      <c r="BW31" s="219">
        <f t="shared" si="178"/>
        <v>900.529</v>
      </c>
      <c r="BX31" s="220">
        <f t="shared" si="178"/>
        <v>814.54200000000014</v>
      </c>
      <c r="BY31" s="220">
        <f t="shared" si="178"/>
        <v>912.34500000000003</v>
      </c>
      <c r="BZ31" s="219">
        <f t="shared" si="178"/>
        <v>871.60199999999986</v>
      </c>
      <c r="CA31" s="219">
        <f t="shared" si="178"/>
        <v>907.79800000000023</v>
      </c>
      <c r="CB31" s="219">
        <f t="shared" si="178"/>
        <v>1280.895</v>
      </c>
      <c r="CC31" s="219">
        <f>CC11+SUM(CC13:CC21)+SUM(CC23:CC30)</f>
        <v>1112.5919999999999</v>
      </c>
      <c r="CD31" s="219">
        <f>CD11+SUM(CD13:CD21)+SUM(CD23:CD30)</f>
        <v>2132.9482201279593</v>
      </c>
      <c r="CE31" s="219">
        <f>CE11+SUM(CE13:CE21)+SUM(CE23:CE30)</f>
        <v>2469.7928795458124</v>
      </c>
      <c r="CF31" s="219">
        <f>CF11+SUM(CF13:CF21)+SUM(CF23:CF30)</f>
        <v>2747.3795016018657</v>
      </c>
      <c r="CG31" s="23"/>
      <c r="CH31" s="220">
        <f t="shared" ref="CH31:CR31" si="179">CH11+SUM(CH13:CH21)+SUM(CH23:CH30)</f>
        <v>731.08500000000004</v>
      </c>
      <c r="CI31" s="219">
        <f t="shared" si="179"/>
        <v>653.99999999999989</v>
      </c>
      <c r="CJ31" s="219">
        <f t="shared" si="179"/>
        <v>789.63200000000006</v>
      </c>
      <c r="CK31" s="219">
        <f t="shared" si="179"/>
        <v>551.85800000000029</v>
      </c>
      <c r="CL31" s="219">
        <f t="shared" si="179"/>
        <v>586.01099999999985</v>
      </c>
      <c r="CM31" s="219">
        <f t="shared" si="179"/>
        <v>994.15300000000002</v>
      </c>
      <c r="CN31" s="219">
        <f t="shared" si="179"/>
        <v>898.59799999999996</v>
      </c>
      <c r="CO31" s="219">
        <f t="shared" si="179"/>
        <v>757.69100000000003</v>
      </c>
      <c r="CP31" s="219">
        <f t="shared" si="179"/>
        <v>911.84900000000005</v>
      </c>
      <c r="CQ31" s="219">
        <f t="shared" si="179"/>
        <v>882.78199999999993</v>
      </c>
      <c r="CR31" s="219">
        <f t="shared" si="179"/>
        <v>958.85000000000025</v>
      </c>
      <c r="CS31" s="219">
        <f>CS11+SUM(CS13:CS21)+SUM(CS23:CS30)</f>
        <v>1375.6819999999996</v>
      </c>
      <c r="CT31" s="219">
        <f>CT11+SUM(CT13:CT21)+SUM(CT23:CT30)</f>
        <v>1186.7880000000002</v>
      </c>
      <c r="CU31" s="219">
        <f>CU11+SUM(CU13:CU21)+SUM(CU23:CU30)</f>
        <v>2351.7636575817387</v>
      </c>
      <c r="CV31" s="221">
        <f>CV11+SUM(CV13:CV21)+SUM(CV23:CV30)</f>
        <v>2554.9323805429372</v>
      </c>
      <c r="CW31" s="1149"/>
      <c r="DF31" s="1109"/>
    </row>
    <row r="32" spans="1:110" ht="14.25" customHeight="1" thickTop="1">
      <c r="A32" s="8"/>
      <c r="B32" s="26"/>
      <c r="C32" s="27"/>
      <c r="D32" s="213"/>
      <c r="E32" s="211"/>
      <c r="F32" s="211"/>
      <c r="G32" s="212"/>
      <c r="H32" s="213"/>
      <c r="I32" s="211"/>
      <c r="J32" s="211"/>
      <c r="K32" s="212"/>
      <c r="L32" s="213"/>
      <c r="M32" s="211"/>
      <c r="N32" s="211"/>
      <c r="O32" s="212"/>
      <c r="P32" s="213"/>
      <c r="Q32" s="211"/>
      <c r="R32" s="211"/>
      <c r="S32" s="212"/>
      <c r="T32" s="213"/>
      <c r="U32" s="211"/>
      <c r="V32" s="211"/>
      <c r="W32" s="212"/>
      <c r="X32" s="213"/>
      <c r="Y32" s="211"/>
      <c r="Z32" s="211"/>
      <c r="AA32" s="212"/>
      <c r="AB32" s="211"/>
      <c r="AC32" s="211"/>
      <c r="AD32" s="211"/>
      <c r="AE32" s="212"/>
      <c r="AF32" s="211"/>
      <c r="AG32" s="211"/>
      <c r="AH32" s="211"/>
      <c r="AI32" s="212"/>
      <c r="AJ32" s="211"/>
      <c r="AK32" s="211"/>
      <c r="AL32" s="211"/>
      <c r="AM32" s="212"/>
      <c r="AN32" s="211"/>
      <c r="AO32" s="211"/>
      <c r="AP32" s="211"/>
      <c r="AQ32" s="212"/>
      <c r="AR32" s="211"/>
      <c r="AS32" s="211"/>
      <c r="AT32" s="211"/>
      <c r="AU32" s="212"/>
      <c r="AV32" s="211"/>
      <c r="AW32" s="211"/>
      <c r="AX32" s="211"/>
      <c r="AY32" s="212"/>
      <c r="AZ32" s="211"/>
      <c r="BA32" s="211"/>
      <c r="BB32" s="211"/>
      <c r="BC32" s="212"/>
      <c r="BD32" s="211"/>
      <c r="BE32" s="214"/>
      <c r="BF32" s="214"/>
      <c r="BG32" s="215"/>
      <c r="BH32" s="214"/>
      <c r="BI32" s="214"/>
      <c r="BJ32" s="214"/>
      <c r="BK32" s="215"/>
      <c r="BL32" s="214"/>
      <c r="BM32" s="214"/>
      <c r="BN32" s="214"/>
      <c r="BO32" s="214"/>
      <c r="BP32" s="23"/>
      <c r="BQ32" s="214"/>
      <c r="BR32" s="214"/>
      <c r="BS32" s="214"/>
      <c r="BT32" s="214"/>
      <c r="BU32" s="214"/>
      <c r="BV32" s="216"/>
      <c r="BW32" s="214"/>
      <c r="BX32" s="216"/>
      <c r="BY32" s="216"/>
      <c r="BZ32" s="214"/>
      <c r="CA32" s="214"/>
      <c r="CB32" s="214"/>
      <c r="CC32" s="214"/>
      <c r="CD32" s="214"/>
      <c r="CE32" s="214"/>
      <c r="CF32" s="214"/>
      <c r="CG32" s="23"/>
      <c r="CH32" s="216"/>
      <c r="CI32" s="214"/>
      <c r="CJ32" s="214"/>
      <c r="CK32" s="214"/>
      <c r="CL32" s="214"/>
      <c r="CM32" s="214"/>
      <c r="CN32" s="214"/>
      <c r="CO32" s="214"/>
      <c r="CP32" s="214"/>
      <c r="CQ32" s="214"/>
      <c r="CR32" s="214"/>
      <c r="CS32" s="214"/>
      <c r="CT32" s="214"/>
      <c r="CU32" s="214"/>
      <c r="CV32" s="215"/>
      <c r="CW32" s="1149"/>
      <c r="DF32" s="1109"/>
    </row>
    <row r="33" spans="1:111" ht="14.25" customHeight="1">
      <c r="A33" s="8"/>
      <c r="B33" s="51" t="str">
        <f t="shared" ref="B33:B41" si="180">B135</f>
        <v>Cash flows from investing activities:</v>
      </c>
      <c r="C33" s="52"/>
      <c r="D33" s="213"/>
      <c r="E33" s="211"/>
      <c r="F33" s="211"/>
      <c r="G33" s="212"/>
      <c r="H33" s="213"/>
      <c r="I33" s="211"/>
      <c r="J33" s="211"/>
      <c r="K33" s="212"/>
      <c r="L33" s="213"/>
      <c r="M33" s="211"/>
      <c r="N33" s="211"/>
      <c r="O33" s="212"/>
      <c r="P33" s="213"/>
      <c r="Q33" s="211"/>
      <c r="R33" s="211"/>
      <c r="S33" s="212"/>
      <c r="T33" s="213"/>
      <c r="U33" s="211"/>
      <c r="V33" s="211"/>
      <c r="W33" s="212"/>
      <c r="X33" s="213"/>
      <c r="Y33" s="211"/>
      <c r="Z33" s="211"/>
      <c r="AA33" s="212"/>
      <c r="AB33" s="211"/>
      <c r="AC33" s="211"/>
      <c r="AD33" s="211"/>
      <c r="AE33" s="212"/>
      <c r="AF33" s="211"/>
      <c r="AG33" s="211"/>
      <c r="AH33" s="211"/>
      <c r="AI33" s="212"/>
      <c r="AJ33" s="211"/>
      <c r="AK33" s="211"/>
      <c r="AL33" s="211"/>
      <c r="AM33" s="212"/>
      <c r="AN33" s="211"/>
      <c r="AO33" s="211"/>
      <c r="AP33" s="211"/>
      <c r="AQ33" s="212"/>
      <c r="AR33" s="211"/>
      <c r="AS33" s="211"/>
      <c r="AT33" s="211"/>
      <c r="AU33" s="212"/>
      <c r="AV33" s="211"/>
      <c r="AW33" s="211"/>
      <c r="AX33" s="211"/>
      <c r="AY33" s="212"/>
      <c r="AZ33" s="211"/>
      <c r="BA33" s="211"/>
      <c r="BB33" s="211"/>
      <c r="BC33" s="212"/>
      <c r="BD33" s="211"/>
      <c r="BE33" s="214"/>
      <c r="BF33" s="214"/>
      <c r="BG33" s="215"/>
      <c r="BH33" s="214"/>
      <c r="BI33" s="214"/>
      <c r="BJ33" s="214"/>
      <c r="BK33" s="215"/>
      <c r="BL33" s="214"/>
      <c r="BM33" s="214"/>
      <c r="BN33" s="214"/>
      <c r="BO33" s="214"/>
      <c r="BP33" s="23"/>
      <c r="BQ33" s="214"/>
      <c r="BR33" s="214"/>
      <c r="BS33" s="214"/>
      <c r="BT33" s="214"/>
      <c r="BU33" s="214"/>
      <c r="BV33" s="216"/>
      <c r="BW33" s="214"/>
      <c r="BX33" s="216"/>
      <c r="BY33" s="216"/>
      <c r="BZ33" s="214"/>
      <c r="CA33" s="214"/>
      <c r="CB33" s="214"/>
      <c r="CC33" s="214"/>
      <c r="CD33" s="214"/>
      <c r="CE33" s="214"/>
      <c r="CF33" s="214"/>
      <c r="CG33" s="23"/>
      <c r="CH33" s="216"/>
      <c r="CI33" s="214"/>
      <c r="CJ33" s="214"/>
      <c r="CK33" s="214"/>
      <c r="CL33" s="214"/>
      <c r="CM33" s="214"/>
      <c r="CN33" s="214"/>
      <c r="CO33" s="214"/>
      <c r="CP33" s="214"/>
      <c r="CQ33" s="214"/>
      <c r="CR33" s="214"/>
      <c r="CS33" s="214"/>
      <c r="CT33" s="214"/>
      <c r="CU33" s="214"/>
      <c r="CV33" s="215"/>
      <c r="CW33" s="1149"/>
      <c r="DF33" s="1109"/>
    </row>
    <row r="34" spans="1:111" ht="14.25" customHeight="1">
      <c r="A34" s="8"/>
      <c r="B34" s="31" t="str">
        <f t="shared" si="180"/>
        <v>Additions to property, plant and equipment, net</v>
      </c>
      <c r="C34" s="32"/>
      <c r="D34" s="213">
        <f t="shared" ref="D34:D40" si="181">D136</f>
        <v>-23.884</v>
      </c>
      <c r="E34" s="211">
        <f t="shared" ref="E34:E40" si="182">E136-D34</f>
        <v>-21.631999999999998</v>
      </c>
      <c r="F34" s="211">
        <f t="shared" ref="F34:F40" si="183">F136-E34-D34</f>
        <v>-18.911999999999999</v>
      </c>
      <c r="G34" s="212">
        <f t="shared" ref="G34:G40" si="184">G136-F34-E34-D34</f>
        <v>-21.028999999999989</v>
      </c>
      <c r="H34" s="213">
        <f t="shared" ref="H34:H40" si="185">H136</f>
        <v>-20.36</v>
      </c>
      <c r="I34" s="211">
        <f t="shared" ref="I34:I40" si="186">I136-H34</f>
        <v>-28.822000000000003</v>
      </c>
      <c r="J34" s="211">
        <f t="shared" ref="J34:J40" si="187">J136-I34-H34</f>
        <v>-38.36</v>
      </c>
      <c r="K34" s="212">
        <f t="shared" ref="K34:K40" si="188">K136-J34-I34-H34</f>
        <v>-41.754999999999995</v>
      </c>
      <c r="L34" s="213">
        <f t="shared" ref="L34:L40" si="189">L136</f>
        <v>-37.725999999999999</v>
      </c>
      <c r="M34" s="211">
        <f t="shared" ref="M34:M40" si="190">M136-L34</f>
        <v>-39.661000000000001</v>
      </c>
      <c r="N34" s="211">
        <f t="shared" ref="N34:N40" si="191">N136-M34-L34</f>
        <v>-31.245999999999995</v>
      </c>
      <c r="O34" s="212">
        <f t="shared" ref="O34:O40" si="192">O136-N34-M34-L34</f>
        <v>-33.177000000000007</v>
      </c>
      <c r="P34" s="213">
        <f t="shared" ref="P34:P40" si="193">P136</f>
        <v>-40.115000000000002</v>
      </c>
      <c r="Q34" s="211">
        <f t="shared" ref="Q34:Q40" si="194">Q136-P34</f>
        <v>-30.535000000000004</v>
      </c>
      <c r="R34" s="211">
        <f t="shared" ref="R34:R40" si="195">R136-Q34-P34</f>
        <v>-39.381000000000007</v>
      </c>
      <c r="S34" s="212">
        <f t="shared" ref="S34:S40" si="196">S136-R34-Q34-P34</f>
        <v>-47.376999999999988</v>
      </c>
      <c r="T34" s="213">
        <f t="shared" ref="T34:T40" si="197">T136</f>
        <v>-22.234999999999999</v>
      </c>
      <c r="U34" s="211">
        <f t="shared" ref="U34:U40" si="198">U136-T34</f>
        <v>-12.045999999999999</v>
      </c>
      <c r="V34" s="211">
        <f t="shared" ref="V34:V40" si="199">V136-U34-T34</f>
        <v>-5.4250000000000043</v>
      </c>
      <c r="W34" s="212">
        <f t="shared" ref="W34:W40" si="200">W136-V34-U34-T34</f>
        <v>-16.388999999999996</v>
      </c>
      <c r="X34" s="213">
        <f t="shared" ref="X34:X40" si="201">X136</f>
        <v>-17.178999999999998</v>
      </c>
      <c r="Y34" s="211">
        <f t="shared" ref="Y34:Y40" si="202">Y136-X34</f>
        <v>-17.489999999999998</v>
      </c>
      <c r="Z34" s="211">
        <f t="shared" ref="Z34:Z40" si="203">Z136-Y34-X34</f>
        <v>-39.125</v>
      </c>
      <c r="AA34" s="212">
        <f t="shared" ref="AA34:AA40" si="204">AA136-Z34-Y34-X34</f>
        <v>-37.763000000000005</v>
      </c>
      <c r="AB34" s="211">
        <f t="shared" ref="AB34:AB40" si="205">AB136</f>
        <v>-25.547000000000001</v>
      </c>
      <c r="AC34" s="211">
        <f t="shared" ref="AC34:AC40" si="206">AC136-AB34</f>
        <v>-34.141000000000005</v>
      </c>
      <c r="AD34" s="211">
        <f t="shared" ref="AD34:AD40" si="207">AD136-AC34-AB34</f>
        <v>-36.977000000000004</v>
      </c>
      <c r="AE34" s="212">
        <f t="shared" ref="AE34:AE40" si="208">AE136-AD34-AC34-AB34</f>
        <v>-26.330999999999985</v>
      </c>
      <c r="AF34" s="211">
        <f t="shared" ref="AF34:AF40" si="209">AF136</f>
        <v>-25.289000000000001</v>
      </c>
      <c r="AG34" s="211">
        <f t="shared" ref="AG34:AG40" si="210">AG136-AF34</f>
        <v>-30.137</v>
      </c>
      <c r="AH34" s="211">
        <f t="shared" ref="AH34:AH40" si="211">AH136-AG34-AF34</f>
        <v>-39.239000000000004</v>
      </c>
      <c r="AI34" s="212">
        <f t="shared" ref="AI34:AI40" si="212">AI136-AH34-AG34-AF34</f>
        <v>-37.510999999999981</v>
      </c>
      <c r="AJ34" s="211">
        <f t="shared" ref="AJ34:AJ40" si="213">AJ136</f>
        <v>-18.268999999999998</v>
      </c>
      <c r="AK34" s="211">
        <f t="shared" ref="AK34:AK40" si="214">AK136-AJ34</f>
        <v>-26.178999999999995</v>
      </c>
      <c r="AL34" s="211">
        <f t="shared" ref="AL34:AL40" si="215">AL136-AK34-AJ34</f>
        <v>-30.068000000000012</v>
      </c>
      <c r="AM34" s="212">
        <f t="shared" ref="AM34:AM40" si="216">AM136-AL34-AK34-AJ34</f>
        <v>-48.558</v>
      </c>
      <c r="AN34" s="211">
        <f t="shared" ref="AN34:AN40" si="217">AN136</f>
        <v>-48.122999999999998</v>
      </c>
      <c r="AO34" s="211">
        <f t="shared" ref="AO34:AO40" si="218">AO136-AN34</f>
        <v>-44.058</v>
      </c>
      <c r="AP34" s="211">
        <f t="shared" ref="AP34:AP40" si="219">AP136-AO34-AN34</f>
        <v>-42.315000000000019</v>
      </c>
      <c r="AQ34" s="212">
        <f t="shared" ref="AQ34:AQ40" si="220">AQ136-AP34-AO34-AN34</f>
        <v>-43.416999999999994</v>
      </c>
      <c r="AR34" s="211">
        <f t="shared" ref="AR34:AR40" si="221">AR136</f>
        <v>-23.76</v>
      </c>
      <c r="AS34" s="211">
        <f t="shared" ref="AS34:AS40" si="222">AS136-AR34</f>
        <v>-49.228999999999999</v>
      </c>
      <c r="AT34" s="211">
        <f t="shared" ref="AT34:AT40" si="223">AT136-AS34-AR34</f>
        <v>-35.164000000000001</v>
      </c>
      <c r="AU34" s="212">
        <f t="shared" ref="AU34:AU40" si="224">AU136-AT34-AS34-AR34</f>
        <v>-45.807000000000002</v>
      </c>
      <c r="AV34" s="211">
        <f t="shared" ref="AV34:AV40" si="225">AV136</f>
        <v>-23.128</v>
      </c>
      <c r="AW34" s="211">
        <f t="shared" ref="AW34:AW40" si="226">AW136-AV34</f>
        <v>-25.517000000000003</v>
      </c>
      <c r="AX34" s="211">
        <f t="shared" ref="AX34:AX40" si="227">AX136-AW34-AV34</f>
        <v>-37.527999999999999</v>
      </c>
      <c r="AY34" s="212">
        <f t="shared" ref="AY34:AY40" si="228">AY136-AX34-AW34-AV34</f>
        <v>-41.224000000000004</v>
      </c>
      <c r="AZ34" s="211">
        <f t="shared" ref="AZ34:AZ40" si="229">AZ136</f>
        <v>-28.337</v>
      </c>
      <c r="BA34" s="211">
        <f t="shared" ref="BA34:BA40" si="230">BA136-AZ34</f>
        <v>-46.929000000000002</v>
      </c>
      <c r="BB34" s="211">
        <f t="shared" ref="BB34:BB40" si="231">BB136-BA34-AZ34</f>
        <v>-63.617000000000004</v>
      </c>
      <c r="BC34" s="212">
        <f t="shared" ref="BC34:BC40" si="232">BC136-BB34-BA34-AZ34</f>
        <v>-65.214999999999989</v>
      </c>
      <c r="BD34" s="211">
        <f t="shared" ref="BD34:BD40" si="233">BD136</f>
        <v>-63.222000000000001</v>
      </c>
      <c r="BE34" s="211">
        <f t="shared" ref="BE34:BG34" si="234">-BE67-BE68</f>
        <v>-73.518741249999991</v>
      </c>
      <c r="BF34" s="211">
        <f t="shared" si="234"/>
        <v>-75.674486478749998</v>
      </c>
      <c r="BG34" s="212">
        <f t="shared" si="234"/>
        <v>-78.172568424187503</v>
      </c>
      <c r="BH34" s="211">
        <f t="shared" ref="BH34:BK34" si="235">-BH67-BH68</f>
        <v>-74.104302327298115</v>
      </c>
      <c r="BI34" s="211">
        <f t="shared" si="235"/>
        <v>-77.492262080603453</v>
      </c>
      <c r="BJ34" s="211">
        <f t="shared" si="235"/>
        <v>-80.333951903658772</v>
      </c>
      <c r="BK34" s="212">
        <f t="shared" si="235"/>
        <v>-83.682606171880707</v>
      </c>
      <c r="BL34" s="211">
        <f t="shared" ref="BL34:BO34" si="236">-BL67-BL68</f>
        <v>-79.333775579796438</v>
      </c>
      <c r="BM34" s="211">
        <f t="shared" si="236"/>
        <v>-82.690934829704759</v>
      </c>
      <c r="BN34" s="211">
        <f t="shared" si="236"/>
        <v>-85.300132762564203</v>
      </c>
      <c r="BO34" s="211">
        <f t="shared" si="236"/>
        <v>-88.328678815464997</v>
      </c>
      <c r="BP34" s="23"/>
      <c r="BQ34" s="211">
        <f t="shared" ref="BQ34:BQ40" si="237">SUM(D34:G34)</f>
        <v>-85.456999999999994</v>
      </c>
      <c r="BR34" s="211">
        <f t="shared" ref="BR34:BR40" si="238">SUM(H34:K34)</f>
        <v>-129.297</v>
      </c>
      <c r="BS34" s="211">
        <f t="shared" ref="BS34:BS40" si="239">SUM(L34:O34)</f>
        <v>-141.81</v>
      </c>
      <c r="BT34" s="211">
        <f t="shared" ref="BT34:BT40" si="240">SUM(P34:S34)</f>
        <v>-157.40799999999999</v>
      </c>
      <c r="BU34" s="211">
        <f t="shared" ref="BU34:BU40" si="241">SUM(T34:W34)</f>
        <v>-56.094999999999999</v>
      </c>
      <c r="BV34" s="213">
        <f t="shared" ref="BV34:BV40" si="242">SUM(X34:AA34)</f>
        <v>-111.557</v>
      </c>
      <c r="BW34" s="211">
        <f t="shared" ref="BW34:BW40" si="243">SUM(AB34:AE34)</f>
        <v>-122.996</v>
      </c>
      <c r="BX34" s="213">
        <f t="shared" ref="BX34:BX40" si="244">SUM(AF34:AI34)</f>
        <v>-132.17599999999999</v>
      </c>
      <c r="BY34" s="213">
        <f t="shared" ref="BY34:BY40" si="245">SUM(AJ34:AM34)</f>
        <v>-123.07400000000001</v>
      </c>
      <c r="BZ34" s="211">
        <f t="shared" ref="BZ34:BZ40" si="246">SUM(AN34:AQ34)</f>
        <v>-177.91300000000001</v>
      </c>
      <c r="CA34" s="211">
        <f t="shared" ref="CA34:CA40" si="247">SUM(AR34:AU34)</f>
        <v>-153.96</v>
      </c>
      <c r="CB34" s="211">
        <f t="shared" ref="CB34:CB40" si="248">SUM(AV34:AY34)</f>
        <v>-127.39700000000001</v>
      </c>
      <c r="CC34" s="211">
        <f t="shared" ref="CC34:CC40" si="249">SUM(AZ34:BC34)</f>
        <v>-204.09800000000001</v>
      </c>
      <c r="CD34" s="211">
        <f t="shared" ref="CD34:CD40" si="250">SUM(BD34:BG34)</f>
        <v>-290.58779615293747</v>
      </c>
      <c r="CE34" s="211">
        <f t="shared" ref="CE34:CE40" si="251">SUM(BH34:BK34)</f>
        <v>-315.61312248344103</v>
      </c>
      <c r="CF34" s="211">
        <f t="shared" ref="CF34:CF40" si="252">SUM(BL34:BO34)</f>
        <v>-335.65352198753044</v>
      </c>
      <c r="CG34" s="23"/>
      <c r="CH34" s="213">
        <f t="shared" ref="CH34:CH40" si="253">SUM(E34:H34)</f>
        <v>-81.932999999999993</v>
      </c>
      <c r="CI34" s="211">
        <f t="shared" ref="CI34:CI40" si="254">SUM(I34:L34)</f>
        <v>-146.66300000000001</v>
      </c>
      <c r="CJ34" s="211">
        <f t="shared" ref="CJ34:CJ40" si="255">SUM(M34:P34)</f>
        <v>-144.19900000000001</v>
      </c>
      <c r="CK34" s="211">
        <f t="shared" ref="CK34:CK40" si="256">SUM(Q34:T34)</f>
        <v>-139.52800000000002</v>
      </c>
      <c r="CL34" s="211">
        <f t="shared" ref="CL34:CL40" si="257">SUM(U34:X34)</f>
        <v>-51.039000000000001</v>
      </c>
      <c r="CM34" s="211">
        <f t="shared" ref="CM34:CM40" si="258">SUM(Y34:AB34)</f>
        <v>-119.925</v>
      </c>
      <c r="CN34" s="211">
        <f t="shared" ref="CN34:CN40" si="259">SUM(AC34:AF34)</f>
        <v>-122.738</v>
      </c>
      <c r="CO34" s="211">
        <f t="shared" ref="CO34:CO40" si="260">SUM(AG34:AJ34)</f>
        <v>-125.15599999999998</v>
      </c>
      <c r="CP34" s="211">
        <f t="shared" ref="CP34:CP40" si="261">SUM(AK34:AN34)</f>
        <v>-152.928</v>
      </c>
      <c r="CQ34" s="211">
        <f t="shared" ref="CQ34:CQ40" si="262">SUM(AO34:AR34)</f>
        <v>-153.55000000000001</v>
      </c>
      <c r="CR34" s="211">
        <f t="shared" ref="CR34:CR40" si="263">SUM(AS34:AV34)</f>
        <v>-153.32799999999997</v>
      </c>
      <c r="CS34" s="211">
        <f t="shared" ref="CS34:CS40" si="264">SUM(AW34:AZ34)</f>
        <v>-132.60599999999999</v>
      </c>
      <c r="CT34" s="211">
        <f>SUM(BA34:BD34)</f>
        <v>-238.983</v>
      </c>
      <c r="CU34" s="211">
        <f t="shared" ref="CU34:CU40" si="265">SUM(BE34:BH34)</f>
        <v>-301.47009848023561</v>
      </c>
      <c r="CV34" s="212">
        <f t="shared" ref="CV34:CV40" si="266">SUM(BI34:BL34)</f>
        <v>-320.84259573593937</v>
      </c>
      <c r="CW34" s="1149"/>
      <c r="DF34" s="1109"/>
      <c r="DG34" s="1110"/>
    </row>
    <row r="35" spans="1:111" ht="14.25" customHeight="1">
      <c r="A35" s="8"/>
      <c r="B35" s="31" t="str">
        <f t="shared" si="180"/>
        <v>Purchase of short-term investments</v>
      </c>
      <c r="C35" s="32"/>
      <c r="D35" s="213">
        <f t="shared" si="181"/>
        <v>-797.65499999999997</v>
      </c>
      <c r="E35" s="211">
        <f t="shared" si="182"/>
        <v>-942.68700000000013</v>
      </c>
      <c r="F35" s="211">
        <f t="shared" si="183"/>
        <v>-841.48599999999988</v>
      </c>
      <c r="G35" s="212">
        <f t="shared" si="184"/>
        <v>-875.18899999999985</v>
      </c>
      <c r="H35" s="213">
        <f t="shared" si="185"/>
        <v>-954.87099999999998</v>
      </c>
      <c r="I35" s="211">
        <f t="shared" si="186"/>
        <v>-421.10299999999995</v>
      </c>
      <c r="J35" s="211">
        <f t="shared" si="187"/>
        <v>-689.12999999999977</v>
      </c>
      <c r="K35" s="212">
        <f t="shared" si="188"/>
        <v>-418.01900000000035</v>
      </c>
      <c r="L35" s="213">
        <f t="shared" si="189"/>
        <v>-646.40700000000004</v>
      </c>
      <c r="M35" s="211">
        <f t="shared" si="190"/>
        <v>-559.93299999999988</v>
      </c>
      <c r="N35" s="211">
        <f t="shared" si="191"/>
        <v>-289.56500000000005</v>
      </c>
      <c r="O35" s="212">
        <f t="shared" si="192"/>
        <v>-311.57100000000014</v>
      </c>
      <c r="P35" s="213">
        <f t="shared" si="193"/>
        <v>-351.221</v>
      </c>
      <c r="Q35" s="211">
        <f t="shared" si="194"/>
        <v>-572.98299999999995</v>
      </c>
      <c r="R35" s="211">
        <f t="shared" si="195"/>
        <v>-626.81500000000005</v>
      </c>
      <c r="S35" s="212">
        <f t="shared" si="196"/>
        <v>-374.63499999999999</v>
      </c>
      <c r="T35" s="213">
        <f t="shared" si="197"/>
        <v>-263.90600000000001</v>
      </c>
      <c r="U35" s="211">
        <f t="shared" si="198"/>
        <v>-583.67699999999991</v>
      </c>
      <c r="V35" s="211">
        <f t="shared" si="199"/>
        <v>-1066.8450000000003</v>
      </c>
      <c r="W35" s="212">
        <f t="shared" si="200"/>
        <v>-897.66599999999994</v>
      </c>
      <c r="X35" s="213">
        <f t="shared" si="201"/>
        <v>-739.30899999999997</v>
      </c>
      <c r="Y35" s="211">
        <f t="shared" si="202"/>
        <v>-933.93399999999997</v>
      </c>
      <c r="Z35" s="211">
        <f t="shared" si="203"/>
        <v>-766.26299999999992</v>
      </c>
      <c r="AA35" s="212">
        <f t="shared" si="204"/>
        <v>-1038.5190000000002</v>
      </c>
      <c r="AB35" s="211">
        <f t="shared" si="205"/>
        <v>-664.14800000000002</v>
      </c>
      <c r="AC35" s="211">
        <f t="shared" si="206"/>
        <v>-994.61800000000005</v>
      </c>
      <c r="AD35" s="211">
        <f t="shared" si="207"/>
        <v>-1473.8669999999997</v>
      </c>
      <c r="AE35" s="212">
        <f t="shared" si="208"/>
        <v>-1156.6710000000003</v>
      </c>
      <c r="AF35" s="211">
        <f t="shared" si="209"/>
        <v>-2192.8739999999998</v>
      </c>
      <c r="AG35" s="211">
        <f t="shared" si="210"/>
        <v>-2235.6010000000006</v>
      </c>
      <c r="AH35" s="211">
        <f t="shared" si="211"/>
        <v>-1854.2489999999998</v>
      </c>
      <c r="AI35" s="212">
        <f t="shared" si="212"/>
        <v>-1882.3189999999995</v>
      </c>
      <c r="AJ35" s="211">
        <f t="shared" si="213"/>
        <v>-1653.5930000000001</v>
      </c>
      <c r="AK35" s="211">
        <f t="shared" si="214"/>
        <v>-2203.3159999999998</v>
      </c>
      <c r="AL35" s="211">
        <f t="shared" si="215"/>
        <v>-2123.826</v>
      </c>
      <c r="AM35" s="212">
        <f t="shared" si="216"/>
        <v>-2559.5999999999995</v>
      </c>
      <c r="AN35" s="211">
        <f t="shared" si="217"/>
        <v>-2234.9960000000001</v>
      </c>
      <c r="AO35" s="211">
        <f t="shared" si="218"/>
        <v>-2275.241</v>
      </c>
      <c r="AP35" s="211">
        <f t="shared" si="219"/>
        <v>-1028.7809999999999</v>
      </c>
      <c r="AQ35" s="212">
        <f t="shared" si="220"/>
        <v>-1946.1440000000002</v>
      </c>
      <c r="AR35" s="211">
        <f t="shared" si="221"/>
        <v>-1211.021</v>
      </c>
      <c r="AS35" s="211">
        <f t="shared" si="222"/>
        <v>-1661.1760000000002</v>
      </c>
      <c r="AT35" s="211">
        <f t="shared" si="223"/>
        <v>-1403.5999999999992</v>
      </c>
      <c r="AU35" s="212">
        <f t="shared" si="224"/>
        <v>-1808.202</v>
      </c>
      <c r="AV35" s="211">
        <f t="shared" si="225"/>
        <v>-1632.0139999999999</v>
      </c>
      <c r="AW35" s="211">
        <f t="shared" si="226"/>
        <v>-1939.7500000000002</v>
      </c>
      <c r="AX35" s="211">
        <f t="shared" si="227"/>
        <v>-2284.1660000000002</v>
      </c>
      <c r="AY35" s="212">
        <f t="shared" si="228"/>
        <v>-1841.3300000000002</v>
      </c>
      <c r="AZ35" s="211">
        <f t="shared" si="229"/>
        <v>-326.90800000000002</v>
      </c>
      <c r="BA35" s="211">
        <f t="shared" si="230"/>
        <v>-378.53999999999996</v>
      </c>
      <c r="BB35" s="211">
        <f t="shared" si="231"/>
        <v>-3.7000000000034561E-2</v>
      </c>
      <c r="BC35" s="212">
        <f t="shared" si="232"/>
        <v>0</v>
      </c>
      <c r="BD35" s="211">
        <f t="shared" si="233"/>
        <v>0</v>
      </c>
      <c r="BE35" s="214">
        <v>0</v>
      </c>
      <c r="BF35" s="214">
        <v>0</v>
      </c>
      <c r="BG35" s="215">
        <v>0</v>
      </c>
      <c r="BH35" s="214">
        <v>0</v>
      </c>
      <c r="BI35" s="214">
        <v>0</v>
      </c>
      <c r="BJ35" s="214">
        <v>0</v>
      </c>
      <c r="BK35" s="215">
        <v>0</v>
      </c>
      <c r="BL35" s="214">
        <v>0</v>
      </c>
      <c r="BM35" s="214">
        <v>0</v>
      </c>
      <c r="BN35" s="214">
        <v>0</v>
      </c>
      <c r="BO35" s="214">
        <v>0</v>
      </c>
      <c r="BP35" s="23"/>
      <c r="BQ35" s="211">
        <f t="shared" si="237"/>
        <v>-3457.0169999999998</v>
      </c>
      <c r="BR35" s="211">
        <f t="shared" si="238"/>
        <v>-2483.123</v>
      </c>
      <c r="BS35" s="211">
        <f t="shared" si="239"/>
        <v>-1807.4760000000001</v>
      </c>
      <c r="BT35" s="211">
        <f t="shared" si="240"/>
        <v>-1925.654</v>
      </c>
      <c r="BU35" s="211">
        <f t="shared" si="241"/>
        <v>-2812.0940000000001</v>
      </c>
      <c r="BV35" s="213">
        <f t="shared" si="242"/>
        <v>-3478.0250000000001</v>
      </c>
      <c r="BW35" s="211">
        <f t="shared" si="243"/>
        <v>-4289.3040000000001</v>
      </c>
      <c r="BX35" s="213">
        <f t="shared" si="244"/>
        <v>-8165.0429999999997</v>
      </c>
      <c r="BY35" s="213">
        <f t="shared" si="245"/>
        <v>-8540.3349999999991</v>
      </c>
      <c r="BZ35" s="211">
        <f t="shared" si="246"/>
        <v>-7485.1620000000003</v>
      </c>
      <c r="CA35" s="211">
        <f t="shared" si="247"/>
        <v>-6083.9989999999998</v>
      </c>
      <c r="CB35" s="211">
        <f t="shared" si="248"/>
        <v>-7697.26</v>
      </c>
      <c r="CC35" s="211">
        <f t="shared" si="249"/>
        <v>-705.48500000000001</v>
      </c>
      <c r="CD35" s="211">
        <f t="shared" si="250"/>
        <v>0</v>
      </c>
      <c r="CE35" s="211">
        <f t="shared" si="251"/>
        <v>0</v>
      </c>
      <c r="CF35" s="211">
        <f t="shared" si="252"/>
        <v>0</v>
      </c>
      <c r="CG35" s="23"/>
      <c r="CH35" s="213">
        <f t="shared" si="253"/>
        <v>-3614.2330000000002</v>
      </c>
      <c r="CI35" s="211">
        <f t="shared" si="254"/>
        <v>-2174.6590000000001</v>
      </c>
      <c r="CJ35" s="211">
        <f t="shared" si="255"/>
        <v>-1512.29</v>
      </c>
      <c r="CK35" s="211">
        <f t="shared" si="256"/>
        <v>-1838.3389999999999</v>
      </c>
      <c r="CL35" s="211">
        <f t="shared" si="257"/>
        <v>-3287.4970000000003</v>
      </c>
      <c r="CM35" s="211">
        <f t="shared" si="258"/>
        <v>-3402.8640000000005</v>
      </c>
      <c r="CN35" s="211">
        <f t="shared" si="259"/>
        <v>-5818.03</v>
      </c>
      <c r="CO35" s="211">
        <f t="shared" si="260"/>
        <v>-7625.7619999999997</v>
      </c>
      <c r="CP35" s="211">
        <f t="shared" si="261"/>
        <v>-9121.7379999999994</v>
      </c>
      <c r="CQ35" s="211">
        <f t="shared" si="262"/>
        <v>-6461.1869999999999</v>
      </c>
      <c r="CR35" s="211">
        <f t="shared" si="263"/>
        <v>-6504.9919999999993</v>
      </c>
      <c r="CS35" s="211">
        <f t="shared" si="264"/>
        <v>-6392.1540000000005</v>
      </c>
      <c r="CT35" s="211">
        <f t="shared" ref="CT35:CT40" si="267">SUM(BA35:BD35)</f>
        <v>-378.577</v>
      </c>
      <c r="CU35" s="211">
        <f t="shared" si="265"/>
        <v>0</v>
      </c>
      <c r="CV35" s="212">
        <f t="shared" si="266"/>
        <v>0</v>
      </c>
      <c r="CW35" s="1149"/>
      <c r="DF35" s="1109"/>
    </row>
    <row r="36" spans="1:111" ht="14.25" customHeight="1">
      <c r="A36" s="8"/>
      <c r="B36" s="31" t="str">
        <f t="shared" si="180"/>
        <v>Proceeds from maturities and sales of short-term investments</v>
      </c>
      <c r="C36" s="32"/>
      <c r="D36" s="213">
        <f t="shared" si="181"/>
        <v>763.96</v>
      </c>
      <c r="E36" s="211">
        <f t="shared" si="182"/>
        <v>824.86400000000003</v>
      </c>
      <c r="F36" s="211">
        <f t="shared" si="183"/>
        <v>606.30499999999984</v>
      </c>
      <c r="G36" s="212">
        <f t="shared" si="184"/>
        <v>1331.7420000000002</v>
      </c>
      <c r="H36" s="213">
        <f t="shared" si="185"/>
        <v>726.80700000000002</v>
      </c>
      <c r="I36" s="211">
        <f t="shared" si="186"/>
        <v>441.62999999999988</v>
      </c>
      <c r="J36" s="211">
        <f t="shared" si="187"/>
        <v>989.63799999999992</v>
      </c>
      <c r="K36" s="212">
        <f t="shared" si="188"/>
        <v>630.64200000000028</v>
      </c>
      <c r="L36" s="213">
        <f t="shared" si="189"/>
        <v>878.61900000000003</v>
      </c>
      <c r="M36" s="211">
        <f t="shared" si="190"/>
        <v>681.64499999999987</v>
      </c>
      <c r="N36" s="211">
        <f t="shared" si="191"/>
        <v>837.41199999999992</v>
      </c>
      <c r="O36" s="212">
        <f t="shared" si="192"/>
        <v>553.79500000000019</v>
      </c>
      <c r="P36" s="213">
        <f t="shared" si="193"/>
        <v>371.39600000000002</v>
      </c>
      <c r="Q36" s="211">
        <f t="shared" si="194"/>
        <v>439.52000000000004</v>
      </c>
      <c r="R36" s="211">
        <f t="shared" si="195"/>
        <v>538.03099999999995</v>
      </c>
      <c r="S36" s="212">
        <f t="shared" si="196"/>
        <v>519.73500000000013</v>
      </c>
      <c r="T36" s="213">
        <f t="shared" si="197"/>
        <v>464.197</v>
      </c>
      <c r="U36" s="211">
        <f t="shared" si="198"/>
        <v>488.04300000000001</v>
      </c>
      <c r="V36" s="211">
        <f t="shared" si="199"/>
        <v>583.70100000000014</v>
      </c>
      <c r="W36" s="212">
        <f t="shared" si="200"/>
        <v>813.19299999999987</v>
      </c>
      <c r="X36" s="213">
        <f t="shared" si="201"/>
        <v>650.89800000000002</v>
      </c>
      <c r="Y36" s="211">
        <f t="shared" si="202"/>
        <v>820.08399999999995</v>
      </c>
      <c r="Z36" s="211">
        <f t="shared" si="203"/>
        <v>629.66500000000008</v>
      </c>
      <c r="AA36" s="212">
        <f t="shared" si="204"/>
        <v>935.79799999999989</v>
      </c>
      <c r="AB36" s="211">
        <f t="shared" si="205"/>
        <v>891.30599999999993</v>
      </c>
      <c r="AC36" s="211">
        <f t="shared" si="206"/>
        <v>848.76599999999996</v>
      </c>
      <c r="AD36" s="211">
        <f t="shared" si="207"/>
        <v>853.62399999999991</v>
      </c>
      <c r="AE36" s="212">
        <f t="shared" si="208"/>
        <v>1125.4490000000001</v>
      </c>
      <c r="AF36" s="211">
        <f t="shared" si="209"/>
        <v>1811.6329999999998</v>
      </c>
      <c r="AG36" s="211">
        <f t="shared" si="210"/>
        <v>1745.529</v>
      </c>
      <c r="AH36" s="211">
        <f t="shared" si="211"/>
        <v>1610.5650000000001</v>
      </c>
      <c r="AI36" s="212">
        <f t="shared" si="212"/>
        <v>1813.8159999999993</v>
      </c>
      <c r="AJ36" s="211">
        <f t="shared" si="213"/>
        <v>1834.3109999999999</v>
      </c>
      <c r="AK36" s="211">
        <f t="shared" si="214"/>
        <v>1817.8390000000002</v>
      </c>
      <c r="AL36" s="211">
        <f t="shared" si="215"/>
        <v>1710.1180000000002</v>
      </c>
      <c r="AM36" s="212">
        <f t="shared" si="216"/>
        <v>2259.3469999999998</v>
      </c>
      <c r="AN36" s="211">
        <f t="shared" si="217"/>
        <v>2242.1379999999999</v>
      </c>
      <c r="AO36" s="211">
        <f t="shared" si="218"/>
        <v>2155.0230000000001</v>
      </c>
      <c r="AP36" s="211">
        <f t="shared" si="219"/>
        <v>3113.9059999999999</v>
      </c>
      <c r="AQ36" s="212">
        <f t="shared" si="220"/>
        <v>1995.1989999999996</v>
      </c>
      <c r="AR36" s="211">
        <f t="shared" si="221"/>
        <v>1284.8989999999999</v>
      </c>
      <c r="AS36" s="211">
        <f t="shared" si="222"/>
        <v>570.66200000000003</v>
      </c>
      <c r="AT36" s="211">
        <f t="shared" si="223"/>
        <v>2175.1219999999998</v>
      </c>
      <c r="AU36" s="212">
        <f t="shared" si="224"/>
        <v>2205.4909999999995</v>
      </c>
      <c r="AV36" s="211">
        <f t="shared" si="225"/>
        <v>1409.538</v>
      </c>
      <c r="AW36" s="211">
        <f t="shared" si="226"/>
        <v>1522.6880000000001</v>
      </c>
      <c r="AX36" s="211">
        <f t="shared" si="227"/>
        <v>2368.7869999999998</v>
      </c>
      <c r="AY36" s="212">
        <f t="shared" si="228"/>
        <v>1407.0640000000008</v>
      </c>
      <c r="AZ36" s="211">
        <f t="shared" si="229"/>
        <v>2131.9810000000002</v>
      </c>
      <c r="BA36" s="211">
        <f t="shared" si="230"/>
        <v>1317.2799999999997</v>
      </c>
      <c r="BB36" s="211">
        <f t="shared" si="231"/>
        <v>490.7170000000001</v>
      </c>
      <c r="BC36" s="212">
        <f t="shared" si="232"/>
        <v>9.9999999974897946E-4</v>
      </c>
      <c r="BD36" s="211">
        <f t="shared" si="233"/>
        <v>0</v>
      </c>
      <c r="BE36" s="214">
        <v>0</v>
      </c>
      <c r="BF36" s="214">
        <v>0</v>
      </c>
      <c r="BG36" s="215">
        <v>0</v>
      </c>
      <c r="BH36" s="214">
        <v>0</v>
      </c>
      <c r="BI36" s="214">
        <v>0</v>
      </c>
      <c r="BJ36" s="214">
        <v>0</v>
      </c>
      <c r="BK36" s="215">
        <v>0</v>
      </c>
      <c r="BL36" s="214">
        <v>0</v>
      </c>
      <c r="BM36" s="214">
        <v>0</v>
      </c>
      <c r="BN36" s="214">
        <v>0</v>
      </c>
      <c r="BO36" s="214">
        <v>0</v>
      </c>
      <c r="BP36" s="23"/>
      <c r="BQ36" s="211">
        <f t="shared" si="237"/>
        <v>3526.8710000000001</v>
      </c>
      <c r="BR36" s="211">
        <f t="shared" si="238"/>
        <v>2788.7170000000001</v>
      </c>
      <c r="BS36" s="211">
        <f t="shared" si="239"/>
        <v>2951.471</v>
      </c>
      <c r="BT36" s="211">
        <f t="shared" si="240"/>
        <v>1868.6820000000002</v>
      </c>
      <c r="BU36" s="211">
        <f t="shared" si="241"/>
        <v>2349.134</v>
      </c>
      <c r="BV36" s="213">
        <f t="shared" si="242"/>
        <v>3036.4449999999997</v>
      </c>
      <c r="BW36" s="211">
        <f t="shared" si="243"/>
        <v>3719.145</v>
      </c>
      <c r="BX36" s="213">
        <f t="shared" si="244"/>
        <v>6981.5429999999997</v>
      </c>
      <c r="BY36" s="213">
        <f t="shared" si="245"/>
        <v>7621.6149999999998</v>
      </c>
      <c r="BZ36" s="211">
        <f t="shared" si="246"/>
        <v>9506.2659999999996</v>
      </c>
      <c r="CA36" s="211">
        <f t="shared" si="247"/>
        <v>6236.1739999999991</v>
      </c>
      <c r="CB36" s="211">
        <f t="shared" si="248"/>
        <v>6708.0770000000011</v>
      </c>
      <c r="CC36" s="211">
        <f t="shared" si="249"/>
        <v>3939.9789999999998</v>
      </c>
      <c r="CD36" s="211">
        <f t="shared" si="250"/>
        <v>0</v>
      </c>
      <c r="CE36" s="211">
        <f t="shared" si="251"/>
        <v>0</v>
      </c>
      <c r="CF36" s="211">
        <f t="shared" si="252"/>
        <v>0</v>
      </c>
      <c r="CG36" s="23"/>
      <c r="CH36" s="213">
        <f t="shared" si="253"/>
        <v>3489.7179999999998</v>
      </c>
      <c r="CI36" s="211">
        <f t="shared" si="254"/>
        <v>2940.529</v>
      </c>
      <c r="CJ36" s="211">
        <f t="shared" si="255"/>
        <v>2444.248</v>
      </c>
      <c r="CK36" s="211">
        <f t="shared" si="256"/>
        <v>1961.4830000000002</v>
      </c>
      <c r="CL36" s="211">
        <f t="shared" si="257"/>
        <v>2535.835</v>
      </c>
      <c r="CM36" s="211">
        <f t="shared" si="258"/>
        <v>3276.8530000000001</v>
      </c>
      <c r="CN36" s="211">
        <f t="shared" si="259"/>
        <v>4639.4719999999998</v>
      </c>
      <c r="CO36" s="211">
        <f t="shared" si="260"/>
        <v>7004.2209999999995</v>
      </c>
      <c r="CP36" s="211">
        <f t="shared" si="261"/>
        <v>8029.442</v>
      </c>
      <c r="CQ36" s="211">
        <f t="shared" si="262"/>
        <v>8549.027</v>
      </c>
      <c r="CR36" s="211">
        <f t="shared" si="263"/>
        <v>6360.8130000000001</v>
      </c>
      <c r="CS36" s="211">
        <f t="shared" si="264"/>
        <v>7430.52</v>
      </c>
      <c r="CT36" s="211">
        <f t="shared" si="267"/>
        <v>1807.9979999999996</v>
      </c>
      <c r="CU36" s="211">
        <f t="shared" si="265"/>
        <v>0</v>
      </c>
      <c r="CV36" s="212">
        <f t="shared" si="266"/>
        <v>0</v>
      </c>
      <c r="CW36" s="1149"/>
      <c r="DF36" s="1109"/>
    </row>
    <row r="37" spans="1:111" ht="14.25" customHeight="1">
      <c r="A37" s="8"/>
      <c r="B37" s="31" t="str">
        <f t="shared" si="180"/>
        <v>Restricted cash</v>
      </c>
      <c r="C37" s="32"/>
      <c r="D37" s="213">
        <f t="shared" si="181"/>
        <v>0</v>
      </c>
      <c r="E37" s="211">
        <f t="shared" si="182"/>
        <v>0</v>
      </c>
      <c r="F37" s="211">
        <f t="shared" si="183"/>
        <v>0</v>
      </c>
      <c r="G37" s="212">
        <f t="shared" si="184"/>
        <v>0</v>
      </c>
      <c r="H37" s="213">
        <f t="shared" si="185"/>
        <v>0</v>
      </c>
      <c r="I37" s="211">
        <f t="shared" si="186"/>
        <v>0</v>
      </c>
      <c r="J37" s="211">
        <f t="shared" si="187"/>
        <v>0</v>
      </c>
      <c r="K37" s="212">
        <f t="shared" si="188"/>
        <v>0</v>
      </c>
      <c r="L37" s="213">
        <f t="shared" si="189"/>
        <v>0</v>
      </c>
      <c r="M37" s="211">
        <f t="shared" si="190"/>
        <v>0</v>
      </c>
      <c r="N37" s="211">
        <f t="shared" si="191"/>
        <v>0</v>
      </c>
      <c r="O37" s="212">
        <f t="shared" si="192"/>
        <v>0</v>
      </c>
      <c r="P37" s="213">
        <f t="shared" si="193"/>
        <v>0</v>
      </c>
      <c r="Q37" s="211">
        <f t="shared" si="194"/>
        <v>0</v>
      </c>
      <c r="R37" s="211">
        <f t="shared" si="195"/>
        <v>0</v>
      </c>
      <c r="S37" s="212">
        <f t="shared" si="196"/>
        <v>0</v>
      </c>
      <c r="T37" s="213">
        <f t="shared" si="197"/>
        <v>0</v>
      </c>
      <c r="U37" s="211">
        <f t="shared" si="198"/>
        <v>0</v>
      </c>
      <c r="V37" s="211">
        <f t="shared" si="199"/>
        <v>0</v>
      </c>
      <c r="W37" s="212">
        <f t="shared" si="200"/>
        <v>0</v>
      </c>
      <c r="X37" s="213">
        <f t="shared" si="201"/>
        <v>0</v>
      </c>
      <c r="Y37" s="211">
        <f t="shared" si="202"/>
        <v>0</v>
      </c>
      <c r="Z37" s="211">
        <f t="shared" si="203"/>
        <v>0</v>
      </c>
      <c r="AA37" s="212">
        <f t="shared" si="204"/>
        <v>0</v>
      </c>
      <c r="AB37" s="211">
        <f t="shared" si="205"/>
        <v>0</v>
      </c>
      <c r="AC37" s="211">
        <f t="shared" si="206"/>
        <v>0</v>
      </c>
      <c r="AD37" s="211">
        <f t="shared" si="207"/>
        <v>0</v>
      </c>
      <c r="AE37" s="212">
        <f t="shared" si="208"/>
        <v>0</v>
      </c>
      <c r="AF37" s="211">
        <f t="shared" si="209"/>
        <v>0</v>
      </c>
      <c r="AG37" s="211">
        <f t="shared" si="210"/>
        <v>0</v>
      </c>
      <c r="AH37" s="211">
        <f t="shared" si="211"/>
        <v>0</v>
      </c>
      <c r="AI37" s="212">
        <f t="shared" si="212"/>
        <v>0</v>
      </c>
      <c r="AJ37" s="211">
        <f t="shared" si="213"/>
        <v>0</v>
      </c>
      <c r="AK37" s="211">
        <f t="shared" si="214"/>
        <v>0</v>
      </c>
      <c r="AL37" s="211">
        <f t="shared" si="215"/>
        <v>0</v>
      </c>
      <c r="AM37" s="212">
        <f t="shared" si="216"/>
        <v>0</v>
      </c>
      <c r="AN37" s="211">
        <f t="shared" si="217"/>
        <v>0</v>
      </c>
      <c r="AO37" s="211">
        <f t="shared" si="218"/>
        <v>0</v>
      </c>
      <c r="AP37" s="211">
        <f t="shared" si="219"/>
        <v>0</v>
      </c>
      <c r="AQ37" s="212">
        <f t="shared" si="220"/>
        <v>0</v>
      </c>
      <c r="AR37" s="211">
        <f t="shared" si="221"/>
        <v>0</v>
      </c>
      <c r="AS37" s="211">
        <f t="shared" si="222"/>
        <v>0</v>
      </c>
      <c r="AT37" s="211">
        <f t="shared" si="223"/>
        <v>0</v>
      </c>
      <c r="AU37" s="212">
        <f t="shared" si="224"/>
        <v>0</v>
      </c>
      <c r="AV37" s="211">
        <f t="shared" si="225"/>
        <v>0</v>
      </c>
      <c r="AW37" s="211">
        <f t="shared" si="226"/>
        <v>0</v>
      </c>
      <c r="AX37" s="211">
        <f t="shared" si="227"/>
        <v>0</v>
      </c>
      <c r="AY37" s="212">
        <f t="shared" si="228"/>
        <v>0</v>
      </c>
      <c r="AZ37" s="211">
        <f t="shared" si="229"/>
        <v>0</v>
      </c>
      <c r="BA37" s="211">
        <f t="shared" si="230"/>
        <v>0</v>
      </c>
      <c r="BB37" s="211">
        <f t="shared" si="231"/>
        <v>0</v>
      </c>
      <c r="BC37" s="212">
        <f t="shared" si="232"/>
        <v>0</v>
      </c>
      <c r="BD37" s="211">
        <f t="shared" si="233"/>
        <v>0</v>
      </c>
      <c r="BE37" s="214">
        <v>0</v>
      </c>
      <c r="BF37" s="214">
        <v>0</v>
      </c>
      <c r="BG37" s="215">
        <v>0</v>
      </c>
      <c r="BH37" s="214">
        <v>0</v>
      </c>
      <c r="BI37" s="214">
        <v>0</v>
      </c>
      <c r="BJ37" s="214">
        <v>0</v>
      </c>
      <c r="BK37" s="215">
        <v>0</v>
      </c>
      <c r="BL37" s="214">
        <v>0</v>
      </c>
      <c r="BM37" s="214">
        <v>0</v>
      </c>
      <c r="BN37" s="214">
        <v>0</v>
      </c>
      <c r="BO37" s="214">
        <v>0</v>
      </c>
      <c r="BP37" s="23"/>
      <c r="BQ37" s="211">
        <f t="shared" si="237"/>
        <v>0</v>
      </c>
      <c r="BR37" s="211">
        <f t="shared" si="238"/>
        <v>0</v>
      </c>
      <c r="BS37" s="211">
        <f t="shared" si="239"/>
        <v>0</v>
      </c>
      <c r="BT37" s="211">
        <f t="shared" si="240"/>
        <v>0</v>
      </c>
      <c r="BU37" s="211">
        <f t="shared" si="241"/>
        <v>0</v>
      </c>
      <c r="BV37" s="213">
        <f t="shared" si="242"/>
        <v>0</v>
      </c>
      <c r="BW37" s="211">
        <f t="shared" si="243"/>
        <v>0</v>
      </c>
      <c r="BX37" s="213">
        <f t="shared" si="244"/>
        <v>0</v>
      </c>
      <c r="BY37" s="213">
        <f t="shared" si="245"/>
        <v>0</v>
      </c>
      <c r="BZ37" s="211">
        <f t="shared" si="246"/>
        <v>0</v>
      </c>
      <c r="CA37" s="211">
        <f t="shared" si="247"/>
        <v>0</v>
      </c>
      <c r="CB37" s="211">
        <f t="shared" si="248"/>
        <v>0</v>
      </c>
      <c r="CC37" s="211">
        <f t="shared" si="249"/>
        <v>0</v>
      </c>
      <c r="CD37" s="211">
        <f t="shared" si="250"/>
        <v>0</v>
      </c>
      <c r="CE37" s="211">
        <f t="shared" si="251"/>
        <v>0</v>
      </c>
      <c r="CF37" s="211">
        <f t="shared" si="252"/>
        <v>0</v>
      </c>
      <c r="CG37" s="23"/>
      <c r="CH37" s="213">
        <f t="shared" si="253"/>
        <v>0</v>
      </c>
      <c r="CI37" s="211">
        <f t="shared" si="254"/>
        <v>0</v>
      </c>
      <c r="CJ37" s="211">
        <f t="shared" si="255"/>
        <v>0</v>
      </c>
      <c r="CK37" s="211">
        <f t="shared" si="256"/>
        <v>0</v>
      </c>
      <c r="CL37" s="211">
        <f t="shared" si="257"/>
        <v>0</v>
      </c>
      <c r="CM37" s="211">
        <f t="shared" si="258"/>
        <v>0</v>
      </c>
      <c r="CN37" s="211">
        <f t="shared" si="259"/>
        <v>0</v>
      </c>
      <c r="CO37" s="211">
        <f t="shared" si="260"/>
        <v>0</v>
      </c>
      <c r="CP37" s="211">
        <f t="shared" si="261"/>
        <v>0</v>
      </c>
      <c r="CQ37" s="211">
        <f t="shared" si="262"/>
        <v>0</v>
      </c>
      <c r="CR37" s="211">
        <f t="shared" si="263"/>
        <v>0</v>
      </c>
      <c r="CS37" s="211">
        <f t="shared" si="264"/>
        <v>0</v>
      </c>
      <c r="CT37" s="211">
        <f t="shared" si="267"/>
        <v>0</v>
      </c>
      <c r="CU37" s="211">
        <f t="shared" si="265"/>
        <v>0</v>
      </c>
      <c r="CV37" s="212">
        <f t="shared" si="266"/>
        <v>0</v>
      </c>
      <c r="CW37" s="1149"/>
      <c r="DF37" s="1109"/>
    </row>
    <row r="38" spans="1:111" ht="14.25" customHeight="1">
      <c r="A38" s="8"/>
      <c r="B38" s="31" t="str">
        <f t="shared" si="180"/>
        <v>Net proceeds (expenditures) related to sale of businesses</v>
      </c>
      <c r="C38" s="32"/>
      <c r="D38" s="213">
        <f t="shared" si="181"/>
        <v>0</v>
      </c>
      <c r="E38" s="211">
        <f t="shared" si="182"/>
        <v>0</v>
      </c>
      <c r="F38" s="211">
        <f t="shared" si="183"/>
        <v>0</v>
      </c>
      <c r="G38" s="212">
        <f t="shared" si="184"/>
        <v>0</v>
      </c>
      <c r="H38" s="213">
        <f t="shared" si="185"/>
        <v>0</v>
      </c>
      <c r="I38" s="211">
        <f t="shared" si="186"/>
        <v>23.07</v>
      </c>
      <c r="J38" s="211">
        <f t="shared" si="187"/>
        <v>-14.913</v>
      </c>
      <c r="K38" s="212">
        <f t="shared" si="188"/>
        <v>-142.10400000000001</v>
      </c>
      <c r="L38" s="213">
        <f t="shared" si="189"/>
        <v>8.0030000000000001</v>
      </c>
      <c r="M38" s="211">
        <f t="shared" si="190"/>
        <v>-6</v>
      </c>
      <c r="N38" s="211">
        <f t="shared" si="191"/>
        <v>-3.16</v>
      </c>
      <c r="O38" s="212">
        <f t="shared" si="192"/>
        <v>-8.0030000000000001</v>
      </c>
      <c r="P38" s="213">
        <f t="shared" si="193"/>
        <v>406.66500000000002</v>
      </c>
      <c r="Q38" s="211">
        <f t="shared" si="194"/>
        <v>-7.0740000000000123</v>
      </c>
      <c r="R38" s="211">
        <f t="shared" si="195"/>
        <v>0.44399999999995998</v>
      </c>
      <c r="S38" s="212">
        <f t="shared" si="196"/>
        <v>0</v>
      </c>
      <c r="T38" s="213">
        <f t="shared" si="197"/>
        <v>0</v>
      </c>
      <c r="U38" s="211">
        <f t="shared" si="198"/>
        <v>-1.34</v>
      </c>
      <c r="V38" s="211">
        <f t="shared" si="199"/>
        <v>-8.36</v>
      </c>
      <c r="W38" s="212">
        <f t="shared" si="200"/>
        <v>-0.31300000000000039</v>
      </c>
      <c r="X38" s="213">
        <f t="shared" si="201"/>
        <v>63.036000000000001</v>
      </c>
      <c r="Y38" s="211">
        <f t="shared" si="202"/>
        <v>0</v>
      </c>
      <c r="Z38" s="211">
        <f t="shared" si="203"/>
        <v>0</v>
      </c>
      <c r="AA38" s="212">
        <f t="shared" si="204"/>
        <v>0</v>
      </c>
      <c r="AB38" s="211">
        <f t="shared" si="205"/>
        <v>10</v>
      </c>
      <c r="AC38" s="211">
        <f t="shared" si="206"/>
        <v>0</v>
      </c>
      <c r="AD38" s="211">
        <f t="shared" si="207"/>
        <v>-13.988</v>
      </c>
      <c r="AE38" s="212">
        <f t="shared" si="208"/>
        <v>0</v>
      </c>
      <c r="AF38" s="211">
        <f t="shared" si="209"/>
        <v>0</v>
      </c>
      <c r="AG38" s="211">
        <f t="shared" si="210"/>
        <v>0</v>
      </c>
      <c r="AH38" s="211">
        <f t="shared" si="211"/>
        <v>0</v>
      </c>
      <c r="AI38" s="212">
        <f t="shared" si="212"/>
        <v>1.506</v>
      </c>
      <c r="AJ38" s="211">
        <f t="shared" si="213"/>
        <v>0</v>
      </c>
      <c r="AK38" s="211">
        <f t="shared" si="214"/>
        <v>0</v>
      </c>
      <c r="AL38" s="211">
        <f t="shared" si="215"/>
        <v>0</v>
      </c>
      <c r="AM38" s="212">
        <f t="shared" si="216"/>
        <v>0</v>
      </c>
      <c r="AN38" s="211">
        <f t="shared" si="217"/>
        <v>0</v>
      </c>
      <c r="AO38" s="211">
        <f t="shared" si="218"/>
        <v>0</v>
      </c>
      <c r="AP38" s="211">
        <f t="shared" si="219"/>
        <v>0</v>
      </c>
      <c r="AQ38" s="212">
        <f t="shared" si="220"/>
        <v>0</v>
      </c>
      <c r="AR38" s="211">
        <f t="shared" si="221"/>
        <v>0</v>
      </c>
      <c r="AS38" s="211">
        <f t="shared" si="222"/>
        <v>0</v>
      </c>
      <c r="AT38" s="211">
        <f t="shared" si="223"/>
        <v>0</v>
      </c>
      <c r="AU38" s="212">
        <f t="shared" si="224"/>
        <v>0</v>
      </c>
      <c r="AV38" s="211">
        <f t="shared" si="225"/>
        <v>0</v>
      </c>
      <c r="AW38" s="211">
        <f t="shared" si="226"/>
        <v>0</v>
      </c>
      <c r="AX38" s="211">
        <f t="shared" si="227"/>
        <v>0</v>
      </c>
      <c r="AY38" s="212">
        <f t="shared" si="228"/>
        <v>-83.17</v>
      </c>
      <c r="AZ38" s="211">
        <f t="shared" si="229"/>
        <v>-1.036</v>
      </c>
      <c r="BA38" s="211">
        <f t="shared" si="230"/>
        <v>-9686.4969999999994</v>
      </c>
      <c r="BB38" s="211">
        <f t="shared" si="231"/>
        <v>6.9999999999650786E-2</v>
      </c>
      <c r="BC38" s="212">
        <f t="shared" si="232"/>
        <v>54.89500000000038</v>
      </c>
      <c r="BD38" s="211">
        <f t="shared" si="233"/>
        <v>0</v>
      </c>
      <c r="BE38" s="214">
        <v>0</v>
      </c>
      <c r="BF38" s="214">
        <v>0</v>
      </c>
      <c r="BG38" s="215">
        <v>0</v>
      </c>
      <c r="BH38" s="214">
        <v>0</v>
      </c>
      <c r="BI38" s="214">
        <v>0</v>
      </c>
      <c r="BJ38" s="214">
        <v>0</v>
      </c>
      <c r="BK38" s="215">
        <v>0</v>
      </c>
      <c r="BL38" s="214">
        <v>0</v>
      </c>
      <c r="BM38" s="214">
        <v>0</v>
      </c>
      <c r="BN38" s="214">
        <v>0</v>
      </c>
      <c r="BO38" s="214">
        <v>0</v>
      </c>
      <c r="BP38" s="23"/>
      <c r="BQ38" s="211">
        <f t="shared" si="237"/>
        <v>0</v>
      </c>
      <c r="BR38" s="211">
        <f t="shared" si="238"/>
        <v>-133.947</v>
      </c>
      <c r="BS38" s="211">
        <f t="shared" si="239"/>
        <v>-9.16</v>
      </c>
      <c r="BT38" s="211">
        <f t="shared" si="240"/>
        <v>400.03499999999997</v>
      </c>
      <c r="BU38" s="211">
        <f t="shared" si="241"/>
        <v>-10.013</v>
      </c>
      <c r="BV38" s="213">
        <f t="shared" si="242"/>
        <v>63.036000000000001</v>
      </c>
      <c r="BW38" s="211">
        <f t="shared" si="243"/>
        <v>-3.9879999999999995</v>
      </c>
      <c r="BX38" s="213">
        <f t="shared" si="244"/>
        <v>1.506</v>
      </c>
      <c r="BY38" s="213">
        <f t="shared" si="245"/>
        <v>0</v>
      </c>
      <c r="BZ38" s="211">
        <f t="shared" si="246"/>
        <v>0</v>
      </c>
      <c r="CA38" s="211">
        <f t="shared" si="247"/>
        <v>0</v>
      </c>
      <c r="CB38" s="211">
        <f t="shared" si="248"/>
        <v>-83.17</v>
      </c>
      <c r="CC38" s="211">
        <f t="shared" si="249"/>
        <v>-9632.5679999999993</v>
      </c>
      <c r="CD38" s="211">
        <f t="shared" si="250"/>
        <v>0</v>
      </c>
      <c r="CE38" s="211">
        <f t="shared" si="251"/>
        <v>0</v>
      </c>
      <c r="CF38" s="211">
        <f t="shared" si="252"/>
        <v>0</v>
      </c>
      <c r="CG38" s="23"/>
      <c r="CH38" s="213">
        <f t="shared" si="253"/>
        <v>0</v>
      </c>
      <c r="CI38" s="211">
        <f t="shared" si="254"/>
        <v>-125.944</v>
      </c>
      <c r="CJ38" s="211">
        <f t="shared" si="255"/>
        <v>389.50200000000001</v>
      </c>
      <c r="CK38" s="211">
        <f t="shared" si="256"/>
        <v>-6.6300000000000523</v>
      </c>
      <c r="CL38" s="211">
        <f t="shared" si="257"/>
        <v>53.023000000000003</v>
      </c>
      <c r="CM38" s="211">
        <f t="shared" si="258"/>
        <v>10</v>
      </c>
      <c r="CN38" s="211">
        <f t="shared" si="259"/>
        <v>-13.988</v>
      </c>
      <c r="CO38" s="211">
        <f t="shared" si="260"/>
        <v>1.506</v>
      </c>
      <c r="CP38" s="211">
        <f t="shared" si="261"/>
        <v>0</v>
      </c>
      <c r="CQ38" s="211">
        <f t="shared" si="262"/>
        <v>0</v>
      </c>
      <c r="CR38" s="211">
        <f t="shared" si="263"/>
        <v>0</v>
      </c>
      <c r="CS38" s="211">
        <f t="shared" si="264"/>
        <v>-84.206000000000003</v>
      </c>
      <c r="CT38" s="211">
        <f t="shared" si="267"/>
        <v>-9631.5319999999992</v>
      </c>
      <c r="CU38" s="211">
        <f t="shared" si="265"/>
        <v>0</v>
      </c>
      <c r="CV38" s="212">
        <f t="shared" si="266"/>
        <v>0</v>
      </c>
      <c r="CW38" s="1149"/>
      <c r="DF38" s="1109"/>
    </row>
    <row r="39" spans="1:111" ht="14.25" customHeight="1">
      <c r="A39" s="8"/>
      <c r="B39" s="31" t="str">
        <f t="shared" si="180"/>
        <v>Proceeds from sale of property, plant and equipment</v>
      </c>
      <c r="C39" s="32"/>
      <c r="D39" s="213">
        <f t="shared" si="181"/>
        <v>0</v>
      </c>
      <c r="E39" s="211">
        <f t="shared" si="182"/>
        <v>0</v>
      </c>
      <c r="F39" s="211">
        <f t="shared" si="183"/>
        <v>0</v>
      </c>
      <c r="G39" s="212">
        <f t="shared" si="184"/>
        <v>0</v>
      </c>
      <c r="H39" s="213">
        <f t="shared" si="185"/>
        <v>0</v>
      </c>
      <c r="I39" s="211">
        <f t="shared" si="186"/>
        <v>0</v>
      </c>
      <c r="J39" s="211">
        <f t="shared" si="187"/>
        <v>0</v>
      </c>
      <c r="K39" s="212">
        <f t="shared" si="188"/>
        <v>1.7350000000000001</v>
      </c>
      <c r="L39" s="213">
        <f t="shared" si="189"/>
        <v>0</v>
      </c>
      <c r="M39" s="211">
        <f t="shared" si="190"/>
        <v>0</v>
      </c>
      <c r="N39" s="211">
        <f t="shared" si="191"/>
        <v>0</v>
      </c>
      <c r="O39" s="212">
        <f t="shared" si="192"/>
        <v>0</v>
      </c>
      <c r="P39" s="213">
        <f t="shared" si="193"/>
        <v>0</v>
      </c>
      <c r="Q39" s="211">
        <f t="shared" si="194"/>
        <v>0</v>
      </c>
      <c r="R39" s="211">
        <f t="shared" si="195"/>
        <v>0</v>
      </c>
      <c r="S39" s="212">
        <f t="shared" si="196"/>
        <v>0</v>
      </c>
      <c r="T39" s="213">
        <f t="shared" si="197"/>
        <v>0</v>
      </c>
      <c r="U39" s="211">
        <f t="shared" si="198"/>
        <v>0</v>
      </c>
      <c r="V39" s="211">
        <f t="shared" si="199"/>
        <v>0</v>
      </c>
      <c r="W39" s="212">
        <f t="shared" si="200"/>
        <v>0</v>
      </c>
      <c r="X39" s="213">
        <f t="shared" si="201"/>
        <v>0</v>
      </c>
      <c r="Y39" s="211">
        <f t="shared" si="202"/>
        <v>0</v>
      </c>
      <c r="Z39" s="211">
        <f t="shared" si="203"/>
        <v>0</v>
      </c>
      <c r="AA39" s="212">
        <f t="shared" si="204"/>
        <v>0</v>
      </c>
      <c r="AB39" s="211">
        <f t="shared" si="205"/>
        <v>0</v>
      </c>
      <c r="AC39" s="211">
        <f t="shared" si="206"/>
        <v>0</v>
      </c>
      <c r="AD39" s="211">
        <f t="shared" si="207"/>
        <v>0</v>
      </c>
      <c r="AE39" s="212">
        <f t="shared" si="208"/>
        <v>0</v>
      </c>
      <c r="AF39" s="211">
        <f t="shared" si="209"/>
        <v>0</v>
      </c>
      <c r="AG39" s="211">
        <f t="shared" si="210"/>
        <v>0</v>
      </c>
      <c r="AH39" s="211">
        <f t="shared" si="211"/>
        <v>0</v>
      </c>
      <c r="AI39" s="212">
        <f t="shared" si="212"/>
        <v>0</v>
      </c>
      <c r="AJ39" s="211">
        <f t="shared" si="213"/>
        <v>0</v>
      </c>
      <c r="AK39" s="211">
        <f t="shared" si="214"/>
        <v>0</v>
      </c>
      <c r="AL39" s="211">
        <f t="shared" si="215"/>
        <v>0</v>
      </c>
      <c r="AM39" s="212">
        <f t="shared" si="216"/>
        <v>0</v>
      </c>
      <c r="AN39" s="211">
        <f t="shared" si="217"/>
        <v>0</v>
      </c>
      <c r="AO39" s="211">
        <f t="shared" si="218"/>
        <v>0</v>
      </c>
      <c r="AP39" s="211">
        <f t="shared" si="219"/>
        <v>0</v>
      </c>
      <c r="AQ39" s="212">
        <f t="shared" si="220"/>
        <v>0</v>
      </c>
      <c r="AR39" s="211">
        <f t="shared" si="221"/>
        <v>0</v>
      </c>
      <c r="AS39" s="211">
        <f t="shared" si="222"/>
        <v>0</v>
      </c>
      <c r="AT39" s="211">
        <f t="shared" si="223"/>
        <v>0</v>
      </c>
      <c r="AU39" s="212">
        <f t="shared" si="224"/>
        <v>0</v>
      </c>
      <c r="AV39" s="211">
        <f t="shared" si="225"/>
        <v>0</v>
      </c>
      <c r="AW39" s="211">
        <f t="shared" si="226"/>
        <v>0</v>
      </c>
      <c r="AX39" s="211">
        <f t="shared" si="227"/>
        <v>0</v>
      </c>
      <c r="AY39" s="212">
        <f t="shared" si="228"/>
        <v>0</v>
      </c>
      <c r="AZ39" s="211">
        <f t="shared" si="229"/>
        <v>0</v>
      </c>
      <c r="BA39" s="211">
        <f t="shared" si="230"/>
        <v>0</v>
      </c>
      <c r="BB39" s="211">
        <f t="shared" si="231"/>
        <v>0</v>
      </c>
      <c r="BC39" s="212">
        <f t="shared" si="232"/>
        <v>0</v>
      </c>
      <c r="BD39" s="211">
        <f t="shared" si="233"/>
        <v>0</v>
      </c>
      <c r="BE39" s="214">
        <v>0</v>
      </c>
      <c r="BF39" s="214">
        <v>0</v>
      </c>
      <c r="BG39" s="215">
        <v>0</v>
      </c>
      <c r="BH39" s="214">
        <v>0</v>
      </c>
      <c r="BI39" s="214">
        <v>0</v>
      </c>
      <c r="BJ39" s="214">
        <v>0</v>
      </c>
      <c r="BK39" s="215">
        <v>0</v>
      </c>
      <c r="BL39" s="214">
        <v>0</v>
      </c>
      <c r="BM39" s="214">
        <v>0</v>
      </c>
      <c r="BN39" s="214">
        <v>0</v>
      </c>
      <c r="BO39" s="214">
        <v>0</v>
      </c>
      <c r="BP39" s="23"/>
      <c r="BQ39" s="211">
        <f t="shared" si="237"/>
        <v>0</v>
      </c>
      <c r="BR39" s="211">
        <f t="shared" si="238"/>
        <v>1.7350000000000001</v>
      </c>
      <c r="BS39" s="211">
        <f t="shared" si="239"/>
        <v>0</v>
      </c>
      <c r="BT39" s="211">
        <f t="shared" si="240"/>
        <v>0</v>
      </c>
      <c r="BU39" s="211">
        <f t="shared" si="241"/>
        <v>0</v>
      </c>
      <c r="BV39" s="213">
        <f t="shared" si="242"/>
        <v>0</v>
      </c>
      <c r="BW39" s="211">
        <f t="shared" si="243"/>
        <v>0</v>
      </c>
      <c r="BX39" s="213">
        <f t="shared" si="244"/>
        <v>0</v>
      </c>
      <c r="BY39" s="213">
        <f t="shared" si="245"/>
        <v>0</v>
      </c>
      <c r="BZ39" s="211">
        <f t="shared" si="246"/>
        <v>0</v>
      </c>
      <c r="CA39" s="211">
        <f t="shared" si="247"/>
        <v>0</v>
      </c>
      <c r="CB39" s="211">
        <f t="shared" si="248"/>
        <v>0</v>
      </c>
      <c r="CC39" s="211">
        <f t="shared" si="249"/>
        <v>0</v>
      </c>
      <c r="CD39" s="211">
        <f t="shared" si="250"/>
        <v>0</v>
      </c>
      <c r="CE39" s="211">
        <f t="shared" si="251"/>
        <v>0</v>
      </c>
      <c r="CF39" s="211">
        <f t="shared" si="252"/>
        <v>0</v>
      </c>
      <c r="CG39" s="23"/>
      <c r="CH39" s="213">
        <f t="shared" si="253"/>
        <v>0</v>
      </c>
      <c r="CI39" s="211">
        <f t="shared" si="254"/>
        <v>1.7350000000000001</v>
      </c>
      <c r="CJ39" s="211">
        <f t="shared" si="255"/>
        <v>0</v>
      </c>
      <c r="CK39" s="211">
        <f t="shared" si="256"/>
        <v>0</v>
      </c>
      <c r="CL39" s="211">
        <f t="shared" si="257"/>
        <v>0</v>
      </c>
      <c r="CM39" s="211">
        <f t="shared" si="258"/>
        <v>0</v>
      </c>
      <c r="CN39" s="211">
        <f t="shared" si="259"/>
        <v>0</v>
      </c>
      <c r="CO39" s="211">
        <f t="shared" si="260"/>
        <v>0</v>
      </c>
      <c r="CP39" s="211">
        <f t="shared" si="261"/>
        <v>0</v>
      </c>
      <c r="CQ39" s="211">
        <f t="shared" si="262"/>
        <v>0</v>
      </c>
      <c r="CR39" s="211">
        <f t="shared" si="263"/>
        <v>0</v>
      </c>
      <c r="CS39" s="211">
        <f t="shared" si="264"/>
        <v>0</v>
      </c>
      <c r="CT39" s="211">
        <f t="shared" si="267"/>
        <v>0</v>
      </c>
      <c r="CU39" s="211">
        <f t="shared" si="265"/>
        <v>0</v>
      </c>
      <c r="CV39" s="212">
        <f t="shared" si="266"/>
        <v>0</v>
      </c>
      <c r="CW39" s="1149"/>
      <c r="DF39" s="1109"/>
    </row>
    <row r="40" spans="1:111" ht="14.25" customHeight="1">
      <c r="A40" s="11"/>
      <c r="B40" s="31" t="str">
        <f t="shared" si="180"/>
        <v>Other investing activities</v>
      </c>
      <c r="C40" s="32"/>
      <c r="D40" s="213">
        <f t="shared" si="181"/>
        <v>1.5589999999999999</v>
      </c>
      <c r="E40" s="211">
        <f t="shared" si="182"/>
        <v>-9.5999999999999863E-2</v>
      </c>
      <c r="F40" s="211">
        <f t="shared" si="183"/>
        <v>0.20499999999999985</v>
      </c>
      <c r="G40" s="212">
        <f t="shared" si="184"/>
        <v>3.976</v>
      </c>
      <c r="H40" s="213">
        <f t="shared" si="185"/>
        <v>3.5259999999999998</v>
      </c>
      <c r="I40" s="211">
        <f t="shared" si="186"/>
        <v>0.33000000000000007</v>
      </c>
      <c r="J40" s="211">
        <f t="shared" si="187"/>
        <v>0.26900000000000013</v>
      </c>
      <c r="K40" s="212">
        <f t="shared" si="188"/>
        <v>-3.4020000000000001</v>
      </c>
      <c r="L40" s="213">
        <f t="shared" si="189"/>
        <v>0.153</v>
      </c>
      <c r="M40" s="211">
        <f t="shared" si="190"/>
        <v>-0.33299999999999996</v>
      </c>
      <c r="N40" s="211">
        <f t="shared" si="191"/>
        <v>0.16199999999999995</v>
      </c>
      <c r="O40" s="212">
        <f t="shared" si="192"/>
        <v>-8.4200000000000017</v>
      </c>
      <c r="P40" s="213">
        <f t="shared" si="193"/>
        <v>2.7949999999999999</v>
      </c>
      <c r="Q40" s="211">
        <f t="shared" si="194"/>
        <v>0.59200000000000008</v>
      </c>
      <c r="R40" s="211">
        <f t="shared" si="195"/>
        <v>-1.855</v>
      </c>
      <c r="S40" s="212">
        <f t="shared" si="196"/>
        <v>1.1760000000000006</v>
      </c>
      <c r="T40" s="213">
        <f t="shared" si="197"/>
        <v>-2.0630000000000002</v>
      </c>
      <c r="U40" s="211">
        <f t="shared" si="198"/>
        <v>-2.206</v>
      </c>
      <c r="V40" s="211">
        <f t="shared" si="199"/>
        <v>-1.4809999999999999</v>
      </c>
      <c r="W40" s="212">
        <f t="shared" si="200"/>
        <v>8.9000000000000412E-2</v>
      </c>
      <c r="X40" s="213">
        <f t="shared" si="201"/>
        <v>-0.40699999999999997</v>
      </c>
      <c r="Y40" s="211">
        <f t="shared" si="202"/>
        <v>1.248</v>
      </c>
      <c r="Z40" s="211">
        <f t="shared" si="203"/>
        <v>2.827</v>
      </c>
      <c r="AA40" s="212">
        <f t="shared" si="204"/>
        <v>0.60799999999999987</v>
      </c>
      <c r="AB40" s="211">
        <f t="shared" si="205"/>
        <v>-3.4750000000000001</v>
      </c>
      <c r="AC40" s="211">
        <f t="shared" si="206"/>
        <v>-4.0440000000000005</v>
      </c>
      <c r="AD40" s="211">
        <f t="shared" si="207"/>
        <v>0.83600000000000074</v>
      </c>
      <c r="AE40" s="212">
        <f t="shared" si="208"/>
        <v>8.7999999999999634E-2</v>
      </c>
      <c r="AF40" s="211">
        <f t="shared" si="209"/>
        <v>0.32700000000000001</v>
      </c>
      <c r="AG40" s="211">
        <f t="shared" si="210"/>
        <v>-24.302000000000003</v>
      </c>
      <c r="AH40" s="211">
        <f t="shared" si="211"/>
        <v>0.40800000000000297</v>
      </c>
      <c r="AI40" s="212">
        <f t="shared" si="212"/>
        <v>-1.9530000000000012</v>
      </c>
      <c r="AJ40" s="211">
        <f t="shared" si="213"/>
        <v>-2.048</v>
      </c>
      <c r="AK40" s="211">
        <f t="shared" si="214"/>
        <v>-0.47799999999999976</v>
      </c>
      <c r="AL40" s="211">
        <f t="shared" si="215"/>
        <v>-4.0150000000000006</v>
      </c>
      <c r="AM40" s="212">
        <f t="shared" si="216"/>
        <v>98.409000000000006</v>
      </c>
      <c r="AN40" s="211">
        <f t="shared" si="217"/>
        <v>-3.3420000000000001</v>
      </c>
      <c r="AO40" s="211">
        <f t="shared" si="218"/>
        <v>-5.74</v>
      </c>
      <c r="AP40" s="211">
        <f t="shared" si="219"/>
        <v>-1944.0439999999999</v>
      </c>
      <c r="AQ40" s="212">
        <f t="shared" si="220"/>
        <v>-4.8160000000001375</v>
      </c>
      <c r="AR40" s="211">
        <f t="shared" si="221"/>
        <v>-3.847</v>
      </c>
      <c r="AS40" s="211">
        <f t="shared" si="222"/>
        <v>871.1819999999999</v>
      </c>
      <c r="AT40" s="211">
        <f t="shared" si="223"/>
        <v>-883.77699999999993</v>
      </c>
      <c r="AU40" s="212">
        <f t="shared" si="224"/>
        <v>1.1019999999999954</v>
      </c>
      <c r="AV40" s="211">
        <f t="shared" si="225"/>
        <v>41.239000000000004</v>
      </c>
      <c r="AW40" s="211">
        <f t="shared" si="226"/>
        <v>97.36699999999999</v>
      </c>
      <c r="AX40" s="211">
        <f t="shared" si="227"/>
        <v>-158.857</v>
      </c>
      <c r="AY40" s="212">
        <f t="shared" si="228"/>
        <v>1.7309999999999945</v>
      </c>
      <c r="AZ40" s="211">
        <f t="shared" si="229"/>
        <v>-5.9459999999999997</v>
      </c>
      <c r="BA40" s="211">
        <f t="shared" si="230"/>
        <v>-6.1170000000000009</v>
      </c>
      <c r="BB40" s="211">
        <f t="shared" si="231"/>
        <v>-1.0619999999999994</v>
      </c>
      <c r="BC40" s="212">
        <f t="shared" si="232"/>
        <v>-2.7170000000000005</v>
      </c>
      <c r="BD40" s="211">
        <f t="shared" si="233"/>
        <v>-1.278</v>
      </c>
      <c r="BE40" s="211">
        <f>BS!BD22-BS!BE22-BS!BE23+BS!BD23-BS!BE24+BS!BD24+BS!BD26-BS!BE26</f>
        <v>0</v>
      </c>
      <c r="BF40" s="211">
        <f>BS!BE22-BS!BF22-BS!BF23+BS!BE23-BS!BF24+BS!BE24+BS!BE26-BS!BF26</f>
        <v>0</v>
      </c>
      <c r="BG40" s="212">
        <f>BS!BF22-BS!BG22-BS!BG23+BS!BF23-BS!BG24+BS!BF24+BS!BF26-BS!BG26</f>
        <v>0</v>
      </c>
      <c r="BH40" s="211">
        <f>BS!BG22-BS!BH22-BS!BH23+BS!BG23-BS!BH24+BS!BG24+BS!BG26-BS!BH26</f>
        <v>0</v>
      </c>
      <c r="BI40" s="211">
        <f>BS!BH22-BS!BI22-BS!BI23+BS!BH23-BS!BI24+BS!BH24+BS!BH26-BS!BI26</f>
        <v>0</v>
      </c>
      <c r="BJ40" s="211">
        <f>BS!BI22-BS!BJ22-BS!BJ23+BS!BI23-BS!BJ24+BS!BI24+BS!BI26-BS!BJ26</f>
        <v>0</v>
      </c>
      <c r="BK40" s="212">
        <f>BS!BJ22-BS!BK22-BS!BK23+BS!BJ23-BS!BK24+BS!BJ24+BS!BJ26-BS!BK26</f>
        <v>0</v>
      </c>
      <c r="BL40" s="211">
        <f>BS!BK22-BS!BL22-BS!BL23+BS!BK23-BS!BL24+BS!BK24+BS!BK26-BS!BL26</f>
        <v>0</v>
      </c>
      <c r="BM40" s="211">
        <f>BS!BL22-BS!BM22-BS!BM23+BS!BL23-BS!BM24+BS!BL24+BS!BL26-BS!BM26</f>
        <v>0</v>
      </c>
      <c r="BN40" s="211">
        <f>BS!BM22-BS!BN22-BS!BN23+BS!BM23-BS!BN24+BS!BM24+BS!BM26-BS!BN26</f>
        <v>0</v>
      </c>
      <c r="BO40" s="211">
        <f>BS!BN22-BS!BO22-BS!BO23+BS!BN23-BS!BO24+BS!BN24+BS!BN26-BS!BO26</f>
        <v>0</v>
      </c>
      <c r="BP40" s="176"/>
      <c r="BQ40" s="211">
        <f t="shared" si="237"/>
        <v>5.6440000000000001</v>
      </c>
      <c r="BR40" s="211">
        <f t="shared" si="238"/>
        <v>0.72299999999999986</v>
      </c>
      <c r="BS40" s="211">
        <f t="shared" si="239"/>
        <v>-8.4380000000000024</v>
      </c>
      <c r="BT40" s="211">
        <f t="shared" si="240"/>
        <v>2.7080000000000006</v>
      </c>
      <c r="BU40" s="211">
        <f t="shared" si="241"/>
        <v>-5.6609999999999996</v>
      </c>
      <c r="BV40" s="213">
        <f t="shared" si="242"/>
        <v>4.2759999999999998</v>
      </c>
      <c r="BW40" s="211">
        <f t="shared" si="243"/>
        <v>-6.5950000000000006</v>
      </c>
      <c r="BX40" s="213">
        <f t="shared" si="244"/>
        <v>-25.520000000000003</v>
      </c>
      <c r="BY40" s="213">
        <f t="shared" si="245"/>
        <v>91.868000000000009</v>
      </c>
      <c r="BZ40" s="211">
        <f t="shared" si="246"/>
        <v>-1957.942</v>
      </c>
      <c r="CA40" s="211">
        <f t="shared" si="247"/>
        <v>-15.340000000000012</v>
      </c>
      <c r="CB40" s="211">
        <f t="shared" si="248"/>
        <v>-18.52000000000001</v>
      </c>
      <c r="CC40" s="211">
        <f t="shared" si="249"/>
        <v>-15.842000000000001</v>
      </c>
      <c r="CD40" s="211">
        <f t="shared" si="250"/>
        <v>-1.278</v>
      </c>
      <c r="CE40" s="211">
        <f t="shared" si="251"/>
        <v>0</v>
      </c>
      <c r="CF40" s="211">
        <f t="shared" si="252"/>
        <v>0</v>
      </c>
      <c r="CG40" s="176"/>
      <c r="CH40" s="213">
        <f t="shared" si="253"/>
        <v>7.6109999999999998</v>
      </c>
      <c r="CI40" s="211">
        <f t="shared" si="254"/>
        <v>-2.65</v>
      </c>
      <c r="CJ40" s="211">
        <f t="shared" si="255"/>
        <v>-5.7960000000000012</v>
      </c>
      <c r="CK40" s="211">
        <f t="shared" si="256"/>
        <v>-2.1499999999999995</v>
      </c>
      <c r="CL40" s="211">
        <f t="shared" si="257"/>
        <v>-4.004999999999999</v>
      </c>
      <c r="CM40" s="211">
        <f t="shared" si="258"/>
        <v>1.2079999999999997</v>
      </c>
      <c r="CN40" s="211">
        <f t="shared" si="259"/>
        <v>-2.7930000000000001</v>
      </c>
      <c r="CO40" s="211">
        <f t="shared" si="260"/>
        <v>-27.895000000000003</v>
      </c>
      <c r="CP40" s="211">
        <f t="shared" si="261"/>
        <v>90.574000000000012</v>
      </c>
      <c r="CQ40" s="211">
        <f t="shared" si="262"/>
        <v>-1958.4469999999999</v>
      </c>
      <c r="CR40" s="211">
        <f t="shared" si="263"/>
        <v>29.745999999999974</v>
      </c>
      <c r="CS40" s="1161">
        <f t="shared" si="264"/>
        <v>-65.705000000000013</v>
      </c>
      <c r="CT40" s="1161">
        <f t="shared" si="267"/>
        <v>-11.174000000000001</v>
      </c>
      <c r="CU40" s="1161">
        <f t="shared" si="265"/>
        <v>0</v>
      </c>
      <c r="CV40" s="212">
        <f t="shared" si="266"/>
        <v>0</v>
      </c>
      <c r="CW40" s="1149"/>
      <c r="DF40" s="1109"/>
    </row>
    <row r="41" spans="1:111" ht="14.25" customHeight="1" thickBot="1">
      <c r="A41" s="8"/>
      <c r="B41" s="217" t="str">
        <f t="shared" si="180"/>
        <v>Net cash used for investing activities</v>
      </c>
      <c r="C41" s="218"/>
      <c r="D41" s="220">
        <f t="shared" ref="D41:Z41" si="268">SUM(D34:D40)</f>
        <v>-56.019999999999953</v>
      </c>
      <c r="E41" s="219">
        <f t="shared" si="268"/>
        <v>-139.55100000000004</v>
      </c>
      <c r="F41" s="219">
        <f t="shared" si="268"/>
        <v>-253.88800000000006</v>
      </c>
      <c r="G41" s="221">
        <f t="shared" si="268"/>
        <v>439.50000000000034</v>
      </c>
      <c r="H41" s="220">
        <f t="shared" si="268"/>
        <v>-244.89799999999997</v>
      </c>
      <c r="I41" s="219">
        <f t="shared" si="268"/>
        <v>15.104999999999928</v>
      </c>
      <c r="J41" s="219">
        <f t="shared" si="268"/>
        <v>247.50400000000013</v>
      </c>
      <c r="K41" s="221">
        <f t="shared" si="268"/>
        <v>27.096999999999923</v>
      </c>
      <c r="L41" s="220">
        <f t="shared" si="268"/>
        <v>202.64199999999997</v>
      </c>
      <c r="M41" s="219">
        <f t="shared" si="268"/>
        <v>75.718000000000046</v>
      </c>
      <c r="N41" s="219">
        <f t="shared" si="268"/>
        <v>513.60299999999995</v>
      </c>
      <c r="O41" s="221">
        <f t="shared" si="268"/>
        <v>192.62400000000002</v>
      </c>
      <c r="P41" s="220">
        <f t="shared" si="268"/>
        <v>389.52000000000004</v>
      </c>
      <c r="Q41" s="219">
        <f t="shared" si="268"/>
        <v>-170.47999999999988</v>
      </c>
      <c r="R41" s="219">
        <f t="shared" si="268"/>
        <v>-129.57600000000011</v>
      </c>
      <c r="S41" s="221">
        <f t="shared" si="268"/>
        <v>98.899000000000129</v>
      </c>
      <c r="T41" s="220">
        <f t="shared" si="268"/>
        <v>175.99299999999999</v>
      </c>
      <c r="U41" s="219">
        <f t="shared" si="268"/>
        <v>-111.22599999999996</v>
      </c>
      <c r="V41" s="219">
        <f t="shared" si="268"/>
        <v>-498.41000000000008</v>
      </c>
      <c r="W41" s="221">
        <f t="shared" si="268"/>
        <v>-101.08600000000008</v>
      </c>
      <c r="X41" s="220">
        <f t="shared" si="268"/>
        <v>-42.960999999999913</v>
      </c>
      <c r="Y41" s="219">
        <f t="shared" si="268"/>
        <v>-130.09200000000004</v>
      </c>
      <c r="Z41" s="219">
        <f t="shared" si="268"/>
        <v>-172.89599999999984</v>
      </c>
      <c r="AA41" s="221">
        <f t="shared" ref="AA41:AN41" si="269">SUM(AA34:AA40)</f>
        <v>-139.87600000000026</v>
      </c>
      <c r="AB41" s="219">
        <f t="shared" si="269"/>
        <v>208.13599999999988</v>
      </c>
      <c r="AC41" s="219">
        <f t="shared" si="269"/>
        <v>-184.03700000000006</v>
      </c>
      <c r="AD41" s="219">
        <f t="shared" si="269"/>
        <v>-670.37199999999984</v>
      </c>
      <c r="AE41" s="221">
        <f t="shared" si="269"/>
        <v>-57.46500000000011</v>
      </c>
      <c r="AF41" s="219">
        <f t="shared" si="269"/>
        <v>-406.2030000000002</v>
      </c>
      <c r="AG41" s="219">
        <f t="shared" si="269"/>
        <v>-544.51100000000076</v>
      </c>
      <c r="AH41" s="219">
        <f t="shared" si="269"/>
        <v>-282.51499999999976</v>
      </c>
      <c r="AI41" s="221">
        <f t="shared" si="269"/>
        <v>-106.46100000000013</v>
      </c>
      <c r="AJ41" s="219">
        <f t="shared" si="269"/>
        <v>160.40099999999984</v>
      </c>
      <c r="AK41" s="219">
        <f t="shared" si="269"/>
        <v>-412.13399999999973</v>
      </c>
      <c r="AL41" s="219">
        <f t="shared" si="269"/>
        <v>-447.79100000000005</v>
      </c>
      <c r="AM41" s="221">
        <f t="shared" si="269"/>
        <v>-250.4019999999997</v>
      </c>
      <c r="AN41" s="219">
        <f t="shared" si="269"/>
        <v>-44.323000000000221</v>
      </c>
      <c r="AO41" s="219">
        <f t="shared" ref="AO41:AT41" si="270">SUM(AO34:AO40)</f>
        <v>-170.01599999999985</v>
      </c>
      <c r="AP41" s="219">
        <f t="shared" si="270"/>
        <v>98.766000000000076</v>
      </c>
      <c r="AQ41" s="221">
        <f t="shared" si="270"/>
        <v>0.82199999999932771</v>
      </c>
      <c r="AR41" s="219">
        <f t="shared" si="270"/>
        <v>46.270999999999937</v>
      </c>
      <c r="AS41" s="219">
        <f t="shared" si="270"/>
        <v>-268.56100000000026</v>
      </c>
      <c r="AT41" s="219">
        <f t="shared" si="270"/>
        <v>-147.4189999999993</v>
      </c>
      <c r="AU41" s="221">
        <f t="shared" ref="AU41:BG41" si="271">SUM(AU34:AU40)</f>
        <v>352.58399999999949</v>
      </c>
      <c r="AV41" s="219">
        <f t="shared" si="271"/>
        <v>-204.36499999999981</v>
      </c>
      <c r="AW41" s="219">
        <f t="shared" si="271"/>
        <v>-345.21200000000022</v>
      </c>
      <c r="AX41" s="219">
        <f t="shared" si="271"/>
        <v>-111.76400000000015</v>
      </c>
      <c r="AY41" s="221">
        <f t="shared" ref="AY41:BB41" si="272">SUM(AY34:AY40)</f>
        <v>-556.92899999999929</v>
      </c>
      <c r="AZ41" s="219">
        <f t="shared" si="272"/>
        <v>1769.7540000000004</v>
      </c>
      <c r="BA41" s="219">
        <f t="shared" si="272"/>
        <v>-8800.8029999999999</v>
      </c>
      <c r="BB41" s="219">
        <f t="shared" si="272"/>
        <v>426.07099999999969</v>
      </c>
      <c r="BC41" s="221">
        <f t="shared" ref="BC41:BD41" si="273">SUM(BC34:BC40)</f>
        <v>-13.035999999999861</v>
      </c>
      <c r="BD41" s="219">
        <f t="shared" si="273"/>
        <v>-64.5</v>
      </c>
      <c r="BE41" s="219">
        <f t="shared" si="271"/>
        <v>-73.518741249999991</v>
      </c>
      <c r="BF41" s="219">
        <f t="shared" si="271"/>
        <v>-75.674486478749998</v>
      </c>
      <c r="BG41" s="221">
        <f t="shared" si="271"/>
        <v>-78.172568424187503</v>
      </c>
      <c r="BH41" s="219">
        <f t="shared" ref="BH41:BK41" si="274">SUM(BH34:BH40)</f>
        <v>-74.104302327298115</v>
      </c>
      <c r="BI41" s="219">
        <f t="shared" si="274"/>
        <v>-77.492262080603453</v>
      </c>
      <c r="BJ41" s="219">
        <f t="shared" si="274"/>
        <v>-80.333951903658772</v>
      </c>
      <c r="BK41" s="221">
        <f t="shared" si="274"/>
        <v>-83.682606171880707</v>
      </c>
      <c r="BL41" s="219">
        <f t="shared" ref="BL41:BO41" si="275">SUM(BL34:BL40)</f>
        <v>-79.333775579796438</v>
      </c>
      <c r="BM41" s="219">
        <f t="shared" si="275"/>
        <v>-82.690934829704759</v>
      </c>
      <c r="BN41" s="219">
        <f t="shared" si="275"/>
        <v>-85.300132762564203</v>
      </c>
      <c r="BO41" s="219">
        <f t="shared" si="275"/>
        <v>-88.328678815464997</v>
      </c>
      <c r="BP41" s="23"/>
      <c r="BQ41" s="219">
        <f t="shared" ref="BQ41:BW41" si="276">SUM(BQ34:BQ40)</f>
        <v>-9.9589999999996106</v>
      </c>
      <c r="BR41" s="219">
        <f t="shared" si="276"/>
        <v>44.808000000000021</v>
      </c>
      <c r="BS41" s="219">
        <f t="shared" si="276"/>
        <v>984.58699999999999</v>
      </c>
      <c r="BT41" s="219">
        <f t="shared" si="276"/>
        <v>188.36300000000031</v>
      </c>
      <c r="BU41" s="219">
        <f t="shared" si="276"/>
        <v>-534.72899999999981</v>
      </c>
      <c r="BV41" s="220">
        <f t="shared" si="276"/>
        <v>-485.82500000000016</v>
      </c>
      <c r="BW41" s="219">
        <f t="shared" si="276"/>
        <v>-703.73800000000028</v>
      </c>
      <c r="BX41" s="220">
        <f t="shared" ref="BX41:CB41" si="277">SUM(BX34:BX40)</f>
        <v>-1339.6899999999994</v>
      </c>
      <c r="BY41" s="220">
        <f t="shared" si="277"/>
        <v>-949.92599999999982</v>
      </c>
      <c r="BZ41" s="219">
        <f t="shared" si="277"/>
        <v>-114.75100000000111</v>
      </c>
      <c r="CA41" s="219">
        <f t="shared" si="277"/>
        <v>-17.125000000000774</v>
      </c>
      <c r="CB41" s="219">
        <f t="shared" si="277"/>
        <v>-1218.2699999999991</v>
      </c>
      <c r="CC41" s="219">
        <f>SUM(CC34:CC40)</f>
        <v>-6618.0139999999992</v>
      </c>
      <c r="CD41" s="219">
        <f>SUM(CD34:CD40)</f>
        <v>-291.86579615293749</v>
      </c>
      <c r="CE41" s="219">
        <f>SUM(CE34:CE40)</f>
        <v>-315.61312248344103</v>
      </c>
      <c r="CF41" s="219">
        <f>SUM(CF34:CF40)</f>
        <v>-335.65352198753044</v>
      </c>
      <c r="CG41" s="23"/>
      <c r="CH41" s="220">
        <f t="shared" ref="CH41:CN41" si="278">SUM(CH34:CH40)</f>
        <v>-198.83700000000033</v>
      </c>
      <c r="CI41" s="219">
        <f t="shared" si="278"/>
        <v>492.3479999999999</v>
      </c>
      <c r="CJ41" s="219">
        <f t="shared" si="278"/>
        <v>1171.4649999999999</v>
      </c>
      <c r="CK41" s="219">
        <f t="shared" si="278"/>
        <v>-25.163999999999838</v>
      </c>
      <c r="CL41" s="219">
        <f t="shared" si="278"/>
        <v>-753.68300000000045</v>
      </c>
      <c r="CM41" s="219">
        <f t="shared" si="278"/>
        <v>-234.72800000000061</v>
      </c>
      <c r="CN41" s="219">
        <f t="shared" si="278"/>
        <v>-1318.0770000000002</v>
      </c>
      <c r="CO41" s="219">
        <f t="shared" ref="CO41:CT41" si="279">SUM(CO34:CO40)</f>
        <v>-773.08600000000013</v>
      </c>
      <c r="CP41" s="219">
        <f t="shared" si="279"/>
        <v>-1154.6499999999992</v>
      </c>
      <c r="CQ41" s="219">
        <f t="shared" si="279"/>
        <v>-24.156999999999925</v>
      </c>
      <c r="CR41" s="219">
        <f t="shared" si="279"/>
        <v>-267.76099999999963</v>
      </c>
      <c r="CS41" s="219">
        <f t="shared" si="279"/>
        <v>755.84900000000016</v>
      </c>
      <c r="CT41" s="219">
        <f t="shared" si="279"/>
        <v>-8452.268</v>
      </c>
      <c r="CU41" s="219">
        <f t="shared" ref="CU41" si="280">SUM(CU34:CU40)</f>
        <v>-301.47009848023561</v>
      </c>
      <c r="CV41" s="221">
        <f t="shared" ref="CV41" si="281">SUM(CV34:CV40)</f>
        <v>-320.84259573593937</v>
      </c>
      <c r="CW41" s="1149"/>
      <c r="DF41" s="1109"/>
    </row>
    <row r="42" spans="1:111" ht="14.25" customHeight="1" thickTop="1">
      <c r="A42" s="8"/>
      <c r="B42" s="26"/>
      <c r="C42" s="27"/>
      <c r="D42" s="213"/>
      <c r="E42" s="211"/>
      <c r="F42" s="211"/>
      <c r="G42" s="212"/>
      <c r="H42" s="213"/>
      <c r="I42" s="211"/>
      <c r="J42" s="211"/>
      <c r="K42" s="212"/>
      <c r="L42" s="213"/>
      <c r="M42" s="211"/>
      <c r="N42" s="211"/>
      <c r="O42" s="212"/>
      <c r="P42" s="213"/>
      <c r="Q42" s="211"/>
      <c r="R42" s="211"/>
      <c r="S42" s="212"/>
      <c r="T42" s="213"/>
      <c r="U42" s="211"/>
      <c r="V42" s="211"/>
      <c r="W42" s="212"/>
      <c r="X42" s="213"/>
      <c r="Y42" s="211"/>
      <c r="Z42" s="211"/>
      <c r="AA42" s="212"/>
      <c r="AB42" s="211"/>
      <c r="AC42" s="211"/>
      <c r="AD42" s="211"/>
      <c r="AE42" s="212"/>
      <c r="AF42" s="211"/>
      <c r="AG42" s="211"/>
      <c r="AH42" s="211"/>
      <c r="AI42" s="212"/>
      <c r="AJ42" s="211"/>
      <c r="AK42" s="211"/>
      <c r="AL42" s="211"/>
      <c r="AM42" s="212"/>
      <c r="AN42" s="211"/>
      <c r="AO42" s="211"/>
      <c r="AP42" s="211"/>
      <c r="AQ42" s="212"/>
      <c r="AR42" s="211"/>
      <c r="AS42" s="211"/>
      <c r="AT42" s="211"/>
      <c r="AU42" s="212"/>
      <c r="AV42" s="211"/>
      <c r="AW42" s="211"/>
      <c r="AX42" s="211"/>
      <c r="AY42" s="212"/>
      <c r="AZ42" s="211"/>
      <c r="BA42" s="211"/>
      <c r="BB42" s="211"/>
      <c r="BC42" s="212"/>
      <c r="BD42" s="211"/>
      <c r="BE42" s="214"/>
      <c r="BF42" s="214"/>
      <c r="BG42" s="215"/>
      <c r="BH42" s="214"/>
      <c r="BI42" s="214"/>
      <c r="BJ42" s="214"/>
      <c r="BK42" s="215"/>
      <c r="BL42" s="214"/>
      <c r="BM42" s="214"/>
      <c r="BN42" s="214"/>
      <c r="BO42" s="214"/>
      <c r="BP42" s="23"/>
      <c r="BQ42" s="214"/>
      <c r="BR42" s="214"/>
      <c r="BS42" s="214"/>
      <c r="BT42" s="214"/>
      <c r="BU42" s="214"/>
      <c r="BV42" s="216"/>
      <c r="BW42" s="214"/>
      <c r="BX42" s="216"/>
      <c r="BY42" s="216"/>
      <c r="BZ42" s="214"/>
      <c r="CA42" s="214"/>
      <c r="CB42" s="214"/>
      <c r="CC42" s="214"/>
      <c r="CD42" s="214"/>
      <c r="CE42" s="214"/>
      <c r="CF42" s="214"/>
      <c r="CG42" s="23"/>
      <c r="CH42" s="216"/>
      <c r="CI42" s="214"/>
      <c r="CJ42" s="214"/>
      <c r="CK42" s="214"/>
      <c r="CL42" s="214"/>
      <c r="CM42" s="214"/>
      <c r="CN42" s="214"/>
      <c r="CO42" s="214"/>
      <c r="CP42" s="214"/>
      <c r="CQ42" s="214"/>
      <c r="CR42" s="214"/>
      <c r="CS42" s="214"/>
      <c r="CT42" s="214"/>
      <c r="CU42" s="214"/>
      <c r="CV42" s="1231"/>
      <c r="CW42" s="1149"/>
      <c r="DF42" s="1109"/>
    </row>
    <row r="43" spans="1:111" ht="14.25" customHeight="1">
      <c r="A43" s="8"/>
      <c r="B43" s="222" t="str">
        <f t="shared" ref="B43:B51" si="282">B145</f>
        <v>Cash flows from financing activities:</v>
      </c>
      <c r="C43" s="223"/>
      <c r="D43" s="213"/>
      <c r="E43" s="211"/>
      <c r="F43" s="211"/>
      <c r="G43" s="212"/>
      <c r="H43" s="213"/>
      <c r="I43" s="211"/>
      <c r="J43" s="211"/>
      <c r="K43" s="212"/>
      <c r="L43" s="213"/>
      <c r="M43" s="211"/>
      <c r="N43" s="211"/>
      <c r="O43" s="212"/>
      <c r="P43" s="213"/>
      <c r="Q43" s="211"/>
      <c r="R43" s="211"/>
      <c r="S43" s="212"/>
      <c r="T43" s="213"/>
      <c r="U43" s="211"/>
      <c r="V43" s="211"/>
      <c r="W43" s="212"/>
      <c r="X43" s="213"/>
      <c r="Y43" s="211"/>
      <c r="Z43" s="211"/>
      <c r="AA43" s="212"/>
      <c r="AB43" s="211"/>
      <c r="AC43" s="211"/>
      <c r="AD43" s="211"/>
      <c r="AE43" s="212"/>
      <c r="AF43" s="211"/>
      <c r="AG43" s="211"/>
      <c r="AH43" s="211"/>
      <c r="AI43" s="212"/>
      <c r="AJ43" s="211"/>
      <c r="AK43" s="211"/>
      <c r="AL43" s="211"/>
      <c r="AM43" s="212"/>
      <c r="AN43" s="211"/>
      <c r="AO43" s="211"/>
      <c r="AP43" s="211"/>
      <c r="AQ43" s="212"/>
      <c r="AR43" s="211"/>
      <c r="AS43" s="211"/>
      <c r="AT43" s="211"/>
      <c r="AU43" s="212"/>
      <c r="AV43" s="211"/>
      <c r="AW43" s="211"/>
      <c r="AX43" s="211"/>
      <c r="AY43" s="212"/>
      <c r="AZ43" s="211"/>
      <c r="BA43" s="211"/>
      <c r="BB43" s="211"/>
      <c r="BC43" s="212"/>
      <c r="BD43" s="211"/>
      <c r="BE43" s="214"/>
      <c r="BF43" s="214"/>
      <c r="BG43" s="215"/>
      <c r="BH43" s="214"/>
      <c r="BI43" s="214"/>
      <c r="BJ43" s="214"/>
      <c r="BK43" s="215"/>
      <c r="BL43" s="214"/>
      <c r="BM43" s="214"/>
      <c r="BN43" s="214"/>
      <c r="BO43" s="214"/>
      <c r="BP43" s="23"/>
      <c r="BQ43" s="214"/>
      <c r="BR43" s="214"/>
      <c r="BS43" s="214"/>
      <c r="BT43" s="214"/>
      <c r="BU43" s="214"/>
      <c r="BV43" s="216"/>
      <c r="BW43" s="214"/>
      <c r="BX43" s="216"/>
      <c r="BY43" s="216"/>
      <c r="BZ43" s="214"/>
      <c r="CA43" s="214"/>
      <c r="CB43" s="214"/>
      <c r="CC43" s="214"/>
      <c r="CD43" s="214"/>
      <c r="CE43" s="214"/>
      <c r="CF43" s="214"/>
      <c r="CG43" s="23"/>
      <c r="CH43" s="216"/>
      <c r="CI43" s="214"/>
      <c r="CJ43" s="214"/>
      <c r="CK43" s="214"/>
      <c r="CL43" s="214"/>
      <c r="CM43" s="214"/>
      <c r="CN43" s="214"/>
      <c r="CO43" s="214"/>
      <c r="CP43" s="214"/>
      <c r="CQ43" s="214"/>
      <c r="CR43" s="214"/>
      <c r="CS43" s="214"/>
      <c r="CT43" s="214"/>
      <c r="CU43" s="214"/>
      <c r="CV43" s="215"/>
      <c r="CW43" s="1149"/>
      <c r="DF43" s="1109"/>
    </row>
    <row r="44" spans="1:111" ht="14.25" customHeight="1">
      <c r="A44" s="8"/>
      <c r="B44" s="31" t="str">
        <f t="shared" si="282"/>
        <v>Increase (decrease) in short-term debt, net</v>
      </c>
      <c r="C44" s="32"/>
      <c r="D44" s="213">
        <f t="shared" ref="D44:D51" si="283">D146</f>
        <v>0</v>
      </c>
      <c r="E44" s="211">
        <f t="shared" ref="E44:E51" si="284">E146-D44</f>
        <v>0</v>
      </c>
      <c r="F44" s="211">
        <f t="shared" ref="F44:F51" si="285">F146-E44-D44</f>
        <v>0</v>
      </c>
      <c r="G44" s="212">
        <f t="shared" ref="G44:G51" si="286">G146-F44-E44-D44</f>
        <v>0</v>
      </c>
      <c r="H44" s="213">
        <f t="shared" ref="H44:H51" si="287">H146</f>
        <v>0</v>
      </c>
      <c r="I44" s="211">
        <f t="shared" ref="I44:I51" si="288">I146-H44</f>
        <v>0</v>
      </c>
      <c r="J44" s="211">
        <f t="shared" ref="J44:J51" si="289">J146-I44-H44</f>
        <v>0</v>
      </c>
      <c r="K44" s="212">
        <f t="shared" ref="K44:K51" si="290">K146-J44-I44-H44</f>
        <v>0</v>
      </c>
      <c r="L44" s="213">
        <f t="shared" ref="L44:L51" si="291">L146</f>
        <v>0</v>
      </c>
      <c r="M44" s="211">
        <f t="shared" ref="M44:M51" si="292">M146-L44</f>
        <v>0</v>
      </c>
      <c r="N44" s="211">
        <f t="shared" ref="N44:N51" si="293">N146-M44-L44</f>
        <v>0</v>
      </c>
      <c r="O44" s="212">
        <f t="shared" ref="O44:O51" si="294">O146-N44-M44-L44</f>
        <v>0</v>
      </c>
      <c r="P44" s="213">
        <f t="shared" ref="P44:P51" si="295">P146</f>
        <v>0</v>
      </c>
      <c r="Q44" s="211">
        <f t="shared" ref="Q44:Q51" si="296">Q146-P44</f>
        <v>0</v>
      </c>
      <c r="R44" s="211">
        <f t="shared" ref="R44:R51" si="297">R146-Q44-P44</f>
        <v>0</v>
      </c>
      <c r="S44" s="212">
        <f t="shared" ref="S44:S51" si="298">S146-R44-Q44-P44</f>
        <v>0</v>
      </c>
      <c r="T44" s="213">
        <f t="shared" ref="T44:T51" si="299">T146</f>
        <v>0</v>
      </c>
      <c r="U44" s="211">
        <f t="shared" ref="U44:U51" si="300">U146-T44</f>
        <v>0</v>
      </c>
      <c r="V44" s="211">
        <f t="shared" ref="V44:V51" si="301">V146-U44-T44</f>
        <v>0</v>
      </c>
      <c r="W44" s="212">
        <f t="shared" ref="W44:W51" si="302">W146-V44-U44-T44</f>
        <v>0</v>
      </c>
      <c r="X44" s="213">
        <f t="shared" ref="X44:X51" si="303">X146</f>
        <v>0</v>
      </c>
      <c r="Y44" s="211">
        <f t="shared" ref="Y44:Y51" si="304">Y146-X44</f>
        <v>0</v>
      </c>
      <c r="Z44" s="211">
        <f t="shared" ref="Z44:Z51" si="305">Z146-Y44-X44</f>
        <v>0</v>
      </c>
      <c r="AA44" s="212">
        <f t="shared" ref="AA44:AA51" si="306">AA146-Z44-Y44-X44</f>
        <v>0</v>
      </c>
      <c r="AB44" s="211">
        <f t="shared" ref="AB44:AB51" si="307">AB146</f>
        <v>0</v>
      </c>
      <c r="AC44" s="211">
        <f t="shared" ref="AC44:AC51" si="308">AC146-AB44</f>
        <v>0</v>
      </c>
      <c r="AD44" s="211">
        <f t="shared" ref="AD44:AD51" si="309">AD146-AC44-AB44</f>
        <v>0</v>
      </c>
      <c r="AE44" s="212">
        <f t="shared" ref="AE44:AE51" si="310">AE146-AD44-AC44-AB44</f>
        <v>0</v>
      </c>
      <c r="AF44" s="211">
        <f t="shared" ref="AF44:AF51" si="311">AF146</f>
        <v>0</v>
      </c>
      <c r="AG44" s="211">
        <f t="shared" ref="AG44:AG51" si="312">AG146-AF44</f>
        <v>0</v>
      </c>
      <c r="AH44" s="211">
        <f t="shared" ref="AH44:AH51" si="313">AH146-AG44-AF44</f>
        <v>0</v>
      </c>
      <c r="AI44" s="212">
        <f t="shared" ref="AI44:AI51" si="314">AI146-AH44-AG44-AF44</f>
        <v>0</v>
      </c>
      <c r="AJ44" s="211">
        <f t="shared" ref="AJ44:AJ51" si="315">AJ146</f>
        <v>0</v>
      </c>
      <c r="AK44" s="211">
        <f t="shared" ref="AK44:AK51" si="316">AK146-AJ44</f>
        <v>0</v>
      </c>
      <c r="AL44" s="211">
        <f t="shared" ref="AL44:AL51" si="317">AL146-AK44-AJ44</f>
        <v>0</v>
      </c>
      <c r="AM44" s="212">
        <f t="shared" ref="AM44:AM51" si="318">AM146-AL44-AK44-AJ44</f>
        <v>0</v>
      </c>
      <c r="AN44" s="211">
        <f t="shared" ref="AN44:AN51" si="319">AN146</f>
        <v>0</v>
      </c>
      <c r="AO44" s="211">
        <f t="shared" ref="AO44:AO51" si="320">AO146-AN44</f>
        <v>0</v>
      </c>
      <c r="AP44" s="211">
        <f t="shared" ref="AP44:AP51" si="321">AP146-AO44-AN44</f>
        <v>0</v>
      </c>
      <c r="AQ44" s="212">
        <f t="shared" ref="AQ44:AQ51" si="322">AQ146-AP44-AO44-AN44</f>
        <v>0</v>
      </c>
      <c r="AR44" s="211">
        <f t="shared" ref="AR44:AR51" si="323">AR146</f>
        <v>0</v>
      </c>
      <c r="AS44" s="211">
        <f t="shared" ref="AS44:AS51" si="324">AS146-AR44</f>
        <v>0</v>
      </c>
      <c r="AT44" s="211">
        <f t="shared" ref="AT44:AT51" si="325">AT146-AS44-AR44</f>
        <v>0</v>
      </c>
      <c r="AU44" s="212">
        <f t="shared" ref="AU44:AU51" si="326">AU146-AT44-AS44-AR44</f>
        <v>0</v>
      </c>
      <c r="AV44" s="211">
        <f t="shared" ref="AV44:AV51" si="327">AV146</f>
        <v>-378.15600000000001</v>
      </c>
      <c r="AW44" s="211">
        <f t="shared" ref="AW44:AW51" si="328">AW146-AV44</f>
        <v>0</v>
      </c>
      <c r="AX44" s="211">
        <f t="shared" ref="AX44:AX51" si="329">AX146-AW44-AV44</f>
        <v>0</v>
      </c>
      <c r="AY44" s="212">
        <f t="shared" ref="AY44:AY51" si="330">AY146-AX44-AW44-AV44</f>
        <v>0</v>
      </c>
      <c r="AZ44" s="211">
        <f t="shared" ref="AZ44:AZ51" si="331">AZ146</f>
        <v>0</v>
      </c>
      <c r="BA44" s="211">
        <f t="shared" ref="BA44:BA51" si="332">BA146-AZ44</f>
        <v>0</v>
      </c>
      <c r="BB44" s="211">
        <f t="shared" ref="BB44:BB51" si="333">BB146-BA44-AZ44</f>
        <v>-4700</v>
      </c>
      <c r="BC44" s="212">
        <f t="shared" ref="BC44:BC51" si="334">BC146-BB44-BA44-AZ44</f>
        <v>4700</v>
      </c>
      <c r="BD44" s="211">
        <f t="shared" ref="BD44:BD51" si="335">BD146</f>
        <v>0</v>
      </c>
      <c r="BE44" s="1135">
        <f>+BS!BE110-BS!BD110</f>
        <v>0</v>
      </c>
      <c r="BF44" s="1135">
        <f>+BS!BF110-BS!BE110</f>
        <v>0</v>
      </c>
      <c r="BG44" s="1136">
        <f>+BS!BG110-BS!BF110</f>
        <v>0</v>
      </c>
      <c r="BH44" s="1135">
        <f>+BS!BH110-BS!BG110</f>
        <v>0</v>
      </c>
      <c r="BI44" s="1135">
        <f>+BS!BI110-BS!BH110</f>
        <v>0</v>
      </c>
      <c r="BJ44" s="1135">
        <f>+BS!BJ110-BS!BI110</f>
        <v>0</v>
      </c>
      <c r="BK44" s="1136">
        <f>+BS!BK110-BS!BJ110</f>
        <v>0</v>
      </c>
      <c r="BL44" s="1135">
        <f>+BS!BL110-BS!BK110</f>
        <v>0</v>
      </c>
      <c r="BM44" s="1135">
        <f>+BS!BM110-BS!BL110</f>
        <v>0</v>
      </c>
      <c r="BN44" s="1135">
        <f>+BS!BN110-BS!BM110</f>
        <v>0</v>
      </c>
      <c r="BO44" s="1136">
        <f>+BS!BO110-BS!BN110</f>
        <v>0</v>
      </c>
      <c r="BP44" s="23"/>
      <c r="BQ44" s="211">
        <f t="shared" ref="BQ44:BQ51" si="336">SUM(D44:G44)</f>
        <v>0</v>
      </c>
      <c r="BR44" s="211">
        <f t="shared" ref="BR44:BR51" si="337">SUM(H44:K44)</f>
        <v>0</v>
      </c>
      <c r="BS44" s="211">
        <f t="shared" ref="BS44:BS51" si="338">SUM(L44:O44)</f>
        <v>0</v>
      </c>
      <c r="BT44" s="211">
        <f t="shared" ref="BT44:BT51" si="339">SUM(P44:S44)</f>
        <v>0</v>
      </c>
      <c r="BU44" s="211">
        <f t="shared" ref="BU44:BU51" si="340">SUM(T44:W44)</f>
        <v>0</v>
      </c>
      <c r="BV44" s="213">
        <f t="shared" ref="BV44:BV51" si="341">SUM(X44:AA44)</f>
        <v>0</v>
      </c>
      <c r="BW44" s="211">
        <f t="shared" ref="BW44:BW51" si="342">SUM(AB44:AE44)</f>
        <v>0</v>
      </c>
      <c r="BX44" s="213">
        <f t="shared" ref="BX44:BX51" si="343">SUM(AF44:AI44)</f>
        <v>0</v>
      </c>
      <c r="BY44" s="213">
        <f t="shared" ref="BY44:BY51" si="344">SUM(AJ44:AM44)</f>
        <v>0</v>
      </c>
      <c r="BZ44" s="211">
        <f t="shared" ref="BZ44:BZ51" si="345">SUM(AN44:AQ44)</f>
        <v>0</v>
      </c>
      <c r="CA44" s="211">
        <f t="shared" ref="CA44:CA51" si="346">SUM(AR44:AU44)</f>
        <v>0</v>
      </c>
      <c r="CB44" s="211">
        <f t="shared" ref="CB44:CB51" si="347">SUM(AV44:AY44)</f>
        <v>-378.15600000000001</v>
      </c>
      <c r="CC44" s="211">
        <f t="shared" ref="CC44:CC51" si="348">SUM(AZ44:BC44)</f>
        <v>0</v>
      </c>
      <c r="CD44" s="211">
        <f t="shared" ref="CD44:CD51" si="349">SUM(BD44:BG44)</f>
        <v>0</v>
      </c>
      <c r="CE44" s="211">
        <f t="shared" ref="CE44:CE51" si="350">SUM(BH44:BK44)</f>
        <v>0</v>
      </c>
      <c r="CF44" s="211">
        <f t="shared" ref="CF44:CF51" si="351">SUM(BL44:BO44)</f>
        <v>0</v>
      </c>
      <c r="CG44" s="23"/>
      <c r="CH44" s="213">
        <f t="shared" ref="CH44:CH51" si="352">SUM(E44:H44)</f>
        <v>0</v>
      </c>
      <c r="CI44" s="211">
        <f t="shared" ref="CI44:CI51" si="353">SUM(I44:L44)</f>
        <v>0</v>
      </c>
      <c r="CJ44" s="211">
        <f t="shared" ref="CJ44:CJ51" si="354">SUM(M44:P44)</f>
        <v>0</v>
      </c>
      <c r="CK44" s="211">
        <f t="shared" ref="CK44:CK51" si="355">SUM(Q44:T44)</f>
        <v>0</v>
      </c>
      <c r="CL44" s="211">
        <f t="shared" ref="CL44:CL51" si="356">SUM(U44:X44)</f>
        <v>0</v>
      </c>
      <c r="CM44" s="211">
        <f t="shared" ref="CM44:CM51" si="357">SUM(Y44:AB44)</f>
        <v>0</v>
      </c>
      <c r="CN44" s="211">
        <f t="shared" ref="CN44:CN51" si="358">SUM(AC44:AF44)</f>
        <v>0</v>
      </c>
      <c r="CO44" s="211">
        <f t="shared" ref="CO44:CO51" si="359">SUM(AG44:AJ44)</f>
        <v>0</v>
      </c>
      <c r="CP44" s="211">
        <f t="shared" ref="CP44:CP51" si="360">SUM(AK44:AN44)</f>
        <v>0</v>
      </c>
      <c r="CQ44" s="211">
        <f t="shared" ref="CQ44:CQ51" si="361">SUM(AO44:AR44)</f>
        <v>0</v>
      </c>
      <c r="CR44" s="211">
        <f t="shared" ref="CR44:CR51" si="362">SUM(AS44:AV44)</f>
        <v>-378.15600000000001</v>
      </c>
      <c r="CS44" s="211">
        <f t="shared" ref="CS44:CS51" si="363">SUM(AW44:AZ44)</f>
        <v>0</v>
      </c>
      <c r="CT44" s="211">
        <f>SUM(BA44:BD44)</f>
        <v>0</v>
      </c>
      <c r="CU44" s="211">
        <f t="shared" ref="CU44:CU51" si="364">SUM(BE44:BH44)</f>
        <v>0</v>
      </c>
      <c r="CV44" s="212">
        <f t="shared" ref="CV44:CV51" si="365">SUM(BI44:BL44)</f>
        <v>0</v>
      </c>
      <c r="CW44" s="1149"/>
      <c r="DF44" s="1109"/>
    </row>
    <row r="45" spans="1:111" ht="14.25" customHeight="1">
      <c r="A45" s="8"/>
      <c r="B45" s="31" t="str">
        <f t="shared" si="282"/>
        <v>Proceeds from long-term debt</v>
      </c>
      <c r="C45" s="32"/>
      <c r="D45" s="213">
        <f t="shared" si="283"/>
        <v>0</v>
      </c>
      <c r="E45" s="211">
        <f t="shared" si="284"/>
        <v>0</v>
      </c>
      <c r="F45" s="211">
        <f t="shared" si="285"/>
        <v>0</v>
      </c>
      <c r="G45" s="212">
        <f t="shared" si="286"/>
        <v>0</v>
      </c>
      <c r="H45" s="213">
        <f t="shared" si="287"/>
        <v>0</v>
      </c>
      <c r="I45" s="211">
        <f t="shared" si="288"/>
        <v>0</v>
      </c>
      <c r="J45" s="211">
        <f t="shared" si="289"/>
        <v>0</v>
      </c>
      <c r="K45" s="212">
        <f t="shared" si="290"/>
        <v>0</v>
      </c>
      <c r="L45" s="213">
        <f t="shared" si="291"/>
        <v>0</v>
      </c>
      <c r="M45" s="211">
        <f t="shared" si="292"/>
        <v>0</v>
      </c>
      <c r="N45" s="211">
        <f t="shared" si="293"/>
        <v>0</v>
      </c>
      <c r="O45" s="212">
        <f t="shared" si="294"/>
        <v>0</v>
      </c>
      <c r="P45" s="213">
        <f t="shared" si="295"/>
        <v>0</v>
      </c>
      <c r="Q45" s="211">
        <f t="shared" si="296"/>
        <v>0</v>
      </c>
      <c r="R45" s="211">
        <f t="shared" si="297"/>
        <v>0</v>
      </c>
      <c r="S45" s="212">
        <f t="shared" si="298"/>
        <v>0</v>
      </c>
      <c r="T45" s="213">
        <f t="shared" si="299"/>
        <v>0</v>
      </c>
      <c r="U45" s="211">
        <f t="shared" si="300"/>
        <v>0</v>
      </c>
      <c r="V45" s="211">
        <f t="shared" si="301"/>
        <v>370.35</v>
      </c>
      <c r="W45" s="212">
        <f t="shared" si="302"/>
        <v>0</v>
      </c>
      <c r="X45" s="213">
        <f t="shared" si="303"/>
        <v>0</v>
      </c>
      <c r="Y45" s="211">
        <f t="shared" si="304"/>
        <v>0</v>
      </c>
      <c r="Z45" s="211">
        <f t="shared" si="305"/>
        <v>0</v>
      </c>
      <c r="AA45" s="212">
        <f t="shared" si="306"/>
        <v>0</v>
      </c>
      <c r="AB45" s="211">
        <f t="shared" si="307"/>
        <v>145</v>
      </c>
      <c r="AC45" s="211">
        <f t="shared" si="308"/>
        <v>370.50699999999995</v>
      </c>
      <c r="AD45" s="211">
        <f t="shared" si="309"/>
        <v>0</v>
      </c>
      <c r="AE45" s="212">
        <f t="shared" si="310"/>
        <v>0</v>
      </c>
      <c r="AF45" s="211">
        <f t="shared" si="311"/>
        <v>0</v>
      </c>
      <c r="AG45" s="211">
        <f t="shared" si="312"/>
        <v>0</v>
      </c>
      <c r="AH45" s="211">
        <f t="shared" si="313"/>
        <v>0</v>
      </c>
      <c r="AI45" s="212">
        <f t="shared" si="314"/>
        <v>0</v>
      </c>
      <c r="AJ45" s="211">
        <f t="shared" si="315"/>
        <v>0</v>
      </c>
      <c r="AK45" s="211">
        <f t="shared" si="316"/>
        <v>0</v>
      </c>
      <c r="AL45" s="211">
        <f>AL147-AK45-AJ45</f>
        <v>493.88</v>
      </c>
      <c r="AM45" s="212">
        <f t="shared" si="318"/>
        <v>0</v>
      </c>
      <c r="AN45" s="211">
        <f t="shared" si="319"/>
        <v>0</v>
      </c>
      <c r="AO45" s="211">
        <f t="shared" si="320"/>
        <v>0</v>
      </c>
      <c r="AP45" s="211">
        <f t="shared" si="321"/>
        <v>1995.3979999999999</v>
      </c>
      <c r="AQ45" s="212">
        <f t="shared" si="322"/>
        <v>0</v>
      </c>
      <c r="AR45" s="211">
        <f t="shared" si="323"/>
        <v>0</v>
      </c>
      <c r="AS45" s="211">
        <f t="shared" si="324"/>
        <v>0</v>
      </c>
      <c r="AT45" s="211">
        <f t="shared" si="325"/>
        <v>0</v>
      </c>
      <c r="AU45" s="212">
        <f t="shared" si="326"/>
        <v>0</v>
      </c>
      <c r="AV45" s="211">
        <f t="shared" si="327"/>
        <v>1235.3309999999999</v>
      </c>
      <c r="AW45" s="211">
        <f t="shared" si="328"/>
        <v>0</v>
      </c>
      <c r="AX45" s="211">
        <f t="shared" si="329"/>
        <v>0</v>
      </c>
      <c r="AY45" s="212">
        <f t="shared" si="330"/>
        <v>0</v>
      </c>
      <c r="AZ45" s="211">
        <f t="shared" si="331"/>
        <v>2072.306</v>
      </c>
      <c r="BA45" s="211">
        <f t="shared" si="332"/>
        <v>9083.8580000000002</v>
      </c>
      <c r="BB45" s="211">
        <f t="shared" si="333"/>
        <v>0</v>
      </c>
      <c r="BC45" s="212">
        <f t="shared" si="334"/>
        <v>0</v>
      </c>
      <c r="BD45" s="211">
        <f t="shared" si="335"/>
        <v>0</v>
      </c>
      <c r="BE45" s="214">
        <v>0</v>
      </c>
      <c r="BF45" s="214">
        <v>0</v>
      </c>
      <c r="BG45" s="215">
        <v>0</v>
      </c>
      <c r="BH45" s="214">
        <v>0</v>
      </c>
      <c r="BI45" s="214">
        <v>0</v>
      </c>
      <c r="BJ45" s="214">
        <v>0</v>
      </c>
      <c r="BK45" s="215">
        <v>0</v>
      </c>
      <c r="BL45" s="214">
        <v>0</v>
      </c>
      <c r="BM45" s="214">
        <v>0</v>
      </c>
      <c r="BN45" s="214">
        <v>0</v>
      </c>
      <c r="BO45" s="214">
        <v>0</v>
      </c>
      <c r="BP45" s="23"/>
      <c r="BQ45" s="211">
        <f t="shared" si="336"/>
        <v>0</v>
      </c>
      <c r="BR45" s="211">
        <f t="shared" si="337"/>
        <v>0</v>
      </c>
      <c r="BS45" s="211">
        <f t="shared" si="338"/>
        <v>0</v>
      </c>
      <c r="BT45" s="211">
        <f t="shared" si="339"/>
        <v>0</v>
      </c>
      <c r="BU45" s="211">
        <f t="shared" si="340"/>
        <v>370.35</v>
      </c>
      <c r="BV45" s="213">
        <f t="shared" si="341"/>
        <v>0</v>
      </c>
      <c r="BW45" s="211">
        <f t="shared" si="342"/>
        <v>515.50699999999995</v>
      </c>
      <c r="BX45" s="213">
        <f t="shared" si="343"/>
        <v>0</v>
      </c>
      <c r="BY45" s="213">
        <f t="shared" si="344"/>
        <v>493.88</v>
      </c>
      <c r="BZ45" s="211">
        <f t="shared" si="345"/>
        <v>1995.3979999999999</v>
      </c>
      <c r="CA45" s="211">
        <f t="shared" si="346"/>
        <v>0</v>
      </c>
      <c r="CB45" s="211">
        <f t="shared" si="347"/>
        <v>1235.3309999999999</v>
      </c>
      <c r="CC45" s="211">
        <f t="shared" si="348"/>
        <v>11156.164000000001</v>
      </c>
      <c r="CD45" s="211">
        <f t="shared" si="349"/>
        <v>0</v>
      </c>
      <c r="CE45" s="211">
        <f t="shared" si="350"/>
        <v>0</v>
      </c>
      <c r="CF45" s="211">
        <f t="shared" si="351"/>
        <v>0</v>
      </c>
      <c r="CG45" s="23"/>
      <c r="CH45" s="213">
        <f t="shared" si="352"/>
        <v>0</v>
      </c>
      <c r="CI45" s="211">
        <f t="shared" si="353"/>
        <v>0</v>
      </c>
      <c r="CJ45" s="211">
        <f t="shared" si="354"/>
        <v>0</v>
      </c>
      <c r="CK45" s="211">
        <f t="shared" si="355"/>
        <v>0</v>
      </c>
      <c r="CL45" s="211">
        <f t="shared" si="356"/>
        <v>370.35</v>
      </c>
      <c r="CM45" s="211">
        <f t="shared" si="357"/>
        <v>145</v>
      </c>
      <c r="CN45" s="211">
        <f t="shared" si="358"/>
        <v>370.50699999999995</v>
      </c>
      <c r="CO45" s="211">
        <f t="shared" si="359"/>
        <v>0</v>
      </c>
      <c r="CP45" s="211">
        <f t="shared" si="360"/>
        <v>493.88</v>
      </c>
      <c r="CQ45" s="211">
        <f t="shared" si="361"/>
        <v>1995.3979999999999</v>
      </c>
      <c r="CR45" s="211">
        <f t="shared" si="362"/>
        <v>1235.3309999999999</v>
      </c>
      <c r="CS45" s="211">
        <f t="shared" si="363"/>
        <v>2072.306</v>
      </c>
      <c r="CT45" s="211">
        <f t="shared" ref="CT45:CT51" si="366">SUM(BA45:BD45)</f>
        <v>9083.8580000000002</v>
      </c>
      <c r="CU45" s="211">
        <f t="shared" si="364"/>
        <v>0</v>
      </c>
      <c r="CV45" s="212">
        <f t="shared" si="365"/>
        <v>0</v>
      </c>
      <c r="CW45" s="1149"/>
      <c r="DF45" s="1109"/>
    </row>
    <row r="46" spans="1:111" ht="14.25" customHeight="1">
      <c r="A46" s="8"/>
      <c r="B46" s="31" t="str">
        <f t="shared" si="282"/>
        <v>Term loan repayments</v>
      </c>
      <c r="C46" s="32"/>
      <c r="D46" s="213">
        <f t="shared" si="283"/>
        <v>0</v>
      </c>
      <c r="E46" s="211">
        <f t="shared" si="284"/>
        <v>0</v>
      </c>
      <c r="F46" s="211">
        <f t="shared" si="285"/>
        <v>0</v>
      </c>
      <c r="G46" s="212">
        <f t="shared" si="286"/>
        <v>0</v>
      </c>
      <c r="H46" s="213">
        <f t="shared" si="287"/>
        <v>0</v>
      </c>
      <c r="I46" s="211">
        <f t="shared" si="288"/>
        <v>0</v>
      </c>
      <c r="J46" s="211">
        <f t="shared" si="289"/>
        <v>0</v>
      </c>
      <c r="K46" s="212">
        <f t="shared" si="290"/>
        <v>0</v>
      </c>
      <c r="L46" s="213">
        <f t="shared" si="291"/>
        <v>0</v>
      </c>
      <c r="M46" s="211">
        <f t="shared" si="292"/>
        <v>0</v>
      </c>
      <c r="N46" s="211">
        <f t="shared" si="293"/>
        <v>0</v>
      </c>
      <c r="O46" s="212">
        <f t="shared" si="294"/>
        <v>0</v>
      </c>
      <c r="P46" s="213">
        <f t="shared" si="295"/>
        <v>0</v>
      </c>
      <c r="Q46" s="211">
        <f t="shared" si="296"/>
        <v>0</v>
      </c>
      <c r="R46" s="211">
        <f t="shared" si="297"/>
        <v>0</v>
      </c>
      <c r="S46" s="212">
        <f t="shared" si="298"/>
        <v>0</v>
      </c>
      <c r="T46" s="213">
        <f t="shared" si="299"/>
        <v>0</v>
      </c>
      <c r="U46" s="211">
        <f t="shared" si="300"/>
        <v>0</v>
      </c>
      <c r="V46" s="211">
        <f t="shared" si="301"/>
        <v>0</v>
      </c>
      <c r="W46" s="212">
        <f t="shared" si="302"/>
        <v>0</v>
      </c>
      <c r="X46" s="213">
        <f t="shared" si="303"/>
        <v>0</v>
      </c>
      <c r="Y46" s="211">
        <f t="shared" si="304"/>
        <v>0</v>
      </c>
      <c r="Z46" s="211">
        <f t="shared" si="305"/>
        <v>0</v>
      </c>
      <c r="AA46" s="212">
        <f t="shared" si="306"/>
        <v>0</v>
      </c>
      <c r="AB46" s="211">
        <f t="shared" si="307"/>
        <v>0</v>
      </c>
      <c r="AC46" s="211">
        <f t="shared" si="308"/>
        <v>-3.625</v>
      </c>
      <c r="AD46" s="211">
        <f t="shared" si="309"/>
        <v>-21.141999999999999</v>
      </c>
      <c r="AE46" s="212">
        <f t="shared" si="310"/>
        <v>-3.625</v>
      </c>
      <c r="AF46" s="211">
        <f t="shared" si="311"/>
        <v>-15.625</v>
      </c>
      <c r="AG46" s="211">
        <f t="shared" si="312"/>
        <v>-3.625</v>
      </c>
      <c r="AH46" s="211">
        <f t="shared" si="313"/>
        <v>-3.625</v>
      </c>
      <c r="AI46" s="212">
        <f t="shared" si="314"/>
        <v>-33.625</v>
      </c>
      <c r="AJ46" s="211">
        <f t="shared" si="315"/>
        <v>-60.107999999999997</v>
      </c>
      <c r="AK46" s="211">
        <f t="shared" si="316"/>
        <v>0</v>
      </c>
      <c r="AL46" s="211">
        <f t="shared" si="317"/>
        <v>0</v>
      </c>
      <c r="AM46" s="212">
        <f t="shared" si="318"/>
        <v>0</v>
      </c>
      <c r="AN46" s="211">
        <f t="shared" si="319"/>
        <v>0</v>
      </c>
      <c r="AO46" s="211">
        <f t="shared" si="320"/>
        <v>0</v>
      </c>
      <c r="AP46" s="211">
        <f t="shared" si="321"/>
        <v>0</v>
      </c>
      <c r="AQ46" s="212">
        <f t="shared" si="322"/>
        <v>-1995.3979999999999</v>
      </c>
      <c r="AR46" s="211">
        <f t="shared" si="323"/>
        <v>0</v>
      </c>
      <c r="AS46" s="211">
        <f t="shared" si="324"/>
        <v>0</v>
      </c>
      <c r="AT46" s="211">
        <f t="shared" si="325"/>
        <v>0</v>
      </c>
      <c r="AU46" s="212">
        <f t="shared" si="326"/>
        <v>0</v>
      </c>
      <c r="AV46" s="211">
        <f t="shared" si="327"/>
        <v>0</v>
      </c>
      <c r="AW46" s="211">
        <f t="shared" si="328"/>
        <v>0</v>
      </c>
      <c r="AX46" s="211">
        <f t="shared" si="329"/>
        <v>0</v>
      </c>
      <c r="AY46" s="212">
        <f t="shared" si="330"/>
        <v>0</v>
      </c>
      <c r="AZ46" s="211">
        <f t="shared" si="331"/>
        <v>0</v>
      </c>
      <c r="BA46" s="211">
        <f t="shared" si="332"/>
        <v>0</v>
      </c>
      <c r="BB46" s="211">
        <f t="shared" si="333"/>
        <v>0</v>
      </c>
      <c r="BC46" s="212">
        <f t="shared" si="334"/>
        <v>-5050</v>
      </c>
      <c r="BD46" s="211">
        <f t="shared" si="335"/>
        <v>-420</v>
      </c>
      <c r="BE46" s="214">
        <v>0</v>
      </c>
      <c r="BF46" s="214">
        <v>0</v>
      </c>
      <c r="BG46" s="215">
        <v>0</v>
      </c>
      <c r="BH46" s="214">
        <v>0</v>
      </c>
      <c r="BI46" s="214">
        <v>0</v>
      </c>
      <c r="BJ46" s="214">
        <v>0</v>
      </c>
      <c r="BK46" s="215">
        <v>0</v>
      </c>
      <c r="BL46" s="214">
        <v>0</v>
      </c>
      <c r="BM46" s="214">
        <v>0</v>
      </c>
      <c r="BN46" s="214">
        <v>0</v>
      </c>
      <c r="BO46" s="214">
        <v>0</v>
      </c>
      <c r="BP46" s="23"/>
      <c r="BQ46" s="211">
        <f t="shared" si="336"/>
        <v>0</v>
      </c>
      <c r="BR46" s="211">
        <f t="shared" si="337"/>
        <v>0</v>
      </c>
      <c r="BS46" s="211">
        <f t="shared" si="338"/>
        <v>0</v>
      </c>
      <c r="BT46" s="211">
        <f t="shared" si="339"/>
        <v>0</v>
      </c>
      <c r="BU46" s="211">
        <f t="shared" si="340"/>
        <v>0</v>
      </c>
      <c r="BV46" s="213">
        <f t="shared" si="341"/>
        <v>0</v>
      </c>
      <c r="BW46" s="211">
        <f t="shared" si="342"/>
        <v>-28.391999999999999</v>
      </c>
      <c r="BX46" s="213">
        <f t="shared" si="343"/>
        <v>-56.5</v>
      </c>
      <c r="BY46" s="213">
        <f t="shared" si="344"/>
        <v>-60.107999999999997</v>
      </c>
      <c r="BZ46" s="211">
        <f t="shared" si="345"/>
        <v>-1995.3979999999999</v>
      </c>
      <c r="CA46" s="211">
        <f t="shared" si="346"/>
        <v>0</v>
      </c>
      <c r="CB46" s="211">
        <f t="shared" si="347"/>
        <v>0</v>
      </c>
      <c r="CC46" s="211">
        <f t="shared" si="348"/>
        <v>-5050</v>
      </c>
      <c r="CD46" s="211">
        <f t="shared" si="349"/>
        <v>-420</v>
      </c>
      <c r="CE46" s="211">
        <f t="shared" si="350"/>
        <v>0</v>
      </c>
      <c r="CF46" s="211">
        <f t="shared" si="351"/>
        <v>0</v>
      </c>
      <c r="CG46" s="23"/>
      <c r="CH46" s="213">
        <f t="shared" si="352"/>
        <v>0</v>
      </c>
      <c r="CI46" s="211">
        <f t="shared" si="353"/>
        <v>0</v>
      </c>
      <c r="CJ46" s="211">
        <f t="shared" si="354"/>
        <v>0</v>
      </c>
      <c r="CK46" s="211">
        <f t="shared" si="355"/>
        <v>0</v>
      </c>
      <c r="CL46" s="211">
        <f t="shared" si="356"/>
        <v>0</v>
      </c>
      <c r="CM46" s="211">
        <f t="shared" si="357"/>
        <v>0</v>
      </c>
      <c r="CN46" s="211">
        <f t="shared" si="358"/>
        <v>-44.016999999999996</v>
      </c>
      <c r="CO46" s="211">
        <f t="shared" si="359"/>
        <v>-100.983</v>
      </c>
      <c r="CP46" s="211">
        <f t="shared" si="360"/>
        <v>0</v>
      </c>
      <c r="CQ46" s="211">
        <f t="shared" si="361"/>
        <v>-1995.3979999999999</v>
      </c>
      <c r="CR46" s="211">
        <f t="shared" si="362"/>
        <v>0</v>
      </c>
      <c r="CS46" s="211">
        <f t="shared" si="363"/>
        <v>0</v>
      </c>
      <c r="CT46" s="211">
        <f t="shared" si="366"/>
        <v>-5470</v>
      </c>
      <c r="CU46" s="211">
        <f t="shared" si="364"/>
        <v>0</v>
      </c>
      <c r="CV46" s="212">
        <f t="shared" si="365"/>
        <v>0</v>
      </c>
      <c r="CW46" s="1149"/>
      <c r="DF46" s="1109"/>
    </row>
    <row r="47" spans="1:111" ht="14.25" customHeight="1">
      <c r="A47" s="8"/>
      <c r="B47" s="31" t="str">
        <f t="shared" si="282"/>
        <v>Dividend payments to shareholders</v>
      </c>
      <c r="C47" s="32"/>
      <c r="D47" s="213">
        <f t="shared" si="283"/>
        <v>-22.579000000000001</v>
      </c>
      <c r="E47" s="211">
        <f t="shared" si="284"/>
        <v>-22.256999999999998</v>
      </c>
      <c r="F47" s="211">
        <f t="shared" si="285"/>
        <v>-37.034000000000006</v>
      </c>
      <c r="G47" s="212">
        <f t="shared" si="286"/>
        <v>-37.128</v>
      </c>
      <c r="H47" s="213">
        <f t="shared" si="287"/>
        <v>-44.094000000000001</v>
      </c>
      <c r="I47" s="211">
        <f t="shared" si="288"/>
        <v>-44.190999999999995</v>
      </c>
      <c r="J47" s="211">
        <f t="shared" si="289"/>
        <v>-57.523999999999994</v>
      </c>
      <c r="K47" s="212">
        <f t="shared" si="290"/>
        <v>-55.641999999999989</v>
      </c>
      <c r="L47" s="213">
        <f t="shared" si="291"/>
        <v>-54.737000000000002</v>
      </c>
      <c r="M47" s="211">
        <f t="shared" si="292"/>
        <v>-59.562000000000005</v>
      </c>
      <c r="N47" s="211">
        <f t="shared" si="293"/>
        <v>-58.54499999999998</v>
      </c>
      <c r="O47" s="212">
        <f t="shared" si="294"/>
        <v>-55.437000000000005</v>
      </c>
      <c r="P47" s="213">
        <f t="shared" si="295"/>
        <v>-53.835999999999999</v>
      </c>
      <c r="Q47" s="211">
        <f t="shared" si="296"/>
        <v>-52.510999999999996</v>
      </c>
      <c r="R47" s="211">
        <f t="shared" si="297"/>
        <v>-58.078000000000017</v>
      </c>
      <c r="S47" s="212">
        <f t="shared" si="298"/>
        <v>-58.105000000000004</v>
      </c>
      <c r="T47" s="213">
        <f t="shared" si="299"/>
        <v>-58.238</v>
      </c>
      <c r="U47" s="211">
        <f t="shared" si="300"/>
        <v>-58.164000000000001</v>
      </c>
      <c r="V47" s="211">
        <f t="shared" si="301"/>
        <v>-58.260000000000005</v>
      </c>
      <c r="W47" s="212">
        <f t="shared" si="302"/>
        <v>-58.326000000000008</v>
      </c>
      <c r="X47" s="213">
        <f t="shared" si="303"/>
        <v>-58.87</v>
      </c>
      <c r="Y47" s="211">
        <f t="shared" si="304"/>
        <v>-59.556000000000004</v>
      </c>
      <c r="Z47" s="211">
        <f t="shared" si="305"/>
        <v>-65.948999999999984</v>
      </c>
      <c r="AA47" s="212">
        <f t="shared" si="306"/>
        <v>-65.588999999999999</v>
      </c>
      <c r="AB47" s="211">
        <f t="shared" si="307"/>
        <v>-65.81</v>
      </c>
      <c r="AC47" s="211">
        <f t="shared" si="308"/>
        <v>-65.998999999999995</v>
      </c>
      <c r="AD47" s="211">
        <f t="shared" si="309"/>
        <v>-74.992999999999995</v>
      </c>
      <c r="AE47" s="212">
        <f t="shared" si="310"/>
        <v>-74.823999999999984</v>
      </c>
      <c r="AF47" s="211">
        <f t="shared" si="311"/>
        <v>-74.415999999999997</v>
      </c>
      <c r="AG47" s="211">
        <f t="shared" si="312"/>
        <v>-89.402000000000015</v>
      </c>
      <c r="AH47" s="211">
        <f t="shared" si="313"/>
        <v>-89.510999999999996</v>
      </c>
      <c r="AI47" s="212">
        <f t="shared" si="314"/>
        <v>-91.372000000000014</v>
      </c>
      <c r="AJ47" s="211">
        <f t="shared" si="315"/>
        <v>-90.679000000000002</v>
      </c>
      <c r="AK47" s="211">
        <f t="shared" si="316"/>
        <v>-104.41499999999999</v>
      </c>
      <c r="AL47" s="211">
        <f t="shared" si="317"/>
        <v>-104.923</v>
      </c>
      <c r="AM47" s="212">
        <f t="shared" si="318"/>
        <v>-105.93799999999999</v>
      </c>
      <c r="AN47" s="211">
        <f t="shared" si="319"/>
        <v>-106.024</v>
      </c>
      <c r="AO47" s="211">
        <f t="shared" si="320"/>
        <v>-115.79499999999999</v>
      </c>
      <c r="AP47" s="211">
        <f t="shared" si="321"/>
        <v>-116.09799999999998</v>
      </c>
      <c r="AQ47" s="212">
        <f t="shared" si="322"/>
        <v>-116.30800000000008</v>
      </c>
      <c r="AR47" s="211">
        <f t="shared" si="323"/>
        <v>-115.084</v>
      </c>
      <c r="AS47" s="211">
        <f t="shared" si="324"/>
        <v>-124.88200000000001</v>
      </c>
      <c r="AT47" s="211">
        <f t="shared" si="325"/>
        <v>-125.51099999999997</v>
      </c>
      <c r="AU47" s="212">
        <f t="shared" si="326"/>
        <v>-125.58200000000005</v>
      </c>
      <c r="AV47" s="211">
        <f t="shared" si="327"/>
        <v>-124.658</v>
      </c>
      <c r="AW47" s="211">
        <f t="shared" si="328"/>
        <v>-129.92500000000001</v>
      </c>
      <c r="AX47" s="211">
        <f t="shared" si="329"/>
        <v>-128.95399999999995</v>
      </c>
      <c r="AY47" s="212">
        <f t="shared" si="330"/>
        <v>-129.64299999999997</v>
      </c>
      <c r="AZ47" s="211">
        <f t="shared" si="331"/>
        <v>-129.68299999999999</v>
      </c>
      <c r="BA47" s="211">
        <f t="shared" si="332"/>
        <v>-139.31400000000002</v>
      </c>
      <c r="BB47" s="211">
        <f t="shared" si="333"/>
        <v>-166.26499999999999</v>
      </c>
      <c r="BC47" s="212">
        <f t="shared" si="334"/>
        <v>-166.85700000000003</v>
      </c>
      <c r="BD47" s="211">
        <f t="shared" si="335"/>
        <v>-166.71899999999999</v>
      </c>
      <c r="BE47" s="211">
        <f>-IS!BE114*IS!BE131</f>
        <v>-168.83505000000002</v>
      </c>
      <c r="BF47" s="211">
        <f>-IS!BF114*IS!BF131</f>
        <v>-169.28505000000001</v>
      </c>
      <c r="BG47" s="212">
        <f>-IS!BG114*IS!BG131</f>
        <v>-169.73505</v>
      </c>
      <c r="BH47" s="211">
        <f>-IS!BH114*IS!BH131</f>
        <v>-170.18505000000002</v>
      </c>
      <c r="BI47" s="211">
        <f>-IS!BI114*IS!BI131</f>
        <v>-170.63505000000001</v>
      </c>
      <c r="BJ47" s="211">
        <f>-IS!BJ114*IS!BJ131</f>
        <v>-171.08505000000002</v>
      </c>
      <c r="BK47" s="212">
        <f>-IS!BK114*IS!BK131</f>
        <v>-171.53505000000001</v>
      </c>
      <c r="BL47" s="211">
        <f>-IS!BL114*IS!BL131</f>
        <v>-171.98505</v>
      </c>
      <c r="BM47" s="211">
        <f>-IS!BM114*IS!BM131</f>
        <v>-172.43505000000002</v>
      </c>
      <c r="BN47" s="211">
        <f>-IS!BN114*IS!BN131</f>
        <v>-172.88505000000001</v>
      </c>
      <c r="BO47" s="211">
        <f>-IS!BO114*IS!BO131</f>
        <v>-173.33505000000002</v>
      </c>
      <c r="BP47" s="23"/>
      <c r="BQ47" s="211">
        <f t="shared" si="336"/>
        <v>-118.998</v>
      </c>
      <c r="BR47" s="211">
        <f t="shared" si="337"/>
        <v>-201.45099999999999</v>
      </c>
      <c r="BS47" s="211">
        <f t="shared" si="338"/>
        <v>-228.28100000000001</v>
      </c>
      <c r="BT47" s="211">
        <f t="shared" si="339"/>
        <v>-222.53000000000003</v>
      </c>
      <c r="BU47" s="211">
        <f t="shared" si="340"/>
        <v>-232.988</v>
      </c>
      <c r="BV47" s="213">
        <f t="shared" si="341"/>
        <v>-249.964</v>
      </c>
      <c r="BW47" s="211">
        <f t="shared" si="342"/>
        <v>-281.62599999999998</v>
      </c>
      <c r="BX47" s="213">
        <f t="shared" si="343"/>
        <v>-344.70100000000002</v>
      </c>
      <c r="BY47" s="213">
        <f t="shared" si="344"/>
        <v>-405.95499999999998</v>
      </c>
      <c r="BZ47" s="211">
        <f t="shared" si="345"/>
        <v>-454.22500000000002</v>
      </c>
      <c r="CA47" s="211">
        <f t="shared" si="346"/>
        <v>-491.05900000000003</v>
      </c>
      <c r="CB47" s="211">
        <f t="shared" si="347"/>
        <v>-513.17999999999995</v>
      </c>
      <c r="CC47" s="211">
        <f t="shared" si="348"/>
        <v>-602.11900000000003</v>
      </c>
      <c r="CD47" s="211">
        <f t="shared" si="349"/>
        <v>-674.57415000000003</v>
      </c>
      <c r="CE47" s="211">
        <f t="shared" si="350"/>
        <v>-683.4402</v>
      </c>
      <c r="CF47" s="211">
        <f t="shared" si="351"/>
        <v>-690.64020000000005</v>
      </c>
      <c r="CG47" s="23"/>
      <c r="CH47" s="213">
        <f t="shared" si="352"/>
        <v>-140.51300000000001</v>
      </c>
      <c r="CI47" s="211">
        <f t="shared" si="353"/>
        <v>-212.09399999999997</v>
      </c>
      <c r="CJ47" s="211">
        <f t="shared" si="354"/>
        <v>-227.38</v>
      </c>
      <c r="CK47" s="211">
        <f t="shared" si="355"/>
        <v>-226.93200000000002</v>
      </c>
      <c r="CL47" s="211">
        <f t="shared" si="356"/>
        <v>-233.62</v>
      </c>
      <c r="CM47" s="211">
        <f t="shared" si="357"/>
        <v>-256.904</v>
      </c>
      <c r="CN47" s="211">
        <f t="shared" si="358"/>
        <v>-290.23199999999997</v>
      </c>
      <c r="CO47" s="211">
        <f t="shared" si="359"/>
        <v>-360.96400000000006</v>
      </c>
      <c r="CP47" s="211">
        <f t="shared" si="360"/>
        <v>-421.29999999999995</v>
      </c>
      <c r="CQ47" s="211">
        <f t="shared" si="361"/>
        <v>-463.28500000000003</v>
      </c>
      <c r="CR47" s="211">
        <f t="shared" si="362"/>
        <v>-500.63300000000004</v>
      </c>
      <c r="CS47" s="211">
        <f t="shared" si="363"/>
        <v>-518.20499999999993</v>
      </c>
      <c r="CT47" s="211">
        <f t="shared" si="366"/>
        <v>-639.15499999999997</v>
      </c>
      <c r="CU47" s="211">
        <f t="shared" si="364"/>
        <v>-678.04020000000003</v>
      </c>
      <c r="CV47" s="212">
        <f t="shared" si="365"/>
        <v>-685.24019999999996</v>
      </c>
      <c r="CW47" s="1149"/>
      <c r="DF47" s="1109"/>
    </row>
    <row r="48" spans="1:111" ht="14.25" customHeight="1">
      <c r="A48" s="8"/>
      <c r="B48" s="31" t="str">
        <f t="shared" si="282"/>
        <v>Repurchase of common stock</v>
      </c>
      <c r="C48" s="32"/>
      <c r="D48" s="213">
        <f t="shared" si="283"/>
        <v>-161.20400000000001</v>
      </c>
      <c r="E48" s="211">
        <f t="shared" si="284"/>
        <v>-123.49299999999999</v>
      </c>
      <c r="F48" s="211">
        <f t="shared" si="285"/>
        <v>0</v>
      </c>
      <c r="G48" s="212">
        <f t="shared" si="286"/>
        <v>-240.79600000000005</v>
      </c>
      <c r="H48" s="213">
        <f t="shared" si="287"/>
        <v>-125.098</v>
      </c>
      <c r="I48" s="211">
        <f t="shared" si="288"/>
        <v>-237.709</v>
      </c>
      <c r="J48" s="211">
        <f t="shared" si="289"/>
        <v>-305.16300000000001</v>
      </c>
      <c r="K48" s="212">
        <f t="shared" si="290"/>
        <v>-357.01199999999994</v>
      </c>
      <c r="L48" s="213">
        <f t="shared" si="291"/>
        <v>-333.22300000000001</v>
      </c>
      <c r="M48" s="211">
        <f t="shared" si="292"/>
        <v>-364.59</v>
      </c>
      <c r="N48" s="211">
        <f t="shared" si="293"/>
        <v>-631.70800000000008</v>
      </c>
      <c r="O48" s="212">
        <f t="shared" si="294"/>
        <v>-317.69099999999997</v>
      </c>
      <c r="P48" s="213">
        <f t="shared" si="295"/>
        <v>-359.37599999999998</v>
      </c>
      <c r="Q48" s="211">
        <f t="shared" si="296"/>
        <v>-165.42600000000004</v>
      </c>
      <c r="R48" s="211">
        <f t="shared" si="297"/>
        <v>-27.577999999999975</v>
      </c>
      <c r="S48" s="212">
        <f t="shared" si="298"/>
        <v>-17.472999999999956</v>
      </c>
      <c r="T48" s="213">
        <f t="shared" si="299"/>
        <v>-0.48899999999999999</v>
      </c>
      <c r="U48" s="211">
        <f t="shared" si="300"/>
        <v>-3.0910000000000002</v>
      </c>
      <c r="V48" s="211">
        <f t="shared" si="301"/>
        <v>-0.18199999999999983</v>
      </c>
      <c r="W48" s="212">
        <f t="shared" si="302"/>
        <v>0</v>
      </c>
      <c r="X48" s="213">
        <f t="shared" si="303"/>
        <v>0</v>
      </c>
      <c r="Y48" s="211">
        <f t="shared" si="304"/>
        <v>0</v>
      </c>
      <c r="Z48" s="211">
        <f t="shared" si="305"/>
        <v>-4.0469999999999997</v>
      </c>
      <c r="AA48" s="212">
        <f t="shared" si="306"/>
        <v>-35.801000000000002</v>
      </c>
      <c r="AB48" s="211">
        <f t="shared" si="307"/>
        <v>-113.605</v>
      </c>
      <c r="AC48" s="211">
        <f t="shared" si="308"/>
        <v>-67.552000000000007</v>
      </c>
      <c r="AD48" s="211">
        <f t="shared" si="309"/>
        <v>-66.282999999999973</v>
      </c>
      <c r="AE48" s="212">
        <f t="shared" si="310"/>
        <v>-82.815999999999988</v>
      </c>
      <c r="AF48" s="211">
        <f t="shared" si="311"/>
        <v>-78.38</v>
      </c>
      <c r="AG48" s="211">
        <f t="shared" si="312"/>
        <v>-44.01700000000001</v>
      </c>
      <c r="AH48" s="211">
        <f t="shared" si="313"/>
        <v>-17.344000000000008</v>
      </c>
      <c r="AI48" s="212">
        <f t="shared" si="314"/>
        <v>-20.795000000000002</v>
      </c>
      <c r="AJ48" s="211">
        <f t="shared" si="315"/>
        <v>-17.001000000000001</v>
      </c>
      <c r="AK48" s="211">
        <f t="shared" si="316"/>
        <v>-4.5190000000000019</v>
      </c>
      <c r="AL48" s="211">
        <f t="shared" si="317"/>
        <v>3.8000000000000043</v>
      </c>
      <c r="AM48" s="212">
        <f t="shared" si="318"/>
        <v>-42.808999999999997</v>
      </c>
      <c r="AN48" s="211">
        <f t="shared" si="319"/>
        <v>-88.962999999999994</v>
      </c>
      <c r="AO48" s="211">
        <f t="shared" si="320"/>
        <v>-22.614000000000004</v>
      </c>
      <c r="AP48" s="211">
        <f t="shared" si="321"/>
        <v>-57.394000000000005</v>
      </c>
      <c r="AQ48" s="212">
        <f t="shared" si="322"/>
        <v>-187.37499999999997</v>
      </c>
      <c r="AR48" s="211">
        <f t="shared" si="323"/>
        <v>-59.636000000000003</v>
      </c>
      <c r="AS48" s="211">
        <f t="shared" si="324"/>
        <v>-24.274999999999999</v>
      </c>
      <c r="AT48" s="211">
        <f t="shared" si="325"/>
        <v>-31.339999999999996</v>
      </c>
      <c r="AU48" s="212">
        <f t="shared" si="326"/>
        <v>-111.702</v>
      </c>
      <c r="AV48" s="211">
        <f t="shared" si="327"/>
        <v>-131.977</v>
      </c>
      <c r="AW48" s="211">
        <f t="shared" si="328"/>
        <v>-213.65</v>
      </c>
      <c r="AX48" s="211">
        <f t="shared" si="329"/>
        <v>-23.021999999999991</v>
      </c>
      <c r="AY48" s="212">
        <f t="shared" si="330"/>
        <v>-1.4119999999999777</v>
      </c>
      <c r="AZ48" s="211">
        <f t="shared" si="331"/>
        <v>-3.1059999999999999</v>
      </c>
      <c r="BA48" s="211">
        <f t="shared" si="332"/>
        <v>-23.874000000000002</v>
      </c>
      <c r="BB48" s="211">
        <f t="shared" si="333"/>
        <v>-8.9550000000000001</v>
      </c>
      <c r="BC48" s="212">
        <f t="shared" si="334"/>
        <v>-10.598000000000001</v>
      </c>
      <c r="BD48" s="211">
        <f t="shared" si="335"/>
        <v>-7.93</v>
      </c>
      <c r="BE48" s="211">
        <f t="shared" ref="BE48:BG48" si="367">BD48</f>
        <v>-7.93</v>
      </c>
      <c r="BF48" s="211">
        <f t="shared" si="367"/>
        <v>-7.93</v>
      </c>
      <c r="BG48" s="212">
        <f t="shared" si="367"/>
        <v>-7.93</v>
      </c>
      <c r="BH48" s="211">
        <f t="shared" ref="BH48" si="368">BG48</f>
        <v>-7.93</v>
      </c>
      <c r="BI48" s="211">
        <f t="shared" ref="BI48" si="369">BH48</f>
        <v>-7.93</v>
      </c>
      <c r="BJ48" s="211">
        <f t="shared" ref="BJ48" si="370">BI48</f>
        <v>-7.93</v>
      </c>
      <c r="BK48" s="212">
        <f t="shared" ref="BK48" si="371">BJ48</f>
        <v>-7.93</v>
      </c>
      <c r="BL48" s="211">
        <f t="shared" ref="BL48:BL49" si="372">BK48</f>
        <v>-7.93</v>
      </c>
      <c r="BM48" s="211">
        <f t="shared" ref="BM48:BM49" si="373">BL48</f>
        <v>-7.93</v>
      </c>
      <c r="BN48" s="211">
        <f t="shared" ref="BN48:BN49" si="374">BM48</f>
        <v>-7.93</v>
      </c>
      <c r="BO48" s="212">
        <f t="shared" ref="BO48:BO49" si="375">BN48</f>
        <v>-7.93</v>
      </c>
      <c r="BP48" s="23"/>
      <c r="BQ48" s="211">
        <f t="shared" si="336"/>
        <v>-525.49300000000005</v>
      </c>
      <c r="BR48" s="211">
        <f t="shared" si="337"/>
        <v>-1024.982</v>
      </c>
      <c r="BS48" s="211">
        <f t="shared" si="338"/>
        <v>-1647.2120000000002</v>
      </c>
      <c r="BT48" s="211">
        <f t="shared" si="339"/>
        <v>-569.85299999999995</v>
      </c>
      <c r="BU48" s="211">
        <f t="shared" si="340"/>
        <v>-3.762</v>
      </c>
      <c r="BV48" s="213">
        <f t="shared" si="341"/>
        <v>-39.847999999999999</v>
      </c>
      <c r="BW48" s="211">
        <f t="shared" si="342"/>
        <v>-330.25599999999997</v>
      </c>
      <c r="BX48" s="213">
        <f t="shared" si="343"/>
        <v>-160.536</v>
      </c>
      <c r="BY48" s="213">
        <f t="shared" si="344"/>
        <v>-60.528999999999996</v>
      </c>
      <c r="BZ48" s="211">
        <f t="shared" si="345"/>
        <v>-356.346</v>
      </c>
      <c r="CA48" s="211">
        <f t="shared" si="346"/>
        <v>-226.953</v>
      </c>
      <c r="CB48" s="211">
        <f t="shared" si="347"/>
        <v>-370.06099999999998</v>
      </c>
      <c r="CC48" s="211">
        <f t="shared" si="348"/>
        <v>-46.533000000000001</v>
      </c>
      <c r="CD48" s="211">
        <f t="shared" si="349"/>
        <v>-31.72</v>
      </c>
      <c r="CE48" s="211">
        <f t="shared" si="350"/>
        <v>-31.72</v>
      </c>
      <c r="CF48" s="211">
        <f t="shared" si="351"/>
        <v>-31.72</v>
      </c>
      <c r="CG48" s="23"/>
      <c r="CH48" s="213">
        <f t="shared" si="352"/>
        <v>-489.38700000000006</v>
      </c>
      <c r="CI48" s="211">
        <f t="shared" si="353"/>
        <v>-1233.107</v>
      </c>
      <c r="CJ48" s="211">
        <f t="shared" si="354"/>
        <v>-1673.365</v>
      </c>
      <c r="CK48" s="211">
        <f t="shared" si="355"/>
        <v>-210.96599999999998</v>
      </c>
      <c r="CL48" s="211">
        <f t="shared" si="356"/>
        <v>-3.2730000000000001</v>
      </c>
      <c r="CM48" s="211">
        <f t="shared" si="357"/>
        <v>-153.453</v>
      </c>
      <c r="CN48" s="211">
        <f t="shared" si="358"/>
        <v>-295.03099999999995</v>
      </c>
      <c r="CO48" s="211">
        <f t="shared" si="359"/>
        <v>-99.157000000000025</v>
      </c>
      <c r="CP48" s="211">
        <f t="shared" si="360"/>
        <v>-132.49099999999999</v>
      </c>
      <c r="CQ48" s="211">
        <f t="shared" si="361"/>
        <v>-327.01900000000001</v>
      </c>
      <c r="CR48" s="211">
        <f t="shared" si="362"/>
        <v>-299.29399999999998</v>
      </c>
      <c r="CS48" s="211">
        <f t="shared" si="363"/>
        <v>-241.18999999999997</v>
      </c>
      <c r="CT48" s="211">
        <f t="shared" si="366"/>
        <v>-51.356999999999999</v>
      </c>
      <c r="CU48" s="211">
        <f t="shared" si="364"/>
        <v>-31.72</v>
      </c>
      <c r="CV48" s="212">
        <f t="shared" si="365"/>
        <v>-31.72</v>
      </c>
      <c r="CW48" s="1149"/>
      <c r="DF48" s="1109"/>
    </row>
    <row r="49" spans="1:110" ht="14.25" customHeight="1">
      <c r="A49" s="8"/>
      <c r="B49" s="31" t="str">
        <f t="shared" si="282"/>
        <v>Net proceeds from employee stock plans</v>
      </c>
      <c r="C49" s="32"/>
      <c r="D49" s="213">
        <f t="shared" si="283"/>
        <v>13.611000000000001</v>
      </c>
      <c r="E49" s="211">
        <f t="shared" si="284"/>
        <v>14.817999999999998</v>
      </c>
      <c r="F49" s="211">
        <f t="shared" si="285"/>
        <v>43.968999999999994</v>
      </c>
      <c r="G49" s="212">
        <f t="shared" si="286"/>
        <v>17.004000000000008</v>
      </c>
      <c r="H49" s="213">
        <f t="shared" si="287"/>
        <v>38.685000000000002</v>
      </c>
      <c r="I49" s="211">
        <f t="shared" si="288"/>
        <v>20.994</v>
      </c>
      <c r="J49" s="211">
        <f t="shared" si="289"/>
        <v>20.173000000000002</v>
      </c>
      <c r="K49" s="212">
        <f t="shared" si="290"/>
        <v>14.539999999999992</v>
      </c>
      <c r="L49" s="213">
        <f t="shared" si="291"/>
        <v>24.497</v>
      </c>
      <c r="M49" s="211">
        <f t="shared" si="292"/>
        <v>53.762</v>
      </c>
      <c r="N49" s="211">
        <f t="shared" si="293"/>
        <v>17.936999999999998</v>
      </c>
      <c r="O49" s="212">
        <f t="shared" si="294"/>
        <v>12.953000000000003</v>
      </c>
      <c r="P49" s="213">
        <f t="shared" si="295"/>
        <v>24.497</v>
      </c>
      <c r="Q49" s="211">
        <f t="shared" si="296"/>
        <v>37.622999999999998</v>
      </c>
      <c r="R49" s="211">
        <f t="shared" si="297"/>
        <v>20.884999999999998</v>
      </c>
      <c r="S49" s="212">
        <f t="shared" si="298"/>
        <v>11.150000000000013</v>
      </c>
      <c r="T49" s="213">
        <f t="shared" si="299"/>
        <v>0.76800000000000002</v>
      </c>
      <c r="U49" s="211">
        <f t="shared" si="300"/>
        <v>2.1520000000000001</v>
      </c>
      <c r="V49" s="211">
        <f t="shared" si="301"/>
        <v>5.82</v>
      </c>
      <c r="W49" s="212">
        <f t="shared" si="302"/>
        <v>3.6370000000000005</v>
      </c>
      <c r="X49" s="213">
        <f t="shared" si="303"/>
        <v>163.48699999999999</v>
      </c>
      <c r="Y49" s="211">
        <f t="shared" si="304"/>
        <v>5.6659999999999968</v>
      </c>
      <c r="Z49" s="211">
        <f t="shared" si="305"/>
        <v>4.849000000000018</v>
      </c>
      <c r="AA49" s="212">
        <f t="shared" si="306"/>
        <v>42.144999999999982</v>
      </c>
      <c r="AB49" s="211">
        <f t="shared" si="307"/>
        <v>101.967</v>
      </c>
      <c r="AC49" s="211">
        <f t="shared" si="308"/>
        <v>46.112000000000009</v>
      </c>
      <c r="AD49" s="211">
        <f t="shared" si="309"/>
        <v>41.160000000000011</v>
      </c>
      <c r="AE49" s="212">
        <f t="shared" si="310"/>
        <v>27.92499999999994</v>
      </c>
      <c r="AF49" s="211">
        <f t="shared" si="311"/>
        <v>48.646999999999998</v>
      </c>
      <c r="AG49" s="211">
        <f t="shared" si="312"/>
        <v>38.752000000000002</v>
      </c>
      <c r="AH49" s="211">
        <f t="shared" si="313"/>
        <v>23.329000000000001</v>
      </c>
      <c r="AI49" s="212">
        <f t="shared" si="314"/>
        <v>80.49199999999999</v>
      </c>
      <c r="AJ49" s="211">
        <f t="shared" si="315"/>
        <v>113.77</v>
      </c>
      <c r="AK49" s="211">
        <f t="shared" si="316"/>
        <v>62.25500000000001</v>
      </c>
      <c r="AL49" s="211">
        <f t="shared" si="317"/>
        <v>85.852999999999994</v>
      </c>
      <c r="AM49" s="212">
        <f>AM151-AL49-AK49-AJ49</f>
        <v>44.398999999999987</v>
      </c>
      <c r="AN49" s="211">
        <f t="shared" si="319"/>
        <v>79.599999999999994</v>
      </c>
      <c r="AO49" s="211">
        <f t="shared" si="320"/>
        <v>62.936000000000007</v>
      </c>
      <c r="AP49" s="211">
        <f t="shared" si="321"/>
        <v>36.044999999999987</v>
      </c>
      <c r="AQ49" s="212">
        <f>AQ151-AP49-AO49-AN49</f>
        <v>21.533000000000015</v>
      </c>
      <c r="AR49" s="211">
        <f t="shared" si="323"/>
        <v>42.792999999999999</v>
      </c>
      <c r="AS49" s="211">
        <f t="shared" si="324"/>
        <v>52.089999999999996</v>
      </c>
      <c r="AT49" s="211">
        <f t="shared" si="325"/>
        <v>19.988</v>
      </c>
      <c r="AU49" s="212">
        <f>AU151-AT49-AS49-AR49</f>
        <v>7.7600000000000051</v>
      </c>
      <c r="AV49" s="211">
        <f t="shared" si="327"/>
        <v>6.2290000000000001</v>
      </c>
      <c r="AW49" s="211">
        <f t="shared" si="328"/>
        <v>16.48</v>
      </c>
      <c r="AX49" s="211">
        <f t="shared" si="329"/>
        <v>16.632999999999999</v>
      </c>
      <c r="AY49" s="212">
        <f>AY151-AX49-AW49-AV49</f>
        <v>22.154</v>
      </c>
      <c r="AZ49" s="211">
        <f t="shared" si="331"/>
        <v>34.432000000000002</v>
      </c>
      <c r="BA49" s="211">
        <f t="shared" si="332"/>
        <v>52.840999999999994</v>
      </c>
      <c r="BB49" s="211">
        <f t="shared" si="333"/>
        <v>17.971000000000004</v>
      </c>
      <c r="BC49" s="212">
        <f>BC151-BB49-BA49-AZ49</f>
        <v>28.057999999999993</v>
      </c>
      <c r="BD49" s="211">
        <f t="shared" si="335"/>
        <v>37.811999999999998</v>
      </c>
      <c r="BE49" s="211">
        <f t="shared" ref="BE49" si="376">BD49</f>
        <v>37.811999999999998</v>
      </c>
      <c r="BF49" s="211">
        <f t="shared" ref="BF49" si="377">BE49</f>
        <v>37.811999999999998</v>
      </c>
      <c r="BG49" s="212">
        <f t="shared" ref="BG49" si="378">BF49</f>
        <v>37.811999999999998</v>
      </c>
      <c r="BH49" s="211">
        <f t="shared" ref="BH49" si="379">BG49</f>
        <v>37.811999999999998</v>
      </c>
      <c r="BI49" s="211">
        <f t="shared" ref="BI49" si="380">BH49</f>
        <v>37.811999999999998</v>
      </c>
      <c r="BJ49" s="211">
        <f t="shared" ref="BJ49" si="381">BI49</f>
        <v>37.811999999999998</v>
      </c>
      <c r="BK49" s="212">
        <f t="shared" ref="BK49" si="382">BJ49</f>
        <v>37.811999999999998</v>
      </c>
      <c r="BL49" s="211">
        <f t="shared" si="372"/>
        <v>37.811999999999998</v>
      </c>
      <c r="BM49" s="211">
        <f t="shared" si="373"/>
        <v>37.811999999999998</v>
      </c>
      <c r="BN49" s="211">
        <f t="shared" si="374"/>
        <v>37.811999999999998</v>
      </c>
      <c r="BO49" s="212">
        <f t="shared" si="375"/>
        <v>37.811999999999998</v>
      </c>
      <c r="BP49" s="23"/>
      <c r="BQ49" s="211">
        <f t="shared" si="336"/>
        <v>89.402000000000001</v>
      </c>
      <c r="BR49" s="211">
        <f t="shared" si="337"/>
        <v>94.391999999999996</v>
      </c>
      <c r="BS49" s="211">
        <f t="shared" si="338"/>
        <v>109.149</v>
      </c>
      <c r="BT49" s="211">
        <f t="shared" si="339"/>
        <v>94.155000000000001</v>
      </c>
      <c r="BU49" s="211">
        <f t="shared" si="340"/>
        <v>12.377000000000001</v>
      </c>
      <c r="BV49" s="213">
        <f t="shared" si="341"/>
        <v>216.14699999999999</v>
      </c>
      <c r="BW49" s="211">
        <f t="shared" si="342"/>
        <v>217.16399999999999</v>
      </c>
      <c r="BX49" s="213">
        <f t="shared" si="343"/>
        <v>191.22</v>
      </c>
      <c r="BY49" s="213">
        <f t="shared" si="344"/>
        <v>306.27699999999999</v>
      </c>
      <c r="BZ49" s="211">
        <f t="shared" si="345"/>
        <v>200.114</v>
      </c>
      <c r="CA49" s="211">
        <f t="shared" si="346"/>
        <v>122.631</v>
      </c>
      <c r="CB49" s="211">
        <f t="shared" si="347"/>
        <v>61.495999999999995</v>
      </c>
      <c r="CC49" s="211">
        <f t="shared" si="348"/>
        <v>133.30199999999999</v>
      </c>
      <c r="CD49" s="211">
        <f t="shared" si="349"/>
        <v>151.24799999999999</v>
      </c>
      <c r="CE49" s="211">
        <f t="shared" si="350"/>
        <v>151.24799999999999</v>
      </c>
      <c r="CF49" s="211">
        <f t="shared" si="351"/>
        <v>151.24799999999999</v>
      </c>
      <c r="CG49" s="23"/>
      <c r="CH49" s="213">
        <f t="shared" si="352"/>
        <v>114.476</v>
      </c>
      <c r="CI49" s="211">
        <f t="shared" si="353"/>
        <v>80.203999999999994</v>
      </c>
      <c r="CJ49" s="211">
        <f t="shared" si="354"/>
        <v>109.149</v>
      </c>
      <c r="CK49" s="211">
        <f t="shared" si="355"/>
        <v>70.426000000000016</v>
      </c>
      <c r="CL49" s="211">
        <f t="shared" si="356"/>
        <v>175.096</v>
      </c>
      <c r="CM49" s="211">
        <f t="shared" si="357"/>
        <v>154.62700000000001</v>
      </c>
      <c r="CN49" s="211">
        <f t="shared" si="358"/>
        <v>163.84399999999997</v>
      </c>
      <c r="CO49" s="211">
        <f t="shared" si="359"/>
        <v>256.34299999999996</v>
      </c>
      <c r="CP49" s="211">
        <f t="shared" si="360"/>
        <v>272.10699999999997</v>
      </c>
      <c r="CQ49" s="211">
        <f t="shared" si="361"/>
        <v>163.30700000000002</v>
      </c>
      <c r="CR49" s="211">
        <f t="shared" si="362"/>
        <v>86.067000000000007</v>
      </c>
      <c r="CS49" s="211">
        <f t="shared" si="363"/>
        <v>89.698999999999998</v>
      </c>
      <c r="CT49" s="211">
        <f t="shared" si="366"/>
        <v>136.68199999999999</v>
      </c>
      <c r="CU49" s="211">
        <f t="shared" si="364"/>
        <v>151.24799999999999</v>
      </c>
      <c r="CV49" s="212">
        <f t="shared" si="365"/>
        <v>151.24799999999999</v>
      </c>
      <c r="CW49" s="1149"/>
      <c r="DF49" s="1109"/>
    </row>
    <row r="50" spans="1:110" ht="14.25" customHeight="1">
      <c r="A50" s="8"/>
      <c r="B50" s="31" t="str">
        <f t="shared" si="282"/>
        <v>Repurchase of noncontrolling interest</v>
      </c>
      <c r="C50" s="32"/>
      <c r="D50" s="213">
        <f t="shared" si="283"/>
        <v>0</v>
      </c>
      <c r="E50" s="211">
        <f t="shared" si="284"/>
        <v>0</v>
      </c>
      <c r="F50" s="211">
        <f t="shared" si="285"/>
        <v>0</v>
      </c>
      <c r="G50" s="212">
        <f t="shared" si="286"/>
        <v>0</v>
      </c>
      <c r="H50" s="213">
        <f t="shared" si="287"/>
        <v>0</v>
      </c>
      <c r="I50" s="211">
        <f t="shared" si="288"/>
        <v>0</v>
      </c>
      <c r="J50" s="211">
        <f t="shared" si="289"/>
        <v>0</v>
      </c>
      <c r="K50" s="212">
        <f t="shared" si="290"/>
        <v>0</v>
      </c>
      <c r="L50" s="213">
        <f t="shared" si="291"/>
        <v>0</v>
      </c>
      <c r="M50" s="211">
        <f t="shared" si="292"/>
        <v>0</v>
      </c>
      <c r="N50" s="211">
        <f t="shared" si="293"/>
        <v>0</v>
      </c>
      <c r="O50" s="212">
        <f t="shared" si="294"/>
        <v>0</v>
      </c>
      <c r="P50" s="213">
        <f t="shared" si="295"/>
        <v>0</v>
      </c>
      <c r="Q50" s="211">
        <f t="shared" si="296"/>
        <v>0</v>
      </c>
      <c r="R50" s="211">
        <f t="shared" si="297"/>
        <v>0</v>
      </c>
      <c r="S50" s="212">
        <f t="shared" si="298"/>
        <v>0</v>
      </c>
      <c r="T50" s="213">
        <f t="shared" si="299"/>
        <v>0</v>
      </c>
      <c r="U50" s="211">
        <f t="shared" si="300"/>
        <v>0</v>
      </c>
      <c r="V50" s="211">
        <f t="shared" si="301"/>
        <v>0</v>
      </c>
      <c r="W50" s="212">
        <f t="shared" si="302"/>
        <v>0</v>
      </c>
      <c r="X50" s="213">
        <f t="shared" si="303"/>
        <v>0</v>
      </c>
      <c r="Y50" s="211">
        <f t="shared" si="304"/>
        <v>0</v>
      </c>
      <c r="Z50" s="211">
        <f t="shared" si="305"/>
        <v>0</v>
      </c>
      <c r="AA50" s="212">
        <f t="shared" si="306"/>
        <v>0</v>
      </c>
      <c r="AB50" s="211">
        <f t="shared" si="307"/>
        <v>0</v>
      </c>
      <c r="AC50" s="211">
        <f t="shared" si="308"/>
        <v>0</v>
      </c>
      <c r="AD50" s="211">
        <f t="shared" si="309"/>
        <v>0</v>
      </c>
      <c r="AE50" s="212">
        <f t="shared" si="310"/>
        <v>0</v>
      </c>
      <c r="AF50" s="211">
        <f t="shared" si="311"/>
        <v>0</v>
      </c>
      <c r="AG50" s="211">
        <f t="shared" si="312"/>
        <v>0</v>
      </c>
      <c r="AH50" s="211">
        <f t="shared" si="313"/>
        <v>0</v>
      </c>
      <c r="AI50" s="212">
        <f t="shared" si="314"/>
        <v>0</v>
      </c>
      <c r="AJ50" s="211">
        <f t="shared" si="315"/>
        <v>0</v>
      </c>
      <c r="AK50" s="211">
        <f t="shared" si="316"/>
        <v>0</v>
      </c>
      <c r="AL50" s="211">
        <f t="shared" si="317"/>
        <v>0</v>
      </c>
      <c r="AM50" s="212">
        <f t="shared" si="318"/>
        <v>0</v>
      </c>
      <c r="AN50" s="211">
        <f t="shared" si="319"/>
        <v>0</v>
      </c>
      <c r="AO50" s="211">
        <f t="shared" si="320"/>
        <v>0</v>
      </c>
      <c r="AP50" s="211">
        <f t="shared" si="321"/>
        <v>0</v>
      </c>
      <c r="AQ50" s="212">
        <f t="shared" si="322"/>
        <v>0</v>
      </c>
      <c r="AR50" s="211">
        <f t="shared" si="323"/>
        <v>0</v>
      </c>
      <c r="AS50" s="211">
        <f t="shared" si="324"/>
        <v>0</v>
      </c>
      <c r="AT50" s="211">
        <f t="shared" si="325"/>
        <v>0</v>
      </c>
      <c r="AU50" s="212">
        <f t="shared" si="326"/>
        <v>0</v>
      </c>
      <c r="AV50" s="211">
        <f t="shared" si="327"/>
        <v>0</v>
      </c>
      <c r="AW50" s="211">
        <f t="shared" si="328"/>
        <v>0</v>
      </c>
      <c r="AX50" s="211">
        <f t="shared" si="329"/>
        <v>0</v>
      </c>
      <c r="AY50" s="212">
        <f t="shared" si="330"/>
        <v>0</v>
      </c>
      <c r="AZ50" s="211">
        <f t="shared" si="331"/>
        <v>0</v>
      </c>
      <c r="BA50" s="211">
        <f t="shared" si="332"/>
        <v>0</v>
      </c>
      <c r="BB50" s="211">
        <f t="shared" si="333"/>
        <v>0</v>
      </c>
      <c r="BC50" s="212">
        <f t="shared" si="334"/>
        <v>0</v>
      </c>
      <c r="BD50" s="211">
        <f t="shared" si="335"/>
        <v>0</v>
      </c>
      <c r="BE50" s="214">
        <v>0</v>
      </c>
      <c r="BF50" s="214">
        <v>0</v>
      </c>
      <c r="BG50" s="215">
        <v>0</v>
      </c>
      <c r="BH50" s="214">
        <v>0</v>
      </c>
      <c r="BI50" s="214">
        <v>0</v>
      </c>
      <c r="BJ50" s="214">
        <v>0</v>
      </c>
      <c r="BK50" s="215">
        <v>0</v>
      </c>
      <c r="BL50" s="214">
        <v>0</v>
      </c>
      <c r="BM50" s="214">
        <v>0</v>
      </c>
      <c r="BN50" s="214">
        <v>0</v>
      </c>
      <c r="BO50" s="214">
        <v>0</v>
      </c>
      <c r="BP50" s="23"/>
      <c r="BQ50" s="211">
        <f t="shared" si="336"/>
        <v>0</v>
      </c>
      <c r="BR50" s="211">
        <f t="shared" si="337"/>
        <v>0</v>
      </c>
      <c r="BS50" s="211">
        <f t="shared" si="338"/>
        <v>0</v>
      </c>
      <c r="BT50" s="211">
        <f t="shared" si="339"/>
        <v>0</v>
      </c>
      <c r="BU50" s="211">
        <f t="shared" si="340"/>
        <v>0</v>
      </c>
      <c r="BV50" s="213">
        <f t="shared" si="341"/>
        <v>0</v>
      </c>
      <c r="BW50" s="211">
        <f t="shared" si="342"/>
        <v>0</v>
      </c>
      <c r="BX50" s="213">
        <f t="shared" si="343"/>
        <v>0</v>
      </c>
      <c r="BY50" s="213">
        <f t="shared" si="344"/>
        <v>0</v>
      </c>
      <c r="BZ50" s="211">
        <f t="shared" si="345"/>
        <v>0</v>
      </c>
      <c r="CA50" s="211">
        <f t="shared" si="346"/>
        <v>0</v>
      </c>
      <c r="CB50" s="211">
        <f t="shared" si="347"/>
        <v>0</v>
      </c>
      <c r="CC50" s="211">
        <f t="shared" si="348"/>
        <v>0</v>
      </c>
      <c r="CD50" s="211">
        <f t="shared" si="349"/>
        <v>0</v>
      </c>
      <c r="CE50" s="211">
        <f t="shared" si="350"/>
        <v>0</v>
      </c>
      <c r="CF50" s="211">
        <f t="shared" si="351"/>
        <v>0</v>
      </c>
      <c r="CG50" s="23"/>
      <c r="CH50" s="213">
        <f t="shared" si="352"/>
        <v>0</v>
      </c>
      <c r="CI50" s="211">
        <f t="shared" si="353"/>
        <v>0</v>
      </c>
      <c r="CJ50" s="211">
        <f t="shared" si="354"/>
        <v>0</v>
      </c>
      <c r="CK50" s="211">
        <f t="shared" si="355"/>
        <v>0</v>
      </c>
      <c r="CL50" s="211">
        <f t="shared" si="356"/>
        <v>0</v>
      </c>
      <c r="CM50" s="211">
        <f t="shared" si="357"/>
        <v>0</v>
      </c>
      <c r="CN50" s="211">
        <f t="shared" si="358"/>
        <v>0</v>
      </c>
      <c r="CO50" s="211">
        <f t="shared" si="359"/>
        <v>0</v>
      </c>
      <c r="CP50" s="211">
        <f t="shared" si="360"/>
        <v>0</v>
      </c>
      <c r="CQ50" s="211">
        <f t="shared" si="361"/>
        <v>0</v>
      </c>
      <c r="CR50" s="211">
        <f t="shared" si="362"/>
        <v>0</v>
      </c>
      <c r="CS50" s="211">
        <f t="shared" si="363"/>
        <v>0</v>
      </c>
      <c r="CT50" s="211">
        <f t="shared" si="366"/>
        <v>0</v>
      </c>
      <c r="CU50" s="211">
        <f t="shared" si="364"/>
        <v>0</v>
      </c>
      <c r="CV50" s="212">
        <f t="shared" si="365"/>
        <v>0</v>
      </c>
      <c r="CW50" s="1149"/>
      <c r="DF50" s="1109"/>
    </row>
    <row r="51" spans="1:110" ht="14.25" customHeight="1">
      <c r="A51" s="8"/>
      <c r="B51" s="31" t="str">
        <f t="shared" si="282"/>
        <v>Other financing activities</v>
      </c>
      <c r="C51" s="32"/>
      <c r="D51" s="213">
        <f t="shared" si="283"/>
        <v>0</v>
      </c>
      <c r="E51" s="211">
        <f t="shared" si="284"/>
        <v>0</v>
      </c>
      <c r="F51" s="211">
        <f t="shared" si="285"/>
        <v>0</v>
      </c>
      <c r="G51" s="212">
        <f t="shared" si="286"/>
        <v>0</v>
      </c>
      <c r="H51" s="213">
        <f t="shared" si="287"/>
        <v>0</v>
      </c>
      <c r="I51" s="211">
        <f t="shared" si="288"/>
        <v>14.736000000000001</v>
      </c>
      <c r="J51" s="211">
        <f t="shared" si="289"/>
        <v>141.22</v>
      </c>
      <c r="K51" s="212">
        <f t="shared" si="290"/>
        <v>25.221999999999998</v>
      </c>
      <c r="L51" s="213">
        <f t="shared" si="291"/>
        <v>6.4669999999999996</v>
      </c>
      <c r="M51" s="211">
        <f t="shared" si="292"/>
        <v>15.027000000000001</v>
      </c>
      <c r="N51" s="211">
        <f t="shared" si="293"/>
        <v>3.5590000000000002</v>
      </c>
      <c r="O51" s="212">
        <f t="shared" si="294"/>
        <v>15.818000000000005</v>
      </c>
      <c r="P51" s="213">
        <f t="shared" si="295"/>
        <v>31.589000000000002</v>
      </c>
      <c r="Q51" s="211">
        <f t="shared" si="296"/>
        <v>-21.200000000000003</v>
      </c>
      <c r="R51" s="211">
        <f t="shared" si="297"/>
        <v>2.1170000000000009</v>
      </c>
      <c r="S51" s="212">
        <f t="shared" si="298"/>
        <v>5.7139999999999951</v>
      </c>
      <c r="T51" s="213">
        <f t="shared" si="299"/>
        <v>0</v>
      </c>
      <c r="U51" s="211">
        <f t="shared" si="300"/>
        <v>5.0000000000000001E-3</v>
      </c>
      <c r="V51" s="211">
        <f t="shared" si="301"/>
        <v>0</v>
      </c>
      <c r="W51" s="212">
        <f t="shared" si="302"/>
        <v>1.4999999999999999E-2</v>
      </c>
      <c r="X51" s="213">
        <f t="shared" si="303"/>
        <v>5.2999999999999999E-2</v>
      </c>
      <c r="Y51" s="211">
        <f t="shared" si="304"/>
        <v>7.2000000000000008E-2</v>
      </c>
      <c r="Z51" s="211">
        <f t="shared" si="305"/>
        <v>0.52999999999999992</v>
      </c>
      <c r="AA51" s="212">
        <f t="shared" si="306"/>
        <v>0.372</v>
      </c>
      <c r="AB51" s="211">
        <f t="shared" si="307"/>
        <v>8.1829999999999998</v>
      </c>
      <c r="AC51" s="211">
        <f t="shared" si="308"/>
        <v>30.606000000000002</v>
      </c>
      <c r="AD51" s="211">
        <f t="shared" si="309"/>
        <v>-1.1280000000000001</v>
      </c>
      <c r="AE51" s="212">
        <f t="shared" si="310"/>
        <v>8.554000000000002</v>
      </c>
      <c r="AF51" s="211">
        <f t="shared" si="311"/>
        <v>5.0709999999999997</v>
      </c>
      <c r="AG51" s="211">
        <f t="shared" si="312"/>
        <v>13.967000000000001</v>
      </c>
      <c r="AH51" s="211">
        <f t="shared" si="313"/>
        <v>0.29899999999999949</v>
      </c>
      <c r="AI51" s="212">
        <f t="shared" si="314"/>
        <v>1.5530000000000008</v>
      </c>
      <c r="AJ51" s="211">
        <f t="shared" si="315"/>
        <v>1.1959999999999997</v>
      </c>
      <c r="AK51" s="211">
        <f t="shared" si="316"/>
        <v>7.0170000000000012</v>
      </c>
      <c r="AL51" s="211">
        <f t="shared" si="317"/>
        <v>-386.21600000000007</v>
      </c>
      <c r="AM51" s="212">
        <f t="shared" si="318"/>
        <v>3.8809999999999931</v>
      </c>
      <c r="AN51" s="211">
        <f t="shared" si="319"/>
        <v>28.079000000000001</v>
      </c>
      <c r="AO51" s="211">
        <f t="shared" si="320"/>
        <v>-6.8610000000000007</v>
      </c>
      <c r="AP51" s="211">
        <f t="shared" si="321"/>
        <v>12.925000000000004</v>
      </c>
      <c r="AQ51" s="212">
        <f t="shared" si="322"/>
        <v>-0.29600000000000293</v>
      </c>
      <c r="AR51" s="211">
        <f t="shared" si="323"/>
        <v>0.6469999999999998</v>
      </c>
      <c r="AS51" s="211">
        <f t="shared" si="324"/>
        <v>7.5789999999999988</v>
      </c>
      <c r="AT51" s="211">
        <f t="shared" si="325"/>
        <v>8.9329999999999998</v>
      </c>
      <c r="AU51" s="212">
        <f t="shared" si="326"/>
        <v>6.6190000000000033</v>
      </c>
      <c r="AV51" s="211">
        <f t="shared" si="327"/>
        <v>-34.988</v>
      </c>
      <c r="AW51" s="211">
        <f t="shared" si="328"/>
        <v>0.42600000000000193</v>
      </c>
      <c r="AX51" s="211">
        <f t="shared" si="329"/>
        <v>-21.319000000000003</v>
      </c>
      <c r="AY51" s="212">
        <f t="shared" si="330"/>
        <v>-2.4660000000000011</v>
      </c>
      <c r="AZ51" s="211">
        <f t="shared" si="331"/>
        <v>8.6020000000000003</v>
      </c>
      <c r="BA51" s="211">
        <f t="shared" si="332"/>
        <v>15.614000000000001</v>
      </c>
      <c r="BB51" s="211">
        <f t="shared" si="333"/>
        <v>4.2909999999999968</v>
      </c>
      <c r="BC51" s="212">
        <f t="shared" si="334"/>
        <v>9.2569999999999979</v>
      </c>
      <c r="BD51" s="211">
        <f t="shared" si="335"/>
        <v>8.8109999999999999</v>
      </c>
      <c r="BE51" s="211">
        <f>+BS!BE42-BS!BD42</f>
        <v>0</v>
      </c>
      <c r="BF51" s="211">
        <f>+BS!BF42-BS!BE42</f>
        <v>0</v>
      </c>
      <c r="BG51" s="212">
        <f>+BS!BG42-BS!BF42</f>
        <v>0</v>
      </c>
      <c r="BH51" s="211">
        <f>+BS!BH42-BS!BG42</f>
        <v>0</v>
      </c>
      <c r="BI51" s="211">
        <f>+BS!BI42-BS!BH42</f>
        <v>0</v>
      </c>
      <c r="BJ51" s="211">
        <f>+BS!BJ42-BS!BI42</f>
        <v>0</v>
      </c>
      <c r="BK51" s="212">
        <f>+BS!BK42-BS!BJ42</f>
        <v>0</v>
      </c>
      <c r="BL51" s="211">
        <f>+BS!BL42-BS!BK42</f>
        <v>0</v>
      </c>
      <c r="BM51" s="211">
        <f>+BS!BM42-BS!BL42</f>
        <v>0</v>
      </c>
      <c r="BN51" s="211">
        <f>+BS!BN42-BS!BM42</f>
        <v>0</v>
      </c>
      <c r="BO51" s="211">
        <f>+BS!BO42-BS!BN42</f>
        <v>0</v>
      </c>
      <c r="BP51" s="23"/>
      <c r="BQ51" s="211">
        <f t="shared" si="336"/>
        <v>0</v>
      </c>
      <c r="BR51" s="211">
        <f t="shared" si="337"/>
        <v>181.178</v>
      </c>
      <c r="BS51" s="211">
        <f t="shared" si="338"/>
        <v>40.871000000000009</v>
      </c>
      <c r="BT51" s="211">
        <f t="shared" si="339"/>
        <v>18.219999999999995</v>
      </c>
      <c r="BU51" s="211">
        <f t="shared" si="340"/>
        <v>0.02</v>
      </c>
      <c r="BV51" s="213">
        <f t="shared" si="341"/>
        <v>1.0269999999999999</v>
      </c>
      <c r="BW51" s="211">
        <f t="shared" si="342"/>
        <v>46.215000000000003</v>
      </c>
      <c r="BX51" s="213">
        <f t="shared" si="343"/>
        <v>20.89</v>
      </c>
      <c r="BY51" s="213">
        <f t="shared" si="344"/>
        <v>-374.12200000000007</v>
      </c>
      <c r="BZ51" s="211">
        <f t="shared" si="345"/>
        <v>33.846999999999994</v>
      </c>
      <c r="CA51" s="211">
        <f t="shared" si="346"/>
        <v>23.778000000000002</v>
      </c>
      <c r="CB51" s="211">
        <f t="shared" si="347"/>
        <v>-58.347000000000001</v>
      </c>
      <c r="CC51" s="211">
        <f t="shared" si="348"/>
        <v>37.763999999999996</v>
      </c>
      <c r="CD51" s="211">
        <f t="shared" si="349"/>
        <v>8.8109999999999999</v>
      </c>
      <c r="CE51" s="211">
        <f t="shared" si="350"/>
        <v>0</v>
      </c>
      <c r="CF51" s="211">
        <f t="shared" si="351"/>
        <v>0</v>
      </c>
      <c r="CG51" s="23"/>
      <c r="CH51" s="213">
        <f t="shared" si="352"/>
        <v>0</v>
      </c>
      <c r="CI51" s="211">
        <f t="shared" si="353"/>
        <v>187.64500000000001</v>
      </c>
      <c r="CJ51" s="211">
        <f t="shared" si="354"/>
        <v>65.993000000000009</v>
      </c>
      <c r="CK51" s="211">
        <f t="shared" si="355"/>
        <v>-13.369000000000007</v>
      </c>
      <c r="CL51" s="211">
        <f t="shared" si="356"/>
        <v>7.2999999999999995E-2</v>
      </c>
      <c r="CM51" s="211">
        <f t="shared" si="357"/>
        <v>9.157</v>
      </c>
      <c r="CN51" s="211">
        <f t="shared" si="358"/>
        <v>43.103000000000002</v>
      </c>
      <c r="CO51" s="211">
        <f t="shared" si="359"/>
        <v>17.015000000000001</v>
      </c>
      <c r="CP51" s="211">
        <f t="shared" si="360"/>
        <v>-347.23900000000009</v>
      </c>
      <c r="CQ51" s="211">
        <f t="shared" si="361"/>
        <v>6.4150000000000009</v>
      </c>
      <c r="CR51" s="211">
        <f t="shared" si="362"/>
        <v>-11.856999999999996</v>
      </c>
      <c r="CS51" s="211">
        <f t="shared" si="363"/>
        <v>-14.757000000000001</v>
      </c>
      <c r="CT51" s="211">
        <f t="shared" si="366"/>
        <v>37.972999999999999</v>
      </c>
      <c r="CU51" s="211">
        <f t="shared" si="364"/>
        <v>0</v>
      </c>
      <c r="CV51" s="212">
        <f t="shared" si="365"/>
        <v>0</v>
      </c>
      <c r="CW51" s="1149"/>
      <c r="DF51" s="1109"/>
    </row>
    <row r="52" spans="1:110" ht="14.25" customHeight="1" thickBot="1">
      <c r="A52" s="8"/>
      <c r="B52" s="217" t="str">
        <f t="shared" ref="B52:B62" si="383">B154</f>
        <v>Net cash used for financing activities</v>
      </c>
      <c r="C52" s="218"/>
      <c r="D52" s="220">
        <f t="shared" ref="D52:AN52" si="384">SUM(D44:D51)</f>
        <v>-170.17200000000003</v>
      </c>
      <c r="E52" s="219">
        <f t="shared" si="384"/>
        <v>-130.93200000000002</v>
      </c>
      <c r="F52" s="219">
        <f t="shared" si="384"/>
        <v>6.9349999999999881</v>
      </c>
      <c r="G52" s="221">
        <f t="shared" si="384"/>
        <v>-260.92</v>
      </c>
      <c r="H52" s="220">
        <f t="shared" si="384"/>
        <v>-130.50700000000001</v>
      </c>
      <c r="I52" s="219">
        <f t="shared" si="384"/>
        <v>-246.16999999999996</v>
      </c>
      <c r="J52" s="219">
        <f t="shared" si="384"/>
        <v>-201.29400000000001</v>
      </c>
      <c r="K52" s="221">
        <f t="shared" si="384"/>
        <v>-372.89199999999994</v>
      </c>
      <c r="L52" s="220">
        <f t="shared" si="384"/>
        <v>-356.99600000000004</v>
      </c>
      <c r="M52" s="219">
        <f t="shared" si="384"/>
        <v>-355.363</v>
      </c>
      <c r="N52" s="219">
        <f t="shared" si="384"/>
        <v>-668.75700000000006</v>
      </c>
      <c r="O52" s="221">
        <f t="shared" si="384"/>
        <v>-344.35699999999997</v>
      </c>
      <c r="P52" s="220">
        <f t="shared" si="384"/>
        <v>-357.12599999999998</v>
      </c>
      <c r="Q52" s="219">
        <f t="shared" si="384"/>
        <v>-201.51400000000007</v>
      </c>
      <c r="R52" s="219">
        <f t="shared" si="384"/>
        <v>-62.653999999999982</v>
      </c>
      <c r="S52" s="221">
        <f t="shared" si="384"/>
        <v>-58.713999999999942</v>
      </c>
      <c r="T52" s="220">
        <f t="shared" si="384"/>
        <v>-57.958999999999996</v>
      </c>
      <c r="U52" s="219">
        <f t="shared" si="384"/>
        <v>-59.097999999999999</v>
      </c>
      <c r="V52" s="219">
        <f t="shared" si="384"/>
        <v>317.72800000000001</v>
      </c>
      <c r="W52" s="221">
        <f t="shared" si="384"/>
        <v>-54.674000000000007</v>
      </c>
      <c r="X52" s="220">
        <f t="shared" si="384"/>
        <v>104.66999999999999</v>
      </c>
      <c r="Y52" s="219">
        <f t="shared" si="384"/>
        <v>-53.818000000000005</v>
      </c>
      <c r="Z52" s="219">
        <f t="shared" si="384"/>
        <v>-64.616999999999962</v>
      </c>
      <c r="AA52" s="221">
        <f t="shared" si="384"/>
        <v>-58.873000000000019</v>
      </c>
      <c r="AB52" s="219">
        <f t="shared" si="384"/>
        <v>75.734999999999985</v>
      </c>
      <c r="AC52" s="219">
        <f t="shared" si="384"/>
        <v>310.04899999999992</v>
      </c>
      <c r="AD52" s="219">
        <f t="shared" si="384"/>
        <v>-122.38599999999994</v>
      </c>
      <c r="AE52" s="221">
        <f t="shared" si="384"/>
        <v>-124.78600000000003</v>
      </c>
      <c r="AF52" s="219">
        <f t="shared" si="384"/>
        <v>-114.703</v>
      </c>
      <c r="AG52" s="219">
        <f t="shared" si="384"/>
        <v>-84.325000000000031</v>
      </c>
      <c r="AH52" s="219">
        <f t="shared" si="384"/>
        <v>-86.852000000000004</v>
      </c>
      <c r="AI52" s="221">
        <f t="shared" si="384"/>
        <v>-63.747000000000043</v>
      </c>
      <c r="AJ52" s="219">
        <f t="shared" si="384"/>
        <v>-52.822000000000017</v>
      </c>
      <c r="AK52" s="219">
        <f t="shared" si="384"/>
        <v>-39.661999999999985</v>
      </c>
      <c r="AL52" s="219">
        <f t="shared" si="384"/>
        <v>92.393999999999949</v>
      </c>
      <c r="AM52" s="221">
        <f t="shared" si="384"/>
        <v>-100.46700000000001</v>
      </c>
      <c r="AN52" s="219">
        <f t="shared" si="384"/>
        <v>-87.307999999999993</v>
      </c>
      <c r="AO52" s="219">
        <f t="shared" ref="AO52:AT52" si="385">SUM(AO44:AO51)</f>
        <v>-82.333999999999989</v>
      </c>
      <c r="AP52" s="219">
        <f t="shared" si="385"/>
        <v>1870.876</v>
      </c>
      <c r="AQ52" s="221">
        <f t="shared" si="385"/>
        <v>-2277.8440000000001</v>
      </c>
      <c r="AR52" s="219">
        <f t="shared" si="385"/>
        <v>-131.28</v>
      </c>
      <c r="AS52" s="219">
        <f t="shared" si="385"/>
        <v>-89.488000000000014</v>
      </c>
      <c r="AT52" s="219">
        <f t="shared" si="385"/>
        <v>-127.92999999999998</v>
      </c>
      <c r="AU52" s="221">
        <f t="shared" ref="AU52:BG52" si="386">SUM(AU44:AU51)</f>
        <v>-222.90500000000006</v>
      </c>
      <c r="AV52" s="219">
        <f t="shared" si="386"/>
        <v>571.78099999999995</v>
      </c>
      <c r="AW52" s="219">
        <f t="shared" si="386"/>
        <v>-326.66900000000004</v>
      </c>
      <c r="AX52" s="219">
        <f t="shared" si="386"/>
        <v>-156.66199999999992</v>
      </c>
      <c r="AY52" s="221">
        <f t="shared" ref="AY52:BB52" si="387">SUM(AY44:AY51)</f>
        <v>-111.36699999999996</v>
      </c>
      <c r="AZ52" s="219">
        <f t="shared" si="387"/>
        <v>1982.5510000000002</v>
      </c>
      <c r="BA52" s="219">
        <f t="shared" si="387"/>
        <v>8989.125</v>
      </c>
      <c r="BB52" s="219">
        <f t="shared" si="387"/>
        <v>-4852.9579999999996</v>
      </c>
      <c r="BC52" s="221">
        <f t="shared" ref="BC52:BD52" si="388">SUM(BC44:BC51)</f>
        <v>-490.13999999999993</v>
      </c>
      <c r="BD52" s="219">
        <f t="shared" si="388"/>
        <v>-548.02599999999995</v>
      </c>
      <c r="BE52" s="219">
        <f t="shared" si="386"/>
        <v>-138.95305000000002</v>
      </c>
      <c r="BF52" s="219">
        <f t="shared" si="386"/>
        <v>-139.40305000000001</v>
      </c>
      <c r="BG52" s="221">
        <f t="shared" si="386"/>
        <v>-139.85305</v>
      </c>
      <c r="BH52" s="219">
        <f t="shared" ref="BH52:BK52" si="389">SUM(BH44:BH51)</f>
        <v>-140.30305000000004</v>
      </c>
      <c r="BI52" s="219">
        <f t="shared" si="389"/>
        <v>-140.75305000000003</v>
      </c>
      <c r="BJ52" s="219">
        <f t="shared" si="389"/>
        <v>-141.20305000000002</v>
      </c>
      <c r="BK52" s="221">
        <f t="shared" si="389"/>
        <v>-141.65305000000001</v>
      </c>
      <c r="BL52" s="219">
        <f t="shared" ref="BL52:BO52" si="390">SUM(BL44:BL51)</f>
        <v>-142.10305</v>
      </c>
      <c r="BM52" s="219">
        <f t="shared" si="390"/>
        <v>-142.55305000000004</v>
      </c>
      <c r="BN52" s="219">
        <f t="shared" si="390"/>
        <v>-143.00305000000003</v>
      </c>
      <c r="BO52" s="219">
        <f t="shared" si="390"/>
        <v>-143.45305000000002</v>
      </c>
      <c r="BP52" s="23"/>
      <c r="BQ52" s="219">
        <f t="shared" ref="BQ52:CB52" si="391">SUM(BQ44:BQ51)</f>
        <v>-555.08900000000006</v>
      </c>
      <c r="BR52" s="219">
        <f t="shared" si="391"/>
        <v>-950.86299999999994</v>
      </c>
      <c r="BS52" s="219">
        <f t="shared" si="391"/>
        <v>-1725.473</v>
      </c>
      <c r="BT52" s="219">
        <f t="shared" si="391"/>
        <v>-680.00800000000004</v>
      </c>
      <c r="BU52" s="219">
        <f t="shared" si="391"/>
        <v>145.99700000000004</v>
      </c>
      <c r="BV52" s="220">
        <f t="shared" si="391"/>
        <v>-72.638000000000019</v>
      </c>
      <c r="BW52" s="219">
        <f t="shared" si="391"/>
        <v>138.61199999999999</v>
      </c>
      <c r="BX52" s="220">
        <f t="shared" si="391"/>
        <v>-349.62700000000007</v>
      </c>
      <c r="BY52" s="220">
        <f t="shared" si="391"/>
        <v>-100.55700000000007</v>
      </c>
      <c r="BZ52" s="219">
        <f t="shared" si="391"/>
        <v>-576.61</v>
      </c>
      <c r="CA52" s="219">
        <f t="shared" si="391"/>
        <v>-571.60300000000007</v>
      </c>
      <c r="CB52" s="219">
        <f t="shared" si="391"/>
        <v>-22.91699999999998</v>
      </c>
      <c r="CC52" s="219">
        <f>SUM(CC44:CC51)</f>
        <v>5628.5780000000004</v>
      </c>
      <c r="CD52" s="219">
        <f>SUM(CD44:CD51)</f>
        <v>-966.23514999999986</v>
      </c>
      <c r="CE52" s="219">
        <f>SUM(CE44:CE51)</f>
        <v>-563.91219999999998</v>
      </c>
      <c r="CF52" s="219">
        <f>SUM(CF44:CF51)</f>
        <v>-571.11220000000003</v>
      </c>
      <c r="CG52" s="23"/>
      <c r="CH52" s="220">
        <f t="shared" ref="CH52:CR52" si="392">SUM(CH44:CH51)</f>
        <v>-515.42400000000009</v>
      </c>
      <c r="CI52" s="219">
        <f t="shared" si="392"/>
        <v>-1177.3520000000001</v>
      </c>
      <c r="CJ52" s="219">
        <f t="shared" si="392"/>
        <v>-1725.6030000000001</v>
      </c>
      <c r="CK52" s="219">
        <f t="shared" si="392"/>
        <v>-380.84100000000001</v>
      </c>
      <c r="CL52" s="219">
        <f t="shared" si="392"/>
        <v>308.62599999999998</v>
      </c>
      <c r="CM52" s="219">
        <f t="shared" si="392"/>
        <v>-101.57299999999996</v>
      </c>
      <c r="CN52" s="219">
        <f t="shared" si="392"/>
        <v>-51.826000000000001</v>
      </c>
      <c r="CO52" s="219">
        <f t="shared" si="392"/>
        <v>-287.74600000000009</v>
      </c>
      <c r="CP52" s="219">
        <f t="shared" si="392"/>
        <v>-135.04300000000006</v>
      </c>
      <c r="CQ52" s="219">
        <f t="shared" si="392"/>
        <v>-620.58200000000011</v>
      </c>
      <c r="CR52" s="219">
        <f t="shared" si="392"/>
        <v>131.45799999999994</v>
      </c>
      <c r="CS52" s="219">
        <f>SUM(CS44:CS51)</f>
        <v>1387.8530000000001</v>
      </c>
      <c r="CT52" s="219">
        <f>SUM(CT44:CT51)</f>
        <v>3098.0010000000002</v>
      </c>
      <c r="CU52" s="219">
        <f>SUM(CU44:CU51)</f>
        <v>-558.51220000000012</v>
      </c>
      <c r="CV52" s="221">
        <f>SUM(CV44:CV51)</f>
        <v>-565.71219999999994</v>
      </c>
      <c r="CW52" s="1149"/>
      <c r="DF52" s="1109"/>
    </row>
    <row r="53" spans="1:110" ht="14.25" customHeight="1" thickTop="1">
      <c r="A53" s="8"/>
      <c r="B53" s="51"/>
      <c r="C53" s="52"/>
      <c r="D53" s="226"/>
      <c r="E53" s="225"/>
      <c r="F53" s="225"/>
      <c r="G53" s="333"/>
      <c r="H53" s="226"/>
      <c r="I53" s="225"/>
      <c r="J53" s="225"/>
      <c r="K53" s="333"/>
      <c r="L53" s="226"/>
      <c r="M53" s="225"/>
      <c r="N53" s="225"/>
      <c r="O53" s="333"/>
      <c r="P53" s="226"/>
      <c r="Q53" s="225"/>
      <c r="R53" s="225"/>
      <c r="S53" s="333"/>
      <c r="T53" s="226"/>
      <c r="U53" s="225"/>
      <c r="V53" s="225"/>
      <c r="W53" s="333"/>
      <c r="X53" s="226"/>
      <c r="Y53" s="225"/>
      <c r="Z53" s="225"/>
      <c r="AA53" s="333"/>
      <c r="AB53" s="225"/>
      <c r="AC53" s="225"/>
      <c r="AD53" s="225"/>
      <c r="AE53" s="333"/>
      <c r="AF53" s="225"/>
      <c r="AG53" s="225"/>
      <c r="AH53" s="225"/>
      <c r="AI53" s="333"/>
      <c r="AJ53" s="225"/>
      <c r="AK53" s="225"/>
      <c r="AL53" s="225"/>
      <c r="AM53" s="333"/>
      <c r="AN53" s="225"/>
      <c r="AO53" s="225"/>
      <c r="AP53" s="225"/>
      <c r="AQ53" s="333"/>
      <c r="AR53" s="225"/>
      <c r="AS53" s="225"/>
      <c r="AT53" s="225"/>
      <c r="AU53" s="333"/>
      <c r="AV53" s="225"/>
      <c r="AW53" s="225"/>
      <c r="AX53" s="225"/>
      <c r="AY53" s="333"/>
      <c r="AZ53" s="225"/>
      <c r="BA53" s="225"/>
      <c r="BB53" s="225"/>
      <c r="BC53" s="333"/>
      <c r="BD53" s="225"/>
      <c r="BE53" s="225"/>
      <c r="BF53" s="225"/>
      <c r="BG53" s="227"/>
      <c r="BH53" s="225"/>
      <c r="BI53" s="225"/>
      <c r="BJ53" s="225"/>
      <c r="BK53" s="227"/>
      <c r="BL53" s="225"/>
      <c r="BM53" s="225"/>
      <c r="BN53" s="225"/>
      <c r="BO53" s="225"/>
      <c r="BP53" s="23"/>
      <c r="BQ53" s="225"/>
      <c r="BR53" s="225"/>
      <c r="BS53" s="225"/>
      <c r="BT53" s="225"/>
      <c r="BU53" s="225"/>
      <c r="BV53" s="226"/>
      <c r="BW53" s="225"/>
      <c r="BX53" s="226"/>
      <c r="BY53" s="226"/>
      <c r="BZ53" s="225"/>
      <c r="CA53" s="225"/>
      <c r="CB53" s="225"/>
      <c r="CC53" s="225"/>
      <c r="CD53" s="225"/>
      <c r="CE53" s="225"/>
      <c r="CF53" s="225"/>
      <c r="CG53" s="23"/>
      <c r="CH53" s="226"/>
      <c r="CI53" s="225"/>
      <c r="CJ53" s="225"/>
      <c r="CK53" s="225"/>
      <c r="CL53" s="225"/>
      <c r="CM53" s="225"/>
      <c r="CN53" s="225"/>
      <c r="CO53" s="225"/>
      <c r="CP53" s="225"/>
      <c r="CQ53" s="225"/>
      <c r="CR53" s="225"/>
      <c r="CS53" s="225"/>
      <c r="CT53" s="225"/>
      <c r="CU53" s="225"/>
      <c r="CV53" s="227"/>
      <c r="CW53" s="1149"/>
      <c r="DF53" s="1109"/>
    </row>
    <row r="54" spans="1:110" ht="14.25" customHeight="1">
      <c r="A54" s="8"/>
      <c r="B54" s="51" t="str">
        <f t="shared" si="383"/>
        <v>Effect of exchange rate changes on cash and cash equivalents</v>
      </c>
      <c r="C54" s="52"/>
      <c r="D54" s="213">
        <f>D156</f>
        <v>-0.28599999999999998</v>
      </c>
      <c r="E54" s="211">
        <f>E156-D54</f>
        <v>0.314</v>
      </c>
      <c r="F54" s="211">
        <f>F156-E54-D54</f>
        <v>0.32799999999999996</v>
      </c>
      <c r="G54" s="212">
        <f>G156-F54-E54-D54</f>
        <v>0.63900000000000001</v>
      </c>
      <c r="H54" s="213">
        <f>H156</f>
        <v>0.41399999999999998</v>
      </c>
      <c r="I54" s="211">
        <f>I156-H54</f>
        <v>0.56200000000000006</v>
      </c>
      <c r="J54" s="211">
        <f>J156-I54-H54</f>
        <v>0.45100000000000001</v>
      </c>
      <c r="K54" s="212">
        <f>K156-J54-I54-H54</f>
        <v>-0.11800000000000016</v>
      </c>
      <c r="L54" s="213">
        <f>L156</f>
        <v>0.80300000000000005</v>
      </c>
      <c r="M54" s="211">
        <f>M156-L54</f>
        <v>1.0529999999999999</v>
      </c>
      <c r="N54" s="211">
        <f>N156-M54-L54</f>
        <v>-0.26700000000000002</v>
      </c>
      <c r="O54" s="212">
        <f>O156-N54-M54-L54</f>
        <v>-4.2999999999999816E-2</v>
      </c>
      <c r="P54" s="213">
        <f>P156</f>
        <v>-1.6970000000000001</v>
      </c>
      <c r="Q54" s="211">
        <f>Q156-P54</f>
        <v>-0.27699999999999991</v>
      </c>
      <c r="R54" s="211">
        <f>R156-Q54-P54</f>
        <v>0.17799999999999994</v>
      </c>
      <c r="S54" s="212">
        <f>S156-R54-Q54-P54</f>
        <v>-7.3000000000000016</v>
      </c>
      <c r="T54" s="213">
        <f>T156</f>
        <v>-1.83</v>
      </c>
      <c r="U54" s="211">
        <f>U156-T54</f>
        <v>1.494</v>
      </c>
      <c r="V54" s="211">
        <f>V156-U54-T54</f>
        <v>2.9539999999999997</v>
      </c>
      <c r="W54" s="212">
        <f>W156-V54-U54-T54</f>
        <v>9.6000000000000307E-2</v>
      </c>
      <c r="X54" s="213">
        <f>X156</f>
        <v>-0.94299999999999995</v>
      </c>
      <c r="Y54" s="211">
        <f>Y156-X54</f>
        <v>-0.30600000000000016</v>
      </c>
      <c r="Z54" s="211">
        <f>Z156-Y54-X54</f>
        <v>-2.2359999999999998</v>
      </c>
      <c r="AA54" s="212">
        <f>AA156-Z54-Y54-X54</f>
        <v>1.044</v>
      </c>
      <c r="AB54" s="211">
        <f>AB156</f>
        <v>-0.30099999999999999</v>
      </c>
      <c r="AC54" s="211">
        <f>AC156-AB54</f>
        <v>1.79</v>
      </c>
      <c r="AD54" s="211">
        <f>AD156-AC54-AB54</f>
        <v>-1.1620000000000001</v>
      </c>
      <c r="AE54" s="212">
        <f>AE156-AD54-AC54-AB54</f>
        <v>-0.62999999999999989</v>
      </c>
      <c r="AF54" s="211">
        <f>AF156</f>
        <v>-1.5720000000000001</v>
      </c>
      <c r="AG54" s="211">
        <f>AG156-AF54</f>
        <v>0.4910000000000001</v>
      </c>
      <c r="AH54" s="211">
        <f>AH156-AG54-AF54</f>
        <v>-1.2559999999999998</v>
      </c>
      <c r="AI54" s="212">
        <f>AI156-AH54-AG54-AF54</f>
        <v>0.84499999999999975</v>
      </c>
      <c r="AJ54" s="211">
        <f>AJ156</f>
        <v>1.4159999999999999</v>
      </c>
      <c r="AK54" s="211">
        <f>AK156-AJ54</f>
        <v>-0.55600000000000005</v>
      </c>
      <c r="AL54" s="211">
        <f>AL156-AK54-AJ54</f>
        <v>-0.19099999999999984</v>
      </c>
      <c r="AM54" s="212">
        <f>AM156-AL54-AK54-AJ54</f>
        <v>0.72500000000000009</v>
      </c>
      <c r="AN54" s="211">
        <f>AN156</f>
        <v>-0.70399999999999996</v>
      </c>
      <c r="AO54" s="211">
        <f>AO156-AN54</f>
        <v>-0.51100000000000012</v>
      </c>
      <c r="AP54" s="211">
        <f>AP156-AO54-AN54</f>
        <v>-0.43299999999999983</v>
      </c>
      <c r="AQ54" s="212">
        <f>AQ156-AP54-AO54-AN54</f>
        <v>-1.4490000000000001</v>
      </c>
      <c r="AR54" s="211">
        <f>AR156</f>
        <v>-2.6749999999999998</v>
      </c>
      <c r="AS54" s="211">
        <f>AS156-AR54</f>
        <v>3.2000000000000028E-2</v>
      </c>
      <c r="AT54" s="211">
        <f>AT156-AS54-AR54</f>
        <v>-0.50900000000000034</v>
      </c>
      <c r="AU54" s="212">
        <f>AU156-AT54-AS54-AR54</f>
        <v>-0.79800000000000004</v>
      </c>
      <c r="AV54" s="211">
        <f>AV156</f>
        <v>-1.032</v>
      </c>
      <c r="AW54" s="211">
        <f>AW156-AV54</f>
        <v>0.89800000000000002</v>
      </c>
      <c r="AX54" s="211">
        <f>AX156-AW54-AV54</f>
        <v>-1.569</v>
      </c>
      <c r="AY54" s="212">
        <f>AY156-AX54-AW54-AV54</f>
        <v>-1.226</v>
      </c>
      <c r="AZ54" s="211">
        <f>AZ156</f>
        <v>-0.66600000000000004</v>
      </c>
      <c r="BA54" s="211">
        <f>BA156-AZ54</f>
        <v>0.69400000000000006</v>
      </c>
      <c r="BB54" s="211">
        <f>BB156-BA54-AZ54</f>
        <v>1.996</v>
      </c>
      <c r="BC54" s="212">
        <f>BC156-BB54-BA54-AZ54</f>
        <v>1.5259999999999998</v>
      </c>
      <c r="BD54" s="211">
        <f>BD156</f>
        <v>3.55</v>
      </c>
      <c r="BE54" s="214">
        <v>0</v>
      </c>
      <c r="BF54" s="214">
        <v>0</v>
      </c>
      <c r="BG54" s="215">
        <v>0</v>
      </c>
      <c r="BH54" s="214">
        <v>0</v>
      </c>
      <c r="BI54" s="214">
        <v>0</v>
      </c>
      <c r="BJ54" s="214">
        <v>0</v>
      </c>
      <c r="BK54" s="215">
        <v>0</v>
      </c>
      <c r="BL54" s="214">
        <v>0</v>
      </c>
      <c r="BM54" s="214">
        <v>0</v>
      </c>
      <c r="BN54" s="214">
        <v>0</v>
      </c>
      <c r="BO54" s="215">
        <v>0</v>
      </c>
      <c r="BP54" s="23"/>
      <c r="BQ54" s="211">
        <f>SUM(D54:G54)</f>
        <v>0.995</v>
      </c>
      <c r="BR54" s="211">
        <f>SUM(H54:K54)</f>
        <v>1.3089999999999999</v>
      </c>
      <c r="BS54" s="211">
        <f>SUM(L54:O54)</f>
        <v>1.5460000000000003</v>
      </c>
      <c r="BT54" s="211">
        <f>SUM(P54:S54)</f>
        <v>-9.0960000000000019</v>
      </c>
      <c r="BU54" s="211">
        <f>SUM(T54:W54)</f>
        <v>2.7139999999999995</v>
      </c>
      <c r="BV54" s="213">
        <f>SUM(X54:AA54)</f>
        <v>-2.4409999999999998</v>
      </c>
      <c r="BW54" s="211">
        <f>SUM(AB54:AE54)</f>
        <v>-0.30299999999999994</v>
      </c>
      <c r="BX54" s="213">
        <f>SUM(AF54:AI54)</f>
        <v>-1.492</v>
      </c>
      <c r="BY54" s="213">
        <f>SUM(AJ54:AM54)</f>
        <v>1.3940000000000001</v>
      </c>
      <c r="BZ54" s="211">
        <f>SUM(AN54:AQ54)</f>
        <v>-3.097</v>
      </c>
      <c r="CA54" s="211">
        <f>SUM(AR54:AU54)</f>
        <v>-3.95</v>
      </c>
      <c r="CB54" s="211">
        <f>SUM(AV54:AY54)</f>
        <v>-2.9289999999999998</v>
      </c>
      <c r="CC54" s="211">
        <f>SUM(AZ54:BC54)</f>
        <v>3.55</v>
      </c>
      <c r="CD54" s="211">
        <f>SUM(BD54:BG54)</f>
        <v>3.55</v>
      </c>
      <c r="CE54" s="211">
        <f>SUM(BH54:BK54)</f>
        <v>0</v>
      </c>
      <c r="CF54" s="211">
        <f>SUM(BL54:BO54)</f>
        <v>0</v>
      </c>
      <c r="CG54" s="23"/>
      <c r="CH54" s="213">
        <f>SUM(E54:H54)</f>
        <v>1.6949999999999998</v>
      </c>
      <c r="CI54" s="211">
        <f>SUM(I54:L54)</f>
        <v>1.698</v>
      </c>
      <c r="CJ54" s="211">
        <f>SUM(M54:P54)</f>
        <v>-0.95399999999999996</v>
      </c>
      <c r="CK54" s="211">
        <f>SUM(Q54:T54)</f>
        <v>-9.2290000000000028</v>
      </c>
      <c r="CL54" s="211">
        <f>SUM(U54:X54)</f>
        <v>3.6009999999999995</v>
      </c>
      <c r="CM54" s="211">
        <f>SUM(Y54:AB54)</f>
        <v>-1.7989999999999997</v>
      </c>
      <c r="CN54" s="211">
        <f>SUM(AC54:AF54)</f>
        <v>-1.5740000000000001</v>
      </c>
      <c r="CO54" s="211">
        <f>SUM(AG54:AJ54)</f>
        <v>1.496</v>
      </c>
      <c r="CP54" s="211">
        <f>SUM(AK54:AN54)</f>
        <v>-0.72599999999999976</v>
      </c>
      <c r="CQ54" s="211">
        <f>SUM(AO54:AR54)</f>
        <v>-5.0679999999999996</v>
      </c>
      <c r="CR54" s="211">
        <f>SUM(AS54:AV54)</f>
        <v>-2.3070000000000004</v>
      </c>
      <c r="CS54" s="211">
        <f>SUM(AW54:AZ54)</f>
        <v>-2.5629999999999997</v>
      </c>
      <c r="CT54" s="211">
        <f>SUM(BA54:BD54)</f>
        <v>7.7659999999999991</v>
      </c>
      <c r="CU54" s="211">
        <f>SUM(BE54:BH54)</f>
        <v>0</v>
      </c>
      <c r="CV54" s="212">
        <f>SUM(BI54:BL54)</f>
        <v>0</v>
      </c>
      <c r="CW54" s="1149"/>
      <c r="DF54" s="1109"/>
    </row>
    <row r="55" spans="1:110" ht="14.25" customHeight="1">
      <c r="A55" s="8"/>
      <c r="B55" s="51"/>
      <c r="C55" s="52"/>
      <c r="D55" s="226"/>
      <c r="E55" s="225"/>
      <c r="F55" s="225"/>
      <c r="G55" s="227"/>
      <c r="H55" s="226"/>
      <c r="I55" s="225"/>
      <c r="J55" s="225"/>
      <c r="K55" s="227"/>
      <c r="L55" s="226"/>
      <c r="M55" s="225"/>
      <c r="N55" s="225"/>
      <c r="O55" s="227"/>
      <c r="P55" s="226"/>
      <c r="Q55" s="225"/>
      <c r="R55" s="225"/>
      <c r="S55" s="227"/>
      <c r="T55" s="226"/>
      <c r="U55" s="225"/>
      <c r="V55" s="225"/>
      <c r="W55" s="227"/>
      <c r="X55" s="226"/>
      <c r="Y55" s="225"/>
      <c r="Z55" s="225"/>
      <c r="AA55" s="227"/>
      <c r="AB55" s="225"/>
      <c r="AC55" s="225"/>
      <c r="AD55" s="225"/>
      <c r="AE55" s="227"/>
      <c r="AF55" s="225"/>
      <c r="AG55" s="225"/>
      <c r="AH55" s="225"/>
      <c r="AI55" s="227"/>
      <c r="AJ55" s="225"/>
      <c r="AK55" s="225"/>
      <c r="AL55" s="225"/>
      <c r="AM55" s="227"/>
      <c r="AN55" s="225"/>
      <c r="AO55" s="225"/>
      <c r="AP55" s="225"/>
      <c r="AQ55" s="227"/>
      <c r="AR55" s="225"/>
      <c r="AS55" s="225"/>
      <c r="AT55" s="225"/>
      <c r="AU55" s="227"/>
      <c r="AV55" s="225"/>
      <c r="AW55" s="225"/>
      <c r="AX55" s="225"/>
      <c r="AY55" s="227"/>
      <c r="AZ55" s="225"/>
      <c r="BA55" s="225"/>
      <c r="BB55" s="225"/>
      <c r="BC55" s="227"/>
      <c r="BD55" s="225"/>
      <c r="BE55" s="228"/>
      <c r="BF55" s="228"/>
      <c r="BG55" s="229"/>
      <c r="BH55" s="228"/>
      <c r="BI55" s="228"/>
      <c r="BJ55" s="228"/>
      <c r="BK55" s="229"/>
      <c r="BL55" s="228"/>
      <c r="BM55" s="228"/>
      <c r="BN55" s="228"/>
      <c r="BO55" s="228"/>
      <c r="BP55" s="23"/>
      <c r="BQ55" s="228"/>
      <c r="BR55" s="228"/>
      <c r="BS55" s="228"/>
      <c r="BT55" s="228"/>
      <c r="BU55" s="228"/>
      <c r="BV55" s="230"/>
      <c r="BW55" s="228"/>
      <c r="BX55" s="230"/>
      <c r="BY55" s="230"/>
      <c r="BZ55" s="228"/>
      <c r="CA55" s="228"/>
      <c r="CB55" s="228"/>
      <c r="CC55" s="228"/>
      <c r="CD55" s="228"/>
      <c r="CE55" s="228"/>
      <c r="CF55" s="228"/>
      <c r="CG55" s="23"/>
      <c r="CH55" s="230"/>
      <c r="CI55" s="228"/>
      <c r="CJ55" s="228"/>
      <c r="CK55" s="228"/>
      <c r="CL55" s="228"/>
      <c r="CM55" s="228"/>
      <c r="CN55" s="228"/>
      <c r="CO55" s="228"/>
      <c r="CP55" s="228"/>
      <c r="CQ55" s="228"/>
      <c r="CR55" s="228"/>
      <c r="CS55" s="228"/>
      <c r="CT55" s="228"/>
      <c r="CU55" s="228"/>
      <c r="CV55" s="229"/>
      <c r="CW55" s="1149"/>
      <c r="DF55" s="1109"/>
    </row>
    <row r="56" spans="1:110" ht="14.25" customHeight="1">
      <c r="A56" s="8"/>
      <c r="B56" s="51" t="str">
        <f t="shared" si="383"/>
        <v>Cash and cash equivalents, beginning of period</v>
      </c>
      <c r="C56" s="52"/>
      <c r="D56" s="226">
        <f>D158</f>
        <v>518.94000000000005</v>
      </c>
      <c r="E56" s="225">
        <f t="shared" ref="E56:AA56" si="393">D59</f>
        <v>409.33600000000001</v>
      </c>
      <c r="F56" s="225">
        <f t="shared" si="393"/>
        <v>314.36799999999994</v>
      </c>
      <c r="G56" s="227">
        <f t="shared" si="393"/>
        <v>248.05299999999991</v>
      </c>
      <c r="H56" s="226">
        <f t="shared" si="393"/>
        <v>627.59100000000024</v>
      </c>
      <c r="I56" s="225">
        <f t="shared" si="393"/>
        <v>427.85500000000025</v>
      </c>
      <c r="J56" s="225">
        <f t="shared" si="393"/>
        <v>402.49100000000021</v>
      </c>
      <c r="K56" s="227">
        <f t="shared" si="393"/>
        <v>523.12500000000034</v>
      </c>
      <c r="L56" s="226">
        <f t="shared" si="393"/>
        <v>343.94700000000029</v>
      </c>
      <c r="M56" s="225">
        <f t="shared" si="393"/>
        <v>398.54900000000021</v>
      </c>
      <c r="N56" s="225">
        <f t="shared" si="393"/>
        <v>358.59000000000015</v>
      </c>
      <c r="O56" s="227">
        <f t="shared" si="393"/>
        <v>393.89800000000014</v>
      </c>
      <c r="P56" s="226">
        <f t="shared" si="393"/>
        <v>424.97200000000026</v>
      </c>
      <c r="Q56" s="225">
        <f t="shared" si="393"/>
        <v>633.0890000000004</v>
      </c>
      <c r="R56" s="225">
        <f t="shared" si="393"/>
        <v>414.3610000000005</v>
      </c>
      <c r="S56" s="227">
        <f t="shared" si="393"/>
        <v>418.45600000000053</v>
      </c>
      <c r="T56" s="226">
        <f t="shared" si="393"/>
        <v>593.59900000000084</v>
      </c>
      <c r="U56" s="225">
        <f t="shared" si="393"/>
        <v>769.71300000000087</v>
      </c>
      <c r="V56" s="225">
        <f t="shared" si="393"/>
        <v>676.87900000000093</v>
      </c>
      <c r="W56" s="227">
        <f t="shared" si="393"/>
        <v>632.71500000000083</v>
      </c>
      <c r="X56" s="226">
        <f t="shared" si="393"/>
        <v>639.72900000000072</v>
      </c>
      <c r="Y56" s="225">
        <f t="shared" si="393"/>
        <v>914.26800000000071</v>
      </c>
      <c r="Z56" s="225">
        <f t="shared" si="393"/>
        <v>1008.3720000000006</v>
      </c>
      <c r="AA56" s="227">
        <f t="shared" si="393"/>
        <v>993.42900000000077</v>
      </c>
      <c r="AB56" s="225">
        <f t="shared" ref="AB56:BD56" si="394">AA59</f>
        <v>1070.0000000000007</v>
      </c>
      <c r="AC56" s="225">
        <f t="shared" si="394"/>
        <v>1570.3210000000006</v>
      </c>
      <c r="AD56" s="225">
        <f t="shared" si="394"/>
        <v>1894.7610000000004</v>
      </c>
      <c r="AE56" s="227">
        <f t="shared" si="394"/>
        <v>1357.8210000000006</v>
      </c>
      <c r="AF56" s="225">
        <f t="shared" si="394"/>
        <v>1405.1000000000004</v>
      </c>
      <c r="AG56" s="225">
        <f t="shared" si="394"/>
        <v>1097.4420000000002</v>
      </c>
      <c r="AH56" s="225">
        <f t="shared" si="394"/>
        <v>695.06599999999935</v>
      </c>
      <c r="AI56" s="227">
        <f t="shared" si="394"/>
        <v>462.14899999999955</v>
      </c>
      <c r="AJ56" s="225">
        <f t="shared" si="394"/>
        <v>528.8329999999994</v>
      </c>
      <c r="AK56" s="225">
        <f t="shared" si="394"/>
        <v>795.79699999999923</v>
      </c>
      <c r="AL56" s="225">
        <f t="shared" si="394"/>
        <v>595.63099999999952</v>
      </c>
      <c r="AM56" s="227">
        <f t="shared" si="394"/>
        <v>460.06799999999942</v>
      </c>
      <c r="AN56" s="225">
        <f t="shared" si="394"/>
        <v>392.08899999999983</v>
      </c>
      <c r="AO56" s="225">
        <f t="shared" si="394"/>
        <v>417.22699999999969</v>
      </c>
      <c r="AP56" s="225">
        <f t="shared" si="394"/>
        <v>402.78999999999974</v>
      </c>
      <c r="AQ56" s="227">
        <f t="shared" si="394"/>
        <v>2585.4409999999998</v>
      </c>
      <c r="AR56" s="225">
        <f t="shared" si="394"/>
        <v>569.23299999999881</v>
      </c>
      <c r="AS56" s="225">
        <f t="shared" si="394"/>
        <v>650.20199999999875</v>
      </c>
      <c r="AT56" s="225">
        <f t="shared" si="394"/>
        <v>636.21599999999853</v>
      </c>
      <c r="AU56" s="227">
        <f t="shared" si="394"/>
        <v>557.49699999999928</v>
      </c>
      <c r="AV56" s="225">
        <f t="shared" si="394"/>
        <v>884.35299999999881</v>
      </c>
      <c r="AW56" s="225">
        <f t="shared" si="394"/>
        <v>1470.4419999999989</v>
      </c>
      <c r="AX56" s="225">
        <f t="shared" si="394"/>
        <v>1119.6619999999984</v>
      </c>
      <c r="AY56" s="227">
        <f t="shared" si="394"/>
        <v>1103.6699999999983</v>
      </c>
      <c r="AZ56" s="225">
        <f t="shared" si="394"/>
        <v>921.13199999999915</v>
      </c>
      <c r="BA56" s="225">
        <f t="shared" si="394"/>
        <v>4987.262999999999</v>
      </c>
      <c r="BB56" s="225">
        <f t="shared" si="394"/>
        <v>5697.7429999999986</v>
      </c>
      <c r="BC56" s="227">
        <f t="shared" si="394"/>
        <v>908.5689999999986</v>
      </c>
      <c r="BD56" s="225">
        <f t="shared" si="394"/>
        <v>1047.8379999999988</v>
      </c>
      <c r="BE56" s="225">
        <f t="shared" ref="BE56:BG56" si="395">BD59</f>
        <v>827.54999999999905</v>
      </c>
      <c r="BF56" s="225">
        <f t="shared" si="395"/>
        <v>1111.7053304119606</v>
      </c>
      <c r="BG56" s="227">
        <f t="shared" si="395"/>
        <v>1520.3406509803078</v>
      </c>
      <c r="BH56" s="225">
        <f t="shared" ref="BH56" si="396">BG59</f>
        <v>1926.2352739750206</v>
      </c>
      <c r="BI56" s="225">
        <f t="shared" ref="BI56" si="397">BH59</f>
        <v>2319.3313591015017</v>
      </c>
      <c r="BJ56" s="225">
        <f t="shared" ref="BJ56" si="398">BI59</f>
        <v>2681.483883657223</v>
      </c>
      <c r="BK56" s="227">
        <f t="shared" ref="BK56" si="399">BJ59</f>
        <v>3087.1134031443262</v>
      </c>
      <c r="BL56" s="225">
        <f t="shared" ref="BL56" si="400">BK59</f>
        <v>3516.5028310373923</v>
      </c>
      <c r="BM56" s="225">
        <f t="shared" ref="BM56" si="401">BL59</f>
        <v>3987.7089439084998</v>
      </c>
      <c r="BN56" s="225">
        <f t="shared" ref="BN56" si="402">BM59</f>
        <v>4407.9462268106627</v>
      </c>
      <c r="BO56" s="225">
        <f t="shared" ref="BO56" si="403">BN59</f>
        <v>4871.8778777176021</v>
      </c>
      <c r="BP56" s="23"/>
      <c r="BQ56" s="225">
        <f>D56</f>
        <v>518.94000000000005</v>
      </c>
      <c r="BR56" s="225">
        <f t="shared" ref="BR56:CF56" si="404">BQ59</f>
        <v>627.59100000000024</v>
      </c>
      <c r="BS56" s="225">
        <f t="shared" si="404"/>
        <v>343.94700000000023</v>
      </c>
      <c r="BT56" s="225">
        <f t="shared" si="404"/>
        <v>424.97200000000021</v>
      </c>
      <c r="BU56" s="225">
        <f t="shared" si="404"/>
        <v>593.59900000000061</v>
      </c>
      <c r="BV56" s="226">
        <f t="shared" si="404"/>
        <v>639.7290000000005</v>
      </c>
      <c r="BW56" s="225">
        <f t="shared" si="404"/>
        <v>1070.0000000000005</v>
      </c>
      <c r="BX56" s="226">
        <f t="shared" si="404"/>
        <v>1405.1000000000001</v>
      </c>
      <c r="BY56" s="226">
        <f t="shared" si="404"/>
        <v>528.83299999999917</v>
      </c>
      <c r="BZ56" s="225">
        <f t="shared" si="404"/>
        <v>392.0889999999996</v>
      </c>
      <c r="CA56" s="225">
        <f t="shared" si="404"/>
        <v>569.23299999999847</v>
      </c>
      <c r="CB56" s="225">
        <f t="shared" si="404"/>
        <v>884.35299999999847</v>
      </c>
      <c r="CC56" s="225">
        <f t="shared" si="404"/>
        <v>921.13199999999892</v>
      </c>
      <c r="CD56" s="225">
        <f t="shared" si="404"/>
        <v>1047.8379999999991</v>
      </c>
      <c r="CE56" s="225">
        <f t="shared" si="404"/>
        <v>1926.2352739750208</v>
      </c>
      <c r="CF56" s="225">
        <f t="shared" si="404"/>
        <v>3516.5028310373923</v>
      </c>
      <c r="CG56" s="23"/>
      <c r="CH56" s="226">
        <f>E56</f>
        <v>409.33600000000001</v>
      </c>
      <c r="CI56" s="225">
        <f t="shared" ref="CI56:CN56" si="405">CH59</f>
        <v>427.8550000000003</v>
      </c>
      <c r="CJ56" s="225">
        <f t="shared" si="405"/>
        <v>398.54900000000021</v>
      </c>
      <c r="CK56" s="225">
        <f t="shared" si="405"/>
        <v>633.0890000000004</v>
      </c>
      <c r="CL56" s="225">
        <f t="shared" si="405"/>
        <v>769.71300000000076</v>
      </c>
      <c r="CM56" s="225">
        <f t="shared" si="405"/>
        <v>914.26800000000071</v>
      </c>
      <c r="CN56" s="225">
        <f t="shared" si="405"/>
        <v>1570.3210000000004</v>
      </c>
      <c r="CO56" s="225">
        <f t="shared" ref="CO56:CV56" si="406">CN59</f>
        <v>1097.442</v>
      </c>
      <c r="CP56" s="225">
        <f t="shared" si="406"/>
        <v>795.79699999999923</v>
      </c>
      <c r="CQ56" s="225">
        <f t="shared" si="406"/>
        <v>417.22699999999969</v>
      </c>
      <c r="CR56" s="225">
        <f t="shared" si="406"/>
        <v>650.20199999999852</v>
      </c>
      <c r="CS56" s="225">
        <f t="shared" si="406"/>
        <v>1470.4419999999986</v>
      </c>
      <c r="CT56" s="225">
        <f t="shared" si="406"/>
        <v>4987.262999999999</v>
      </c>
      <c r="CU56" s="225">
        <f t="shared" si="406"/>
        <v>827.54999999999927</v>
      </c>
      <c r="CV56" s="227">
        <f t="shared" si="406"/>
        <v>2319.3313591015021</v>
      </c>
      <c r="CW56" s="1149"/>
      <c r="DF56" s="1109"/>
    </row>
    <row r="57" spans="1:110" ht="14.25" customHeight="1">
      <c r="A57" s="299"/>
      <c r="B57" s="360" t="str">
        <f t="shared" si="383"/>
        <v>Change in cash flow due to restatement</v>
      </c>
      <c r="C57" s="483"/>
      <c r="D57" s="489">
        <f>D159</f>
        <v>0</v>
      </c>
      <c r="E57" s="490">
        <f>E159-D57</f>
        <v>0</v>
      </c>
      <c r="F57" s="490">
        <f>F159-E57-D57</f>
        <v>0</v>
      </c>
      <c r="G57" s="491">
        <f>G159-F57-E57-D57</f>
        <v>0</v>
      </c>
      <c r="H57" s="489">
        <f>H159</f>
        <v>0</v>
      </c>
      <c r="I57" s="490">
        <f>I159-H57</f>
        <v>0</v>
      </c>
      <c r="J57" s="490">
        <f>J159-I57-H57</f>
        <v>0</v>
      </c>
      <c r="K57" s="491">
        <f>K159-J57-I57-H57</f>
        <v>0</v>
      </c>
      <c r="L57" s="489">
        <f>L159</f>
        <v>0</v>
      </c>
      <c r="M57" s="490">
        <f>M159-L57</f>
        <v>0</v>
      </c>
      <c r="N57" s="490">
        <f>N159-M57-L57</f>
        <v>0</v>
      </c>
      <c r="O57" s="491">
        <f>O159-N57-M57-L57</f>
        <v>0</v>
      </c>
      <c r="P57" s="489">
        <f>P159</f>
        <v>0</v>
      </c>
      <c r="Q57" s="490">
        <f>Q159-P57</f>
        <v>0</v>
      </c>
      <c r="R57" s="490">
        <f>R159-Q57-P57</f>
        <v>0</v>
      </c>
      <c r="S57" s="491">
        <f>S159-R57-Q57-P57</f>
        <v>0</v>
      </c>
      <c r="T57" s="489">
        <f>T159</f>
        <v>0</v>
      </c>
      <c r="U57" s="490">
        <f>U159-T57</f>
        <v>0</v>
      </c>
      <c r="V57" s="490">
        <f>V159-U57-T57</f>
        <v>0</v>
      </c>
      <c r="W57" s="491">
        <f>W159-V57-U57-T57</f>
        <v>0</v>
      </c>
      <c r="X57" s="489">
        <f>X159</f>
        <v>0</v>
      </c>
      <c r="Y57" s="490">
        <f>Y159-X57</f>
        <v>0</v>
      </c>
      <c r="Z57" s="490">
        <f>Z159-Y57-X57</f>
        <v>0</v>
      </c>
      <c r="AA57" s="491">
        <f>AA159-Z57-Y57-X57</f>
        <v>0</v>
      </c>
      <c r="AB57" s="490">
        <f>AB159</f>
        <v>0</v>
      </c>
      <c r="AC57" s="490">
        <f>AC159-AB57</f>
        <v>0</v>
      </c>
      <c r="AD57" s="490">
        <f>AD159-AC57-AB57</f>
        <v>0</v>
      </c>
      <c r="AE57" s="491">
        <f>AE159-AD57-AC57-AB57</f>
        <v>0</v>
      </c>
      <c r="AF57" s="490">
        <f>AF159</f>
        <v>0</v>
      </c>
      <c r="AG57" s="490">
        <f>AG159-AF57</f>
        <v>0</v>
      </c>
      <c r="AH57" s="490">
        <f>AH159-AG57-AF57</f>
        <v>0</v>
      </c>
      <c r="AI57" s="491">
        <f>AI159-AH57-AG57-AF57</f>
        <v>0</v>
      </c>
      <c r="AJ57" s="490">
        <f>AJ159</f>
        <v>0</v>
      </c>
      <c r="AK57" s="490">
        <f>AK159-AJ57</f>
        <v>0</v>
      </c>
      <c r="AL57" s="490">
        <f>AL159-AK57-AJ57</f>
        <v>0</v>
      </c>
      <c r="AM57" s="491">
        <f>AM159-AL57-AK57-AJ57</f>
        <v>0</v>
      </c>
      <c r="AN57" s="490">
        <f>AN159</f>
        <v>0</v>
      </c>
      <c r="AO57" s="490">
        <f>AO159-AN57</f>
        <v>0</v>
      </c>
      <c r="AP57" s="490">
        <f>AP159-AO57-AN57</f>
        <v>0</v>
      </c>
      <c r="AQ57" s="491">
        <f>AQ159-AP57-AO57-AN57</f>
        <v>0</v>
      </c>
      <c r="AR57" s="490">
        <f>AR159</f>
        <v>0</v>
      </c>
      <c r="AS57" s="490">
        <f>AS159-AR57</f>
        <v>0</v>
      </c>
      <c r="AT57" s="490">
        <f>AT159-AS57-AR57</f>
        <v>0</v>
      </c>
      <c r="AU57" s="491">
        <f>AU159-AT57-AS57-AR57</f>
        <v>0</v>
      </c>
      <c r="AV57" s="490">
        <f>AV159</f>
        <v>0</v>
      </c>
      <c r="AW57" s="490">
        <f>AW159-AV57</f>
        <v>0</v>
      </c>
      <c r="AX57" s="490">
        <f>AX159-AW57-AV57</f>
        <v>0</v>
      </c>
      <c r="AY57" s="491">
        <f>AY159-AX57-AW57-AV57</f>
        <v>0</v>
      </c>
      <c r="AZ57" s="490">
        <f>AZ159</f>
        <v>0</v>
      </c>
      <c r="BA57" s="490">
        <f>BA159-AZ57</f>
        <v>0</v>
      </c>
      <c r="BB57" s="490">
        <f>BB159-BA57-AZ57</f>
        <v>0</v>
      </c>
      <c r="BC57" s="491">
        <f>BC159-BB57-BA57-AZ57</f>
        <v>0</v>
      </c>
      <c r="BD57" s="490">
        <f>BD159</f>
        <v>0</v>
      </c>
      <c r="BE57" s="485"/>
      <c r="BF57" s="485"/>
      <c r="BG57" s="486"/>
      <c r="BH57" s="485"/>
      <c r="BI57" s="485"/>
      <c r="BJ57" s="485"/>
      <c r="BK57" s="486"/>
      <c r="BL57" s="485"/>
      <c r="BM57" s="485"/>
      <c r="BN57" s="485"/>
      <c r="BO57" s="485"/>
      <c r="BP57" s="488"/>
      <c r="BQ57" s="485">
        <f>SUM(D57:G57)</f>
        <v>0</v>
      </c>
      <c r="BR57" s="485">
        <f>SUM(H57:K57)</f>
        <v>0</v>
      </c>
      <c r="BS57" s="485">
        <f>SUM(L57:O57)</f>
        <v>0</v>
      </c>
      <c r="BT57" s="485">
        <f>SUM(P57:S57)</f>
        <v>0</v>
      </c>
      <c r="BU57" s="485">
        <f>SUM(T57:W57)</f>
        <v>0</v>
      </c>
      <c r="BV57" s="484">
        <f>SUM(X57:AA57)</f>
        <v>0</v>
      </c>
      <c r="BW57" s="485">
        <f>SUM(AB57:AE57)</f>
        <v>0</v>
      </c>
      <c r="BX57" s="484"/>
      <c r="BY57" s="484">
        <f>AM57</f>
        <v>0</v>
      </c>
      <c r="BZ57" s="485">
        <f>SUM(AN57:AQ57)</f>
        <v>0</v>
      </c>
      <c r="CA57" s="485"/>
      <c r="CB57" s="485"/>
      <c r="CC57" s="485"/>
      <c r="CD57" s="485"/>
      <c r="CE57" s="485"/>
      <c r="CF57" s="485"/>
      <c r="CG57" s="488"/>
      <c r="CH57" s="489">
        <f>SUM(E57:H57)</f>
        <v>0</v>
      </c>
      <c r="CI57" s="490">
        <f>SUM(I57:L57)</f>
        <v>0</v>
      </c>
      <c r="CJ57" s="490">
        <f>SUM(M57:P57)</f>
        <v>0</v>
      </c>
      <c r="CK57" s="490">
        <f>SUM(Q57:T57)</f>
        <v>0</v>
      </c>
      <c r="CL57" s="490">
        <f>SUM(U57:X57)</f>
        <v>0</v>
      </c>
      <c r="CM57" s="490">
        <f>SUM(Y57:AB57)</f>
        <v>0</v>
      </c>
      <c r="CN57" s="490">
        <f>SUM(AC57:AF57)</f>
        <v>0</v>
      </c>
      <c r="CO57" s="490">
        <f>SUM(AG57:AJ57)</f>
        <v>0</v>
      </c>
      <c r="CP57" s="490">
        <f>SUM(AK57:AN57)</f>
        <v>0</v>
      </c>
      <c r="CQ57" s="490">
        <f>SUM(AO57:AR57)</f>
        <v>0</v>
      </c>
      <c r="CR57" s="490">
        <f>SUM(AS57:AV57)</f>
        <v>0</v>
      </c>
      <c r="CS57" s="490">
        <f>SUM(AW57:AZ57)</f>
        <v>0</v>
      </c>
      <c r="CT57" s="490">
        <f>SUM(BA57:BD57)</f>
        <v>0</v>
      </c>
      <c r="CU57" s="490">
        <f>SUM(BE57:BH57)</f>
        <v>0</v>
      </c>
      <c r="CV57" s="491">
        <f>SUM(BI57:BL57)</f>
        <v>0</v>
      </c>
      <c r="CW57" s="1149"/>
      <c r="DF57" s="1109"/>
    </row>
    <row r="58" spans="1:110" ht="14.25" customHeight="1">
      <c r="A58" s="8"/>
      <c r="B58" s="222" t="str">
        <f t="shared" si="383"/>
        <v>Net increase (decrease) in cash and cash equivalents</v>
      </c>
      <c r="C58" s="223"/>
      <c r="D58" s="226">
        <f t="shared" ref="D58:AE58" si="407">D52+D41+D31+D54</f>
        <v>-109.60400000000006</v>
      </c>
      <c r="E58" s="225">
        <f t="shared" si="407"/>
        <v>-94.968000000000046</v>
      </c>
      <c r="F58" s="225">
        <f t="shared" si="407"/>
        <v>-66.315000000000026</v>
      </c>
      <c r="G58" s="227">
        <f t="shared" si="407"/>
        <v>379.53800000000035</v>
      </c>
      <c r="H58" s="226">
        <f t="shared" si="407"/>
        <v>-199.73599999999999</v>
      </c>
      <c r="I58" s="225">
        <f t="shared" si="407"/>
        <v>-25.364000000000043</v>
      </c>
      <c r="J58" s="225">
        <f t="shared" si="407"/>
        <v>120.63400000000009</v>
      </c>
      <c r="K58" s="227">
        <f t="shared" si="407"/>
        <v>-179.17800000000005</v>
      </c>
      <c r="L58" s="226">
        <f t="shared" si="407"/>
        <v>54.601999999999919</v>
      </c>
      <c r="M58" s="225">
        <f t="shared" si="407"/>
        <v>-39.95900000000006</v>
      </c>
      <c r="N58" s="225">
        <f t="shared" si="407"/>
        <v>35.307999999999986</v>
      </c>
      <c r="O58" s="227">
        <f t="shared" si="407"/>
        <v>31.074000000000105</v>
      </c>
      <c r="P58" s="226">
        <f t="shared" si="407"/>
        <v>208.1170000000001</v>
      </c>
      <c r="Q58" s="225">
        <f t="shared" si="407"/>
        <v>-218.72799999999989</v>
      </c>
      <c r="R58" s="225">
        <f t="shared" si="407"/>
        <v>4.0950000000000015</v>
      </c>
      <c r="S58" s="227">
        <f t="shared" si="407"/>
        <v>175.14300000000026</v>
      </c>
      <c r="T58" s="226">
        <f t="shared" si="407"/>
        <v>176.114</v>
      </c>
      <c r="U58" s="225">
        <f t="shared" si="407"/>
        <v>-92.833999999999946</v>
      </c>
      <c r="V58" s="225">
        <f t="shared" si="407"/>
        <v>-44.164000000000108</v>
      </c>
      <c r="W58" s="227">
        <f t="shared" si="407"/>
        <v>7.0139999999998928</v>
      </c>
      <c r="X58" s="226">
        <f t="shared" si="407"/>
        <v>274.53900000000004</v>
      </c>
      <c r="Y58" s="225">
        <f t="shared" si="407"/>
        <v>94.103999999999942</v>
      </c>
      <c r="Z58" s="225">
        <f t="shared" si="407"/>
        <v>-14.942999999999852</v>
      </c>
      <c r="AA58" s="227">
        <f t="shared" si="407"/>
        <v>76.570999999999842</v>
      </c>
      <c r="AB58" s="225">
        <f t="shared" si="407"/>
        <v>500.32099999999986</v>
      </c>
      <c r="AC58" s="225">
        <f t="shared" si="407"/>
        <v>324.43999999999977</v>
      </c>
      <c r="AD58" s="225">
        <f t="shared" si="407"/>
        <v>-536.93999999999983</v>
      </c>
      <c r="AE58" s="227">
        <f t="shared" si="407"/>
        <v>47.278999999999819</v>
      </c>
      <c r="AF58" s="225">
        <f t="shared" ref="AF58:AK58" si="408">AF52+AF41+AF31+AF54</f>
        <v>-307.65800000000019</v>
      </c>
      <c r="AG58" s="225">
        <f t="shared" si="408"/>
        <v>-402.37600000000083</v>
      </c>
      <c r="AH58" s="225">
        <f t="shared" si="408"/>
        <v>-232.9169999999998</v>
      </c>
      <c r="AI58" s="227">
        <f t="shared" si="408"/>
        <v>66.683999999999912</v>
      </c>
      <c r="AJ58" s="225">
        <f t="shared" si="408"/>
        <v>266.96399999999983</v>
      </c>
      <c r="AK58" s="225">
        <f t="shared" si="408"/>
        <v>-200.16599999999974</v>
      </c>
      <c r="AL58" s="225">
        <f t="shared" ref="AL58:AQ58" si="409">AL52+AL41+AL31+AL54</f>
        <v>-135.56300000000007</v>
      </c>
      <c r="AM58" s="227">
        <f t="shared" si="409"/>
        <v>-67.978999999999616</v>
      </c>
      <c r="AN58" s="225">
        <f t="shared" si="409"/>
        <v>25.13799999999987</v>
      </c>
      <c r="AO58" s="225">
        <f t="shared" si="409"/>
        <v>-14.43699999999993</v>
      </c>
      <c r="AP58" s="225">
        <f t="shared" si="409"/>
        <v>2182.6509999999998</v>
      </c>
      <c r="AQ58" s="227">
        <f t="shared" si="409"/>
        <v>-2016.208000000001</v>
      </c>
      <c r="AR58" s="225">
        <f t="shared" ref="AR58:AU58" si="410">AR52+AR41+AR31+AR54</f>
        <v>80.968999999999895</v>
      </c>
      <c r="AS58" s="225">
        <f t="shared" si="410"/>
        <v>-13.9860000000002</v>
      </c>
      <c r="AT58" s="225">
        <f t="shared" si="410"/>
        <v>-78.718999999999212</v>
      </c>
      <c r="AU58" s="227">
        <f t="shared" si="410"/>
        <v>326.85599999999954</v>
      </c>
      <c r="AV58" s="225">
        <f>AV52+AV41+AV31+AV54</f>
        <v>586.08900000000006</v>
      </c>
      <c r="AW58" s="225">
        <f>AW52+AW41+AW31+AW54</f>
        <v>-350.78000000000037</v>
      </c>
      <c r="AX58" s="225">
        <f>AX52+AX41+AX31+AX54</f>
        <v>-15.992000000000115</v>
      </c>
      <c r="AY58" s="227">
        <f t="shared" ref="AY58" si="411">AY52+AY41+AY31+AY54</f>
        <v>-182.53799999999916</v>
      </c>
      <c r="AZ58" s="225">
        <f>AZ52+AZ41+AZ31+AZ54</f>
        <v>4066.1309999999999</v>
      </c>
      <c r="BA58" s="225">
        <f>BA52+BA41+BA31+BA54</f>
        <v>710.48</v>
      </c>
      <c r="BB58" s="225">
        <f>BB52+BB41+BB31+BB54</f>
        <v>-4789.174</v>
      </c>
      <c r="BC58" s="227">
        <f t="shared" ref="BC58" si="412">BC52+BC41+BC31+BC54</f>
        <v>139.26900000000029</v>
      </c>
      <c r="BD58" s="225">
        <f>BD52+BD41+BD31+BD54</f>
        <v>-220.28799999999984</v>
      </c>
      <c r="BE58" s="225">
        <f t="shared" ref="BE58:BK58" si="413">BE52+BE41+BE31+BE54</f>
        <v>284.15533041196164</v>
      </c>
      <c r="BF58" s="225">
        <f t="shared" si="413"/>
        <v>408.63532056834725</v>
      </c>
      <c r="BG58" s="227">
        <f t="shared" si="413"/>
        <v>405.89462299471285</v>
      </c>
      <c r="BH58" s="225">
        <f t="shared" si="413"/>
        <v>393.09608512648111</v>
      </c>
      <c r="BI58" s="225">
        <f t="shared" si="413"/>
        <v>362.15252455572119</v>
      </c>
      <c r="BJ58" s="225">
        <f t="shared" si="413"/>
        <v>405.62951948710298</v>
      </c>
      <c r="BK58" s="227">
        <f t="shared" si="413"/>
        <v>429.38942789306623</v>
      </c>
      <c r="BL58" s="225">
        <f t="shared" ref="BL58:BO58" si="414">BL52+BL41+BL31+BL54</f>
        <v>471.20611287110734</v>
      </c>
      <c r="BM58" s="225">
        <f t="shared" si="414"/>
        <v>420.23728290216275</v>
      </c>
      <c r="BN58" s="225">
        <f t="shared" si="414"/>
        <v>463.93165090693969</v>
      </c>
      <c r="BO58" s="225">
        <f t="shared" si="414"/>
        <v>485.2387329341251</v>
      </c>
      <c r="BP58" s="23"/>
      <c r="BQ58" s="225">
        <f>SUM(D58:G58)</f>
        <v>108.65100000000018</v>
      </c>
      <c r="BR58" s="225">
        <f>SUM(H58:K58)</f>
        <v>-283.64400000000001</v>
      </c>
      <c r="BS58" s="225">
        <f>SUM(L58:O58)</f>
        <v>81.024999999999949</v>
      </c>
      <c r="BT58" s="225">
        <f>SUM(P58:S58)</f>
        <v>168.62700000000046</v>
      </c>
      <c r="BU58" s="225">
        <f>SUM(T58:W58)</f>
        <v>46.129999999999839</v>
      </c>
      <c r="BV58" s="226">
        <f>SUM(X58:AA58)</f>
        <v>430.27099999999996</v>
      </c>
      <c r="BW58" s="225">
        <f>SUM(AB58:AE58)</f>
        <v>335.09999999999962</v>
      </c>
      <c r="BX58" s="226">
        <f>SUM(AF58:AI58)</f>
        <v>-876.26700000000096</v>
      </c>
      <c r="BY58" s="226">
        <f>SUM(AJ58:AM58)</f>
        <v>-136.7439999999996</v>
      </c>
      <c r="BZ58" s="225">
        <f>SUM(AN58:AQ58)</f>
        <v>177.14399999999887</v>
      </c>
      <c r="CA58" s="225">
        <f>SUM(AR58:AU58)</f>
        <v>315.12</v>
      </c>
      <c r="CB58" s="225">
        <f>SUM(AV58:AY58)</f>
        <v>36.779000000000423</v>
      </c>
      <c r="CC58" s="225">
        <f>SUM(AZ58:BC58)</f>
        <v>126.70600000000019</v>
      </c>
      <c r="CD58" s="225">
        <f>SUM(BD58:BG58)</f>
        <v>878.3972739750219</v>
      </c>
      <c r="CE58" s="225">
        <f>SUM(BH58:BK58)</f>
        <v>1590.2675570623715</v>
      </c>
      <c r="CF58" s="225">
        <f>SUM(BL58:BO58)</f>
        <v>1840.6137796143348</v>
      </c>
      <c r="CG58" s="23"/>
      <c r="CH58" s="226">
        <f>SUM(E58:H58)</f>
        <v>18.51900000000029</v>
      </c>
      <c r="CI58" s="225">
        <f>SUM(I58:L58)</f>
        <v>-29.306000000000097</v>
      </c>
      <c r="CJ58" s="225">
        <f>SUM(M58:P58)</f>
        <v>234.54000000000013</v>
      </c>
      <c r="CK58" s="225">
        <f>SUM(Q58:T58)</f>
        <v>136.62400000000036</v>
      </c>
      <c r="CL58" s="225">
        <f>SUM(U58:X58)</f>
        <v>144.55499999999989</v>
      </c>
      <c r="CM58" s="225">
        <f>SUM(Y58:AB58)</f>
        <v>656.05299999999977</v>
      </c>
      <c r="CN58" s="225">
        <f>SUM(AC58:AF58)</f>
        <v>-472.87900000000042</v>
      </c>
      <c r="CO58" s="225">
        <f>SUM(AG58:AJ58)</f>
        <v>-301.64500000000078</v>
      </c>
      <c r="CP58" s="225">
        <f>SUM(AK58:AN58)</f>
        <v>-378.56999999999954</v>
      </c>
      <c r="CQ58" s="225">
        <f>SUM(AO58:AR58)</f>
        <v>232.97499999999883</v>
      </c>
      <c r="CR58" s="225">
        <f>SUM(AS58:AV58)</f>
        <v>820.24000000000024</v>
      </c>
      <c r="CS58" s="225">
        <f>SUM(AW58:AZ58)</f>
        <v>3516.8209999999999</v>
      </c>
      <c r="CT58" s="225">
        <f>SUM(BA58:BD58)</f>
        <v>-4159.7129999999997</v>
      </c>
      <c r="CU58" s="225">
        <f>SUM(BE58:BH58)</f>
        <v>1491.7813591015029</v>
      </c>
      <c r="CV58" s="227">
        <f>SUM(BI58:BL58)</f>
        <v>1668.3775848069977</v>
      </c>
      <c r="CW58" s="1149"/>
      <c r="DF58" s="1109"/>
    </row>
    <row r="59" spans="1:110" ht="14.25" customHeight="1">
      <c r="A59" s="8"/>
      <c r="B59" s="403" t="str">
        <f t="shared" si="383"/>
        <v>Cash and cash equivalents, end of period</v>
      </c>
      <c r="C59" s="231"/>
      <c r="D59" s="233">
        <f t="shared" ref="D59:V59" si="415">D58+D56+D57</f>
        <v>409.33600000000001</v>
      </c>
      <c r="E59" s="232">
        <f t="shared" si="415"/>
        <v>314.36799999999994</v>
      </c>
      <c r="F59" s="232">
        <f t="shared" si="415"/>
        <v>248.05299999999991</v>
      </c>
      <c r="G59" s="234">
        <f t="shared" si="415"/>
        <v>627.59100000000024</v>
      </c>
      <c r="H59" s="233">
        <f t="shared" si="415"/>
        <v>427.85500000000025</v>
      </c>
      <c r="I59" s="232">
        <f t="shared" si="415"/>
        <v>402.49100000000021</v>
      </c>
      <c r="J59" s="232">
        <f t="shared" si="415"/>
        <v>523.12500000000034</v>
      </c>
      <c r="K59" s="234">
        <f t="shared" si="415"/>
        <v>343.94700000000029</v>
      </c>
      <c r="L59" s="233">
        <f t="shared" si="415"/>
        <v>398.54900000000021</v>
      </c>
      <c r="M59" s="232">
        <f t="shared" si="415"/>
        <v>358.59000000000015</v>
      </c>
      <c r="N59" s="232">
        <f t="shared" si="415"/>
        <v>393.89800000000014</v>
      </c>
      <c r="O59" s="234">
        <f t="shared" si="415"/>
        <v>424.97200000000026</v>
      </c>
      <c r="P59" s="233">
        <f t="shared" si="415"/>
        <v>633.0890000000004</v>
      </c>
      <c r="Q59" s="232">
        <f t="shared" si="415"/>
        <v>414.3610000000005</v>
      </c>
      <c r="R59" s="232">
        <f t="shared" si="415"/>
        <v>418.45600000000053</v>
      </c>
      <c r="S59" s="234">
        <f t="shared" si="415"/>
        <v>593.59900000000084</v>
      </c>
      <c r="T59" s="233">
        <f t="shared" si="415"/>
        <v>769.71300000000087</v>
      </c>
      <c r="U59" s="232">
        <f t="shared" si="415"/>
        <v>676.87900000000093</v>
      </c>
      <c r="V59" s="232">
        <f t="shared" si="415"/>
        <v>632.71500000000083</v>
      </c>
      <c r="W59" s="234">
        <f t="shared" ref="W59:AN59" si="416">W58+W56+W57</f>
        <v>639.72900000000072</v>
      </c>
      <c r="X59" s="233">
        <f t="shared" si="416"/>
        <v>914.26800000000071</v>
      </c>
      <c r="Y59" s="232">
        <f t="shared" si="416"/>
        <v>1008.3720000000006</v>
      </c>
      <c r="Z59" s="232">
        <f t="shared" si="416"/>
        <v>993.42900000000077</v>
      </c>
      <c r="AA59" s="234">
        <f t="shared" si="416"/>
        <v>1070.0000000000007</v>
      </c>
      <c r="AB59" s="232">
        <f t="shared" si="416"/>
        <v>1570.3210000000006</v>
      </c>
      <c r="AC59" s="232">
        <f t="shared" si="416"/>
        <v>1894.7610000000004</v>
      </c>
      <c r="AD59" s="232">
        <f t="shared" si="416"/>
        <v>1357.8210000000006</v>
      </c>
      <c r="AE59" s="234">
        <f t="shared" si="416"/>
        <v>1405.1000000000004</v>
      </c>
      <c r="AF59" s="232">
        <f t="shared" si="416"/>
        <v>1097.4420000000002</v>
      </c>
      <c r="AG59" s="232">
        <f t="shared" si="416"/>
        <v>695.06599999999935</v>
      </c>
      <c r="AH59" s="232">
        <f t="shared" si="416"/>
        <v>462.14899999999955</v>
      </c>
      <c r="AI59" s="234">
        <f t="shared" si="416"/>
        <v>528.8329999999994</v>
      </c>
      <c r="AJ59" s="232">
        <f t="shared" si="416"/>
        <v>795.79699999999923</v>
      </c>
      <c r="AK59" s="232">
        <f t="shared" si="416"/>
        <v>595.63099999999952</v>
      </c>
      <c r="AL59" s="232">
        <f t="shared" si="416"/>
        <v>460.06799999999942</v>
      </c>
      <c r="AM59" s="234">
        <f t="shared" si="416"/>
        <v>392.08899999999983</v>
      </c>
      <c r="AN59" s="232">
        <f t="shared" si="416"/>
        <v>417.22699999999969</v>
      </c>
      <c r="AO59" s="232">
        <f t="shared" ref="AO59:AT59" si="417">AO58+AO56+AO57</f>
        <v>402.78999999999974</v>
      </c>
      <c r="AP59" s="232">
        <f t="shared" si="417"/>
        <v>2585.4409999999998</v>
      </c>
      <c r="AQ59" s="234">
        <f t="shared" si="417"/>
        <v>569.23299999999881</v>
      </c>
      <c r="AR59" s="232">
        <f t="shared" si="417"/>
        <v>650.20199999999875</v>
      </c>
      <c r="AS59" s="232">
        <f t="shared" si="417"/>
        <v>636.21599999999853</v>
      </c>
      <c r="AT59" s="232">
        <f t="shared" si="417"/>
        <v>557.49699999999928</v>
      </c>
      <c r="AU59" s="234">
        <f t="shared" ref="AU59:BG59" si="418">AU58+AU56+AU57</f>
        <v>884.35299999999881</v>
      </c>
      <c r="AV59" s="232">
        <f t="shared" si="418"/>
        <v>1470.4419999999989</v>
      </c>
      <c r="AW59" s="232">
        <f t="shared" si="418"/>
        <v>1119.6619999999984</v>
      </c>
      <c r="AX59" s="232">
        <f t="shared" si="418"/>
        <v>1103.6699999999983</v>
      </c>
      <c r="AY59" s="234">
        <f t="shared" ref="AY59:BB59" si="419">AY58+AY56+AY57</f>
        <v>921.13199999999915</v>
      </c>
      <c r="AZ59" s="232">
        <f t="shared" si="419"/>
        <v>4987.262999999999</v>
      </c>
      <c r="BA59" s="232">
        <f t="shared" si="419"/>
        <v>5697.7429999999986</v>
      </c>
      <c r="BB59" s="232">
        <f t="shared" si="419"/>
        <v>908.5689999999986</v>
      </c>
      <c r="BC59" s="234">
        <f t="shared" ref="BC59:BD59" si="420">BC58+BC56+BC57</f>
        <v>1047.8379999999988</v>
      </c>
      <c r="BD59" s="232">
        <f t="shared" si="420"/>
        <v>827.54999999999905</v>
      </c>
      <c r="BE59" s="232">
        <f t="shared" si="418"/>
        <v>1111.7053304119606</v>
      </c>
      <c r="BF59" s="232">
        <f t="shared" si="418"/>
        <v>1520.3406509803078</v>
      </c>
      <c r="BG59" s="234">
        <f t="shared" si="418"/>
        <v>1926.2352739750206</v>
      </c>
      <c r="BH59" s="232">
        <f t="shared" ref="BH59:BK59" si="421">BH58+BH56+BH57</f>
        <v>2319.3313591015017</v>
      </c>
      <c r="BI59" s="232">
        <f t="shared" si="421"/>
        <v>2681.483883657223</v>
      </c>
      <c r="BJ59" s="232">
        <f t="shared" si="421"/>
        <v>3087.1134031443262</v>
      </c>
      <c r="BK59" s="234">
        <f t="shared" si="421"/>
        <v>3516.5028310373923</v>
      </c>
      <c r="BL59" s="232">
        <f t="shared" ref="BL59:BO59" si="422">BL58+BL56+BL57</f>
        <v>3987.7089439084998</v>
      </c>
      <c r="BM59" s="232">
        <f t="shared" si="422"/>
        <v>4407.9462268106627</v>
      </c>
      <c r="BN59" s="232">
        <f t="shared" si="422"/>
        <v>4871.8778777176021</v>
      </c>
      <c r="BO59" s="232">
        <f t="shared" si="422"/>
        <v>5357.1166106517276</v>
      </c>
      <c r="BP59" s="23"/>
      <c r="BQ59" s="232">
        <f t="shared" ref="BQ59:BW59" si="423">BQ58+BQ56+BQ57</f>
        <v>627.59100000000024</v>
      </c>
      <c r="BR59" s="232">
        <f t="shared" si="423"/>
        <v>343.94700000000023</v>
      </c>
      <c r="BS59" s="232">
        <f t="shared" si="423"/>
        <v>424.97200000000021</v>
      </c>
      <c r="BT59" s="232">
        <f t="shared" si="423"/>
        <v>593.59900000000061</v>
      </c>
      <c r="BU59" s="232">
        <f t="shared" si="423"/>
        <v>639.7290000000005</v>
      </c>
      <c r="BV59" s="233">
        <f t="shared" si="423"/>
        <v>1070.0000000000005</v>
      </c>
      <c r="BW59" s="232">
        <f t="shared" si="423"/>
        <v>1405.1000000000001</v>
      </c>
      <c r="BX59" s="233">
        <f t="shared" ref="BX59:CC59" si="424">BX58+BX56+BX57</f>
        <v>528.83299999999917</v>
      </c>
      <c r="BY59" s="233">
        <f t="shared" si="424"/>
        <v>392.0889999999996</v>
      </c>
      <c r="BZ59" s="232">
        <f t="shared" si="424"/>
        <v>569.23299999999847</v>
      </c>
      <c r="CA59" s="232">
        <f t="shared" si="424"/>
        <v>884.35299999999847</v>
      </c>
      <c r="CB59" s="232">
        <f t="shared" si="424"/>
        <v>921.13199999999892</v>
      </c>
      <c r="CC59" s="232">
        <f t="shared" si="424"/>
        <v>1047.8379999999991</v>
      </c>
      <c r="CD59" s="232">
        <f t="shared" ref="CD59:CE59" si="425">CD58+CD56+CD57</f>
        <v>1926.2352739750208</v>
      </c>
      <c r="CE59" s="232">
        <f t="shared" si="425"/>
        <v>3516.5028310373923</v>
      </c>
      <c r="CF59" s="232">
        <f t="shared" ref="CF59" si="426">CF58+CF56+CF57</f>
        <v>5357.1166106517267</v>
      </c>
      <c r="CG59" s="23"/>
      <c r="CH59" s="233">
        <f t="shared" ref="CH59:CN59" si="427">CH58+CH56+CH57</f>
        <v>427.8550000000003</v>
      </c>
      <c r="CI59" s="232">
        <f t="shared" si="427"/>
        <v>398.54900000000021</v>
      </c>
      <c r="CJ59" s="232">
        <f t="shared" si="427"/>
        <v>633.0890000000004</v>
      </c>
      <c r="CK59" s="232">
        <f t="shared" si="427"/>
        <v>769.71300000000076</v>
      </c>
      <c r="CL59" s="232">
        <f t="shared" si="427"/>
        <v>914.26800000000071</v>
      </c>
      <c r="CM59" s="232">
        <f t="shared" si="427"/>
        <v>1570.3210000000004</v>
      </c>
      <c r="CN59" s="232">
        <f t="shared" si="427"/>
        <v>1097.442</v>
      </c>
      <c r="CO59" s="232">
        <f t="shared" ref="CO59:CT59" si="428">CO58+CO56+CO57</f>
        <v>795.79699999999923</v>
      </c>
      <c r="CP59" s="232">
        <f t="shared" si="428"/>
        <v>417.22699999999969</v>
      </c>
      <c r="CQ59" s="232">
        <f t="shared" si="428"/>
        <v>650.20199999999852</v>
      </c>
      <c r="CR59" s="232">
        <f t="shared" si="428"/>
        <v>1470.4419999999986</v>
      </c>
      <c r="CS59" s="232">
        <f t="shared" si="428"/>
        <v>4987.262999999999</v>
      </c>
      <c r="CT59" s="232">
        <f t="shared" si="428"/>
        <v>827.54999999999927</v>
      </c>
      <c r="CU59" s="232">
        <f t="shared" ref="CU59" si="429">CU58+CU56+CU57</f>
        <v>2319.3313591015021</v>
      </c>
      <c r="CV59" s="234">
        <f t="shared" ref="CV59" si="430">CV58+CV56+CV57</f>
        <v>3987.7089439084998</v>
      </c>
      <c r="CW59" s="1149"/>
      <c r="DF59" s="1109"/>
    </row>
    <row r="60" spans="1:110" ht="14.25" customHeight="1">
      <c r="A60" s="8"/>
      <c r="B60" s="295"/>
      <c r="C60" s="235"/>
      <c r="D60" s="225"/>
      <c r="E60" s="225"/>
      <c r="F60" s="225"/>
      <c r="G60" s="225"/>
      <c r="H60" s="225"/>
      <c r="I60" s="225"/>
      <c r="J60" s="225"/>
      <c r="K60" s="225"/>
      <c r="L60" s="225"/>
      <c r="M60" s="225"/>
      <c r="N60" s="225"/>
      <c r="O60" s="225"/>
      <c r="P60" s="225"/>
      <c r="Q60" s="225"/>
      <c r="R60" s="225"/>
      <c r="S60" s="225"/>
      <c r="T60" s="225"/>
      <c r="U60" s="225"/>
      <c r="V60" s="225"/>
      <c r="W60" s="225"/>
      <c r="X60" s="225"/>
      <c r="Y60" s="225"/>
      <c r="Z60" s="225"/>
      <c r="AA60" s="225"/>
      <c r="AB60" s="225"/>
      <c r="AC60" s="225"/>
      <c r="AD60" s="225"/>
      <c r="AE60" s="225"/>
      <c r="AF60" s="225"/>
      <c r="AG60" s="225"/>
      <c r="AH60" s="225"/>
      <c r="AI60" s="225"/>
      <c r="AJ60" s="225"/>
      <c r="AK60" s="225"/>
      <c r="AL60" s="225"/>
      <c r="AM60" s="225"/>
      <c r="AN60" s="225"/>
      <c r="AO60" s="225"/>
      <c r="AP60" s="225"/>
      <c r="AQ60" s="225"/>
      <c r="AR60" s="225"/>
      <c r="AS60" s="225"/>
      <c r="AT60" s="225"/>
      <c r="AU60" s="225"/>
      <c r="AV60" s="225"/>
      <c r="AW60" s="225"/>
      <c r="AX60" s="225"/>
      <c r="AY60" s="225"/>
      <c r="AZ60" s="225"/>
      <c r="BA60" s="225"/>
      <c r="BB60" s="225"/>
      <c r="BC60" s="166"/>
      <c r="BD60" s="225"/>
      <c r="BE60" s="225"/>
      <c r="BF60" s="225"/>
      <c r="BG60" s="166"/>
      <c r="BH60" s="225"/>
      <c r="BI60" s="225"/>
      <c r="BJ60" s="225"/>
      <c r="BK60" s="166"/>
      <c r="BL60" s="225"/>
      <c r="BM60" s="225"/>
      <c r="BN60" s="225"/>
      <c r="BO60" s="166"/>
      <c r="BP60" s="17"/>
      <c r="BQ60" s="236"/>
      <c r="BR60" s="236"/>
      <c r="BS60" s="236"/>
      <c r="BT60" s="236"/>
      <c r="BU60" s="236"/>
      <c r="BV60" s="236"/>
      <c r="BW60" s="236"/>
      <c r="BX60" s="236"/>
      <c r="BY60" s="236"/>
      <c r="BZ60" s="225"/>
      <c r="CA60" s="225"/>
      <c r="CB60" s="225"/>
      <c r="CC60" s="225"/>
      <c r="CD60" s="225"/>
      <c r="CE60" s="225"/>
      <c r="CF60" s="225"/>
      <c r="CG60" s="8"/>
      <c r="CH60" s="236"/>
      <c r="CI60" s="236"/>
      <c r="CJ60" s="236"/>
      <c r="CK60" s="236"/>
      <c r="CL60" s="236"/>
      <c r="CM60" s="236"/>
      <c r="CN60" s="236"/>
      <c r="CO60" s="236"/>
      <c r="CP60" s="236"/>
      <c r="CQ60" s="236"/>
      <c r="CR60" s="236"/>
      <c r="CS60" s="236"/>
      <c r="CT60" s="236"/>
      <c r="CU60" s="236"/>
      <c r="CV60" s="236"/>
      <c r="CW60" s="1149"/>
      <c r="DF60" s="1109"/>
    </row>
    <row r="61" spans="1:110" ht="14.25" customHeight="1">
      <c r="A61" s="8"/>
      <c r="B61" s="75" t="str">
        <f t="shared" si="383"/>
        <v>vs. Balance Sheet</v>
      </c>
      <c r="C61" s="237"/>
      <c r="D61" s="174">
        <f>BS!D11</f>
        <v>409.33600000000001</v>
      </c>
      <c r="E61" s="172">
        <f>BS!E11</f>
        <v>314.36799999999999</v>
      </c>
      <c r="F61" s="172">
        <f>BS!F11</f>
        <v>248.053</v>
      </c>
      <c r="G61" s="175">
        <f>BS!G11</f>
        <v>627.59100000000001</v>
      </c>
      <c r="H61" s="174">
        <f>BS!H11</f>
        <v>427.85500000000002</v>
      </c>
      <c r="I61" s="172">
        <f>BS!I11</f>
        <v>402.49099999999999</v>
      </c>
      <c r="J61" s="172">
        <f>BS!J11</f>
        <v>523.125</v>
      </c>
      <c r="K61" s="175">
        <f>BS!K11</f>
        <v>343.947</v>
      </c>
      <c r="L61" s="174">
        <f>BS!L11</f>
        <v>398.54899999999998</v>
      </c>
      <c r="M61" s="172">
        <f>BS!M11</f>
        <v>358.59</v>
      </c>
      <c r="N61" s="172">
        <f>BS!N11</f>
        <v>393.89800000000002</v>
      </c>
      <c r="O61" s="175">
        <f>BS!O11</f>
        <v>424.97199999999998</v>
      </c>
      <c r="P61" s="174">
        <f>BS!P11</f>
        <v>633.08900000000006</v>
      </c>
      <c r="Q61" s="172">
        <f>BS!Q11</f>
        <v>414.36099999999999</v>
      </c>
      <c r="R61" s="172">
        <f>BS!R11</f>
        <v>418.45600000000002</v>
      </c>
      <c r="S61" s="175">
        <f>BS!S11</f>
        <v>593.59900000000005</v>
      </c>
      <c r="T61" s="174">
        <f>BS!T11</f>
        <v>769.71299999999997</v>
      </c>
      <c r="U61" s="172">
        <f>BS!U11</f>
        <v>676.87900000000002</v>
      </c>
      <c r="V61" s="172">
        <f>BS!V11</f>
        <v>632.71500000000003</v>
      </c>
      <c r="W61" s="175">
        <f>BS!W11</f>
        <v>639.72900000000004</v>
      </c>
      <c r="X61" s="174">
        <f>BS!X11</f>
        <v>914.26800000000003</v>
      </c>
      <c r="Y61" s="172">
        <f>BS!Y11</f>
        <v>1008.372</v>
      </c>
      <c r="Z61" s="172">
        <f>BS!Z11</f>
        <v>993.42899999999997</v>
      </c>
      <c r="AA61" s="175">
        <f>BS!AA11</f>
        <v>1070</v>
      </c>
      <c r="AB61" s="172">
        <f>BS!AB11</f>
        <v>1570.3209999999999</v>
      </c>
      <c r="AC61" s="172">
        <f>BS!AC11</f>
        <v>1894.761</v>
      </c>
      <c r="AD61" s="172">
        <f>BS!AD11</f>
        <v>1357.8209999999999</v>
      </c>
      <c r="AE61" s="175">
        <f>BS!AE11</f>
        <v>1405.1</v>
      </c>
      <c r="AF61" s="172">
        <f>BS!AF11</f>
        <v>1097.442</v>
      </c>
      <c r="AG61" s="172">
        <f>BS!AG11</f>
        <v>695.06600000000003</v>
      </c>
      <c r="AH61" s="172">
        <f>BS!AH11</f>
        <v>462.149</v>
      </c>
      <c r="AI61" s="173">
        <f>BS!AI11</f>
        <v>528.83299999999997</v>
      </c>
      <c r="AJ61" s="172">
        <f>BS!AJ11</f>
        <v>795.79700000000003</v>
      </c>
      <c r="AK61" s="172">
        <f>BS!AK11</f>
        <v>595.63099999999997</v>
      </c>
      <c r="AL61" s="172">
        <f>BS!AL11</f>
        <v>460.06799999999998</v>
      </c>
      <c r="AM61" s="173">
        <f>BS!AM11</f>
        <v>392.089</v>
      </c>
      <c r="AN61" s="172">
        <f>BS!AN11</f>
        <v>417.22699999999998</v>
      </c>
      <c r="AO61" s="172">
        <f>BS!AO11</f>
        <v>402.79</v>
      </c>
      <c r="AP61" s="172">
        <f>BS!AP11</f>
        <v>2585.4409999999998</v>
      </c>
      <c r="AQ61" s="173">
        <f>BS!AQ11</f>
        <v>569.23299999999995</v>
      </c>
      <c r="AR61" s="172">
        <f>BS!AR11</f>
        <v>650.202</v>
      </c>
      <c r="AS61" s="172">
        <f>BS!AS11</f>
        <v>636.21600000000001</v>
      </c>
      <c r="AT61" s="172">
        <f>BS!AT11</f>
        <v>557.49699999999996</v>
      </c>
      <c r="AU61" s="173">
        <f>BS!AU11</f>
        <v>884.35299999999995</v>
      </c>
      <c r="AV61" s="172">
        <f>BS!AV11</f>
        <v>1470.442</v>
      </c>
      <c r="AW61" s="172">
        <f>BS!AW11</f>
        <v>1119.662</v>
      </c>
      <c r="AX61" s="172">
        <f>BS!AX11</f>
        <v>1103.67</v>
      </c>
      <c r="AY61" s="173">
        <f>BS!AY11</f>
        <v>921.13199999999995</v>
      </c>
      <c r="AZ61" s="172">
        <f>BS!AZ11</f>
        <v>4987.2629999999999</v>
      </c>
      <c r="BA61" s="172">
        <f>BS!BA11</f>
        <v>5697.7430000000004</v>
      </c>
      <c r="BB61" s="172">
        <f>BS!BB11</f>
        <v>908.56899999999996</v>
      </c>
      <c r="BC61" s="173">
        <f>BS!BC11</f>
        <v>1047.838</v>
      </c>
      <c r="BD61" s="172">
        <f>BS!BD11</f>
        <v>827.55</v>
      </c>
      <c r="BE61" s="172">
        <f>BS!BE11</f>
        <v>1111.7053304119615</v>
      </c>
      <c r="BF61" s="172">
        <f>BS!BF11</f>
        <v>1520.3406509803087</v>
      </c>
      <c r="BG61" s="173">
        <f>BS!BG11</f>
        <v>1926.2352739750215</v>
      </c>
      <c r="BH61" s="172">
        <f>BS!BH11</f>
        <v>2319.3313591015026</v>
      </c>
      <c r="BI61" s="172">
        <f>BS!BI11</f>
        <v>2681.4838836572239</v>
      </c>
      <c r="BJ61" s="172">
        <f>BS!BJ11</f>
        <v>3087.1134031443271</v>
      </c>
      <c r="BK61" s="173">
        <f>BS!BK11</f>
        <v>3516.5028310373932</v>
      </c>
      <c r="BL61" s="172">
        <f>BS!BL11</f>
        <v>3987.7089439085007</v>
      </c>
      <c r="BM61" s="172">
        <f>BS!BM11</f>
        <v>4407.9462268106636</v>
      </c>
      <c r="BN61" s="172">
        <f>BS!BN11</f>
        <v>4871.877877717603</v>
      </c>
      <c r="BO61" s="173">
        <f>BS!BO11</f>
        <v>5357.1166106517285</v>
      </c>
      <c r="BP61" s="23"/>
      <c r="BQ61" s="238">
        <f>BS!BQ11</f>
        <v>627.59100000000001</v>
      </c>
      <c r="BR61" s="238">
        <f>BS!BR11</f>
        <v>343.947</v>
      </c>
      <c r="BS61" s="238">
        <f>BS!BS11</f>
        <v>424.97199999999998</v>
      </c>
      <c r="BT61" s="238">
        <f>BS!BT11</f>
        <v>593.59900000000005</v>
      </c>
      <c r="BU61" s="238">
        <f>BS!BU11</f>
        <v>639.72900000000004</v>
      </c>
      <c r="BV61" s="327">
        <f>BS!BV11</f>
        <v>1070</v>
      </c>
      <c r="BW61" s="238">
        <f>BS!BW11</f>
        <v>1405.1</v>
      </c>
      <c r="BX61" s="238">
        <f>BS!BX11</f>
        <v>528.83299999999997</v>
      </c>
      <c r="BY61" s="238">
        <f>BS!BY11</f>
        <v>392.089</v>
      </c>
      <c r="BZ61" s="238">
        <f>BS!BZ11</f>
        <v>569.23299999999995</v>
      </c>
      <c r="CA61" s="238">
        <f>BS!CA11</f>
        <v>884.35299999999995</v>
      </c>
      <c r="CB61" s="238">
        <f>BS!CB11</f>
        <v>921.13199999999995</v>
      </c>
      <c r="CC61" s="238">
        <f>BS!CC11</f>
        <v>1047.838</v>
      </c>
      <c r="CD61" s="238">
        <f>BS!CD11</f>
        <v>1926.2352739750215</v>
      </c>
      <c r="CE61" s="238">
        <f>BS!CE11</f>
        <v>3516.5028310373932</v>
      </c>
      <c r="CF61" s="238">
        <f>BS!CF11</f>
        <v>5357.1166106517285</v>
      </c>
      <c r="CG61" s="23"/>
      <c r="CH61" s="327">
        <f>BS!CH11</f>
        <v>427.85500000000002</v>
      </c>
      <c r="CI61" s="238">
        <f>BS!CI11</f>
        <v>398.54899999999998</v>
      </c>
      <c r="CJ61" s="238">
        <f>BS!CJ11</f>
        <v>633.08900000000006</v>
      </c>
      <c r="CK61" s="238">
        <f>BS!CK11</f>
        <v>769.71299999999997</v>
      </c>
      <c r="CL61" s="238">
        <f>BS!CL11</f>
        <v>914.26800000000003</v>
      </c>
      <c r="CM61" s="238">
        <f>BS!CM11</f>
        <v>1570.3209999999999</v>
      </c>
      <c r="CN61" s="238">
        <f>BS!CN11</f>
        <v>1097.442</v>
      </c>
      <c r="CO61" s="238">
        <f>BS!CO11</f>
        <v>795.79700000000003</v>
      </c>
      <c r="CP61" s="238">
        <f>BS!CP11</f>
        <v>417.22699999999998</v>
      </c>
      <c r="CQ61" s="238">
        <f>BS!CQ11</f>
        <v>650.202</v>
      </c>
      <c r="CR61" s="238">
        <f>BS!CR11</f>
        <v>1470.442</v>
      </c>
      <c r="CS61" s="238">
        <f>BS!CS11</f>
        <v>4987.2629999999999</v>
      </c>
      <c r="CT61" s="238">
        <f>BS!CT11</f>
        <v>827.55</v>
      </c>
      <c r="CU61" s="238">
        <f>BS!CU11</f>
        <v>2319.3313591015026</v>
      </c>
      <c r="CV61" s="173">
        <f>BS!CV11</f>
        <v>3987.7089439085007</v>
      </c>
      <c r="CW61" s="1149"/>
      <c r="DF61" s="1109"/>
    </row>
    <row r="62" spans="1:110" ht="14.25" customHeight="1">
      <c r="A62" s="8"/>
      <c r="B62" s="140" t="str">
        <f t="shared" si="383"/>
        <v>Check</v>
      </c>
      <c r="C62" s="141"/>
      <c r="D62" s="144">
        <f t="shared" ref="D62:AA62" si="431">IF(ROUND(D61,4)=ROUND(D59,4),0,(D61-D59))</f>
        <v>0</v>
      </c>
      <c r="E62" s="142">
        <f t="shared" si="431"/>
        <v>0</v>
      </c>
      <c r="F62" s="142">
        <f t="shared" si="431"/>
        <v>0</v>
      </c>
      <c r="G62" s="143">
        <f t="shared" si="431"/>
        <v>0</v>
      </c>
      <c r="H62" s="144">
        <f t="shared" si="431"/>
        <v>0</v>
      </c>
      <c r="I62" s="142">
        <f t="shared" si="431"/>
        <v>0</v>
      </c>
      <c r="J62" s="142">
        <f t="shared" si="431"/>
        <v>0</v>
      </c>
      <c r="K62" s="143">
        <f t="shared" si="431"/>
        <v>0</v>
      </c>
      <c r="L62" s="144">
        <f t="shared" si="431"/>
        <v>0</v>
      </c>
      <c r="M62" s="142">
        <f t="shared" si="431"/>
        <v>0</v>
      </c>
      <c r="N62" s="142">
        <f t="shared" si="431"/>
        <v>0</v>
      </c>
      <c r="O62" s="143">
        <f t="shared" si="431"/>
        <v>0</v>
      </c>
      <c r="P62" s="144">
        <f t="shared" si="431"/>
        <v>0</v>
      </c>
      <c r="Q62" s="142">
        <f t="shared" si="431"/>
        <v>0</v>
      </c>
      <c r="R62" s="142">
        <f t="shared" si="431"/>
        <v>0</v>
      </c>
      <c r="S62" s="143">
        <f t="shared" si="431"/>
        <v>0</v>
      </c>
      <c r="T62" s="144">
        <f t="shared" si="431"/>
        <v>0</v>
      </c>
      <c r="U62" s="142">
        <f t="shared" si="431"/>
        <v>0</v>
      </c>
      <c r="V62" s="142">
        <f t="shared" si="431"/>
        <v>0</v>
      </c>
      <c r="W62" s="143">
        <f t="shared" si="431"/>
        <v>0</v>
      </c>
      <c r="X62" s="144">
        <f t="shared" si="431"/>
        <v>0</v>
      </c>
      <c r="Y62" s="142">
        <f t="shared" si="431"/>
        <v>0</v>
      </c>
      <c r="Z62" s="142">
        <f t="shared" si="431"/>
        <v>0</v>
      </c>
      <c r="AA62" s="143">
        <f t="shared" si="431"/>
        <v>0</v>
      </c>
      <c r="AB62" s="144">
        <f t="shared" ref="AB62:AN62" si="432">IF(ROUND(AB61,4)=ROUND(AB59,4),0,(AB61-AB59))</f>
        <v>0</v>
      </c>
      <c r="AC62" s="142">
        <f t="shared" si="432"/>
        <v>0</v>
      </c>
      <c r="AD62" s="142">
        <f t="shared" si="432"/>
        <v>0</v>
      </c>
      <c r="AE62" s="143">
        <f t="shared" si="432"/>
        <v>0</v>
      </c>
      <c r="AF62" s="144">
        <f t="shared" si="432"/>
        <v>0</v>
      </c>
      <c r="AG62" s="142">
        <f t="shared" si="432"/>
        <v>0</v>
      </c>
      <c r="AH62" s="142">
        <f t="shared" si="432"/>
        <v>0</v>
      </c>
      <c r="AI62" s="143">
        <f t="shared" si="432"/>
        <v>0</v>
      </c>
      <c r="AJ62" s="144">
        <f t="shared" si="432"/>
        <v>0</v>
      </c>
      <c r="AK62" s="142">
        <f t="shared" si="432"/>
        <v>0</v>
      </c>
      <c r="AL62" s="142">
        <f t="shared" si="432"/>
        <v>0</v>
      </c>
      <c r="AM62" s="143">
        <f t="shared" si="432"/>
        <v>0</v>
      </c>
      <c r="AN62" s="144">
        <f t="shared" si="432"/>
        <v>0</v>
      </c>
      <c r="AO62" s="142">
        <f>IF(ROUND(AO61,4)=ROUND(AO59,4),0,(AO61-AO59))</f>
        <v>0</v>
      </c>
      <c r="AP62" s="142">
        <f>IF(ROUND(AP61,4)=ROUND(AP59,4),0,(AP61-AP59))</f>
        <v>0</v>
      </c>
      <c r="AQ62" s="143">
        <f>IF(ROUND(AQ61,4)=ROUND(AQ59,4),0,(AQ61-AQ59))</f>
        <v>0</v>
      </c>
      <c r="AR62" s="144">
        <f>IF(ROUND(AR61,4)=ROUND(AR59,4),0,(AR61-AR59))</f>
        <v>0</v>
      </c>
      <c r="AS62" s="142">
        <f t="shared" ref="AS62:AT62" si="433">IF(ROUND(AS61,4)=ROUND(AS59,4),0,(AS61-AS59))</f>
        <v>0</v>
      </c>
      <c r="AT62" s="142">
        <f t="shared" si="433"/>
        <v>0</v>
      </c>
      <c r="AU62" s="143">
        <f t="shared" ref="AU62:AZ62" si="434">IF(ROUND(AU61,4)=ROUND(AU59,4),0,(AU61-AU59))</f>
        <v>0</v>
      </c>
      <c r="AV62" s="144">
        <f t="shared" si="434"/>
        <v>0</v>
      </c>
      <c r="AW62" s="142">
        <f t="shared" si="434"/>
        <v>0</v>
      </c>
      <c r="AX62" s="142">
        <f t="shared" si="434"/>
        <v>0</v>
      </c>
      <c r="AY62" s="143">
        <f t="shared" si="434"/>
        <v>0</v>
      </c>
      <c r="AZ62" s="144">
        <f t="shared" si="434"/>
        <v>0</v>
      </c>
      <c r="BA62" s="142">
        <f t="shared" ref="BA62:BB62" si="435">IF(ROUND(BA61,4)=ROUND(BA59,4),0,(BA61-BA59))</f>
        <v>0</v>
      </c>
      <c r="BB62" s="142">
        <f t="shared" si="435"/>
        <v>0</v>
      </c>
      <c r="BC62" s="143">
        <f t="shared" ref="BC62:BG62" si="436">IF(ROUND(BC61,4)=ROUND(BC59,4),0,(BC61-BC59))</f>
        <v>0</v>
      </c>
      <c r="BD62" s="144">
        <f t="shared" si="436"/>
        <v>0</v>
      </c>
      <c r="BE62" s="142">
        <f t="shared" si="436"/>
        <v>0</v>
      </c>
      <c r="BF62" s="142">
        <f t="shared" si="436"/>
        <v>0</v>
      </c>
      <c r="BG62" s="143">
        <f t="shared" si="436"/>
        <v>0</v>
      </c>
      <c r="BH62" s="142">
        <f t="shared" ref="BH62:BK62" si="437">IF(ROUND(BH61,4)=ROUND(BH59,4),0,(BH61-BH59))</f>
        <v>0</v>
      </c>
      <c r="BI62" s="142">
        <f t="shared" si="437"/>
        <v>0</v>
      </c>
      <c r="BJ62" s="142">
        <f t="shared" si="437"/>
        <v>0</v>
      </c>
      <c r="BK62" s="143">
        <f t="shared" si="437"/>
        <v>0</v>
      </c>
      <c r="BL62" s="142">
        <f t="shared" ref="BL62:BO62" si="438">IF(ROUND(BL61,4)=ROUND(BL59,4),0,(BL61-BL59))</f>
        <v>0</v>
      </c>
      <c r="BM62" s="142">
        <f t="shared" si="438"/>
        <v>0</v>
      </c>
      <c r="BN62" s="142">
        <f t="shared" si="438"/>
        <v>0</v>
      </c>
      <c r="BO62" s="143">
        <f t="shared" si="438"/>
        <v>0</v>
      </c>
      <c r="BP62" s="23"/>
      <c r="BQ62" s="239">
        <f t="shared" ref="BQ62:BW62" si="439">IF(ROUND(BQ61,4)=ROUND(BQ59,4),0,(BQ61-BQ59))</f>
        <v>0</v>
      </c>
      <c r="BR62" s="239">
        <f t="shared" si="439"/>
        <v>0</v>
      </c>
      <c r="BS62" s="239">
        <f t="shared" si="439"/>
        <v>0</v>
      </c>
      <c r="BT62" s="239">
        <f t="shared" si="439"/>
        <v>0</v>
      </c>
      <c r="BU62" s="239">
        <f t="shared" si="439"/>
        <v>0</v>
      </c>
      <c r="BV62" s="328">
        <f t="shared" si="439"/>
        <v>0</v>
      </c>
      <c r="BW62" s="239">
        <f t="shared" si="439"/>
        <v>0</v>
      </c>
      <c r="BX62" s="239">
        <f t="shared" ref="BX62:CC62" si="440">IF(ROUND(BX61,4)=ROUND(BX59,4),0,(BX61-BX59))</f>
        <v>0</v>
      </c>
      <c r="BY62" s="239">
        <f t="shared" si="440"/>
        <v>0</v>
      </c>
      <c r="BZ62" s="239">
        <f t="shared" si="440"/>
        <v>0</v>
      </c>
      <c r="CA62" s="239">
        <f t="shared" si="440"/>
        <v>0</v>
      </c>
      <c r="CB62" s="239">
        <f t="shared" si="440"/>
        <v>0</v>
      </c>
      <c r="CC62" s="239">
        <f t="shared" si="440"/>
        <v>0</v>
      </c>
      <c r="CD62" s="239">
        <f t="shared" ref="CD62:CE62" si="441">IF(ROUND(CD61,4)=ROUND(CD59,4),0,(CD61-CD59))</f>
        <v>0</v>
      </c>
      <c r="CE62" s="239">
        <f t="shared" si="441"/>
        <v>0</v>
      </c>
      <c r="CF62" s="239">
        <f t="shared" ref="CF62" si="442">IF(ROUND(CF61,4)=ROUND(CF59,4),0,(CF61-CF59))</f>
        <v>0</v>
      </c>
      <c r="CG62" s="23"/>
      <c r="CH62" s="328">
        <f t="shared" ref="CH62:CN62" si="443">IF(ROUND(CH61,4)=ROUND(CH59,4),0,(CH61-CH59))</f>
        <v>0</v>
      </c>
      <c r="CI62" s="239">
        <f t="shared" si="443"/>
        <v>0</v>
      </c>
      <c r="CJ62" s="239">
        <f t="shared" si="443"/>
        <v>0</v>
      </c>
      <c r="CK62" s="239">
        <f t="shared" si="443"/>
        <v>0</v>
      </c>
      <c r="CL62" s="239">
        <f t="shared" si="443"/>
        <v>0</v>
      </c>
      <c r="CM62" s="239">
        <f t="shared" si="443"/>
        <v>0</v>
      </c>
      <c r="CN62" s="239">
        <f t="shared" si="443"/>
        <v>0</v>
      </c>
      <c r="CO62" s="239">
        <f t="shared" ref="CO62:CT62" si="444">IF(ROUND(CO61,4)=ROUND(CO59,4),0,(CO61-CO59))</f>
        <v>0</v>
      </c>
      <c r="CP62" s="239">
        <f t="shared" si="444"/>
        <v>0</v>
      </c>
      <c r="CQ62" s="239">
        <f t="shared" si="444"/>
        <v>0</v>
      </c>
      <c r="CR62" s="239">
        <f t="shared" si="444"/>
        <v>0</v>
      </c>
      <c r="CS62" s="239">
        <f t="shared" si="444"/>
        <v>0</v>
      </c>
      <c r="CT62" s="239">
        <f t="shared" si="444"/>
        <v>0</v>
      </c>
      <c r="CU62" s="239">
        <f t="shared" ref="CU62" si="445">IF(ROUND(CU61,4)=ROUND(CU59,4),0,(CU61-CU59))</f>
        <v>0</v>
      </c>
      <c r="CV62" s="240">
        <f t="shared" ref="CV62" si="446">IF(ROUND(CV61,4)=ROUND(CV59,4),0,(CV61-CV59))</f>
        <v>0</v>
      </c>
      <c r="CW62" s="1149"/>
      <c r="DF62" s="1109"/>
    </row>
    <row r="63" spans="1:110" ht="14.25" customHeight="1">
      <c r="A63" s="8"/>
      <c r="B63" s="241"/>
      <c r="C63" s="241"/>
      <c r="D63" s="242"/>
      <c r="E63" s="242"/>
      <c r="F63" s="242"/>
      <c r="G63" s="242"/>
      <c r="H63" s="242"/>
      <c r="I63" s="242"/>
      <c r="J63" s="242"/>
      <c r="K63" s="242"/>
      <c r="L63" s="242"/>
      <c r="M63" s="242"/>
      <c r="N63" s="242"/>
      <c r="O63" s="242"/>
      <c r="P63" s="242"/>
      <c r="Q63" s="242"/>
      <c r="R63" s="242"/>
      <c r="S63" s="242"/>
      <c r="T63" s="242"/>
      <c r="U63" s="242"/>
      <c r="V63" s="242"/>
      <c r="W63" s="242"/>
      <c r="X63" s="242"/>
      <c r="Y63" s="242"/>
      <c r="Z63" s="242"/>
      <c r="AA63" s="242"/>
      <c r="AB63" s="242"/>
      <c r="AC63" s="242"/>
      <c r="AD63" s="242"/>
      <c r="AE63" s="242"/>
      <c r="AF63" s="242"/>
      <c r="AG63" s="242"/>
      <c r="AH63" s="242"/>
      <c r="AI63" s="242"/>
      <c r="AJ63" s="242"/>
      <c r="AK63" s="242"/>
      <c r="AL63" s="242"/>
      <c r="AM63" s="242"/>
      <c r="AN63" s="242"/>
      <c r="AO63" s="242"/>
      <c r="AP63" s="242"/>
      <c r="AQ63" s="242"/>
      <c r="AR63" s="242"/>
      <c r="AS63" s="242"/>
      <c r="AT63" s="242"/>
      <c r="AU63" s="242"/>
      <c r="AV63" s="242"/>
      <c r="AW63" s="242"/>
      <c r="AX63" s="242"/>
      <c r="AY63" s="242"/>
      <c r="AZ63" s="242"/>
      <c r="BA63" s="242"/>
      <c r="BB63" s="242"/>
      <c r="BC63" s="1155"/>
      <c r="BD63" s="242"/>
      <c r="BE63" s="242"/>
      <c r="BF63" s="242"/>
      <c r="BG63" s="242"/>
      <c r="BH63" s="242"/>
      <c r="BI63" s="242"/>
      <c r="BJ63" s="242"/>
      <c r="BK63" s="242"/>
      <c r="BL63" s="242"/>
      <c r="BM63" s="242"/>
      <c r="BN63" s="242"/>
      <c r="BO63" s="242"/>
      <c r="BP63" s="17"/>
      <c r="BQ63" s="242"/>
      <c r="BR63" s="242"/>
      <c r="BS63" s="242"/>
      <c r="BT63" s="242"/>
      <c r="BU63" s="242"/>
      <c r="BV63" s="242"/>
      <c r="BW63" s="242"/>
      <c r="BX63" s="242"/>
      <c r="BY63" s="242"/>
      <c r="BZ63" s="242"/>
      <c r="CA63" s="242"/>
      <c r="CB63" s="242"/>
      <c r="CC63" s="242"/>
      <c r="CD63" s="242"/>
      <c r="CE63" s="242"/>
      <c r="CF63" s="242"/>
      <c r="CG63" s="8"/>
      <c r="CH63" s="242"/>
      <c r="CI63" s="242"/>
      <c r="CJ63" s="242"/>
      <c r="CK63" s="242"/>
      <c r="CL63" s="242"/>
      <c r="CM63" s="242"/>
      <c r="CN63" s="242"/>
      <c r="CO63" s="242"/>
      <c r="CP63" s="242"/>
      <c r="CQ63" s="242"/>
      <c r="CR63" s="242"/>
      <c r="CS63" s="242"/>
      <c r="CT63" s="242"/>
      <c r="CU63" s="242"/>
      <c r="CV63" s="242"/>
      <c r="CW63" s="8"/>
    </row>
    <row r="64" spans="1:110" ht="14.25" customHeight="1">
      <c r="A64" s="8"/>
      <c r="B64" s="17"/>
      <c r="C64" s="17"/>
      <c r="D64" s="243"/>
      <c r="E64" s="243"/>
      <c r="F64" s="243"/>
      <c r="G64" s="243"/>
      <c r="H64" s="243"/>
      <c r="I64" s="243"/>
      <c r="J64" s="243"/>
      <c r="K64" s="243"/>
      <c r="L64" s="243"/>
      <c r="M64" s="243"/>
      <c r="N64" s="243"/>
      <c r="O64" s="243"/>
      <c r="P64" s="243"/>
      <c r="Q64" s="243"/>
      <c r="R64" s="243"/>
      <c r="S64" s="243"/>
      <c r="T64" s="243"/>
      <c r="U64" s="243"/>
      <c r="V64" s="243"/>
      <c r="W64" s="243"/>
      <c r="X64" s="243"/>
      <c r="Y64" s="243"/>
      <c r="Z64" s="243"/>
      <c r="AA64" s="243"/>
      <c r="AB64" s="279"/>
      <c r="AC64" s="243"/>
      <c r="AD64" s="243"/>
      <c r="AE64" s="243"/>
      <c r="AF64" s="279"/>
      <c r="AG64" s="243"/>
      <c r="AH64" s="243"/>
      <c r="AI64" s="243"/>
      <c r="AJ64" s="279"/>
      <c r="AK64" s="243"/>
      <c r="AL64" s="243"/>
      <c r="AM64" s="243"/>
      <c r="AN64" s="243"/>
      <c r="AO64" s="243"/>
      <c r="AP64" s="243"/>
      <c r="AQ64" s="243"/>
      <c r="AR64" s="243"/>
      <c r="AS64" s="243"/>
      <c r="AT64" s="243"/>
      <c r="AU64" s="243"/>
      <c r="AV64" s="243"/>
      <c r="AW64" s="243"/>
      <c r="AX64" s="243"/>
      <c r="AY64" s="243"/>
      <c r="AZ64" s="243"/>
      <c r="BA64" s="243"/>
      <c r="BB64" s="243"/>
      <c r="BC64" s="1006"/>
      <c r="BD64" s="243"/>
      <c r="BE64" s="243"/>
      <c r="BF64" s="243"/>
      <c r="BG64" s="243"/>
      <c r="BH64" s="243"/>
      <c r="BI64" s="243"/>
      <c r="BJ64" s="243"/>
      <c r="BK64" s="243"/>
      <c r="BL64" s="243"/>
      <c r="BM64" s="243"/>
      <c r="BN64" s="243"/>
      <c r="BO64" s="243"/>
      <c r="BP64" s="17"/>
      <c r="BQ64" s="243"/>
      <c r="BR64" s="243"/>
      <c r="BS64" s="243"/>
      <c r="BT64" s="243"/>
      <c r="BU64" s="243"/>
      <c r="BV64" s="243"/>
      <c r="BW64" s="243"/>
      <c r="BX64" s="243"/>
      <c r="BY64" s="243"/>
      <c r="BZ64" s="243"/>
      <c r="CA64" s="243"/>
      <c r="CB64" s="243"/>
      <c r="CC64" s="243"/>
      <c r="CD64" s="243"/>
      <c r="CE64" s="243"/>
      <c r="CF64" s="243"/>
      <c r="CG64" s="8"/>
      <c r="CH64" s="243"/>
      <c r="CI64" s="243"/>
      <c r="CJ64" s="243"/>
      <c r="CK64" s="243"/>
      <c r="CL64" s="243"/>
      <c r="CM64" s="243"/>
      <c r="CN64" s="243"/>
      <c r="CO64" s="243"/>
      <c r="CP64" s="243"/>
      <c r="CQ64" s="1006"/>
      <c r="CR64" s="1006"/>
      <c r="CS64" s="1006"/>
      <c r="CT64" s="1006"/>
      <c r="CU64" s="1006"/>
      <c r="CV64" s="1006"/>
      <c r="CW64" s="8"/>
    </row>
    <row r="65" spans="1:101" ht="14.25" customHeight="1">
      <c r="A65" s="8"/>
      <c r="B65" s="17"/>
      <c r="C65" s="244"/>
      <c r="D65" s="243"/>
      <c r="E65" s="243"/>
      <c r="F65" s="243"/>
      <c r="G65" s="243"/>
      <c r="H65" s="243"/>
      <c r="I65" s="243"/>
      <c r="J65" s="243"/>
      <c r="K65" s="243"/>
      <c r="L65" s="243"/>
      <c r="M65" s="243"/>
      <c r="N65" s="243"/>
      <c r="O65" s="243"/>
      <c r="P65" s="243"/>
      <c r="Q65" s="243"/>
      <c r="R65" s="243"/>
      <c r="S65" s="243"/>
      <c r="T65" s="243"/>
      <c r="U65" s="243"/>
      <c r="V65" s="243"/>
      <c r="W65" s="243"/>
      <c r="X65" s="243"/>
      <c r="Y65" s="243"/>
      <c r="Z65" s="243"/>
      <c r="AA65" s="243"/>
      <c r="AB65" s="243"/>
      <c r="AC65" s="243"/>
      <c r="AD65" s="243"/>
      <c r="AE65" s="243"/>
      <c r="AF65" s="243"/>
      <c r="AG65" s="243"/>
      <c r="AH65" s="243"/>
      <c r="AI65" s="243"/>
      <c r="AJ65" s="243"/>
      <c r="AK65" s="243"/>
      <c r="AL65" s="243"/>
      <c r="AM65" s="243"/>
      <c r="AN65" s="243"/>
      <c r="AO65" s="243"/>
      <c r="AP65" s="243"/>
      <c r="AQ65" s="243"/>
      <c r="AR65" s="243"/>
      <c r="AS65" s="243"/>
      <c r="AT65" s="335"/>
      <c r="AU65" s="243"/>
      <c r="AV65" s="243"/>
      <c r="AW65" s="243"/>
      <c r="AX65" s="335"/>
      <c r="AY65" s="243"/>
      <c r="AZ65" s="243"/>
      <c r="BA65" s="243"/>
      <c r="BB65" s="243"/>
      <c r="BC65" s="1156"/>
      <c r="BD65" s="243"/>
      <c r="BE65" s="243"/>
      <c r="BF65" s="243"/>
      <c r="BG65" s="243"/>
      <c r="BH65" s="243"/>
      <c r="BI65" s="243"/>
      <c r="BJ65" s="243"/>
      <c r="BK65" s="243"/>
      <c r="BL65" s="243"/>
      <c r="BM65" s="243"/>
      <c r="BN65" s="243"/>
      <c r="BO65" s="243"/>
      <c r="BP65" s="17"/>
      <c r="BQ65" s="243"/>
      <c r="BR65" s="243"/>
      <c r="BS65" s="243"/>
      <c r="BT65" s="243"/>
      <c r="BU65" s="243"/>
      <c r="BV65" s="243"/>
      <c r="BW65" s="243"/>
      <c r="BX65" s="243"/>
      <c r="BY65" s="243"/>
      <c r="BZ65" s="243"/>
      <c r="CA65" s="243"/>
      <c r="CB65" s="243"/>
      <c r="CC65" s="243"/>
      <c r="CD65" s="243"/>
      <c r="CE65" s="243"/>
      <c r="CF65" s="243"/>
      <c r="CG65" s="8"/>
      <c r="CH65" s="243"/>
      <c r="CI65" s="243"/>
      <c r="CJ65" s="243"/>
      <c r="CK65" s="243"/>
      <c r="CL65" s="243"/>
      <c r="CM65" s="243"/>
      <c r="CN65" s="243"/>
      <c r="CO65" s="243"/>
      <c r="CP65" s="243"/>
      <c r="CQ65" s="1006"/>
      <c r="CR65" s="1006"/>
      <c r="CS65" s="1006"/>
      <c r="CT65" s="1006"/>
      <c r="CU65" s="1006"/>
      <c r="CV65" s="1006"/>
      <c r="CW65" s="8"/>
    </row>
    <row r="66" spans="1:101" ht="14.25" customHeight="1">
      <c r="A66" s="8"/>
      <c r="B66" s="150" t="s">
        <v>134</v>
      </c>
      <c r="C66" s="151"/>
      <c r="D66" s="245" t="str">
        <f t="shared" ref="D66:W66" si="447">D9</f>
        <v>F1Q05A</v>
      </c>
      <c r="E66" s="245" t="str">
        <f t="shared" si="447"/>
        <v>F2Q05A</v>
      </c>
      <c r="F66" s="245" t="str">
        <f t="shared" si="447"/>
        <v>F3Q05A</v>
      </c>
      <c r="G66" s="246" t="str">
        <f t="shared" si="447"/>
        <v>F4Q05A</v>
      </c>
      <c r="H66" s="245" t="str">
        <f t="shared" si="447"/>
        <v>F1Q06A</v>
      </c>
      <c r="I66" s="245" t="str">
        <f t="shared" si="447"/>
        <v>F2Q06A</v>
      </c>
      <c r="J66" s="245" t="str">
        <f t="shared" si="447"/>
        <v>F3Q06A</v>
      </c>
      <c r="K66" s="246" t="str">
        <f t="shared" si="447"/>
        <v>F4Q06A</v>
      </c>
      <c r="L66" s="245" t="str">
        <f t="shared" si="447"/>
        <v>F1Q07A</v>
      </c>
      <c r="M66" s="245" t="str">
        <f t="shared" si="447"/>
        <v>F2Q07A</v>
      </c>
      <c r="N66" s="245" t="str">
        <f t="shared" si="447"/>
        <v>F3Q07A</v>
      </c>
      <c r="O66" s="246" t="str">
        <f t="shared" si="447"/>
        <v>F4Q07A</v>
      </c>
      <c r="P66" s="245" t="str">
        <f t="shared" si="447"/>
        <v>F1Q08A</v>
      </c>
      <c r="Q66" s="245" t="str">
        <f t="shared" si="447"/>
        <v>F2Q08A</v>
      </c>
      <c r="R66" s="245" t="str">
        <f t="shared" si="447"/>
        <v>F3Q08A</v>
      </c>
      <c r="S66" s="246" t="str">
        <f t="shared" si="447"/>
        <v>F4Q08A</v>
      </c>
      <c r="T66" s="245" t="str">
        <f t="shared" si="447"/>
        <v>F1Q09A</v>
      </c>
      <c r="U66" s="245" t="str">
        <f t="shared" si="447"/>
        <v>F2Q09A</v>
      </c>
      <c r="V66" s="245" t="str">
        <f t="shared" si="447"/>
        <v>F3Q09A</v>
      </c>
      <c r="W66" s="246" t="str">
        <f t="shared" si="447"/>
        <v>F4Q09A</v>
      </c>
      <c r="X66" s="245" t="str">
        <f t="shared" ref="X66:AQ66" si="448">X9</f>
        <v>F1Q10A</v>
      </c>
      <c r="Y66" s="245" t="str">
        <f t="shared" si="448"/>
        <v>F2Q10A</v>
      </c>
      <c r="Z66" s="245" t="str">
        <f t="shared" si="448"/>
        <v>F3Q10A</v>
      </c>
      <c r="AA66" s="246" t="str">
        <f t="shared" si="448"/>
        <v>F4Q10A</v>
      </c>
      <c r="AB66" s="245" t="str">
        <f>AB9</f>
        <v>F1Q11A</v>
      </c>
      <c r="AC66" s="245" t="str">
        <f t="shared" si="448"/>
        <v>F2Q11A</v>
      </c>
      <c r="AD66" s="245" t="str">
        <f t="shared" si="448"/>
        <v>F3Q11A</v>
      </c>
      <c r="AE66" s="246" t="str">
        <f>AE9</f>
        <v>F4Q11A</v>
      </c>
      <c r="AF66" s="245" t="str">
        <f>AF9</f>
        <v>F1Q12A</v>
      </c>
      <c r="AG66" s="245" t="str">
        <f t="shared" si="448"/>
        <v>F2Q12A</v>
      </c>
      <c r="AH66" s="245" t="str">
        <f t="shared" si="448"/>
        <v>F3Q12A</v>
      </c>
      <c r="AI66" s="246" t="str">
        <f t="shared" si="448"/>
        <v>F4Q12A</v>
      </c>
      <c r="AJ66" s="245" t="str">
        <f t="shared" si="448"/>
        <v>F1Q13A</v>
      </c>
      <c r="AK66" s="245" t="str">
        <f t="shared" si="448"/>
        <v>F2Q13A</v>
      </c>
      <c r="AL66" s="245" t="str">
        <f>AL9</f>
        <v>F3Q13A</v>
      </c>
      <c r="AM66" s="246" t="str">
        <f t="shared" si="448"/>
        <v>F4Q13A</v>
      </c>
      <c r="AN66" s="245" t="str">
        <f t="shared" si="448"/>
        <v>F1Q14A</v>
      </c>
      <c r="AO66" s="245" t="str">
        <f t="shared" si="448"/>
        <v>F2Q14A</v>
      </c>
      <c r="AP66" s="245" t="str">
        <f>AP9</f>
        <v>F3Q14A</v>
      </c>
      <c r="AQ66" s="246" t="str">
        <f t="shared" si="448"/>
        <v>F4Q14A</v>
      </c>
      <c r="AR66" s="245" t="str">
        <f t="shared" ref="AR66:AU66" si="449">AR9</f>
        <v>F1Q15A</v>
      </c>
      <c r="AS66" s="245" t="str">
        <f t="shared" si="449"/>
        <v>F2Q15A</v>
      </c>
      <c r="AT66" s="1060" t="str">
        <f t="shared" si="449"/>
        <v>F3Q15A</v>
      </c>
      <c r="AU66" s="246" t="str">
        <f t="shared" si="449"/>
        <v>F4Q15A</v>
      </c>
      <c r="AV66" s="281" t="str">
        <f>AV9</f>
        <v>F1Q16A</v>
      </c>
      <c r="AW66" s="245" t="str">
        <f>AW9</f>
        <v>F2Q16A</v>
      </c>
      <c r="AX66" s="1060" t="str">
        <f>AX9</f>
        <v>F3Q16A</v>
      </c>
      <c r="AY66" s="246" t="str">
        <f t="shared" ref="AY66" si="450">AY9</f>
        <v>F4Q16A</v>
      </c>
      <c r="AZ66" s="281" t="str">
        <f>AZ9</f>
        <v>F1Q17A</v>
      </c>
      <c r="BA66" s="245" t="str">
        <f t="shared" ref="BA66:BG66" si="451">BA9</f>
        <v>F2Q17A</v>
      </c>
      <c r="BB66" s="245" t="str">
        <f t="shared" si="451"/>
        <v>F3Q17A</v>
      </c>
      <c r="BC66" s="246" t="str">
        <f t="shared" si="451"/>
        <v>F4Q17A</v>
      </c>
      <c r="BD66" s="245" t="str">
        <f t="shared" si="451"/>
        <v>F1Q18A</v>
      </c>
      <c r="BE66" s="245" t="str">
        <f t="shared" si="451"/>
        <v>F2Q18E</v>
      </c>
      <c r="BF66" s="245" t="str">
        <f t="shared" si="451"/>
        <v>F3Q18E</v>
      </c>
      <c r="BG66" s="246" t="str">
        <f t="shared" si="451"/>
        <v>F4Q18E</v>
      </c>
      <c r="BH66" s="1390" t="str">
        <f t="shared" ref="BH66:BK66" si="452">BH9</f>
        <v>F1Q19E</v>
      </c>
      <c r="BI66" s="1390" t="str">
        <f t="shared" si="452"/>
        <v>F2Q19E</v>
      </c>
      <c r="BJ66" s="1390" t="str">
        <f t="shared" si="452"/>
        <v>F3Q19E</v>
      </c>
      <c r="BK66" s="1391" t="str">
        <f t="shared" si="452"/>
        <v>F4Q19E</v>
      </c>
      <c r="BL66" s="1390" t="str">
        <f t="shared" ref="BL66:BO66" si="453">BL9</f>
        <v>F1Q20E</v>
      </c>
      <c r="BM66" s="1390" t="str">
        <f t="shared" si="453"/>
        <v>F2Q20E</v>
      </c>
      <c r="BN66" s="1390" t="str">
        <f t="shared" si="453"/>
        <v>F3Q20E</v>
      </c>
      <c r="BO66" s="1391" t="str">
        <f t="shared" si="453"/>
        <v>F4Q20E</v>
      </c>
      <c r="BP66" s="23"/>
      <c r="BQ66" s="20" t="str">
        <f t="shared" ref="BQ66:BW66" si="454">BQ9</f>
        <v>FY2005A</v>
      </c>
      <c r="BR66" s="21" t="str">
        <f t="shared" si="454"/>
        <v>FY2006A</v>
      </c>
      <c r="BS66" s="21" t="str">
        <f t="shared" si="454"/>
        <v>FY2007A</v>
      </c>
      <c r="BT66" s="21" t="str">
        <f t="shared" si="454"/>
        <v>FY2008A</v>
      </c>
      <c r="BU66" s="21" t="str">
        <f t="shared" si="454"/>
        <v>FY2009A</v>
      </c>
      <c r="BV66" s="21" t="str">
        <f t="shared" si="454"/>
        <v>FY2010A</v>
      </c>
      <c r="BW66" s="21" t="str">
        <f t="shared" si="454"/>
        <v>FY2011A</v>
      </c>
      <c r="BX66" s="21" t="str">
        <f t="shared" ref="BX66:BZ66" si="455">BX9</f>
        <v>FY2012A</v>
      </c>
      <c r="BY66" s="21" t="str">
        <f t="shared" si="455"/>
        <v>FY2013A</v>
      </c>
      <c r="BZ66" s="1438" t="str">
        <f t="shared" si="455"/>
        <v>FY2014A</v>
      </c>
      <c r="CA66" s="21" t="str">
        <f t="shared" ref="CA66:CF66" si="456">CA9</f>
        <v>FY2015A</v>
      </c>
      <c r="CB66" s="21" t="str">
        <f t="shared" si="456"/>
        <v>FY2016A</v>
      </c>
      <c r="CC66" s="21" t="str">
        <f t="shared" si="456"/>
        <v>FY2017A</v>
      </c>
      <c r="CD66" s="1438" t="str">
        <f t="shared" si="456"/>
        <v>FY2018E</v>
      </c>
      <c r="CE66" s="1438" t="str">
        <f t="shared" si="456"/>
        <v>FY2019E</v>
      </c>
      <c r="CF66" s="1438" t="str">
        <f t="shared" si="456"/>
        <v>FY2020E</v>
      </c>
      <c r="CG66" s="23"/>
      <c r="CH66" s="20" t="str">
        <f t="shared" ref="CH66:CN66" si="457">CH7</f>
        <v>CY2005</v>
      </c>
      <c r="CI66" s="21" t="str">
        <f t="shared" si="457"/>
        <v>CY2006</v>
      </c>
      <c r="CJ66" s="21" t="str">
        <f t="shared" si="457"/>
        <v>CY2007</v>
      </c>
      <c r="CK66" s="21" t="str">
        <f t="shared" si="457"/>
        <v>CY2008</v>
      </c>
      <c r="CL66" s="21" t="str">
        <f t="shared" si="457"/>
        <v>CY2009</v>
      </c>
      <c r="CM66" s="21" t="str">
        <f t="shared" si="457"/>
        <v>CY2010</v>
      </c>
      <c r="CN66" s="20" t="str">
        <f t="shared" si="457"/>
        <v>CY2011</v>
      </c>
      <c r="CO66" s="21" t="str">
        <f t="shared" ref="CO66:CT66" si="458">CO7</f>
        <v>CY2012</v>
      </c>
      <c r="CP66" s="21" t="str">
        <f t="shared" si="458"/>
        <v>CY2013</v>
      </c>
      <c r="CQ66" s="21" t="str">
        <f t="shared" si="458"/>
        <v>CY2014</v>
      </c>
      <c r="CR66" s="21" t="str">
        <f t="shared" si="458"/>
        <v>CY2015</v>
      </c>
      <c r="CS66" s="21" t="str">
        <f t="shared" si="458"/>
        <v>CY2016</v>
      </c>
      <c r="CT66" s="1205" t="str">
        <f t="shared" si="458"/>
        <v>CY2017</v>
      </c>
      <c r="CU66" s="1438" t="str">
        <f t="shared" ref="CU66" si="459">CU7</f>
        <v>CY2018</v>
      </c>
      <c r="CV66" s="1439" t="str">
        <f t="shared" ref="CV66" si="460">CV7</f>
        <v>CY2019</v>
      </c>
      <c r="CW66" s="17"/>
    </row>
    <row r="67" spans="1:101" ht="14.25" customHeight="1">
      <c r="A67" s="8"/>
      <c r="B67" s="25" t="s">
        <v>135</v>
      </c>
      <c r="C67" s="247"/>
      <c r="D67" s="391">
        <f t="shared" ref="D67:AD67" si="461">-D34</f>
        <v>23.884</v>
      </c>
      <c r="E67" s="392">
        <f t="shared" si="461"/>
        <v>21.631999999999998</v>
      </c>
      <c r="F67" s="392">
        <f t="shared" si="461"/>
        <v>18.911999999999999</v>
      </c>
      <c r="G67" s="175">
        <f t="shared" si="461"/>
        <v>21.028999999999989</v>
      </c>
      <c r="H67" s="391">
        <f t="shared" si="461"/>
        <v>20.36</v>
      </c>
      <c r="I67" s="392">
        <f t="shared" si="461"/>
        <v>28.822000000000003</v>
      </c>
      <c r="J67" s="392">
        <f t="shared" si="461"/>
        <v>38.36</v>
      </c>
      <c r="K67" s="175">
        <f t="shared" si="461"/>
        <v>41.754999999999995</v>
      </c>
      <c r="L67" s="391">
        <f t="shared" si="461"/>
        <v>37.725999999999999</v>
      </c>
      <c r="M67" s="392">
        <f t="shared" si="461"/>
        <v>39.661000000000001</v>
      </c>
      <c r="N67" s="392">
        <f t="shared" si="461"/>
        <v>31.245999999999995</v>
      </c>
      <c r="O67" s="175">
        <f t="shared" si="461"/>
        <v>33.177000000000007</v>
      </c>
      <c r="P67" s="391">
        <f t="shared" si="461"/>
        <v>40.115000000000002</v>
      </c>
      <c r="Q67" s="392">
        <f t="shared" si="461"/>
        <v>30.535000000000004</v>
      </c>
      <c r="R67" s="392">
        <f t="shared" si="461"/>
        <v>39.381000000000007</v>
      </c>
      <c r="S67" s="175">
        <f t="shared" si="461"/>
        <v>47.376999999999988</v>
      </c>
      <c r="T67" s="391">
        <f t="shared" si="461"/>
        <v>22.234999999999999</v>
      </c>
      <c r="U67" s="392">
        <f t="shared" si="461"/>
        <v>12.045999999999999</v>
      </c>
      <c r="V67" s="392">
        <f t="shared" si="461"/>
        <v>5.4250000000000043</v>
      </c>
      <c r="W67" s="175">
        <f t="shared" si="461"/>
        <v>16.388999999999996</v>
      </c>
      <c r="X67" s="391">
        <f t="shared" si="461"/>
        <v>17.178999999999998</v>
      </c>
      <c r="Y67" s="392">
        <f t="shared" si="461"/>
        <v>17.489999999999998</v>
      </c>
      <c r="Z67" s="392">
        <f t="shared" si="461"/>
        <v>39.125</v>
      </c>
      <c r="AA67" s="175">
        <f t="shared" si="461"/>
        <v>37.763000000000005</v>
      </c>
      <c r="AB67" s="250">
        <f t="shared" si="461"/>
        <v>25.547000000000001</v>
      </c>
      <c r="AC67" s="250">
        <f t="shared" si="461"/>
        <v>34.141000000000005</v>
      </c>
      <c r="AD67" s="250">
        <f t="shared" si="461"/>
        <v>36.977000000000004</v>
      </c>
      <c r="AE67" s="175">
        <f t="shared" ref="AE67:AK67" si="462">-AE34</f>
        <v>26.330999999999985</v>
      </c>
      <c r="AF67" s="250">
        <f t="shared" si="462"/>
        <v>25.289000000000001</v>
      </c>
      <c r="AG67" s="250">
        <f t="shared" si="462"/>
        <v>30.137</v>
      </c>
      <c r="AH67" s="250">
        <f t="shared" si="462"/>
        <v>39.239000000000004</v>
      </c>
      <c r="AI67" s="175">
        <f t="shared" si="462"/>
        <v>37.510999999999981</v>
      </c>
      <c r="AJ67" s="250">
        <f t="shared" si="462"/>
        <v>18.268999999999998</v>
      </c>
      <c r="AK67" s="250">
        <f t="shared" si="462"/>
        <v>26.178999999999995</v>
      </c>
      <c r="AL67" s="250">
        <f t="shared" ref="AL67:AU67" si="463">-AL34</f>
        <v>30.068000000000012</v>
      </c>
      <c r="AM67" s="175">
        <f t="shared" si="463"/>
        <v>48.558</v>
      </c>
      <c r="AN67" s="250">
        <f t="shared" si="463"/>
        <v>48.122999999999998</v>
      </c>
      <c r="AO67" s="250">
        <f t="shared" si="463"/>
        <v>44.058</v>
      </c>
      <c r="AP67" s="250">
        <f t="shared" si="463"/>
        <v>42.315000000000019</v>
      </c>
      <c r="AQ67" s="175">
        <f t="shared" si="463"/>
        <v>43.416999999999994</v>
      </c>
      <c r="AR67" s="250">
        <f t="shared" si="463"/>
        <v>23.76</v>
      </c>
      <c r="AS67" s="250">
        <f t="shared" si="463"/>
        <v>49.228999999999999</v>
      </c>
      <c r="AT67" s="392">
        <f t="shared" si="463"/>
        <v>35.164000000000001</v>
      </c>
      <c r="AU67" s="175">
        <f t="shared" si="463"/>
        <v>45.807000000000002</v>
      </c>
      <c r="AV67" s="250">
        <f>-AV34</f>
        <v>23.128</v>
      </c>
      <c r="AW67" s="250">
        <f>-AW34</f>
        <v>25.517000000000003</v>
      </c>
      <c r="AX67" s="392">
        <f>-AX34</f>
        <v>37.527999999999999</v>
      </c>
      <c r="AY67" s="175">
        <f t="shared" ref="AY67" si="464">-AY34</f>
        <v>41.224000000000004</v>
      </c>
      <c r="AZ67" s="250">
        <f>-AZ34</f>
        <v>28.337</v>
      </c>
      <c r="BA67" s="250">
        <f>IS!BA10*BA69</f>
        <v>40.179370000000006</v>
      </c>
      <c r="BB67" s="392">
        <f>IS!BB10*BB69</f>
        <v>50.186570000000003</v>
      </c>
      <c r="BC67" s="175">
        <f t="shared" ref="BC67" si="465">-BC34</f>
        <v>65.214999999999989</v>
      </c>
      <c r="BD67" s="1143">
        <f>IS!BD10*BD69</f>
        <v>75.931200000000004</v>
      </c>
      <c r="BE67" s="1143">
        <f>IS!BE10*BE69</f>
        <v>73.518741249999991</v>
      </c>
      <c r="BF67" s="1143">
        <f>IS!BF10*BF69</f>
        <v>75.674486478749998</v>
      </c>
      <c r="BG67" s="1144">
        <f>IS!BG10*BG69</f>
        <v>78.172568424187503</v>
      </c>
      <c r="BH67" s="1143">
        <f>IS!BH10*BH69</f>
        <v>74.104302327298115</v>
      </c>
      <c r="BI67" s="1143">
        <f>IS!BI10*BI69</f>
        <v>77.492262080603453</v>
      </c>
      <c r="BJ67" s="1143">
        <f>IS!BJ10*BJ69</f>
        <v>80.333951903658772</v>
      </c>
      <c r="BK67" s="1144">
        <f>IS!BK10*BK69</f>
        <v>83.682606171880707</v>
      </c>
      <c r="BL67" s="1143">
        <f>IS!BL10*BL69</f>
        <v>79.333775579796438</v>
      </c>
      <c r="BM67" s="1143">
        <f>IS!BM10*BM69</f>
        <v>82.690934829704759</v>
      </c>
      <c r="BN67" s="1143">
        <f>IS!BN10*BN69</f>
        <v>85.300132762564203</v>
      </c>
      <c r="BO67" s="1144">
        <f>IS!BO10*BO69</f>
        <v>88.328678815464997</v>
      </c>
      <c r="BP67" s="23"/>
      <c r="BQ67" s="252">
        <f t="shared" ref="BQ67:BW67" si="466">-BQ34</f>
        <v>85.456999999999994</v>
      </c>
      <c r="BR67" s="694">
        <f t="shared" si="466"/>
        <v>129.297</v>
      </c>
      <c r="BS67" s="694">
        <f t="shared" si="466"/>
        <v>141.81</v>
      </c>
      <c r="BT67" s="694">
        <f t="shared" si="466"/>
        <v>157.40799999999999</v>
      </c>
      <c r="BU67" s="694">
        <f t="shared" si="466"/>
        <v>56.094999999999999</v>
      </c>
      <c r="BV67" s="694">
        <f t="shared" si="466"/>
        <v>111.557</v>
      </c>
      <c r="BW67" s="694">
        <f t="shared" si="466"/>
        <v>122.996</v>
      </c>
      <c r="BX67" s="270">
        <f t="shared" ref="BX67:CC67" si="467">-BX34</f>
        <v>132.17599999999999</v>
      </c>
      <c r="BY67" s="270">
        <f t="shared" si="467"/>
        <v>123.07400000000001</v>
      </c>
      <c r="BZ67" s="270">
        <f t="shared" si="467"/>
        <v>177.91300000000001</v>
      </c>
      <c r="CA67" s="270">
        <f t="shared" si="467"/>
        <v>153.96</v>
      </c>
      <c r="CB67" s="270">
        <f t="shared" si="467"/>
        <v>127.39700000000001</v>
      </c>
      <c r="CC67" s="270">
        <f t="shared" si="467"/>
        <v>204.09800000000001</v>
      </c>
      <c r="CD67" s="270">
        <f t="shared" ref="CD67:CE67" si="468">-CD34</f>
        <v>290.58779615293747</v>
      </c>
      <c r="CE67" s="270">
        <f t="shared" si="468"/>
        <v>315.61312248344103</v>
      </c>
      <c r="CF67" s="270">
        <f t="shared" ref="CF67" si="469">-CF34</f>
        <v>335.65352198753044</v>
      </c>
      <c r="CG67" s="23"/>
      <c r="CH67" s="693">
        <f t="shared" ref="CH67:CN67" si="470">-CH34</f>
        <v>81.932999999999993</v>
      </c>
      <c r="CI67" s="694">
        <f t="shared" si="470"/>
        <v>146.66300000000001</v>
      </c>
      <c r="CJ67" s="694">
        <f t="shared" si="470"/>
        <v>144.19900000000001</v>
      </c>
      <c r="CK67" s="694">
        <f t="shared" si="470"/>
        <v>139.52800000000002</v>
      </c>
      <c r="CL67" s="694">
        <f t="shared" si="470"/>
        <v>51.039000000000001</v>
      </c>
      <c r="CM67" s="694">
        <f t="shared" si="470"/>
        <v>119.925</v>
      </c>
      <c r="CN67" s="270">
        <f t="shared" si="470"/>
        <v>122.738</v>
      </c>
      <c r="CO67" s="270">
        <f t="shared" ref="CO67:CT67" si="471">-CO34</f>
        <v>125.15599999999998</v>
      </c>
      <c r="CP67" s="270">
        <f t="shared" si="471"/>
        <v>152.928</v>
      </c>
      <c r="CQ67" s="270">
        <f t="shared" si="471"/>
        <v>153.55000000000001</v>
      </c>
      <c r="CR67" s="270">
        <f t="shared" si="471"/>
        <v>153.32799999999997</v>
      </c>
      <c r="CS67" s="270">
        <f t="shared" si="471"/>
        <v>132.60599999999999</v>
      </c>
      <c r="CT67" s="270">
        <f t="shared" si="471"/>
        <v>238.983</v>
      </c>
      <c r="CU67" s="270">
        <f t="shared" ref="CU67" si="472">-CU34</f>
        <v>301.47009848023561</v>
      </c>
      <c r="CV67" s="249">
        <f t="shared" ref="CV67" si="473">-CV34</f>
        <v>320.84259573593937</v>
      </c>
      <c r="CW67" s="25"/>
    </row>
    <row r="68" spans="1:101" ht="14.25" customHeight="1">
      <c r="A68" s="8"/>
      <c r="B68" s="25" t="s">
        <v>136</v>
      </c>
      <c r="C68" s="253"/>
      <c r="D68" s="393">
        <v>0</v>
      </c>
      <c r="E68" s="256">
        <v>0</v>
      </c>
      <c r="F68" s="256">
        <v>0</v>
      </c>
      <c r="G68" s="255">
        <v>0</v>
      </c>
      <c r="H68" s="393">
        <v>0</v>
      </c>
      <c r="I68" s="256">
        <v>0</v>
      </c>
      <c r="J68" s="256">
        <v>0</v>
      </c>
      <c r="K68" s="255">
        <v>0</v>
      </c>
      <c r="L68" s="393">
        <v>0</v>
      </c>
      <c r="M68" s="256">
        <v>0</v>
      </c>
      <c r="N68" s="256">
        <v>0</v>
      </c>
      <c r="O68" s="255">
        <v>0</v>
      </c>
      <c r="P68" s="393">
        <v>0</v>
      </c>
      <c r="Q68" s="256">
        <v>0</v>
      </c>
      <c r="R68" s="256">
        <v>0</v>
      </c>
      <c r="S68" s="255">
        <v>0</v>
      </c>
      <c r="T68" s="393">
        <v>0</v>
      </c>
      <c r="U68" s="256">
        <v>0</v>
      </c>
      <c r="V68" s="256">
        <v>0</v>
      </c>
      <c r="W68" s="255">
        <v>0</v>
      </c>
      <c r="X68" s="393">
        <v>0</v>
      </c>
      <c r="Y68" s="256">
        <v>0</v>
      </c>
      <c r="Z68" s="256">
        <v>0</v>
      </c>
      <c r="AA68" s="255">
        <v>0</v>
      </c>
      <c r="AB68" s="256">
        <v>0</v>
      </c>
      <c r="AC68" s="256">
        <v>0</v>
      </c>
      <c r="AD68" s="256">
        <v>0</v>
      </c>
      <c r="AE68" s="255">
        <v>0</v>
      </c>
      <c r="AF68" s="256">
        <v>0</v>
      </c>
      <c r="AG68" s="256">
        <v>0</v>
      </c>
      <c r="AH68" s="256">
        <v>0</v>
      </c>
      <c r="AI68" s="255">
        <v>0</v>
      </c>
      <c r="AJ68" s="256">
        <v>0</v>
      </c>
      <c r="AK68" s="256">
        <v>0</v>
      </c>
      <c r="AL68" s="256">
        <v>0</v>
      </c>
      <c r="AM68" s="255">
        <v>0</v>
      </c>
      <c r="AN68" s="256">
        <v>0</v>
      </c>
      <c r="AO68" s="256">
        <v>0</v>
      </c>
      <c r="AP68" s="256">
        <v>0</v>
      </c>
      <c r="AQ68" s="255">
        <v>0</v>
      </c>
      <c r="AR68" s="256">
        <v>0</v>
      </c>
      <c r="AS68" s="256">
        <v>0</v>
      </c>
      <c r="AT68" s="256">
        <v>0</v>
      </c>
      <c r="AU68" s="255">
        <v>0</v>
      </c>
      <c r="AV68" s="256">
        <v>0</v>
      </c>
      <c r="AW68" s="256">
        <v>0</v>
      </c>
      <c r="AX68" s="256">
        <v>0</v>
      </c>
      <c r="AY68" s="255">
        <v>0</v>
      </c>
      <c r="AZ68" s="256">
        <v>0</v>
      </c>
      <c r="BA68" s="256">
        <v>0</v>
      </c>
      <c r="BB68" s="256">
        <v>0</v>
      </c>
      <c r="BC68" s="255">
        <v>0</v>
      </c>
      <c r="BD68" s="1478">
        <v>-11.403200000000197</v>
      </c>
      <c r="BE68" s="256">
        <v>0</v>
      </c>
      <c r="BF68" s="256">
        <v>0</v>
      </c>
      <c r="BG68" s="257">
        <v>0</v>
      </c>
      <c r="BH68" s="256">
        <v>0</v>
      </c>
      <c r="BI68" s="256">
        <v>0</v>
      </c>
      <c r="BJ68" s="256">
        <v>0</v>
      </c>
      <c r="BK68" s="257">
        <v>0</v>
      </c>
      <c r="BL68" s="256">
        <v>0</v>
      </c>
      <c r="BM68" s="256">
        <v>0</v>
      </c>
      <c r="BN68" s="256">
        <v>0</v>
      </c>
      <c r="BO68" s="257">
        <v>0</v>
      </c>
      <c r="BP68" s="23"/>
      <c r="BQ68" s="270">
        <f>G68</f>
        <v>0</v>
      </c>
      <c r="BR68" s="270">
        <f>K68</f>
        <v>0</v>
      </c>
      <c r="BS68" s="270">
        <f>O68</f>
        <v>0</v>
      </c>
      <c r="BT68" s="270">
        <f>S68</f>
        <v>0</v>
      </c>
      <c r="BU68" s="270">
        <f>W68</f>
        <v>0</v>
      </c>
      <c r="BV68" s="270">
        <f>AA68</f>
        <v>0</v>
      </c>
      <c r="BW68" s="270">
        <f>AE68</f>
        <v>0</v>
      </c>
      <c r="BX68" s="270">
        <f>AI68</f>
        <v>0</v>
      </c>
      <c r="BY68" s="270">
        <f>AM68</f>
        <v>0</v>
      </c>
      <c r="BZ68" s="270">
        <f>AQ68</f>
        <v>0</v>
      </c>
      <c r="CA68" s="270">
        <f>AU68</f>
        <v>0</v>
      </c>
      <c r="CB68" s="270">
        <f>AY68</f>
        <v>0</v>
      </c>
      <c r="CC68" s="270">
        <f>BC68</f>
        <v>0</v>
      </c>
      <c r="CD68" s="270">
        <f>BG68</f>
        <v>0</v>
      </c>
      <c r="CE68" s="270">
        <f>BK68</f>
        <v>0</v>
      </c>
      <c r="CF68" s="270">
        <f>BO68</f>
        <v>0</v>
      </c>
      <c r="CG68" s="23"/>
      <c r="CH68" s="258">
        <v>0</v>
      </c>
      <c r="CI68" s="259">
        <v>0</v>
      </c>
      <c r="CJ68" s="259">
        <v>0</v>
      </c>
      <c r="CK68" s="259">
        <v>0</v>
      </c>
      <c r="CL68" s="259">
        <v>0</v>
      </c>
      <c r="CM68" s="259">
        <v>0</v>
      </c>
      <c r="CN68" s="259">
        <v>0</v>
      </c>
      <c r="CO68" s="259">
        <v>0</v>
      </c>
      <c r="CP68" s="259">
        <v>0</v>
      </c>
      <c r="CQ68" s="259">
        <v>0</v>
      </c>
      <c r="CR68" s="259">
        <v>0</v>
      </c>
      <c r="CS68" s="259">
        <v>0</v>
      </c>
      <c r="CT68" s="259">
        <v>0</v>
      </c>
      <c r="CU68" s="259">
        <v>0</v>
      </c>
      <c r="CV68" s="255">
        <v>0</v>
      </c>
      <c r="CW68" s="25"/>
    </row>
    <row r="69" spans="1:101" ht="14.25" customHeight="1">
      <c r="A69" s="11"/>
      <c r="B69" s="38" t="s">
        <v>137</v>
      </c>
      <c r="C69" s="39"/>
      <c r="D69" s="1141">
        <f>D67/IS!D10</f>
        <v>4.1141290118097765E-2</v>
      </c>
      <c r="E69" s="1140">
        <f>E67/IS!E10</f>
        <v>3.5830823916809938E-2</v>
      </c>
      <c r="F69" s="1140">
        <f>F67/IS!F10</f>
        <v>3.2471635394632013E-2</v>
      </c>
      <c r="G69" s="1142">
        <f>G67/IS!G10</f>
        <v>3.380161702538053E-2</v>
      </c>
      <c r="H69" s="1141">
        <f>H67/IS!H10</f>
        <v>3.6577522429782294E-2</v>
      </c>
      <c r="I69" s="1140">
        <f>I67/IS!I10</f>
        <v>4.9894919796279441E-2</v>
      </c>
      <c r="J69" s="1140">
        <f>J67/IS!J10</f>
        <v>6.4049155556297643E-2</v>
      </c>
      <c r="K69" s="1142">
        <f>K67/IS!K10</f>
        <v>6.8481804882208994E-2</v>
      </c>
      <c r="L69" s="1141">
        <f>L67/IS!L10</f>
        <v>6.0239674898006433E-2</v>
      </c>
      <c r="M69" s="1140">
        <f>M67/IS!M10</f>
        <v>6.6380131317543764E-2</v>
      </c>
      <c r="N69" s="1140">
        <f>N67/IS!N10</f>
        <v>5.0606464528020124E-2</v>
      </c>
      <c r="O69" s="1142">
        <f>O67/IS!O10</f>
        <v>5.3207322040856916E-2</v>
      </c>
      <c r="P69" s="1141">
        <f>P67/IS!P10</f>
        <v>6.5343560690590954E-2</v>
      </c>
      <c r="Q69" s="1140">
        <f>Q67/IS!Q10</f>
        <v>4.7024671204607758E-2</v>
      </c>
      <c r="R69" s="1140">
        <f>R67/IS!R10</f>
        <v>5.9759994901257399E-2</v>
      </c>
      <c r="S69" s="1142">
        <f>S67/IS!S10</f>
        <v>7.1707714289173816E-2</v>
      </c>
      <c r="T69" s="1141">
        <f>T67/IS!T10</f>
        <v>4.6656412817451406E-2</v>
      </c>
      <c r="U69" s="1140">
        <f>U67/IS!U10</f>
        <v>2.5373461288936444E-2</v>
      </c>
      <c r="V69" s="1140">
        <f>V67/IS!V10</f>
        <v>1.1026624470772848E-2</v>
      </c>
      <c r="W69" s="1142">
        <f>W67/IS!W10</f>
        <v>2.8672148355493345E-2</v>
      </c>
      <c r="X69" s="1141">
        <f>X67/IS!X10</f>
        <v>2.8490023765180776E-2</v>
      </c>
      <c r="Y69" s="1140">
        <f>Y67/IS!Y10</f>
        <v>2.6173231174428345E-2</v>
      </c>
      <c r="Z69" s="1140">
        <f>Z67/IS!Z10</f>
        <v>5.4318399533521224E-2</v>
      </c>
      <c r="AA69" s="1142">
        <f>AA67/IS!AA10</f>
        <v>4.9043494071351584E-2</v>
      </c>
      <c r="AB69" s="1141">
        <f>AB67/IS!AB10</f>
        <v>3.5067755290293531E-2</v>
      </c>
      <c r="AC69" s="1140">
        <f>AC67/IS!AC10</f>
        <v>4.3173828371987161E-2</v>
      </c>
      <c r="AD69" s="1140">
        <f>AD67/IS!AD10</f>
        <v>4.8788629664521271E-2</v>
      </c>
      <c r="AE69" s="1142">
        <f>AE67/IS!AE10</f>
        <v>3.676825845442331E-2</v>
      </c>
      <c r="AF69" s="1141">
        <f>AF67/IS!AF10</f>
        <v>3.9022741791629761E-2</v>
      </c>
      <c r="AG69" s="1140">
        <f>AG67/IS!AG10</f>
        <v>4.4641190708256923E-2</v>
      </c>
      <c r="AH69" s="1140">
        <f>AH67/IS!AH10</f>
        <v>5.744876476151714E-2</v>
      </c>
      <c r="AI69" s="1142">
        <f>AI67/IS!AI10</f>
        <v>5.3975457721551011E-2</v>
      </c>
      <c r="AJ69" s="1141">
        <f>AJ67/IS!AJ10</f>
        <v>2.9365056402639943E-2</v>
      </c>
      <c r="AK69" s="1140">
        <f>AK67/IS!AK10</f>
        <v>3.9710276829730745E-2</v>
      </c>
      <c r="AL69" s="1140">
        <f>AL67/IS!AL10</f>
        <v>4.4599894388969004E-2</v>
      </c>
      <c r="AM69" s="1142">
        <f>AM67/IS!AM10</f>
        <v>7.1605422535107419E-2</v>
      </c>
      <c r="AN69" s="1141">
        <f>AN67/IS!AN10</f>
        <v>7.6599950973993927E-2</v>
      </c>
      <c r="AO69" s="1140">
        <f>AO67/IS!AO10</f>
        <v>6.3435156708939497E-2</v>
      </c>
      <c r="AP69" s="1140">
        <f>AP67/IS!AP10</f>
        <v>5.814480757181021E-2</v>
      </c>
      <c r="AQ69" s="1142">
        <f>AQ67/IS!AQ10</f>
        <v>5.3321657924438159E-2</v>
      </c>
      <c r="AR69" s="1141">
        <f>AR67/IS!AR10</f>
        <v>3.0777760218449558E-2</v>
      </c>
      <c r="AS69" s="1140">
        <f>AS67/IS!AS10</f>
        <v>5.9960853524705274E-2</v>
      </c>
      <c r="AT69" s="1140">
        <f>AT67/IS!AT10</f>
        <v>4.0729008009358733E-2</v>
      </c>
      <c r="AU69" s="1142">
        <f>AU67/IS!AU10</f>
        <v>4.6802871499772157E-2</v>
      </c>
      <c r="AV69" s="1141">
        <f>AV67/IS!AV10</f>
        <v>3.0058653884893864E-2</v>
      </c>
      <c r="AW69" s="1140">
        <f>AW67/IS!AW10</f>
        <v>3.2765939961426162E-2</v>
      </c>
      <c r="AX69" s="1140">
        <f>AX67/IS!AX10</f>
        <v>4.3155920426959336E-2</v>
      </c>
      <c r="AY69" s="1142">
        <f>AY67/IS!AY10</f>
        <v>4.1075184606171843E-2</v>
      </c>
      <c r="AZ69" s="1141">
        <f>AZ67/IS!AZ10</f>
        <v>2.8784629777672589E-2</v>
      </c>
      <c r="BA69" s="1140">
        <v>3.5000000000000003E-2</v>
      </c>
      <c r="BB69" s="1140">
        <f t="shared" ref="BB69:BG69" si="474">BA69</f>
        <v>3.5000000000000003E-2</v>
      </c>
      <c r="BC69" s="1142">
        <f>BC67/IS!BC10</f>
        <v>4.2315253995341195E-2</v>
      </c>
      <c r="BD69" s="1477">
        <v>0.05</v>
      </c>
      <c r="BE69" s="1123">
        <f t="shared" si="474"/>
        <v>0.05</v>
      </c>
      <c r="BF69" s="1123">
        <f t="shared" si="474"/>
        <v>0.05</v>
      </c>
      <c r="BG69" s="1123">
        <f t="shared" si="474"/>
        <v>0.05</v>
      </c>
      <c r="BH69" s="1175">
        <f t="shared" ref="BH69" si="475">BG69</f>
        <v>0.05</v>
      </c>
      <c r="BI69" s="1123">
        <f t="shared" ref="BI69" si="476">BH69</f>
        <v>0.05</v>
      </c>
      <c r="BJ69" s="1123">
        <f t="shared" ref="BJ69" si="477">BI69</f>
        <v>0.05</v>
      </c>
      <c r="BK69" s="1123">
        <f t="shared" ref="BK69" si="478">BJ69</f>
        <v>0.05</v>
      </c>
      <c r="BL69" s="1175">
        <f t="shared" ref="BL69" si="479">BK69</f>
        <v>0.05</v>
      </c>
      <c r="BM69" s="1123">
        <f t="shared" ref="BM69" si="480">BL69</f>
        <v>0.05</v>
      </c>
      <c r="BN69" s="1123">
        <f t="shared" ref="BN69" si="481">BM69</f>
        <v>0.05</v>
      </c>
      <c r="BO69" s="1123">
        <f t="shared" ref="BO69" si="482">BN69</f>
        <v>0.05</v>
      </c>
      <c r="BP69" s="176"/>
      <c r="BQ69" s="94">
        <f>BQ67/IS!BQ10</f>
        <v>3.5773908995616222E-2</v>
      </c>
      <c r="BR69" s="94">
        <f>BR67/IS!BR10</f>
        <v>5.5186286849865492E-2</v>
      </c>
      <c r="BS69" s="94">
        <f>BS67/IS!BS10</f>
        <v>5.7535923944332851E-2</v>
      </c>
      <c r="BT69" s="94">
        <f>BT67/IS!BT10</f>
        <v>6.0941620198139243E-2</v>
      </c>
      <c r="BU69" s="94">
        <f>BU67/IS!BU10</f>
        <v>2.7839980783241718E-2</v>
      </c>
      <c r="BV69" s="94">
        <f>BV67/IS!BV10</f>
        <v>4.0397203986379887E-2</v>
      </c>
      <c r="BW69" s="94">
        <f>BW67/IS!BW10</f>
        <v>4.1090160757954373E-2</v>
      </c>
      <c r="BX69" s="94">
        <f>BX67/IS!BX10</f>
        <v>4.8933377067921641E-2</v>
      </c>
      <c r="BY69" s="94">
        <f>BY67/IS!BY10</f>
        <v>4.6730650429872317E-2</v>
      </c>
      <c r="BZ69" s="1389">
        <f>BZ67/IS!BZ10</f>
        <v>6.2103698966724422E-2</v>
      </c>
      <c r="CA69" s="94">
        <f>CA67/IS!CA10</f>
        <v>4.4819760285896279E-2</v>
      </c>
      <c r="CB69" s="94">
        <f>CB67/IS!CB10</f>
        <v>3.7235244310165783E-2</v>
      </c>
      <c r="CC69" s="94">
        <f>CC67/IS!CC10</f>
        <v>3.9960426846543211E-2</v>
      </c>
      <c r="CD69" s="1389">
        <f>CD67/IS!CD10</f>
        <v>4.7904825936094762E-2</v>
      </c>
      <c r="CE69" s="1389">
        <f>CE67/IS!CE10</f>
        <v>0.05</v>
      </c>
      <c r="CF69" s="1389">
        <f>CF67/IS!CF10</f>
        <v>5.0000000000000017E-2</v>
      </c>
      <c r="CG69" s="176"/>
      <c r="CH69" s="153">
        <f>CH67/IS!CH10</f>
        <v>3.4645468853202119E-2</v>
      </c>
      <c r="CI69" s="94">
        <f>CI67/IS!CI10</f>
        <v>6.0791491852216613E-2</v>
      </c>
      <c r="CJ69" s="94">
        <f>CJ67/IS!CJ10</f>
        <v>5.8799974718282147E-2</v>
      </c>
      <c r="CK69" s="94">
        <f>CK67/IS!CK10</f>
        <v>5.7052875971493201E-2</v>
      </c>
      <c r="CL69" s="94">
        <f>CL67/IS!CL10</f>
        <v>2.3835275591433704E-2</v>
      </c>
      <c r="CM69" s="94">
        <f>CM67/IS!CM10</f>
        <v>4.1539315225644122E-2</v>
      </c>
      <c r="CN69" s="94">
        <f>CN67/IS!CN10</f>
        <v>4.2136391756045749E-2</v>
      </c>
      <c r="CO69" s="94">
        <f>CO67/IS!CO10</f>
        <v>4.6783477084858124E-2</v>
      </c>
      <c r="CP69" s="94">
        <f>CP67/IS!CP10</f>
        <v>5.7931815108230075E-2</v>
      </c>
      <c r="CQ69" s="94">
        <f>CQ67/IS!CQ10</f>
        <v>5.1038367357249634E-2</v>
      </c>
      <c r="CR69" s="94">
        <f>CR67/IS!CR10</f>
        <v>4.4669027409771488E-2</v>
      </c>
      <c r="CS69" s="94">
        <f>CS67/IS!CS10</f>
        <v>3.6465994523748435E-2</v>
      </c>
      <c r="CT69" s="1211">
        <f>CT67/IS!CT10</f>
        <v>4.2360269409207688E-2</v>
      </c>
      <c r="CU69" s="1389">
        <f>CU67/IS!CU10</f>
        <v>4.9999999999999996E-2</v>
      </c>
      <c r="CV69" s="1322">
        <f>CV67/IS!CV10</f>
        <v>0.05</v>
      </c>
      <c r="CW69" s="26"/>
    </row>
    <row r="70" spans="1:101" ht="14.25" customHeight="1">
      <c r="A70" s="8"/>
      <c r="B70" s="18" t="s">
        <v>138</v>
      </c>
      <c r="C70" s="19"/>
      <c r="D70" s="269">
        <f t="shared" ref="D70:AP70" si="483">D16+D39</f>
        <v>0</v>
      </c>
      <c r="E70" s="268">
        <f t="shared" si="483"/>
        <v>0</v>
      </c>
      <c r="F70" s="268">
        <f t="shared" si="483"/>
        <v>0</v>
      </c>
      <c r="G70" s="267">
        <f t="shared" si="483"/>
        <v>0</v>
      </c>
      <c r="H70" s="269">
        <f t="shared" si="483"/>
        <v>0</v>
      </c>
      <c r="I70" s="268">
        <f t="shared" si="483"/>
        <v>0</v>
      </c>
      <c r="J70" s="268">
        <f t="shared" si="483"/>
        <v>0</v>
      </c>
      <c r="K70" s="267">
        <f t="shared" si="483"/>
        <v>1.7350000000000001</v>
      </c>
      <c r="L70" s="269">
        <f t="shared" si="483"/>
        <v>0</v>
      </c>
      <c r="M70" s="268">
        <f t="shared" si="483"/>
        <v>0</v>
      </c>
      <c r="N70" s="268">
        <f t="shared" si="483"/>
        <v>0</v>
      </c>
      <c r="O70" s="267">
        <f t="shared" si="483"/>
        <v>0</v>
      </c>
      <c r="P70" s="269">
        <f t="shared" si="483"/>
        <v>0</v>
      </c>
      <c r="Q70" s="268">
        <f t="shared" si="483"/>
        <v>0</v>
      </c>
      <c r="R70" s="268">
        <f t="shared" si="483"/>
        <v>0</v>
      </c>
      <c r="S70" s="267">
        <f t="shared" si="483"/>
        <v>0</v>
      </c>
      <c r="T70" s="269">
        <f t="shared" si="483"/>
        <v>0</v>
      </c>
      <c r="U70" s="268">
        <f t="shared" si="483"/>
        <v>0</v>
      </c>
      <c r="V70" s="268">
        <f t="shared" si="483"/>
        <v>0</v>
      </c>
      <c r="W70" s="267">
        <f t="shared" si="483"/>
        <v>0</v>
      </c>
      <c r="X70" s="269">
        <f t="shared" si="483"/>
        <v>0</v>
      </c>
      <c r="Y70" s="268">
        <f t="shared" si="483"/>
        <v>0</v>
      </c>
      <c r="Z70" s="268">
        <f t="shared" si="483"/>
        <v>0</v>
      </c>
      <c r="AA70" s="267">
        <f t="shared" si="483"/>
        <v>0</v>
      </c>
      <c r="AB70" s="268">
        <f t="shared" si="483"/>
        <v>0</v>
      </c>
      <c r="AC70" s="268">
        <f t="shared" si="483"/>
        <v>0</v>
      </c>
      <c r="AD70" s="268">
        <f t="shared" si="483"/>
        <v>0</v>
      </c>
      <c r="AE70" s="267">
        <f t="shared" si="483"/>
        <v>0</v>
      </c>
      <c r="AF70" s="268">
        <f>AF16+AF39</f>
        <v>0</v>
      </c>
      <c r="AG70" s="268">
        <f t="shared" si="483"/>
        <v>0</v>
      </c>
      <c r="AH70" s="268">
        <f t="shared" ref="AH70:AM70" si="484">AH16+AH39</f>
        <v>0</v>
      </c>
      <c r="AI70" s="267">
        <f t="shared" si="484"/>
        <v>0</v>
      </c>
      <c r="AJ70" s="268">
        <f t="shared" si="484"/>
        <v>0</v>
      </c>
      <c r="AK70" s="268">
        <f t="shared" si="484"/>
        <v>0</v>
      </c>
      <c r="AL70" s="268">
        <f t="shared" si="484"/>
        <v>0</v>
      </c>
      <c r="AM70" s="267">
        <f t="shared" si="484"/>
        <v>0</v>
      </c>
      <c r="AN70" s="268">
        <f t="shared" si="483"/>
        <v>0</v>
      </c>
      <c r="AO70" s="268">
        <f t="shared" si="483"/>
        <v>0</v>
      </c>
      <c r="AP70" s="268">
        <f t="shared" si="483"/>
        <v>0</v>
      </c>
      <c r="AQ70" s="267">
        <f>AQ16+AQ39</f>
        <v>0</v>
      </c>
      <c r="AR70" s="268">
        <f>AR16+AR39</f>
        <v>0</v>
      </c>
      <c r="AS70" s="268">
        <f t="shared" ref="AS70:AU70" si="485">AS16+AS39</f>
        <v>0</v>
      </c>
      <c r="AT70" s="268">
        <f t="shared" si="485"/>
        <v>0</v>
      </c>
      <c r="AU70" s="267">
        <f t="shared" si="485"/>
        <v>0</v>
      </c>
      <c r="AV70" s="268">
        <f>AV16+AV39</f>
        <v>0</v>
      </c>
      <c r="AW70" s="268">
        <f>AW16+AW39</f>
        <v>0</v>
      </c>
      <c r="AX70" s="268">
        <f>AX16+AX39</f>
        <v>0</v>
      </c>
      <c r="AY70" s="267">
        <f t="shared" ref="AY70" si="486">AY16+AY39</f>
        <v>0</v>
      </c>
      <c r="AZ70" s="268">
        <f>AZ16+AZ39</f>
        <v>0</v>
      </c>
      <c r="BA70" s="268">
        <f t="shared" ref="BA70:BG70" si="487">BA16+BA39</f>
        <v>0</v>
      </c>
      <c r="BB70" s="268">
        <f t="shared" si="487"/>
        <v>0</v>
      </c>
      <c r="BC70" s="267">
        <f t="shared" si="487"/>
        <v>0</v>
      </c>
      <c r="BD70" s="268">
        <f t="shared" si="487"/>
        <v>0</v>
      </c>
      <c r="BE70" s="268">
        <f t="shared" si="487"/>
        <v>0</v>
      </c>
      <c r="BF70" s="268">
        <f t="shared" si="487"/>
        <v>0</v>
      </c>
      <c r="BG70" s="267">
        <f t="shared" si="487"/>
        <v>0</v>
      </c>
      <c r="BH70" s="268">
        <f t="shared" ref="BH70:BK70" si="488">BH16+BH39</f>
        <v>0</v>
      </c>
      <c r="BI70" s="268">
        <f t="shared" si="488"/>
        <v>0</v>
      </c>
      <c r="BJ70" s="268">
        <f t="shared" si="488"/>
        <v>0</v>
      </c>
      <c r="BK70" s="267">
        <f t="shared" si="488"/>
        <v>0</v>
      </c>
      <c r="BL70" s="268">
        <f t="shared" ref="BL70:BO70" si="489">BL16+BL39</f>
        <v>0</v>
      </c>
      <c r="BM70" s="268">
        <f t="shared" si="489"/>
        <v>0</v>
      </c>
      <c r="BN70" s="268">
        <f t="shared" si="489"/>
        <v>0</v>
      </c>
      <c r="BO70" s="267">
        <f t="shared" si="489"/>
        <v>0</v>
      </c>
      <c r="BP70" s="23"/>
      <c r="BQ70" s="266">
        <f t="shared" ref="BQ70:BZ70" si="490">BQ16+BQ39</f>
        <v>0</v>
      </c>
      <c r="BR70" s="266">
        <f t="shared" si="490"/>
        <v>1.7350000000000001</v>
      </c>
      <c r="BS70" s="266">
        <f t="shared" si="490"/>
        <v>0</v>
      </c>
      <c r="BT70" s="266">
        <f t="shared" si="490"/>
        <v>0</v>
      </c>
      <c r="BU70" s="266">
        <f t="shared" si="490"/>
        <v>0</v>
      </c>
      <c r="BV70" s="266">
        <f t="shared" si="490"/>
        <v>0</v>
      </c>
      <c r="BW70" s="266">
        <f t="shared" si="490"/>
        <v>0</v>
      </c>
      <c r="BX70" s="268">
        <f t="shared" si="490"/>
        <v>0</v>
      </c>
      <c r="BY70" s="268">
        <f t="shared" si="490"/>
        <v>0</v>
      </c>
      <c r="BZ70" s="268">
        <f t="shared" si="490"/>
        <v>0</v>
      </c>
      <c r="CA70" s="268">
        <f t="shared" ref="CA70:CF70" si="491">CA16+CA39</f>
        <v>0</v>
      </c>
      <c r="CB70" s="268">
        <f t="shared" si="491"/>
        <v>0</v>
      </c>
      <c r="CC70" s="268">
        <f t="shared" si="491"/>
        <v>0</v>
      </c>
      <c r="CD70" s="268">
        <f t="shared" si="491"/>
        <v>0</v>
      </c>
      <c r="CE70" s="268">
        <f t="shared" si="491"/>
        <v>0</v>
      </c>
      <c r="CF70" s="268">
        <f t="shared" si="491"/>
        <v>0</v>
      </c>
      <c r="CG70" s="23"/>
      <c r="CH70" s="330">
        <f t="shared" ref="CH70:CP70" si="492">CH16+CH39</f>
        <v>0</v>
      </c>
      <c r="CI70" s="266">
        <f t="shared" si="492"/>
        <v>1.7350000000000001</v>
      </c>
      <c r="CJ70" s="266">
        <f t="shared" si="492"/>
        <v>0</v>
      </c>
      <c r="CK70" s="266">
        <f t="shared" si="492"/>
        <v>0</v>
      </c>
      <c r="CL70" s="266">
        <f t="shared" si="492"/>
        <v>0</v>
      </c>
      <c r="CM70" s="266">
        <f t="shared" si="492"/>
        <v>0</v>
      </c>
      <c r="CN70" s="268">
        <f t="shared" si="492"/>
        <v>0</v>
      </c>
      <c r="CO70" s="268">
        <f t="shared" si="492"/>
        <v>0</v>
      </c>
      <c r="CP70" s="268">
        <f t="shared" si="492"/>
        <v>0</v>
      </c>
      <c r="CQ70" s="268">
        <f t="shared" ref="CQ70:CV70" si="493">CQ16+CQ39</f>
        <v>0</v>
      </c>
      <c r="CR70" s="268">
        <f t="shared" si="493"/>
        <v>0</v>
      </c>
      <c r="CS70" s="268">
        <f t="shared" si="493"/>
        <v>0</v>
      </c>
      <c r="CT70" s="268">
        <f t="shared" si="493"/>
        <v>0</v>
      </c>
      <c r="CU70" s="268">
        <f t="shared" si="493"/>
        <v>0</v>
      </c>
      <c r="CV70" s="267">
        <f t="shared" si="493"/>
        <v>0</v>
      </c>
      <c r="CW70" s="25"/>
    </row>
    <row r="71" spans="1:101" ht="14.25" customHeight="1">
      <c r="A71" s="8"/>
      <c r="B71" s="26" t="s">
        <v>139</v>
      </c>
      <c r="C71" s="253"/>
      <c r="D71" s="393">
        <v>1827.441</v>
      </c>
      <c r="E71" s="256">
        <v>1841.1310000000001</v>
      </c>
      <c r="F71" s="256">
        <v>1843.827</v>
      </c>
      <c r="G71" s="500">
        <v>1860.8140000000001</v>
      </c>
      <c r="H71" s="393">
        <v>1867.1479999999999</v>
      </c>
      <c r="I71" s="256">
        <v>1886.0630000000001</v>
      </c>
      <c r="J71" s="256">
        <v>1918.663</v>
      </c>
      <c r="K71" s="500">
        <v>1913.248</v>
      </c>
      <c r="L71" s="393">
        <v>1948.9</v>
      </c>
      <c r="M71" s="256">
        <v>1898.0450000000001</v>
      </c>
      <c r="N71" s="256">
        <v>1923.587</v>
      </c>
      <c r="O71" s="500">
        <v>1924.6420000000001</v>
      </c>
      <c r="P71" s="393">
        <v>1965.471</v>
      </c>
      <c r="Q71" s="256">
        <v>1970.752</v>
      </c>
      <c r="R71" s="256">
        <v>1982.4570000000001</v>
      </c>
      <c r="S71" s="500">
        <v>2019.489</v>
      </c>
      <c r="T71" s="393">
        <v>2035.7919999999999</v>
      </c>
      <c r="U71" s="256">
        <v>2028.213</v>
      </c>
      <c r="V71" s="256">
        <v>2021.518</v>
      </c>
      <c r="W71" s="500">
        <v>2030.114</v>
      </c>
      <c r="X71" s="393">
        <v>2040.9480000000001</v>
      </c>
      <c r="Y71" s="256">
        <v>2040.067</v>
      </c>
      <c r="Z71" s="256">
        <v>2073.788</v>
      </c>
      <c r="AA71" s="500">
        <v>2101.5450000000001</v>
      </c>
      <c r="AB71" s="256">
        <v>2123.431</v>
      </c>
      <c r="AC71" s="256">
        <v>2100.4699999999998</v>
      </c>
      <c r="AD71" s="256">
        <v>2125.8020000000001</v>
      </c>
      <c r="AE71" s="501">
        <v>2136.9009999999998</v>
      </c>
      <c r="AF71" s="256">
        <v>2159.9569999999999</v>
      </c>
      <c r="AG71" s="256">
        <v>2184.654</v>
      </c>
      <c r="AH71" s="256">
        <v>2211.4639999999999</v>
      </c>
      <c r="AI71" s="257">
        <v>2228.1509999999998</v>
      </c>
      <c r="AJ71" s="256">
        <v>2244.2310000000002</v>
      </c>
      <c r="AK71" s="256">
        <v>2257.5680000000002</v>
      </c>
      <c r="AL71" s="256">
        <v>2258.2820000000002</v>
      </c>
      <c r="AM71" s="257">
        <v>2292.8939999999998</v>
      </c>
      <c r="AN71" s="256">
        <v>2329.5360000000001</v>
      </c>
      <c r="AO71" s="256">
        <v>2367.3000000000002</v>
      </c>
      <c r="AP71" s="256">
        <v>2453.4690000000001</v>
      </c>
      <c r="AQ71" s="257">
        <f>AP71+AQ67+AQ68-AQ70</f>
        <v>2496.886</v>
      </c>
      <c r="AR71" s="256">
        <v>2497.4839999999999</v>
      </c>
      <c r="AS71" s="256">
        <v>2536.0430000000001</v>
      </c>
      <c r="AT71" s="256">
        <v>2566.386</v>
      </c>
      <c r="AU71" s="257">
        <v>2602.0949999999998</v>
      </c>
      <c r="AV71" s="256">
        <v>2613.1060000000002</v>
      </c>
      <c r="AW71" s="256">
        <v>2633.373</v>
      </c>
      <c r="AX71" s="256">
        <v>2663.232</v>
      </c>
      <c r="AY71" s="257">
        <v>2676.8780000000002</v>
      </c>
      <c r="AZ71" s="256">
        <v>2700.8910000000001</v>
      </c>
      <c r="BA71" s="256">
        <v>3201.2150000000001</v>
      </c>
      <c r="BB71" s="256">
        <v>3255.8890000000001</v>
      </c>
      <c r="BC71" s="257">
        <v>3304.4270000000001</v>
      </c>
      <c r="BD71" s="250">
        <f t="shared" ref="BD71:BG71" si="494">BC71+BD67+BD68-BD70</f>
        <v>3368.9549999999999</v>
      </c>
      <c r="BE71" s="250">
        <f t="shared" si="494"/>
        <v>3442.4737412499999</v>
      </c>
      <c r="BF71" s="250">
        <f t="shared" si="494"/>
        <v>3518.14822772875</v>
      </c>
      <c r="BG71" s="251">
        <f t="shared" si="494"/>
        <v>3596.3207961529374</v>
      </c>
      <c r="BH71" s="1392">
        <f t="shared" ref="BH71" si="495">BG71+BH67+BH68-BH70</f>
        <v>3670.4250984802356</v>
      </c>
      <c r="BI71" s="1392">
        <f t="shared" ref="BI71" si="496">BH71+BI67+BI68-BI70</f>
        <v>3747.9173605608389</v>
      </c>
      <c r="BJ71" s="1392">
        <f t="shared" ref="BJ71" si="497">BI71+BJ67+BJ68-BJ70</f>
        <v>3828.2513124644975</v>
      </c>
      <c r="BK71" s="1393">
        <f t="shared" ref="BK71" si="498">BJ71+BK67+BK68-BK70</f>
        <v>3911.9339186363782</v>
      </c>
      <c r="BL71" s="1392">
        <f t="shared" ref="BL71" si="499">BK71+BL67+BL68-BL70</f>
        <v>3991.2676942161747</v>
      </c>
      <c r="BM71" s="1392">
        <f t="shared" ref="BM71" si="500">BL71+BM67+BM68-BM70</f>
        <v>4073.9586290458797</v>
      </c>
      <c r="BN71" s="1392">
        <f t="shared" ref="BN71" si="501">BM71+BN67+BN68-BN70</f>
        <v>4159.2587618084435</v>
      </c>
      <c r="BO71" s="1393">
        <f t="shared" ref="BO71" si="502">BN71+BO67+BO68-BO70</f>
        <v>4247.5874406239082</v>
      </c>
      <c r="BP71" s="23"/>
      <c r="BQ71" s="270">
        <f>G71</f>
        <v>1860.8140000000001</v>
      </c>
      <c r="BR71" s="270">
        <f>K71</f>
        <v>1913.248</v>
      </c>
      <c r="BS71" s="270">
        <f>O71</f>
        <v>1924.6420000000001</v>
      </c>
      <c r="BT71" s="270">
        <f>S71</f>
        <v>2019.489</v>
      </c>
      <c r="BU71" s="270">
        <f>W71</f>
        <v>2030.114</v>
      </c>
      <c r="BV71" s="270">
        <f>AA71</f>
        <v>2101.5450000000001</v>
      </c>
      <c r="BW71" s="270">
        <f>AE71</f>
        <v>2136.9009999999998</v>
      </c>
      <c r="BX71" s="270">
        <f>AI71</f>
        <v>2228.1509999999998</v>
      </c>
      <c r="BY71" s="270">
        <f>AM71</f>
        <v>2292.8939999999998</v>
      </c>
      <c r="BZ71" s="270">
        <f>AQ71</f>
        <v>2496.886</v>
      </c>
      <c r="CA71" s="270">
        <f>AU71</f>
        <v>2602.0949999999998</v>
      </c>
      <c r="CB71" s="270">
        <f>AY71</f>
        <v>2676.8780000000002</v>
      </c>
      <c r="CC71" s="270">
        <f>BC71</f>
        <v>3304.4270000000001</v>
      </c>
      <c r="CD71" s="270">
        <f>BG71</f>
        <v>3596.3207961529374</v>
      </c>
      <c r="CE71" s="270">
        <f>BK71</f>
        <v>3911.9339186363782</v>
      </c>
      <c r="CF71" s="270">
        <f>BO71</f>
        <v>4247.5874406239082</v>
      </c>
      <c r="CG71" s="23"/>
      <c r="CH71" s="271">
        <f>H71</f>
        <v>1867.1479999999999</v>
      </c>
      <c r="CI71" s="270">
        <f>L71</f>
        <v>1948.9</v>
      </c>
      <c r="CJ71" s="270">
        <f>P71</f>
        <v>1965.471</v>
      </c>
      <c r="CK71" s="270">
        <f>T71</f>
        <v>2035.7919999999999</v>
      </c>
      <c r="CL71" s="270">
        <f>X71</f>
        <v>2040.9480000000001</v>
      </c>
      <c r="CM71" s="270">
        <f>AB71</f>
        <v>2123.431</v>
      </c>
      <c r="CN71" s="270">
        <f>AF71</f>
        <v>2159.9569999999999</v>
      </c>
      <c r="CO71" s="270">
        <f>AJ71</f>
        <v>2244.2310000000002</v>
      </c>
      <c r="CP71" s="270">
        <f>AN71</f>
        <v>2329.5360000000001</v>
      </c>
      <c r="CQ71" s="270">
        <f>AR71</f>
        <v>2497.4839999999999</v>
      </c>
      <c r="CR71" s="270">
        <f>AV71</f>
        <v>2613.1060000000002</v>
      </c>
      <c r="CS71" s="270">
        <f>AZ71</f>
        <v>2700.8910000000001</v>
      </c>
      <c r="CT71" s="270">
        <f>BD71</f>
        <v>3368.9549999999999</v>
      </c>
      <c r="CU71" s="270">
        <f>BH71</f>
        <v>3670.4250984802356</v>
      </c>
      <c r="CV71" s="249">
        <f>BL71</f>
        <v>3991.2676942161747</v>
      </c>
      <c r="CW71" s="25"/>
    </row>
    <row r="72" spans="1:101" ht="14.25" customHeight="1">
      <c r="A72" s="8"/>
      <c r="B72" s="38" t="s">
        <v>140</v>
      </c>
      <c r="C72" s="261"/>
      <c r="D72" s="153">
        <f>D71/BS!D27</f>
        <v>0.39622452508436978</v>
      </c>
      <c r="E72" s="94">
        <f>E71/BS!E27</f>
        <v>0.401531643719999</v>
      </c>
      <c r="F72" s="94">
        <f>F71/BS!F27</f>
        <v>0.39301396886500173</v>
      </c>
      <c r="G72" s="95">
        <f>G71/BS!G27</f>
        <v>0.40600661850392661</v>
      </c>
      <c r="H72" s="153">
        <f>H71/BS!H27</f>
        <v>0.42685688602521432</v>
      </c>
      <c r="I72" s="94">
        <f>I71/BS!I27</f>
        <v>0.42832486288271177</v>
      </c>
      <c r="J72" s="94">
        <f>J71/BS!J27</f>
        <v>0.44700666107984938</v>
      </c>
      <c r="K72" s="95">
        <f>K71/BS!K27</f>
        <v>0.47988951681414738</v>
      </c>
      <c r="L72" s="153">
        <f>L71/BS!L27</f>
        <v>0.50967397236844758</v>
      </c>
      <c r="M72" s="94">
        <f>M71/BS!M27</f>
        <v>0.51483911252304237</v>
      </c>
      <c r="N72" s="94">
        <f>N71/BS!N27</f>
        <v>0.60750601556926276</v>
      </c>
      <c r="O72" s="95">
        <f>O71/BS!O27</f>
        <v>0.64782213856749815</v>
      </c>
      <c r="P72" s="153">
        <f>P71/BS!P27</f>
        <v>0.62695589680577923</v>
      </c>
      <c r="Q72" s="94">
        <f>Q71/BS!Q27</f>
        <v>0.65339184871495037</v>
      </c>
      <c r="R72" s="94">
        <f>R71/BS!R27</f>
        <v>0.64113093746210137</v>
      </c>
      <c r="S72" s="95">
        <f>S71/BS!S27</f>
        <v>0.65334656317454076</v>
      </c>
      <c r="T72" s="153">
        <f>T71/BS!T27</f>
        <v>0.69738249308883637</v>
      </c>
      <c r="U72" s="94">
        <f>U71/BS!U27</f>
        <v>0.7053822175402622</v>
      </c>
      <c r="V72" s="94">
        <f>V71/BS!V27</f>
        <v>0.61628809161529452</v>
      </c>
      <c r="W72" s="95">
        <f>W71/BS!W27</f>
        <v>0.60251373609658909</v>
      </c>
      <c r="X72" s="153">
        <f>X71/BS!X27</f>
        <v>0.55188052469194226</v>
      </c>
      <c r="Y72" s="94">
        <f>Y71/BS!Y27</f>
        <v>0.51935250071472261</v>
      </c>
      <c r="Z72" s="94">
        <f>Z71/BS!Z27</f>
        <v>0.50530059443459507</v>
      </c>
      <c r="AA72" s="95">
        <f>AA71/BS!AA27</f>
        <v>0.48547633298689646</v>
      </c>
      <c r="AB72" s="94">
        <f>AB71/BS!AB27</f>
        <v>0.46192623080094108</v>
      </c>
      <c r="AC72" s="94">
        <f>AC71/BS!AC27</f>
        <v>0.40703635513455444</v>
      </c>
      <c r="AD72" s="94">
        <f>AD71/BS!AD27</f>
        <v>0.40480818283800013</v>
      </c>
      <c r="AE72" s="95">
        <f>AE71/BS!AE27</f>
        <v>0.40489745880493816</v>
      </c>
      <c r="AF72" s="94">
        <f>AF71/BS!AF27</f>
        <v>0.40925065092990798</v>
      </c>
      <c r="AG72" s="94">
        <f>AG71/BS!AG27</f>
        <v>0.40363196975883553</v>
      </c>
      <c r="AH72" s="94">
        <f>AH71/BS!AH27</f>
        <v>0.40528077627513875</v>
      </c>
      <c r="AI72" s="95">
        <f>AI71/BS!AI27</f>
        <v>0.39644367153842991</v>
      </c>
      <c r="AJ72" s="94">
        <f>AJ71/BS!AJ27</f>
        <v>0.39256714586181668</v>
      </c>
      <c r="AK72" s="94">
        <f>AK71/BS!AK27</f>
        <v>0.38650129874220945</v>
      </c>
      <c r="AL72" s="94">
        <f>AL71/BS!AL27</f>
        <v>0.36788069512623833</v>
      </c>
      <c r="AM72" s="95">
        <f>AM71/BS!AM27</f>
        <v>0.35928922317546125</v>
      </c>
      <c r="AN72" s="94">
        <f>AN71/BS!AN27</f>
        <v>0.36402025918404468</v>
      </c>
      <c r="AO72" s="94">
        <f>AO71/BS!AO27</f>
        <v>0.35895641984299814</v>
      </c>
      <c r="AP72" s="94">
        <f>AP71/BS!AP27</f>
        <v>0.27341378163284752</v>
      </c>
      <c r="AQ72" s="95">
        <f>AQ71/BS!AQ27</f>
        <v>0.36399399972885071</v>
      </c>
      <c r="AR72" s="94">
        <f>AR71/BS!AR27</f>
        <v>0.36613793908246639</v>
      </c>
      <c r="AS72" s="94">
        <f>AS71/BS!AS27</f>
        <v>0.35980024047755016</v>
      </c>
      <c r="AT72" s="94">
        <f>AT71/BS!AT27</f>
        <v>0.35970477249151717</v>
      </c>
      <c r="AU72" s="95">
        <f>AU71/BS!AU27</f>
        <v>0.36845502902928812</v>
      </c>
      <c r="AV72" s="94">
        <f>AV71/BS!AV27</f>
        <v>0.34391657577748908</v>
      </c>
      <c r="AW72" s="94">
        <f>AW71/BS!AW27</f>
        <v>0.34785619894186381</v>
      </c>
      <c r="AX72" s="94">
        <f>AX71/BS!AX27</f>
        <v>0.34654699193356248</v>
      </c>
      <c r="AY72" s="1212">
        <f>AY71/BS!AY27</f>
        <v>0.33585754474310686</v>
      </c>
      <c r="AZ72" s="1211">
        <f>AZ71/BS!AZ27</f>
        <v>0.2647057526380252</v>
      </c>
      <c r="BA72" s="1321">
        <f>BA71/BS!BA27</f>
        <v>0.1202438912712141</v>
      </c>
      <c r="BB72" s="1389">
        <f>BB71/BS!BB27</f>
        <v>0.15419795268717801</v>
      </c>
      <c r="BC72" s="1322">
        <f>BC71/BS!BC27</f>
        <v>0.15630202200489715</v>
      </c>
      <c r="BD72" s="94">
        <f>BD71/BS!BD27</f>
        <v>0.1615548894744073</v>
      </c>
      <c r="BE72" s="94">
        <f>BE71/BS!BE27</f>
        <v>0.16313286144360684</v>
      </c>
      <c r="BF72" s="94">
        <f>BF71/BS!BF27</f>
        <v>0.16352210133789949</v>
      </c>
      <c r="BG72" s="95">
        <f>BG71/BS!BG27</f>
        <v>0.16366583920579691</v>
      </c>
      <c r="BH72" s="1389">
        <f>BH71/BS!BH27</f>
        <v>0.16424449262101143</v>
      </c>
      <c r="BI72" s="1389">
        <f>BI71/BS!BI27</f>
        <v>0.1645782579134363</v>
      </c>
      <c r="BJ72" s="1389">
        <f>BJ71/BS!BJ27</f>
        <v>0.1647590743851968</v>
      </c>
      <c r="BK72" s="1322">
        <f>BK71/BS!BK27</f>
        <v>0.16478177260936391</v>
      </c>
      <c r="BL72" s="1389">
        <f>BL71/BS!BL27</f>
        <v>0.16512379809484598</v>
      </c>
      <c r="BM72" s="1389">
        <f>BM71/BS!BM27</f>
        <v>0.16524044174295865</v>
      </c>
      <c r="BN72" s="1389">
        <f>BN71/BS!BN27</f>
        <v>0.16523325901397282</v>
      </c>
      <c r="BO72" s="1322">
        <f>BO71/BS!BO27</f>
        <v>0.16509970094741919</v>
      </c>
      <c r="BP72" s="23"/>
      <c r="BQ72" s="94">
        <f>BQ71/BS!BQ27</f>
        <v>0.40600661850392661</v>
      </c>
      <c r="BR72" s="94">
        <f>BR71/BS!BR27</f>
        <v>0.47988951681414738</v>
      </c>
      <c r="BS72" s="94">
        <f>BS71/BS!BS27</f>
        <v>0.64782213856749815</v>
      </c>
      <c r="BT72" s="94">
        <f>BT71/BS!BT27</f>
        <v>0.65334656317454076</v>
      </c>
      <c r="BU72" s="94">
        <f>BU71/BS!BU27</f>
        <v>0.60251373609658909</v>
      </c>
      <c r="BV72" s="94">
        <f>BV71/BS!BV27</f>
        <v>0.48547633298689646</v>
      </c>
      <c r="BW72" s="94">
        <f>BW71/BS!BW27</f>
        <v>0.40489745880493816</v>
      </c>
      <c r="BX72" s="94">
        <f>BX71/BS!BX27</f>
        <v>0.39644367153842991</v>
      </c>
      <c r="BY72" s="94">
        <f>BY71/BS!BY27</f>
        <v>0.35928922317546125</v>
      </c>
      <c r="BZ72" s="1389">
        <f>BZ71/BS!BZ27</f>
        <v>0.36399399972885071</v>
      </c>
      <c r="CA72" s="94">
        <f>CA71/BS!CA27</f>
        <v>0.36845502902928812</v>
      </c>
      <c r="CB72" s="94">
        <f>CB71/BS!CB27</f>
        <v>0.33585754474310686</v>
      </c>
      <c r="CC72" s="94">
        <f>CC71/BS!CC27</f>
        <v>0.15630202200489715</v>
      </c>
      <c r="CD72" s="1389">
        <f>CD71/BS!CD27</f>
        <v>0.16366583920579691</v>
      </c>
      <c r="CE72" s="1389">
        <f>CE71/BS!CE27</f>
        <v>0.16478177260936391</v>
      </c>
      <c r="CF72" s="1389">
        <f>CF71/BS!CF27</f>
        <v>0.16509970094741919</v>
      </c>
      <c r="CG72" s="23"/>
      <c r="CH72" s="153">
        <f>CH71/BS!CH27</f>
        <v>0.42685688602521432</v>
      </c>
      <c r="CI72" s="94">
        <f>CI71/BS!CI27</f>
        <v>0.50967397236844758</v>
      </c>
      <c r="CJ72" s="94">
        <f>CJ71/BS!CJ27</f>
        <v>0.62695589680577923</v>
      </c>
      <c r="CK72" s="94">
        <f>CK71/BS!CK27</f>
        <v>0.69738249308883637</v>
      </c>
      <c r="CL72" s="94">
        <f>CL71/BS!CL27</f>
        <v>0.55188052469194226</v>
      </c>
      <c r="CM72" s="94">
        <f>CM71/BS!CM27</f>
        <v>0.46192623080094108</v>
      </c>
      <c r="CN72" s="94">
        <f>CN71/BS!CN27</f>
        <v>0.40925065092990798</v>
      </c>
      <c r="CO72" s="94">
        <f>CO71/BS!CO27</f>
        <v>0.39256714586181668</v>
      </c>
      <c r="CP72" s="94">
        <f>CP71/BS!CP27</f>
        <v>0.36402025918404468</v>
      </c>
      <c r="CQ72" s="94">
        <f>CQ71/BS!CQ27</f>
        <v>0.36613793908246639</v>
      </c>
      <c r="CR72" s="94">
        <f>CR71/BS!CR27</f>
        <v>0.34391657577748908</v>
      </c>
      <c r="CS72" s="94">
        <f>CS71/BS!CS27</f>
        <v>0.2647057526380252</v>
      </c>
      <c r="CT72" s="1211">
        <f>CT71/BS!CT27</f>
        <v>0.1615548894744073</v>
      </c>
      <c r="CU72" s="1389">
        <f>CU71/BS!CU27</f>
        <v>0.16424449262101143</v>
      </c>
      <c r="CV72" s="1322">
        <f>CV71/BS!CV27</f>
        <v>0.16512379809484598</v>
      </c>
      <c r="CW72" s="25"/>
    </row>
    <row r="73" spans="1:101" ht="14.25" customHeight="1">
      <c r="A73" s="8"/>
      <c r="B73" s="67" t="s">
        <v>141</v>
      </c>
      <c r="C73" s="19"/>
      <c r="D73" s="258">
        <v>1173.8330000000001</v>
      </c>
      <c r="E73" s="259">
        <v>1204.8820000000001</v>
      </c>
      <c r="F73" s="259">
        <v>1226.789</v>
      </c>
      <c r="G73" s="499">
        <v>1260.9079999999999</v>
      </c>
      <c r="H73" s="258">
        <v>1290.3499999999999</v>
      </c>
      <c r="I73" s="259">
        <v>1324.5250000000001</v>
      </c>
      <c r="J73" s="259">
        <v>1360.6089999999999</v>
      </c>
      <c r="K73" s="499">
        <v>1350.623</v>
      </c>
      <c r="L73" s="258">
        <v>1383.9290000000001</v>
      </c>
      <c r="M73" s="259">
        <v>1328.7270000000001</v>
      </c>
      <c r="N73" s="259">
        <v>1358.627</v>
      </c>
      <c r="O73" s="499">
        <v>1368.567</v>
      </c>
      <c r="P73" s="258">
        <v>1404.1759999999999</v>
      </c>
      <c r="Q73" s="259">
        <v>1415.3219999999999</v>
      </c>
      <c r="R73" s="259">
        <v>1424.145</v>
      </c>
      <c r="S73" s="499">
        <v>1452.05</v>
      </c>
      <c r="T73" s="258">
        <v>1498.5940000000001</v>
      </c>
      <c r="U73" s="259">
        <v>1512.2760000000001</v>
      </c>
      <c r="V73" s="259">
        <v>1529.954</v>
      </c>
      <c r="W73" s="499">
        <v>1553.598</v>
      </c>
      <c r="X73" s="258">
        <v>1576.492</v>
      </c>
      <c r="Y73" s="259">
        <v>1586.723</v>
      </c>
      <c r="Z73" s="259">
        <v>1610.037</v>
      </c>
      <c r="AA73" s="499">
        <v>1628.88</v>
      </c>
      <c r="AB73" s="254">
        <v>1654.89</v>
      </c>
      <c r="AC73" s="254">
        <v>1626.808</v>
      </c>
      <c r="AD73" s="254">
        <v>1644.2059999999999</v>
      </c>
      <c r="AE73" s="502">
        <v>1658.0619999999999</v>
      </c>
      <c r="AF73" s="254">
        <v>1684.268</v>
      </c>
      <c r="AG73" s="254">
        <v>1705.6949999999999</v>
      </c>
      <c r="AH73" s="254">
        <v>1720.883</v>
      </c>
      <c r="AI73" s="255">
        <v>1727.2840000000001</v>
      </c>
      <c r="AJ73" s="254">
        <v>1752.8</v>
      </c>
      <c r="AK73" s="254">
        <v>1767.521</v>
      </c>
      <c r="AL73" s="254">
        <v>1765.8610000000001</v>
      </c>
      <c r="AM73" s="255">
        <v>1784.723</v>
      </c>
      <c r="AN73" s="254">
        <v>1800.5260000000001</v>
      </c>
      <c r="AO73" s="254">
        <v>1821.8150000000001</v>
      </c>
      <c r="AP73" s="254">
        <v>1843.5319999999999</v>
      </c>
      <c r="AQ73" s="255">
        <f>AQ71-BS!AQ19</f>
        <v>1874.4639999999999</v>
      </c>
      <c r="AR73" s="254">
        <v>1885.0119999999999</v>
      </c>
      <c r="AS73" s="254">
        <v>1906.3779999999999</v>
      </c>
      <c r="AT73" s="254">
        <v>1935.117</v>
      </c>
      <c r="AU73" s="255">
        <v>1957.9849999999999</v>
      </c>
      <c r="AV73" s="254">
        <v>1979.7439999999999</v>
      </c>
      <c r="AW73" s="254">
        <v>2007.211</v>
      </c>
      <c r="AX73" s="254">
        <v>2034.1379999999999</v>
      </c>
      <c r="AY73" s="255">
        <v>2040.7619999999999</v>
      </c>
      <c r="AZ73" s="254">
        <v>2071.9670000000001</v>
      </c>
      <c r="BA73" s="254">
        <v>2111.8960000000002</v>
      </c>
      <c r="BB73" s="254">
        <v>2157.0410000000002</v>
      </c>
      <c r="BC73" s="255">
        <v>2197.123</v>
      </c>
      <c r="BD73" s="248">
        <f t="shared" ref="BD73:BG73" si="503">BC73+BD82</f>
        <v>2253.538</v>
      </c>
      <c r="BE73" s="248">
        <f t="shared" si="503"/>
        <v>2311.1841116615146</v>
      </c>
      <c r="BF73" s="248">
        <f t="shared" si="503"/>
        <v>2370.0974341212441</v>
      </c>
      <c r="BG73" s="249">
        <f t="shared" si="503"/>
        <v>2430.3197991320467</v>
      </c>
      <c r="BH73" s="248">
        <f t="shared" ref="BH73" si="504">BG73+BH82</f>
        <v>2489.0466007077302</v>
      </c>
      <c r="BI73" s="248">
        <f t="shared" ref="BI73" si="505">BH73+BI82</f>
        <v>2549.0132784767038</v>
      </c>
      <c r="BJ73" s="248">
        <f t="shared" ref="BJ73" si="506">BI73+BJ82</f>
        <v>2610.2652994761356</v>
      </c>
      <c r="BK73" s="249">
        <f t="shared" ref="BK73" si="507">BJ73+BK82</f>
        <v>2672.8562421743177</v>
      </c>
      <c r="BL73" s="248">
        <f t="shared" ref="BL73" si="508">BK73+BL82</f>
        <v>2736.7165252817763</v>
      </c>
      <c r="BM73" s="248">
        <f t="shared" ref="BM73" si="509">BL73+BM82</f>
        <v>2801.8998633465103</v>
      </c>
      <c r="BN73" s="248">
        <f t="shared" ref="BN73" si="510">BM73+BN82</f>
        <v>2868.4480035354454</v>
      </c>
      <c r="BO73" s="249">
        <f t="shared" ref="BO73" si="511">BN73+BO82</f>
        <v>2936.4094025854279</v>
      </c>
      <c r="BP73" s="23"/>
      <c r="BQ73" s="268">
        <f>G73</f>
        <v>1260.9079999999999</v>
      </c>
      <c r="BR73" s="268">
        <f>K73</f>
        <v>1350.623</v>
      </c>
      <c r="BS73" s="268">
        <f>O73</f>
        <v>1368.567</v>
      </c>
      <c r="BT73" s="268">
        <f>S73</f>
        <v>1452.05</v>
      </c>
      <c r="BU73" s="268">
        <f>W73</f>
        <v>1553.598</v>
      </c>
      <c r="BV73" s="268">
        <f>AA73</f>
        <v>1628.88</v>
      </c>
      <c r="BW73" s="268">
        <f>AE73</f>
        <v>1658.0619999999999</v>
      </c>
      <c r="BX73" s="268">
        <f>AI73</f>
        <v>1727.2840000000001</v>
      </c>
      <c r="BY73" s="268">
        <f>AM73</f>
        <v>1784.723</v>
      </c>
      <c r="BZ73" s="268">
        <f>AQ73</f>
        <v>1874.4639999999999</v>
      </c>
      <c r="CA73" s="268">
        <f>AU73</f>
        <v>1957.9849999999999</v>
      </c>
      <c r="CB73" s="268">
        <f>AY73</f>
        <v>2040.7619999999999</v>
      </c>
      <c r="CC73" s="268">
        <f>BC73</f>
        <v>2197.123</v>
      </c>
      <c r="CD73" s="268">
        <f>BG73</f>
        <v>2430.3197991320467</v>
      </c>
      <c r="CE73" s="268">
        <f>BK73</f>
        <v>2672.8562421743177</v>
      </c>
      <c r="CF73" s="268">
        <f>BO73</f>
        <v>2936.4094025854279</v>
      </c>
      <c r="CG73" s="23"/>
      <c r="CH73" s="269">
        <f>H73</f>
        <v>1290.3499999999999</v>
      </c>
      <c r="CI73" s="268">
        <f>L73</f>
        <v>1383.9290000000001</v>
      </c>
      <c r="CJ73" s="268">
        <f>P73</f>
        <v>1404.1759999999999</v>
      </c>
      <c r="CK73" s="268">
        <f>T73</f>
        <v>1498.5940000000001</v>
      </c>
      <c r="CL73" s="268">
        <f>X73</f>
        <v>1576.492</v>
      </c>
      <c r="CM73" s="268">
        <f>AB73</f>
        <v>1654.89</v>
      </c>
      <c r="CN73" s="268">
        <f>AF73</f>
        <v>1684.268</v>
      </c>
      <c r="CO73" s="268">
        <f>AJ73</f>
        <v>1752.8</v>
      </c>
      <c r="CP73" s="268">
        <f>AN73</f>
        <v>1800.5260000000001</v>
      </c>
      <c r="CQ73" s="268">
        <f>AR73</f>
        <v>1885.0119999999999</v>
      </c>
      <c r="CR73" s="268">
        <f>AV73</f>
        <v>1979.7439999999999</v>
      </c>
      <c r="CS73" s="268">
        <f>AZ73</f>
        <v>2071.9670000000001</v>
      </c>
      <c r="CT73" s="268">
        <f>BD73</f>
        <v>2253.538</v>
      </c>
      <c r="CU73" s="268">
        <f>BH73</f>
        <v>2489.0466007077302</v>
      </c>
      <c r="CV73" s="267">
        <f>BL73</f>
        <v>2736.7165252817763</v>
      </c>
      <c r="CW73" s="25"/>
    </row>
    <row r="74" spans="1:101" ht="14.25" customHeight="1">
      <c r="A74" s="8"/>
      <c r="B74" s="272" t="s">
        <v>142</v>
      </c>
      <c r="C74" s="273"/>
      <c r="D74" s="276">
        <f t="shared" ref="D74:Z74" si="512">D71-D73</f>
        <v>653.60799999999995</v>
      </c>
      <c r="E74" s="274">
        <f t="shared" si="512"/>
        <v>636.24900000000002</v>
      </c>
      <c r="F74" s="274">
        <f t="shared" si="512"/>
        <v>617.03800000000001</v>
      </c>
      <c r="G74" s="275">
        <f t="shared" si="512"/>
        <v>599.90600000000018</v>
      </c>
      <c r="H74" s="276">
        <f t="shared" si="512"/>
        <v>576.798</v>
      </c>
      <c r="I74" s="274">
        <f t="shared" si="512"/>
        <v>561.53800000000001</v>
      </c>
      <c r="J74" s="274">
        <f t="shared" si="512"/>
        <v>558.05400000000009</v>
      </c>
      <c r="K74" s="275">
        <f t="shared" si="512"/>
        <v>562.625</v>
      </c>
      <c r="L74" s="276">
        <f t="shared" si="512"/>
        <v>564.971</v>
      </c>
      <c r="M74" s="274">
        <f t="shared" si="512"/>
        <v>569.31799999999998</v>
      </c>
      <c r="N74" s="274">
        <f t="shared" si="512"/>
        <v>564.96</v>
      </c>
      <c r="O74" s="275">
        <f t="shared" si="512"/>
        <v>556.07500000000005</v>
      </c>
      <c r="P74" s="276">
        <f t="shared" si="512"/>
        <v>561.29500000000007</v>
      </c>
      <c r="Q74" s="274">
        <f t="shared" si="512"/>
        <v>555.43000000000006</v>
      </c>
      <c r="R74" s="274">
        <f t="shared" si="512"/>
        <v>558.31200000000013</v>
      </c>
      <c r="S74" s="275">
        <f t="shared" si="512"/>
        <v>567.43900000000008</v>
      </c>
      <c r="T74" s="276">
        <f t="shared" si="512"/>
        <v>537.19799999999987</v>
      </c>
      <c r="U74" s="274">
        <f t="shared" si="512"/>
        <v>515.9369999999999</v>
      </c>
      <c r="V74" s="274">
        <f t="shared" si="512"/>
        <v>491.56400000000008</v>
      </c>
      <c r="W74" s="275">
        <f t="shared" si="512"/>
        <v>476.51600000000008</v>
      </c>
      <c r="X74" s="276">
        <f t="shared" si="512"/>
        <v>464.45600000000013</v>
      </c>
      <c r="Y74" s="274">
        <f t="shared" si="512"/>
        <v>453.34400000000005</v>
      </c>
      <c r="Z74" s="274">
        <f t="shared" si="512"/>
        <v>463.75099999999998</v>
      </c>
      <c r="AA74" s="275">
        <f>AA71-AA73</f>
        <v>472.66499999999996</v>
      </c>
      <c r="AB74" s="274">
        <f t="shared" ref="AB74:AQ74" si="513">AB71-AB73</f>
        <v>468.54099999999994</v>
      </c>
      <c r="AC74" s="274">
        <f t="shared" si="513"/>
        <v>473.66199999999981</v>
      </c>
      <c r="AD74" s="274">
        <f t="shared" si="513"/>
        <v>481.59600000000023</v>
      </c>
      <c r="AE74" s="275">
        <f t="shared" si="513"/>
        <v>478.83899999999994</v>
      </c>
      <c r="AF74" s="274">
        <f t="shared" si="513"/>
        <v>475.68899999999985</v>
      </c>
      <c r="AG74" s="274">
        <f t="shared" si="513"/>
        <v>478.95900000000006</v>
      </c>
      <c r="AH74" s="274">
        <f t="shared" si="513"/>
        <v>490.5809999999999</v>
      </c>
      <c r="AI74" s="275">
        <f t="shared" si="513"/>
        <v>500.86699999999973</v>
      </c>
      <c r="AJ74" s="274">
        <f t="shared" si="513"/>
        <v>491.43100000000027</v>
      </c>
      <c r="AK74" s="274">
        <f t="shared" si="513"/>
        <v>490.04700000000025</v>
      </c>
      <c r="AL74" s="274">
        <f t="shared" si="513"/>
        <v>492.42100000000005</v>
      </c>
      <c r="AM74" s="275">
        <f t="shared" si="513"/>
        <v>508.17099999999982</v>
      </c>
      <c r="AN74" s="274">
        <f t="shared" si="513"/>
        <v>529.01</v>
      </c>
      <c r="AO74" s="274">
        <f>AO71-AO73</f>
        <v>545.48500000000013</v>
      </c>
      <c r="AP74" s="274">
        <f>AP71-AP73</f>
        <v>609.93700000000013</v>
      </c>
      <c r="AQ74" s="275">
        <f t="shared" si="513"/>
        <v>622.42200000000003</v>
      </c>
      <c r="AR74" s="274">
        <f>AR71-AR73</f>
        <v>612.47199999999998</v>
      </c>
      <c r="AS74" s="274">
        <f t="shared" ref="AS74:AU74" si="514">AS71-AS73</f>
        <v>629.66500000000019</v>
      </c>
      <c r="AT74" s="274">
        <f t="shared" si="514"/>
        <v>631.26900000000001</v>
      </c>
      <c r="AU74" s="275">
        <f t="shared" si="514"/>
        <v>644.1099999999999</v>
      </c>
      <c r="AV74" s="274">
        <f>AV71-AV73</f>
        <v>633.36200000000031</v>
      </c>
      <c r="AW74" s="274">
        <f>AW71-AW73</f>
        <v>626.16200000000003</v>
      </c>
      <c r="AX74" s="274">
        <f>AX71-AX73</f>
        <v>629.09400000000005</v>
      </c>
      <c r="AY74" s="275">
        <f t="shared" ref="AY74" si="515">AY71-AY73</f>
        <v>636.11600000000021</v>
      </c>
      <c r="AZ74" s="274">
        <f>AZ71-AZ73</f>
        <v>628.92399999999998</v>
      </c>
      <c r="BA74" s="274">
        <f t="shared" ref="BA74:BG74" si="516">BA71-BA73</f>
        <v>1089.319</v>
      </c>
      <c r="BB74" s="274">
        <f t="shared" si="516"/>
        <v>1098.848</v>
      </c>
      <c r="BC74" s="275">
        <f t="shared" si="516"/>
        <v>1107.3040000000001</v>
      </c>
      <c r="BD74" s="274">
        <f t="shared" si="516"/>
        <v>1115.4169999999999</v>
      </c>
      <c r="BE74" s="274">
        <f t="shared" si="516"/>
        <v>1131.2896295884852</v>
      </c>
      <c r="BF74" s="274">
        <f t="shared" si="516"/>
        <v>1148.050793607506</v>
      </c>
      <c r="BG74" s="275">
        <f t="shared" si="516"/>
        <v>1166.0009970208907</v>
      </c>
      <c r="BH74" s="274">
        <f t="shared" ref="BH74:BK74" si="517">BH71-BH73</f>
        <v>1181.3784977725054</v>
      </c>
      <c r="BI74" s="274">
        <f t="shared" si="517"/>
        <v>1198.9040820841351</v>
      </c>
      <c r="BJ74" s="274">
        <f t="shared" si="517"/>
        <v>1217.9860129883618</v>
      </c>
      <c r="BK74" s="275">
        <f t="shared" si="517"/>
        <v>1239.0776764620605</v>
      </c>
      <c r="BL74" s="274">
        <f t="shared" ref="BL74:BO74" si="518">BL71-BL73</f>
        <v>1254.5511689343984</v>
      </c>
      <c r="BM74" s="274">
        <f t="shared" si="518"/>
        <v>1272.0587656993694</v>
      </c>
      <c r="BN74" s="274">
        <f t="shared" si="518"/>
        <v>1290.8107582729981</v>
      </c>
      <c r="BO74" s="275">
        <f t="shared" si="518"/>
        <v>1311.1780380384803</v>
      </c>
      <c r="BP74" s="23"/>
      <c r="BQ74" s="274">
        <f t="shared" ref="BQ74:BW74" si="519">BQ71-BQ73</f>
        <v>599.90600000000018</v>
      </c>
      <c r="BR74" s="274">
        <f t="shared" si="519"/>
        <v>562.625</v>
      </c>
      <c r="BS74" s="274">
        <f t="shared" si="519"/>
        <v>556.07500000000005</v>
      </c>
      <c r="BT74" s="274">
        <f t="shared" si="519"/>
        <v>567.43900000000008</v>
      </c>
      <c r="BU74" s="274">
        <f t="shared" si="519"/>
        <v>476.51600000000008</v>
      </c>
      <c r="BV74" s="274">
        <f t="shared" si="519"/>
        <v>472.66499999999996</v>
      </c>
      <c r="BW74" s="274">
        <f t="shared" si="519"/>
        <v>478.83899999999994</v>
      </c>
      <c r="BX74" s="274">
        <f t="shared" ref="BX74:CB74" si="520">BX71-BX73</f>
        <v>500.86699999999973</v>
      </c>
      <c r="BY74" s="274">
        <f t="shared" si="520"/>
        <v>508.17099999999982</v>
      </c>
      <c r="BZ74" s="274">
        <f t="shared" si="520"/>
        <v>622.42200000000003</v>
      </c>
      <c r="CA74" s="274">
        <f t="shared" si="520"/>
        <v>644.1099999999999</v>
      </c>
      <c r="CB74" s="274">
        <f t="shared" si="520"/>
        <v>636.11600000000021</v>
      </c>
      <c r="CC74" s="274">
        <f>CC71-CC73</f>
        <v>1107.3040000000001</v>
      </c>
      <c r="CD74" s="274">
        <f>CD71-CD73</f>
        <v>1166.0009970208907</v>
      </c>
      <c r="CE74" s="274">
        <f>CE71-CE73</f>
        <v>1239.0776764620605</v>
      </c>
      <c r="CF74" s="274">
        <f>CF71-CF73</f>
        <v>1311.1780380384803</v>
      </c>
      <c r="CG74" s="23"/>
      <c r="CH74" s="276">
        <f t="shared" ref="CH74:CN74" si="521">CH71-CH73</f>
        <v>576.798</v>
      </c>
      <c r="CI74" s="274">
        <f t="shared" si="521"/>
        <v>564.971</v>
      </c>
      <c r="CJ74" s="274">
        <f t="shared" si="521"/>
        <v>561.29500000000007</v>
      </c>
      <c r="CK74" s="274">
        <f t="shared" si="521"/>
        <v>537.19799999999987</v>
      </c>
      <c r="CL74" s="274">
        <f t="shared" si="521"/>
        <v>464.45600000000013</v>
      </c>
      <c r="CM74" s="274">
        <f t="shared" si="521"/>
        <v>468.54099999999994</v>
      </c>
      <c r="CN74" s="274">
        <f t="shared" si="521"/>
        <v>475.68899999999985</v>
      </c>
      <c r="CO74" s="274">
        <f t="shared" ref="CO74:CT74" si="522">CO71-CO73</f>
        <v>491.43100000000027</v>
      </c>
      <c r="CP74" s="274">
        <f t="shared" si="522"/>
        <v>529.01</v>
      </c>
      <c r="CQ74" s="274">
        <f t="shared" si="522"/>
        <v>612.47199999999998</v>
      </c>
      <c r="CR74" s="274">
        <f t="shared" si="522"/>
        <v>633.36200000000031</v>
      </c>
      <c r="CS74" s="274">
        <f t="shared" si="522"/>
        <v>628.92399999999998</v>
      </c>
      <c r="CT74" s="274">
        <f t="shared" si="522"/>
        <v>1115.4169999999999</v>
      </c>
      <c r="CU74" s="274">
        <f t="shared" ref="CU74" si="523">CU71-CU73</f>
        <v>1181.3784977725054</v>
      </c>
      <c r="CV74" s="275">
        <f t="shared" ref="CV74" si="524">CV71-CV73</f>
        <v>1254.5511689343984</v>
      </c>
      <c r="CW74" s="25"/>
    </row>
    <row r="75" spans="1:101" ht="14.25" customHeight="1">
      <c r="A75" s="8"/>
      <c r="B75" s="17"/>
      <c r="C75" s="17"/>
      <c r="D75" s="250"/>
      <c r="E75" s="250"/>
      <c r="F75" s="250"/>
      <c r="G75" s="250"/>
      <c r="H75" s="250"/>
      <c r="I75" s="250"/>
      <c r="J75" s="250"/>
      <c r="K75" s="250"/>
      <c r="L75" s="250"/>
      <c r="M75" s="250"/>
      <c r="N75" s="250"/>
      <c r="O75" s="250"/>
      <c r="P75" s="250"/>
      <c r="Q75" s="250"/>
      <c r="R75" s="250"/>
      <c r="S75" s="250"/>
      <c r="T75" s="250"/>
      <c r="U75" s="250"/>
      <c r="V75" s="250"/>
      <c r="W75" s="250"/>
      <c r="X75" s="250"/>
      <c r="Y75" s="250"/>
      <c r="Z75" s="250"/>
      <c r="AA75" s="250"/>
      <c r="AB75" s="250"/>
      <c r="AC75" s="250"/>
      <c r="AD75" s="250"/>
      <c r="AE75" s="250"/>
      <c r="AF75" s="250"/>
      <c r="AG75" s="250"/>
      <c r="AH75" s="250"/>
      <c r="AI75" s="250"/>
      <c r="AJ75" s="250"/>
      <c r="AK75" s="250"/>
      <c r="AL75" s="250"/>
      <c r="AM75" s="250"/>
      <c r="AN75" s="250"/>
      <c r="AO75" s="250"/>
      <c r="AP75" s="250"/>
      <c r="AQ75" s="250"/>
      <c r="AR75" s="250"/>
      <c r="AS75" s="250"/>
      <c r="AT75" s="250"/>
      <c r="AU75" s="250"/>
      <c r="AV75" s="250"/>
      <c r="AW75" s="250"/>
      <c r="AX75" s="250"/>
      <c r="AY75" s="250"/>
      <c r="AZ75" s="250"/>
      <c r="BA75" s="250"/>
      <c r="BB75" s="1392"/>
      <c r="BC75" s="1392"/>
      <c r="BD75" s="250"/>
      <c r="BE75" s="250"/>
      <c r="BF75" s="250"/>
      <c r="BG75" s="250"/>
      <c r="BH75" s="1392"/>
      <c r="BI75" s="1392"/>
      <c r="BJ75" s="1392"/>
      <c r="BK75" s="1392"/>
      <c r="BL75" s="1392"/>
      <c r="BM75" s="1392"/>
      <c r="BN75" s="1392"/>
      <c r="BO75" s="1392"/>
      <c r="BP75" s="17"/>
      <c r="BQ75" s="250"/>
      <c r="BR75" s="250"/>
      <c r="BS75" s="250"/>
      <c r="BT75" s="250"/>
      <c r="BU75" s="250"/>
      <c r="BV75" s="250"/>
      <c r="BW75" s="250"/>
      <c r="BX75" s="250"/>
      <c r="BY75" s="250"/>
      <c r="BZ75" s="1392"/>
      <c r="CA75" s="250"/>
      <c r="CB75" s="250"/>
      <c r="CC75" s="250"/>
      <c r="CD75" s="1392"/>
      <c r="CE75" s="1392"/>
      <c r="CF75" s="1392"/>
      <c r="CG75" s="8"/>
      <c r="CH75" s="277"/>
      <c r="CI75" s="250"/>
      <c r="CJ75" s="250"/>
      <c r="CK75" s="250"/>
      <c r="CL75" s="250"/>
      <c r="CM75" s="250"/>
      <c r="CN75" s="250"/>
      <c r="CO75" s="250"/>
      <c r="CP75" s="250"/>
      <c r="CQ75" s="250"/>
      <c r="CR75" s="250"/>
      <c r="CS75" s="250"/>
      <c r="CT75" s="250"/>
      <c r="CU75" s="1392"/>
      <c r="CV75" s="1392"/>
      <c r="CW75" s="8"/>
    </row>
    <row r="76" spans="1:101" ht="14.25" customHeight="1">
      <c r="A76" s="8"/>
      <c r="B76" s="75" t="s">
        <v>113</v>
      </c>
      <c r="C76" s="237"/>
      <c r="D76" s="174">
        <f>BS!D19</f>
        <v>653.60799999999995</v>
      </c>
      <c r="E76" s="172">
        <f>BS!E19</f>
        <v>636.24900000000002</v>
      </c>
      <c r="F76" s="172">
        <f>BS!F19</f>
        <v>617.03800000000001</v>
      </c>
      <c r="G76" s="175">
        <f>BS!G19</f>
        <v>599.90599999999995</v>
      </c>
      <c r="H76" s="174">
        <f>BS!H19</f>
        <v>576.798</v>
      </c>
      <c r="I76" s="172">
        <f>BS!I19</f>
        <v>561.53800000000001</v>
      </c>
      <c r="J76" s="172">
        <f>BS!J19</f>
        <v>558.05399999999997</v>
      </c>
      <c r="K76" s="175">
        <f>BS!K19</f>
        <v>562.625</v>
      </c>
      <c r="L76" s="174">
        <f>BS!L19</f>
        <v>564.971</v>
      </c>
      <c r="M76" s="172">
        <f>BS!M19</f>
        <v>569.31799999999998</v>
      </c>
      <c r="N76" s="172">
        <f>BS!N19</f>
        <v>564.96</v>
      </c>
      <c r="O76" s="175">
        <f>BS!O19</f>
        <v>556.07500000000005</v>
      </c>
      <c r="P76" s="174">
        <f>BS!P19</f>
        <v>561.29499999999996</v>
      </c>
      <c r="Q76" s="172">
        <f>BS!Q19</f>
        <v>555.42999999999995</v>
      </c>
      <c r="R76" s="172">
        <f>BS!R19</f>
        <v>558.31200000000001</v>
      </c>
      <c r="S76" s="175">
        <f>BS!S19</f>
        <v>567.43899999999996</v>
      </c>
      <c r="T76" s="174">
        <f>BS!T19</f>
        <v>537.19799999999998</v>
      </c>
      <c r="U76" s="172">
        <f>BS!U19</f>
        <v>515.93700000000001</v>
      </c>
      <c r="V76" s="172">
        <f>BS!V19</f>
        <v>491.56400000000002</v>
      </c>
      <c r="W76" s="175">
        <f>BS!W19</f>
        <v>476.51600000000002</v>
      </c>
      <c r="X76" s="174">
        <f>BS!X19</f>
        <v>464.45600000000002</v>
      </c>
      <c r="Y76" s="172">
        <f>BS!Y19</f>
        <v>453.34399999999999</v>
      </c>
      <c r="Z76" s="172">
        <f>BS!Z19</f>
        <v>463.75099999999998</v>
      </c>
      <c r="AA76" s="175">
        <f>BS!AA19</f>
        <v>472.66500000000002</v>
      </c>
      <c r="AB76" s="172">
        <f>BS!AB19</f>
        <v>468.541</v>
      </c>
      <c r="AC76" s="172">
        <f>BS!AC19</f>
        <v>473.66199999999998</v>
      </c>
      <c r="AD76" s="172">
        <f>BS!AD19</f>
        <v>481.596</v>
      </c>
      <c r="AE76" s="175">
        <f>BS!AE19</f>
        <v>478.839</v>
      </c>
      <c r="AF76" s="172">
        <f>BS!AF19</f>
        <v>475.68900000000002</v>
      </c>
      <c r="AG76" s="172">
        <f>BS!AG19</f>
        <v>478.959</v>
      </c>
      <c r="AH76" s="172">
        <f>BS!AH19</f>
        <v>490.58100000000002</v>
      </c>
      <c r="AI76" s="173">
        <f>BS!AI19</f>
        <v>500.86700000000002</v>
      </c>
      <c r="AJ76" s="172">
        <v>491.43099999999998</v>
      </c>
      <c r="AK76" s="172">
        <v>490.04700000000003</v>
      </c>
      <c r="AL76" s="172">
        <f>BS!AL19</f>
        <v>492.42099999999999</v>
      </c>
      <c r="AM76" s="173">
        <f>BS!AM19</f>
        <v>508.17099999999999</v>
      </c>
      <c r="AN76" s="172">
        <f>BS!AN19</f>
        <v>529.01</v>
      </c>
      <c r="AO76" s="172">
        <f>BS!AO19</f>
        <v>545.48500000000001</v>
      </c>
      <c r="AP76" s="172">
        <f>BS!AP19</f>
        <v>609.93700000000001</v>
      </c>
      <c r="AQ76" s="173">
        <f>BS!AQ19</f>
        <v>622.42200000000003</v>
      </c>
      <c r="AR76" s="172">
        <f>BS!AR19</f>
        <v>612.47199999999998</v>
      </c>
      <c r="AS76" s="172">
        <f>BS!AS19</f>
        <v>629.66499999999996</v>
      </c>
      <c r="AT76" s="172">
        <f>BS!AT19</f>
        <v>631.26900000000001</v>
      </c>
      <c r="AU76" s="173">
        <f>BS!AU19</f>
        <v>644.11</v>
      </c>
      <c r="AV76" s="172">
        <f>BS!AV19</f>
        <v>633.36199999999997</v>
      </c>
      <c r="AW76" s="172">
        <f>BS!AW19</f>
        <v>626.16200000000003</v>
      </c>
      <c r="AX76" s="172">
        <f>BS!AX19</f>
        <v>629.09400000000005</v>
      </c>
      <c r="AY76" s="173">
        <f>BS!AY19</f>
        <v>636.11599999999999</v>
      </c>
      <c r="AZ76" s="172">
        <f>BS!AZ19</f>
        <v>628.92399999999998</v>
      </c>
      <c r="BA76" s="172">
        <f>BS!BA19</f>
        <v>1089.319</v>
      </c>
      <c r="BB76" s="172">
        <f>BS!BB19</f>
        <v>1098.848</v>
      </c>
      <c r="BC76" s="173">
        <f>BS!BC19</f>
        <v>1107.3040000000001</v>
      </c>
      <c r="BD76" s="172">
        <f>BS!BD19</f>
        <v>1115.4169999999999</v>
      </c>
      <c r="BE76" s="172">
        <f>BS!BE19</f>
        <v>1131.2896295884852</v>
      </c>
      <c r="BF76" s="172">
        <f>BS!BF19</f>
        <v>1148.050793607506</v>
      </c>
      <c r="BG76" s="173">
        <f>BS!BG19</f>
        <v>1166.0009970208907</v>
      </c>
      <c r="BH76" s="172">
        <f>BS!BH19</f>
        <v>1181.3784977725054</v>
      </c>
      <c r="BI76" s="172">
        <f>BS!BI19</f>
        <v>1198.9040820841351</v>
      </c>
      <c r="BJ76" s="172">
        <f>BS!BJ19</f>
        <v>1217.9860129883618</v>
      </c>
      <c r="BK76" s="173">
        <f>BS!BK19</f>
        <v>1239.0776764620605</v>
      </c>
      <c r="BL76" s="172">
        <f>BS!BL19</f>
        <v>1254.5511689343984</v>
      </c>
      <c r="BM76" s="172">
        <f>BS!BM19</f>
        <v>1272.0587656993694</v>
      </c>
      <c r="BN76" s="172">
        <f>BS!BN19</f>
        <v>1290.8107582729981</v>
      </c>
      <c r="BO76" s="173">
        <f>BS!BO19</f>
        <v>1311.1780380384803</v>
      </c>
      <c r="BP76" s="176"/>
      <c r="BQ76" s="172">
        <f>BS!BQ19</f>
        <v>599.90599999999995</v>
      </c>
      <c r="BR76" s="172">
        <f>BS!BR19</f>
        <v>562.625</v>
      </c>
      <c r="BS76" s="172">
        <f>BS!BS19</f>
        <v>556.07500000000005</v>
      </c>
      <c r="BT76" s="172">
        <f>BS!BT19</f>
        <v>567.43899999999996</v>
      </c>
      <c r="BU76" s="172">
        <f>BS!BU19</f>
        <v>476.51600000000002</v>
      </c>
      <c r="BV76" s="172">
        <f>BS!BV19</f>
        <v>472.66500000000002</v>
      </c>
      <c r="BW76" s="172">
        <f>BS!BW19</f>
        <v>478.839</v>
      </c>
      <c r="BX76" s="172">
        <f>BS!BX19</f>
        <v>500.86700000000002</v>
      </c>
      <c r="BY76" s="172">
        <f>BS!BY19</f>
        <v>508.17099999999999</v>
      </c>
      <c r="BZ76" s="172">
        <f>BS!BZ19</f>
        <v>622.42200000000003</v>
      </c>
      <c r="CA76" s="172">
        <f>BS!CA19</f>
        <v>644.11</v>
      </c>
      <c r="CB76" s="172">
        <f>BS!CB19</f>
        <v>636.11599999999999</v>
      </c>
      <c r="CC76" s="172">
        <f>BS!CC19</f>
        <v>1107.3040000000001</v>
      </c>
      <c r="CD76" s="172">
        <f>BS!CD19</f>
        <v>1166.0009970208907</v>
      </c>
      <c r="CE76" s="172">
        <f>BS!CE19</f>
        <v>1239.0776764620605</v>
      </c>
      <c r="CF76" s="172">
        <f>BS!CF19</f>
        <v>1311.1780380384803</v>
      </c>
      <c r="CG76" s="23"/>
      <c r="CH76" s="174">
        <f>BS!CH19</f>
        <v>576.798</v>
      </c>
      <c r="CI76" s="172">
        <f>BS!CI19</f>
        <v>564.971</v>
      </c>
      <c r="CJ76" s="172">
        <f>BS!CJ19</f>
        <v>561.29499999999996</v>
      </c>
      <c r="CK76" s="172">
        <f>BS!CK19</f>
        <v>537.19799999999998</v>
      </c>
      <c r="CL76" s="172">
        <f>BS!CL19</f>
        <v>464.45600000000002</v>
      </c>
      <c r="CM76" s="172">
        <f>BS!CM19</f>
        <v>468.541</v>
      </c>
      <c r="CN76" s="172">
        <f>BS!CN19</f>
        <v>475.68900000000002</v>
      </c>
      <c r="CO76" s="172">
        <f>BS!CO19</f>
        <v>491.43099999999998</v>
      </c>
      <c r="CP76" s="172">
        <f>BS!CP19</f>
        <v>529.01</v>
      </c>
      <c r="CQ76" s="172">
        <f>BS!CQ19</f>
        <v>612.47199999999998</v>
      </c>
      <c r="CR76" s="172">
        <f>BS!CR19</f>
        <v>633.36199999999997</v>
      </c>
      <c r="CS76" s="172">
        <f>BS!CS19</f>
        <v>628.92399999999998</v>
      </c>
      <c r="CT76" s="172">
        <f>BS!CT19</f>
        <v>1115.4169999999999</v>
      </c>
      <c r="CU76" s="172">
        <f>BS!CU19</f>
        <v>1181.3784977725054</v>
      </c>
      <c r="CV76" s="175">
        <f>BS!CV19</f>
        <v>1254.5511689343984</v>
      </c>
      <c r="CW76" s="25"/>
    </row>
    <row r="77" spans="1:101" ht="14.25" customHeight="1">
      <c r="A77" s="8"/>
      <c r="B77" s="140" t="s">
        <v>95</v>
      </c>
      <c r="C77" s="141"/>
      <c r="D77" s="144">
        <f t="shared" ref="D77:Z77" si="525">IF(ROUND(D76,4)=ROUND(D74,4),0,(D76-D74))</f>
        <v>0</v>
      </c>
      <c r="E77" s="142">
        <f t="shared" si="525"/>
        <v>0</v>
      </c>
      <c r="F77" s="142">
        <f t="shared" si="525"/>
        <v>0</v>
      </c>
      <c r="G77" s="143">
        <f t="shared" si="525"/>
        <v>0</v>
      </c>
      <c r="H77" s="144">
        <f t="shared" si="525"/>
        <v>0</v>
      </c>
      <c r="I77" s="142">
        <f t="shared" si="525"/>
        <v>0</v>
      </c>
      <c r="J77" s="142">
        <f t="shared" si="525"/>
        <v>0</v>
      </c>
      <c r="K77" s="143">
        <f t="shared" si="525"/>
        <v>0</v>
      </c>
      <c r="L77" s="144">
        <f t="shared" si="525"/>
        <v>0</v>
      </c>
      <c r="M77" s="142">
        <f t="shared" si="525"/>
        <v>0</v>
      </c>
      <c r="N77" s="142">
        <f t="shared" si="525"/>
        <v>0</v>
      </c>
      <c r="O77" s="143">
        <f t="shared" si="525"/>
        <v>0</v>
      </c>
      <c r="P77" s="144">
        <f t="shared" si="525"/>
        <v>0</v>
      </c>
      <c r="Q77" s="142">
        <f t="shared" si="525"/>
        <v>0</v>
      </c>
      <c r="R77" s="142">
        <f t="shared" si="525"/>
        <v>0</v>
      </c>
      <c r="S77" s="143">
        <f t="shared" si="525"/>
        <v>0</v>
      </c>
      <c r="T77" s="144">
        <f t="shared" si="525"/>
        <v>0</v>
      </c>
      <c r="U77" s="142">
        <f t="shared" si="525"/>
        <v>0</v>
      </c>
      <c r="V77" s="142">
        <f t="shared" si="525"/>
        <v>0</v>
      </c>
      <c r="W77" s="143">
        <f t="shared" si="525"/>
        <v>0</v>
      </c>
      <c r="X77" s="144">
        <f t="shared" si="525"/>
        <v>0</v>
      </c>
      <c r="Y77" s="142">
        <f t="shared" si="525"/>
        <v>0</v>
      </c>
      <c r="Z77" s="142">
        <f t="shared" si="525"/>
        <v>0</v>
      </c>
      <c r="AA77" s="143">
        <f>IF(ROUND(AA76,4)=ROUND(AA74,4),0,(AA76-AA74))</f>
        <v>0</v>
      </c>
      <c r="AB77" s="144">
        <f t="shared" ref="AB77:AQ77" si="526">IF(ROUND(AB76,4)=ROUND(AB74,4),0,(AB76-AB74))</f>
        <v>0</v>
      </c>
      <c r="AC77" s="142">
        <f t="shared" si="526"/>
        <v>0</v>
      </c>
      <c r="AD77" s="142">
        <f t="shared" si="526"/>
        <v>0</v>
      </c>
      <c r="AE77" s="143">
        <f t="shared" si="526"/>
        <v>0</v>
      </c>
      <c r="AF77" s="144">
        <f t="shared" si="526"/>
        <v>0</v>
      </c>
      <c r="AG77" s="142">
        <f t="shared" si="526"/>
        <v>0</v>
      </c>
      <c r="AH77" s="142">
        <f t="shared" si="526"/>
        <v>0</v>
      </c>
      <c r="AI77" s="143">
        <f t="shared" si="526"/>
        <v>0</v>
      </c>
      <c r="AJ77" s="144">
        <f t="shared" si="526"/>
        <v>0</v>
      </c>
      <c r="AK77" s="142">
        <f t="shared" si="526"/>
        <v>0</v>
      </c>
      <c r="AL77" s="142">
        <f t="shared" si="526"/>
        <v>0</v>
      </c>
      <c r="AM77" s="143">
        <f t="shared" si="526"/>
        <v>0</v>
      </c>
      <c r="AN77" s="144">
        <f t="shared" si="526"/>
        <v>0</v>
      </c>
      <c r="AO77" s="142">
        <f>IF(ROUND(AO76,4)=ROUND(AO74,4),0,(AO76-AO74))</f>
        <v>0</v>
      </c>
      <c r="AP77" s="142">
        <f>IF(ROUND(AP76,4)=ROUND(AP74,4),0,(AP76-AP74))</f>
        <v>0</v>
      </c>
      <c r="AQ77" s="143">
        <f t="shared" si="526"/>
        <v>0</v>
      </c>
      <c r="AR77" s="144">
        <f>IF(ROUND(AR76,4)=ROUND(AR74,4),0,(AR76-AR74))</f>
        <v>0</v>
      </c>
      <c r="AS77" s="142">
        <f t="shared" ref="AS77:AU77" si="527">IF(ROUND(AS76,4)=ROUND(AS74,4),0,(AS76-AS74))</f>
        <v>0</v>
      </c>
      <c r="AT77" s="142">
        <f t="shared" si="527"/>
        <v>0</v>
      </c>
      <c r="AU77" s="143">
        <f t="shared" si="527"/>
        <v>0</v>
      </c>
      <c r="AV77" s="144">
        <f>IF(ROUND(AV76,4)=ROUND(AV74,4),0,(AV76-AV74))</f>
        <v>0</v>
      </c>
      <c r="AW77" s="142">
        <f>IF(ROUND(AW76,4)=ROUND(AW74,4),0,(AW76-AW74))</f>
        <v>0</v>
      </c>
      <c r="AX77" s="142">
        <f>IF(ROUND(AX76,4)=ROUND(AX74,4),0,(AX76-AX74))</f>
        <v>0</v>
      </c>
      <c r="AY77" s="143">
        <f t="shared" ref="AY77" si="528">IF(ROUND(AY76,4)=ROUND(AY74,4),0,(AY76-AY74))</f>
        <v>0</v>
      </c>
      <c r="AZ77" s="144">
        <f>IF(ROUND(AZ76,4)=ROUND(AZ74,4),0,(AZ76-AZ74))</f>
        <v>0</v>
      </c>
      <c r="BA77" s="142">
        <f t="shared" ref="BA77:BG77" si="529">IF(ROUND(BA76,4)=ROUND(BA74,4),0,(BA76-BA74))</f>
        <v>0</v>
      </c>
      <c r="BB77" s="142">
        <f t="shared" si="529"/>
        <v>0</v>
      </c>
      <c r="BC77" s="143">
        <f t="shared" si="529"/>
        <v>0</v>
      </c>
      <c r="BD77" s="142">
        <f t="shared" si="529"/>
        <v>0</v>
      </c>
      <c r="BE77" s="142">
        <f t="shared" si="529"/>
        <v>0</v>
      </c>
      <c r="BF77" s="142">
        <f t="shared" si="529"/>
        <v>0</v>
      </c>
      <c r="BG77" s="143">
        <f t="shared" si="529"/>
        <v>0</v>
      </c>
      <c r="BH77" s="142">
        <f t="shared" ref="BH77:BK77" si="530">IF(ROUND(BH76,4)=ROUND(BH74,4),0,(BH76-BH74))</f>
        <v>0</v>
      </c>
      <c r="BI77" s="142">
        <f t="shared" si="530"/>
        <v>0</v>
      </c>
      <c r="BJ77" s="142">
        <f t="shared" si="530"/>
        <v>0</v>
      </c>
      <c r="BK77" s="143">
        <f t="shared" si="530"/>
        <v>0</v>
      </c>
      <c r="BL77" s="142">
        <f t="shared" ref="BL77:BO77" si="531">IF(ROUND(BL76,4)=ROUND(BL74,4),0,(BL76-BL74))</f>
        <v>0</v>
      </c>
      <c r="BM77" s="142">
        <f t="shared" si="531"/>
        <v>0</v>
      </c>
      <c r="BN77" s="142">
        <f t="shared" si="531"/>
        <v>0</v>
      </c>
      <c r="BO77" s="143">
        <f t="shared" si="531"/>
        <v>0</v>
      </c>
      <c r="BP77" s="176"/>
      <c r="BQ77" s="142">
        <f t="shared" ref="BQ77:BW77" si="532">IF(ROUND(BQ76,4)=ROUND(BQ74,4),0,(BQ76-BQ74))</f>
        <v>0</v>
      </c>
      <c r="BR77" s="142">
        <f t="shared" si="532"/>
        <v>0</v>
      </c>
      <c r="BS77" s="142">
        <f t="shared" si="532"/>
        <v>0</v>
      </c>
      <c r="BT77" s="142">
        <f t="shared" si="532"/>
        <v>0</v>
      </c>
      <c r="BU77" s="142">
        <f t="shared" si="532"/>
        <v>0</v>
      </c>
      <c r="BV77" s="142">
        <f t="shared" si="532"/>
        <v>0</v>
      </c>
      <c r="BW77" s="142">
        <f t="shared" si="532"/>
        <v>0</v>
      </c>
      <c r="BX77" s="142">
        <f t="shared" ref="BX77:CB77" si="533">IF(ROUND(BX76,4)=ROUND(BX74,4),0,(BX76-BX74))</f>
        <v>0</v>
      </c>
      <c r="BY77" s="142">
        <f t="shared" si="533"/>
        <v>0</v>
      </c>
      <c r="BZ77" s="142">
        <f t="shared" si="533"/>
        <v>0</v>
      </c>
      <c r="CA77" s="142">
        <f t="shared" si="533"/>
        <v>0</v>
      </c>
      <c r="CB77" s="142">
        <f t="shared" si="533"/>
        <v>0</v>
      </c>
      <c r="CC77" s="142">
        <f>IF(ROUND(CC76,4)=ROUND(CC74,4),0,(CC76-CC74))</f>
        <v>0</v>
      </c>
      <c r="CD77" s="142">
        <f>IF(ROUND(CD76,4)=ROUND(CD74,4),0,(CD76-CD74))</f>
        <v>0</v>
      </c>
      <c r="CE77" s="142">
        <f>IF(ROUND(CE76,4)=ROUND(CE74,4),0,(CE76-CE74))</f>
        <v>0</v>
      </c>
      <c r="CF77" s="142">
        <f>IF(ROUND(CF76,4)=ROUND(CF74,4),0,(CF76-CF74))</f>
        <v>0</v>
      </c>
      <c r="CG77" s="23"/>
      <c r="CH77" s="144">
        <f t="shared" ref="CH77:CN77" si="534">IF(ROUND(CH76,4)=ROUND(CH74,4),0,(CH76-CH74))</f>
        <v>0</v>
      </c>
      <c r="CI77" s="142">
        <f t="shared" si="534"/>
        <v>0</v>
      </c>
      <c r="CJ77" s="142">
        <f t="shared" si="534"/>
        <v>0</v>
      </c>
      <c r="CK77" s="142">
        <f t="shared" si="534"/>
        <v>0</v>
      </c>
      <c r="CL77" s="142">
        <f t="shared" si="534"/>
        <v>0</v>
      </c>
      <c r="CM77" s="142">
        <f t="shared" si="534"/>
        <v>0</v>
      </c>
      <c r="CN77" s="142">
        <f t="shared" si="534"/>
        <v>0</v>
      </c>
      <c r="CO77" s="142">
        <f t="shared" ref="CO77:CT77" si="535">IF(ROUND(CO76,4)=ROUND(CO74,4),0,(CO76-CO74))</f>
        <v>0</v>
      </c>
      <c r="CP77" s="142">
        <f t="shared" si="535"/>
        <v>0</v>
      </c>
      <c r="CQ77" s="142">
        <f t="shared" si="535"/>
        <v>0</v>
      </c>
      <c r="CR77" s="142">
        <f t="shared" si="535"/>
        <v>0</v>
      </c>
      <c r="CS77" s="142">
        <f t="shared" si="535"/>
        <v>0</v>
      </c>
      <c r="CT77" s="142">
        <f t="shared" si="535"/>
        <v>0</v>
      </c>
      <c r="CU77" s="142">
        <f t="shared" ref="CU77" si="536">IF(ROUND(CU76,4)=ROUND(CU74,4),0,(CU76-CU74))</f>
        <v>0</v>
      </c>
      <c r="CV77" s="143">
        <f t="shared" ref="CV77" si="537">IF(ROUND(CV76,4)=ROUND(CV74,4),0,(CV76-CV74))</f>
        <v>0</v>
      </c>
      <c r="CW77" s="25"/>
    </row>
    <row r="78" spans="1:101" ht="14.25" customHeight="1">
      <c r="A78" s="8"/>
      <c r="B78" s="17"/>
      <c r="C78" s="17"/>
      <c r="D78" s="279"/>
      <c r="E78" s="279"/>
      <c r="F78" s="279"/>
      <c r="G78" s="278"/>
      <c r="H78" s="279"/>
      <c r="I78" s="279"/>
      <c r="J78" s="279"/>
      <c r="K78" s="278"/>
      <c r="L78" s="279"/>
      <c r="M78" s="279"/>
      <c r="N78" s="279"/>
      <c r="O78" s="278"/>
      <c r="P78" s="279"/>
      <c r="Q78" s="279"/>
      <c r="R78" s="279"/>
      <c r="S78" s="278"/>
      <c r="T78" s="279"/>
      <c r="U78" s="279"/>
      <c r="V78" s="279"/>
      <c r="W78" s="278"/>
      <c r="X78" s="279"/>
      <c r="Y78" s="279"/>
      <c r="Z78" s="279"/>
      <c r="AA78" s="278"/>
      <c r="AB78" s="279"/>
      <c r="AC78" s="279"/>
      <c r="AD78" s="279"/>
      <c r="AE78" s="278"/>
      <c r="AF78" s="279"/>
      <c r="AG78" s="279"/>
      <c r="AH78" s="279"/>
      <c r="AI78" s="279"/>
      <c r="AJ78" s="279"/>
      <c r="AK78" s="279"/>
      <c r="AL78" s="279"/>
      <c r="AM78" s="279"/>
      <c r="AN78" s="279"/>
      <c r="AO78" s="279"/>
      <c r="AP78" s="279"/>
      <c r="AQ78" s="279"/>
      <c r="AR78" s="279"/>
      <c r="AS78" s="279"/>
      <c r="AT78" s="279"/>
      <c r="AU78" s="279"/>
      <c r="AV78" s="279"/>
      <c r="AW78" s="279"/>
      <c r="AX78" s="279"/>
      <c r="AY78" s="279"/>
      <c r="AZ78" s="279"/>
      <c r="BA78" s="279"/>
      <c r="BB78" s="279"/>
      <c r="BC78" s="1157"/>
      <c r="BD78" s="279"/>
      <c r="BE78" s="279"/>
      <c r="BF78" s="279"/>
      <c r="BG78" s="279"/>
      <c r="BH78" s="279"/>
      <c r="BI78" s="279"/>
      <c r="BJ78" s="279"/>
      <c r="BK78" s="279"/>
      <c r="BL78" s="279"/>
      <c r="BM78" s="279"/>
      <c r="BN78" s="279"/>
      <c r="BO78" s="279"/>
      <c r="BP78" s="8"/>
      <c r="BQ78" s="243"/>
      <c r="BR78" s="243"/>
      <c r="BS78" s="243"/>
      <c r="BT78" s="243"/>
      <c r="BU78" s="243"/>
      <c r="BV78" s="243"/>
      <c r="BW78" s="243"/>
      <c r="BX78" s="243"/>
      <c r="BY78" s="243"/>
      <c r="BZ78" s="243"/>
      <c r="CA78" s="243"/>
      <c r="CB78" s="243"/>
      <c r="CC78" s="243"/>
      <c r="CD78" s="243"/>
      <c r="CE78" s="243"/>
      <c r="CF78" s="243"/>
      <c r="CG78" s="8"/>
      <c r="CH78" s="243"/>
      <c r="CI78" s="243"/>
      <c r="CJ78" s="243"/>
      <c r="CK78" s="243"/>
      <c r="CL78" s="243"/>
      <c r="CM78" s="243"/>
      <c r="CN78" s="243"/>
      <c r="CO78" s="243"/>
      <c r="CP78" s="243"/>
      <c r="CQ78" s="1006"/>
      <c r="CR78" s="1006"/>
      <c r="CS78" s="1006"/>
      <c r="CT78" s="1006"/>
      <c r="CU78" s="1006"/>
      <c r="CV78" s="1006"/>
      <c r="CW78" s="8"/>
    </row>
    <row r="79" spans="1:101" ht="14.25" customHeight="1">
      <c r="A79" s="8"/>
      <c r="B79" s="17"/>
      <c r="C79" s="17"/>
      <c r="D79" s="279"/>
      <c r="E79" s="279"/>
      <c r="F79" s="279"/>
      <c r="G79" s="254"/>
      <c r="H79" s="279"/>
      <c r="I79" s="279"/>
      <c r="J79" s="279"/>
      <c r="K79" s="254"/>
      <c r="L79" s="279"/>
      <c r="M79" s="279"/>
      <c r="N79" s="279"/>
      <c r="O79" s="254"/>
      <c r="P79" s="279"/>
      <c r="Q79" s="279"/>
      <c r="R79" s="279"/>
      <c r="S79" s="254"/>
      <c r="T79" s="279"/>
      <c r="U79" s="279"/>
      <c r="V79" s="279"/>
      <c r="W79" s="254"/>
      <c r="X79" s="279"/>
      <c r="Y79" s="279"/>
      <c r="Z79" s="279"/>
      <c r="AA79" s="254"/>
      <c r="AB79" s="279"/>
      <c r="AC79" s="279"/>
      <c r="AD79" s="279"/>
      <c r="AE79" s="254"/>
      <c r="AF79" s="279"/>
      <c r="AG79" s="279"/>
      <c r="AH79" s="279"/>
      <c r="AI79" s="279"/>
      <c r="AJ79" s="279"/>
      <c r="AK79" s="279"/>
      <c r="AL79" s="279"/>
      <c r="AM79" s="279"/>
      <c r="AN79" s="279"/>
      <c r="AO79" s="279"/>
      <c r="AP79" s="279"/>
      <c r="AQ79" s="279"/>
      <c r="AR79" s="279"/>
      <c r="AS79" s="279"/>
      <c r="AT79" s="279"/>
      <c r="AU79" s="279"/>
      <c r="AV79" s="279"/>
      <c r="AW79" s="279"/>
      <c r="AX79" s="279"/>
      <c r="AY79" s="279"/>
      <c r="AZ79" s="279"/>
      <c r="BA79" s="279"/>
      <c r="BB79" s="279"/>
      <c r="BC79" s="1158"/>
      <c r="BD79" s="279"/>
      <c r="BE79" s="279"/>
      <c r="BF79" s="279"/>
      <c r="BG79" s="279"/>
      <c r="BH79" s="279"/>
      <c r="BI79" s="279"/>
      <c r="BJ79" s="279"/>
      <c r="BK79" s="279"/>
      <c r="BL79" s="279"/>
      <c r="BM79" s="279"/>
      <c r="BN79" s="279"/>
      <c r="BO79" s="279"/>
      <c r="BP79" s="8"/>
      <c r="BQ79" s="243"/>
      <c r="BR79" s="243"/>
      <c r="BS79" s="243"/>
      <c r="BT79" s="243"/>
      <c r="BU79" s="243"/>
      <c r="BV79" s="243"/>
      <c r="BW79" s="243"/>
      <c r="BX79" s="243"/>
      <c r="BY79" s="243"/>
      <c r="BZ79" s="243"/>
      <c r="CA79" s="243"/>
      <c r="CB79" s="243"/>
      <c r="CC79" s="243"/>
      <c r="CD79" s="243"/>
      <c r="CE79" s="243"/>
      <c r="CF79" s="243"/>
      <c r="CG79" s="8"/>
      <c r="CH79" s="243"/>
      <c r="CI79" s="243"/>
      <c r="CJ79" s="243"/>
      <c r="CK79" s="243"/>
      <c r="CL79" s="243"/>
      <c r="CM79" s="243"/>
      <c r="CN79" s="243"/>
      <c r="CO79" s="243"/>
      <c r="CP79" s="243"/>
      <c r="CQ79" s="1006"/>
      <c r="CR79" s="1006"/>
      <c r="CS79" s="1006"/>
      <c r="CT79" s="1006"/>
      <c r="CU79" s="1006"/>
      <c r="CV79" s="1006"/>
      <c r="CW79" s="8"/>
    </row>
    <row r="80" spans="1:101" ht="14.25" customHeight="1">
      <c r="A80" s="8"/>
      <c r="B80" s="17"/>
      <c r="C80" s="17"/>
      <c r="D80" s="243"/>
      <c r="E80" s="243"/>
      <c r="F80" s="243"/>
      <c r="G80" s="280"/>
      <c r="H80" s="243"/>
      <c r="I80" s="243"/>
      <c r="J80" s="243"/>
      <c r="K80" s="280"/>
      <c r="L80" s="243"/>
      <c r="M80" s="243"/>
      <c r="N80" s="243"/>
      <c r="O80" s="280"/>
      <c r="P80" s="243"/>
      <c r="Q80" s="243"/>
      <c r="R80" s="243"/>
      <c r="S80" s="280"/>
      <c r="T80" s="243"/>
      <c r="U80" s="243"/>
      <c r="V80" s="243"/>
      <c r="W80" s="280"/>
      <c r="X80" s="243"/>
      <c r="Y80" s="243"/>
      <c r="Z80" s="243"/>
      <c r="AA80" s="280"/>
      <c r="AB80" s="243"/>
      <c r="AC80" s="243"/>
      <c r="AD80" s="243"/>
      <c r="AE80" s="280"/>
      <c r="AF80" s="243"/>
      <c r="AG80" s="243"/>
      <c r="AH80" s="243"/>
      <c r="AI80" s="243"/>
      <c r="AJ80" s="335"/>
      <c r="AK80" s="243"/>
      <c r="AL80" s="243"/>
      <c r="AM80" s="243"/>
      <c r="AN80" s="335"/>
      <c r="AO80" s="243"/>
      <c r="AP80" s="243"/>
      <c r="AQ80" s="243"/>
      <c r="AR80" s="335"/>
      <c r="AS80" s="243"/>
      <c r="AT80" s="243"/>
      <c r="AU80" s="243"/>
      <c r="AV80" s="335"/>
      <c r="AW80" s="243"/>
      <c r="AX80" s="243"/>
      <c r="AY80" s="243"/>
      <c r="AZ80" s="335"/>
      <c r="BA80" s="243"/>
      <c r="BB80" s="243"/>
      <c r="BC80" s="1156"/>
      <c r="BD80" s="335"/>
      <c r="BE80" s="243"/>
      <c r="BF80" s="243"/>
      <c r="BG80" s="243"/>
      <c r="BH80" s="335"/>
      <c r="BI80" s="243"/>
      <c r="BJ80" s="243"/>
      <c r="BK80" s="243"/>
      <c r="BL80" s="335"/>
      <c r="BM80" s="243"/>
      <c r="BN80" s="243"/>
      <c r="BO80" s="243"/>
      <c r="BP80" s="8"/>
      <c r="BQ80" s="243"/>
      <c r="BR80" s="243"/>
      <c r="BS80" s="243"/>
      <c r="BT80" s="243"/>
      <c r="BU80" s="243"/>
      <c r="BV80" s="243"/>
      <c r="BW80" s="243"/>
      <c r="BX80" s="243"/>
      <c r="BY80" s="243"/>
      <c r="BZ80" s="243"/>
      <c r="CA80" s="243"/>
      <c r="CB80" s="243"/>
      <c r="CC80" s="243"/>
      <c r="CD80" s="243"/>
      <c r="CE80" s="243"/>
      <c r="CF80" s="243"/>
      <c r="CG80" s="8"/>
      <c r="CH80" s="243"/>
      <c r="CI80" s="243"/>
      <c r="CJ80" s="243"/>
      <c r="CK80" s="243"/>
      <c r="CL80" s="243"/>
      <c r="CM80" s="243"/>
      <c r="CN80" s="243"/>
      <c r="CO80" s="243"/>
      <c r="CP80" s="243"/>
      <c r="CQ80" s="1006"/>
      <c r="CR80" s="1006"/>
      <c r="CS80" s="1006"/>
      <c r="CT80" s="1006"/>
      <c r="CU80" s="1006"/>
      <c r="CV80" s="1006"/>
      <c r="CW80" s="8"/>
    </row>
    <row r="81" spans="1:107" ht="14.25" customHeight="1">
      <c r="A81" s="8"/>
      <c r="B81" s="150" t="s">
        <v>143</v>
      </c>
      <c r="C81" s="151"/>
      <c r="D81" s="281" t="str">
        <f t="shared" ref="D81:Z81" si="538">D66</f>
        <v>F1Q05A</v>
      </c>
      <c r="E81" s="245" t="str">
        <f t="shared" si="538"/>
        <v>F2Q05A</v>
      </c>
      <c r="F81" s="245" t="str">
        <f t="shared" si="538"/>
        <v>F3Q05A</v>
      </c>
      <c r="G81" s="246" t="str">
        <f t="shared" si="538"/>
        <v>F4Q05A</v>
      </c>
      <c r="H81" s="281" t="str">
        <f t="shared" si="538"/>
        <v>F1Q06A</v>
      </c>
      <c r="I81" s="245" t="str">
        <f t="shared" si="538"/>
        <v>F2Q06A</v>
      </c>
      <c r="J81" s="245" t="str">
        <f t="shared" si="538"/>
        <v>F3Q06A</v>
      </c>
      <c r="K81" s="246" t="str">
        <f t="shared" si="538"/>
        <v>F4Q06A</v>
      </c>
      <c r="L81" s="281" t="str">
        <f t="shared" si="538"/>
        <v>F1Q07A</v>
      </c>
      <c r="M81" s="245" t="str">
        <f t="shared" si="538"/>
        <v>F2Q07A</v>
      </c>
      <c r="N81" s="245" t="str">
        <f t="shared" si="538"/>
        <v>F3Q07A</v>
      </c>
      <c r="O81" s="246" t="str">
        <f t="shared" si="538"/>
        <v>F4Q07A</v>
      </c>
      <c r="P81" s="281" t="str">
        <f t="shared" si="538"/>
        <v>F1Q08A</v>
      </c>
      <c r="Q81" s="245" t="str">
        <f t="shared" si="538"/>
        <v>F2Q08A</v>
      </c>
      <c r="R81" s="245" t="str">
        <f t="shared" si="538"/>
        <v>F3Q08A</v>
      </c>
      <c r="S81" s="246" t="str">
        <f t="shared" si="538"/>
        <v>F4Q08A</v>
      </c>
      <c r="T81" s="281" t="str">
        <f t="shared" si="538"/>
        <v>F1Q09A</v>
      </c>
      <c r="U81" s="245" t="str">
        <f t="shared" si="538"/>
        <v>F2Q09A</v>
      </c>
      <c r="V81" s="245" t="str">
        <f t="shared" si="538"/>
        <v>F3Q09A</v>
      </c>
      <c r="W81" s="246" t="str">
        <f t="shared" si="538"/>
        <v>F4Q09A</v>
      </c>
      <c r="X81" s="281" t="str">
        <f t="shared" si="538"/>
        <v>F1Q10A</v>
      </c>
      <c r="Y81" s="245" t="str">
        <f t="shared" si="538"/>
        <v>F2Q10A</v>
      </c>
      <c r="Z81" s="245" t="str">
        <f t="shared" si="538"/>
        <v>F3Q10A</v>
      </c>
      <c r="AA81" s="246" t="str">
        <f t="shared" ref="AA81:AQ81" si="539">AA66</f>
        <v>F4Q10A</v>
      </c>
      <c r="AB81" s="281" t="str">
        <f>AB66</f>
        <v>F1Q11A</v>
      </c>
      <c r="AC81" s="245" t="str">
        <f t="shared" si="539"/>
        <v>F2Q11A</v>
      </c>
      <c r="AD81" s="245" t="str">
        <f t="shared" si="539"/>
        <v>F3Q11A</v>
      </c>
      <c r="AE81" s="246" t="str">
        <f>AE66</f>
        <v>F4Q11A</v>
      </c>
      <c r="AF81" s="281" t="str">
        <f>AF66</f>
        <v>F1Q12A</v>
      </c>
      <c r="AG81" s="245" t="str">
        <f t="shared" si="539"/>
        <v>F2Q12A</v>
      </c>
      <c r="AH81" s="245" t="str">
        <f>AH66</f>
        <v>F3Q12A</v>
      </c>
      <c r="AI81" s="246" t="str">
        <f t="shared" si="539"/>
        <v>F4Q12A</v>
      </c>
      <c r="AJ81" s="281" t="str">
        <f t="shared" si="539"/>
        <v>F1Q13A</v>
      </c>
      <c r="AK81" s="245" t="str">
        <f t="shared" si="539"/>
        <v>F2Q13A</v>
      </c>
      <c r="AL81" s="245" t="str">
        <f t="shared" si="539"/>
        <v>F3Q13A</v>
      </c>
      <c r="AM81" s="246" t="str">
        <f t="shared" si="539"/>
        <v>F4Q13A</v>
      </c>
      <c r="AN81" s="281" t="str">
        <f t="shared" si="539"/>
        <v>F1Q14A</v>
      </c>
      <c r="AO81" s="245" t="str">
        <f t="shared" si="539"/>
        <v>F2Q14A</v>
      </c>
      <c r="AP81" s="245" t="str">
        <f t="shared" si="539"/>
        <v>F3Q14A</v>
      </c>
      <c r="AQ81" s="246" t="str">
        <f t="shared" si="539"/>
        <v>F4Q14A</v>
      </c>
      <c r="AR81" s="1061" t="str">
        <f t="shared" ref="AR81:AU81" si="540">AR66</f>
        <v>F1Q15A</v>
      </c>
      <c r="AS81" s="245" t="str">
        <f t="shared" si="540"/>
        <v>F2Q15A</v>
      </c>
      <c r="AT81" s="245" t="str">
        <f t="shared" si="540"/>
        <v>F3Q15A</v>
      </c>
      <c r="AU81" s="246" t="str">
        <f t="shared" si="540"/>
        <v>F4Q15A</v>
      </c>
      <c r="AV81" s="281" t="str">
        <f>AV66</f>
        <v>F1Q16A</v>
      </c>
      <c r="AW81" s="245" t="str">
        <f>AW66</f>
        <v>F2Q16A</v>
      </c>
      <c r="AX81" s="245" t="str">
        <f>AX66</f>
        <v>F3Q16A</v>
      </c>
      <c r="AY81" s="246" t="str">
        <f t="shared" ref="AY81" si="541">AY66</f>
        <v>F4Q16A</v>
      </c>
      <c r="AZ81" s="281" t="str">
        <f>AZ66</f>
        <v>F1Q17A</v>
      </c>
      <c r="BA81" s="245" t="str">
        <f t="shared" ref="BA81:BG81" si="542">BA66</f>
        <v>F2Q17A</v>
      </c>
      <c r="BB81" s="245" t="str">
        <f t="shared" si="542"/>
        <v>F3Q17A</v>
      </c>
      <c r="BC81" s="246" t="str">
        <f t="shared" si="542"/>
        <v>F4Q17A</v>
      </c>
      <c r="BD81" s="1396" t="str">
        <f t="shared" si="542"/>
        <v>F1Q18A</v>
      </c>
      <c r="BE81" s="1390" t="str">
        <f t="shared" si="542"/>
        <v>F2Q18E</v>
      </c>
      <c r="BF81" s="1390" t="str">
        <f t="shared" si="542"/>
        <v>F3Q18E</v>
      </c>
      <c r="BG81" s="1391" t="str">
        <f t="shared" si="542"/>
        <v>F4Q18E</v>
      </c>
      <c r="BH81" s="1396" t="str">
        <f t="shared" ref="BH81:BK81" si="543">BH66</f>
        <v>F1Q19E</v>
      </c>
      <c r="BI81" s="1390" t="str">
        <f t="shared" si="543"/>
        <v>F2Q19E</v>
      </c>
      <c r="BJ81" s="1390" t="str">
        <f t="shared" si="543"/>
        <v>F3Q19E</v>
      </c>
      <c r="BK81" s="1391" t="str">
        <f t="shared" si="543"/>
        <v>F4Q19E</v>
      </c>
      <c r="BL81" s="1396" t="str">
        <f t="shared" ref="BL81:BO81" si="544">BL66</f>
        <v>F1Q20E</v>
      </c>
      <c r="BM81" s="1390" t="str">
        <f t="shared" si="544"/>
        <v>F2Q20E</v>
      </c>
      <c r="BN81" s="1390" t="str">
        <f t="shared" si="544"/>
        <v>F3Q20E</v>
      </c>
      <c r="BO81" s="1391" t="str">
        <f t="shared" si="544"/>
        <v>F4Q20E</v>
      </c>
      <c r="BP81" s="176"/>
      <c r="BQ81" s="20" t="str">
        <f t="shared" ref="BQ81:BW81" si="545">BQ66</f>
        <v>FY2005A</v>
      </c>
      <c r="BR81" s="21" t="str">
        <f t="shared" si="545"/>
        <v>FY2006A</v>
      </c>
      <c r="BS81" s="21" t="str">
        <f t="shared" si="545"/>
        <v>FY2007A</v>
      </c>
      <c r="BT81" s="21" t="str">
        <f t="shared" si="545"/>
        <v>FY2008A</v>
      </c>
      <c r="BU81" s="21" t="str">
        <f t="shared" si="545"/>
        <v>FY2009A</v>
      </c>
      <c r="BV81" s="21" t="str">
        <f t="shared" si="545"/>
        <v>FY2010A</v>
      </c>
      <c r="BW81" s="21" t="str">
        <f t="shared" si="545"/>
        <v>FY2011A</v>
      </c>
      <c r="BX81" s="21" t="str">
        <f t="shared" ref="BX81:BZ81" si="546">BX66</f>
        <v>FY2012A</v>
      </c>
      <c r="BY81" s="21" t="str">
        <f t="shared" si="546"/>
        <v>FY2013A</v>
      </c>
      <c r="BZ81" s="1438" t="str">
        <f t="shared" si="546"/>
        <v>FY2014A</v>
      </c>
      <c r="CA81" s="21" t="str">
        <f t="shared" ref="CA81:CF81" si="547">CA66</f>
        <v>FY2015A</v>
      </c>
      <c r="CB81" s="21" t="str">
        <f t="shared" si="547"/>
        <v>FY2016A</v>
      </c>
      <c r="CC81" s="21" t="str">
        <f t="shared" si="547"/>
        <v>FY2017A</v>
      </c>
      <c r="CD81" s="1438" t="str">
        <f t="shared" si="547"/>
        <v>FY2018E</v>
      </c>
      <c r="CE81" s="1438" t="str">
        <f t="shared" si="547"/>
        <v>FY2019E</v>
      </c>
      <c r="CF81" s="1438" t="str">
        <f t="shared" si="547"/>
        <v>FY2020E</v>
      </c>
      <c r="CG81" s="176"/>
      <c r="CH81" s="20" t="str">
        <f t="shared" ref="CH81:CN81" si="548">CH66</f>
        <v>CY2005</v>
      </c>
      <c r="CI81" s="21" t="str">
        <f t="shared" si="548"/>
        <v>CY2006</v>
      </c>
      <c r="CJ81" s="21" t="str">
        <f t="shared" si="548"/>
        <v>CY2007</v>
      </c>
      <c r="CK81" s="21" t="str">
        <f t="shared" si="548"/>
        <v>CY2008</v>
      </c>
      <c r="CL81" s="21" t="str">
        <f t="shared" si="548"/>
        <v>CY2009</v>
      </c>
      <c r="CM81" s="21" t="str">
        <f t="shared" si="548"/>
        <v>CY2010</v>
      </c>
      <c r="CN81" s="21" t="str">
        <f t="shared" si="548"/>
        <v>CY2011</v>
      </c>
      <c r="CO81" s="21" t="str">
        <f t="shared" ref="CO81:CT81" si="549">CO66</f>
        <v>CY2012</v>
      </c>
      <c r="CP81" s="21" t="str">
        <f t="shared" si="549"/>
        <v>CY2013</v>
      </c>
      <c r="CQ81" s="21" t="str">
        <f t="shared" si="549"/>
        <v>CY2014</v>
      </c>
      <c r="CR81" s="21" t="str">
        <f t="shared" si="549"/>
        <v>CY2015</v>
      </c>
      <c r="CS81" s="21" t="str">
        <f t="shared" si="549"/>
        <v>CY2016</v>
      </c>
      <c r="CT81" s="1205" t="str">
        <f t="shared" si="549"/>
        <v>CY2017</v>
      </c>
      <c r="CU81" s="1438" t="str">
        <f t="shared" ref="CU81" si="550">CU66</f>
        <v>CY2018</v>
      </c>
      <c r="CV81" s="1439" t="str">
        <f t="shared" ref="CV81" si="551">CV66</f>
        <v>CY2019</v>
      </c>
      <c r="CW81" s="25"/>
    </row>
    <row r="82" spans="1:107" ht="14.25" customHeight="1">
      <c r="A82" s="8"/>
      <c r="B82" s="282" t="s">
        <v>144</v>
      </c>
      <c r="C82" s="10"/>
      <c r="D82" s="389">
        <f t="shared" ref="D82:AD82" si="552">D13</f>
        <v>38.313000000000002</v>
      </c>
      <c r="E82" s="270">
        <f t="shared" si="552"/>
        <v>39.012999999999991</v>
      </c>
      <c r="F82" s="270">
        <f t="shared" si="552"/>
        <v>37.801000000000002</v>
      </c>
      <c r="G82" s="251">
        <f t="shared" si="552"/>
        <v>38.054000000000016</v>
      </c>
      <c r="H82" s="389">
        <f t="shared" si="552"/>
        <v>43.079000000000001</v>
      </c>
      <c r="I82" s="270">
        <f t="shared" si="552"/>
        <v>42.687000000000005</v>
      </c>
      <c r="J82" s="270">
        <f t="shared" si="552"/>
        <v>42.18099999999999</v>
      </c>
      <c r="K82" s="251">
        <f t="shared" si="552"/>
        <v>38.904000000000003</v>
      </c>
      <c r="L82" s="389">
        <f t="shared" si="552"/>
        <v>35.613</v>
      </c>
      <c r="M82" s="270">
        <f t="shared" si="552"/>
        <v>35.715000000000003</v>
      </c>
      <c r="N82" s="270">
        <f t="shared" si="552"/>
        <v>35.741</v>
      </c>
      <c r="O82" s="251">
        <f t="shared" si="552"/>
        <v>35.103999999999999</v>
      </c>
      <c r="P82" s="389">
        <f t="shared" si="552"/>
        <v>35.551000000000002</v>
      </c>
      <c r="Q82" s="270">
        <f t="shared" si="552"/>
        <v>36.265999999999991</v>
      </c>
      <c r="R82" s="270">
        <f t="shared" si="552"/>
        <v>36.244000000000014</v>
      </c>
      <c r="S82" s="251">
        <f t="shared" si="552"/>
        <v>36.161000000000001</v>
      </c>
      <c r="T82" s="389">
        <f t="shared" si="552"/>
        <v>38.755000000000003</v>
      </c>
      <c r="U82" s="270">
        <f t="shared" si="552"/>
        <v>33.439999999999991</v>
      </c>
      <c r="V82" s="270">
        <f t="shared" si="552"/>
        <v>30.300000000000004</v>
      </c>
      <c r="W82" s="251">
        <f t="shared" si="552"/>
        <v>29.997999999999983</v>
      </c>
      <c r="X82" s="389">
        <f t="shared" si="552"/>
        <v>29.280999999999999</v>
      </c>
      <c r="Y82" s="270">
        <f t="shared" si="552"/>
        <v>28.913000000000004</v>
      </c>
      <c r="Z82" s="270">
        <f t="shared" si="552"/>
        <v>28.581999999999994</v>
      </c>
      <c r="AA82" s="251">
        <f t="shared" si="552"/>
        <v>29.307000000000002</v>
      </c>
      <c r="AB82" s="250">
        <f t="shared" si="552"/>
        <v>29.492999999999999</v>
      </c>
      <c r="AC82" s="270">
        <f t="shared" si="552"/>
        <v>29.466000000000005</v>
      </c>
      <c r="AD82" s="270">
        <f t="shared" si="552"/>
        <v>29.132999999999992</v>
      </c>
      <c r="AE82" s="251">
        <f t="shared" ref="AE82:AJ82" si="553">AE13</f>
        <v>28.781000000000002</v>
      </c>
      <c r="AF82" s="250">
        <f t="shared" si="553"/>
        <v>28.242999999999999</v>
      </c>
      <c r="AG82" s="250">
        <f t="shared" si="553"/>
        <v>26.870999999999999</v>
      </c>
      <c r="AH82" s="270">
        <f t="shared" si="553"/>
        <v>27.10700000000001</v>
      </c>
      <c r="AI82" s="251">
        <f t="shared" si="553"/>
        <v>27.483999999999991</v>
      </c>
      <c r="AJ82" s="250">
        <f t="shared" si="553"/>
        <v>27.754999999999999</v>
      </c>
      <c r="AK82" s="250">
        <f t="shared" ref="AK82:AP82" si="554">AK13</f>
        <v>27.478000000000005</v>
      </c>
      <c r="AL82" s="270">
        <f t="shared" si="554"/>
        <v>27.44799999999999</v>
      </c>
      <c r="AM82" s="251">
        <f t="shared" si="554"/>
        <v>27.514999999999997</v>
      </c>
      <c r="AN82" s="391">
        <f t="shared" si="554"/>
        <v>27.335000000000001</v>
      </c>
      <c r="AO82" s="250">
        <f t="shared" si="554"/>
        <v>27.458999999999996</v>
      </c>
      <c r="AP82" s="250">
        <f t="shared" si="554"/>
        <v>28.353000000000009</v>
      </c>
      <c r="AQ82" s="251">
        <f t="shared" ref="AQ82:AV82" si="555">AQ13</f>
        <v>30.916999999999987</v>
      </c>
      <c r="AR82" s="391">
        <f t="shared" si="555"/>
        <v>31.773</v>
      </c>
      <c r="AS82" s="250">
        <f t="shared" si="555"/>
        <v>32.036000000000001</v>
      </c>
      <c r="AT82" s="250">
        <f t="shared" si="555"/>
        <v>33.650000000000006</v>
      </c>
      <c r="AU82" s="251">
        <f t="shared" si="555"/>
        <v>32.687999999999988</v>
      </c>
      <c r="AV82" s="389">
        <f t="shared" si="555"/>
        <v>33.209000000000003</v>
      </c>
      <c r="AW82" s="250">
        <f>AW13</f>
        <v>33.48299999999999</v>
      </c>
      <c r="AX82" s="250">
        <f>AX13</f>
        <v>33.732000000000014</v>
      </c>
      <c r="AY82" s="251">
        <f t="shared" ref="AY82:AZ82" si="556">AY13</f>
        <v>34.115999999999985</v>
      </c>
      <c r="AZ82" s="389">
        <f t="shared" si="556"/>
        <v>34.378999999999998</v>
      </c>
      <c r="BA82" s="250">
        <f>BA13</f>
        <v>48.771999999999998</v>
      </c>
      <c r="BB82" s="250">
        <f>BB13</f>
        <v>55.217000000000006</v>
      </c>
      <c r="BC82" s="1393">
        <f t="shared" ref="BC82:BD82" si="557">BC13</f>
        <v>56.297999999999995</v>
      </c>
      <c r="BD82" s="1398">
        <f t="shared" si="557"/>
        <v>56.414999999999999</v>
      </c>
      <c r="BE82" s="1392">
        <f t="shared" ref="BE82:BG82" si="558">BE71*BE83</f>
        <v>57.646111661514844</v>
      </c>
      <c r="BF82" s="1392">
        <f t="shared" si="558"/>
        <v>58.913322459729336</v>
      </c>
      <c r="BG82" s="1393">
        <f t="shared" si="558"/>
        <v>60.222365010802449</v>
      </c>
      <c r="BH82" s="1398">
        <f t="shared" ref="BH82:BK82" si="559">BH71*BH83</f>
        <v>58.726801575683773</v>
      </c>
      <c r="BI82" s="1392">
        <f t="shared" si="559"/>
        <v>59.966677768973426</v>
      </c>
      <c r="BJ82" s="1392">
        <f t="shared" si="559"/>
        <v>61.252020999431963</v>
      </c>
      <c r="BK82" s="1393">
        <f t="shared" si="559"/>
        <v>62.590942698182054</v>
      </c>
      <c r="BL82" s="1398">
        <f t="shared" ref="BL82:BO82" si="560">BL71*BL83</f>
        <v>63.860283107458798</v>
      </c>
      <c r="BM82" s="1392">
        <f t="shared" si="560"/>
        <v>65.183338064734073</v>
      </c>
      <c r="BN82" s="1392">
        <f t="shared" si="560"/>
        <v>66.548140188935093</v>
      </c>
      <c r="BO82" s="1393">
        <f t="shared" si="560"/>
        <v>67.961399049982532</v>
      </c>
      <c r="BP82" s="23"/>
      <c r="BQ82" s="252">
        <f t="shared" ref="BQ82:BW82" si="561">BQ71*BQ83</f>
        <v>153.18100000000001</v>
      </c>
      <c r="BR82" s="694">
        <f t="shared" si="561"/>
        <v>166.851</v>
      </c>
      <c r="BS82" s="694">
        <f t="shared" si="561"/>
        <v>142.173</v>
      </c>
      <c r="BT82" s="694">
        <f t="shared" si="561"/>
        <v>144.22200000000001</v>
      </c>
      <c r="BU82" s="694">
        <f t="shared" si="561"/>
        <v>132.49299999999999</v>
      </c>
      <c r="BV82" s="694">
        <f t="shared" si="561"/>
        <v>116.083</v>
      </c>
      <c r="BW82" s="694">
        <f t="shared" si="561"/>
        <v>116.873</v>
      </c>
      <c r="BX82" s="270">
        <f t="shared" ref="BX82:CC82" si="562">BX71*BX83</f>
        <v>109.705</v>
      </c>
      <c r="BY82" s="270">
        <f t="shared" si="562"/>
        <v>110.19600000000001</v>
      </c>
      <c r="BZ82" s="270">
        <f t="shared" si="562"/>
        <v>114.06399999999999</v>
      </c>
      <c r="CA82" s="270">
        <f t="shared" si="562"/>
        <v>130.14699999999999</v>
      </c>
      <c r="CB82" s="270">
        <f t="shared" si="562"/>
        <v>134.54</v>
      </c>
      <c r="CC82" s="270">
        <f t="shared" si="562"/>
        <v>194.666</v>
      </c>
      <c r="CD82" s="270">
        <f t="shared" ref="CD82:CE82" si="563">CD71*CD83</f>
        <v>233.19679913204666</v>
      </c>
      <c r="CE82" s="270">
        <f t="shared" si="563"/>
        <v>242.53644304227123</v>
      </c>
      <c r="CF82" s="270">
        <f t="shared" ref="CF82" si="564">CF71*CF83</f>
        <v>263.55316041111053</v>
      </c>
      <c r="CG82" s="23"/>
      <c r="CH82" s="329">
        <f t="shared" ref="CH82:CN82" si="565">CH71*CH83</f>
        <v>157.947</v>
      </c>
      <c r="CI82" s="694">
        <f t="shared" si="565"/>
        <v>159.38499999999999</v>
      </c>
      <c r="CJ82" s="694">
        <f t="shared" si="565"/>
        <v>142.11099999999999</v>
      </c>
      <c r="CK82" s="694">
        <f t="shared" si="565"/>
        <v>147.42600000000002</v>
      </c>
      <c r="CL82" s="694">
        <f t="shared" si="565"/>
        <v>123.01899999999998</v>
      </c>
      <c r="CM82" s="694">
        <f t="shared" si="565"/>
        <v>116.29499999999999</v>
      </c>
      <c r="CN82" s="270">
        <f t="shared" si="565"/>
        <v>115.62299999999999</v>
      </c>
      <c r="CO82" s="270">
        <f t="shared" ref="CO82:CT82" si="566">CO71*CO83</f>
        <v>109.217</v>
      </c>
      <c r="CP82" s="270">
        <f t="shared" si="566"/>
        <v>109.77599999999998</v>
      </c>
      <c r="CQ82" s="172">
        <f t="shared" si="566"/>
        <v>118.50199999999998</v>
      </c>
      <c r="CR82" s="172">
        <f t="shared" si="566"/>
        <v>131.583</v>
      </c>
      <c r="CS82" s="172">
        <f t="shared" si="566"/>
        <v>135.70999999999998</v>
      </c>
      <c r="CT82" s="172">
        <f t="shared" si="566"/>
        <v>216.702</v>
      </c>
      <c r="CU82" s="172">
        <f t="shared" ref="CU82" si="567">CU71*CU83</f>
        <v>235.50860070773038</v>
      </c>
      <c r="CV82" s="175">
        <f t="shared" ref="CV82" si="568">CV71*CV83</f>
        <v>247.66992457404623</v>
      </c>
      <c r="CW82" s="25"/>
    </row>
    <row r="83" spans="1:107" ht="14.25" customHeight="1">
      <c r="A83" s="11"/>
      <c r="B83" s="361" t="s">
        <v>145</v>
      </c>
      <c r="C83" s="790"/>
      <c r="D83" s="390">
        <f t="shared" ref="D83:AN83" si="569">D82/D71</f>
        <v>2.096538274012677E-2</v>
      </c>
      <c r="E83" s="264">
        <f t="shared" si="569"/>
        <v>2.1189692640013115E-2</v>
      </c>
      <c r="F83" s="264">
        <f t="shared" si="569"/>
        <v>2.0501381094864109E-2</v>
      </c>
      <c r="G83" s="265">
        <f t="shared" si="569"/>
        <v>2.0450190078105612E-2</v>
      </c>
      <c r="H83" s="390">
        <f t="shared" si="569"/>
        <v>2.3072086412003763E-2</v>
      </c>
      <c r="I83" s="264">
        <f t="shared" si="569"/>
        <v>2.2632860090039411E-2</v>
      </c>
      <c r="J83" s="264">
        <f t="shared" si="569"/>
        <v>2.1984579887140154E-2</v>
      </c>
      <c r="K83" s="265">
        <f t="shared" si="569"/>
        <v>2.0334007927879712E-2</v>
      </c>
      <c r="L83" s="390">
        <f t="shared" si="569"/>
        <v>1.8273384986402585E-2</v>
      </c>
      <c r="M83" s="264">
        <f t="shared" si="569"/>
        <v>1.8816729845709666E-2</v>
      </c>
      <c r="N83" s="264">
        <f t="shared" si="569"/>
        <v>1.8580391736895706E-2</v>
      </c>
      <c r="O83" s="265">
        <f t="shared" si="569"/>
        <v>1.8239236180027246E-2</v>
      </c>
      <c r="P83" s="390">
        <f t="shared" si="569"/>
        <v>1.8087776415932875E-2</v>
      </c>
      <c r="Q83" s="264">
        <f t="shared" si="569"/>
        <v>1.8402112493099077E-2</v>
      </c>
      <c r="R83" s="264">
        <f t="shared" si="569"/>
        <v>1.8282363753665282E-2</v>
      </c>
      <c r="S83" s="265">
        <f t="shared" si="569"/>
        <v>1.7906014838407144E-2</v>
      </c>
      <c r="T83" s="390">
        <f t="shared" si="569"/>
        <v>1.9036817120806057E-2</v>
      </c>
      <c r="U83" s="264">
        <f t="shared" si="569"/>
        <v>1.6487420206852038E-2</v>
      </c>
      <c r="V83" s="264">
        <f t="shared" si="569"/>
        <v>1.4988736187360194E-2</v>
      </c>
      <c r="W83" s="265">
        <f t="shared" si="569"/>
        <v>1.4776510087610835E-2</v>
      </c>
      <c r="X83" s="390">
        <f t="shared" si="569"/>
        <v>1.4346764346764346E-2</v>
      </c>
      <c r="Y83" s="264">
        <f t="shared" si="569"/>
        <v>1.4172573743901551E-2</v>
      </c>
      <c r="Z83" s="264">
        <f t="shared" si="569"/>
        <v>1.3782508144516216E-2</v>
      </c>
      <c r="AA83" s="265">
        <f t="shared" si="569"/>
        <v>1.3945454415679893E-2</v>
      </c>
      <c r="AB83" s="264">
        <f t="shared" si="569"/>
        <v>1.3889314039401326E-2</v>
      </c>
      <c r="AC83" s="264">
        <f t="shared" si="569"/>
        <v>1.4028288906768488E-2</v>
      </c>
      <c r="AD83" s="264">
        <f t="shared" si="569"/>
        <v>1.3704474828794022E-2</v>
      </c>
      <c r="AE83" s="265">
        <f t="shared" si="569"/>
        <v>1.3468569671688115E-2</v>
      </c>
      <c r="AF83" s="264">
        <f t="shared" si="569"/>
        <v>1.307572326671318E-2</v>
      </c>
      <c r="AG83" s="264">
        <f t="shared" si="569"/>
        <v>1.2299888220285684E-2</v>
      </c>
      <c r="AH83" s="264">
        <f t="shared" si="569"/>
        <v>1.2257490965261027E-2</v>
      </c>
      <c r="AI83" s="265">
        <f>AI82/AI71</f>
        <v>1.2334891127217138E-2</v>
      </c>
      <c r="AJ83" s="264">
        <f t="shared" si="569"/>
        <v>1.2367265223588835E-2</v>
      </c>
      <c r="AK83" s="264">
        <f t="shared" si="569"/>
        <v>1.2171504911479966E-2</v>
      </c>
      <c r="AL83" s="264">
        <f t="shared" si="569"/>
        <v>1.2154372217464422E-2</v>
      </c>
      <c r="AM83" s="265">
        <f>AM82/AM71</f>
        <v>1.2000118627376582E-2</v>
      </c>
      <c r="AN83" s="390">
        <f t="shared" si="569"/>
        <v>1.1734096403747356E-2</v>
      </c>
      <c r="AO83" s="264">
        <f t="shared" ref="AO83:AU83" si="570">AO82/AO71</f>
        <v>1.1599290330756556E-2</v>
      </c>
      <c r="AP83" s="264">
        <f t="shared" si="570"/>
        <v>1.1556290297533823E-2</v>
      </c>
      <c r="AQ83" s="265">
        <f t="shared" si="570"/>
        <v>1.2382223297339161E-2</v>
      </c>
      <c r="AR83" s="390">
        <f t="shared" si="570"/>
        <v>1.2722003424246162E-2</v>
      </c>
      <c r="AS83" s="264">
        <f t="shared" si="570"/>
        <v>1.2632277922732383E-2</v>
      </c>
      <c r="AT83" s="264">
        <f t="shared" si="570"/>
        <v>1.3111823396792222E-2</v>
      </c>
      <c r="AU83" s="265">
        <f t="shared" si="570"/>
        <v>1.2562185469784919E-2</v>
      </c>
      <c r="AV83" s="390">
        <f>AV82/AV71</f>
        <v>1.2708631031423907E-2</v>
      </c>
      <c r="AW83" s="264">
        <f>AW82/AW71</f>
        <v>1.2714871763324068E-2</v>
      </c>
      <c r="AX83" s="264">
        <f>AX82/AX71</f>
        <v>1.2665813567875429E-2</v>
      </c>
      <c r="AY83" s="265">
        <f t="shared" ref="AY83" si="571">AY82/AY71</f>
        <v>1.2744697367605091E-2</v>
      </c>
      <c r="AZ83" s="390">
        <f>AZ82/AZ71</f>
        <v>1.2728762471347417E-2</v>
      </c>
      <c r="BA83" s="1287">
        <f>BA82/BA71</f>
        <v>1.5235465284274876E-2</v>
      </c>
      <c r="BB83" s="1287">
        <f>BB82/BB71</f>
        <v>1.6959116235227924E-2</v>
      </c>
      <c r="BC83" s="1288">
        <f t="shared" ref="BC83" si="572">BC82/BC71</f>
        <v>1.7037144412631901E-2</v>
      </c>
      <c r="BD83" s="1291">
        <f>BD82/BD71</f>
        <v>1.6745548693882822E-2</v>
      </c>
      <c r="BE83" s="1138">
        <f t="shared" ref="BE83:BK83" si="573">BD83</f>
        <v>1.6745548693882822E-2</v>
      </c>
      <c r="BF83" s="1138">
        <f t="shared" si="573"/>
        <v>1.6745548693882822E-2</v>
      </c>
      <c r="BG83" s="1139">
        <f t="shared" si="573"/>
        <v>1.6745548693882822E-2</v>
      </c>
      <c r="BH83" s="1386">
        <v>1.6E-2</v>
      </c>
      <c r="BI83" s="1138">
        <f t="shared" si="573"/>
        <v>1.6E-2</v>
      </c>
      <c r="BJ83" s="1138">
        <f t="shared" si="573"/>
        <v>1.6E-2</v>
      </c>
      <c r="BK83" s="1139">
        <f t="shared" si="573"/>
        <v>1.6E-2</v>
      </c>
      <c r="BL83" s="1386">
        <v>1.6E-2</v>
      </c>
      <c r="BM83" s="1138">
        <f t="shared" ref="BM83" si="574">BL83</f>
        <v>1.6E-2</v>
      </c>
      <c r="BN83" s="1138">
        <f t="shared" ref="BN83" si="575">BM83</f>
        <v>1.6E-2</v>
      </c>
      <c r="BO83" s="1139">
        <f t="shared" ref="BO83" si="576">BN83</f>
        <v>1.6E-2</v>
      </c>
      <c r="BP83" s="176"/>
      <c r="BQ83" s="264">
        <f t="shared" ref="BQ83:BW83" si="577">BQ85/BQ71</f>
        <v>8.2319350563785532E-2</v>
      </c>
      <c r="BR83" s="264">
        <f t="shared" si="577"/>
        <v>8.7208244827643874E-2</v>
      </c>
      <c r="BS83" s="264">
        <f t="shared" si="577"/>
        <v>7.386984176797555E-2</v>
      </c>
      <c r="BT83" s="264">
        <f t="shared" si="577"/>
        <v>7.141509560091687E-2</v>
      </c>
      <c r="BU83" s="264">
        <f t="shared" si="577"/>
        <v>6.5263822622768961E-2</v>
      </c>
      <c r="BV83" s="264">
        <f t="shared" si="577"/>
        <v>5.5236980412030193E-2</v>
      </c>
      <c r="BW83" s="264">
        <f t="shared" si="577"/>
        <v>5.4692753665237653E-2</v>
      </c>
      <c r="BX83" s="264">
        <f t="shared" ref="BX83:CC83" si="578">BX85/BX71</f>
        <v>4.923589110432821E-2</v>
      </c>
      <c r="BY83" s="264">
        <f t="shared" si="578"/>
        <v>4.8059788197797201E-2</v>
      </c>
      <c r="BZ83" s="1287">
        <f t="shared" si="578"/>
        <v>4.568250212464646E-2</v>
      </c>
      <c r="CA83" s="264">
        <f t="shared" si="578"/>
        <v>5.0016236916792044E-2</v>
      </c>
      <c r="CB83" s="264">
        <f t="shared" si="578"/>
        <v>5.0260041735185536E-2</v>
      </c>
      <c r="CC83" s="264">
        <f t="shared" si="578"/>
        <v>5.8910667416771499E-2</v>
      </c>
      <c r="CD83" s="1287">
        <f t="shared" ref="CD83:CE83" si="579">CD85/CD71</f>
        <v>6.4843158424994329E-2</v>
      </c>
      <c r="CE83" s="1287">
        <f t="shared" si="579"/>
        <v>6.1999115549174352E-2</v>
      </c>
      <c r="CF83" s="1287">
        <f t="shared" ref="CF83" si="580">CF85/CF71</f>
        <v>6.2047730410559471E-2</v>
      </c>
      <c r="CG83" s="176"/>
      <c r="CH83" s="390">
        <f t="shared" ref="CH83:CN83" si="581">CH85/CH71</f>
        <v>8.4592651466300475E-2</v>
      </c>
      <c r="CI83" s="264">
        <f t="shared" si="581"/>
        <v>8.1782030889219551E-2</v>
      </c>
      <c r="CJ83" s="264">
        <f t="shared" si="581"/>
        <v>7.2303788761065413E-2</v>
      </c>
      <c r="CK83" s="264">
        <f t="shared" si="581"/>
        <v>7.2417024921995976E-2</v>
      </c>
      <c r="CL83" s="264">
        <f t="shared" si="581"/>
        <v>6.0275421029835144E-2</v>
      </c>
      <c r="CM83" s="264">
        <f t="shared" si="581"/>
        <v>5.4767496565699562E-2</v>
      </c>
      <c r="CN83" s="264">
        <f t="shared" si="581"/>
        <v>5.3530232314809967E-2</v>
      </c>
      <c r="CO83" s="264">
        <f t="shared" ref="CO83:CT83" si="582">CO85/CO71</f>
        <v>4.86656676607711E-2</v>
      </c>
      <c r="CP83" s="264">
        <f t="shared" si="582"/>
        <v>4.7123547350201918E-2</v>
      </c>
      <c r="CQ83" s="264">
        <f t="shared" si="582"/>
        <v>4.7448552222957179E-2</v>
      </c>
      <c r="CR83" s="264">
        <f t="shared" si="582"/>
        <v>5.0355018127852445E-2</v>
      </c>
      <c r="CS83" s="264">
        <f t="shared" si="582"/>
        <v>5.0246381657016136E-2</v>
      </c>
      <c r="CT83" s="264">
        <f t="shared" si="582"/>
        <v>6.4323210016162286E-2</v>
      </c>
      <c r="CU83" s="1287">
        <f t="shared" ref="CU83" si="583">CU85/CU71</f>
        <v>6.4163848706582871E-2</v>
      </c>
      <c r="CV83" s="1288">
        <f t="shared" ref="CV83" si="584">CV85/CV71</f>
        <v>6.205294747153884E-2</v>
      </c>
      <c r="CW83" s="26"/>
    </row>
    <row r="84" spans="1:107" ht="14.25" customHeight="1">
      <c r="A84" s="8"/>
      <c r="B84" s="17"/>
      <c r="C84" s="17"/>
      <c r="D84" s="250"/>
      <c r="E84" s="250"/>
      <c r="F84" s="250"/>
      <c r="G84" s="250"/>
      <c r="H84" s="250"/>
      <c r="I84" s="250"/>
      <c r="J84" s="250"/>
      <c r="K84" s="250"/>
      <c r="L84" s="250"/>
      <c r="M84" s="250"/>
      <c r="N84" s="250"/>
      <c r="O84" s="250"/>
      <c r="P84" s="250"/>
      <c r="Q84" s="250"/>
      <c r="R84" s="250"/>
      <c r="S84" s="250"/>
      <c r="T84" s="250"/>
      <c r="U84" s="250"/>
      <c r="V84" s="250"/>
      <c r="W84" s="250"/>
      <c r="X84" s="250"/>
      <c r="Y84" s="250"/>
      <c r="Z84" s="250"/>
      <c r="AA84" s="250"/>
      <c r="AB84" s="250"/>
      <c r="AC84" s="250"/>
      <c r="AD84" s="250"/>
      <c r="AE84" s="250"/>
      <c r="AF84" s="250"/>
      <c r="AG84" s="250"/>
      <c r="AH84" s="250"/>
      <c r="AI84" s="250"/>
      <c r="AJ84" s="250"/>
      <c r="AK84" s="250"/>
      <c r="AL84" s="250"/>
      <c r="AM84" s="250"/>
      <c r="AN84" s="250"/>
      <c r="AO84" s="250"/>
      <c r="AP84" s="250"/>
      <c r="AQ84" s="250"/>
      <c r="AR84" s="250"/>
      <c r="AS84" s="250"/>
      <c r="AT84" s="250"/>
      <c r="AU84" s="250"/>
      <c r="AV84" s="250"/>
      <c r="AW84" s="250"/>
      <c r="AX84" s="250"/>
      <c r="AY84" s="250"/>
      <c r="AZ84" s="250"/>
      <c r="BA84" s="250"/>
      <c r="BB84" s="250"/>
      <c r="BC84" s="1392"/>
      <c r="BD84" s="1392"/>
      <c r="BE84" s="250"/>
      <c r="BF84" s="250"/>
      <c r="BG84" s="250"/>
      <c r="BH84" s="1392"/>
      <c r="BI84" s="1392"/>
      <c r="BJ84" s="1392"/>
      <c r="BK84" s="1392"/>
      <c r="BL84" s="1392"/>
      <c r="BM84" s="1392"/>
      <c r="BN84" s="1392"/>
      <c r="BO84" s="1392"/>
      <c r="BP84" s="8"/>
      <c r="BQ84" s="250"/>
      <c r="BR84" s="250"/>
      <c r="BS84" s="250"/>
      <c r="BT84" s="250"/>
      <c r="BU84" s="250"/>
      <c r="BV84" s="250"/>
      <c r="BW84" s="250"/>
      <c r="BX84" s="250"/>
      <c r="BY84" s="250"/>
      <c r="BZ84" s="1392"/>
      <c r="CA84" s="250"/>
      <c r="CB84" s="250"/>
      <c r="CC84" s="250"/>
      <c r="CD84" s="1392"/>
      <c r="CE84" s="1392"/>
      <c r="CF84" s="1392"/>
      <c r="CG84" s="8"/>
      <c r="CH84" s="250"/>
      <c r="CI84" s="250"/>
      <c r="CJ84" s="250"/>
      <c r="CK84" s="250"/>
      <c r="CL84" s="250"/>
      <c r="CM84" s="250"/>
      <c r="CN84" s="250"/>
      <c r="CO84" s="250"/>
      <c r="CP84" s="250"/>
      <c r="CQ84" s="250"/>
      <c r="CR84" s="250"/>
      <c r="CS84" s="250"/>
      <c r="CT84" s="250"/>
      <c r="CU84" s="1392"/>
      <c r="CV84" s="1392"/>
      <c r="CW84" s="8"/>
    </row>
    <row r="85" spans="1:107" ht="14.25" customHeight="1">
      <c r="A85" s="8"/>
      <c r="B85" s="75" t="s">
        <v>146</v>
      </c>
      <c r="C85" s="237"/>
      <c r="D85" s="174">
        <f t="shared" ref="D85:AB85" si="585">D13</f>
        <v>38.313000000000002</v>
      </c>
      <c r="E85" s="172">
        <f t="shared" si="585"/>
        <v>39.012999999999991</v>
      </c>
      <c r="F85" s="172">
        <f t="shared" si="585"/>
        <v>37.801000000000002</v>
      </c>
      <c r="G85" s="175">
        <f t="shared" si="585"/>
        <v>38.054000000000016</v>
      </c>
      <c r="H85" s="174">
        <f t="shared" si="585"/>
        <v>43.079000000000001</v>
      </c>
      <c r="I85" s="172">
        <f t="shared" si="585"/>
        <v>42.687000000000005</v>
      </c>
      <c r="J85" s="172">
        <f t="shared" si="585"/>
        <v>42.18099999999999</v>
      </c>
      <c r="K85" s="175">
        <f t="shared" si="585"/>
        <v>38.904000000000003</v>
      </c>
      <c r="L85" s="174">
        <f t="shared" si="585"/>
        <v>35.613</v>
      </c>
      <c r="M85" s="172">
        <f t="shared" si="585"/>
        <v>35.715000000000003</v>
      </c>
      <c r="N85" s="172">
        <f t="shared" si="585"/>
        <v>35.741</v>
      </c>
      <c r="O85" s="175">
        <f t="shared" si="585"/>
        <v>35.103999999999999</v>
      </c>
      <c r="P85" s="174">
        <f t="shared" si="585"/>
        <v>35.551000000000002</v>
      </c>
      <c r="Q85" s="172">
        <f t="shared" si="585"/>
        <v>36.265999999999991</v>
      </c>
      <c r="R85" s="172">
        <f t="shared" si="585"/>
        <v>36.244000000000014</v>
      </c>
      <c r="S85" s="175">
        <f t="shared" si="585"/>
        <v>36.161000000000001</v>
      </c>
      <c r="T85" s="174">
        <f t="shared" si="585"/>
        <v>38.755000000000003</v>
      </c>
      <c r="U85" s="172">
        <f t="shared" si="585"/>
        <v>33.439999999999991</v>
      </c>
      <c r="V85" s="172">
        <f t="shared" si="585"/>
        <v>30.300000000000004</v>
      </c>
      <c r="W85" s="175">
        <f t="shared" si="585"/>
        <v>29.997999999999983</v>
      </c>
      <c r="X85" s="174">
        <f t="shared" si="585"/>
        <v>29.280999999999999</v>
      </c>
      <c r="Y85" s="172">
        <f t="shared" si="585"/>
        <v>28.913000000000004</v>
      </c>
      <c r="Z85" s="172">
        <f t="shared" si="585"/>
        <v>28.581999999999994</v>
      </c>
      <c r="AA85" s="175">
        <f t="shared" si="585"/>
        <v>29.307000000000002</v>
      </c>
      <c r="AB85" s="172">
        <f t="shared" si="585"/>
        <v>29.492999999999999</v>
      </c>
      <c r="AC85" s="172">
        <f t="shared" ref="AC85:AQ85" si="586">AC13</f>
        <v>29.466000000000005</v>
      </c>
      <c r="AD85" s="172">
        <f t="shared" si="586"/>
        <v>29.132999999999992</v>
      </c>
      <c r="AE85" s="175">
        <f t="shared" si="586"/>
        <v>28.781000000000002</v>
      </c>
      <c r="AF85" s="172">
        <f t="shared" si="586"/>
        <v>28.242999999999999</v>
      </c>
      <c r="AG85" s="172">
        <f t="shared" si="586"/>
        <v>26.870999999999999</v>
      </c>
      <c r="AH85" s="172">
        <f t="shared" si="586"/>
        <v>27.10700000000001</v>
      </c>
      <c r="AI85" s="173">
        <f t="shared" si="586"/>
        <v>27.483999999999991</v>
      </c>
      <c r="AJ85" s="172">
        <f t="shared" si="586"/>
        <v>27.754999999999999</v>
      </c>
      <c r="AK85" s="172">
        <f t="shared" si="586"/>
        <v>27.478000000000005</v>
      </c>
      <c r="AL85" s="172">
        <f t="shared" si="586"/>
        <v>27.44799999999999</v>
      </c>
      <c r="AM85" s="173">
        <f t="shared" si="586"/>
        <v>27.514999999999997</v>
      </c>
      <c r="AN85" s="172">
        <f t="shared" si="586"/>
        <v>27.335000000000001</v>
      </c>
      <c r="AO85" s="172">
        <f t="shared" si="586"/>
        <v>27.458999999999996</v>
      </c>
      <c r="AP85" s="172">
        <f t="shared" si="586"/>
        <v>28.353000000000009</v>
      </c>
      <c r="AQ85" s="173">
        <f t="shared" si="586"/>
        <v>30.916999999999987</v>
      </c>
      <c r="AR85" s="172">
        <f t="shared" ref="AR85:BC85" si="587">AR13</f>
        <v>31.773</v>
      </c>
      <c r="AS85" s="172">
        <f t="shared" si="587"/>
        <v>32.036000000000001</v>
      </c>
      <c r="AT85" s="172">
        <f t="shared" si="587"/>
        <v>33.650000000000006</v>
      </c>
      <c r="AU85" s="173">
        <f t="shared" si="587"/>
        <v>32.687999999999988</v>
      </c>
      <c r="AV85" s="172">
        <f>AV13</f>
        <v>33.209000000000003</v>
      </c>
      <c r="AW85" s="172">
        <f>AW13</f>
        <v>33.48299999999999</v>
      </c>
      <c r="AX85" s="172">
        <f>AX13</f>
        <v>33.732000000000014</v>
      </c>
      <c r="AY85" s="173">
        <f t="shared" ref="AY85" si="588">AY13</f>
        <v>34.115999999999985</v>
      </c>
      <c r="AZ85" s="172">
        <f>AZ13</f>
        <v>34.378999999999998</v>
      </c>
      <c r="BA85" s="172">
        <f>BA13</f>
        <v>48.771999999999998</v>
      </c>
      <c r="BB85" s="172">
        <f t="shared" si="587"/>
        <v>55.217000000000006</v>
      </c>
      <c r="BC85" s="173">
        <f t="shared" si="587"/>
        <v>56.297999999999995</v>
      </c>
      <c r="BD85" s="172">
        <f>BD13</f>
        <v>56.414999999999999</v>
      </c>
      <c r="BE85" s="172">
        <f t="shared" ref="BE85:BK85" si="589">BE13</f>
        <v>57.646111661514844</v>
      </c>
      <c r="BF85" s="172">
        <f t="shared" si="589"/>
        <v>58.913322459729336</v>
      </c>
      <c r="BG85" s="173">
        <f t="shared" si="589"/>
        <v>60.222365010802449</v>
      </c>
      <c r="BH85" s="172">
        <f t="shared" si="589"/>
        <v>58.726801575683773</v>
      </c>
      <c r="BI85" s="172">
        <f t="shared" si="589"/>
        <v>59.966677768973426</v>
      </c>
      <c r="BJ85" s="172">
        <f t="shared" si="589"/>
        <v>61.252020999431963</v>
      </c>
      <c r="BK85" s="173">
        <f t="shared" si="589"/>
        <v>62.590942698182054</v>
      </c>
      <c r="BL85" s="172">
        <f t="shared" ref="BL85:BO85" si="590">BL13</f>
        <v>63.860283107458798</v>
      </c>
      <c r="BM85" s="172">
        <f t="shared" si="590"/>
        <v>65.183338064734073</v>
      </c>
      <c r="BN85" s="172">
        <f t="shared" si="590"/>
        <v>66.548140188935093</v>
      </c>
      <c r="BO85" s="173">
        <f t="shared" si="590"/>
        <v>67.961399049982532</v>
      </c>
      <c r="BP85" s="176"/>
      <c r="BQ85" s="172">
        <f t="shared" ref="BQ85:BW85" si="591">BQ13</f>
        <v>153.18100000000001</v>
      </c>
      <c r="BR85" s="172">
        <f t="shared" si="591"/>
        <v>166.851</v>
      </c>
      <c r="BS85" s="172">
        <f t="shared" si="591"/>
        <v>142.173</v>
      </c>
      <c r="BT85" s="172">
        <f t="shared" si="591"/>
        <v>144.22200000000001</v>
      </c>
      <c r="BU85" s="172">
        <f t="shared" si="591"/>
        <v>132.49299999999999</v>
      </c>
      <c r="BV85" s="172">
        <f t="shared" si="591"/>
        <v>116.083</v>
      </c>
      <c r="BW85" s="172">
        <f t="shared" si="591"/>
        <v>116.873</v>
      </c>
      <c r="BX85" s="172">
        <f t="shared" ref="BX85:BZ85" si="592">BX13</f>
        <v>109.705</v>
      </c>
      <c r="BY85" s="172">
        <f t="shared" si="592"/>
        <v>110.196</v>
      </c>
      <c r="BZ85" s="172">
        <f t="shared" si="592"/>
        <v>114.06399999999999</v>
      </c>
      <c r="CA85" s="172">
        <f t="shared" ref="CA85:CF85" si="593">CA13</f>
        <v>130.14699999999999</v>
      </c>
      <c r="CB85" s="172">
        <f t="shared" si="593"/>
        <v>134.54</v>
      </c>
      <c r="CC85" s="172">
        <f t="shared" si="593"/>
        <v>194.666</v>
      </c>
      <c r="CD85" s="172">
        <f t="shared" si="593"/>
        <v>233.19679913204664</v>
      </c>
      <c r="CE85" s="172">
        <f t="shared" si="593"/>
        <v>242.53644304227123</v>
      </c>
      <c r="CF85" s="172">
        <f t="shared" si="593"/>
        <v>263.55316041111053</v>
      </c>
      <c r="CG85" s="23"/>
      <c r="CH85" s="174">
        <f t="shared" ref="CH85:CN85" si="594">CH13</f>
        <v>157.947</v>
      </c>
      <c r="CI85" s="172">
        <f t="shared" si="594"/>
        <v>159.38499999999999</v>
      </c>
      <c r="CJ85" s="172">
        <f t="shared" si="594"/>
        <v>142.11099999999999</v>
      </c>
      <c r="CK85" s="172">
        <f t="shared" si="594"/>
        <v>147.42600000000002</v>
      </c>
      <c r="CL85" s="172">
        <f t="shared" si="594"/>
        <v>123.01899999999998</v>
      </c>
      <c r="CM85" s="172">
        <f t="shared" si="594"/>
        <v>116.29499999999999</v>
      </c>
      <c r="CN85" s="172">
        <f t="shared" si="594"/>
        <v>115.62299999999999</v>
      </c>
      <c r="CO85" s="172">
        <f t="shared" ref="CO85:CT85" si="595">CO13</f>
        <v>109.217</v>
      </c>
      <c r="CP85" s="172">
        <f t="shared" si="595"/>
        <v>109.77599999999998</v>
      </c>
      <c r="CQ85" s="172">
        <f t="shared" si="595"/>
        <v>118.50199999999998</v>
      </c>
      <c r="CR85" s="172">
        <f t="shared" si="595"/>
        <v>131.583</v>
      </c>
      <c r="CS85" s="172">
        <f t="shared" si="595"/>
        <v>135.70999999999998</v>
      </c>
      <c r="CT85" s="172">
        <f t="shared" si="595"/>
        <v>216.702</v>
      </c>
      <c r="CU85" s="172">
        <f t="shared" ref="CU85" si="596">CU13</f>
        <v>235.50860070773038</v>
      </c>
      <c r="CV85" s="175">
        <f>CV13</f>
        <v>247.66992457404623</v>
      </c>
      <c r="CW85" s="25"/>
    </row>
    <row r="86" spans="1:107" ht="14.25" customHeight="1">
      <c r="A86" s="8"/>
      <c r="B86" s="140" t="s">
        <v>95</v>
      </c>
      <c r="C86" s="141"/>
      <c r="D86" s="144">
        <f t="shared" ref="D86:AA86" si="597">IF(ROUND(D85,4)=ROUND(D82,4),0,(D85-D82))</f>
        <v>0</v>
      </c>
      <c r="E86" s="142">
        <f t="shared" si="597"/>
        <v>0</v>
      </c>
      <c r="F86" s="142">
        <f t="shared" si="597"/>
        <v>0</v>
      </c>
      <c r="G86" s="143">
        <f t="shared" si="597"/>
        <v>0</v>
      </c>
      <c r="H86" s="144">
        <f t="shared" si="597"/>
        <v>0</v>
      </c>
      <c r="I86" s="142">
        <f t="shared" si="597"/>
        <v>0</v>
      </c>
      <c r="J86" s="142">
        <f t="shared" si="597"/>
        <v>0</v>
      </c>
      <c r="K86" s="143">
        <f t="shared" si="597"/>
        <v>0</v>
      </c>
      <c r="L86" s="144">
        <f t="shared" si="597"/>
        <v>0</v>
      </c>
      <c r="M86" s="142">
        <f t="shared" si="597"/>
        <v>0</v>
      </c>
      <c r="N86" s="142">
        <f t="shared" si="597"/>
        <v>0</v>
      </c>
      <c r="O86" s="143">
        <f t="shared" si="597"/>
        <v>0</v>
      </c>
      <c r="P86" s="144">
        <f t="shared" si="597"/>
        <v>0</v>
      </c>
      <c r="Q86" s="142">
        <f t="shared" si="597"/>
        <v>0</v>
      </c>
      <c r="R86" s="142">
        <f t="shared" si="597"/>
        <v>0</v>
      </c>
      <c r="S86" s="143">
        <f t="shared" si="597"/>
        <v>0</v>
      </c>
      <c r="T86" s="144">
        <f t="shared" si="597"/>
        <v>0</v>
      </c>
      <c r="U86" s="142">
        <f t="shared" si="597"/>
        <v>0</v>
      </c>
      <c r="V86" s="142">
        <f t="shared" si="597"/>
        <v>0</v>
      </c>
      <c r="W86" s="143">
        <f t="shared" si="597"/>
        <v>0</v>
      </c>
      <c r="X86" s="144">
        <f t="shared" si="597"/>
        <v>0</v>
      </c>
      <c r="Y86" s="142">
        <f t="shared" si="597"/>
        <v>0</v>
      </c>
      <c r="Z86" s="142">
        <f t="shared" si="597"/>
        <v>0</v>
      </c>
      <c r="AA86" s="143">
        <f t="shared" si="597"/>
        <v>0</v>
      </c>
      <c r="AB86" s="144">
        <f t="shared" ref="AB86:AQ86" si="598">IF(ROUND(AB85,4)=ROUND(AB82,4),0,(AB85-AB82))</f>
        <v>0</v>
      </c>
      <c r="AC86" s="142">
        <f t="shared" si="598"/>
        <v>0</v>
      </c>
      <c r="AD86" s="142">
        <f t="shared" si="598"/>
        <v>0</v>
      </c>
      <c r="AE86" s="143">
        <f t="shared" si="598"/>
        <v>0</v>
      </c>
      <c r="AF86" s="144">
        <f t="shared" si="598"/>
        <v>0</v>
      </c>
      <c r="AG86" s="642">
        <f t="shared" si="598"/>
        <v>0</v>
      </c>
      <c r="AH86" s="142">
        <f t="shared" si="598"/>
        <v>0</v>
      </c>
      <c r="AI86" s="143">
        <f t="shared" si="598"/>
        <v>0</v>
      </c>
      <c r="AJ86" s="144">
        <f t="shared" si="598"/>
        <v>0</v>
      </c>
      <c r="AK86" s="142">
        <f t="shared" si="598"/>
        <v>0</v>
      </c>
      <c r="AL86" s="142">
        <f t="shared" si="598"/>
        <v>0</v>
      </c>
      <c r="AM86" s="143">
        <f t="shared" si="598"/>
        <v>0</v>
      </c>
      <c r="AN86" s="144">
        <f t="shared" si="598"/>
        <v>0</v>
      </c>
      <c r="AO86" s="142">
        <f>IF(ROUND(AO85,4)=ROUND(AO82,4),0,(AO85-AO82))</f>
        <v>0</v>
      </c>
      <c r="AP86" s="142">
        <f t="shared" si="598"/>
        <v>0</v>
      </c>
      <c r="AQ86" s="143">
        <f t="shared" si="598"/>
        <v>0</v>
      </c>
      <c r="AR86" s="144">
        <f t="shared" ref="AR86:BC86" si="599">IF(ROUND(AR85,4)=ROUND(AR82,4),0,(AR85-AR82))</f>
        <v>0</v>
      </c>
      <c r="AS86" s="142">
        <f t="shared" si="599"/>
        <v>0</v>
      </c>
      <c r="AT86" s="142">
        <f t="shared" si="599"/>
        <v>0</v>
      </c>
      <c r="AU86" s="143">
        <f t="shared" si="599"/>
        <v>0</v>
      </c>
      <c r="AV86" s="144">
        <f>IF(ROUND(AV85,4)=ROUND(AV82,4),0,(AV85-AV82))</f>
        <v>0</v>
      </c>
      <c r="AW86" s="142">
        <f>IF(ROUND(AW85,4)=ROUND(AW82,4),0,(AW85-AW82))</f>
        <v>0</v>
      </c>
      <c r="AX86" s="142">
        <f>IF(ROUND(AX85,4)=ROUND(AX82,4),0,(AX85-AX82))</f>
        <v>0</v>
      </c>
      <c r="AY86" s="143">
        <f t="shared" ref="AY86" si="600">IF(ROUND(AY85,4)=ROUND(AY82,4),0,(AY85-AY82))</f>
        <v>0</v>
      </c>
      <c r="AZ86" s="144">
        <f>IF(ROUND(AZ85,4)=ROUND(AZ82,4),0,(AZ85-AZ82))</f>
        <v>0</v>
      </c>
      <c r="BA86" s="142">
        <f t="shared" si="599"/>
        <v>0</v>
      </c>
      <c r="BB86" s="142">
        <f t="shared" si="599"/>
        <v>0</v>
      </c>
      <c r="BC86" s="143">
        <f t="shared" si="599"/>
        <v>0</v>
      </c>
      <c r="BD86" s="144">
        <f>IF(ROUND(BD85,4)=ROUND(BD82,4),0,(BD85-BD82))</f>
        <v>0</v>
      </c>
      <c r="BE86" s="142">
        <f t="shared" ref="BE86:BK86" si="601">IF(ROUND(BE85,4)=ROUND(BE82,4),0,(BE85-BE82))</f>
        <v>0</v>
      </c>
      <c r="BF86" s="142">
        <f t="shared" si="601"/>
        <v>0</v>
      </c>
      <c r="BG86" s="143">
        <f t="shared" si="601"/>
        <v>0</v>
      </c>
      <c r="BH86" s="142">
        <f t="shared" si="601"/>
        <v>0</v>
      </c>
      <c r="BI86" s="142">
        <f t="shared" si="601"/>
        <v>0</v>
      </c>
      <c r="BJ86" s="142">
        <f t="shared" si="601"/>
        <v>0</v>
      </c>
      <c r="BK86" s="143">
        <f t="shared" si="601"/>
        <v>0</v>
      </c>
      <c r="BL86" s="142">
        <f t="shared" ref="BL86:BO86" si="602">IF(ROUND(BL85,4)=ROUND(BL82,4),0,(BL85-BL82))</f>
        <v>0</v>
      </c>
      <c r="BM86" s="142">
        <f t="shared" si="602"/>
        <v>0</v>
      </c>
      <c r="BN86" s="142">
        <f t="shared" si="602"/>
        <v>0</v>
      </c>
      <c r="BO86" s="143">
        <f t="shared" si="602"/>
        <v>0</v>
      </c>
      <c r="BP86" s="176"/>
      <c r="BQ86" s="142">
        <f t="shared" ref="BQ86:BW86" si="603">IF(ROUND(BQ85,4)=ROUND(BQ82,4),0,(BQ85-BQ82))</f>
        <v>0</v>
      </c>
      <c r="BR86" s="142">
        <f t="shared" si="603"/>
        <v>0</v>
      </c>
      <c r="BS86" s="142">
        <f t="shared" si="603"/>
        <v>0</v>
      </c>
      <c r="BT86" s="142">
        <f t="shared" si="603"/>
        <v>0</v>
      </c>
      <c r="BU86" s="142">
        <f t="shared" si="603"/>
        <v>0</v>
      </c>
      <c r="BV86" s="142">
        <f t="shared" si="603"/>
        <v>0</v>
      </c>
      <c r="BW86" s="142">
        <f t="shared" si="603"/>
        <v>0</v>
      </c>
      <c r="BX86" s="142">
        <f t="shared" ref="BX86:CB86" si="604">IF(ROUND(BX85,4)=ROUND(BX82,4),0,(BX85-BX82))</f>
        <v>0</v>
      </c>
      <c r="BY86" s="142">
        <f t="shared" si="604"/>
        <v>0</v>
      </c>
      <c r="BZ86" s="142">
        <f t="shared" si="604"/>
        <v>0</v>
      </c>
      <c r="CA86" s="142">
        <f t="shared" si="604"/>
        <v>0</v>
      </c>
      <c r="CB86" s="142">
        <f t="shared" si="604"/>
        <v>0</v>
      </c>
      <c r="CC86" s="142">
        <f>IF(ROUND(CC85,4)=ROUND(CC82,4),0,(CC85-CC82))</f>
        <v>0</v>
      </c>
      <c r="CD86" s="142">
        <f>IF(ROUND(CD85,4)=ROUND(CD82,4),0,(CD85-CD82))</f>
        <v>0</v>
      </c>
      <c r="CE86" s="142">
        <f>IF(ROUND(CE85,4)=ROUND(CE82,4),0,(CE85-CE82))</f>
        <v>0</v>
      </c>
      <c r="CF86" s="142">
        <f>IF(ROUND(CF85,4)=ROUND(CF82,4),0,(CF85-CF82))</f>
        <v>0</v>
      </c>
      <c r="CG86" s="23"/>
      <c r="CH86" s="144">
        <f t="shared" ref="CH86:CN86" si="605">IF(ROUND(CH85,4)=ROUND(CH82,4),0,(CH85-CH82))</f>
        <v>0</v>
      </c>
      <c r="CI86" s="142">
        <f t="shared" si="605"/>
        <v>0</v>
      </c>
      <c r="CJ86" s="142">
        <f t="shared" si="605"/>
        <v>0</v>
      </c>
      <c r="CK86" s="142">
        <f t="shared" si="605"/>
        <v>0</v>
      </c>
      <c r="CL86" s="142">
        <f t="shared" si="605"/>
        <v>0</v>
      </c>
      <c r="CM86" s="142">
        <f t="shared" si="605"/>
        <v>0</v>
      </c>
      <c r="CN86" s="142">
        <f t="shared" si="605"/>
        <v>0</v>
      </c>
      <c r="CO86" s="142">
        <f t="shared" ref="CO86:CT86" si="606">IF(ROUND(CO85,4)=ROUND(CO82,4),0,(CO85-CO82))</f>
        <v>0</v>
      </c>
      <c r="CP86" s="142">
        <f t="shared" si="606"/>
        <v>0</v>
      </c>
      <c r="CQ86" s="142">
        <f t="shared" si="606"/>
        <v>0</v>
      </c>
      <c r="CR86" s="142">
        <f t="shared" si="606"/>
        <v>0</v>
      </c>
      <c r="CS86" s="142">
        <f t="shared" si="606"/>
        <v>0</v>
      </c>
      <c r="CT86" s="142">
        <f t="shared" si="606"/>
        <v>0</v>
      </c>
      <c r="CU86" s="142">
        <f t="shared" ref="CU86" si="607">IF(ROUND(CU85,4)=ROUND(CU82,4),0,(CU85-CU82))</f>
        <v>0</v>
      </c>
      <c r="CV86" s="143">
        <f t="shared" ref="CV86" si="608">IF(ROUND(CV85,4)=ROUND(CV82,4),0,(CV85-CV82))</f>
        <v>0</v>
      </c>
      <c r="CW86" s="25"/>
    </row>
    <row r="87" spans="1:107" ht="14.25" customHeight="1">
      <c r="A87" s="8"/>
      <c r="B87" s="17"/>
      <c r="C87" s="17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  <c r="AX87" s="8"/>
      <c r="AY87" s="8"/>
      <c r="AZ87" s="8"/>
      <c r="BA87" s="8"/>
      <c r="BB87" s="8"/>
      <c r="BC87" s="999"/>
      <c r="BD87" s="8"/>
      <c r="BE87" s="8"/>
      <c r="BF87" s="8"/>
      <c r="BG87" s="8"/>
      <c r="BH87" s="8"/>
      <c r="BI87" s="8"/>
      <c r="BJ87" s="8"/>
      <c r="BK87" s="8"/>
      <c r="BL87" s="8"/>
      <c r="BM87" s="8"/>
      <c r="BN87" s="8"/>
      <c r="BO87" s="8"/>
      <c r="BP87" s="8"/>
      <c r="BQ87" s="8"/>
      <c r="BR87" s="8"/>
      <c r="BS87" s="8"/>
      <c r="BT87" s="8"/>
      <c r="BU87" s="8"/>
      <c r="BV87" s="8"/>
      <c r="BW87" s="8"/>
      <c r="BX87" s="8"/>
      <c r="BY87" s="8"/>
      <c r="BZ87" s="8"/>
      <c r="CA87" s="8"/>
      <c r="CB87" s="8"/>
      <c r="CC87" s="8"/>
      <c r="CD87" s="8"/>
      <c r="CE87" s="8"/>
      <c r="CF87" s="8"/>
      <c r="CG87" s="8"/>
      <c r="CH87" s="8"/>
      <c r="CI87" s="8"/>
      <c r="CJ87" s="8"/>
      <c r="CK87" s="8"/>
      <c r="CL87" s="8"/>
      <c r="CM87" s="8"/>
      <c r="CN87" s="8"/>
      <c r="CO87" s="8"/>
      <c r="CP87" s="8"/>
      <c r="CQ87" s="17"/>
      <c r="CR87" s="17"/>
      <c r="CS87" s="17"/>
      <c r="CT87" s="17"/>
      <c r="CU87" s="17"/>
      <c r="CV87" s="17"/>
      <c r="CW87" s="8"/>
    </row>
    <row r="88" spans="1:107" ht="14.25" customHeight="1">
      <c r="A88" s="8"/>
      <c r="B88" s="17"/>
      <c r="C88" s="17"/>
      <c r="D88" s="8"/>
      <c r="E88" s="8"/>
      <c r="F88" s="8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8"/>
      <c r="AI88" s="8"/>
      <c r="AJ88" s="8"/>
      <c r="AK88" s="8"/>
      <c r="AL88" s="8"/>
      <c r="AM88" s="8"/>
      <c r="AN88" s="8"/>
      <c r="AO88" s="8"/>
      <c r="AP88" s="8"/>
      <c r="AQ88" s="8"/>
      <c r="AR88" s="8"/>
      <c r="AS88" s="8"/>
      <c r="AT88" s="8"/>
      <c r="AU88" s="8"/>
      <c r="AV88" s="8"/>
      <c r="AW88" s="8"/>
      <c r="AX88" s="8"/>
      <c r="AY88" s="8"/>
      <c r="AZ88" s="8"/>
      <c r="BA88" s="8"/>
      <c r="BB88" s="8"/>
      <c r="BC88" s="244"/>
      <c r="BD88" s="8"/>
      <c r="BE88" s="8"/>
      <c r="BF88" s="8"/>
      <c r="BG88" s="8"/>
      <c r="BH88" s="8"/>
      <c r="BI88" s="8"/>
      <c r="BJ88" s="8"/>
      <c r="BK88" s="8"/>
      <c r="BL88" s="8"/>
      <c r="BM88" s="8"/>
      <c r="BN88" s="8"/>
      <c r="BO88" s="8"/>
      <c r="BP88" s="8"/>
      <c r="BQ88" s="8"/>
      <c r="BR88" s="8"/>
      <c r="BS88" s="8"/>
      <c r="BT88" s="8"/>
      <c r="BU88" s="8"/>
      <c r="BV88" s="8"/>
      <c r="BW88" s="8"/>
      <c r="BX88" s="8"/>
      <c r="BY88" s="8"/>
      <c r="BZ88" s="8"/>
      <c r="CA88" s="8"/>
      <c r="CB88" s="8"/>
      <c r="CC88" s="8"/>
      <c r="CD88" s="8"/>
      <c r="CE88" s="8"/>
      <c r="CF88" s="8"/>
      <c r="CG88" s="8"/>
      <c r="CH88" s="8"/>
      <c r="CI88" s="8"/>
      <c r="CJ88" s="8"/>
      <c r="CK88" s="8"/>
      <c r="CL88" s="8"/>
      <c r="CM88" s="8"/>
      <c r="CN88" s="8"/>
      <c r="CO88" s="8"/>
      <c r="CP88" s="8"/>
      <c r="CQ88" s="17"/>
      <c r="CR88" s="17"/>
      <c r="CS88" s="17"/>
      <c r="CT88" s="17"/>
      <c r="CU88" s="17"/>
      <c r="CV88" s="17"/>
      <c r="CW88" s="8"/>
    </row>
    <row r="89" spans="1:107" ht="14.25" customHeight="1">
      <c r="A89" s="8"/>
      <c r="B89" s="150" t="s">
        <v>147</v>
      </c>
      <c r="C89" s="151"/>
      <c r="D89" s="281" t="str">
        <f t="shared" ref="D89:W89" si="609">D81</f>
        <v>F1Q05A</v>
      </c>
      <c r="E89" s="245" t="str">
        <f t="shared" si="609"/>
        <v>F2Q05A</v>
      </c>
      <c r="F89" s="245" t="str">
        <f t="shared" si="609"/>
        <v>F3Q05A</v>
      </c>
      <c r="G89" s="246" t="str">
        <f t="shared" si="609"/>
        <v>F4Q05A</v>
      </c>
      <c r="H89" s="281" t="str">
        <f t="shared" si="609"/>
        <v>F1Q06A</v>
      </c>
      <c r="I89" s="245" t="str">
        <f t="shared" si="609"/>
        <v>F2Q06A</v>
      </c>
      <c r="J89" s="245" t="str">
        <f t="shared" si="609"/>
        <v>F3Q06A</v>
      </c>
      <c r="K89" s="246" t="str">
        <f t="shared" si="609"/>
        <v>F4Q06A</v>
      </c>
      <c r="L89" s="281" t="str">
        <f t="shared" si="609"/>
        <v>F1Q07A</v>
      </c>
      <c r="M89" s="245" t="str">
        <f t="shared" si="609"/>
        <v>F2Q07A</v>
      </c>
      <c r="N89" s="245" t="str">
        <f t="shared" si="609"/>
        <v>F3Q07A</v>
      </c>
      <c r="O89" s="246" t="str">
        <f t="shared" si="609"/>
        <v>F4Q07A</v>
      </c>
      <c r="P89" s="281" t="str">
        <f t="shared" si="609"/>
        <v>F1Q08A</v>
      </c>
      <c r="Q89" s="245" t="str">
        <f t="shared" si="609"/>
        <v>F2Q08A</v>
      </c>
      <c r="R89" s="245" t="str">
        <f t="shared" si="609"/>
        <v>F3Q08A</v>
      </c>
      <c r="S89" s="246" t="str">
        <f t="shared" si="609"/>
        <v>F4Q08A</v>
      </c>
      <c r="T89" s="281" t="str">
        <f t="shared" si="609"/>
        <v>F1Q09A</v>
      </c>
      <c r="U89" s="245" t="str">
        <f t="shared" si="609"/>
        <v>F2Q09A</v>
      </c>
      <c r="V89" s="245" t="str">
        <f t="shared" si="609"/>
        <v>F3Q09A</v>
      </c>
      <c r="W89" s="246" t="str">
        <f t="shared" si="609"/>
        <v>F4Q09A</v>
      </c>
      <c r="X89" s="281" t="str">
        <f t="shared" ref="X89:AQ89" si="610">X81</f>
        <v>F1Q10A</v>
      </c>
      <c r="Y89" s="245" t="str">
        <f t="shared" si="610"/>
        <v>F2Q10A</v>
      </c>
      <c r="Z89" s="245" t="str">
        <f t="shared" si="610"/>
        <v>F3Q10A</v>
      </c>
      <c r="AA89" s="246" t="str">
        <f t="shared" si="610"/>
        <v>F4Q10A</v>
      </c>
      <c r="AB89" s="281" t="str">
        <f>AB81</f>
        <v>F1Q11A</v>
      </c>
      <c r="AC89" s="245" t="str">
        <f t="shared" si="610"/>
        <v>F2Q11A</v>
      </c>
      <c r="AD89" s="245" t="str">
        <f t="shared" si="610"/>
        <v>F3Q11A</v>
      </c>
      <c r="AE89" s="246" t="str">
        <f>AE81</f>
        <v>F4Q11A</v>
      </c>
      <c r="AF89" s="281" t="str">
        <f>AF81</f>
        <v>F1Q12A</v>
      </c>
      <c r="AG89" s="245" t="str">
        <f t="shared" si="610"/>
        <v>F2Q12A</v>
      </c>
      <c r="AH89" s="245" t="str">
        <f>AH81</f>
        <v>F3Q12A</v>
      </c>
      <c r="AI89" s="246" t="str">
        <f t="shared" si="610"/>
        <v>F4Q12A</v>
      </c>
      <c r="AJ89" s="281" t="str">
        <f t="shared" si="610"/>
        <v>F1Q13A</v>
      </c>
      <c r="AK89" s="245" t="str">
        <f t="shared" si="610"/>
        <v>F2Q13A</v>
      </c>
      <c r="AL89" s="245" t="str">
        <f t="shared" si="610"/>
        <v>F3Q13A</v>
      </c>
      <c r="AM89" s="246" t="str">
        <f t="shared" si="610"/>
        <v>F4Q13A</v>
      </c>
      <c r="AN89" s="281" t="str">
        <f t="shared" si="610"/>
        <v>F1Q14A</v>
      </c>
      <c r="AO89" s="245" t="str">
        <f t="shared" si="610"/>
        <v>F2Q14A</v>
      </c>
      <c r="AP89" s="245" t="str">
        <f t="shared" si="610"/>
        <v>F3Q14A</v>
      </c>
      <c r="AQ89" s="246" t="str">
        <f t="shared" si="610"/>
        <v>F4Q14A</v>
      </c>
      <c r="AR89" s="281" t="str">
        <f t="shared" ref="AR89:AU89" si="611">AR81</f>
        <v>F1Q15A</v>
      </c>
      <c r="AS89" s="245" t="str">
        <f t="shared" si="611"/>
        <v>F2Q15A</v>
      </c>
      <c r="AT89" s="245" t="str">
        <f t="shared" si="611"/>
        <v>F3Q15A</v>
      </c>
      <c r="AU89" s="246" t="str">
        <f t="shared" si="611"/>
        <v>F4Q15A</v>
      </c>
      <c r="AV89" s="281" t="str">
        <f>AV81</f>
        <v>F1Q16A</v>
      </c>
      <c r="AW89" s="245" t="str">
        <f>AW81</f>
        <v>F2Q16A</v>
      </c>
      <c r="AX89" s="245" t="str">
        <f>AX81</f>
        <v>F3Q16A</v>
      </c>
      <c r="AY89" s="246" t="str">
        <f t="shared" ref="AY89" si="612">AY81</f>
        <v>F4Q16A</v>
      </c>
      <c r="AZ89" s="281" t="str">
        <f>AZ81</f>
        <v>F1Q17A</v>
      </c>
      <c r="BA89" s="245" t="str">
        <f t="shared" ref="BA89:BG89" si="613">BA81</f>
        <v>F2Q17A</v>
      </c>
      <c r="BB89" s="245" t="str">
        <f t="shared" si="613"/>
        <v>F3Q17A</v>
      </c>
      <c r="BC89" s="246" t="str">
        <f t="shared" si="613"/>
        <v>F4Q17A</v>
      </c>
      <c r="BD89" s="245" t="str">
        <f t="shared" si="613"/>
        <v>F1Q18A</v>
      </c>
      <c r="BE89" s="245" t="str">
        <f t="shared" si="613"/>
        <v>F2Q18E</v>
      </c>
      <c r="BF89" s="245" t="str">
        <f t="shared" si="613"/>
        <v>F3Q18E</v>
      </c>
      <c r="BG89" s="246" t="str">
        <f t="shared" si="613"/>
        <v>F4Q18E</v>
      </c>
      <c r="BH89" s="1390" t="str">
        <f t="shared" ref="BH89:BK89" si="614">BH81</f>
        <v>F1Q19E</v>
      </c>
      <c r="BI89" s="1390" t="str">
        <f t="shared" si="614"/>
        <v>F2Q19E</v>
      </c>
      <c r="BJ89" s="1390" t="str">
        <f t="shared" si="614"/>
        <v>F3Q19E</v>
      </c>
      <c r="BK89" s="1391" t="str">
        <f t="shared" si="614"/>
        <v>F4Q19E</v>
      </c>
      <c r="BL89" s="1390" t="str">
        <f t="shared" ref="BL89:BO89" si="615">BL81</f>
        <v>F1Q20E</v>
      </c>
      <c r="BM89" s="1390" t="str">
        <f t="shared" si="615"/>
        <v>F2Q20E</v>
      </c>
      <c r="BN89" s="1390" t="str">
        <f t="shared" si="615"/>
        <v>F3Q20E</v>
      </c>
      <c r="BO89" s="1391" t="str">
        <f t="shared" si="615"/>
        <v>F4Q20E</v>
      </c>
      <c r="BP89" s="23"/>
      <c r="BQ89" s="20" t="str">
        <f t="shared" ref="BQ89:BW89" si="616">BQ81</f>
        <v>FY2005A</v>
      </c>
      <c r="BR89" s="21" t="str">
        <f t="shared" si="616"/>
        <v>FY2006A</v>
      </c>
      <c r="BS89" s="21" t="str">
        <f t="shared" si="616"/>
        <v>FY2007A</v>
      </c>
      <c r="BT89" s="21" t="str">
        <f t="shared" si="616"/>
        <v>FY2008A</v>
      </c>
      <c r="BU89" s="21" t="str">
        <f t="shared" si="616"/>
        <v>FY2009A</v>
      </c>
      <c r="BV89" s="21" t="str">
        <f t="shared" si="616"/>
        <v>FY2010A</v>
      </c>
      <c r="BW89" s="21" t="str">
        <f t="shared" si="616"/>
        <v>FY2011A</v>
      </c>
      <c r="BX89" s="21" t="str">
        <f t="shared" ref="BX89:BZ89" si="617">BX81</f>
        <v>FY2012A</v>
      </c>
      <c r="BY89" s="21" t="str">
        <f t="shared" si="617"/>
        <v>FY2013A</v>
      </c>
      <c r="BZ89" s="1438" t="str">
        <f t="shared" si="617"/>
        <v>FY2014A</v>
      </c>
      <c r="CA89" s="21" t="str">
        <f t="shared" ref="CA89:CF89" si="618">CA81</f>
        <v>FY2015A</v>
      </c>
      <c r="CB89" s="21" t="str">
        <f t="shared" si="618"/>
        <v>FY2016A</v>
      </c>
      <c r="CC89" s="21" t="str">
        <f t="shared" si="618"/>
        <v>FY2017A</v>
      </c>
      <c r="CD89" s="1438" t="str">
        <f t="shared" si="618"/>
        <v>FY2018E</v>
      </c>
      <c r="CE89" s="1438" t="str">
        <f t="shared" si="618"/>
        <v>FY2019E</v>
      </c>
      <c r="CF89" s="1438" t="str">
        <f t="shared" si="618"/>
        <v>FY2020E</v>
      </c>
      <c r="CG89" s="23"/>
      <c r="CH89" s="20" t="str">
        <f t="shared" ref="CH89:CN89" si="619">CH81</f>
        <v>CY2005</v>
      </c>
      <c r="CI89" s="21" t="str">
        <f t="shared" si="619"/>
        <v>CY2006</v>
      </c>
      <c r="CJ89" s="21" t="str">
        <f t="shared" si="619"/>
        <v>CY2007</v>
      </c>
      <c r="CK89" s="21" t="str">
        <f t="shared" si="619"/>
        <v>CY2008</v>
      </c>
      <c r="CL89" s="21" t="str">
        <f t="shared" si="619"/>
        <v>CY2009</v>
      </c>
      <c r="CM89" s="21" t="str">
        <f t="shared" si="619"/>
        <v>CY2010</v>
      </c>
      <c r="CN89" s="21" t="str">
        <f t="shared" si="619"/>
        <v>CY2011</v>
      </c>
      <c r="CO89" s="21" t="str">
        <f t="shared" ref="CO89:CT89" si="620">CO81</f>
        <v>CY2012</v>
      </c>
      <c r="CP89" s="21" t="str">
        <f t="shared" si="620"/>
        <v>CY2013</v>
      </c>
      <c r="CQ89" s="21" t="str">
        <f t="shared" si="620"/>
        <v>CY2014</v>
      </c>
      <c r="CR89" s="21" t="str">
        <f t="shared" si="620"/>
        <v>CY2015</v>
      </c>
      <c r="CS89" s="21" t="str">
        <f t="shared" si="620"/>
        <v>CY2016</v>
      </c>
      <c r="CT89" s="1205" t="str">
        <f t="shared" si="620"/>
        <v>CY2017</v>
      </c>
      <c r="CU89" s="1438" t="str">
        <f t="shared" ref="CU89" si="621">CU81</f>
        <v>CY2018</v>
      </c>
      <c r="CV89" s="1439" t="str">
        <f t="shared" ref="CV89" si="622">CV81</f>
        <v>CY2019</v>
      </c>
      <c r="CW89" s="25"/>
    </row>
    <row r="90" spans="1:107" ht="14.25" customHeight="1">
      <c r="A90" s="8"/>
      <c r="B90" s="25" t="s">
        <v>148</v>
      </c>
      <c r="C90" s="247"/>
      <c r="D90" s="387">
        <f t="shared" ref="D90:AB90" si="623">D31+D34</f>
        <v>92.989999999999924</v>
      </c>
      <c r="E90" s="388">
        <f t="shared" si="623"/>
        <v>153.56900000000002</v>
      </c>
      <c r="F90" s="388">
        <f t="shared" si="623"/>
        <v>161.39800000000005</v>
      </c>
      <c r="G90" s="286">
        <f t="shared" si="623"/>
        <v>179.29000000000005</v>
      </c>
      <c r="H90" s="387">
        <f t="shared" si="623"/>
        <v>154.89499999999998</v>
      </c>
      <c r="I90" s="388">
        <f t="shared" si="623"/>
        <v>176.31699999999998</v>
      </c>
      <c r="J90" s="388">
        <f t="shared" si="623"/>
        <v>35.612999999999971</v>
      </c>
      <c r="K90" s="286">
        <f t="shared" si="623"/>
        <v>124.97999999999996</v>
      </c>
      <c r="L90" s="387">
        <f t="shared" si="623"/>
        <v>170.42699999999999</v>
      </c>
      <c r="M90" s="388">
        <f t="shared" si="623"/>
        <v>198.97199999999992</v>
      </c>
      <c r="N90" s="388">
        <f t="shared" si="623"/>
        <v>159.48300000000012</v>
      </c>
      <c r="O90" s="286">
        <f t="shared" si="623"/>
        <v>149.67300000000006</v>
      </c>
      <c r="P90" s="387">
        <f t="shared" si="623"/>
        <v>137.30500000000004</v>
      </c>
      <c r="Q90" s="388">
        <f t="shared" si="623"/>
        <v>123.00800000000001</v>
      </c>
      <c r="R90" s="388">
        <f t="shared" si="623"/>
        <v>156.76600000000008</v>
      </c>
      <c r="S90" s="286">
        <f t="shared" si="623"/>
        <v>94.881000000000085</v>
      </c>
      <c r="T90" s="387">
        <f t="shared" si="623"/>
        <v>37.675000000000011</v>
      </c>
      <c r="U90" s="388">
        <f t="shared" si="623"/>
        <v>63.95000000000001</v>
      </c>
      <c r="V90" s="388">
        <f t="shared" si="623"/>
        <v>128.13899999999995</v>
      </c>
      <c r="W90" s="286">
        <f t="shared" si="623"/>
        <v>146.28899999999999</v>
      </c>
      <c r="X90" s="387">
        <f t="shared" si="623"/>
        <v>196.59399999999994</v>
      </c>
      <c r="Y90" s="388">
        <f t="shared" si="623"/>
        <v>260.83</v>
      </c>
      <c r="Z90" s="388">
        <f t="shared" si="623"/>
        <v>185.68099999999995</v>
      </c>
      <c r="AA90" s="286">
        <f t="shared" si="623"/>
        <v>236.51300000000012</v>
      </c>
      <c r="AB90" s="285">
        <f t="shared" si="623"/>
        <v>191.20400000000001</v>
      </c>
      <c r="AC90" s="285">
        <f t="shared" ref="AC90:AQ90" si="624">AC31+AC34</f>
        <v>162.4969999999999</v>
      </c>
      <c r="AD90" s="285">
        <f>AD31+AD34</f>
        <v>220.00300000000001</v>
      </c>
      <c r="AE90" s="286">
        <f>AE31+AE34</f>
        <v>203.82899999999998</v>
      </c>
      <c r="AF90" s="285">
        <f>AF31+AF34</f>
        <v>189.53100000000001</v>
      </c>
      <c r="AG90" s="285">
        <f t="shared" si="624"/>
        <v>195.83199999999999</v>
      </c>
      <c r="AH90" s="285">
        <f>AH31+AH34</f>
        <v>98.466999999999928</v>
      </c>
      <c r="AI90" s="286">
        <f t="shared" si="624"/>
        <v>198.53600000000012</v>
      </c>
      <c r="AJ90" s="285">
        <f t="shared" si="624"/>
        <v>139.70000000000002</v>
      </c>
      <c r="AK90" s="285">
        <f t="shared" si="624"/>
        <v>226.00699999999998</v>
      </c>
      <c r="AL90" s="285">
        <f t="shared" si="624"/>
        <v>189.95700000000002</v>
      </c>
      <c r="AM90" s="286">
        <f t="shared" si="624"/>
        <v>233.60700000000008</v>
      </c>
      <c r="AN90" s="285">
        <f t="shared" si="624"/>
        <v>109.35000000000008</v>
      </c>
      <c r="AO90" s="285">
        <f t="shared" si="624"/>
        <v>194.36599999999993</v>
      </c>
      <c r="AP90" s="285">
        <f>AP31+AP34</f>
        <v>171.1269999999999</v>
      </c>
      <c r="AQ90" s="286">
        <f t="shared" si="624"/>
        <v>218.84599999999998</v>
      </c>
      <c r="AR90" s="285">
        <f t="shared" ref="AR90:AU90" si="625">AR31+AR34</f>
        <v>144.89299999999997</v>
      </c>
      <c r="AS90" s="285">
        <f t="shared" si="625"/>
        <v>294.80200000000008</v>
      </c>
      <c r="AT90" s="285">
        <f t="shared" si="625"/>
        <v>161.97500000000002</v>
      </c>
      <c r="AU90" s="286">
        <f t="shared" si="625"/>
        <v>152.16800000000006</v>
      </c>
      <c r="AV90" s="285">
        <f>AV31+AV34</f>
        <v>196.577</v>
      </c>
      <c r="AW90" s="285">
        <f>AW31+AW34</f>
        <v>294.68599999999992</v>
      </c>
      <c r="AX90" s="285">
        <f>AX31+AX34</f>
        <v>216.47499999999994</v>
      </c>
      <c r="AY90" s="286">
        <f t="shared" ref="AY90" si="626">AY31+AY34</f>
        <v>445.7600000000001</v>
      </c>
      <c r="AZ90" s="285">
        <f>AZ31+AZ34</f>
        <v>286.15499999999992</v>
      </c>
      <c r="BA90" s="285">
        <f>BA31+BA34</f>
        <v>474.53499999999997</v>
      </c>
      <c r="BB90" s="285">
        <f t="shared" ref="BB90:BG90" si="627">BB31+BB34</f>
        <v>-427.90000000000003</v>
      </c>
      <c r="BC90" s="286">
        <f t="shared" si="627"/>
        <v>575.70400000000006</v>
      </c>
      <c r="BD90" s="285">
        <f t="shared" si="627"/>
        <v>325.46600000000012</v>
      </c>
      <c r="BE90" s="285">
        <f t="shared" si="627"/>
        <v>423.10838041196166</v>
      </c>
      <c r="BF90" s="285">
        <f t="shared" si="627"/>
        <v>548.03837056834732</v>
      </c>
      <c r="BG90" s="286">
        <f t="shared" si="627"/>
        <v>545.74767299471284</v>
      </c>
      <c r="BH90" s="285">
        <f t="shared" ref="BH90:BK90" si="628">BH31+BH34</f>
        <v>533.39913512648116</v>
      </c>
      <c r="BI90" s="285">
        <f t="shared" si="628"/>
        <v>502.90557455572122</v>
      </c>
      <c r="BJ90" s="285">
        <f t="shared" si="628"/>
        <v>546.832569487103</v>
      </c>
      <c r="BK90" s="286">
        <f t="shared" si="628"/>
        <v>571.04247789306623</v>
      </c>
      <c r="BL90" s="285">
        <f t="shared" ref="BL90:BO90" si="629">BL31+BL34</f>
        <v>613.30916287110733</v>
      </c>
      <c r="BM90" s="285">
        <f t="shared" si="629"/>
        <v>562.79033290216285</v>
      </c>
      <c r="BN90" s="285">
        <f t="shared" si="629"/>
        <v>606.93470090693972</v>
      </c>
      <c r="BO90" s="286">
        <f t="shared" si="629"/>
        <v>628.69178293412517</v>
      </c>
      <c r="BP90" s="23"/>
      <c r="BQ90" s="288">
        <f t="shared" ref="BQ90:BW90" si="630">BQ31+BQ34</f>
        <v>587.24700000000007</v>
      </c>
      <c r="BR90" s="388">
        <f t="shared" si="630"/>
        <v>491.80499999999984</v>
      </c>
      <c r="BS90" s="388">
        <f t="shared" si="630"/>
        <v>678.55500000000006</v>
      </c>
      <c r="BT90" s="388">
        <f t="shared" si="630"/>
        <v>511.96000000000004</v>
      </c>
      <c r="BU90" s="388">
        <f t="shared" si="630"/>
        <v>376.053</v>
      </c>
      <c r="BV90" s="388">
        <f t="shared" si="630"/>
        <v>879.61800000000005</v>
      </c>
      <c r="BW90" s="388">
        <f t="shared" si="630"/>
        <v>777.53300000000002</v>
      </c>
      <c r="BX90" s="388">
        <f t="shared" ref="BX90:BZ90" si="631">BX31+BX34</f>
        <v>682.36600000000021</v>
      </c>
      <c r="BY90" s="388">
        <f t="shared" si="631"/>
        <v>789.27099999999996</v>
      </c>
      <c r="BZ90" s="388">
        <f t="shared" si="631"/>
        <v>693.68899999999985</v>
      </c>
      <c r="CA90" s="388">
        <f t="shared" ref="CA90:CF90" si="632">CA31+CA34</f>
        <v>753.83800000000019</v>
      </c>
      <c r="CB90" s="388">
        <f t="shared" si="632"/>
        <v>1153.498</v>
      </c>
      <c r="CC90" s="388">
        <f t="shared" si="632"/>
        <v>908.49399999999991</v>
      </c>
      <c r="CD90" s="388">
        <f t="shared" si="632"/>
        <v>1842.3604239750218</v>
      </c>
      <c r="CE90" s="388">
        <f t="shared" si="632"/>
        <v>2154.1797570623712</v>
      </c>
      <c r="CF90" s="388">
        <f t="shared" si="632"/>
        <v>2411.7259796143353</v>
      </c>
      <c r="CG90" s="23"/>
      <c r="CH90" s="287">
        <f t="shared" ref="CH90:CN90" si="633">CH31+CH34</f>
        <v>649.15200000000004</v>
      </c>
      <c r="CI90" s="388">
        <f t="shared" si="633"/>
        <v>507.33699999999988</v>
      </c>
      <c r="CJ90" s="388">
        <f t="shared" si="633"/>
        <v>645.43299999999999</v>
      </c>
      <c r="CK90" s="388">
        <f t="shared" si="633"/>
        <v>412.33000000000027</v>
      </c>
      <c r="CL90" s="388">
        <f t="shared" si="633"/>
        <v>534.97199999999987</v>
      </c>
      <c r="CM90" s="388">
        <f t="shared" si="633"/>
        <v>874.22800000000007</v>
      </c>
      <c r="CN90" s="288">
        <f t="shared" si="633"/>
        <v>775.8599999999999</v>
      </c>
      <c r="CO90" s="388">
        <f t="shared" ref="CO90:CT90" si="634">CO31+CO34</f>
        <v>632.53500000000008</v>
      </c>
      <c r="CP90" s="388">
        <f t="shared" si="634"/>
        <v>758.92100000000005</v>
      </c>
      <c r="CQ90" s="288">
        <f t="shared" si="634"/>
        <v>729.23199999999997</v>
      </c>
      <c r="CR90" s="288">
        <f t="shared" si="634"/>
        <v>805.52200000000028</v>
      </c>
      <c r="CS90" s="288">
        <f t="shared" si="634"/>
        <v>1243.0759999999996</v>
      </c>
      <c r="CT90" s="288">
        <f t="shared" si="634"/>
        <v>947.80500000000029</v>
      </c>
      <c r="CU90" s="288">
        <f>CU31+CU34</f>
        <v>2050.293559101503</v>
      </c>
      <c r="CV90" s="286">
        <f>CV31+CV34</f>
        <v>2234.0897848069976</v>
      </c>
      <c r="CW90" s="25"/>
    </row>
    <row r="91" spans="1:107" ht="14.25" customHeight="1">
      <c r="A91" s="8"/>
      <c r="B91" s="25"/>
      <c r="C91" s="253"/>
      <c r="D91" s="387"/>
      <c r="E91" s="388"/>
      <c r="F91" s="388"/>
      <c r="G91" s="937"/>
      <c r="H91" s="387"/>
      <c r="I91" s="388"/>
      <c r="J91" s="388"/>
      <c r="K91" s="937"/>
      <c r="L91" s="387"/>
      <c r="M91" s="388"/>
      <c r="N91" s="388"/>
      <c r="O91" s="937"/>
      <c r="P91" s="387"/>
      <c r="Q91" s="388"/>
      <c r="R91" s="388"/>
      <c r="S91" s="937"/>
      <c r="T91" s="387"/>
      <c r="U91" s="388"/>
      <c r="V91" s="388"/>
      <c r="W91" s="937"/>
      <c r="X91" s="387"/>
      <c r="Y91" s="388"/>
      <c r="Z91" s="388"/>
      <c r="AA91" s="937"/>
      <c r="AB91" s="285"/>
      <c r="AC91" s="285"/>
      <c r="AD91" s="285"/>
      <c r="AE91" s="937"/>
      <c r="AF91" s="285"/>
      <c r="AG91" s="285"/>
      <c r="AH91" s="285"/>
      <c r="AI91" s="937"/>
      <c r="AJ91" s="285"/>
      <c r="AK91" s="285"/>
      <c r="AL91" s="285"/>
      <c r="AM91" s="937"/>
      <c r="AN91" s="285"/>
      <c r="AO91" s="285"/>
      <c r="AP91" s="285"/>
      <c r="AQ91" s="937"/>
      <c r="AR91" s="285"/>
      <c r="AS91" s="285"/>
      <c r="AT91" s="285"/>
      <c r="AU91" s="937"/>
      <c r="AV91" s="285"/>
      <c r="AW91" s="285"/>
      <c r="AX91" s="285"/>
      <c r="AY91" s="937"/>
      <c r="AZ91" s="285"/>
      <c r="BA91" s="285"/>
      <c r="BB91" s="285"/>
      <c r="BC91" s="937"/>
      <c r="BD91" s="285"/>
      <c r="BE91" s="285"/>
      <c r="BF91" s="285"/>
      <c r="BG91" s="937"/>
      <c r="BH91" s="285"/>
      <c r="BI91" s="285"/>
      <c r="BJ91" s="285"/>
      <c r="BK91" s="937"/>
      <c r="BL91" s="285"/>
      <c r="BM91" s="285"/>
      <c r="BN91" s="285"/>
      <c r="BO91" s="937"/>
      <c r="BP91" s="23"/>
      <c r="BQ91" s="388"/>
      <c r="BR91" s="388"/>
      <c r="BS91" s="388"/>
      <c r="BT91" s="388"/>
      <c r="BU91" s="388"/>
      <c r="BV91" s="388"/>
      <c r="BW91" s="388"/>
      <c r="BX91" s="388"/>
      <c r="BY91" s="388"/>
      <c r="BZ91" s="388"/>
      <c r="CA91" s="388"/>
      <c r="CB91" s="388"/>
      <c r="CC91" s="388"/>
      <c r="CD91" s="388"/>
      <c r="CE91" s="388"/>
      <c r="CF91" s="388"/>
      <c r="CG91" s="23"/>
      <c r="CH91" s="387"/>
      <c r="CI91" s="388"/>
      <c r="CJ91" s="388"/>
      <c r="CK91" s="388"/>
      <c r="CL91" s="388"/>
      <c r="CM91" s="388"/>
      <c r="CN91" s="388"/>
      <c r="CO91" s="388"/>
      <c r="CP91" s="388"/>
      <c r="CQ91" s="388"/>
      <c r="CR91" s="388"/>
      <c r="CS91" s="388"/>
      <c r="CT91" s="388"/>
      <c r="CU91" s="388"/>
      <c r="CV91" s="937"/>
      <c r="CW91" s="25"/>
    </row>
    <row r="92" spans="1:107" ht="14.25" customHeight="1">
      <c r="A92" s="8"/>
      <c r="B92" s="346" t="s">
        <v>165</v>
      </c>
      <c r="C92" s="253"/>
      <c r="D92" s="387"/>
      <c r="E92" s="388"/>
      <c r="F92" s="388"/>
      <c r="G92" s="937"/>
      <c r="H92" s="387"/>
      <c r="I92" s="388"/>
      <c r="J92" s="388"/>
      <c r="K92" s="937"/>
      <c r="L92" s="387"/>
      <c r="M92" s="388"/>
      <c r="N92" s="388"/>
      <c r="O92" s="937"/>
      <c r="P92" s="387"/>
      <c r="Q92" s="388"/>
      <c r="R92" s="388"/>
      <c r="S92" s="937"/>
      <c r="T92" s="387"/>
      <c r="U92" s="388"/>
      <c r="V92" s="388"/>
      <c r="W92" s="937"/>
      <c r="X92" s="387"/>
      <c r="Y92" s="388"/>
      <c r="Z92" s="388"/>
      <c r="AA92" s="937"/>
      <c r="AB92" s="285"/>
      <c r="AC92" s="285"/>
      <c r="AD92" s="285"/>
      <c r="AE92" s="937"/>
      <c r="AF92" s="285">
        <f>+AF11</f>
        <v>139.38199999999998</v>
      </c>
      <c r="AG92" s="285">
        <f t="shared" ref="AG92:AQ92" si="635">+AG11</f>
        <v>162.89900000000003</v>
      </c>
      <c r="AH92" s="285">
        <f t="shared" si="635"/>
        <v>169.76799999999994</v>
      </c>
      <c r="AI92" s="937">
        <f t="shared" si="635"/>
        <v>179.18700000000007</v>
      </c>
      <c r="AJ92" s="285">
        <f t="shared" si="635"/>
        <v>131.22200000000001</v>
      </c>
      <c r="AK92" s="285">
        <f t="shared" si="635"/>
        <v>164.47199999999998</v>
      </c>
      <c r="AL92" s="285">
        <f t="shared" si="635"/>
        <v>176.23900000000003</v>
      </c>
      <c r="AM92" s="937">
        <f t="shared" si="635"/>
        <v>201.55400000000006</v>
      </c>
      <c r="AN92" s="285">
        <f t="shared" si="635"/>
        <v>152.58600000000007</v>
      </c>
      <c r="AO92" s="285">
        <f t="shared" si="635"/>
        <v>187.43299999999991</v>
      </c>
      <c r="AP92" s="285">
        <f>+AP11</f>
        <v>180.60599999999994</v>
      </c>
      <c r="AQ92" s="937">
        <f t="shared" si="635"/>
        <v>108.69499999999998</v>
      </c>
      <c r="AR92" s="285">
        <f t="shared" ref="AR92:AU92" si="636">+AR11</f>
        <v>178.75699999999998</v>
      </c>
      <c r="AS92" s="285">
        <f t="shared" si="636"/>
        <v>205.33800000000005</v>
      </c>
      <c r="AT92" s="285">
        <f t="shared" si="636"/>
        <v>216.47800000000007</v>
      </c>
      <c r="AU92" s="937">
        <f t="shared" si="636"/>
        <v>96.305000000000106</v>
      </c>
      <c r="AV92" s="285">
        <f>+AV11</f>
        <v>164.50399999999996</v>
      </c>
      <c r="AW92" s="285">
        <f>+AW11</f>
        <v>170.57299999999992</v>
      </c>
      <c r="AX92" s="285">
        <f>+AX11</f>
        <v>230.42999999999992</v>
      </c>
      <c r="AY92" s="937">
        <f t="shared" ref="AY92" si="637">+AY11</f>
        <v>296.1570000000001</v>
      </c>
      <c r="AZ92" s="285">
        <f>+AZ11</f>
        <v>217.12899999999991</v>
      </c>
      <c r="BA92" s="285">
        <f t="shared" ref="BA92:BG92" si="638">+BA11</f>
        <v>93.563999999999965</v>
      </c>
      <c r="BB92" s="285">
        <f t="shared" si="638"/>
        <v>68.916000000000025</v>
      </c>
      <c r="BC92" s="937">
        <f t="shared" si="638"/>
        <v>347.65000000000015</v>
      </c>
      <c r="BD92" s="285">
        <f t="shared" si="638"/>
        <v>268.17200000000003</v>
      </c>
      <c r="BE92" s="285">
        <f t="shared" si="638"/>
        <v>360.98042645555978</v>
      </c>
      <c r="BF92" s="285">
        <f t="shared" si="638"/>
        <v>528.96839675493754</v>
      </c>
      <c r="BG92" s="937">
        <f t="shared" si="638"/>
        <v>556.93309973660143</v>
      </c>
      <c r="BH92" s="285">
        <f t="shared" ref="BH92:BK92" si="639">+BH11</f>
        <v>479.45640495781339</v>
      </c>
      <c r="BI92" s="285">
        <f t="shared" si="639"/>
        <v>524.20737207307582</v>
      </c>
      <c r="BJ92" s="285">
        <f t="shared" si="639"/>
        <v>562.63532786794281</v>
      </c>
      <c r="BK92" s="937">
        <f t="shared" si="639"/>
        <v>600.52626968575726</v>
      </c>
      <c r="BL92" s="285">
        <f t="shared" ref="BL92:BO92" si="640">+BL11</f>
        <v>539.3776174205766</v>
      </c>
      <c r="BM92" s="285">
        <f t="shared" si="640"/>
        <v>583.80046747766767</v>
      </c>
      <c r="BN92" s="285">
        <f t="shared" si="640"/>
        <v>619.48675405347069</v>
      </c>
      <c r="BO92" s="937">
        <f t="shared" si="640"/>
        <v>653.47537969215841</v>
      </c>
      <c r="BP92" s="23"/>
      <c r="BQ92" s="388">
        <f t="shared" ref="BQ92:BZ92" si="641">+BQ11</f>
        <v>414.78700000000003</v>
      </c>
      <c r="BR92" s="388">
        <f t="shared" si="641"/>
        <v>549.48199999999986</v>
      </c>
      <c r="BS92" s="388">
        <f t="shared" si="641"/>
        <v>496.9070000000001</v>
      </c>
      <c r="BT92" s="388">
        <f t="shared" si="641"/>
        <v>786.28400000000011</v>
      </c>
      <c r="BU92" s="388">
        <f t="shared" si="641"/>
        <v>247.77200000000005</v>
      </c>
      <c r="BV92" s="388">
        <f t="shared" si="641"/>
        <v>712.08400000000006</v>
      </c>
      <c r="BW92" s="388">
        <f t="shared" si="641"/>
        <v>867.39400000000001</v>
      </c>
      <c r="BX92" s="388">
        <f t="shared" si="641"/>
        <v>651.2360000000001</v>
      </c>
      <c r="BY92" s="388">
        <f t="shared" si="641"/>
        <v>673.48700000000008</v>
      </c>
      <c r="BZ92" s="388">
        <f t="shared" si="641"/>
        <v>629.31999999999994</v>
      </c>
      <c r="CA92" s="388">
        <f t="shared" ref="CA92:CF92" si="642">+CA11</f>
        <v>696.87800000000016</v>
      </c>
      <c r="CB92" s="388">
        <f t="shared" si="642"/>
        <v>861.66399999999999</v>
      </c>
      <c r="CC92" s="388">
        <f t="shared" si="642"/>
        <v>727.25900000000001</v>
      </c>
      <c r="CD92" s="388">
        <f t="shared" si="642"/>
        <v>1715.0539229470987</v>
      </c>
      <c r="CE92" s="388">
        <f t="shared" si="642"/>
        <v>2166.8253745845891</v>
      </c>
      <c r="CF92" s="388">
        <f t="shared" si="642"/>
        <v>2396.1402186438736</v>
      </c>
      <c r="CG92" s="23"/>
      <c r="CH92" s="387"/>
      <c r="CI92" s="388"/>
      <c r="CJ92" s="388"/>
      <c r="CK92" s="388"/>
      <c r="CL92" s="388"/>
      <c r="CM92" s="388"/>
      <c r="CN92" s="388"/>
      <c r="CO92" s="388"/>
      <c r="CP92" s="388"/>
      <c r="CQ92" s="388"/>
      <c r="CR92" s="388"/>
      <c r="CS92" s="388"/>
      <c r="CT92" s="388"/>
      <c r="CU92" s="388"/>
      <c r="CV92" s="937"/>
      <c r="CW92" s="25"/>
    </row>
    <row r="93" spans="1:107" ht="14.25" customHeight="1">
      <c r="A93" s="8"/>
      <c r="B93" s="25" t="s">
        <v>491</v>
      </c>
      <c r="C93" s="253"/>
      <c r="D93" s="387"/>
      <c r="E93" s="388"/>
      <c r="F93" s="388"/>
      <c r="G93" s="937"/>
      <c r="H93" s="387"/>
      <c r="I93" s="388"/>
      <c r="J93" s="388"/>
      <c r="K93" s="937"/>
      <c r="L93" s="387"/>
      <c r="M93" s="388"/>
      <c r="N93" s="388"/>
      <c r="O93" s="937"/>
      <c r="P93" s="387"/>
      <c r="Q93" s="388"/>
      <c r="R93" s="388"/>
      <c r="S93" s="937"/>
      <c r="T93" s="387"/>
      <c r="U93" s="388"/>
      <c r="V93" s="388"/>
      <c r="W93" s="937"/>
      <c r="X93" s="387"/>
      <c r="Y93" s="388"/>
      <c r="Z93" s="388"/>
      <c r="AA93" s="937"/>
      <c r="AB93" s="285"/>
      <c r="AC93" s="285"/>
      <c r="AD93" s="285"/>
      <c r="AE93" s="937"/>
      <c r="AF93" s="285">
        <f>+AF13</f>
        <v>28.242999999999999</v>
      </c>
      <c r="AG93" s="285">
        <f t="shared" ref="AG93:AQ93" si="643">+AG13</f>
        <v>26.870999999999999</v>
      </c>
      <c r="AH93" s="285">
        <f t="shared" si="643"/>
        <v>27.10700000000001</v>
      </c>
      <c r="AI93" s="937">
        <f t="shared" si="643"/>
        <v>27.483999999999991</v>
      </c>
      <c r="AJ93" s="285">
        <f t="shared" si="643"/>
        <v>27.754999999999999</v>
      </c>
      <c r="AK93" s="285">
        <f t="shared" si="643"/>
        <v>27.478000000000005</v>
      </c>
      <c r="AL93" s="285">
        <f t="shared" si="643"/>
        <v>27.44799999999999</v>
      </c>
      <c r="AM93" s="937">
        <f t="shared" si="643"/>
        <v>27.514999999999997</v>
      </c>
      <c r="AN93" s="285">
        <f t="shared" si="643"/>
        <v>27.335000000000001</v>
      </c>
      <c r="AO93" s="285">
        <f t="shared" si="643"/>
        <v>27.458999999999996</v>
      </c>
      <c r="AP93" s="285">
        <f>+AP13</f>
        <v>28.353000000000009</v>
      </c>
      <c r="AQ93" s="937">
        <f t="shared" si="643"/>
        <v>30.916999999999987</v>
      </c>
      <c r="AR93" s="285">
        <f t="shared" ref="AR93:AU94" si="644">+AR13</f>
        <v>31.773</v>
      </c>
      <c r="AS93" s="285">
        <f t="shared" si="644"/>
        <v>32.036000000000001</v>
      </c>
      <c r="AT93" s="285">
        <f t="shared" si="644"/>
        <v>33.650000000000006</v>
      </c>
      <c r="AU93" s="937">
        <f t="shared" si="644"/>
        <v>32.687999999999988</v>
      </c>
      <c r="AV93" s="285">
        <f t="shared" ref="AV93:AY94" si="645">+AV13</f>
        <v>33.209000000000003</v>
      </c>
      <c r="AW93" s="285">
        <f t="shared" si="645"/>
        <v>33.48299999999999</v>
      </c>
      <c r="AX93" s="285">
        <f t="shared" si="645"/>
        <v>33.732000000000014</v>
      </c>
      <c r="AY93" s="937">
        <f t="shared" si="645"/>
        <v>34.115999999999985</v>
      </c>
      <c r="AZ93" s="285">
        <f t="shared" ref="AZ93" si="646">+AZ13</f>
        <v>34.378999999999998</v>
      </c>
      <c r="BA93" s="285">
        <f t="shared" ref="BA93:BC94" si="647">+BA13</f>
        <v>48.771999999999998</v>
      </c>
      <c r="BB93" s="285">
        <f t="shared" si="647"/>
        <v>55.217000000000006</v>
      </c>
      <c r="BC93" s="937">
        <f t="shared" si="647"/>
        <v>56.297999999999995</v>
      </c>
      <c r="BD93" s="285">
        <f t="shared" ref="BD93:BG94" si="648">+BD13</f>
        <v>56.414999999999999</v>
      </c>
      <c r="BE93" s="285">
        <f t="shared" si="648"/>
        <v>57.646111661514844</v>
      </c>
      <c r="BF93" s="285">
        <f t="shared" si="648"/>
        <v>58.913322459729336</v>
      </c>
      <c r="BG93" s="937">
        <f t="shared" si="648"/>
        <v>60.222365010802449</v>
      </c>
      <c r="BH93" s="285">
        <f t="shared" ref="BH93:BK93" si="649">+BH13</f>
        <v>58.726801575683773</v>
      </c>
      <c r="BI93" s="285">
        <f t="shared" si="649"/>
        <v>59.966677768973426</v>
      </c>
      <c r="BJ93" s="285">
        <f t="shared" si="649"/>
        <v>61.252020999431963</v>
      </c>
      <c r="BK93" s="937">
        <f t="shared" si="649"/>
        <v>62.590942698182054</v>
      </c>
      <c r="BL93" s="285">
        <f t="shared" ref="BL93:BO93" si="650">+BL13</f>
        <v>63.860283107458798</v>
      </c>
      <c r="BM93" s="285">
        <f t="shared" si="650"/>
        <v>65.183338064734073</v>
      </c>
      <c r="BN93" s="285">
        <f t="shared" si="650"/>
        <v>66.548140188935093</v>
      </c>
      <c r="BO93" s="937">
        <f t="shared" si="650"/>
        <v>67.961399049982532</v>
      </c>
      <c r="BP93" s="23"/>
      <c r="BQ93" s="388">
        <f t="shared" ref="BQ93:BZ93" si="651">+BQ13</f>
        <v>153.18100000000001</v>
      </c>
      <c r="BR93" s="388">
        <f t="shared" si="651"/>
        <v>166.851</v>
      </c>
      <c r="BS93" s="388">
        <f t="shared" si="651"/>
        <v>142.173</v>
      </c>
      <c r="BT93" s="388">
        <f t="shared" si="651"/>
        <v>144.22200000000001</v>
      </c>
      <c r="BU93" s="388">
        <f t="shared" si="651"/>
        <v>132.49299999999999</v>
      </c>
      <c r="BV93" s="388">
        <f t="shared" si="651"/>
        <v>116.083</v>
      </c>
      <c r="BW93" s="388">
        <f t="shared" si="651"/>
        <v>116.873</v>
      </c>
      <c r="BX93" s="388">
        <f t="shared" si="651"/>
        <v>109.705</v>
      </c>
      <c r="BY93" s="388">
        <f t="shared" si="651"/>
        <v>110.196</v>
      </c>
      <c r="BZ93" s="388">
        <f t="shared" si="651"/>
        <v>114.06399999999999</v>
      </c>
      <c r="CA93" s="388">
        <f t="shared" ref="CA93:CC94" si="652">+CA13</f>
        <v>130.14699999999999</v>
      </c>
      <c r="CB93" s="388">
        <f t="shared" si="652"/>
        <v>134.54</v>
      </c>
      <c r="CC93" s="388">
        <f t="shared" si="652"/>
        <v>194.666</v>
      </c>
      <c r="CD93" s="388">
        <f t="shared" ref="CD93:CE93" si="653">+CD13</f>
        <v>233.19679913204664</v>
      </c>
      <c r="CE93" s="388">
        <f t="shared" si="653"/>
        <v>242.53644304227123</v>
      </c>
      <c r="CF93" s="388">
        <f t="shared" ref="CF93" si="654">+CF13</f>
        <v>263.55316041111053</v>
      </c>
      <c r="CG93" s="23"/>
      <c r="CH93" s="387"/>
      <c r="CI93" s="388"/>
      <c r="CJ93" s="388"/>
      <c r="CK93" s="388"/>
      <c r="CL93" s="388"/>
      <c r="CM93" s="388"/>
      <c r="CN93" s="388"/>
      <c r="CO93" s="388"/>
      <c r="CP93" s="388"/>
      <c r="CQ93" s="388"/>
      <c r="CR93" s="388"/>
      <c r="CS93" s="388"/>
      <c r="CT93" s="388"/>
      <c r="CU93" s="388"/>
      <c r="CV93" s="937"/>
      <c r="CW93" s="25"/>
    </row>
    <row r="94" spans="1:107" ht="14.25" customHeight="1">
      <c r="A94" s="8"/>
      <c r="B94" s="25" t="s">
        <v>492</v>
      </c>
      <c r="C94" s="253"/>
      <c r="D94" s="387"/>
      <c r="E94" s="388"/>
      <c r="F94" s="388"/>
      <c r="G94" s="937"/>
      <c r="H94" s="387"/>
      <c r="I94" s="388"/>
      <c r="J94" s="388"/>
      <c r="K94" s="937"/>
      <c r="L94" s="387"/>
      <c r="M94" s="388"/>
      <c r="N94" s="388"/>
      <c r="O94" s="937"/>
      <c r="P94" s="387"/>
      <c r="Q94" s="388"/>
      <c r="R94" s="388"/>
      <c r="S94" s="937"/>
      <c r="T94" s="387"/>
      <c r="U94" s="388"/>
      <c r="V94" s="388"/>
      <c r="W94" s="937"/>
      <c r="X94" s="387"/>
      <c r="Y94" s="388"/>
      <c r="Z94" s="388"/>
      <c r="AA94" s="937"/>
      <c r="AB94" s="285"/>
      <c r="AC94" s="285"/>
      <c r="AD94" s="285"/>
      <c r="AE94" s="937"/>
      <c r="AF94" s="285">
        <f>+AF14</f>
        <v>0</v>
      </c>
      <c r="AG94" s="285">
        <f t="shared" ref="AG94:AQ94" si="655">+AG14</f>
        <v>1.7999999999999999E-2</v>
      </c>
      <c r="AH94" s="285">
        <f t="shared" si="655"/>
        <v>5.5999999999999994E-2</v>
      </c>
      <c r="AI94" s="937">
        <f t="shared" si="655"/>
        <v>5.4000000000000006E-2</v>
      </c>
      <c r="AJ94" s="285">
        <f t="shared" si="655"/>
        <v>5.5E-2</v>
      </c>
      <c r="AK94" s="285">
        <f t="shared" si="655"/>
        <v>5.5E-2</v>
      </c>
      <c r="AL94" s="285">
        <f t="shared" si="655"/>
        <v>5.5000000000000014E-2</v>
      </c>
      <c r="AM94" s="937">
        <f t="shared" si="655"/>
        <v>5.4999999999999986E-2</v>
      </c>
      <c r="AN94" s="285">
        <f t="shared" si="655"/>
        <v>5.5E-2</v>
      </c>
      <c r="AO94" s="285">
        <f t="shared" si="655"/>
        <v>5.5E-2</v>
      </c>
      <c r="AP94" s="285">
        <f>+AP14</f>
        <v>1.61</v>
      </c>
      <c r="AQ94" s="937">
        <f t="shared" si="655"/>
        <v>26.186</v>
      </c>
      <c r="AR94" s="285">
        <f t="shared" si="644"/>
        <v>24.739000000000001</v>
      </c>
      <c r="AS94" s="285">
        <f t="shared" si="644"/>
        <v>25.154</v>
      </c>
      <c r="AT94" s="285">
        <f t="shared" si="644"/>
        <v>23.898</v>
      </c>
      <c r="AU94" s="937">
        <f t="shared" si="644"/>
        <v>18.30200000000001</v>
      </c>
      <c r="AV94" s="285">
        <f t="shared" si="645"/>
        <v>18.347000000000001</v>
      </c>
      <c r="AW94" s="285">
        <f t="shared" si="645"/>
        <v>18.439999999999998</v>
      </c>
      <c r="AX94" s="285">
        <f t="shared" si="645"/>
        <v>18.916000000000004</v>
      </c>
      <c r="AY94" s="937">
        <f t="shared" si="645"/>
        <v>19.546999999999997</v>
      </c>
      <c r="AZ94" s="285">
        <f t="shared" ref="AZ94" si="656">+AZ14</f>
        <v>19.946999999999999</v>
      </c>
      <c r="BA94" s="285">
        <f t="shared" si="647"/>
        <v>88.77</v>
      </c>
      <c r="BB94" s="285">
        <f t="shared" si="647"/>
        <v>147.238</v>
      </c>
      <c r="BC94" s="937">
        <f t="shared" si="647"/>
        <v>133.43799999999999</v>
      </c>
      <c r="BD94" s="285">
        <f t="shared" si="648"/>
        <v>142.05000000000001</v>
      </c>
      <c r="BE94" s="285">
        <f t="shared" si="648"/>
        <v>0</v>
      </c>
      <c r="BF94" s="285">
        <f t="shared" si="648"/>
        <v>0</v>
      </c>
      <c r="BG94" s="937">
        <f t="shared" si="648"/>
        <v>0</v>
      </c>
      <c r="BH94" s="285">
        <f t="shared" ref="BH94:BK94" si="657">+BH14</f>
        <v>0</v>
      </c>
      <c r="BI94" s="285">
        <f t="shared" si="657"/>
        <v>0</v>
      </c>
      <c r="BJ94" s="285">
        <f t="shared" si="657"/>
        <v>0</v>
      </c>
      <c r="BK94" s="937">
        <f t="shared" si="657"/>
        <v>0</v>
      </c>
      <c r="BL94" s="285">
        <f t="shared" ref="BL94:BO94" si="658">+BL14</f>
        <v>0</v>
      </c>
      <c r="BM94" s="285">
        <f t="shared" si="658"/>
        <v>0</v>
      </c>
      <c r="BN94" s="285">
        <f t="shared" si="658"/>
        <v>0</v>
      </c>
      <c r="BO94" s="937">
        <f t="shared" si="658"/>
        <v>0</v>
      </c>
      <c r="BP94" s="23"/>
      <c r="BQ94" s="388">
        <f t="shared" ref="BQ94:BZ94" si="659">+BQ14</f>
        <v>2.383</v>
      </c>
      <c r="BR94" s="388">
        <f t="shared" si="659"/>
        <v>5.3120000000000003</v>
      </c>
      <c r="BS94" s="388">
        <f t="shared" si="659"/>
        <v>12.61</v>
      </c>
      <c r="BT94" s="388">
        <f t="shared" si="659"/>
        <v>9.25</v>
      </c>
      <c r="BU94" s="388">
        <f t="shared" si="659"/>
        <v>7.3769999999999998</v>
      </c>
      <c r="BV94" s="388">
        <f t="shared" si="659"/>
        <v>4.8280000000000003</v>
      </c>
      <c r="BW94" s="388">
        <f t="shared" si="659"/>
        <v>1.3460000000000001</v>
      </c>
      <c r="BX94" s="388">
        <f t="shared" si="659"/>
        <v>0.128</v>
      </c>
      <c r="BY94" s="388">
        <f t="shared" si="659"/>
        <v>0.22</v>
      </c>
      <c r="BZ94" s="388">
        <f t="shared" si="659"/>
        <v>27.905999999999999</v>
      </c>
      <c r="CA94" s="388">
        <f t="shared" si="652"/>
        <v>92.093000000000004</v>
      </c>
      <c r="CB94" s="388">
        <f t="shared" si="652"/>
        <v>75.25</v>
      </c>
      <c r="CC94" s="388">
        <f t="shared" si="652"/>
        <v>389.39299999999997</v>
      </c>
      <c r="CD94" s="388">
        <f t="shared" ref="CD94:CE94" si="660">+CD14</f>
        <v>142.05000000000001</v>
      </c>
      <c r="CE94" s="388">
        <f t="shared" si="660"/>
        <v>0</v>
      </c>
      <c r="CF94" s="388">
        <f t="shared" ref="CF94" si="661">+CF14</f>
        <v>0</v>
      </c>
      <c r="CG94" s="23"/>
      <c r="CH94" s="387"/>
      <c r="CI94" s="388"/>
      <c r="CJ94" s="388"/>
      <c r="CK94" s="388"/>
      <c r="CL94" s="388"/>
      <c r="CM94" s="388"/>
      <c r="CN94" s="388"/>
      <c r="CO94" s="388"/>
      <c r="CP94" s="388"/>
      <c r="CQ94" s="388"/>
      <c r="CR94" s="388"/>
      <c r="CS94" s="388"/>
      <c r="CT94" s="388"/>
      <c r="CU94" s="388"/>
      <c r="CV94" s="937"/>
      <c r="CW94" s="25"/>
    </row>
    <row r="95" spans="1:107" s="951" customFormat="1" ht="14.25" customHeight="1">
      <c r="A95" s="675"/>
      <c r="B95" s="685" t="s">
        <v>493</v>
      </c>
      <c r="C95" s="946"/>
      <c r="D95" s="947"/>
      <c r="E95" s="948"/>
      <c r="F95" s="948"/>
      <c r="G95" s="949"/>
      <c r="H95" s="947"/>
      <c r="I95" s="948"/>
      <c r="J95" s="948"/>
      <c r="K95" s="949"/>
      <c r="L95" s="947"/>
      <c r="M95" s="948"/>
      <c r="N95" s="948"/>
      <c r="O95" s="949"/>
      <c r="P95" s="947"/>
      <c r="Q95" s="948"/>
      <c r="R95" s="948"/>
      <c r="S95" s="949"/>
      <c r="T95" s="947"/>
      <c r="U95" s="948"/>
      <c r="V95" s="948"/>
      <c r="W95" s="949"/>
      <c r="X95" s="947"/>
      <c r="Y95" s="948"/>
      <c r="Z95" s="948"/>
      <c r="AA95" s="949"/>
      <c r="AB95" s="950"/>
      <c r="AC95" s="950"/>
      <c r="AD95" s="950"/>
      <c r="AE95" s="949"/>
      <c r="AF95" s="950">
        <f>+AF34</f>
        <v>-25.289000000000001</v>
      </c>
      <c r="AG95" s="950">
        <f t="shared" ref="AG95:AQ95" si="662">+AG34</f>
        <v>-30.137</v>
      </c>
      <c r="AH95" s="950">
        <f t="shared" si="662"/>
        <v>-39.239000000000004</v>
      </c>
      <c r="AI95" s="949">
        <f t="shared" si="662"/>
        <v>-37.510999999999981</v>
      </c>
      <c r="AJ95" s="950">
        <f t="shared" si="662"/>
        <v>-18.268999999999998</v>
      </c>
      <c r="AK95" s="950">
        <f t="shared" si="662"/>
        <v>-26.178999999999995</v>
      </c>
      <c r="AL95" s="950">
        <f t="shared" si="662"/>
        <v>-30.068000000000012</v>
      </c>
      <c r="AM95" s="949">
        <f t="shared" si="662"/>
        <v>-48.558</v>
      </c>
      <c r="AN95" s="950">
        <f t="shared" si="662"/>
        <v>-48.122999999999998</v>
      </c>
      <c r="AO95" s="950">
        <f t="shared" si="662"/>
        <v>-44.058</v>
      </c>
      <c r="AP95" s="950">
        <f>+AP34</f>
        <v>-42.315000000000019</v>
      </c>
      <c r="AQ95" s="949">
        <f t="shared" si="662"/>
        <v>-43.416999999999994</v>
      </c>
      <c r="AR95" s="950">
        <f t="shared" ref="AR95:AU95" si="663">+AR34</f>
        <v>-23.76</v>
      </c>
      <c r="AS95" s="950">
        <f t="shared" si="663"/>
        <v>-49.228999999999999</v>
      </c>
      <c r="AT95" s="950">
        <f t="shared" si="663"/>
        <v>-35.164000000000001</v>
      </c>
      <c r="AU95" s="949">
        <f t="shared" si="663"/>
        <v>-45.807000000000002</v>
      </c>
      <c r="AV95" s="950">
        <f>+AV34</f>
        <v>-23.128</v>
      </c>
      <c r="AW95" s="950">
        <f>+AW34</f>
        <v>-25.517000000000003</v>
      </c>
      <c r="AX95" s="950">
        <f>+AX34</f>
        <v>-37.527999999999999</v>
      </c>
      <c r="AY95" s="949">
        <f t="shared" ref="AY95" si="664">+AY34</f>
        <v>-41.224000000000004</v>
      </c>
      <c r="AZ95" s="950">
        <f>+AZ34</f>
        <v>-28.337</v>
      </c>
      <c r="BA95" s="950">
        <f t="shared" ref="BA95:BG95" si="665">+BA34</f>
        <v>-46.929000000000002</v>
      </c>
      <c r="BB95" s="950">
        <f t="shared" si="665"/>
        <v>-63.617000000000004</v>
      </c>
      <c r="BC95" s="949">
        <f t="shared" si="665"/>
        <v>-65.214999999999989</v>
      </c>
      <c r="BD95" s="950">
        <f t="shared" si="665"/>
        <v>-63.222000000000001</v>
      </c>
      <c r="BE95" s="950">
        <f t="shared" si="665"/>
        <v>-73.518741249999991</v>
      </c>
      <c r="BF95" s="950">
        <f t="shared" si="665"/>
        <v>-75.674486478749998</v>
      </c>
      <c r="BG95" s="949">
        <f t="shared" si="665"/>
        <v>-78.172568424187503</v>
      </c>
      <c r="BH95" s="950">
        <f t="shared" ref="BH95:BK95" si="666">+BH34</f>
        <v>-74.104302327298115</v>
      </c>
      <c r="BI95" s="950">
        <f t="shared" si="666"/>
        <v>-77.492262080603453</v>
      </c>
      <c r="BJ95" s="950">
        <f t="shared" si="666"/>
        <v>-80.333951903658772</v>
      </c>
      <c r="BK95" s="949">
        <f t="shared" si="666"/>
        <v>-83.682606171880707</v>
      </c>
      <c r="BL95" s="950">
        <f t="shared" ref="BL95:BO95" si="667">+BL34</f>
        <v>-79.333775579796438</v>
      </c>
      <c r="BM95" s="950">
        <f t="shared" si="667"/>
        <v>-82.690934829704759</v>
      </c>
      <c r="BN95" s="950">
        <f t="shared" si="667"/>
        <v>-85.300132762564203</v>
      </c>
      <c r="BO95" s="949">
        <f t="shared" si="667"/>
        <v>-88.328678815464997</v>
      </c>
      <c r="BP95" s="681"/>
      <c r="BQ95" s="948">
        <f t="shared" ref="BQ95:BZ95" si="668">+BQ34</f>
        <v>-85.456999999999994</v>
      </c>
      <c r="BR95" s="948">
        <f t="shared" si="668"/>
        <v>-129.297</v>
      </c>
      <c r="BS95" s="948">
        <f t="shared" si="668"/>
        <v>-141.81</v>
      </c>
      <c r="BT95" s="948">
        <f t="shared" si="668"/>
        <v>-157.40799999999999</v>
      </c>
      <c r="BU95" s="948">
        <f t="shared" si="668"/>
        <v>-56.094999999999999</v>
      </c>
      <c r="BV95" s="948">
        <f t="shared" si="668"/>
        <v>-111.557</v>
      </c>
      <c r="BW95" s="948">
        <f t="shared" si="668"/>
        <v>-122.996</v>
      </c>
      <c r="BX95" s="948">
        <f t="shared" si="668"/>
        <v>-132.17599999999999</v>
      </c>
      <c r="BY95" s="948">
        <f t="shared" si="668"/>
        <v>-123.07400000000001</v>
      </c>
      <c r="BZ95" s="948">
        <f t="shared" si="668"/>
        <v>-177.91300000000001</v>
      </c>
      <c r="CA95" s="948">
        <f t="shared" ref="CA95:CF95" si="669">+CA34</f>
        <v>-153.96</v>
      </c>
      <c r="CB95" s="948">
        <f t="shared" si="669"/>
        <v>-127.39700000000001</v>
      </c>
      <c r="CC95" s="948">
        <f t="shared" si="669"/>
        <v>-204.09800000000001</v>
      </c>
      <c r="CD95" s="948">
        <f t="shared" si="669"/>
        <v>-290.58779615293747</v>
      </c>
      <c r="CE95" s="948">
        <f t="shared" si="669"/>
        <v>-315.61312248344103</v>
      </c>
      <c r="CF95" s="948">
        <f t="shared" si="669"/>
        <v>-335.65352198753044</v>
      </c>
      <c r="CG95" s="681"/>
      <c r="CH95" s="947"/>
      <c r="CI95" s="948"/>
      <c r="CJ95" s="948"/>
      <c r="CK95" s="948"/>
      <c r="CL95" s="948"/>
      <c r="CM95" s="948"/>
      <c r="CN95" s="948"/>
      <c r="CO95" s="948"/>
      <c r="CP95" s="948"/>
      <c r="CQ95" s="948"/>
      <c r="CR95" s="948"/>
      <c r="CS95" s="948"/>
      <c r="CT95" s="948"/>
      <c r="CU95" s="948"/>
      <c r="CV95" s="949"/>
      <c r="CW95" s="685"/>
      <c r="CX95"/>
      <c r="CY95"/>
      <c r="CZ95"/>
      <c r="DA95"/>
      <c r="DB95"/>
      <c r="DC95"/>
    </row>
    <row r="96" spans="1:107" s="914" customFormat="1" ht="14.25" customHeight="1">
      <c r="A96" s="107"/>
      <c r="B96" s="344" t="s">
        <v>148</v>
      </c>
      <c r="C96" s="345"/>
      <c r="D96" s="952"/>
      <c r="E96" s="953"/>
      <c r="F96" s="953"/>
      <c r="G96" s="954"/>
      <c r="H96" s="952"/>
      <c r="I96" s="953"/>
      <c r="J96" s="953"/>
      <c r="K96" s="954"/>
      <c r="L96" s="952"/>
      <c r="M96" s="953"/>
      <c r="N96" s="953"/>
      <c r="O96" s="954"/>
      <c r="P96" s="952"/>
      <c r="Q96" s="953"/>
      <c r="R96" s="953"/>
      <c r="S96" s="954"/>
      <c r="T96" s="952"/>
      <c r="U96" s="953"/>
      <c r="V96" s="953"/>
      <c r="W96" s="954"/>
      <c r="X96" s="952"/>
      <c r="Y96" s="953"/>
      <c r="Z96" s="953"/>
      <c r="AA96" s="954"/>
      <c r="AB96" s="955"/>
      <c r="AC96" s="955"/>
      <c r="AD96" s="955"/>
      <c r="AE96" s="954"/>
      <c r="AF96" s="955">
        <f>+SUM(AF92:AF95)</f>
        <v>142.33599999999996</v>
      </c>
      <c r="AG96" s="955">
        <f t="shared" ref="AG96:AQ96" si="670">+SUM(AG92:AG95)</f>
        <v>159.65100000000004</v>
      </c>
      <c r="AH96" s="955">
        <f t="shared" si="670"/>
        <v>157.69199999999995</v>
      </c>
      <c r="AI96" s="954">
        <f t="shared" si="670"/>
        <v>169.21400000000006</v>
      </c>
      <c r="AJ96" s="955">
        <f t="shared" si="670"/>
        <v>140.76300000000001</v>
      </c>
      <c r="AK96" s="955">
        <f t="shared" si="670"/>
        <v>165.82599999999999</v>
      </c>
      <c r="AL96" s="955">
        <f t="shared" si="670"/>
        <v>173.67400000000001</v>
      </c>
      <c r="AM96" s="954">
        <f t="shared" si="670"/>
        <v>180.56600000000006</v>
      </c>
      <c r="AN96" s="955">
        <f t="shared" si="670"/>
        <v>131.85300000000009</v>
      </c>
      <c r="AO96" s="955">
        <f t="shared" si="670"/>
        <v>170.88899999999992</v>
      </c>
      <c r="AP96" s="955">
        <f>+SUM(AP92:AP95)</f>
        <v>168.25399999999993</v>
      </c>
      <c r="AQ96" s="954">
        <f t="shared" si="670"/>
        <v>122.38099999999997</v>
      </c>
      <c r="AR96" s="955">
        <f t="shared" ref="AR96:AU96" si="671">+SUM(AR92:AR95)</f>
        <v>211.50899999999999</v>
      </c>
      <c r="AS96" s="955">
        <f t="shared" si="671"/>
        <v>213.29900000000009</v>
      </c>
      <c r="AT96" s="955">
        <f t="shared" si="671"/>
        <v>238.86200000000008</v>
      </c>
      <c r="AU96" s="954">
        <f t="shared" si="671"/>
        <v>101.48800000000013</v>
      </c>
      <c r="AV96" s="955">
        <f>+SUM(AV92:AV95)</f>
        <v>192.93199999999996</v>
      </c>
      <c r="AW96" s="955">
        <f>+SUM(AW92:AW95)</f>
        <v>196.97899999999993</v>
      </c>
      <c r="AX96" s="955">
        <f>+SUM(AX92:AX95)</f>
        <v>245.54999999999993</v>
      </c>
      <c r="AY96" s="954">
        <f t="shared" ref="AY96" si="672">+SUM(AY92:AY95)</f>
        <v>308.59600000000006</v>
      </c>
      <c r="AZ96" s="955">
        <f>+SUM(AZ92:AZ95)</f>
        <v>243.11799999999988</v>
      </c>
      <c r="BA96" s="955">
        <f t="shared" ref="BA96:BG96" si="673">+SUM(BA92:BA95)</f>
        <v>184.17699999999994</v>
      </c>
      <c r="BB96" s="955">
        <f t="shared" si="673"/>
        <v>207.75400000000002</v>
      </c>
      <c r="BC96" s="954">
        <f t="shared" si="673"/>
        <v>472.17100000000022</v>
      </c>
      <c r="BD96" s="955">
        <f t="shared" si="673"/>
        <v>403.41500000000008</v>
      </c>
      <c r="BE96" s="955">
        <f t="shared" si="673"/>
        <v>345.10779686707463</v>
      </c>
      <c r="BF96" s="955">
        <f t="shared" si="673"/>
        <v>512.20723273591693</v>
      </c>
      <c r="BG96" s="954">
        <f t="shared" si="673"/>
        <v>538.98289632321644</v>
      </c>
      <c r="BH96" s="955">
        <f t="shared" ref="BH96:BK96" si="674">+SUM(BH92:BH95)</f>
        <v>464.07890420619901</v>
      </c>
      <c r="BI96" s="955">
        <f t="shared" si="674"/>
        <v>506.68178776144583</v>
      </c>
      <c r="BJ96" s="955">
        <f t="shared" si="674"/>
        <v>543.55339696371595</v>
      </c>
      <c r="BK96" s="954">
        <f t="shared" si="674"/>
        <v>579.43460621205861</v>
      </c>
      <c r="BL96" s="955">
        <f t="shared" ref="BL96:BO96" si="675">+SUM(BL92:BL95)</f>
        <v>523.90412494823897</v>
      </c>
      <c r="BM96" s="955">
        <f t="shared" si="675"/>
        <v>566.29287071269709</v>
      </c>
      <c r="BN96" s="955">
        <f t="shared" si="675"/>
        <v>600.73476147984161</v>
      </c>
      <c r="BO96" s="954">
        <f t="shared" si="675"/>
        <v>633.108099926676</v>
      </c>
      <c r="BP96" s="343"/>
      <c r="BQ96" s="953">
        <f t="shared" ref="BQ96:CB96" si="676">+SUM(BQ92:BQ95)</f>
        <v>484.89400000000012</v>
      </c>
      <c r="BR96" s="953">
        <f t="shared" si="676"/>
        <v>592.34799999999984</v>
      </c>
      <c r="BS96" s="953">
        <f t="shared" si="676"/>
        <v>509.88000000000017</v>
      </c>
      <c r="BT96" s="953">
        <f t="shared" si="676"/>
        <v>782.34800000000007</v>
      </c>
      <c r="BU96" s="953">
        <f t="shared" si="676"/>
        <v>331.54700000000003</v>
      </c>
      <c r="BV96" s="953">
        <f t="shared" si="676"/>
        <v>721.43799999999999</v>
      </c>
      <c r="BW96" s="953">
        <f t="shared" si="676"/>
        <v>862.61700000000008</v>
      </c>
      <c r="BX96" s="953">
        <f t="shared" si="676"/>
        <v>628.89300000000026</v>
      </c>
      <c r="BY96" s="953">
        <f t="shared" si="676"/>
        <v>660.82900000000018</v>
      </c>
      <c r="BZ96" s="953">
        <f t="shared" si="676"/>
        <v>593.37699999999984</v>
      </c>
      <c r="CA96" s="953">
        <f t="shared" si="676"/>
        <v>765.15800000000002</v>
      </c>
      <c r="CB96" s="953">
        <f t="shared" si="676"/>
        <v>944.0569999999999</v>
      </c>
      <c r="CC96" s="953">
        <f>+SUM(CC92:CC95)</f>
        <v>1107.22</v>
      </c>
      <c r="CD96" s="953">
        <f>+SUM(CD92:CD95)</f>
        <v>1799.7129259262081</v>
      </c>
      <c r="CE96" s="953">
        <f>+SUM(CE92:CE95)</f>
        <v>2093.7486951434189</v>
      </c>
      <c r="CF96" s="953">
        <f>+SUM(CF92:CF95)</f>
        <v>2324.0398570674538</v>
      </c>
      <c r="CG96" s="343"/>
      <c r="CH96" s="952"/>
      <c r="CI96" s="953"/>
      <c r="CJ96" s="953"/>
      <c r="CK96" s="953"/>
      <c r="CL96" s="953"/>
      <c r="CM96" s="953"/>
      <c r="CN96" s="953"/>
      <c r="CO96" s="953"/>
      <c r="CP96" s="953"/>
      <c r="CQ96" s="953"/>
      <c r="CR96" s="953"/>
      <c r="CS96" s="953"/>
      <c r="CT96" s="953"/>
      <c r="CU96" s="953"/>
      <c r="CV96" s="954"/>
      <c r="CW96" s="344"/>
      <c r="CX96"/>
      <c r="CY96"/>
      <c r="CZ96"/>
      <c r="DA96"/>
      <c r="DB96"/>
      <c r="DC96"/>
    </row>
    <row r="97" spans="1:107" s="969" customFormat="1" ht="14.25" customHeight="1">
      <c r="A97" s="961"/>
      <c r="B97" s="962" t="s">
        <v>494</v>
      </c>
      <c r="C97" s="963"/>
      <c r="D97" s="964"/>
      <c r="E97" s="965"/>
      <c r="F97" s="965"/>
      <c r="G97" s="966"/>
      <c r="H97" s="964"/>
      <c r="I97" s="965"/>
      <c r="J97" s="965"/>
      <c r="K97" s="966"/>
      <c r="L97" s="964"/>
      <c r="M97" s="965"/>
      <c r="N97" s="965"/>
      <c r="O97" s="966"/>
      <c r="P97" s="964"/>
      <c r="Q97" s="965"/>
      <c r="R97" s="965"/>
      <c r="S97" s="966"/>
      <c r="T97" s="964"/>
      <c r="U97" s="965"/>
      <c r="V97" s="965"/>
      <c r="W97" s="966"/>
      <c r="X97" s="964"/>
      <c r="Y97" s="965"/>
      <c r="Z97" s="965"/>
      <c r="AA97" s="966"/>
      <c r="AB97" s="967"/>
      <c r="AC97" s="967"/>
      <c r="AD97" s="967"/>
      <c r="AE97" s="966"/>
      <c r="AF97" s="967">
        <f>-SUM(IS!AF74:AF75)</f>
        <v>3.3340000000000005</v>
      </c>
      <c r="AG97" s="967">
        <f>-SUM(IS!AG74:AG75)</f>
        <v>2.9229999999999996</v>
      </c>
      <c r="AH97" s="967">
        <f>-SUM(IS!AH74:AH75)</f>
        <v>2.9529999999999998</v>
      </c>
      <c r="AI97" s="966">
        <f>-SUM(IS!AI74:AI75)</f>
        <v>2.7640000000000011</v>
      </c>
      <c r="AJ97" s="967">
        <f>-SUM(IS!AJ74:AJ75)</f>
        <v>3.1809999999999996</v>
      </c>
      <c r="AK97" s="967">
        <f>-SUM(IS!AK74:AK75)</f>
        <v>3.3130000000000002</v>
      </c>
      <c r="AL97" s="967">
        <f>-SUM(IS!AL74:AL75)</f>
        <v>4.5469999999999997</v>
      </c>
      <c r="AM97" s="966">
        <f>-SUM(IS!AM74:AM75)</f>
        <v>3.3079999999999998</v>
      </c>
      <c r="AN97" s="967">
        <f>-SUM(IS!AN74:AN75)</f>
        <v>3.2869999999999999</v>
      </c>
      <c r="AO97" s="967">
        <f>-SUM(IS!AO74:AO75)</f>
        <v>3.2869999999999999</v>
      </c>
      <c r="AP97" s="967">
        <f>-SUM(IS!AP74:AP75)</f>
        <v>4.7360000000000007</v>
      </c>
      <c r="AQ97" s="966">
        <f>-SUM(IS!AQ74:AQ75)</f>
        <v>11.231</v>
      </c>
      <c r="AR97" s="967">
        <f>-SUM(IS!AR74:AR75)</f>
        <v>0</v>
      </c>
      <c r="AS97" s="967">
        <f>-SUM(IS!AS74:AS75)</f>
        <v>0</v>
      </c>
      <c r="AT97" s="967">
        <f>-SUM(IS!AT74:AT75)</f>
        <v>4.5259999999999998</v>
      </c>
      <c r="AU97" s="966">
        <f>-SUM(IS!AU74:AU75)</f>
        <v>0</v>
      </c>
      <c r="AV97" s="967">
        <f>-SUM(IS!AV74:AV75)</f>
        <v>9.8629999999999995</v>
      </c>
      <c r="AW97" s="967">
        <f>-SUM(IS!AW74:AW75)</f>
        <v>12.468999999999999</v>
      </c>
      <c r="AX97" s="967">
        <f>-SUM(IS!AX74:AX75)</f>
        <v>12.811</v>
      </c>
      <c r="AY97" s="966">
        <f>-SUM(IS!AY74:AY75)</f>
        <v>19.882000000000001</v>
      </c>
      <c r="AZ97" s="967">
        <f>-SUM(IS!AZ74:AZ75)</f>
        <v>32.613999999999997</v>
      </c>
      <c r="BA97" s="967">
        <f>-SUM(IS!BA74:BA75)</f>
        <v>59.121000000000002</v>
      </c>
      <c r="BB97" s="967">
        <f>-SUM(IS!BB74:BB75)</f>
        <v>68.022999999999996</v>
      </c>
      <c r="BC97" s="966">
        <f>-SUM(IS!BC74:BC75)</f>
        <v>66.546000000000006</v>
      </c>
      <c r="BD97" s="967">
        <f>-SUM(IS!BD74:BD75)</f>
        <v>66.494</v>
      </c>
      <c r="BE97" s="967">
        <f>-SUM(IS!BE74:BE75)</f>
        <v>60</v>
      </c>
      <c r="BF97" s="967">
        <f>-SUM(IS!BF74:BF75)</f>
        <v>57</v>
      </c>
      <c r="BG97" s="966">
        <f>-SUM(IS!BG74:BG75)</f>
        <v>54</v>
      </c>
      <c r="BH97" s="967">
        <f>-SUM(IS!BH74:BH75)</f>
        <v>52</v>
      </c>
      <c r="BI97" s="967">
        <f>-SUM(IS!BI74:BI75)</f>
        <v>50</v>
      </c>
      <c r="BJ97" s="967">
        <f>-SUM(IS!BJ74:BJ75)</f>
        <v>48</v>
      </c>
      <c r="BK97" s="966">
        <f>-SUM(IS!BK74:BK75)</f>
        <v>46</v>
      </c>
      <c r="BL97" s="967">
        <f>-SUM(IS!BL74:BL75)</f>
        <v>44</v>
      </c>
      <c r="BM97" s="967">
        <f>-SUM(IS!BM74:BM75)</f>
        <v>42</v>
      </c>
      <c r="BN97" s="967">
        <f>-SUM(IS!BN74:BN75)</f>
        <v>40</v>
      </c>
      <c r="BO97" s="966">
        <f>-SUM(IS!BO74:BO75)</f>
        <v>38</v>
      </c>
      <c r="BP97" s="968"/>
      <c r="BQ97" s="965"/>
      <c r="BR97" s="965"/>
      <c r="BS97" s="965"/>
      <c r="BT97" s="965"/>
      <c r="BU97" s="965"/>
      <c r="BV97" s="965"/>
      <c r="BW97" s="965"/>
      <c r="BX97" s="965"/>
      <c r="BY97" s="965">
        <f>-IS!BY77</f>
        <v>14.349</v>
      </c>
      <c r="BZ97" s="965">
        <f>-IS!BZ77</f>
        <v>22.541</v>
      </c>
      <c r="CA97" s="965">
        <f>-IS!CA77</f>
        <v>4.5259999999999998</v>
      </c>
      <c r="CB97" s="965">
        <f>-IS!CB77</f>
        <v>55.024999999999991</v>
      </c>
      <c r="CC97" s="965">
        <f>-IS!CC77</f>
        <v>226.64899999999997</v>
      </c>
      <c r="CD97" s="965">
        <f>-IS!CD77</f>
        <v>237.494</v>
      </c>
      <c r="CE97" s="965">
        <f>-IS!CE77</f>
        <v>196</v>
      </c>
      <c r="CF97" s="965">
        <f>-IS!CF77</f>
        <v>164</v>
      </c>
      <c r="CG97" s="968"/>
      <c r="CH97" s="964"/>
      <c r="CI97" s="965"/>
      <c r="CJ97" s="965"/>
      <c r="CK97" s="965"/>
      <c r="CL97" s="965"/>
      <c r="CM97" s="965"/>
      <c r="CN97" s="965"/>
      <c r="CO97" s="965"/>
      <c r="CP97" s="965"/>
      <c r="CQ97" s="965"/>
      <c r="CR97" s="965"/>
      <c r="CS97" s="965"/>
      <c r="CT97" s="965"/>
      <c r="CU97" s="965"/>
      <c r="CV97" s="966"/>
      <c r="CW97" s="962"/>
      <c r="CX97"/>
      <c r="CY97"/>
      <c r="CZ97"/>
      <c r="DA97"/>
      <c r="DB97"/>
      <c r="DC97"/>
    </row>
    <row r="98" spans="1:107" s="914" customFormat="1" ht="14.25" customHeight="1">
      <c r="A98" s="107"/>
      <c r="B98" s="344" t="s">
        <v>495</v>
      </c>
      <c r="C98" s="345"/>
      <c r="D98" s="952"/>
      <c r="E98" s="953"/>
      <c r="F98" s="953"/>
      <c r="G98" s="954"/>
      <c r="H98" s="952"/>
      <c r="I98" s="953"/>
      <c r="J98" s="953"/>
      <c r="K98" s="954"/>
      <c r="L98" s="952"/>
      <c r="M98" s="953"/>
      <c r="N98" s="953"/>
      <c r="O98" s="954"/>
      <c r="P98" s="952"/>
      <c r="Q98" s="953"/>
      <c r="R98" s="953"/>
      <c r="S98" s="954"/>
      <c r="T98" s="952"/>
      <c r="U98" s="953"/>
      <c r="V98" s="953"/>
      <c r="W98" s="954"/>
      <c r="X98" s="952"/>
      <c r="Y98" s="953"/>
      <c r="Z98" s="953"/>
      <c r="AA98" s="954"/>
      <c r="AB98" s="955"/>
      <c r="AC98" s="955"/>
      <c r="AD98" s="955"/>
      <c r="AE98" s="954"/>
      <c r="AF98" s="955">
        <f>+SUM(AF96:AF97)</f>
        <v>145.66999999999996</v>
      </c>
      <c r="AG98" s="955">
        <f t="shared" ref="AG98:AQ98" si="677">+SUM(AG96:AG97)</f>
        <v>162.57400000000004</v>
      </c>
      <c r="AH98" s="955">
        <f t="shared" si="677"/>
        <v>160.64499999999995</v>
      </c>
      <c r="AI98" s="954">
        <f t="shared" si="677"/>
        <v>171.97800000000007</v>
      </c>
      <c r="AJ98" s="955">
        <f t="shared" si="677"/>
        <v>143.94400000000002</v>
      </c>
      <c r="AK98" s="955">
        <f t="shared" si="677"/>
        <v>169.13899999999998</v>
      </c>
      <c r="AL98" s="955">
        <f t="shared" si="677"/>
        <v>178.221</v>
      </c>
      <c r="AM98" s="954">
        <f t="shared" si="677"/>
        <v>183.87400000000005</v>
      </c>
      <c r="AN98" s="955">
        <f t="shared" si="677"/>
        <v>135.1400000000001</v>
      </c>
      <c r="AO98" s="955">
        <f t="shared" si="677"/>
        <v>174.17599999999993</v>
      </c>
      <c r="AP98" s="955">
        <f>+SUM(AP96:AP97)</f>
        <v>172.98999999999992</v>
      </c>
      <c r="AQ98" s="954">
        <f t="shared" si="677"/>
        <v>133.61199999999997</v>
      </c>
      <c r="AR98" s="955">
        <f t="shared" ref="AR98:AU98" si="678">+SUM(AR96:AR97)</f>
        <v>211.50899999999999</v>
      </c>
      <c r="AS98" s="955">
        <f t="shared" si="678"/>
        <v>213.29900000000009</v>
      </c>
      <c r="AT98" s="955">
        <f t="shared" si="678"/>
        <v>243.38800000000009</v>
      </c>
      <c r="AU98" s="954">
        <f t="shared" si="678"/>
        <v>101.48800000000013</v>
      </c>
      <c r="AV98" s="955">
        <f>+SUM(AV96:AV97)</f>
        <v>202.79499999999996</v>
      </c>
      <c r="AW98" s="955">
        <f>+SUM(AW96:AW97)</f>
        <v>209.44799999999992</v>
      </c>
      <c r="AX98" s="955">
        <f>+SUM(AX96:AX97)</f>
        <v>258.36099999999993</v>
      </c>
      <c r="AY98" s="954">
        <f t="shared" ref="AY98" si="679">+SUM(AY96:AY97)</f>
        <v>328.47800000000007</v>
      </c>
      <c r="AZ98" s="955">
        <f>+SUM(AZ96:AZ97)</f>
        <v>275.73199999999986</v>
      </c>
      <c r="BA98" s="955">
        <f t="shared" ref="BA98:BG98" si="680">+SUM(BA96:BA97)</f>
        <v>243.29799999999994</v>
      </c>
      <c r="BB98" s="955">
        <f t="shared" si="680"/>
        <v>275.77700000000004</v>
      </c>
      <c r="BC98" s="954">
        <f t="shared" si="680"/>
        <v>538.71700000000021</v>
      </c>
      <c r="BD98" s="955">
        <f t="shared" si="680"/>
        <v>469.90900000000011</v>
      </c>
      <c r="BE98" s="955">
        <f t="shared" si="680"/>
        <v>405.10779686707463</v>
      </c>
      <c r="BF98" s="955">
        <f t="shared" si="680"/>
        <v>569.20723273591693</v>
      </c>
      <c r="BG98" s="954">
        <f t="shared" si="680"/>
        <v>592.98289632321644</v>
      </c>
      <c r="BH98" s="955">
        <f t="shared" ref="BH98:BK98" si="681">+SUM(BH96:BH97)</f>
        <v>516.07890420619901</v>
      </c>
      <c r="BI98" s="955">
        <f t="shared" si="681"/>
        <v>556.68178776144578</v>
      </c>
      <c r="BJ98" s="955">
        <f t="shared" si="681"/>
        <v>591.55339696371595</v>
      </c>
      <c r="BK98" s="954">
        <f t="shared" si="681"/>
        <v>625.43460621205861</v>
      </c>
      <c r="BL98" s="955">
        <f t="shared" ref="BL98:BO98" si="682">+SUM(BL96:BL97)</f>
        <v>567.90412494823897</v>
      </c>
      <c r="BM98" s="955">
        <f t="shared" si="682"/>
        <v>608.29287071269709</v>
      </c>
      <c r="BN98" s="955">
        <f t="shared" si="682"/>
        <v>640.73476147984161</v>
      </c>
      <c r="BO98" s="954">
        <f t="shared" si="682"/>
        <v>671.108099926676</v>
      </c>
      <c r="BP98" s="343"/>
      <c r="BQ98" s="953"/>
      <c r="BR98" s="953"/>
      <c r="BS98" s="953"/>
      <c r="BT98" s="953"/>
      <c r="BU98" s="953"/>
      <c r="BV98" s="953"/>
      <c r="BW98" s="953"/>
      <c r="BX98" s="953"/>
      <c r="BY98" s="953">
        <f t="shared" ref="BY98:CB98" si="683">+SUM(BY96:BY97)</f>
        <v>675.17800000000022</v>
      </c>
      <c r="BZ98" s="953">
        <f t="shared" si="683"/>
        <v>615.91799999999989</v>
      </c>
      <c r="CA98" s="953">
        <f t="shared" si="683"/>
        <v>769.68399999999997</v>
      </c>
      <c r="CB98" s="953">
        <f t="shared" si="683"/>
        <v>999.08199999999988</v>
      </c>
      <c r="CC98" s="953">
        <f>+SUM(CC96:CC97)</f>
        <v>1333.8689999999999</v>
      </c>
      <c r="CD98" s="953">
        <f>+SUM(CD96:CD97)</f>
        <v>2037.206925926208</v>
      </c>
      <c r="CE98" s="953">
        <f>+SUM(CE96:CE97)</f>
        <v>2289.7486951434189</v>
      </c>
      <c r="CF98" s="953">
        <f>+SUM(CF96:CF97)</f>
        <v>2488.0398570674538</v>
      </c>
      <c r="CG98" s="343"/>
      <c r="CH98" s="952"/>
      <c r="CI98" s="953"/>
      <c r="CJ98" s="953"/>
      <c r="CK98" s="953"/>
      <c r="CL98" s="953"/>
      <c r="CM98" s="953"/>
      <c r="CN98" s="953"/>
      <c r="CO98" s="953"/>
      <c r="CP98" s="953"/>
      <c r="CQ98" s="953"/>
      <c r="CR98" s="953"/>
      <c r="CS98" s="953"/>
      <c r="CT98" s="953"/>
      <c r="CU98" s="953"/>
      <c r="CV98" s="954"/>
      <c r="CW98" s="344"/>
      <c r="CX98"/>
      <c r="CY98"/>
      <c r="CZ98"/>
      <c r="DA98"/>
      <c r="DB98"/>
      <c r="DC98"/>
    </row>
    <row r="99" spans="1:107" ht="14.25" customHeight="1">
      <c r="A99" s="8"/>
      <c r="B99" s="25"/>
      <c r="C99" s="253"/>
      <c r="D99" s="387"/>
      <c r="E99" s="388"/>
      <c r="F99" s="388"/>
      <c r="G99" s="937"/>
      <c r="H99" s="387"/>
      <c r="I99" s="388"/>
      <c r="J99" s="388"/>
      <c r="K99" s="937"/>
      <c r="L99" s="387"/>
      <c r="M99" s="388"/>
      <c r="N99" s="388"/>
      <c r="O99" s="937"/>
      <c r="P99" s="387"/>
      <c r="Q99" s="388"/>
      <c r="R99" s="388"/>
      <c r="S99" s="937"/>
      <c r="T99" s="387"/>
      <c r="U99" s="388"/>
      <c r="V99" s="388"/>
      <c r="W99" s="937"/>
      <c r="X99" s="387"/>
      <c r="Y99" s="388"/>
      <c r="Z99" s="388"/>
      <c r="AA99" s="937"/>
      <c r="AB99" s="285"/>
      <c r="AC99" s="285"/>
      <c r="AD99" s="285"/>
      <c r="AE99" s="937"/>
      <c r="AF99" s="285"/>
      <c r="AG99" s="285"/>
      <c r="AH99" s="285"/>
      <c r="AI99" s="937"/>
      <c r="AJ99" s="285"/>
      <c r="AK99" s="285"/>
      <c r="AL99" s="285"/>
      <c r="AM99" s="937"/>
      <c r="AN99" s="285"/>
      <c r="AO99" s="285"/>
      <c r="AP99" s="285"/>
      <c r="AQ99" s="937"/>
      <c r="AR99" s="285"/>
      <c r="AS99" s="285"/>
      <c r="AT99" s="285"/>
      <c r="AU99" s="937"/>
      <c r="AV99" s="285"/>
      <c r="AW99" s="285"/>
      <c r="AX99" s="285"/>
      <c r="AY99" s="937"/>
      <c r="AZ99" s="285"/>
      <c r="BA99" s="285"/>
      <c r="BB99" s="285"/>
      <c r="BC99" s="937"/>
      <c r="BD99" s="285"/>
      <c r="BE99" s="285"/>
      <c r="BF99" s="285"/>
      <c r="BG99" s="937"/>
      <c r="BH99" s="285"/>
      <c r="BI99" s="285"/>
      <c r="BJ99" s="285"/>
      <c r="BK99" s="937"/>
      <c r="BL99" s="285"/>
      <c r="BM99" s="285"/>
      <c r="BN99" s="285"/>
      <c r="BO99" s="937"/>
      <c r="BP99" s="23"/>
      <c r="BQ99" s="388"/>
      <c r="BR99" s="388"/>
      <c r="BS99" s="388"/>
      <c r="BT99" s="388"/>
      <c r="BU99" s="388"/>
      <c r="BV99" s="388"/>
      <c r="BW99" s="388"/>
      <c r="BX99" s="388"/>
      <c r="BY99" s="388"/>
      <c r="BZ99" s="388"/>
      <c r="CA99" s="388"/>
      <c r="CB99" s="388"/>
      <c r="CC99" s="388"/>
      <c r="CD99" s="388"/>
      <c r="CE99" s="388"/>
      <c r="CF99" s="388"/>
      <c r="CG99" s="23"/>
      <c r="CH99" s="387"/>
      <c r="CI99" s="388"/>
      <c r="CJ99" s="388"/>
      <c r="CK99" s="388"/>
      <c r="CL99" s="388"/>
      <c r="CM99" s="388"/>
      <c r="CN99" s="388"/>
      <c r="CO99" s="388"/>
      <c r="CP99" s="388"/>
      <c r="CQ99" s="388"/>
      <c r="CR99" s="388"/>
      <c r="CS99" s="388"/>
      <c r="CT99" s="388"/>
      <c r="CU99" s="388"/>
      <c r="CV99" s="937"/>
      <c r="CW99" s="25"/>
    </row>
    <row r="100" spans="1:107" ht="14.25" customHeight="1">
      <c r="A100" s="8"/>
      <c r="B100" s="344" t="s">
        <v>504</v>
      </c>
      <c r="C100" s="253"/>
      <c r="D100" s="387"/>
      <c r="E100" s="388"/>
      <c r="F100" s="388"/>
      <c r="G100" s="937"/>
      <c r="H100" s="387"/>
      <c r="I100" s="388"/>
      <c r="J100" s="388"/>
      <c r="K100" s="937"/>
      <c r="L100" s="387"/>
      <c r="M100" s="388"/>
      <c r="N100" s="388"/>
      <c r="O100" s="937"/>
      <c r="P100" s="387"/>
      <c r="Q100" s="388"/>
      <c r="R100" s="388"/>
      <c r="S100" s="937"/>
      <c r="T100" s="387"/>
      <c r="U100" s="388"/>
      <c r="V100" s="388"/>
      <c r="W100" s="937"/>
      <c r="X100" s="387"/>
      <c r="Y100" s="388"/>
      <c r="Z100" s="388"/>
      <c r="AA100" s="937"/>
      <c r="AB100" s="285"/>
      <c r="AC100" s="285"/>
      <c r="AD100" s="285"/>
      <c r="AE100" s="937"/>
      <c r="AF100" s="285"/>
      <c r="AG100" s="285"/>
      <c r="AH100" s="285"/>
      <c r="AI100" s="937"/>
      <c r="AJ100" s="285"/>
      <c r="AK100" s="285"/>
      <c r="AL100" s="285"/>
      <c r="AM100" s="937"/>
      <c r="AN100" s="285"/>
      <c r="AO100" s="285"/>
      <c r="AP100" s="285"/>
      <c r="AQ100" s="937"/>
      <c r="AR100" s="285"/>
      <c r="AS100" s="285"/>
      <c r="AT100" s="285"/>
      <c r="AU100" s="937"/>
      <c r="AV100" s="285"/>
      <c r="AW100" s="285"/>
      <c r="AX100" s="285"/>
      <c r="AY100" s="937"/>
      <c r="AZ100" s="285"/>
      <c r="BA100" s="285"/>
      <c r="BB100" s="285"/>
      <c r="BC100" s="937"/>
      <c r="BD100" s="285"/>
      <c r="BE100" s="285"/>
      <c r="BF100" s="285"/>
      <c r="BG100" s="937"/>
      <c r="BH100" s="285"/>
      <c r="BI100" s="285"/>
      <c r="BJ100" s="285"/>
      <c r="BK100" s="937"/>
      <c r="BL100" s="285"/>
      <c r="BM100" s="285"/>
      <c r="BN100" s="285"/>
      <c r="BO100" s="937"/>
      <c r="BP100" s="23"/>
      <c r="BQ100" s="388"/>
      <c r="BR100" s="388"/>
      <c r="BS100" s="388"/>
      <c r="BT100" s="388"/>
      <c r="BU100" s="388"/>
      <c r="BV100" s="388"/>
      <c r="BW100" s="388"/>
      <c r="BX100" s="388"/>
      <c r="BY100" s="388"/>
      <c r="BZ100" s="388"/>
      <c r="CA100" s="388"/>
      <c r="CB100" s="388"/>
      <c r="CC100" s="388"/>
      <c r="CD100" s="388"/>
      <c r="CE100" s="388"/>
      <c r="CF100" s="388"/>
      <c r="CG100" s="23"/>
      <c r="CH100" s="387"/>
      <c r="CI100" s="388"/>
      <c r="CJ100" s="388"/>
      <c r="CK100" s="388"/>
      <c r="CL100" s="388"/>
      <c r="CM100" s="388"/>
      <c r="CN100" s="388"/>
      <c r="CO100" s="388"/>
      <c r="CP100" s="388"/>
      <c r="CQ100" s="388"/>
      <c r="CR100" s="388"/>
      <c r="CS100" s="388"/>
      <c r="CT100" s="388"/>
      <c r="CU100" s="388"/>
      <c r="CV100" s="937"/>
      <c r="CW100" s="25"/>
    </row>
    <row r="101" spans="1:107" ht="14.25" customHeight="1">
      <c r="A101" s="8"/>
      <c r="B101" s="25" t="s">
        <v>501</v>
      </c>
      <c r="C101" s="253"/>
      <c r="D101" s="387"/>
      <c r="E101" s="388"/>
      <c r="F101" s="388"/>
      <c r="G101" s="937"/>
      <c r="H101" s="387"/>
      <c r="I101" s="388"/>
      <c r="J101" s="388"/>
      <c r="K101" s="937"/>
      <c r="L101" s="387"/>
      <c r="M101" s="388"/>
      <c r="N101" s="388"/>
      <c r="O101" s="937"/>
      <c r="P101" s="387"/>
      <c r="Q101" s="388"/>
      <c r="R101" s="388"/>
      <c r="S101" s="937"/>
      <c r="T101" s="387"/>
      <c r="U101" s="388"/>
      <c r="V101" s="388"/>
      <c r="W101" s="937"/>
      <c r="X101" s="387"/>
      <c r="Y101" s="388"/>
      <c r="Z101" s="388"/>
      <c r="AA101" s="937"/>
      <c r="AB101" s="285"/>
      <c r="AC101" s="285"/>
      <c r="AD101" s="285"/>
      <c r="AE101" s="937"/>
      <c r="AF101" s="285">
        <f>+IS!AF149</f>
        <v>6.7551067251202177</v>
      </c>
      <c r="AG101" s="285">
        <f>+IS!AG149</f>
        <v>7.3895425094819736</v>
      </c>
      <c r="AH101" s="285">
        <f>+IS!AH149</f>
        <v>11.894903192835208</v>
      </c>
      <c r="AI101" s="937">
        <f>+IS!AI149</f>
        <v>15.209455880277051</v>
      </c>
      <c r="AJ101" s="285">
        <f>+IS!AJ149</f>
        <v>11.095582499999999</v>
      </c>
      <c r="AK101" s="285">
        <f>+IS!AK149</f>
        <v>13.119907499999997</v>
      </c>
      <c r="AL101" s="285">
        <f>+IS!AL149</f>
        <v>20.746306131787676</v>
      </c>
      <c r="AM101" s="937">
        <f>+IS!AM149</f>
        <v>21.9762585</v>
      </c>
      <c r="AN101" s="285">
        <f>+IS!AN149</f>
        <v>14.320560000000002</v>
      </c>
      <c r="AO101" s="285">
        <f>+IS!AO149</f>
        <v>17.369039999999991</v>
      </c>
      <c r="AP101" s="285">
        <f>+IS!AP149</f>
        <v>18.931199999999997</v>
      </c>
      <c r="AQ101" s="937">
        <f>+IS!AQ149</f>
        <v>18.919149999999981</v>
      </c>
      <c r="AR101" s="285">
        <f>+IS!AR149</f>
        <v>15.338999999999999</v>
      </c>
      <c r="AS101" s="285">
        <f>+IS!AS149</f>
        <v>19.017450000000004</v>
      </c>
      <c r="AT101" s="285">
        <f>+IS!AT149</f>
        <v>20.912100000000017</v>
      </c>
      <c r="AU101" s="937">
        <f>+IS!AU149</f>
        <v>40.207449999999987</v>
      </c>
      <c r="AV101" s="285">
        <f>+IS!AV149</f>
        <v>16.61259999999999</v>
      </c>
      <c r="AW101" s="285">
        <f>+IS!AW149</f>
        <v>20.474009999999989</v>
      </c>
      <c r="AX101" s="285">
        <f>+IS!AX149</f>
        <v>27.626999999999988</v>
      </c>
      <c r="AY101" s="937">
        <f>+IS!AY149</f>
        <v>36.852200000000011</v>
      </c>
      <c r="AZ101" s="285">
        <f>+IS!AZ149</f>
        <v>38.228950000000012</v>
      </c>
      <c r="BA101" s="285">
        <f>+IS!BA149</f>
        <v>39.28295</v>
      </c>
      <c r="BB101" s="285">
        <f>+IS!BB149</f>
        <v>50.821120000000008</v>
      </c>
      <c r="BC101" s="937">
        <f>+IS!BC149</f>
        <v>63.069724999999998</v>
      </c>
      <c r="BD101" s="285">
        <f>+IS!BD149</f>
        <v>67.349299999999999</v>
      </c>
      <c r="BE101" s="285">
        <f>+IS!BE149</f>
        <v>64.557553306944953</v>
      </c>
      <c r="BF101" s="285">
        <f>+IS!BF149</f>
        <v>63.24622135113384</v>
      </c>
      <c r="BG101" s="937">
        <f>+IS!BG149</f>
        <v>66.589827142419736</v>
      </c>
      <c r="BH101" s="285">
        <f>+IS!BH149</f>
        <v>49.035314143412727</v>
      </c>
      <c r="BI101" s="285">
        <f>+IS!BI149</f>
        <v>53.612117598382753</v>
      </c>
      <c r="BJ101" s="285">
        <f>+IS!BJ149</f>
        <v>57.542249441039601</v>
      </c>
      <c r="BK101" s="937">
        <f>+IS!BK149</f>
        <v>61.417459399679721</v>
      </c>
      <c r="BL101" s="285">
        <f>+IS!BL149</f>
        <v>55.163619963468058</v>
      </c>
      <c r="BM101" s="285">
        <f>+IS!BM149</f>
        <v>59.706865992034189</v>
      </c>
      <c r="BN101" s="285">
        <f>+IS!BN149</f>
        <v>63.356599846377684</v>
      </c>
      <c r="BO101" s="937">
        <f>+IS!BO149</f>
        <v>66.832709286698019</v>
      </c>
      <c r="BP101" s="23"/>
      <c r="BQ101" s="388">
        <f>+IS!BQ149</f>
        <v>-1.7891660245868337</v>
      </c>
      <c r="BR101" s="388">
        <f>+IS!BR149</f>
        <v>38.41342716141164</v>
      </c>
      <c r="BS101" s="388">
        <f>+IS!BS149</f>
        <v>19.590383585275447</v>
      </c>
      <c r="BT101" s="388">
        <f>+IS!BT149</f>
        <v>29.633773297149787</v>
      </c>
      <c r="BU101" s="388">
        <f>+IS!BU149</f>
        <v>24.038956800451942</v>
      </c>
      <c r="BV101" s="388">
        <f>+IS!BV149</f>
        <v>40.829160310031057</v>
      </c>
      <c r="BW101" s="388">
        <f>+IS!BW149</f>
        <v>59.069406181942995</v>
      </c>
      <c r="BX101" s="388">
        <f>+IS!BX149</f>
        <v>41.249008307714391</v>
      </c>
      <c r="BY101" s="388">
        <f>+IS!BY149</f>
        <v>66.938054631787708</v>
      </c>
      <c r="BZ101" s="388">
        <f>+IS!BZ149</f>
        <v>70.119549999999947</v>
      </c>
      <c r="CA101" s="388">
        <f>+IS!CA149</f>
        <v>95.665749999999917</v>
      </c>
      <c r="CB101" s="388">
        <f>+IS!CB149</f>
        <v>101.49020999999999</v>
      </c>
      <c r="CC101" s="388">
        <f>+IS!CC149</f>
        <v>191.40274500000012</v>
      </c>
      <c r="CD101" s="388">
        <f>+IS!CD149</f>
        <v>261.74290180049854</v>
      </c>
      <c r="CE101" s="388">
        <f>+IS!CE149</f>
        <v>221.6071405825146</v>
      </c>
      <c r="CF101" s="388">
        <f>+IS!CF149</f>
        <v>245.05979508857786</v>
      </c>
      <c r="CG101" s="23"/>
      <c r="CH101" s="387"/>
      <c r="CI101" s="388"/>
      <c r="CJ101" s="388"/>
      <c r="CK101" s="388"/>
      <c r="CL101" s="388"/>
      <c r="CM101" s="388"/>
      <c r="CN101" s="388"/>
      <c r="CO101" s="388"/>
      <c r="CP101" s="388"/>
      <c r="CQ101" s="388"/>
      <c r="CR101" s="388"/>
      <c r="CS101" s="388"/>
      <c r="CT101" s="388"/>
      <c r="CU101" s="388"/>
      <c r="CV101" s="937"/>
      <c r="CW101" s="25"/>
    </row>
    <row r="102" spans="1:107" s="915" customFormat="1" ht="14.25" customHeight="1">
      <c r="A102" s="299"/>
      <c r="B102" s="346" t="s">
        <v>148</v>
      </c>
      <c r="C102" s="956"/>
      <c r="D102" s="957"/>
      <c r="E102" s="958"/>
      <c r="F102" s="958"/>
      <c r="G102" s="959"/>
      <c r="H102" s="957"/>
      <c r="I102" s="958"/>
      <c r="J102" s="958"/>
      <c r="K102" s="959"/>
      <c r="L102" s="957"/>
      <c r="M102" s="958"/>
      <c r="N102" s="958"/>
      <c r="O102" s="959"/>
      <c r="P102" s="957"/>
      <c r="Q102" s="958"/>
      <c r="R102" s="958"/>
      <c r="S102" s="959"/>
      <c r="T102" s="957"/>
      <c r="U102" s="958"/>
      <c r="V102" s="958"/>
      <c r="W102" s="959"/>
      <c r="X102" s="957"/>
      <c r="Y102" s="958"/>
      <c r="Z102" s="958"/>
      <c r="AA102" s="959"/>
      <c r="AB102" s="960"/>
      <c r="AC102" s="960"/>
      <c r="AD102" s="960"/>
      <c r="AE102" s="959"/>
      <c r="AF102" s="960">
        <f>+AF96-AF101</f>
        <v>135.58089327487974</v>
      </c>
      <c r="AG102" s="960">
        <f t="shared" ref="AG102:AQ102" si="684">+AG96-AG101</f>
        <v>152.26145749051807</v>
      </c>
      <c r="AH102" s="960">
        <f t="shared" si="684"/>
        <v>145.79709680716473</v>
      </c>
      <c r="AI102" s="959">
        <f t="shared" si="684"/>
        <v>154.00454411972299</v>
      </c>
      <c r="AJ102" s="960">
        <f t="shared" si="684"/>
        <v>129.6674175</v>
      </c>
      <c r="AK102" s="960">
        <f t="shared" si="684"/>
        <v>152.70609250000001</v>
      </c>
      <c r="AL102" s="960">
        <f t="shared" si="684"/>
        <v>152.92769386821232</v>
      </c>
      <c r="AM102" s="959">
        <f t="shared" si="684"/>
        <v>158.58974150000006</v>
      </c>
      <c r="AN102" s="960">
        <f t="shared" si="684"/>
        <v>117.53244000000009</v>
      </c>
      <c r="AO102" s="960">
        <f t="shared" si="684"/>
        <v>153.51995999999994</v>
      </c>
      <c r="AP102" s="960">
        <f>+AP96-AP101</f>
        <v>149.32279999999994</v>
      </c>
      <c r="AQ102" s="959">
        <f t="shared" si="684"/>
        <v>103.46185</v>
      </c>
      <c r="AR102" s="960">
        <f t="shared" ref="AR102:AX102" si="685">+AR96-AR101</f>
        <v>196.17</v>
      </c>
      <c r="AS102" s="960">
        <f t="shared" si="685"/>
        <v>194.2815500000001</v>
      </c>
      <c r="AT102" s="960">
        <f t="shared" si="685"/>
        <v>217.94990000000007</v>
      </c>
      <c r="AU102" s="959">
        <f t="shared" si="685"/>
        <v>61.28055000000014</v>
      </c>
      <c r="AV102" s="960">
        <f t="shared" si="685"/>
        <v>176.31939999999997</v>
      </c>
      <c r="AW102" s="960">
        <f t="shared" si="685"/>
        <v>176.50498999999994</v>
      </c>
      <c r="AX102" s="960">
        <f t="shared" si="685"/>
        <v>217.92299999999994</v>
      </c>
      <c r="AY102" s="959">
        <f t="shared" ref="AY102:AZ102" si="686">+AY96-AY101</f>
        <v>271.74380000000008</v>
      </c>
      <c r="AZ102" s="960">
        <f t="shared" si="686"/>
        <v>204.88904999999988</v>
      </c>
      <c r="BA102" s="960">
        <f t="shared" ref="BA102:BG102" si="687">+BA96-BA101</f>
        <v>144.89404999999994</v>
      </c>
      <c r="BB102" s="960">
        <f t="shared" si="687"/>
        <v>156.93288000000001</v>
      </c>
      <c r="BC102" s="959">
        <f t="shared" si="687"/>
        <v>409.10127500000021</v>
      </c>
      <c r="BD102" s="960">
        <f t="shared" si="687"/>
        <v>336.06570000000011</v>
      </c>
      <c r="BE102" s="960">
        <f t="shared" si="687"/>
        <v>280.55024356012967</v>
      </c>
      <c r="BF102" s="960">
        <f t="shared" si="687"/>
        <v>448.96101138478309</v>
      </c>
      <c r="BG102" s="959">
        <f t="shared" si="687"/>
        <v>472.39306918079672</v>
      </c>
      <c r="BH102" s="960">
        <f t="shared" ref="BH102:BK102" si="688">+BH96-BH101</f>
        <v>415.04359006278628</v>
      </c>
      <c r="BI102" s="960">
        <f t="shared" si="688"/>
        <v>453.06967016306305</v>
      </c>
      <c r="BJ102" s="960">
        <f t="shared" si="688"/>
        <v>486.01114752267637</v>
      </c>
      <c r="BK102" s="959">
        <f t="shared" si="688"/>
        <v>518.01714681237888</v>
      </c>
      <c r="BL102" s="960">
        <f t="shared" ref="BL102:BO102" si="689">+BL96-BL101</f>
        <v>468.74050498477089</v>
      </c>
      <c r="BM102" s="960">
        <f t="shared" si="689"/>
        <v>506.58600472066291</v>
      </c>
      <c r="BN102" s="960">
        <f t="shared" si="689"/>
        <v>537.37816163346395</v>
      </c>
      <c r="BO102" s="959">
        <f t="shared" si="689"/>
        <v>566.27539063997801</v>
      </c>
      <c r="BP102" s="488"/>
      <c r="BQ102" s="958">
        <f t="shared" ref="BQ102:CB102" si="690">+BQ96-BQ101</f>
        <v>486.68316602458697</v>
      </c>
      <c r="BR102" s="958">
        <f t="shared" si="690"/>
        <v>553.93457283858822</v>
      </c>
      <c r="BS102" s="958">
        <f t="shared" si="690"/>
        <v>490.28961641472472</v>
      </c>
      <c r="BT102" s="958">
        <f t="shared" si="690"/>
        <v>752.71422670285028</v>
      </c>
      <c r="BU102" s="958">
        <f t="shared" si="690"/>
        <v>307.50804319954807</v>
      </c>
      <c r="BV102" s="958">
        <f t="shared" si="690"/>
        <v>680.60883968996893</v>
      </c>
      <c r="BW102" s="958">
        <f t="shared" si="690"/>
        <v>803.54759381805707</v>
      </c>
      <c r="BX102" s="958">
        <f t="shared" si="690"/>
        <v>587.64399169228591</v>
      </c>
      <c r="BY102" s="958">
        <f t="shared" si="690"/>
        <v>593.89094536821244</v>
      </c>
      <c r="BZ102" s="958">
        <f t="shared" si="690"/>
        <v>523.25744999999984</v>
      </c>
      <c r="CA102" s="958">
        <f t="shared" si="690"/>
        <v>669.49225000000013</v>
      </c>
      <c r="CB102" s="958">
        <f t="shared" si="690"/>
        <v>842.56678999999986</v>
      </c>
      <c r="CC102" s="958">
        <f>+CC96-CC101</f>
        <v>915.81725499999993</v>
      </c>
      <c r="CD102" s="958">
        <f>+CD96-CD101</f>
        <v>1537.9700241257096</v>
      </c>
      <c r="CE102" s="958">
        <f>+CE96-CE101</f>
        <v>1872.1415545609043</v>
      </c>
      <c r="CF102" s="958">
        <f>+CF96-CF101</f>
        <v>2078.9800619788757</v>
      </c>
      <c r="CG102" s="488"/>
      <c r="CH102" s="957"/>
      <c r="CI102" s="958"/>
      <c r="CJ102" s="958"/>
      <c r="CK102" s="958"/>
      <c r="CL102" s="958"/>
      <c r="CM102" s="958"/>
      <c r="CN102" s="958"/>
      <c r="CO102" s="958"/>
      <c r="CP102" s="958"/>
      <c r="CQ102" s="958"/>
      <c r="CR102" s="958"/>
      <c r="CS102" s="958"/>
      <c r="CT102" s="958"/>
      <c r="CU102" s="958"/>
      <c r="CV102" s="959"/>
      <c r="CW102" s="346"/>
      <c r="CX102"/>
      <c r="CY102"/>
      <c r="CZ102"/>
      <c r="DA102"/>
      <c r="DB102"/>
      <c r="DC102"/>
    </row>
    <row r="103" spans="1:107" s="915" customFormat="1" ht="14.25" customHeight="1">
      <c r="A103" s="299"/>
      <c r="B103" s="346" t="s">
        <v>495</v>
      </c>
      <c r="C103" s="956"/>
      <c r="D103" s="957"/>
      <c r="E103" s="958"/>
      <c r="F103" s="958"/>
      <c r="G103" s="959"/>
      <c r="H103" s="957"/>
      <c r="I103" s="958"/>
      <c r="J103" s="958"/>
      <c r="K103" s="959"/>
      <c r="L103" s="957"/>
      <c r="M103" s="958"/>
      <c r="N103" s="958"/>
      <c r="O103" s="959"/>
      <c r="P103" s="957"/>
      <c r="Q103" s="958"/>
      <c r="R103" s="958"/>
      <c r="S103" s="959"/>
      <c r="T103" s="957"/>
      <c r="U103" s="958"/>
      <c r="V103" s="958"/>
      <c r="W103" s="959"/>
      <c r="X103" s="957"/>
      <c r="Y103" s="958"/>
      <c r="Z103" s="958"/>
      <c r="AA103" s="959"/>
      <c r="AB103" s="960"/>
      <c r="AC103" s="960"/>
      <c r="AD103" s="960"/>
      <c r="AE103" s="959"/>
      <c r="AF103" s="960">
        <f>+AF98-AF101</f>
        <v>138.91489327487974</v>
      </c>
      <c r="AG103" s="960">
        <f t="shared" ref="AG103:AQ103" si="691">+AG98-AG101</f>
        <v>155.18445749051807</v>
      </c>
      <c r="AH103" s="960">
        <f t="shared" si="691"/>
        <v>148.75009680716474</v>
      </c>
      <c r="AI103" s="959">
        <f t="shared" si="691"/>
        <v>156.768544119723</v>
      </c>
      <c r="AJ103" s="960">
        <f t="shared" si="691"/>
        <v>132.84841750000001</v>
      </c>
      <c r="AK103" s="960">
        <f t="shared" si="691"/>
        <v>156.0190925</v>
      </c>
      <c r="AL103" s="960">
        <f t="shared" si="691"/>
        <v>157.47469386821234</v>
      </c>
      <c r="AM103" s="959">
        <f t="shared" si="691"/>
        <v>161.89774150000005</v>
      </c>
      <c r="AN103" s="960">
        <f t="shared" si="691"/>
        <v>120.8194400000001</v>
      </c>
      <c r="AO103" s="960">
        <f t="shared" si="691"/>
        <v>156.80695999999995</v>
      </c>
      <c r="AP103" s="960">
        <f>+AP98-AP101</f>
        <v>154.05879999999993</v>
      </c>
      <c r="AQ103" s="959">
        <f t="shared" si="691"/>
        <v>114.69284999999999</v>
      </c>
      <c r="AR103" s="960">
        <f t="shared" ref="AR103:AU103" si="692">+AR98-AR101</f>
        <v>196.17</v>
      </c>
      <c r="AS103" s="960">
        <f t="shared" si="692"/>
        <v>194.2815500000001</v>
      </c>
      <c r="AT103" s="960">
        <f t="shared" si="692"/>
        <v>222.47590000000008</v>
      </c>
      <c r="AU103" s="959">
        <f t="shared" si="692"/>
        <v>61.28055000000014</v>
      </c>
      <c r="AV103" s="960">
        <f>+AV98-AV101</f>
        <v>186.18239999999997</v>
      </c>
      <c r="AW103" s="960">
        <f>+AW98-AW101</f>
        <v>188.97398999999993</v>
      </c>
      <c r="AX103" s="960">
        <f>+AX98-AX101</f>
        <v>230.73399999999995</v>
      </c>
      <c r="AY103" s="959">
        <f t="shared" ref="AY103" si="693">+AY98-AY101</f>
        <v>291.62580000000003</v>
      </c>
      <c r="AZ103" s="960">
        <f>+AZ98-AZ101</f>
        <v>237.50304999999986</v>
      </c>
      <c r="BA103" s="960">
        <f t="shared" ref="BA103:BG103" si="694">+BA98-BA101</f>
        <v>204.01504999999995</v>
      </c>
      <c r="BB103" s="960">
        <f t="shared" si="694"/>
        <v>224.95588000000004</v>
      </c>
      <c r="BC103" s="959">
        <f t="shared" si="694"/>
        <v>475.64727500000021</v>
      </c>
      <c r="BD103" s="960">
        <f t="shared" si="694"/>
        <v>402.55970000000013</v>
      </c>
      <c r="BE103" s="960">
        <f t="shared" si="694"/>
        <v>340.55024356012967</v>
      </c>
      <c r="BF103" s="960">
        <f t="shared" si="694"/>
        <v>505.96101138478309</v>
      </c>
      <c r="BG103" s="959">
        <f t="shared" si="694"/>
        <v>526.39306918079672</v>
      </c>
      <c r="BH103" s="960">
        <f t="shared" ref="BH103:BK103" si="695">+BH98-BH101</f>
        <v>467.04359006278628</v>
      </c>
      <c r="BI103" s="960">
        <f t="shared" si="695"/>
        <v>503.06967016306305</v>
      </c>
      <c r="BJ103" s="960">
        <f t="shared" si="695"/>
        <v>534.01114752267631</v>
      </c>
      <c r="BK103" s="959">
        <f t="shared" si="695"/>
        <v>564.01714681237888</v>
      </c>
      <c r="BL103" s="960">
        <f t="shared" ref="BL103:BO103" si="696">+BL98-BL101</f>
        <v>512.74050498477095</v>
      </c>
      <c r="BM103" s="960">
        <f t="shared" si="696"/>
        <v>548.58600472066291</v>
      </c>
      <c r="BN103" s="960">
        <f t="shared" si="696"/>
        <v>577.37816163346395</v>
      </c>
      <c r="BO103" s="959">
        <f t="shared" si="696"/>
        <v>604.27539063997801</v>
      </c>
      <c r="BP103" s="488"/>
      <c r="BQ103" s="958">
        <f t="shared" ref="BQ103:BZ103" si="697">+BQ98-BQ101</f>
        <v>1.7891660245868337</v>
      </c>
      <c r="BR103" s="958">
        <f t="shared" si="697"/>
        <v>-38.41342716141164</v>
      </c>
      <c r="BS103" s="958">
        <f t="shared" si="697"/>
        <v>-19.590383585275447</v>
      </c>
      <c r="BT103" s="958">
        <f t="shared" si="697"/>
        <v>-29.633773297149787</v>
      </c>
      <c r="BU103" s="958">
        <f t="shared" si="697"/>
        <v>-24.038956800451942</v>
      </c>
      <c r="BV103" s="958">
        <f t="shared" si="697"/>
        <v>-40.829160310031057</v>
      </c>
      <c r="BW103" s="958">
        <f t="shared" si="697"/>
        <v>-59.069406181942995</v>
      </c>
      <c r="BX103" s="958">
        <f t="shared" si="697"/>
        <v>-41.249008307714391</v>
      </c>
      <c r="BY103" s="958">
        <f t="shared" si="697"/>
        <v>608.23994536821249</v>
      </c>
      <c r="BZ103" s="958">
        <f t="shared" si="697"/>
        <v>545.79845</v>
      </c>
      <c r="CA103" s="958">
        <f t="shared" ref="CA103:CF103" si="698">+CA98-CA101</f>
        <v>674.01825000000008</v>
      </c>
      <c r="CB103" s="958">
        <f t="shared" si="698"/>
        <v>897.59178999999995</v>
      </c>
      <c r="CC103" s="958">
        <f t="shared" si="698"/>
        <v>1142.4662549999998</v>
      </c>
      <c r="CD103" s="958">
        <f t="shared" si="698"/>
        <v>1775.4640241257093</v>
      </c>
      <c r="CE103" s="958">
        <f t="shared" si="698"/>
        <v>2068.1415545609043</v>
      </c>
      <c r="CF103" s="958">
        <f t="shared" si="698"/>
        <v>2242.9800619788757</v>
      </c>
      <c r="CG103" s="488"/>
      <c r="CH103" s="957"/>
      <c r="CI103" s="958"/>
      <c r="CJ103" s="958"/>
      <c r="CK103" s="958"/>
      <c r="CL103" s="958"/>
      <c r="CM103" s="958"/>
      <c r="CN103" s="958"/>
      <c r="CO103" s="958"/>
      <c r="CP103" s="958"/>
      <c r="CQ103" s="958"/>
      <c r="CR103" s="958"/>
      <c r="CS103" s="958"/>
      <c r="CT103" s="958"/>
      <c r="CU103" s="958"/>
      <c r="CV103" s="959"/>
      <c r="CW103" s="346"/>
      <c r="CX103"/>
      <c r="CY103"/>
      <c r="CZ103"/>
      <c r="DA103"/>
      <c r="DB103"/>
      <c r="DC103"/>
    </row>
    <row r="104" spans="1:107" ht="14.25" customHeight="1">
      <c r="A104" s="8"/>
      <c r="B104" s="25"/>
      <c r="C104" s="253"/>
      <c r="D104" s="387"/>
      <c r="E104" s="388"/>
      <c r="F104" s="388"/>
      <c r="G104" s="937"/>
      <c r="H104" s="387"/>
      <c r="I104" s="388"/>
      <c r="J104" s="388"/>
      <c r="K104" s="937"/>
      <c r="L104" s="387"/>
      <c r="M104" s="388"/>
      <c r="N104" s="388"/>
      <c r="O104" s="937"/>
      <c r="P104" s="387"/>
      <c r="Q104" s="388"/>
      <c r="R104" s="388"/>
      <c r="S104" s="937"/>
      <c r="T104" s="387"/>
      <c r="U104" s="388"/>
      <c r="V104" s="388"/>
      <c r="W104" s="937"/>
      <c r="X104" s="387"/>
      <c r="Y104" s="388"/>
      <c r="Z104" s="388"/>
      <c r="AA104" s="937"/>
      <c r="AB104" s="285"/>
      <c r="AC104" s="285"/>
      <c r="AD104" s="285"/>
      <c r="AE104" s="937"/>
      <c r="AF104" s="285"/>
      <c r="AG104" s="285"/>
      <c r="AH104" s="285"/>
      <c r="AI104" s="937"/>
      <c r="AJ104" s="285"/>
      <c r="AK104" s="285"/>
      <c r="AL104" s="285"/>
      <c r="AM104" s="937"/>
      <c r="AN104" s="285"/>
      <c r="AO104" s="285"/>
      <c r="AP104" s="285"/>
      <c r="AQ104" s="937"/>
      <c r="AR104" s="285"/>
      <c r="AS104" s="285"/>
      <c r="AT104" s="285"/>
      <c r="AU104" s="937"/>
      <c r="AV104" s="285"/>
      <c r="AW104" s="285"/>
      <c r="AX104" s="285"/>
      <c r="AY104" s="937"/>
      <c r="AZ104" s="285"/>
      <c r="BA104" s="285"/>
      <c r="BB104" s="285"/>
      <c r="BC104" s="937"/>
      <c r="BD104" s="285"/>
      <c r="BE104" s="285"/>
      <c r="BF104" s="285"/>
      <c r="BG104" s="937"/>
      <c r="BH104" s="285"/>
      <c r="BI104" s="285"/>
      <c r="BJ104" s="285"/>
      <c r="BK104" s="937"/>
      <c r="BL104" s="285"/>
      <c r="BM104" s="285"/>
      <c r="BN104" s="285"/>
      <c r="BO104" s="937"/>
      <c r="BP104" s="23"/>
      <c r="BQ104" s="388"/>
      <c r="BR104" s="388"/>
      <c r="BS104" s="388"/>
      <c r="BT104" s="388"/>
      <c r="BU104" s="388"/>
      <c r="BV104" s="388"/>
      <c r="BW104" s="388"/>
      <c r="BX104" s="388"/>
      <c r="BY104" s="388"/>
      <c r="BZ104" s="388"/>
      <c r="CA104" s="388"/>
      <c r="CB104" s="388"/>
      <c r="CC104" s="388"/>
      <c r="CD104" s="388"/>
      <c r="CE104" s="388"/>
      <c r="CF104" s="388"/>
      <c r="CG104" s="23"/>
      <c r="CH104" s="387"/>
      <c r="CI104" s="388"/>
      <c r="CJ104" s="388"/>
      <c r="CK104" s="388"/>
      <c r="CL104" s="388"/>
      <c r="CM104" s="388"/>
      <c r="CN104" s="388"/>
      <c r="CO104" s="388"/>
      <c r="CP104" s="388"/>
      <c r="CQ104" s="388"/>
      <c r="CR104" s="388"/>
      <c r="CS104" s="388"/>
      <c r="CT104" s="388"/>
      <c r="CU104" s="388"/>
      <c r="CV104" s="937"/>
      <c r="CW104" s="25"/>
    </row>
    <row r="105" spans="1:107" ht="14.25" customHeight="1">
      <c r="A105" s="8"/>
      <c r="B105" s="18" t="s">
        <v>149</v>
      </c>
      <c r="C105" s="19"/>
      <c r="D105" s="291">
        <f t="shared" ref="D105:AQ105" si="699">D90-D15</f>
        <v>91.191999999999922</v>
      </c>
      <c r="E105" s="289">
        <f t="shared" si="699"/>
        <v>152.78300000000002</v>
      </c>
      <c r="F105" s="289">
        <f t="shared" si="699"/>
        <v>160.09500000000006</v>
      </c>
      <c r="G105" s="290">
        <f t="shared" si="699"/>
        <v>178.30700000000004</v>
      </c>
      <c r="H105" s="291">
        <f t="shared" si="699"/>
        <v>133.58799999999999</v>
      </c>
      <c r="I105" s="289">
        <f t="shared" si="699"/>
        <v>159.09999999999997</v>
      </c>
      <c r="J105" s="289">
        <f t="shared" si="699"/>
        <v>16.30699999999997</v>
      </c>
      <c r="K105" s="290">
        <f t="shared" si="699"/>
        <v>107.38099999999996</v>
      </c>
      <c r="L105" s="291">
        <f t="shared" si="699"/>
        <v>150.37</v>
      </c>
      <c r="M105" s="289">
        <f t="shared" si="699"/>
        <v>181.34799999999993</v>
      </c>
      <c r="N105" s="289">
        <f t="shared" si="699"/>
        <v>142.01800000000011</v>
      </c>
      <c r="O105" s="290">
        <f t="shared" si="699"/>
        <v>132.16700000000006</v>
      </c>
      <c r="P105" s="291">
        <f t="shared" si="699"/>
        <v>126.71000000000004</v>
      </c>
      <c r="Q105" s="289">
        <f t="shared" si="699"/>
        <v>110.28100000000001</v>
      </c>
      <c r="R105" s="289">
        <f t="shared" si="699"/>
        <v>143.19300000000007</v>
      </c>
      <c r="S105" s="290">
        <f t="shared" si="699"/>
        <v>81.529000000000096</v>
      </c>
      <c r="T105" s="291">
        <f t="shared" si="699"/>
        <v>26.26400000000001</v>
      </c>
      <c r="U105" s="289">
        <f t="shared" si="699"/>
        <v>51.384000000000007</v>
      </c>
      <c r="V105" s="289">
        <f t="shared" si="699"/>
        <v>116.12399999999995</v>
      </c>
      <c r="W105" s="290">
        <f t="shared" si="699"/>
        <v>133.66799999999998</v>
      </c>
      <c r="X105" s="291">
        <f t="shared" si="699"/>
        <v>184.75899999999993</v>
      </c>
      <c r="Y105" s="289">
        <f t="shared" si="699"/>
        <v>247.57499999999999</v>
      </c>
      <c r="Z105" s="289">
        <f t="shared" si="699"/>
        <v>172.50499999999997</v>
      </c>
      <c r="AA105" s="290">
        <f t="shared" si="699"/>
        <v>223.0270000000001</v>
      </c>
      <c r="AB105" s="289">
        <f t="shared" si="699"/>
        <v>178.601</v>
      </c>
      <c r="AC105" s="289">
        <f t="shared" si="699"/>
        <v>149.6039999999999</v>
      </c>
      <c r="AD105" s="289">
        <f t="shared" si="699"/>
        <v>206.69300000000001</v>
      </c>
      <c r="AE105" s="290">
        <f t="shared" si="699"/>
        <v>190.27699999999999</v>
      </c>
      <c r="AF105" s="289">
        <f t="shared" si="699"/>
        <v>176.19900000000001</v>
      </c>
      <c r="AG105" s="289">
        <f t="shared" si="699"/>
        <v>183.732</v>
      </c>
      <c r="AH105" s="289">
        <f t="shared" si="699"/>
        <v>84.675999999999931</v>
      </c>
      <c r="AI105" s="290">
        <f t="shared" si="699"/>
        <v>184.2590000000001</v>
      </c>
      <c r="AJ105" s="289">
        <f t="shared" si="699"/>
        <v>126.63900000000001</v>
      </c>
      <c r="AK105" s="289">
        <f t="shared" si="699"/>
        <v>208.05099999999999</v>
      </c>
      <c r="AL105" s="289">
        <f t="shared" si="699"/>
        <v>177.21</v>
      </c>
      <c r="AM105" s="290">
        <f t="shared" si="699"/>
        <v>220.4850000000001</v>
      </c>
      <c r="AN105" s="289">
        <f t="shared" si="699"/>
        <v>97.943000000000083</v>
      </c>
      <c r="AO105" s="289">
        <f t="shared" si="699"/>
        <v>183.82399999999993</v>
      </c>
      <c r="AP105" s="289">
        <f>AP90-AP15</f>
        <v>157.6569999999999</v>
      </c>
      <c r="AQ105" s="290">
        <f t="shared" si="699"/>
        <v>203.45299999999997</v>
      </c>
      <c r="AR105" s="289">
        <f t="shared" ref="AR105:AU105" si="700">AR90-AR15</f>
        <v>124.52199999999998</v>
      </c>
      <c r="AS105" s="289">
        <f t="shared" si="700"/>
        <v>278.70100000000008</v>
      </c>
      <c r="AT105" s="289">
        <f t="shared" si="700"/>
        <v>145.61100000000002</v>
      </c>
      <c r="AU105" s="290">
        <f t="shared" si="700"/>
        <v>136.08500000000006</v>
      </c>
      <c r="AV105" s="289">
        <f>AV90-AV15</f>
        <v>180.96799999999999</v>
      </c>
      <c r="AW105" s="289">
        <f>AW90-AW15</f>
        <v>278.72699999999992</v>
      </c>
      <c r="AX105" s="289">
        <f>AX90-AX15</f>
        <v>199.85599999999994</v>
      </c>
      <c r="AY105" s="290">
        <f t="shared" ref="AY105" si="701">AY90-AY15</f>
        <v>430.52600000000012</v>
      </c>
      <c r="AZ105" s="289">
        <f>AZ90-AZ15</f>
        <v>269.62599999999992</v>
      </c>
      <c r="BA105" s="289">
        <f t="shared" ref="BA105:BG105" si="702">BA90-BA15</f>
        <v>452.04899999999998</v>
      </c>
      <c r="BB105" s="289">
        <f t="shared" si="702"/>
        <v>-460.72400000000005</v>
      </c>
      <c r="BC105" s="290">
        <f t="shared" si="702"/>
        <v>543.35500000000002</v>
      </c>
      <c r="BD105" s="289">
        <f t="shared" si="702"/>
        <v>287.56400000000014</v>
      </c>
      <c r="BE105" s="289">
        <f t="shared" si="702"/>
        <v>385.20638041196167</v>
      </c>
      <c r="BF105" s="289">
        <f t="shared" si="702"/>
        <v>510.13637056834733</v>
      </c>
      <c r="BG105" s="290">
        <f t="shared" si="702"/>
        <v>507.84567299471286</v>
      </c>
      <c r="BH105" s="289">
        <f t="shared" ref="BH105:BK105" si="703">BH90-BH15</f>
        <v>495.49713512648117</v>
      </c>
      <c r="BI105" s="289">
        <f t="shared" si="703"/>
        <v>465.00357455572123</v>
      </c>
      <c r="BJ105" s="289">
        <f t="shared" si="703"/>
        <v>508.93056948710301</v>
      </c>
      <c r="BK105" s="290">
        <f t="shared" si="703"/>
        <v>533.14047789306619</v>
      </c>
      <c r="BL105" s="289">
        <f t="shared" ref="BL105:BO105" si="704">BL90-BL15</f>
        <v>575.40716287110729</v>
      </c>
      <c r="BM105" s="289">
        <f t="shared" si="704"/>
        <v>524.8883329021628</v>
      </c>
      <c r="BN105" s="289">
        <f t="shared" si="704"/>
        <v>569.03270090693968</v>
      </c>
      <c r="BO105" s="290">
        <f t="shared" si="704"/>
        <v>590.78978293412513</v>
      </c>
      <c r="BP105" s="23"/>
      <c r="BQ105" s="289">
        <f t="shared" ref="BQ105:BZ105" si="705">BQ90-BQ15</f>
        <v>582.37700000000007</v>
      </c>
      <c r="BR105" s="289">
        <f t="shared" si="705"/>
        <v>416.37599999999986</v>
      </c>
      <c r="BS105" s="289">
        <f t="shared" si="705"/>
        <v>605.90300000000002</v>
      </c>
      <c r="BT105" s="289">
        <f t="shared" si="705"/>
        <v>461.71300000000002</v>
      </c>
      <c r="BU105" s="289">
        <f t="shared" si="705"/>
        <v>327.44</v>
      </c>
      <c r="BV105" s="289">
        <f t="shared" si="705"/>
        <v>827.86599999999999</v>
      </c>
      <c r="BW105" s="289">
        <f t="shared" si="705"/>
        <v>725.17500000000007</v>
      </c>
      <c r="BX105" s="289">
        <f t="shared" si="705"/>
        <v>628.86600000000021</v>
      </c>
      <c r="BY105" s="289">
        <f t="shared" si="705"/>
        <v>732.38499999999999</v>
      </c>
      <c r="BZ105" s="289">
        <f t="shared" si="705"/>
        <v>642.87699999999984</v>
      </c>
      <c r="CA105" s="289">
        <f t="shared" ref="CA105:CF105" si="706">CA90-CA15</f>
        <v>684.91900000000021</v>
      </c>
      <c r="CB105" s="289">
        <f t="shared" si="706"/>
        <v>1090.077</v>
      </c>
      <c r="CC105" s="289">
        <f t="shared" si="706"/>
        <v>804.30599999999993</v>
      </c>
      <c r="CD105" s="289">
        <f t="shared" si="706"/>
        <v>1690.7524239750219</v>
      </c>
      <c r="CE105" s="289">
        <f t="shared" si="706"/>
        <v>2002.5717570623713</v>
      </c>
      <c r="CF105" s="289">
        <f t="shared" si="706"/>
        <v>2260.1179796143351</v>
      </c>
      <c r="CG105" s="23"/>
      <c r="CH105" s="291">
        <f t="shared" ref="CH105:CP105" si="707">CH90-CH15</f>
        <v>624.77300000000002</v>
      </c>
      <c r="CI105" s="289">
        <f t="shared" si="707"/>
        <v>433.15799999999984</v>
      </c>
      <c r="CJ105" s="289">
        <f t="shared" si="707"/>
        <v>582.24299999999994</v>
      </c>
      <c r="CK105" s="289">
        <f t="shared" si="707"/>
        <v>361.26700000000028</v>
      </c>
      <c r="CL105" s="289">
        <f t="shared" si="707"/>
        <v>485.93499999999989</v>
      </c>
      <c r="CM105" s="289">
        <f t="shared" si="707"/>
        <v>821.70800000000008</v>
      </c>
      <c r="CN105" s="292">
        <f t="shared" si="707"/>
        <v>722.77299999999991</v>
      </c>
      <c r="CO105" s="289">
        <f t="shared" si="707"/>
        <v>579.30600000000004</v>
      </c>
      <c r="CP105" s="289">
        <f t="shared" si="707"/>
        <v>703.68900000000008</v>
      </c>
      <c r="CQ105" s="289">
        <f t="shared" ref="CQ105:CV105" si="708">CQ90-CQ15</f>
        <v>669.45600000000002</v>
      </c>
      <c r="CR105" s="289">
        <f t="shared" si="708"/>
        <v>741.36500000000024</v>
      </c>
      <c r="CS105" s="289">
        <f t="shared" si="708"/>
        <v>1178.7349999999997</v>
      </c>
      <c r="CT105" s="289">
        <f t="shared" si="708"/>
        <v>822.24400000000026</v>
      </c>
      <c r="CU105" s="289">
        <f t="shared" si="708"/>
        <v>1898.685559101503</v>
      </c>
      <c r="CV105" s="290">
        <f t="shared" si="708"/>
        <v>2082.4817848069974</v>
      </c>
      <c r="CW105" s="25"/>
    </row>
    <row r="106" spans="1:107" ht="14.25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293"/>
      <c r="BR106" s="293"/>
      <c r="BS106" s="293"/>
      <c r="BT106" s="293"/>
      <c r="BU106" s="293"/>
      <c r="BV106" s="293"/>
      <c r="BW106" s="293"/>
      <c r="BX106" s="293"/>
      <c r="BY106" s="293"/>
      <c r="BZ106" s="293"/>
      <c r="CA106" s="293"/>
      <c r="CB106" s="293"/>
      <c r="CC106" s="293"/>
      <c r="CD106" s="293"/>
      <c r="CE106" s="293"/>
      <c r="CF106" s="293"/>
      <c r="CG106" s="1"/>
      <c r="CH106" s="293"/>
      <c r="CI106" s="293"/>
      <c r="CJ106" s="293"/>
      <c r="CK106" s="293"/>
      <c r="CL106" s="293"/>
      <c r="CM106" s="293"/>
      <c r="CN106" s="294"/>
      <c r="CO106" s="293"/>
      <c r="CP106" s="293"/>
      <c r="CQ106" s="294"/>
      <c r="CR106" s="294"/>
      <c r="CS106" s="293"/>
      <c r="CT106" s="293"/>
      <c r="CU106" s="293"/>
      <c r="CV106" s="293"/>
      <c r="CW106" s="1"/>
    </row>
    <row r="107" spans="1:107" ht="14.25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293"/>
      <c r="BR107" s="293"/>
      <c r="BS107" s="293"/>
      <c r="BT107" s="293"/>
      <c r="BU107" s="293"/>
      <c r="BV107" s="293"/>
      <c r="BW107" s="293"/>
      <c r="BX107" s="293"/>
      <c r="BY107" s="293"/>
      <c r="BZ107" s="293"/>
      <c r="CA107" s="293"/>
      <c r="CB107" s="293"/>
      <c r="CC107" s="293"/>
      <c r="CD107" s="293"/>
      <c r="CE107" s="293"/>
      <c r="CF107" s="293"/>
      <c r="CG107" s="1"/>
      <c r="CH107" s="293"/>
      <c r="CI107" s="293"/>
      <c r="CJ107" s="293"/>
      <c r="CK107" s="293"/>
      <c r="CL107" s="293"/>
      <c r="CM107" s="293"/>
      <c r="CN107" s="293"/>
      <c r="CO107" s="293"/>
      <c r="CP107" s="293"/>
      <c r="CQ107" s="294"/>
      <c r="CR107" s="294"/>
      <c r="CS107" s="293"/>
      <c r="CT107" s="293"/>
      <c r="CU107" s="293"/>
      <c r="CV107" s="293"/>
      <c r="CW107" s="1"/>
    </row>
    <row r="108" spans="1:107" ht="14.25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293"/>
      <c r="BR108" s="293"/>
      <c r="BS108" s="293"/>
      <c r="BT108" s="293"/>
      <c r="BU108" s="293"/>
      <c r="BV108" s="293"/>
      <c r="BW108" s="293"/>
      <c r="BX108" s="293"/>
      <c r="BY108" s="293"/>
      <c r="BZ108" s="293"/>
      <c r="CA108" s="293"/>
      <c r="CB108" s="293"/>
      <c r="CC108" s="293"/>
      <c r="CD108" s="293"/>
      <c r="CE108" s="293"/>
      <c r="CF108" s="293"/>
      <c r="CG108" s="1"/>
      <c r="CH108" s="293"/>
      <c r="CI108" s="293"/>
      <c r="CJ108" s="293"/>
      <c r="CK108" s="293"/>
      <c r="CL108" s="293"/>
      <c r="CM108" s="293"/>
      <c r="CN108" s="293"/>
      <c r="CO108" s="293"/>
      <c r="CP108" s="293"/>
      <c r="CQ108" s="294"/>
      <c r="CR108" s="294"/>
      <c r="CS108" s="293"/>
      <c r="CT108" s="293"/>
      <c r="CU108" s="293"/>
      <c r="CV108" s="293"/>
      <c r="CW108" s="1"/>
    </row>
    <row r="109" spans="1:107" ht="14.25" hidden="1" customHeight="1" outlineLevel="1">
      <c r="A109" s="8"/>
      <c r="B109" s="9" t="s">
        <v>231</v>
      </c>
      <c r="C109" s="10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7"/>
      <c r="BQ109" s="243"/>
      <c r="BR109" s="243"/>
      <c r="BS109" s="243"/>
      <c r="BT109" s="243"/>
      <c r="BU109" s="243"/>
      <c r="BV109" s="243"/>
      <c r="BW109" s="243"/>
      <c r="BX109" s="243"/>
      <c r="BY109" s="243"/>
      <c r="BZ109" s="243"/>
      <c r="CA109" s="243"/>
      <c r="CB109" s="243"/>
      <c r="CC109" s="243"/>
      <c r="CD109" s="243"/>
      <c r="CE109" s="243"/>
      <c r="CF109" s="243"/>
      <c r="CG109" s="8"/>
      <c r="CH109" s="243"/>
      <c r="CI109" s="243"/>
      <c r="CJ109" s="243"/>
      <c r="CK109" s="243"/>
      <c r="CL109" s="243"/>
      <c r="CM109" s="243"/>
      <c r="CN109" s="243"/>
      <c r="CO109" s="243"/>
      <c r="CP109" s="243"/>
      <c r="CQ109" s="1006"/>
      <c r="CR109" s="1006"/>
      <c r="CS109" s="243"/>
      <c r="CT109" s="243"/>
      <c r="CU109" s="243"/>
      <c r="CV109" s="243"/>
      <c r="CW109" s="8"/>
    </row>
    <row r="110" spans="1:107" ht="14.25" hidden="1" customHeight="1" outlineLevel="1">
      <c r="A110" s="17"/>
      <c r="B110" s="12" t="s">
        <v>232</v>
      </c>
      <c r="C110" s="13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70"/>
      <c r="BQ110" s="111"/>
      <c r="BR110" s="111"/>
      <c r="BS110" s="111"/>
      <c r="BT110" s="111"/>
      <c r="BU110" s="111"/>
      <c r="BV110" s="111"/>
      <c r="BW110" s="111"/>
      <c r="BX110" s="111"/>
      <c r="BY110" s="111"/>
      <c r="BZ110" s="111"/>
      <c r="CA110" s="111"/>
      <c r="CB110" s="111"/>
      <c r="CC110" s="111"/>
      <c r="CD110" s="111"/>
      <c r="CE110" s="111"/>
      <c r="CF110" s="111"/>
      <c r="CG110" s="8"/>
      <c r="CH110" s="111"/>
      <c r="CI110" s="111"/>
      <c r="CJ110" s="111"/>
      <c r="CK110" s="111"/>
      <c r="CL110" s="111"/>
      <c r="CM110" s="111"/>
      <c r="CN110" s="111"/>
      <c r="CO110" s="111"/>
      <c r="CP110" s="111"/>
      <c r="CQ110" s="111"/>
      <c r="CR110" s="111"/>
      <c r="CS110" s="111"/>
      <c r="CT110" s="111"/>
      <c r="CU110" s="111"/>
      <c r="CV110" s="111"/>
      <c r="CW110" s="8"/>
    </row>
    <row r="111" spans="1:107" ht="14.25" hidden="1" customHeight="1" outlineLevel="1">
      <c r="A111" s="17"/>
      <c r="B111" s="334"/>
      <c r="C111" s="199"/>
      <c r="D111" s="20" t="str">
        <f t="shared" ref="D111:W111" si="709">D9</f>
        <v>F1Q05A</v>
      </c>
      <c r="E111" s="21" t="str">
        <f t="shared" si="709"/>
        <v>F2Q05A</v>
      </c>
      <c r="F111" s="21" t="str">
        <f t="shared" si="709"/>
        <v>F3Q05A</v>
      </c>
      <c r="G111" s="22" t="str">
        <f t="shared" si="709"/>
        <v>F4Q05A</v>
      </c>
      <c r="H111" s="20" t="str">
        <f t="shared" si="709"/>
        <v>F1Q06A</v>
      </c>
      <c r="I111" s="21" t="str">
        <f t="shared" si="709"/>
        <v>F2Q06A</v>
      </c>
      <c r="J111" s="21" t="str">
        <f t="shared" si="709"/>
        <v>F3Q06A</v>
      </c>
      <c r="K111" s="22" t="str">
        <f t="shared" si="709"/>
        <v>F4Q06A</v>
      </c>
      <c r="L111" s="20" t="str">
        <f t="shared" si="709"/>
        <v>F1Q07A</v>
      </c>
      <c r="M111" s="21" t="str">
        <f t="shared" si="709"/>
        <v>F2Q07A</v>
      </c>
      <c r="N111" s="21" t="str">
        <f t="shared" si="709"/>
        <v>F3Q07A</v>
      </c>
      <c r="O111" s="22" t="str">
        <f t="shared" si="709"/>
        <v>F4Q07A</v>
      </c>
      <c r="P111" s="20" t="str">
        <f t="shared" si="709"/>
        <v>F1Q08A</v>
      </c>
      <c r="Q111" s="21" t="str">
        <f t="shared" si="709"/>
        <v>F2Q08A</v>
      </c>
      <c r="R111" s="21" t="str">
        <f t="shared" si="709"/>
        <v>F3Q08A</v>
      </c>
      <c r="S111" s="22" t="str">
        <f t="shared" si="709"/>
        <v>F4Q08A</v>
      </c>
      <c r="T111" s="20" t="str">
        <f t="shared" si="709"/>
        <v>F1Q09A</v>
      </c>
      <c r="U111" s="21" t="str">
        <f t="shared" si="709"/>
        <v>F2Q09A</v>
      </c>
      <c r="V111" s="21" t="str">
        <f t="shared" si="709"/>
        <v>F3Q09A</v>
      </c>
      <c r="W111" s="22" t="str">
        <f t="shared" si="709"/>
        <v>F4Q09A</v>
      </c>
      <c r="X111" s="20" t="str">
        <f t="shared" ref="X111:AQ111" si="710">X9</f>
        <v>F1Q10A</v>
      </c>
      <c r="Y111" s="21" t="str">
        <f t="shared" si="710"/>
        <v>F2Q10A</v>
      </c>
      <c r="Z111" s="21" t="str">
        <f t="shared" si="710"/>
        <v>F3Q10A</v>
      </c>
      <c r="AA111" s="22" t="str">
        <f t="shared" si="710"/>
        <v>F4Q10A</v>
      </c>
      <c r="AB111" s="20" t="str">
        <f>AB9</f>
        <v>F1Q11A</v>
      </c>
      <c r="AC111" s="21" t="str">
        <f t="shared" si="710"/>
        <v>F2Q11A</v>
      </c>
      <c r="AD111" s="21" t="str">
        <f t="shared" si="710"/>
        <v>F3Q11A</v>
      </c>
      <c r="AE111" s="22" t="str">
        <f>AE9</f>
        <v>F4Q11A</v>
      </c>
      <c r="AF111" s="20" t="str">
        <f>AF9</f>
        <v>F1Q12A</v>
      </c>
      <c r="AG111" s="21" t="str">
        <f t="shared" si="710"/>
        <v>F2Q12A</v>
      </c>
      <c r="AH111" s="21" t="str">
        <f>AH9</f>
        <v>F3Q12A</v>
      </c>
      <c r="AI111" s="22" t="str">
        <f t="shared" si="710"/>
        <v>F4Q12A</v>
      </c>
      <c r="AJ111" s="20" t="str">
        <f t="shared" si="710"/>
        <v>F1Q13A</v>
      </c>
      <c r="AK111" s="21" t="str">
        <f t="shared" si="710"/>
        <v>F2Q13A</v>
      </c>
      <c r="AL111" s="21" t="str">
        <f t="shared" si="710"/>
        <v>F3Q13A</v>
      </c>
      <c r="AM111" s="22" t="str">
        <f t="shared" si="710"/>
        <v>F4Q13A</v>
      </c>
      <c r="AN111" s="20" t="str">
        <f t="shared" si="710"/>
        <v>F1Q14A</v>
      </c>
      <c r="AO111" s="21" t="str">
        <f t="shared" si="710"/>
        <v>F2Q14A</v>
      </c>
      <c r="AP111" s="21" t="str">
        <f t="shared" si="710"/>
        <v>F3Q14A</v>
      </c>
      <c r="AQ111" s="22" t="str">
        <f t="shared" si="710"/>
        <v>F4Q14A</v>
      </c>
      <c r="AR111" s="20" t="str">
        <f t="shared" ref="AR111:AU111" si="711">AR9</f>
        <v>F1Q15A</v>
      </c>
      <c r="AS111" s="21" t="str">
        <f t="shared" si="711"/>
        <v>F2Q15A</v>
      </c>
      <c r="AT111" s="21" t="str">
        <f t="shared" si="711"/>
        <v>F3Q15A</v>
      </c>
      <c r="AU111" s="22" t="str">
        <f t="shared" si="711"/>
        <v>F4Q15A</v>
      </c>
      <c r="AV111" s="20" t="str">
        <f>AV9</f>
        <v>F1Q16A</v>
      </c>
      <c r="AW111" s="21" t="str">
        <f>AW9</f>
        <v>F2Q16A</v>
      </c>
      <c r="AX111" s="21" t="str">
        <f>AX9</f>
        <v>F3Q16A</v>
      </c>
      <c r="AY111" s="22" t="str">
        <f t="shared" ref="AY111" si="712">AY9</f>
        <v>F4Q16A</v>
      </c>
      <c r="AZ111" s="1204" t="str">
        <f>AZ9</f>
        <v>F1Q17A</v>
      </c>
      <c r="BA111" s="1205" t="str">
        <f t="shared" ref="BA111:BG111" si="713">BA9</f>
        <v>F2Q17A</v>
      </c>
      <c r="BB111" s="21" t="str">
        <f t="shared" si="713"/>
        <v>F3Q17A</v>
      </c>
      <c r="BC111" s="22" t="str">
        <f t="shared" si="713"/>
        <v>F4Q17A</v>
      </c>
      <c r="BD111" s="20" t="str">
        <f t="shared" si="713"/>
        <v>F1Q18A</v>
      </c>
      <c r="BE111" s="21" t="str">
        <f t="shared" si="713"/>
        <v>F2Q18E</v>
      </c>
      <c r="BF111" s="21" t="str">
        <f t="shared" si="713"/>
        <v>F3Q18E</v>
      </c>
      <c r="BG111" s="22" t="str">
        <f t="shared" si="713"/>
        <v>F4Q18E</v>
      </c>
      <c r="BH111" s="1437" t="str">
        <f t="shared" ref="BH111:BK111" si="714">BH9</f>
        <v>F1Q19E</v>
      </c>
      <c r="BI111" s="1438" t="str">
        <f t="shared" si="714"/>
        <v>F2Q19E</v>
      </c>
      <c r="BJ111" s="1438" t="str">
        <f t="shared" si="714"/>
        <v>F3Q19E</v>
      </c>
      <c r="BK111" s="1439" t="str">
        <f t="shared" si="714"/>
        <v>F4Q19E</v>
      </c>
      <c r="BL111" s="1437" t="str">
        <f t="shared" ref="BL111:BO111" si="715">BL9</f>
        <v>F1Q20E</v>
      </c>
      <c r="BM111" s="1438" t="str">
        <f t="shared" si="715"/>
        <v>F2Q20E</v>
      </c>
      <c r="BN111" s="1438" t="str">
        <f t="shared" si="715"/>
        <v>F3Q20E</v>
      </c>
      <c r="BO111" s="1439" t="str">
        <f t="shared" si="715"/>
        <v>F4Q20E</v>
      </c>
      <c r="BP111" s="176"/>
      <c r="BQ111" s="20" t="str">
        <f t="shared" ref="BQ111:BW111" si="716">BQ9</f>
        <v>FY2005A</v>
      </c>
      <c r="BR111" s="21" t="str">
        <f t="shared" si="716"/>
        <v>FY2006A</v>
      </c>
      <c r="BS111" s="21" t="str">
        <f t="shared" si="716"/>
        <v>FY2007A</v>
      </c>
      <c r="BT111" s="21" t="str">
        <f t="shared" si="716"/>
        <v>FY2008A</v>
      </c>
      <c r="BU111" s="21" t="str">
        <f t="shared" si="716"/>
        <v>FY2009A</v>
      </c>
      <c r="BV111" s="21" t="str">
        <f t="shared" si="716"/>
        <v>FY2010A</v>
      </c>
      <c r="BW111" s="21" t="str">
        <f t="shared" si="716"/>
        <v>FY2011A</v>
      </c>
      <c r="BX111" s="21" t="str">
        <f t="shared" ref="BX111:BZ111" si="717">BX9</f>
        <v>FY2012A</v>
      </c>
      <c r="BY111" s="21" t="str">
        <f t="shared" si="717"/>
        <v>FY2013A</v>
      </c>
      <c r="BZ111" s="1438" t="str">
        <f t="shared" si="717"/>
        <v>FY2014A</v>
      </c>
      <c r="CA111" s="21" t="str">
        <f t="shared" ref="CA111:CF111" si="718">CA9</f>
        <v>FY2015A</v>
      </c>
      <c r="CB111" s="21" t="str">
        <f t="shared" si="718"/>
        <v>FY2016A</v>
      </c>
      <c r="CC111" s="21" t="str">
        <f t="shared" si="718"/>
        <v>FY2017A</v>
      </c>
      <c r="CD111" s="1438" t="str">
        <f t="shared" si="718"/>
        <v>FY2018E</v>
      </c>
      <c r="CE111" s="1438" t="str">
        <f t="shared" si="718"/>
        <v>FY2019E</v>
      </c>
      <c r="CF111" s="1438" t="str">
        <f t="shared" si="718"/>
        <v>FY2020E</v>
      </c>
      <c r="CG111" s="23"/>
      <c r="CH111" s="20" t="str">
        <f t="shared" ref="CH111:CN111" si="719">CH89</f>
        <v>CY2005</v>
      </c>
      <c r="CI111" s="21" t="str">
        <f t="shared" si="719"/>
        <v>CY2006</v>
      </c>
      <c r="CJ111" s="21" t="str">
        <f t="shared" si="719"/>
        <v>CY2007</v>
      </c>
      <c r="CK111" s="21" t="str">
        <f t="shared" si="719"/>
        <v>CY2008</v>
      </c>
      <c r="CL111" s="21" t="str">
        <f t="shared" si="719"/>
        <v>CY2009</v>
      </c>
      <c r="CM111" s="21" t="str">
        <f t="shared" si="719"/>
        <v>CY2010</v>
      </c>
      <c r="CN111" s="21" t="str">
        <f t="shared" si="719"/>
        <v>CY2011</v>
      </c>
      <c r="CO111" s="21" t="str">
        <f t="shared" ref="CO111:CT111" si="720">CO89</f>
        <v>CY2012</v>
      </c>
      <c r="CP111" s="21" t="str">
        <f t="shared" si="720"/>
        <v>CY2013</v>
      </c>
      <c r="CQ111" s="21" t="str">
        <f t="shared" si="720"/>
        <v>CY2014</v>
      </c>
      <c r="CR111" s="21" t="str">
        <f t="shared" si="720"/>
        <v>CY2015</v>
      </c>
      <c r="CS111" s="21" t="str">
        <f t="shared" si="720"/>
        <v>CY2016</v>
      </c>
      <c r="CT111" s="1205" t="str">
        <f t="shared" si="720"/>
        <v>CY2017</v>
      </c>
      <c r="CU111" s="1438" t="str">
        <f t="shared" ref="CU111" si="721">CU89</f>
        <v>CY2018</v>
      </c>
      <c r="CV111" s="1439" t="str">
        <f t="shared" ref="CV111" si="722">CV89</f>
        <v>CY2019</v>
      </c>
      <c r="CW111" s="25"/>
    </row>
    <row r="112" spans="1:107" ht="14.25" hidden="1" customHeight="1" outlineLevel="1">
      <c r="A112" s="8"/>
      <c r="B112" s="200" t="s">
        <v>117</v>
      </c>
      <c r="C112" s="52"/>
      <c r="D112" s="203"/>
      <c r="E112" s="201"/>
      <c r="F112" s="201"/>
      <c r="G112" s="202"/>
      <c r="H112" s="203"/>
      <c r="I112" s="201"/>
      <c r="J112" s="201"/>
      <c r="K112" s="202"/>
      <c r="L112" s="203"/>
      <c r="M112" s="201"/>
      <c r="N112" s="201"/>
      <c r="O112" s="202"/>
      <c r="P112" s="203"/>
      <c r="Q112" s="201"/>
      <c r="R112" s="201"/>
      <c r="S112" s="202"/>
      <c r="T112" s="203"/>
      <c r="U112" s="201"/>
      <c r="V112" s="201"/>
      <c r="W112" s="202"/>
      <c r="X112" s="203"/>
      <c r="Y112" s="201"/>
      <c r="Z112" s="201"/>
      <c r="AA112" s="202"/>
      <c r="AB112" s="203"/>
      <c r="AC112" s="201"/>
      <c r="AD112" s="201"/>
      <c r="AE112" s="202"/>
      <c r="AF112" s="203"/>
      <c r="AG112" s="201"/>
      <c r="AH112" s="201"/>
      <c r="AI112" s="202"/>
      <c r="AJ112" s="203"/>
      <c r="AK112" s="201"/>
      <c r="AL112" s="201"/>
      <c r="AM112" s="202"/>
      <c r="AN112" s="203"/>
      <c r="AO112" s="201"/>
      <c r="AP112" s="201"/>
      <c r="AQ112" s="202"/>
      <c r="AR112" s="203"/>
      <c r="AS112" s="201"/>
      <c r="AT112" s="201"/>
      <c r="AU112" s="202"/>
      <c r="AV112" s="203"/>
      <c r="AW112" s="201"/>
      <c r="AX112" s="201"/>
      <c r="AY112" s="202"/>
      <c r="AZ112" s="203"/>
      <c r="BA112" s="201"/>
      <c r="BB112" s="201"/>
      <c r="BC112" s="202"/>
      <c r="BD112" s="203"/>
      <c r="BE112" s="201"/>
      <c r="BF112" s="201"/>
      <c r="BG112" s="202"/>
      <c r="BH112" s="203"/>
      <c r="BI112" s="201"/>
      <c r="BJ112" s="201"/>
      <c r="BK112" s="202"/>
      <c r="BL112" s="203"/>
      <c r="BM112" s="201"/>
      <c r="BN112" s="201"/>
      <c r="BO112" s="202"/>
      <c r="BP112" s="176"/>
      <c r="BQ112" s="201"/>
      <c r="BR112" s="201"/>
      <c r="BS112" s="201"/>
      <c r="BT112" s="201"/>
      <c r="BU112" s="201"/>
      <c r="BV112" s="201"/>
      <c r="BW112" s="201"/>
      <c r="BX112" s="201"/>
      <c r="BY112" s="201"/>
      <c r="BZ112" s="201"/>
      <c r="CA112" s="201"/>
      <c r="CB112" s="201"/>
      <c r="CC112" s="201"/>
      <c r="CD112" s="201"/>
      <c r="CE112" s="201"/>
      <c r="CF112" s="201"/>
      <c r="CG112" s="23"/>
      <c r="CH112" s="203"/>
      <c r="CI112" s="201"/>
      <c r="CJ112" s="201"/>
      <c r="CK112" s="201"/>
      <c r="CL112" s="201"/>
      <c r="CM112" s="201"/>
      <c r="CN112" s="201"/>
      <c r="CO112" s="201"/>
      <c r="CP112" s="201"/>
      <c r="CQ112" s="201"/>
      <c r="CR112" s="201"/>
      <c r="CS112" s="201"/>
      <c r="CT112" s="201"/>
      <c r="CU112" s="201"/>
      <c r="CV112" s="202"/>
      <c r="CW112" s="25"/>
    </row>
    <row r="113" spans="1:101" ht="14.25" hidden="1" customHeight="1" outlineLevel="1">
      <c r="A113" s="8"/>
      <c r="B113" s="26" t="s">
        <v>118</v>
      </c>
      <c r="C113" s="27"/>
      <c r="D113" s="101">
        <f>D11</f>
        <v>107.44299999999991</v>
      </c>
      <c r="E113" s="102">
        <f>D113+E11</f>
        <v>225.04199999999992</v>
      </c>
      <c r="F113" s="102">
        <f>E113+F11</f>
        <v>346.44599999999997</v>
      </c>
      <c r="G113" s="103">
        <f>F113+G11</f>
        <v>414.78700000000003</v>
      </c>
      <c r="H113" s="101">
        <f>H11</f>
        <v>120.55699999999997</v>
      </c>
      <c r="I113" s="102">
        <f>H113+I11</f>
        <v>266.37799999999993</v>
      </c>
      <c r="J113" s="102">
        <f>I113+J11</f>
        <v>411.06299999999987</v>
      </c>
      <c r="K113" s="103">
        <f>J113+K11</f>
        <v>549.48199999999986</v>
      </c>
      <c r="L113" s="101">
        <f>L11</f>
        <v>153.22699999999998</v>
      </c>
      <c r="M113" s="102">
        <f>L113+M11</f>
        <v>278.58299999999991</v>
      </c>
      <c r="N113" s="102">
        <f>M113+N11</f>
        <v>399.01800000000003</v>
      </c>
      <c r="O113" s="103">
        <f>N113+O11</f>
        <v>496.9070000000001</v>
      </c>
      <c r="P113" s="101">
        <f>P11</f>
        <v>370.71900000000005</v>
      </c>
      <c r="Q113" s="102">
        <f>P113+Q11</f>
        <v>503.80500000000006</v>
      </c>
      <c r="R113" s="102">
        <f>Q113+R11</f>
        <v>642.41300000000001</v>
      </c>
      <c r="S113" s="103">
        <f>R113+S11</f>
        <v>786.28400000000011</v>
      </c>
      <c r="T113" s="101">
        <f>T11</f>
        <v>24.949000000000009</v>
      </c>
      <c r="U113" s="102">
        <f>T113+U11</f>
        <v>76.703000000000031</v>
      </c>
      <c r="V113" s="102">
        <f>U113+V11</f>
        <v>142.16300000000001</v>
      </c>
      <c r="W113" s="103">
        <f>V113+W11</f>
        <v>247.77200000000005</v>
      </c>
      <c r="X113" s="101">
        <f>X11</f>
        <v>120.45899999999993</v>
      </c>
      <c r="Y113" s="102">
        <f>X113+Y11</f>
        <v>287.59899999999993</v>
      </c>
      <c r="Z113" s="102">
        <f>Y113+Z11</f>
        <v>487.08999999999992</v>
      </c>
      <c r="AA113" s="103">
        <f>Z113+AA11</f>
        <v>712.08400000000006</v>
      </c>
      <c r="AB113" s="101">
        <f>AB11</f>
        <v>222.10599999999999</v>
      </c>
      <c r="AC113" s="102">
        <f>AB113+AC11</f>
        <v>463.9319999999999</v>
      </c>
      <c r="AD113" s="102">
        <f>AC113+AD11</f>
        <v>683.86699999999996</v>
      </c>
      <c r="AE113" s="103">
        <f>AD113+AE11</f>
        <v>867.39400000000001</v>
      </c>
      <c r="AF113" s="101">
        <f>AF11</f>
        <v>139.38199999999998</v>
      </c>
      <c r="AG113" s="102">
        <f>AF113+AG11</f>
        <v>302.28100000000001</v>
      </c>
      <c r="AH113" s="102">
        <f>AG113+AH11</f>
        <v>472.04899999999998</v>
      </c>
      <c r="AI113" s="103">
        <f>AH113+AI11</f>
        <v>651.2360000000001</v>
      </c>
      <c r="AJ113" s="101">
        <f>AJ11</f>
        <v>131.22200000000001</v>
      </c>
      <c r="AK113" s="102">
        <f>AJ113+AK11</f>
        <v>295.69399999999996</v>
      </c>
      <c r="AL113" s="102">
        <f>AK113+AL11</f>
        <v>471.93299999999999</v>
      </c>
      <c r="AM113" s="103">
        <f>AL113+AM11</f>
        <v>673.48700000000008</v>
      </c>
      <c r="AN113" s="101">
        <f>AN11</f>
        <v>152.58600000000007</v>
      </c>
      <c r="AO113" s="102">
        <f>AN113+AO11</f>
        <v>340.01900000000001</v>
      </c>
      <c r="AP113" s="102">
        <f>AO113+AP11</f>
        <v>520.625</v>
      </c>
      <c r="AQ113" s="103">
        <f>AP113+AQ11</f>
        <v>629.31999999999994</v>
      </c>
      <c r="AR113" s="101">
        <f>AR11</f>
        <v>178.75699999999998</v>
      </c>
      <c r="AS113" s="102">
        <f>AR113+AS11</f>
        <v>384.09500000000003</v>
      </c>
      <c r="AT113" s="102">
        <f>AS113+AT11</f>
        <v>600.57300000000009</v>
      </c>
      <c r="AU113" s="103">
        <f>AT113+AU11</f>
        <v>696.87800000000016</v>
      </c>
      <c r="AV113" s="101">
        <f>AV11</f>
        <v>164.50399999999996</v>
      </c>
      <c r="AW113" s="102">
        <f>AV113+AW11</f>
        <v>335.07699999999988</v>
      </c>
      <c r="AX113" s="102">
        <f>AW113+AX11</f>
        <v>565.50699999999983</v>
      </c>
      <c r="AY113" s="103">
        <f>AX113+AY11</f>
        <v>861.66399999999999</v>
      </c>
      <c r="AZ113" s="101">
        <f>AZ11</f>
        <v>217.12899999999991</v>
      </c>
      <c r="BA113" s="102">
        <f>AZ113+BA11</f>
        <v>310.69299999999987</v>
      </c>
      <c r="BB113" s="102">
        <f>BA113+BB11</f>
        <v>379.60899999999992</v>
      </c>
      <c r="BC113" s="103">
        <f>BB113+BC11</f>
        <v>727.25900000000001</v>
      </c>
      <c r="BD113" s="101">
        <f>BD11</f>
        <v>268.17200000000003</v>
      </c>
      <c r="BE113" s="102">
        <f>BD113+BE11</f>
        <v>629.15242645555986</v>
      </c>
      <c r="BF113" s="102">
        <f>BE113+BF11</f>
        <v>1158.1208232104973</v>
      </c>
      <c r="BG113" s="103">
        <f>BF113+BG11</f>
        <v>1715.0539229470987</v>
      </c>
      <c r="BH113" s="101">
        <f>BH11</f>
        <v>479.45640495781339</v>
      </c>
      <c r="BI113" s="102">
        <f>BH113+BI11</f>
        <v>1003.6637770308892</v>
      </c>
      <c r="BJ113" s="102">
        <f>BI113+BJ11</f>
        <v>1566.299104898832</v>
      </c>
      <c r="BK113" s="103">
        <f>BJ113+BK11</f>
        <v>2166.8253745845891</v>
      </c>
      <c r="BL113" s="101">
        <f>BL11</f>
        <v>539.3776174205766</v>
      </c>
      <c r="BM113" s="102">
        <f>BL113+BM11</f>
        <v>1123.1780848982444</v>
      </c>
      <c r="BN113" s="102">
        <f>BM113+BN11</f>
        <v>1742.664838951715</v>
      </c>
      <c r="BO113" s="103">
        <f>BN113+BO11</f>
        <v>2396.1402186438736</v>
      </c>
      <c r="BP113" s="176"/>
      <c r="BQ113" s="102">
        <f>BQ11</f>
        <v>414.78700000000003</v>
      </c>
      <c r="BR113" s="102">
        <f t="shared" ref="BR113:CP113" si="723">BR11</f>
        <v>549.48199999999986</v>
      </c>
      <c r="BS113" s="102">
        <f t="shared" si="723"/>
        <v>496.9070000000001</v>
      </c>
      <c r="BT113" s="102">
        <f t="shared" si="723"/>
        <v>786.28400000000011</v>
      </c>
      <c r="BU113" s="102">
        <f t="shared" si="723"/>
        <v>247.77200000000005</v>
      </c>
      <c r="BV113" s="102">
        <f t="shared" si="723"/>
        <v>712.08400000000006</v>
      </c>
      <c r="BW113" s="102">
        <f t="shared" si="723"/>
        <v>867.39400000000001</v>
      </c>
      <c r="BX113" s="102">
        <f t="shared" si="723"/>
        <v>651.2360000000001</v>
      </c>
      <c r="BY113" s="102">
        <f t="shared" si="723"/>
        <v>673.48700000000008</v>
      </c>
      <c r="BZ113" s="102">
        <f t="shared" si="723"/>
        <v>629.31999999999994</v>
      </c>
      <c r="CA113" s="102">
        <f t="shared" ref="CA113:CF113" si="724">CA11</f>
        <v>696.87800000000016</v>
      </c>
      <c r="CB113" s="102">
        <f t="shared" si="724"/>
        <v>861.66399999999999</v>
      </c>
      <c r="CC113" s="102">
        <f t="shared" si="724"/>
        <v>727.25900000000001</v>
      </c>
      <c r="CD113" s="102">
        <f t="shared" si="724"/>
        <v>1715.0539229470987</v>
      </c>
      <c r="CE113" s="102">
        <f t="shared" si="724"/>
        <v>2166.8253745845891</v>
      </c>
      <c r="CF113" s="102">
        <f t="shared" si="724"/>
        <v>2396.1402186438736</v>
      </c>
      <c r="CG113" s="23"/>
      <c r="CH113" s="101">
        <f t="shared" si="723"/>
        <v>427.90100000000007</v>
      </c>
      <c r="CI113" s="102">
        <f t="shared" si="723"/>
        <v>582.15199999999993</v>
      </c>
      <c r="CJ113" s="102">
        <f t="shared" si="723"/>
        <v>714.39900000000011</v>
      </c>
      <c r="CK113" s="102">
        <f t="shared" si="723"/>
        <v>440.51400000000018</v>
      </c>
      <c r="CL113" s="102">
        <f t="shared" si="723"/>
        <v>343.28199999999998</v>
      </c>
      <c r="CM113" s="102">
        <f t="shared" si="723"/>
        <v>813.73099999999999</v>
      </c>
      <c r="CN113" s="102">
        <f t="shared" si="723"/>
        <v>784.67</v>
      </c>
      <c r="CO113" s="102">
        <f t="shared" si="723"/>
        <v>643.07600000000002</v>
      </c>
      <c r="CP113" s="102">
        <f t="shared" si="723"/>
        <v>694.85100000000011</v>
      </c>
      <c r="CQ113" s="102">
        <f t="shared" ref="CQ113:CV113" si="725">CQ11</f>
        <v>655.49099999999987</v>
      </c>
      <c r="CR113" s="102">
        <f t="shared" si="725"/>
        <v>682.62500000000023</v>
      </c>
      <c r="CS113" s="102">
        <f t="shared" si="725"/>
        <v>914.28899999999976</v>
      </c>
      <c r="CT113" s="102">
        <f t="shared" si="725"/>
        <v>778.30200000000013</v>
      </c>
      <c r="CU113" s="102">
        <f t="shared" si="725"/>
        <v>1926.3383279049121</v>
      </c>
      <c r="CV113" s="103">
        <f t="shared" si="725"/>
        <v>2226.7465870473525</v>
      </c>
      <c r="CW113" s="25"/>
    </row>
    <row r="114" spans="1:101" ht="14.25" hidden="1" customHeight="1" outlineLevel="1">
      <c r="A114" s="8"/>
      <c r="B114" s="206" t="s">
        <v>181</v>
      </c>
      <c r="C114" s="207"/>
      <c r="D114" s="210"/>
      <c r="E114" s="208"/>
      <c r="F114" s="208"/>
      <c r="G114" s="209"/>
      <c r="H114" s="210"/>
      <c r="I114" s="208"/>
      <c r="J114" s="208"/>
      <c r="K114" s="209"/>
      <c r="L114" s="210"/>
      <c r="M114" s="208"/>
      <c r="N114" s="208"/>
      <c r="O114" s="209"/>
      <c r="P114" s="210"/>
      <c r="Q114" s="208"/>
      <c r="R114" s="208"/>
      <c r="S114" s="209"/>
      <c r="T114" s="210"/>
      <c r="U114" s="208"/>
      <c r="V114" s="208"/>
      <c r="W114" s="209"/>
      <c r="X114" s="210"/>
      <c r="Y114" s="208"/>
      <c r="Z114" s="208"/>
      <c r="AA114" s="209"/>
      <c r="AB114" s="378"/>
      <c r="AC114" s="208"/>
      <c r="AD114" s="208"/>
      <c r="AE114" s="209"/>
      <c r="AF114" s="378"/>
      <c r="AG114" s="208"/>
      <c r="AH114" s="208"/>
      <c r="AI114" s="209"/>
      <c r="AJ114" s="210"/>
      <c r="AK114" s="208"/>
      <c r="AL114" s="208"/>
      <c r="AM114" s="209"/>
      <c r="AN114" s="210"/>
      <c r="AO114" s="208"/>
      <c r="AP114" s="208"/>
      <c r="AQ114" s="209"/>
      <c r="AR114" s="210"/>
      <c r="AS114" s="208"/>
      <c r="AT114" s="208"/>
      <c r="AU114" s="209"/>
      <c r="AV114" s="210"/>
      <c r="AW114" s="208"/>
      <c r="AX114" s="208"/>
      <c r="AY114" s="209"/>
      <c r="AZ114" s="210"/>
      <c r="BA114" s="208"/>
      <c r="BB114" s="208"/>
      <c r="BC114" s="209"/>
      <c r="BD114" s="210"/>
      <c r="BE114" s="208"/>
      <c r="BF114" s="208"/>
      <c r="BG114" s="209"/>
      <c r="BH114" s="210"/>
      <c r="BI114" s="208"/>
      <c r="BJ114" s="208"/>
      <c r="BK114" s="209"/>
      <c r="BL114" s="210"/>
      <c r="BM114" s="208"/>
      <c r="BN114" s="208"/>
      <c r="BO114" s="209"/>
      <c r="BP114" s="176"/>
      <c r="BQ114" s="208"/>
      <c r="BR114" s="208"/>
      <c r="BS114" s="208"/>
      <c r="BT114" s="208"/>
      <c r="BU114" s="208"/>
      <c r="BV114" s="208"/>
      <c r="BW114" s="208"/>
      <c r="BX114" s="208"/>
      <c r="BY114" s="208"/>
      <c r="BZ114" s="208"/>
      <c r="CA114" s="208"/>
      <c r="CB114" s="208"/>
      <c r="CC114" s="208"/>
      <c r="CD114" s="208"/>
      <c r="CE114" s="208"/>
      <c r="CF114" s="208"/>
      <c r="CG114" s="23"/>
      <c r="CH114" s="210"/>
      <c r="CI114" s="208"/>
      <c r="CJ114" s="208"/>
      <c r="CK114" s="208"/>
      <c r="CL114" s="208"/>
      <c r="CM114" s="208"/>
      <c r="CN114" s="208"/>
      <c r="CO114" s="208"/>
      <c r="CP114" s="208"/>
      <c r="CQ114" s="208"/>
      <c r="CR114" s="208"/>
      <c r="CS114" s="208"/>
      <c r="CT114" s="208"/>
      <c r="CU114" s="208"/>
      <c r="CV114" s="209"/>
      <c r="CW114" s="25"/>
    </row>
    <row r="115" spans="1:101" ht="14.25" hidden="1" customHeight="1" outlineLevel="1">
      <c r="A115" s="8"/>
      <c r="B115" s="56" t="s">
        <v>252</v>
      </c>
      <c r="C115" s="57"/>
      <c r="D115" s="216">
        <v>38.313000000000002</v>
      </c>
      <c r="E115" s="214">
        <v>77.325999999999993</v>
      </c>
      <c r="F115" s="214">
        <v>115.127</v>
      </c>
      <c r="G115" s="215">
        <v>153.18100000000001</v>
      </c>
      <c r="H115" s="216">
        <v>43.079000000000001</v>
      </c>
      <c r="I115" s="214">
        <v>85.766000000000005</v>
      </c>
      <c r="J115" s="214">
        <v>127.947</v>
      </c>
      <c r="K115" s="215">
        <v>166.851</v>
      </c>
      <c r="L115" s="216">
        <v>35.613</v>
      </c>
      <c r="M115" s="214">
        <v>71.328000000000003</v>
      </c>
      <c r="N115" s="214">
        <v>107.069</v>
      </c>
      <c r="O115" s="215">
        <v>142.173</v>
      </c>
      <c r="P115" s="216">
        <v>35.551000000000002</v>
      </c>
      <c r="Q115" s="214">
        <v>71.816999999999993</v>
      </c>
      <c r="R115" s="214">
        <v>108.06100000000001</v>
      </c>
      <c r="S115" s="215">
        <v>144.22200000000001</v>
      </c>
      <c r="T115" s="216">
        <v>38.755000000000003</v>
      </c>
      <c r="U115" s="214">
        <v>72.194999999999993</v>
      </c>
      <c r="V115" s="214">
        <v>102.495</v>
      </c>
      <c r="W115" s="215">
        <v>132.49299999999999</v>
      </c>
      <c r="X115" s="216">
        <v>29.280999999999999</v>
      </c>
      <c r="Y115" s="214">
        <v>58.194000000000003</v>
      </c>
      <c r="Z115" s="214">
        <v>86.775999999999996</v>
      </c>
      <c r="AA115" s="215">
        <v>116.083</v>
      </c>
      <c r="AB115" s="216">
        <v>29.492999999999999</v>
      </c>
      <c r="AC115" s="214">
        <v>58.959000000000003</v>
      </c>
      <c r="AD115" s="214">
        <v>88.091999999999999</v>
      </c>
      <c r="AE115" s="215">
        <v>116.873</v>
      </c>
      <c r="AF115" s="216">
        <v>28.242999999999999</v>
      </c>
      <c r="AG115" s="214">
        <v>55.113999999999997</v>
      </c>
      <c r="AH115" s="214">
        <v>82.221000000000004</v>
      </c>
      <c r="AI115" s="215">
        <v>109.705</v>
      </c>
      <c r="AJ115" s="216">
        <v>27.754999999999999</v>
      </c>
      <c r="AK115" s="214">
        <f>+AJ115+27.478</f>
        <v>55.233000000000004</v>
      </c>
      <c r="AL115" s="214">
        <v>82.680999999999997</v>
      </c>
      <c r="AM115" s="215">
        <v>110.196</v>
      </c>
      <c r="AN115" s="216">
        <v>27.335000000000001</v>
      </c>
      <c r="AO115" s="214">
        <v>54.793999999999997</v>
      </c>
      <c r="AP115" s="214">
        <v>83.147000000000006</v>
      </c>
      <c r="AQ115" s="215">
        <v>114.06399999999999</v>
      </c>
      <c r="AR115" s="216">
        <v>31.773</v>
      </c>
      <c r="AS115" s="214">
        <v>63.808999999999997</v>
      </c>
      <c r="AT115" s="214">
        <v>97.459000000000003</v>
      </c>
      <c r="AU115" s="215">
        <v>130.14699999999999</v>
      </c>
      <c r="AV115" s="216">
        <v>33.209000000000003</v>
      </c>
      <c r="AW115" s="214">
        <v>66.691999999999993</v>
      </c>
      <c r="AX115" s="214">
        <v>100.42400000000001</v>
      </c>
      <c r="AY115" s="215">
        <v>134.54</v>
      </c>
      <c r="AZ115" s="216">
        <v>34.378999999999998</v>
      </c>
      <c r="BA115" s="214">
        <v>83.150999999999996</v>
      </c>
      <c r="BB115" s="214">
        <v>138.36799999999999</v>
      </c>
      <c r="BC115" s="215">
        <v>194.666</v>
      </c>
      <c r="BD115" s="216">
        <v>56.414999999999999</v>
      </c>
      <c r="BE115" s="211">
        <f t="shared" ref="BE115:BE123" si="726">BD115+BE13</f>
        <v>114.06111166151484</v>
      </c>
      <c r="BF115" s="211">
        <f t="shared" ref="BF115:BF123" si="727">BE115+BF13</f>
        <v>172.97443412124417</v>
      </c>
      <c r="BG115" s="212">
        <f t="shared" ref="BG115:BG123" si="728">BF115+BG13</f>
        <v>233.19679913204664</v>
      </c>
      <c r="BH115" s="213">
        <f t="shared" ref="BH115:BH123" si="729">BH13</f>
        <v>58.726801575683773</v>
      </c>
      <c r="BI115" s="211">
        <f t="shared" ref="BI115:BI123" si="730">BH115+BI13</f>
        <v>118.69347934465719</v>
      </c>
      <c r="BJ115" s="211">
        <f t="shared" ref="BJ115:BJ123" si="731">BI115+BJ13</f>
        <v>179.94550034408917</v>
      </c>
      <c r="BK115" s="212">
        <f t="shared" ref="BK115:BK123" si="732">BJ115+BK13</f>
        <v>242.53644304227123</v>
      </c>
      <c r="BL115" s="213">
        <f t="shared" ref="BL115:BL123" si="733">BL13</f>
        <v>63.860283107458798</v>
      </c>
      <c r="BM115" s="211">
        <f t="shared" ref="BM115:BM123" si="734">BL115+BM13</f>
        <v>129.04362117219287</v>
      </c>
      <c r="BN115" s="211">
        <f t="shared" ref="BN115:BN123" si="735">BM115+BN13</f>
        <v>195.59176136112796</v>
      </c>
      <c r="BO115" s="212">
        <f t="shared" ref="BO115:BO123" si="736">BN115+BO13</f>
        <v>263.55316041111053</v>
      </c>
      <c r="BP115" s="176"/>
      <c r="BQ115" s="211">
        <f t="shared" ref="BQ115:BZ115" si="737">BQ13</f>
        <v>153.18100000000001</v>
      </c>
      <c r="BR115" s="211">
        <f t="shared" si="737"/>
        <v>166.851</v>
      </c>
      <c r="BS115" s="211">
        <f t="shared" si="737"/>
        <v>142.173</v>
      </c>
      <c r="BT115" s="211">
        <f t="shared" si="737"/>
        <v>144.22200000000001</v>
      </c>
      <c r="BU115" s="211">
        <f t="shared" si="737"/>
        <v>132.49299999999999</v>
      </c>
      <c r="BV115" s="211">
        <f t="shared" si="737"/>
        <v>116.083</v>
      </c>
      <c r="BW115" s="211">
        <f t="shared" si="737"/>
        <v>116.873</v>
      </c>
      <c r="BX115" s="211">
        <f t="shared" si="737"/>
        <v>109.705</v>
      </c>
      <c r="BY115" s="211">
        <f t="shared" si="737"/>
        <v>110.196</v>
      </c>
      <c r="BZ115" s="211">
        <f t="shared" si="737"/>
        <v>114.06399999999999</v>
      </c>
      <c r="CA115" s="211">
        <f t="shared" ref="CA115:CB123" si="738">CA13</f>
        <v>130.14699999999999</v>
      </c>
      <c r="CB115" s="211">
        <f t="shared" si="738"/>
        <v>134.54</v>
      </c>
      <c r="CC115" s="211">
        <f t="shared" ref="CC115:CD123" si="739">CC13</f>
        <v>194.666</v>
      </c>
      <c r="CD115" s="211">
        <f t="shared" si="739"/>
        <v>233.19679913204664</v>
      </c>
      <c r="CE115" s="211">
        <f t="shared" ref="CE115:CF115" si="740">CE13</f>
        <v>242.53644304227123</v>
      </c>
      <c r="CF115" s="211">
        <f t="shared" si="740"/>
        <v>263.55316041111053</v>
      </c>
      <c r="CG115" s="23"/>
      <c r="CH115" s="213">
        <f t="shared" ref="CH115:CP115" si="741">CH13</f>
        <v>157.947</v>
      </c>
      <c r="CI115" s="211">
        <f t="shared" si="741"/>
        <v>159.38499999999999</v>
      </c>
      <c r="CJ115" s="211">
        <f t="shared" si="741"/>
        <v>142.11099999999999</v>
      </c>
      <c r="CK115" s="211">
        <f t="shared" si="741"/>
        <v>147.42600000000002</v>
      </c>
      <c r="CL115" s="211">
        <f t="shared" si="741"/>
        <v>123.01899999999998</v>
      </c>
      <c r="CM115" s="211">
        <f t="shared" si="741"/>
        <v>116.29499999999999</v>
      </c>
      <c r="CN115" s="211">
        <f t="shared" si="741"/>
        <v>115.62299999999999</v>
      </c>
      <c r="CO115" s="211">
        <f t="shared" si="741"/>
        <v>109.217</v>
      </c>
      <c r="CP115" s="211">
        <f t="shared" si="741"/>
        <v>109.77599999999998</v>
      </c>
      <c r="CQ115" s="211">
        <f t="shared" ref="CQ115:CR123" si="742">CQ13</f>
        <v>118.50199999999998</v>
      </c>
      <c r="CR115" s="211">
        <f t="shared" si="742"/>
        <v>131.583</v>
      </c>
      <c r="CS115" s="211">
        <f t="shared" ref="CS115:CT123" si="743">CS13</f>
        <v>135.70999999999998</v>
      </c>
      <c r="CT115" s="211">
        <f>CT13</f>
        <v>216.702</v>
      </c>
      <c r="CU115" s="211">
        <f>CU13</f>
        <v>235.50860070773038</v>
      </c>
      <c r="CV115" s="212">
        <f>CV13</f>
        <v>247.66992457404623</v>
      </c>
      <c r="CW115" s="25"/>
    </row>
    <row r="116" spans="1:101" ht="14.25" hidden="1" customHeight="1" outlineLevel="1">
      <c r="A116" s="8"/>
      <c r="B116" s="56" t="s">
        <v>203</v>
      </c>
      <c r="C116" s="57"/>
      <c r="D116" s="216">
        <v>0.68400000000000005</v>
      </c>
      <c r="E116" s="214">
        <v>1.369</v>
      </c>
      <c r="F116" s="214">
        <v>2.0409999999999999</v>
      </c>
      <c r="G116" s="215">
        <v>2.383</v>
      </c>
      <c r="H116" s="216">
        <v>0.40400000000000003</v>
      </c>
      <c r="I116" s="214">
        <v>0.80800000000000005</v>
      </c>
      <c r="J116" s="214">
        <v>1.9530000000000001</v>
      </c>
      <c r="K116" s="215">
        <v>5.3120000000000003</v>
      </c>
      <c r="L116" s="216">
        <v>3.61</v>
      </c>
      <c r="M116" s="214">
        <v>6.8689999999999998</v>
      </c>
      <c r="N116" s="214">
        <v>10.037000000000001</v>
      </c>
      <c r="O116" s="215">
        <v>12.61</v>
      </c>
      <c r="P116" s="216">
        <v>2.423</v>
      </c>
      <c r="Q116" s="214">
        <v>5.0380000000000003</v>
      </c>
      <c r="R116" s="214">
        <v>7.476</v>
      </c>
      <c r="S116" s="215">
        <v>9.25</v>
      </c>
      <c r="T116" s="216">
        <v>1.9570000000000001</v>
      </c>
      <c r="U116" s="214">
        <v>3.548</v>
      </c>
      <c r="V116" s="214">
        <v>5.2270000000000003</v>
      </c>
      <c r="W116" s="215">
        <v>7.3769999999999998</v>
      </c>
      <c r="X116" s="216">
        <v>1.8009999999999999</v>
      </c>
      <c r="Y116" s="214">
        <v>3.58</v>
      </c>
      <c r="Z116" s="214">
        <v>4.1890000000000001</v>
      </c>
      <c r="AA116" s="215">
        <v>4.8280000000000003</v>
      </c>
      <c r="AB116" s="216">
        <v>0.39200000000000002</v>
      </c>
      <c r="AC116" s="214">
        <v>0.73199999999999998</v>
      </c>
      <c r="AD116" s="214">
        <v>1.079</v>
      </c>
      <c r="AE116" s="215">
        <v>1.3460000000000001</v>
      </c>
      <c r="AF116" s="216">
        <v>0</v>
      </c>
      <c r="AG116" s="214">
        <v>1.7999999999999999E-2</v>
      </c>
      <c r="AH116" s="214">
        <v>7.3999999999999996E-2</v>
      </c>
      <c r="AI116" s="215">
        <v>0.128</v>
      </c>
      <c r="AJ116" s="216">
        <v>5.5E-2</v>
      </c>
      <c r="AK116" s="214">
        <f>+AJ116+0.055</f>
        <v>0.11</v>
      </c>
      <c r="AL116" s="214">
        <v>0.16500000000000001</v>
      </c>
      <c r="AM116" s="215">
        <v>0.22</v>
      </c>
      <c r="AN116" s="216">
        <v>5.5E-2</v>
      </c>
      <c r="AO116" s="214">
        <v>0.11</v>
      </c>
      <c r="AP116" s="214">
        <v>1.72</v>
      </c>
      <c r="AQ116" s="215">
        <v>27.905999999999999</v>
      </c>
      <c r="AR116" s="216">
        <v>24.739000000000001</v>
      </c>
      <c r="AS116" s="214">
        <v>49.893000000000001</v>
      </c>
      <c r="AT116" s="214">
        <v>73.790999999999997</v>
      </c>
      <c r="AU116" s="215">
        <v>92.093000000000004</v>
      </c>
      <c r="AV116" s="216">
        <v>18.347000000000001</v>
      </c>
      <c r="AW116" s="214">
        <v>36.786999999999999</v>
      </c>
      <c r="AX116" s="214">
        <v>55.703000000000003</v>
      </c>
      <c r="AY116" s="215">
        <v>75.25</v>
      </c>
      <c r="AZ116" s="216">
        <v>19.946999999999999</v>
      </c>
      <c r="BA116" s="214">
        <v>108.717</v>
      </c>
      <c r="BB116" s="214">
        <v>255.95500000000001</v>
      </c>
      <c r="BC116" s="215">
        <v>389.39299999999997</v>
      </c>
      <c r="BD116" s="216">
        <v>142.05000000000001</v>
      </c>
      <c r="BE116" s="211">
        <f t="shared" si="726"/>
        <v>142.05000000000001</v>
      </c>
      <c r="BF116" s="211">
        <f t="shared" si="727"/>
        <v>142.05000000000001</v>
      </c>
      <c r="BG116" s="212">
        <f t="shared" si="728"/>
        <v>142.05000000000001</v>
      </c>
      <c r="BH116" s="213">
        <f t="shared" si="729"/>
        <v>0</v>
      </c>
      <c r="BI116" s="211">
        <f t="shared" si="730"/>
        <v>0</v>
      </c>
      <c r="BJ116" s="211">
        <f t="shared" si="731"/>
        <v>0</v>
      </c>
      <c r="BK116" s="212">
        <f t="shared" si="732"/>
        <v>0</v>
      </c>
      <c r="BL116" s="213">
        <f t="shared" si="733"/>
        <v>0</v>
      </c>
      <c r="BM116" s="211">
        <f t="shared" si="734"/>
        <v>0</v>
      </c>
      <c r="BN116" s="211">
        <f t="shared" si="735"/>
        <v>0</v>
      </c>
      <c r="BO116" s="212">
        <f t="shared" si="736"/>
        <v>0</v>
      </c>
      <c r="BP116" s="176"/>
      <c r="BQ116" s="211">
        <f t="shared" ref="BQ116:BZ116" si="744">BQ14</f>
        <v>2.383</v>
      </c>
      <c r="BR116" s="211">
        <f t="shared" si="744"/>
        <v>5.3120000000000003</v>
      </c>
      <c r="BS116" s="211">
        <f t="shared" si="744"/>
        <v>12.61</v>
      </c>
      <c r="BT116" s="211">
        <f t="shared" si="744"/>
        <v>9.25</v>
      </c>
      <c r="BU116" s="211">
        <f t="shared" si="744"/>
        <v>7.3769999999999998</v>
      </c>
      <c r="BV116" s="211">
        <f t="shared" si="744"/>
        <v>4.8280000000000003</v>
      </c>
      <c r="BW116" s="211">
        <f t="shared" si="744"/>
        <v>1.3460000000000001</v>
      </c>
      <c r="BX116" s="211">
        <f t="shared" si="744"/>
        <v>0.128</v>
      </c>
      <c r="BY116" s="211">
        <f t="shared" si="744"/>
        <v>0.22</v>
      </c>
      <c r="BZ116" s="211">
        <f t="shared" si="744"/>
        <v>27.905999999999999</v>
      </c>
      <c r="CA116" s="211">
        <f t="shared" si="738"/>
        <v>92.093000000000004</v>
      </c>
      <c r="CB116" s="211">
        <f t="shared" si="738"/>
        <v>75.25</v>
      </c>
      <c r="CC116" s="211">
        <f t="shared" si="739"/>
        <v>389.39299999999997</v>
      </c>
      <c r="CD116" s="211">
        <f t="shared" si="739"/>
        <v>142.05000000000001</v>
      </c>
      <c r="CE116" s="211">
        <f t="shared" ref="CE116:CF116" si="745">CE14</f>
        <v>0</v>
      </c>
      <c r="CF116" s="211">
        <f t="shared" si="745"/>
        <v>0</v>
      </c>
      <c r="CG116" s="23"/>
      <c r="CH116" s="213">
        <f t="shared" ref="CH116:CP116" si="746">CH14</f>
        <v>2.1029999999999998</v>
      </c>
      <c r="CI116" s="211">
        <f t="shared" si="746"/>
        <v>8.5179999999999989</v>
      </c>
      <c r="CJ116" s="211">
        <f t="shared" si="746"/>
        <v>11.422999999999998</v>
      </c>
      <c r="CK116" s="211">
        <f t="shared" si="746"/>
        <v>8.7840000000000007</v>
      </c>
      <c r="CL116" s="211">
        <f t="shared" si="746"/>
        <v>7.2210000000000001</v>
      </c>
      <c r="CM116" s="211">
        <f t="shared" si="746"/>
        <v>3.4190000000000009</v>
      </c>
      <c r="CN116" s="211">
        <f t="shared" si="746"/>
        <v>0.95400000000000007</v>
      </c>
      <c r="CO116" s="211">
        <f t="shared" si="746"/>
        <v>0.183</v>
      </c>
      <c r="CP116" s="211">
        <f t="shared" si="746"/>
        <v>0.22</v>
      </c>
      <c r="CQ116" s="211">
        <f t="shared" si="742"/>
        <v>52.59</v>
      </c>
      <c r="CR116" s="211">
        <f t="shared" si="742"/>
        <v>85.701000000000022</v>
      </c>
      <c r="CS116" s="211">
        <f t="shared" si="743"/>
        <v>76.849999999999994</v>
      </c>
      <c r="CT116" s="211">
        <f t="shared" si="743"/>
        <v>511.49599999999998</v>
      </c>
      <c r="CU116" s="211">
        <f t="shared" ref="CU116" si="747">CU14</f>
        <v>0</v>
      </c>
      <c r="CV116" s="212">
        <f t="shared" ref="CV116" si="748">CV14</f>
        <v>0</v>
      </c>
      <c r="CW116" s="25"/>
    </row>
    <row r="117" spans="1:101" ht="14.25" hidden="1" customHeight="1" outlineLevel="1">
      <c r="A117" s="8"/>
      <c r="B117" s="56" t="s">
        <v>253</v>
      </c>
      <c r="C117" s="57"/>
      <c r="D117" s="216">
        <v>1.798</v>
      </c>
      <c r="E117" s="214">
        <v>2.5840000000000001</v>
      </c>
      <c r="F117" s="214">
        <v>3.887</v>
      </c>
      <c r="G117" s="215">
        <v>4.87</v>
      </c>
      <c r="H117" s="216">
        <v>21.306999999999999</v>
      </c>
      <c r="I117" s="214">
        <v>38.524000000000001</v>
      </c>
      <c r="J117" s="214">
        <v>57.83</v>
      </c>
      <c r="K117" s="215">
        <v>75.429000000000002</v>
      </c>
      <c r="L117" s="216">
        <v>20.056999999999999</v>
      </c>
      <c r="M117" s="214">
        <v>37.680999999999997</v>
      </c>
      <c r="N117" s="214">
        <v>55.146000000000001</v>
      </c>
      <c r="O117" s="215">
        <v>72.652000000000001</v>
      </c>
      <c r="P117" s="216">
        <v>10.595000000000001</v>
      </c>
      <c r="Q117" s="214">
        <v>23.321999999999999</v>
      </c>
      <c r="R117" s="214">
        <v>36.895000000000003</v>
      </c>
      <c r="S117" s="215">
        <v>50.247</v>
      </c>
      <c r="T117" s="216">
        <v>11.411</v>
      </c>
      <c r="U117" s="214">
        <v>23.977</v>
      </c>
      <c r="V117" s="214">
        <v>35.991999999999997</v>
      </c>
      <c r="W117" s="215">
        <v>48.613</v>
      </c>
      <c r="X117" s="216">
        <v>11.835000000000001</v>
      </c>
      <c r="Y117" s="214">
        <v>25.09</v>
      </c>
      <c r="Z117" s="214">
        <v>38.265999999999998</v>
      </c>
      <c r="AA117" s="215">
        <v>51.752000000000002</v>
      </c>
      <c r="AB117" s="216">
        <v>12.603</v>
      </c>
      <c r="AC117" s="214">
        <v>25.495999999999999</v>
      </c>
      <c r="AD117" s="214">
        <v>38.805999999999997</v>
      </c>
      <c r="AE117" s="215">
        <v>52.357999999999997</v>
      </c>
      <c r="AF117" s="216">
        <v>13.332000000000001</v>
      </c>
      <c r="AG117" s="214">
        <v>25.431999999999999</v>
      </c>
      <c r="AH117" s="214">
        <v>39.222999999999999</v>
      </c>
      <c r="AI117" s="215">
        <v>53.5</v>
      </c>
      <c r="AJ117" s="216">
        <v>13.061</v>
      </c>
      <c r="AK117" s="214">
        <f>+AJ117+17.956</f>
        <v>31.016999999999999</v>
      </c>
      <c r="AL117" s="214">
        <v>43.764000000000003</v>
      </c>
      <c r="AM117" s="215">
        <v>56.886000000000003</v>
      </c>
      <c r="AN117" s="216">
        <v>11.407</v>
      </c>
      <c r="AO117" s="214">
        <v>21.949000000000002</v>
      </c>
      <c r="AP117" s="214">
        <v>35.418999999999997</v>
      </c>
      <c r="AQ117" s="215">
        <v>50.811999999999998</v>
      </c>
      <c r="AR117" s="216">
        <v>20.370999999999999</v>
      </c>
      <c r="AS117" s="214">
        <v>36.472000000000001</v>
      </c>
      <c r="AT117" s="214">
        <v>52.835999999999999</v>
      </c>
      <c r="AU117" s="215">
        <v>68.918999999999997</v>
      </c>
      <c r="AV117" s="216">
        <v>15.609</v>
      </c>
      <c r="AW117" s="214">
        <v>31.568000000000001</v>
      </c>
      <c r="AX117" s="214">
        <v>48.186999999999998</v>
      </c>
      <c r="AY117" s="215">
        <v>63.420999999999999</v>
      </c>
      <c r="AZ117" s="216">
        <v>16.529</v>
      </c>
      <c r="BA117" s="214">
        <v>39.015000000000001</v>
      </c>
      <c r="BB117" s="214">
        <v>71.838999999999999</v>
      </c>
      <c r="BC117" s="215">
        <v>104.188</v>
      </c>
      <c r="BD117" s="216">
        <v>37.902000000000001</v>
      </c>
      <c r="BE117" s="211">
        <f t="shared" si="726"/>
        <v>75.804000000000002</v>
      </c>
      <c r="BF117" s="211">
        <f t="shared" si="727"/>
        <v>113.706</v>
      </c>
      <c r="BG117" s="212">
        <f t="shared" si="728"/>
        <v>151.608</v>
      </c>
      <c r="BH117" s="213">
        <f t="shared" si="729"/>
        <v>37.902000000000001</v>
      </c>
      <c r="BI117" s="211">
        <f t="shared" si="730"/>
        <v>75.804000000000002</v>
      </c>
      <c r="BJ117" s="211">
        <f t="shared" si="731"/>
        <v>113.706</v>
      </c>
      <c r="BK117" s="212">
        <f t="shared" si="732"/>
        <v>151.608</v>
      </c>
      <c r="BL117" s="213">
        <f t="shared" si="733"/>
        <v>37.902000000000001</v>
      </c>
      <c r="BM117" s="211">
        <f t="shared" si="734"/>
        <v>75.804000000000002</v>
      </c>
      <c r="BN117" s="211">
        <f t="shared" si="735"/>
        <v>113.706</v>
      </c>
      <c r="BO117" s="212">
        <f t="shared" si="736"/>
        <v>151.608</v>
      </c>
      <c r="BP117" s="176"/>
      <c r="BQ117" s="211">
        <f t="shared" ref="BQ117:BZ117" si="749">BQ15</f>
        <v>4.87</v>
      </c>
      <c r="BR117" s="211">
        <f t="shared" si="749"/>
        <v>75.429000000000002</v>
      </c>
      <c r="BS117" s="211">
        <f t="shared" si="749"/>
        <v>72.652000000000001</v>
      </c>
      <c r="BT117" s="211">
        <f t="shared" si="749"/>
        <v>50.247</v>
      </c>
      <c r="BU117" s="211">
        <f t="shared" si="749"/>
        <v>48.613</v>
      </c>
      <c r="BV117" s="211">
        <f t="shared" si="749"/>
        <v>51.75200000000001</v>
      </c>
      <c r="BW117" s="211">
        <f t="shared" si="749"/>
        <v>52.357999999999997</v>
      </c>
      <c r="BX117" s="211">
        <f t="shared" si="749"/>
        <v>53.5</v>
      </c>
      <c r="BY117" s="211">
        <f t="shared" si="749"/>
        <v>56.885999999999996</v>
      </c>
      <c r="BZ117" s="211">
        <f t="shared" si="749"/>
        <v>50.811999999999998</v>
      </c>
      <c r="CA117" s="211">
        <f t="shared" si="738"/>
        <v>68.918999999999997</v>
      </c>
      <c r="CB117" s="211">
        <f t="shared" si="738"/>
        <v>63.420999999999999</v>
      </c>
      <c r="CC117" s="211">
        <f t="shared" si="739"/>
        <v>104.188</v>
      </c>
      <c r="CD117" s="211">
        <f t="shared" si="739"/>
        <v>151.608</v>
      </c>
      <c r="CE117" s="211">
        <f t="shared" ref="CE117:CF117" si="750">CE15</f>
        <v>151.608</v>
      </c>
      <c r="CF117" s="211">
        <f t="shared" si="750"/>
        <v>151.608</v>
      </c>
      <c r="CG117" s="23"/>
      <c r="CH117" s="213">
        <f t="shared" ref="CH117:CP117" si="751">CH15</f>
        <v>24.378999999999998</v>
      </c>
      <c r="CI117" s="211">
        <f t="shared" si="751"/>
        <v>74.179000000000016</v>
      </c>
      <c r="CJ117" s="211">
        <f t="shared" si="751"/>
        <v>63.190000000000012</v>
      </c>
      <c r="CK117" s="211">
        <f t="shared" si="751"/>
        <v>51.063000000000002</v>
      </c>
      <c r="CL117" s="211">
        <f t="shared" si="751"/>
        <v>49.036999999999999</v>
      </c>
      <c r="CM117" s="211">
        <f t="shared" si="751"/>
        <v>52.52</v>
      </c>
      <c r="CN117" s="211">
        <f t="shared" si="751"/>
        <v>53.086999999999996</v>
      </c>
      <c r="CO117" s="211">
        <f t="shared" si="751"/>
        <v>53.229000000000006</v>
      </c>
      <c r="CP117" s="211">
        <f t="shared" si="751"/>
        <v>55.231999999999999</v>
      </c>
      <c r="CQ117" s="211">
        <f t="shared" si="742"/>
        <v>59.775999999999996</v>
      </c>
      <c r="CR117" s="211">
        <f t="shared" si="742"/>
        <v>64.156999999999996</v>
      </c>
      <c r="CS117" s="211">
        <f t="shared" si="743"/>
        <v>64.340999999999994</v>
      </c>
      <c r="CT117" s="211">
        <f t="shared" si="743"/>
        <v>125.56100000000001</v>
      </c>
      <c r="CU117" s="211">
        <f t="shared" ref="CU117" si="752">CU15</f>
        <v>151.608</v>
      </c>
      <c r="CV117" s="212">
        <f t="shared" ref="CV117" si="753">CV15</f>
        <v>151.608</v>
      </c>
      <c r="CW117" s="25"/>
    </row>
    <row r="118" spans="1:101" ht="14.25" hidden="1" customHeight="1" outlineLevel="1">
      <c r="A118" s="8"/>
      <c r="B118" s="56" t="s">
        <v>221</v>
      </c>
      <c r="C118" s="57"/>
      <c r="D118" s="216">
        <v>0</v>
      </c>
      <c r="E118" s="214">
        <v>0</v>
      </c>
      <c r="F118" s="214">
        <v>0</v>
      </c>
      <c r="G118" s="215">
        <v>0</v>
      </c>
      <c r="H118" s="216">
        <v>0</v>
      </c>
      <c r="I118" s="214">
        <v>0</v>
      </c>
      <c r="J118" s="214">
        <v>0</v>
      </c>
      <c r="K118" s="215">
        <v>0</v>
      </c>
      <c r="L118" s="216">
        <v>0</v>
      </c>
      <c r="M118" s="214">
        <v>0</v>
      </c>
      <c r="N118" s="214">
        <v>0</v>
      </c>
      <c r="O118" s="215">
        <v>0</v>
      </c>
      <c r="P118" s="216">
        <v>0</v>
      </c>
      <c r="Q118" s="214">
        <v>0</v>
      </c>
      <c r="R118" s="214">
        <v>0</v>
      </c>
      <c r="S118" s="215">
        <v>0</v>
      </c>
      <c r="T118" s="216">
        <v>0</v>
      </c>
      <c r="U118" s="214">
        <v>0</v>
      </c>
      <c r="V118" s="214">
        <v>0</v>
      </c>
      <c r="W118" s="215">
        <v>0</v>
      </c>
      <c r="X118" s="216">
        <v>0</v>
      </c>
      <c r="Y118" s="214">
        <v>0</v>
      </c>
      <c r="Z118" s="214">
        <v>0</v>
      </c>
      <c r="AA118" s="215">
        <v>0</v>
      </c>
      <c r="AB118" s="216">
        <v>0</v>
      </c>
      <c r="AC118" s="214">
        <v>0</v>
      </c>
      <c r="AD118" s="214">
        <v>0</v>
      </c>
      <c r="AE118" s="215">
        <v>0</v>
      </c>
      <c r="AF118" s="216">
        <v>0</v>
      </c>
      <c r="AG118" s="214">
        <v>0</v>
      </c>
      <c r="AH118" s="214">
        <v>0</v>
      </c>
      <c r="AI118" s="215">
        <v>0</v>
      </c>
      <c r="AJ118" s="216">
        <v>0</v>
      </c>
      <c r="AK118" s="214">
        <v>0</v>
      </c>
      <c r="AL118" s="214">
        <v>0</v>
      </c>
      <c r="AM118" s="215">
        <v>0</v>
      </c>
      <c r="AN118" s="216">
        <v>0</v>
      </c>
      <c r="AO118" s="214">
        <v>0</v>
      </c>
      <c r="AP118" s="214">
        <v>0</v>
      </c>
      <c r="AQ118" s="215">
        <v>0</v>
      </c>
      <c r="AR118" s="216">
        <v>0</v>
      </c>
      <c r="AS118" s="214">
        <v>0</v>
      </c>
      <c r="AT118" s="214">
        <v>0</v>
      </c>
      <c r="AU118" s="215">
        <v>0</v>
      </c>
      <c r="AV118" s="216">
        <v>0</v>
      </c>
      <c r="AW118" s="214">
        <v>0</v>
      </c>
      <c r="AX118" s="214">
        <v>0</v>
      </c>
      <c r="AY118" s="215">
        <v>0</v>
      </c>
      <c r="AZ118" s="216">
        <v>0</v>
      </c>
      <c r="BA118" s="214">
        <v>0</v>
      </c>
      <c r="BB118" s="214">
        <v>0</v>
      </c>
      <c r="BC118" s="215">
        <v>0</v>
      </c>
      <c r="BD118" s="216">
        <v>0</v>
      </c>
      <c r="BE118" s="211">
        <f t="shared" si="726"/>
        <v>0</v>
      </c>
      <c r="BF118" s="211">
        <f t="shared" si="727"/>
        <v>0</v>
      </c>
      <c r="BG118" s="212">
        <f t="shared" si="728"/>
        <v>0</v>
      </c>
      <c r="BH118" s="213">
        <f t="shared" si="729"/>
        <v>0</v>
      </c>
      <c r="BI118" s="211">
        <f t="shared" si="730"/>
        <v>0</v>
      </c>
      <c r="BJ118" s="211">
        <f t="shared" si="731"/>
        <v>0</v>
      </c>
      <c r="BK118" s="212">
        <f t="shared" si="732"/>
        <v>0</v>
      </c>
      <c r="BL118" s="213">
        <f t="shared" si="733"/>
        <v>0</v>
      </c>
      <c r="BM118" s="211">
        <f t="shared" si="734"/>
        <v>0</v>
      </c>
      <c r="BN118" s="211">
        <f t="shared" si="735"/>
        <v>0</v>
      </c>
      <c r="BO118" s="212">
        <f t="shared" si="736"/>
        <v>0</v>
      </c>
      <c r="BP118" s="176"/>
      <c r="BQ118" s="211">
        <f t="shared" ref="BQ118:BZ118" si="754">BQ16</f>
        <v>0</v>
      </c>
      <c r="BR118" s="211">
        <f t="shared" si="754"/>
        <v>0</v>
      </c>
      <c r="BS118" s="211">
        <f t="shared" si="754"/>
        <v>0</v>
      </c>
      <c r="BT118" s="211">
        <f t="shared" si="754"/>
        <v>0</v>
      </c>
      <c r="BU118" s="211">
        <f t="shared" si="754"/>
        <v>0</v>
      </c>
      <c r="BV118" s="211">
        <f t="shared" si="754"/>
        <v>0</v>
      </c>
      <c r="BW118" s="211">
        <f t="shared" si="754"/>
        <v>0</v>
      </c>
      <c r="BX118" s="211">
        <f t="shared" si="754"/>
        <v>0</v>
      </c>
      <c r="BY118" s="211">
        <f t="shared" si="754"/>
        <v>0</v>
      </c>
      <c r="BZ118" s="211">
        <f t="shared" si="754"/>
        <v>0</v>
      </c>
      <c r="CA118" s="211">
        <f t="shared" si="738"/>
        <v>0</v>
      </c>
      <c r="CB118" s="211">
        <f t="shared" si="738"/>
        <v>0</v>
      </c>
      <c r="CC118" s="211">
        <f t="shared" si="739"/>
        <v>0</v>
      </c>
      <c r="CD118" s="211">
        <f t="shared" si="739"/>
        <v>0</v>
      </c>
      <c r="CE118" s="211">
        <f t="shared" ref="CE118:CF118" si="755">CE16</f>
        <v>0</v>
      </c>
      <c r="CF118" s="211">
        <f t="shared" si="755"/>
        <v>0</v>
      </c>
      <c r="CG118" s="23"/>
      <c r="CH118" s="213">
        <f t="shared" ref="CH118:CP118" si="756">CH16</f>
        <v>0</v>
      </c>
      <c r="CI118" s="211">
        <f t="shared" si="756"/>
        <v>0</v>
      </c>
      <c r="CJ118" s="211">
        <f t="shared" si="756"/>
        <v>0</v>
      </c>
      <c r="CK118" s="211">
        <f t="shared" si="756"/>
        <v>0</v>
      </c>
      <c r="CL118" s="211">
        <f t="shared" si="756"/>
        <v>0</v>
      </c>
      <c r="CM118" s="211">
        <f t="shared" si="756"/>
        <v>0</v>
      </c>
      <c r="CN118" s="211">
        <f t="shared" si="756"/>
        <v>0</v>
      </c>
      <c r="CO118" s="211">
        <f t="shared" si="756"/>
        <v>0</v>
      </c>
      <c r="CP118" s="211">
        <f t="shared" si="756"/>
        <v>0</v>
      </c>
      <c r="CQ118" s="211">
        <f t="shared" si="742"/>
        <v>0</v>
      </c>
      <c r="CR118" s="211">
        <f t="shared" si="742"/>
        <v>0</v>
      </c>
      <c r="CS118" s="211">
        <f t="shared" si="743"/>
        <v>0</v>
      </c>
      <c r="CT118" s="211">
        <f t="shared" si="743"/>
        <v>0</v>
      </c>
      <c r="CU118" s="211">
        <f t="shared" ref="CU118" si="757">CU16</f>
        <v>0</v>
      </c>
      <c r="CV118" s="212">
        <f t="shared" ref="CV118" si="758">CV16</f>
        <v>0</v>
      </c>
      <c r="CW118" s="25"/>
    </row>
    <row r="119" spans="1:101" ht="14.25" hidden="1" customHeight="1" outlineLevel="1">
      <c r="A119" s="8"/>
      <c r="B119" s="56" t="s">
        <v>256</v>
      </c>
      <c r="C119" s="57"/>
      <c r="D119" s="216">
        <v>0</v>
      </c>
      <c r="E119" s="214">
        <v>0</v>
      </c>
      <c r="F119" s="214">
        <v>0</v>
      </c>
      <c r="G119" s="215">
        <v>0</v>
      </c>
      <c r="H119" s="216">
        <v>0</v>
      </c>
      <c r="I119" s="214">
        <v>-13.026999999999999</v>
      </c>
      <c r="J119" s="214">
        <v>-13.026999999999999</v>
      </c>
      <c r="K119" s="215">
        <v>-13.026999999999999</v>
      </c>
      <c r="L119" s="216">
        <v>-7.9189999999999996</v>
      </c>
      <c r="M119" s="214">
        <v>-7.9189999999999996</v>
      </c>
      <c r="N119" s="214">
        <v>-7.9189999999999996</v>
      </c>
      <c r="O119" s="215">
        <v>-7.9189999999999996</v>
      </c>
      <c r="P119" s="216">
        <v>-246.983</v>
      </c>
      <c r="Q119" s="214">
        <f>-246.983-67.283</f>
        <v>-314.26600000000002</v>
      </c>
      <c r="R119" s="214">
        <f>-250.785-67.283</f>
        <v>-318.06799999999998</v>
      </c>
      <c r="S119" s="215">
        <v>-248.328</v>
      </c>
      <c r="T119" s="216">
        <v>0</v>
      </c>
      <c r="U119" s="214">
        <v>0</v>
      </c>
      <c r="V119" s="214">
        <v>-4.1050000000000004</v>
      </c>
      <c r="W119" s="215">
        <v>0</v>
      </c>
      <c r="X119" s="216">
        <v>-0.85899999999999999</v>
      </c>
      <c r="Y119" s="214">
        <v>-0.85899999999999999</v>
      </c>
      <c r="Z119" s="214">
        <v>-0.85899999999999999</v>
      </c>
      <c r="AA119" s="215">
        <v>-0.85899999999999999</v>
      </c>
      <c r="AB119" s="216">
        <v>-6.5</v>
      </c>
      <c r="AC119" s="214">
        <v>-6.5</v>
      </c>
      <c r="AD119" s="214">
        <v>-6.5</v>
      </c>
      <c r="AE119" s="215">
        <v>-6.5</v>
      </c>
      <c r="AF119" s="216">
        <v>0</v>
      </c>
      <c r="AG119" s="214">
        <v>0</v>
      </c>
      <c r="AH119" s="214">
        <v>0</v>
      </c>
      <c r="AI119" s="215">
        <v>-1.2310000000000001</v>
      </c>
      <c r="AJ119" s="216">
        <v>0</v>
      </c>
      <c r="AK119" s="214">
        <v>0</v>
      </c>
      <c r="AL119" s="214">
        <v>0</v>
      </c>
      <c r="AM119" s="215">
        <v>0</v>
      </c>
      <c r="AN119" s="216">
        <v>0</v>
      </c>
      <c r="AO119" s="214">
        <v>0</v>
      </c>
      <c r="AP119" s="214">
        <v>0</v>
      </c>
      <c r="AQ119" s="215">
        <v>0</v>
      </c>
      <c r="AR119" s="216">
        <v>0</v>
      </c>
      <c r="AS119" s="214">
        <v>0</v>
      </c>
      <c r="AT119" s="214">
        <v>0</v>
      </c>
      <c r="AU119" s="215">
        <v>0</v>
      </c>
      <c r="AV119" s="216">
        <v>0</v>
      </c>
      <c r="AW119" s="214">
        <v>0</v>
      </c>
      <c r="AX119" s="214">
        <v>0</v>
      </c>
      <c r="AY119" s="215">
        <v>0</v>
      </c>
      <c r="AZ119" s="216">
        <v>0</v>
      </c>
      <c r="BA119" s="214">
        <v>0</v>
      </c>
      <c r="BB119" s="214">
        <v>0</v>
      </c>
      <c r="BC119" s="215">
        <v>0</v>
      </c>
      <c r="BD119" s="216">
        <v>0</v>
      </c>
      <c r="BE119" s="211">
        <f t="shared" si="726"/>
        <v>0</v>
      </c>
      <c r="BF119" s="211">
        <f t="shared" si="727"/>
        <v>0</v>
      </c>
      <c r="BG119" s="212">
        <f t="shared" si="728"/>
        <v>0</v>
      </c>
      <c r="BH119" s="213">
        <f t="shared" si="729"/>
        <v>0</v>
      </c>
      <c r="BI119" s="211">
        <f t="shared" si="730"/>
        <v>0</v>
      </c>
      <c r="BJ119" s="211">
        <f t="shared" si="731"/>
        <v>0</v>
      </c>
      <c r="BK119" s="212">
        <f t="shared" si="732"/>
        <v>0</v>
      </c>
      <c r="BL119" s="213">
        <f t="shared" si="733"/>
        <v>0</v>
      </c>
      <c r="BM119" s="211">
        <f t="shared" si="734"/>
        <v>0</v>
      </c>
      <c r="BN119" s="211">
        <f t="shared" si="735"/>
        <v>0</v>
      </c>
      <c r="BO119" s="212">
        <f t="shared" si="736"/>
        <v>0</v>
      </c>
      <c r="BP119" s="176"/>
      <c r="BQ119" s="211">
        <f t="shared" ref="BQ119:BZ119" si="759">BQ17</f>
        <v>0</v>
      </c>
      <c r="BR119" s="211">
        <f t="shared" si="759"/>
        <v>-13.026999999999999</v>
      </c>
      <c r="BS119" s="211">
        <f t="shared" si="759"/>
        <v>-7.9189999999999996</v>
      </c>
      <c r="BT119" s="211">
        <f t="shared" si="759"/>
        <v>-248.328</v>
      </c>
      <c r="BU119" s="211">
        <f t="shared" si="759"/>
        <v>0</v>
      </c>
      <c r="BV119" s="211">
        <f t="shared" si="759"/>
        <v>-0.85899999999999999</v>
      </c>
      <c r="BW119" s="211">
        <f t="shared" si="759"/>
        <v>-6.5</v>
      </c>
      <c r="BX119" s="211">
        <f t="shared" si="759"/>
        <v>-1.2310000000000001</v>
      </c>
      <c r="BY119" s="211">
        <f t="shared" si="759"/>
        <v>0</v>
      </c>
      <c r="BZ119" s="211">
        <f t="shared" si="759"/>
        <v>0</v>
      </c>
      <c r="CA119" s="211">
        <f t="shared" si="738"/>
        <v>0</v>
      </c>
      <c r="CB119" s="211">
        <f t="shared" si="738"/>
        <v>0</v>
      </c>
      <c r="CC119" s="211">
        <f t="shared" si="739"/>
        <v>0</v>
      </c>
      <c r="CD119" s="211">
        <f t="shared" si="739"/>
        <v>0</v>
      </c>
      <c r="CE119" s="211">
        <f t="shared" ref="CE119:CF119" si="760">CE17</f>
        <v>0</v>
      </c>
      <c r="CF119" s="211">
        <f t="shared" si="760"/>
        <v>0</v>
      </c>
      <c r="CG119" s="23"/>
      <c r="CH119" s="213">
        <f t="shared" ref="CH119:CP119" si="761">CH17</f>
        <v>0</v>
      </c>
      <c r="CI119" s="211">
        <f t="shared" si="761"/>
        <v>-20.945999999999998</v>
      </c>
      <c r="CJ119" s="211">
        <f t="shared" si="761"/>
        <v>-246.983</v>
      </c>
      <c r="CK119" s="211">
        <f t="shared" si="761"/>
        <v>-1.3449999999999989</v>
      </c>
      <c r="CL119" s="211">
        <f t="shared" si="761"/>
        <v>-0.85899999999999999</v>
      </c>
      <c r="CM119" s="211">
        <f t="shared" si="761"/>
        <v>-6.5</v>
      </c>
      <c r="CN119" s="211">
        <f t="shared" si="761"/>
        <v>0</v>
      </c>
      <c r="CO119" s="211">
        <f t="shared" si="761"/>
        <v>-1.2310000000000001</v>
      </c>
      <c r="CP119" s="211">
        <f t="shared" si="761"/>
        <v>0</v>
      </c>
      <c r="CQ119" s="211">
        <f t="shared" si="742"/>
        <v>0</v>
      </c>
      <c r="CR119" s="211">
        <f t="shared" si="742"/>
        <v>0</v>
      </c>
      <c r="CS119" s="211">
        <f t="shared" si="743"/>
        <v>0</v>
      </c>
      <c r="CT119" s="211">
        <f t="shared" si="743"/>
        <v>0</v>
      </c>
      <c r="CU119" s="211">
        <f t="shared" ref="CU119" si="762">CU17</f>
        <v>0</v>
      </c>
      <c r="CV119" s="212">
        <f t="shared" ref="CV119" si="763">CV17</f>
        <v>0</v>
      </c>
      <c r="CW119" s="25"/>
    </row>
    <row r="120" spans="1:101" ht="14.25" hidden="1" customHeight="1" outlineLevel="1" collapsed="1">
      <c r="A120" s="8"/>
      <c r="B120" s="56" t="s">
        <v>257</v>
      </c>
      <c r="C120" s="57"/>
      <c r="D120" s="216">
        <v>0</v>
      </c>
      <c r="E120" s="214">
        <v>0</v>
      </c>
      <c r="F120" s="214">
        <v>0</v>
      </c>
      <c r="G120" s="215">
        <v>0</v>
      </c>
      <c r="H120" s="216">
        <v>0.45900000000000002</v>
      </c>
      <c r="I120" s="214">
        <v>0.45900000000000002</v>
      </c>
      <c r="J120" s="214">
        <v>0.45900000000000002</v>
      </c>
      <c r="K120" s="215">
        <v>0.45900000000000002</v>
      </c>
      <c r="L120" s="216">
        <v>0</v>
      </c>
      <c r="M120" s="214">
        <v>0</v>
      </c>
      <c r="N120" s="214">
        <v>0</v>
      </c>
      <c r="O120" s="215">
        <v>0.438</v>
      </c>
      <c r="P120" s="216">
        <v>0</v>
      </c>
      <c r="Q120" s="214">
        <v>0</v>
      </c>
      <c r="R120" s="214">
        <v>0</v>
      </c>
      <c r="S120" s="215">
        <v>0</v>
      </c>
      <c r="T120" s="216">
        <v>13.693</v>
      </c>
      <c r="U120" s="214">
        <v>13.768000000000001</v>
      </c>
      <c r="V120" s="214">
        <v>13.768000000000001</v>
      </c>
      <c r="W120" s="215">
        <v>15.468</v>
      </c>
      <c r="X120" s="216">
        <v>0.48699999999999999</v>
      </c>
      <c r="Y120" s="214">
        <v>0.48699999999999999</v>
      </c>
      <c r="Z120" s="214">
        <v>0.48699999999999999</v>
      </c>
      <c r="AA120" s="215">
        <v>0.48699999999999999</v>
      </c>
      <c r="AB120" s="216">
        <v>0</v>
      </c>
      <c r="AC120" s="214">
        <v>0</v>
      </c>
      <c r="AD120" s="214">
        <v>0</v>
      </c>
      <c r="AE120" s="215">
        <v>0</v>
      </c>
      <c r="AF120" s="216">
        <v>0</v>
      </c>
      <c r="AG120" s="214">
        <v>0</v>
      </c>
      <c r="AH120" s="214">
        <v>0.219</v>
      </c>
      <c r="AI120" s="215">
        <v>0.219</v>
      </c>
      <c r="AJ120" s="216">
        <v>0</v>
      </c>
      <c r="AK120" s="214">
        <v>0</v>
      </c>
      <c r="AL120" s="214">
        <v>0</v>
      </c>
      <c r="AM120" s="215">
        <v>0</v>
      </c>
      <c r="AN120" s="216">
        <v>0</v>
      </c>
      <c r="AO120" s="214">
        <v>0</v>
      </c>
      <c r="AP120" s="214">
        <v>0</v>
      </c>
      <c r="AQ120" s="215">
        <v>0</v>
      </c>
      <c r="AR120" s="216">
        <v>0</v>
      </c>
      <c r="AS120" s="214">
        <v>0</v>
      </c>
      <c r="AT120" s="214">
        <v>0</v>
      </c>
      <c r="AU120" s="215">
        <v>0</v>
      </c>
      <c r="AV120" s="216">
        <v>0</v>
      </c>
      <c r="AW120" s="214">
        <v>0</v>
      </c>
      <c r="AX120" s="214">
        <v>0</v>
      </c>
      <c r="AY120" s="215">
        <v>0</v>
      </c>
      <c r="AZ120" s="216">
        <v>0</v>
      </c>
      <c r="BA120" s="214">
        <v>0</v>
      </c>
      <c r="BB120" s="214">
        <v>0</v>
      </c>
      <c r="BC120" s="215">
        <v>0</v>
      </c>
      <c r="BD120" s="216">
        <f t="shared" ref="BD120:BD122" si="764">BD18</f>
        <v>0</v>
      </c>
      <c r="BE120" s="211">
        <f t="shared" si="726"/>
        <v>0</v>
      </c>
      <c r="BF120" s="211">
        <f t="shared" si="727"/>
        <v>0</v>
      </c>
      <c r="BG120" s="212">
        <f t="shared" si="728"/>
        <v>0</v>
      </c>
      <c r="BH120" s="213">
        <f t="shared" si="729"/>
        <v>0</v>
      </c>
      <c r="BI120" s="211">
        <f t="shared" si="730"/>
        <v>0</v>
      </c>
      <c r="BJ120" s="211">
        <f t="shared" si="731"/>
        <v>0</v>
      </c>
      <c r="BK120" s="212">
        <f t="shared" si="732"/>
        <v>0</v>
      </c>
      <c r="BL120" s="213">
        <f t="shared" si="733"/>
        <v>0</v>
      </c>
      <c r="BM120" s="211">
        <f t="shared" si="734"/>
        <v>0</v>
      </c>
      <c r="BN120" s="211">
        <f t="shared" si="735"/>
        <v>0</v>
      </c>
      <c r="BO120" s="212">
        <f t="shared" si="736"/>
        <v>0</v>
      </c>
      <c r="BP120" s="176"/>
      <c r="BQ120" s="211">
        <f t="shared" ref="BQ120:BZ120" si="765">BQ18</f>
        <v>0</v>
      </c>
      <c r="BR120" s="211">
        <f t="shared" si="765"/>
        <v>0.45900000000000002</v>
      </c>
      <c r="BS120" s="211">
        <f t="shared" si="765"/>
        <v>0.438</v>
      </c>
      <c r="BT120" s="211">
        <f t="shared" si="765"/>
        <v>0</v>
      </c>
      <c r="BU120" s="211">
        <f t="shared" si="765"/>
        <v>15.468</v>
      </c>
      <c r="BV120" s="211">
        <f t="shared" si="765"/>
        <v>0.48699999999999999</v>
      </c>
      <c r="BW120" s="211">
        <f t="shared" si="765"/>
        <v>0</v>
      </c>
      <c r="BX120" s="211">
        <f t="shared" si="765"/>
        <v>0.219</v>
      </c>
      <c r="BY120" s="211">
        <f t="shared" si="765"/>
        <v>0</v>
      </c>
      <c r="BZ120" s="211">
        <f t="shared" si="765"/>
        <v>0</v>
      </c>
      <c r="CA120" s="211">
        <f t="shared" si="738"/>
        <v>0</v>
      </c>
      <c r="CB120" s="211">
        <f t="shared" si="738"/>
        <v>0</v>
      </c>
      <c r="CC120" s="211">
        <f t="shared" si="739"/>
        <v>0</v>
      </c>
      <c r="CD120" s="211">
        <f t="shared" si="739"/>
        <v>0</v>
      </c>
      <c r="CE120" s="211">
        <f t="shared" ref="CE120:CF120" si="766">CE18</f>
        <v>0</v>
      </c>
      <c r="CF120" s="211">
        <f t="shared" si="766"/>
        <v>0</v>
      </c>
      <c r="CG120" s="23"/>
      <c r="CH120" s="213">
        <f t="shared" ref="CH120:CP120" si="767">CH18</f>
        <v>0.45900000000000002</v>
      </c>
      <c r="CI120" s="211">
        <f t="shared" si="767"/>
        <v>0</v>
      </c>
      <c r="CJ120" s="211">
        <f t="shared" si="767"/>
        <v>0.438</v>
      </c>
      <c r="CK120" s="211">
        <f t="shared" si="767"/>
        <v>13.693</v>
      </c>
      <c r="CL120" s="211">
        <f t="shared" si="767"/>
        <v>2.2620000000000005</v>
      </c>
      <c r="CM120" s="211">
        <f t="shared" si="767"/>
        <v>0</v>
      </c>
      <c r="CN120" s="211">
        <f t="shared" si="767"/>
        <v>0</v>
      </c>
      <c r="CO120" s="211">
        <f t="shared" si="767"/>
        <v>0.219</v>
      </c>
      <c r="CP120" s="211">
        <f t="shared" si="767"/>
        <v>0</v>
      </c>
      <c r="CQ120" s="211">
        <f t="shared" si="742"/>
        <v>0</v>
      </c>
      <c r="CR120" s="211">
        <f t="shared" si="742"/>
        <v>0</v>
      </c>
      <c r="CS120" s="211">
        <f t="shared" si="743"/>
        <v>0</v>
      </c>
      <c r="CT120" s="211">
        <f t="shared" si="743"/>
        <v>0</v>
      </c>
      <c r="CU120" s="211">
        <f t="shared" ref="CU120" si="768">CU18</f>
        <v>0</v>
      </c>
      <c r="CV120" s="212">
        <f t="shared" ref="CV120" si="769">CV18</f>
        <v>0</v>
      </c>
      <c r="CW120" s="25"/>
    </row>
    <row r="121" spans="1:101" ht="14.25" hidden="1" customHeight="1" outlineLevel="1">
      <c r="A121" s="11"/>
      <c r="B121" s="56" t="s">
        <v>255</v>
      </c>
      <c r="C121" s="57"/>
      <c r="D121" s="216">
        <v>0.71799999999999997</v>
      </c>
      <c r="E121" s="214">
        <v>0.751</v>
      </c>
      <c r="F121" s="214">
        <v>0.92400000000000004</v>
      </c>
      <c r="G121" s="215">
        <v>1.8220000000000001</v>
      </c>
      <c r="H121" s="216">
        <v>0.55700000000000005</v>
      </c>
      <c r="I121" s="214">
        <v>0.57999999999999996</v>
      </c>
      <c r="J121" s="214">
        <v>0.66400000000000003</v>
      </c>
      <c r="K121" s="215">
        <v>0.78400000000000003</v>
      </c>
      <c r="L121" s="216">
        <v>0.13400000000000001</v>
      </c>
      <c r="M121" s="214">
        <v>0.27800000000000002</v>
      </c>
      <c r="N121" s="214">
        <v>0.315</v>
      </c>
      <c r="O121" s="215">
        <v>0.85299999999999998</v>
      </c>
      <c r="P121" s="216">
        <v>-7.2999999999999995E-2</v>
      </c>
      <c r="Q121" s="214">
        <v>0.154</v>
      </c>
      <c r="R121" s="214">
        <v>1.306</v>
      </c>
      <c r="S121" s="215">
        <v>0.31</v>
      </c>
      <c r="T121" s="216">
        <v>0.20699999999999999</v>
      </c>
      <c r="U121" s="214">
        <v>0.52900000000000003</v>
      </c>
      <c r="V121" s="214">
        <v>1.2989999999999999</v>
      </c>
      <c r="W121" s="215">
        <v>1.663</v>
      </c>
      <c r="X121" s="216">
        <v>0.17799999999999999</v>
      </c>
      <c r="Y121" s="214">
        <v>0.34899999999999998</v>
      </c>
      <c r="Z121" s="214">
        <v>1.42</v>
      </c>
      <c r="AA121" s="215">
        <v>1.6619999999999999</v>
      </c>
      <c r="AB121" s="216">
        <v>0.16300000000000001</v>
      </c>
      <c r="AC121" s="214">
        <v>0.7</v>
      </c>
      <c r="AD121" s="214">
        <v>1.1850000000000001</v>
      </c>
      <c r="AE121" s="215">
        <v>0.83299999999999996</v>
      </c>
      <c r="AF121" s="216">
        <v>0.59099999999999997</v>
      </c>
      <c r="AG121" s="214">
        <v>-0.39</v>
      </c>
      <c r="AH121" s="214">
        <f>-1.77-1.231</f>
        <v>-3.0010000000000003</v>
      </c>
      <c r="AI121" s="215">
        <v>-3.1869999999999998</v>
      </c>
      <c r="AJ121" s="216">
        <v>-1.3620000000000001</v>
      </c>
      <c r="AK121" s="214">
        <f>+AJ121-0.02</f>
        <v>-1.3820000000000001</v>
      </c>
      <c r="AL121" s="214">
        <f>-1.072+10.205</f>
        <v>9.1329999999999991</v>
      </c>
      <c r="AM121" s="215">
        <v>-0.185</v>
      </c>
      <c r="AN121" s="216">
        <v>1.417</v>
      </c>
      <c r="AO121" s="214">
        <v>2.8170000000000002</v>
      </c>
      <c r="AP121" s="214">
        <v>3.823</v>
      </c>
      <c r="AQ121" s="215">
        <v>4.423</v>
      </c>
      <c r="AR121" s="216">
        <v>3.7429999999999999</v>
      </c>
      <c r="AS121" s="214">
        <v>5.5750000000000002</v>
      </c>
      <c r="AT121" s="214">
        <v>9.4019999999999992</v>
      </c>
      <c r="AU121" s="215">
        <v>6.9740000000000002</v>
      </c>
      <c r="AV121" s="216">
        <f>3.29+0.744</f>
        <v>4.0339999999999998</v>
      </c>
      <c r="AW121" s="214">
        <v>1.244</v>
      </c>
      <c r="AX121" s="214">
        <f>2.371+3.29</f>
        <v>5.6609999999999996</v>
      </c>
      <c r="AY121" s="215">
        <f>3.29+24.57</f>
        <v>27.86</v>
      </c>
      <c r="AZ121" s="216">
        <v>13.071</v>
      </c>
      <c r="BA121" s="214">
        <f>24.149+121.113</f>
        <v>145.262</v>
      </c>
      <c r="BB121" s="214">
        <f>-18.613+316.678</f>
        <v>298.065</v>
      </c>
      <c r="BC121" s="215">
        <f>-10.865+358.718</f>
        <v>347.85300000000001</v>
      </c>
      <c r="BD121" s="216">
        <v>6.7619999999999996</v>
      </c>
      <c r="BE121" s="211">
        <f t="shared" si="726"/>
        <v>6.7619999999999996</v>
      </c>
      <c r="BF121" s="211">
        <f t="shared" si="727"/>
        <v>6.7619999999999996</v>
      </c>
      <c r="BG121" s="212">
        <f t="shared" si="728"/>
        <v>6.7619999999999996</v>
      </c>
      <c r="BH121" s="213">
        <f t="shared" si="729"/>
        <v>0</v>
      </c>
      <c r="BI121" s="211">
        <f t="shared" si="730"/>
        <v>0</v>
      </c>
      <c r="BJ121" s="211">
        <f t="shared" si="731"/>
        <v>0</v>
      </c>
      <c r="BK121" s="212">
        <f t="shared" si="732"/>
        <v>0</v>
      </c>
      <c r="BL121" s="213">
        <f t="shared" si="733"/>
        <v>0</v>
      </c>
      <c r="BM121" s="211">
        <f t="shared" si="734"/>
        <v>0</v>
      </c>
      <c r="BN121" s="211">
        <f t="shared" si="735"/>
        <v>0</v>
      </c>
      <c r="BO121" s="212">
        <f t="shared" si="736"/>
        <v>0</v>
      </c>
      <c r="BP121" s="176"/>
      <c r="BQ121" s="211">
        <f t="shared" ref="BQ121:BZ121" si="770">BQ19</f>
        <v>1.8220000000000001</v>
      </c>
      <c r="BR121" s="211">
        <f t="shared" si="770"/>
        <v>0.78400000000000003</v>
      </c>
      <c r="BS121" s="211">
        <f t="shared" si="770"/>
        <v>0.85299999999999998</v>
      </c>
      <c r="BT121" s="211">
        <f t="shared" si="770"/>
        <v>0.31000000000000005</v>
      </c>
      <c r="BU121" s="211">
        <f t="shared" si="770"/>
        <v>1.663</v>
      </c>
      <c r="BV121" s="211">
        <f t="shared" si="770"/>
        <v>1.6619999999999999</v>
      </c>
      <c r="BW121" s="211">
        <f t="shared" si="770"/>
        <v>0.83299999999999996</v>
      </c>
      <c r="BX121" s="211">
        <f t="shared" si="770"/>
        <v>-3.1869999999999998</v>
      </c>
      <c r="BY121" s="211">
        <f t="shared" si="770"/>
        <v>-0.1850000000000005</v>
      </c>
      <c r="BZ121" s="211">
        <f t="shared" si="770"/>
        <v>4.423</v>
      </c>
      <c r="CA121" s="211">
        <f t="shared" si="738"/>
        <v>6.9740000000000002</v>
      </c>
      <c r="CB121" s="211">
        <f t="shared" si="738"/>
        <v>27.86</v>
      </c>
      <c r="CC121" s="211">
        <f t="shared" si="739"/>
        <v>347.85300000000001</v>
      </c>
      <c r="CD121" s="211">
        <f t="shared" si="739"/>
        <v>6.7619999999999996</v>
      </c>
      <c r="CE121" s="211">
        <f t="shared" ref="CE121:CF121" si="771">CE19</f>
        <v>0</v>
      </c>
      <c r="CF121" s="211">
        <f t="shared" si="771"/>
        <v>0</v>
      </c>
      <c r="CG121" s="176"/>
      <c r="CH121" s="213">
        <f t="shared" ref="CH121:CP121" si="772">CH19</f>
        <v>1.661</v>
      </c>
      <c r="CI121" s="211">
        <f t="shared" si="772"/>
        <v>0.36099999999999999</v>
      </c>
      <c r="CJ121" s="211">
        <f t="shared" si="772"/>
        <v>0.64600000000000013</v>
      </c>
      <c r="CK121" s="211">
        <f t="shared" si="772"/>
        <v>0.59</v>
      </c>
      <c r="CL121" s="211">
        <f t="shared" si="772"/>
        <v>1.6340000000000001</v>
      </c>
      <c r="CM121" s="211">
        <f t="shared" si="772"/>
        <v>1.647</v>
      </c>
      <c r="CN121" s="211">
        <f t="shared" si="772"/>
        <v>1.2609999999999999</v>
      </c>
      <c r="CO121" s="211">
        <f t="shared" si="772"/>
        <v>-5.14</v>
      </c>
      <c r="CP121" s="211">
        <f t="shared" si="772"/>
        <v>2.5939999999999994</v>
      </c>
      <c r="CQ121" s="211">
        <f t="shared" si="742"/>
        <v>6.7489999999999988</v>
      </c>
      <c r="CR121" s="211">
        <f t="shared" si="742"/>
        <v>7.2650000000000006</v>
      </c>
      <c r="CS121" s="211">
        <f t="shared" si="743"/>
        <v>36.896999999999998</v>
      </c>
      <c r="CT121" s="211">
        <f t="shared" ref="CT121:CV122" si="773">CT19</f>
        <v>341.54400000000004</v>
      </c>
      <c r="CU121" s="211">
        <f t="shared" si="773"/>
        <v>0</v>
      </c>
      <c r="CV121" s="212">
        <f t="shared" si="773"/>
        <v>0</v>
      </c>
      <c r="CW121" s="26"/>
    </row>
    <row r="122" spans="1:101" ht="14.25" hidden="1" customHeight="1" outlineLevel="1">
      <c r="A122" s="8"/>
      <c r="B122" s="56" t="s">
        <v>254</v>
      </c>
      <c r="C122" s="57"/>
      <c r="D122" s="216">
        <v>0</v>
      </c>
      <c r="E122" s="214">
        <v>0</v>
      </c>
      <c r="F122" s="214">
        <v>0</v>
      </c>
      <c r="G122" s="215">
        <v>50.374000000000002</v>
      </c>
      <c r="H122" s="216">
        <v>0</v>
      </c>
      <c r="I122" s="214">
        <v>-14.736000000000001</v>
      </c>
      <c r="J122" s="214">
        <v>-155.95599999999999</v>
      </c>
      <c r="K122" s="215">
        <v>-181.178</v>
      </c>
      <c r="L122" s="216">
        <v>-6.4669999999999996</v>
      </c>
      <c r="M122" s="214">
        <v>-21.494</v>
      </c>
      <c r="N122" s="214">
        <v>-25.053000000000001</v>
      </c>
      <c r="O122" s="215">
        <v>-40.871000000000002</v>
      </c>
      <c r="P122" s="216">
        <v>-6.71</v>
      </c>
      <c r="Q122" s="214">
        <v>-9.8840000000000003</v>
      </c>
      <c r="R122" s="214">
        <v>-12.967000000000001</v>
      </c>
      <c r="S122" s="215">
        <v>-18.585999999999999</v>
      </c>
      <c r="T122" s="216">
        <v>0</v>
      </c>
      <c r="U122" s="214">
        <v>-5.0000000000000001E-3</v>
      </c>
      <c r="V122" s="214">
        <v>-5.0000000000000001E-3</v>
      </c>
      <c r="W122" s="215">
        <v>-0.02</v>
      </c>
      <c r="X122" s="216">
        <v>-5.2999999999999999E-2</v>
      </c>
      <c r="Y122" s="214">
        <v>-0.125</v>
      </c>
      <c r="Z122" s="214">
        <v>-0.153</v>
      </c>
      <c r="AA122" s="215">
        <v>-0.317</v>
      </c>
      <c r="AB122" s="216">
        <v>-3.6070000000000002</v>
      </c>
      <c r="AC122" s="214">
        <v>-36.014000000000003</v>
      </c>
      <c r="AD122" s="214">
        <v>-37.295999999999999</v>
      </c>
      <c r="AE122" s="215">
        <v>-44.936</v>
      </c>
      <c r="AF122" s="216">
        <v>-1.8959999999999999</v>
      </c>
      <c r="AG122" s="214">
        <v>-4.4980000000000002</v>
      </c>
      <c r="AH122" s="214">
        <v>-9.5519999999999996</v>
      </c>
      <c r="AI122" s="215">
        <v>-12.23</v>
      </c>
      <c r="AJ122" s="216">
        <v>-5.9749999999999996</v>
      </c>
      <c r="AK122" s="214">
        <f>+AJ122-2.833</f>
        <v>-8.8079999999999998</v>
      </c>
      <c r="AL122" s="214">
        <v>-15.073</v>
      </c>
      <c r="AM122" s="215">
        <v>-16.170999999999999</v>
      </c>
      <c r="AN122" s="216">
        <v>-7.6040000000000001</v>
      </c>
      <c r="AO122" s="214">
        <v>-12.026999999999999</v>
      </c>
      <c r="AP122" s="214">
        <v>-21.349</v>
      </c>
      <c r="AQ122" s="215">
        <v>-22.231000000000002</v>
      </c>
      <c r="AR122" s="216">
        <v>-4.6349999999999998</v>
      </c>
      <c r="AS122" s="214">
        <v>-15.776999999999999</v>
      </c>
      <c r="AT122" s="214">
        <v>-22.15</v>
      </c>
      <c r="AU122" s="215">
        <v>-25.045000000000002</v>
      </c>
      <c r="AV122" s="216">
        <v>-0.98599999999999999</v>
      </c>
      <c r="AW122" s="214">
        <v>-4.1980000000000004</v>
      </c>
      <c r="AX122" s="214">
        <v>-7.18</v>
      </c>
      <c r="AY122" s="215">
        <v>-10.452999999999999</v>
      </c>
      <c r="AZ122" s="216">
        <v>-8.1020000000000003</v>
      </c>
      <c r="BA122" s="214">
        <v>-25.952999999999999</v>
      </c>
      <c r="BB122" s="214">
        <v>-30.234999999999999</v>
      </c>
      <c r="BC122" s="215">
        <v>-41.773000000000003</v>
      </c>
      <c r="BD122" s="216">
        <f t="shared" si="764"/>
        <v>0</v>
      </c>
      <c r="BE122" s="211">
        <f t="shared" si="726"/>
        <v>0</v>
      </c>
      <c r="BF122" s="211">
        <f t="shared" si="727"/>
        <v>0</v>
      </c>
      <c r="BG122" s="212">
        <f t="shared" si="728"/>
        <v>0</v>
      </c>
      <c r="BH122" s="213">
        <f t="shared" si="729"/>
        <v>0</v>
      </c>
      <c r="BI122" s="211">
        <f t="shared" si="730"/>
        <v>0</v>
      </c>
      <c r="BJ122" s="211">
        <f t="shared" si="731"/>
        <v>0</v>
      </c>
      <c r="BK122" s="212">
        <f t="shared" si="732"/>
        <v>0</v>
      </c>
      <c r="BL122" s="213">
        <f t="shared" si="733"/>
        <v>0</v>
      </c>
      <c r="BM122" s="211">
        <f t="shared" si="734"/>
        <v>0</v>
      </c>
      <c r="BN122" s="211">
        <f t="shared" si="735"/>
        <v>0</v>
      </c>
      <c r="BO122" s="212">
        <f t="shared" si="736"/>
        <v>0</v>
      </c>
      <c r="BP122" s="176"/>
      <c r="BQ122" s="211">
        <f t="shared" ref="BQ122:BZ122" si="774">BQ20</f>
        <v>50.374000000000002</v>
      </c>
      <c r="BR122" s="211">
        <f t="shared" si="774"/>
        <v>-181.178</v>
      </c>
      <c r="BS122" s="211">
        <f t="shared" si="774"/>
        <v>-40.871000000000009</v>
      </c>
      <c r="BT122" s="211">
        <f t="shared" si="774"/>
        <v>-18.585999999999999</v>
      </c>
      <c r="BU122" s="211">
        <f t="shared" si="774"/>
        <v>-0.02</v>
      </c>
      <c r="BV122" s="211">
        <f t="shared" si="774"/>
        <v>-0.31700000000000006</v>
      </c>
      <c r="BW122" s="211">
        <f t="shared" si="774"/>
        <v>-44.936</v>
      </c>
      <c r="BX122" s="211">
        <f t="shared" si="774"/>
        <v>-12.23</v>
      </c>
      <c r="BY122" s="211">
        <f t="shared" si="774"/>
        <v>-16.170999999999999</v>
      </c>
      <c r="BZ122" s="211">
        <f t="shared" si="774"/>
        <v>-22.231000000000005</v>
      </c>
      <c r="CA122" s="211">
        <f t="shared" si="738"/>
        <v>-25.045000000000002</v>
      </c>
      <c r="CB122" s="211">
        <f t="shared" si="738"/>
        <v>-10.452999999999999</v>
      </c>
      <c r="CC122" s="211">
        <f t="shared" si="739"/>
        <v>-41.772999999999996</v>
      </c>
      <c r="CD122" s="211">
        <f t="shared" si="739"/>
        <v>0</v>
      </c>
      <c r="CE122" s="211">
        <f t="shared" ref="CE122:CF122" si="775">CE20</f>
        <v>0</v>
      </c>
      <c r="CF122" s="211">
        <f t="shared" si="775"/>
        <v>0</v>
      </c>
      <c r="CG122" s="23"/>
      <c r="CH122" s="213">
        <f t="shared" ref="CH122:CP122" si="776">CH20</f>
        <v>50.374000000000002</v>
      </c>
      <c r="CI122" s="211">
        <f t="shared" si="776"/>
        <v>-187.64500000000001</v>
      </c>
      <c r="CJ122" s="211">
        <f t="shared" si="776"/>
        <v>-41.114000000000011</v>
      </c>
      <c r="CK122" s="211">
        <f t="shared" si="776"/>
        <v>-11.876000000000001</v>
      </c>
      <c r="CL122" s="211">
        <f t="shared" si="776"/>
        <v>-7.2999999999999995E-2</v>
      </c>
      <c r="CM122" s="211">
        <f t="shared" si="776"/>
        <v>-3.8710000000000004</v>
      </c>
      <c r="CN122" s="211">
        <f t="shared" si="776"/>
        <v>-43.225000000000001</v>
      </c>
      <c r="CO122" s="211">
        <f t="shared" si="776"/>
        <v>-16.308999999999997</v>
      </c>
      <c r="CP122" s="211">
        <f t="shared" si="776"/>
        <v>-17.8</v>
      </c>
      <c r="CQ122" s="211">
        <f t="shared" si="742"/>
        <v>-19.262</v>
      </c>
      <c r="CR122" s="211">
        <f t="shared" si="742"/>
        <v>-21.396000000000004</v>
      </c>
      <c r="CS122" s="211">
        <f t="shared" si="743"/>
        <v>-17.568999999999999</v>
      </c>
      <c r="CT122" s="211">
        <f t="shared" si="773"/>
        <v>-33.670999999999999</v>
      </c>
      <c r="CU122" s="211">
        <f t="shared" si="773"/>
        <v>0</v>
      </c>
      <c r="CV122" s="212">
        <f t="shared" si="773"/>
        <v>0</v>
      </c>
      <c r="CW122" s="25"/>
    </row>
    <row r="123" spans="1:101" ht="14.25" hidden="1" customHeight="1" outlineLevel="1">
      <c r="A123" s="8"/>
      <c r="B123" s="56" t="s">
        <v>219</v>
      </c>
      <c r="C123" s="57"/>
      <c r="D123" s="216">
        <v>0.77800000000000002</v>
      </c>
      <c r="E123" s="214">
        <v>7.2009999999999996</v>
      </c>
      <c r="F123" s="214">
        <v>8.9369999999999994</v>
      </c>
      <c r="G123" s="215">
        <v>14.603999999999999</v>
      </c>
      <c r="H123" s="216">
        <v>-15.625</v>
      </c>
      <c r="I123" s="214">
        <v>-20.401</v>
      </c>
      <c r="J123" s="214">
        <v>-32.386000000000003</v>
      </c>
      <c r="K123" s="215">
        <v>-28.454000000000001</v>
      </c>
      <c r="L123" s="216">
        <v>2.4329999999999998</v>
      </c>
      <c r="M123" s="214">
        <v>-5.3179999999999996</v>
      </c>
      <c r="N123" s="214">
        <v>-10.574</v>
      </c>
      <c r="O123" s="215">
        <v>-2.85</v>
      </c>
      <c r="P123" s="216">
        <v>1.7999999999999999E-2</v>
      </c>
      <c r="Q123" s="214">
        <v>-2.847</v>
      </c>
      <c r="R123" s="214">
        <v>-7.66</v>
      </c>
      <c r="S123" s="215">
        <v>-11.369</v>
      </c>
      <c r="T123" s="216">
        <v>-15.925000000000001</v>
      </c>
      <c r="U123" s="214">
        <v>-1.9339999999999999</v>
      </c>
      <c r="V123" s="214">
        <v>-0.221</v>
      </c>
      <c r="W123" s="215">
        <v>11.595000000000001</v>
      </c>
      <c r="X123" s="216">
        <v>5.5970000000000004</v>
      </c>
      <c r="Y123" s="214">
        <v>-8.4779999999999998</v>
      </c>
      <c r="Z123" s="214">
        <v>-16.233000000000001</v>
      </c>
      <c r="AA123" s="215">
        <v>-9.8659999999999997</v>
      </c>
      <c r="AB123" s="216">
        <v>-2.3050000000000002</v>
      </c>
      <c r="AC123" s="214">
        <v>-11.638999999999999</v>
      </c>
      <c r="AD123" s="214">
        <v>-6.9889999999999999</v>
      </c>
      <c r="AE123" s="215">
        <v>1.704</v>
      </c>
      <c r="AF123" s="216">
        <v>3.6230000000000002</v>
      </c>
      <c r="AG123" s="214">
        <v>-4.1390000000000002</v>
      </c>
      <c r="AH123" s="214">
        <v>-4.1050000000000004</v>
      </c>
      <c r="AI123" s="215">
        <v>-9.8010000000000002</v>
      </c>
      <c r="AJ123" s="216">
        <v>-9.6349999999999998</v>
      </c>
      <c r="AK123" s="214">
        <f>+AJ123-0.767</f>
        <v>-10.401999999999999</v>
      </c>
      <c r="AL123" s="214">
        <v>-11.141</v>
      </c>
      <c r="AM123" s="215">
        <v>-17.699000000000002</v>
      </c>
      <c r="AN123" s="216">
        <v>-2.9929999999999999</v>
      </c>
      <c r="AO123" s="214">
        <v>-1.925</v>
      </c>
      <c r="AP123" s="214">
        <v>-8.3049999999999997</v>
      </c>
      <c r="AQ123" s="215">
        <v>-77.710999999999999</v>
      </c>
      <c r="AR123" s="216">
        <v>-2.915</v>
      </c>
      <c r="AS123" s="214">
        <v>-9.3960000000000008</v>
      </c>
      <c r="AT123" s="214">
        <v>-26.564</v>
      </c>
      <c r="AU123" s="215">
        <v>-52.213999999999999</v>
      </c>
      <c r="AV123" s="216">
        <v>-7.7169999999999996</v>
      </c>
      <c r="AW123" s="214">
        <v>-7.1779999999999999</v>
      </c>
      <c r="AX123" s="214">
        <v>5.0720000000000001</v>
      </c>
      <c r="AY123" s="215">
        <v>8.1240000000000006</v>
      </c>
      <c r="AZ123" s="216">
        <v>-7.0549999999999997</v>
      </c>
      <c r="BA123" s="214">
        <v>-87.034999999999997</v>
      </c>
      <c r="BB123" s="214">
        <v>11.475</v>
      </c>
      <c r="BC123" s="215">
        <v>-825.86900000000003</v>
      </c>
      <c r="BD123" s="216">
        <v>-691.49599999999998</v>
      </c>
      <c r="BE123" s="211">
        <f t="shared" si="726"/>
        <v>-691.49599999999998</v>
      </c>
      <c r="BF123" s="211">
        <f t="shared" si="727"/>
        <v>-691.49599999999998</v>
      </c>
      <c r="BG123" s="212">
        <f t="shared" si="728"/>
        <v>-691.49599999999998</v>
      </c>
      <c r="BH123" s="213">
        <f t="shared" si="729"/>
        <v>0</v>
      </c>
      <c r="BI123" s="211">
        <f t="shared" si="730"/>
        <v>0</v>
      </c>
      <c r="BJ123" s="211">
        <f t="shared" si="731"/>
        <v>0</v>
      </c>
      <c r="BK123" s="212">
        <f t="shared" si="732"/>
        <v>0</v>
      </c>
      <c r="BL123" s="213">
        <f t="shared" si="733"/>
        <v>0</v>
      </c>
      <c r="BM123" s="211">
        <f t="shared" si="734"/>
        <v>0</v>
      </c>
      <c r="BN123" s="211">
        <f t="shared" si="735"/>
        <v>0</v>
      </c>
      <c r="BO123" s="212">
        <f t="shared" si="736"/>
        <v>0</v>
      </c>
      <c r="BP123" s="176"/>
      <c r="BQ123" s="211">
        <f t="shared" ref="BQ123:BZ123" si="777">BQ21</f>
        <v>14.603999999999999</v>
      </c>
      <c r="BR123" s="211">
        <f t="shared" si="777"/>
        <v>-28.454000000000001</v>
      </c>
      <c r="BS123" s="211">
        <f t="shared" si="777"/>
        <v>-2.8499999999999996</v>
      </c>
      <c r="BT123" s="211">
        <f t="shared" si="777"/>
        <v>-11.369</v>
      </c>
      <c r="BU123" s="211">
        <f t="shared" si="777"/>
        <v>11.595000000000001</v>
      </c>
      <c r="BV123" s="211">
        <f t="shared" si="777"/>
        <v>-9.8659999999999997</v>
      </c>
      <c r="BW123" s="211">
        <f t="shared" si="777"/>
        <v>1.7040000000000006</v>
      </c>
      <c r="BX123" s="211">
        <f t="shared" si="777"/>
        <v>-9.8010000000000019</v>
      </c>
      <c r="BY123" s="211">
        <f t="shared" si="777"/>
        <v>-17.699000000000002</v>
      </c>
      <c r="BZ123" s="211">
        <f t="shared" si="777"/>
        <v>-77.711000000000013</v>
      </c>
      <c r="CA123" s="211">
        <f t="shared" si="738"/>
        <v>-52.213999999999999</v>
      </c>
      <c r="CB123" s="211">
        <f t="shared" si="738"/>
        <v>8.1240000000000006</v>
      </c>
      <c r="CC123" s="211">
        <f t="shared" si="739"/>
        <v>-825.86900000000003</v>
      </c>
      <c r="CD123" s="211">
        <f t="shared" si="739"/>
        <v>-691.49599999999998</v>
      </c>
      <c r="CE123" s="211">
        <f t="shared" ref="CE123:CF123" si="778">CE21</f>
        <v>0</v>
      </c>
      <c r="CF123" s="211">
        <f t="shared" si="778"/>
        <v>0</v>
      </c>
      <c r="CG123" s="23"/>
      <c r="CH123" s="213">
        <f t="shared" ref="CH123:CP123" si="779">CH21</f>
        <v>-1.7990000000000013</v>
      </c>
      <c r="CI123" s="211">
        <f t="shared" si="779"/>
        <v>-10.396000000000001</v>
      </c>
      <c r="CJ123" s="211">
        <f t="shared" si="779"/>
        <v>-5.2649999999999997</v>
      </c>
      <c r="CK123" s="211">
        <f t="shared" si="779"/>
        <v>-27.311999999999998</v>
      </c>
      <c r="CL123" s="211">
        <f t="shared" si="779"/>
        <v>33.117000000000004</v>
      </c>
      <c r="CM123" s="211">
        <f t="shared" si="779"/>
        <v>-17.768000000000001</v>
      </c>
      <c r="CN123" s="211">
        <f t="shared" si="779"/>
        <v>7.6320000000000006</v>
      </c>
      <c r="CO123" s="211">
        <f t="shared" si="779"/>
        <v>-23.059000000000001</v>
      </c>
      <c r="CP123" s="211">
        <f t="shared" si="779"/>
        <v>-11.057000000000002</v>
      </c>
      <c r="CQ123" s="211">
        <f t="shared" si="742"/>
        <v>-77.63300000000001</v>
      </c>
      <c r="CR123" s="211">
        <f t="shared" si="742"/>
        <v>-57.015999999999998</v>
      </c>
      <c r="CS123" s="211">
        <f t="shared" si="743"/>
        <v>8.7860000000000014</v>
      </c>
      <c r="CT123" s="211">
        <f t="shared" si="743"/>
        <v>-1510.31</v>
      </c>
      <c r="CU123" s="211">
        <f t="shared" ref="CU123" si="780">CU21</f>
        <v>0</v>
      </c>
      <c r="CV123" s="212">
        <f t="shared" ref="CV123" si="781">CV21</f>
        <v>0</v>
      </c>
      <c r="CW123" s="25"/>
    </row>
    <row r="124" spans="1:101" ht="14.25" hidden="1" customHeight="1" outlineLevel="1">
      <c r="A124" s="8"/>
      <c r="B124" s="31" t="s">
        <v>119</v>
      </c>
      <c r="C124" s="32"/>
      <c r="D124" s="216"/>
      <c r="E124" s="214"/>
      <c r="F124" s="214"/>
      <c r="G124" s="215"/>
      <c r="H124" s="216"/>
      <c r="I124" s="214"/>
      <c r="J124" s="214"/>
      <c r="K124" s="215"/>
      <c r="L124" s="216"/>
      <c r="M124" s="214"/>
      <c r="N124" s="214"/>
      <c r="O124" s="215"/>
      <c r="P124" s="216"/>
      <c r="Q124" s="214"/>
      <c r="R124" s="214"/>
      <c r="S124" s="215"/>
      <c r="T124" s="216"/>
      <c r="U124" s="214"/>
      <c r="V124" s="214"/>
      <c r="W124" s="215"/>
      <c r="X124" s="216"/>
      <c r="Y124" s="214"/>
      <c r="Z124" s="214"/>
      <c r="AA124" s="215"/>
      <c r="AB124" s="379"/>
      <c r="AC124" s="380"/>
      <c r="AD124" s="380"/>
      <c r="AE124" s="215"/>
      <c r="AF124" s="379"/>
      <c r="AG124" s="214"/>
      <c r="AH124" s="214"/>
      <c r="AI124" s="212"/>
      <c r="AJ124" s="213"/>
      <c r="AK124" s="211"/>
      <c r="AL124" s="214"/>
      <c r="AM124" s="212"/>
      <c r="AN124" s="213"/>
      <c r="AO124" s="211"/>
      <c r="AP124" s="211"/>
      <c r="AQ124" s="212"/>
      <c r="AR124" s="213"/>
      <c r="AS124" s="211"/>
      <c r="AT124" s="211"/>
      <c r="AU124" s="212"/>
      <c r="AV124" s="213"/>
      <c r="AW124" s="211"/>
      <c r="AX124" s="211"/>
      <c r="AY124" s="212"/>
      <c r="AZ124" s="213"/>
      <c r="BA124" s="211"/>
      <c r="BB124" s="211"/>
      <c r="BC124" s="212"/>
      <c r="BD124" s="213"/>
      <c r="BE124" s="211"/>
      <c r="BF124" s="211"/>
      <c r="BG124" s="212"/>
      <c r="BH124" s="213"/>
      <c r="BI124" s="211"/>
      <c r="BJ124" s="211"/>
      <c r="BK124" s="212"/>
      <c r="BL124" s="213"/>
      <c r="BM124" s="211"/>
      <c r="BN124" s="211"/>
      <c r="BO124" s="212"/>
      <c r="BP124" s="176"/>
      <c r="BQ124" s="211"/>
      <c r="BR124" s="211"/>
      <c r="BS124" s="211"/>
      <c r="BT124" s="211"/>
      <c r="BU124" s="211"/>
      <c r="BV124" s="211"/>
      <c r="BW124" s="211"/>
      <c r="BX124" s="211"/>
      <c r="BY124" s="211"/>
      <c r="BZ124" s="211"/>
      <c r="CA124" s="211"/>
      <c r="CB124" s="211"/>
      <c r="CC124" s="211"/>
      <c r="CD124" s="211"/>
      <c r="CE124" s="211"/>
      <c r="CF124" s="211"/>
      <c r="CG124" s="23"/>
      <c r="CH124" s="213"/>
      <c r="CI124" s="211"/>
      <c r="CJ124" s="211"/>
      <c r="CK124" s="211"/>
      <c r="CL124" s="211"/>
      <c r="CM124" s="211"/>
      <c r="CN124" s="211"/>
      <c r="CO124" s="211"/>
      <c r="CP124" s="211"/>
      <c r="CQ124" s="211"/>
      <c r="CR124" s="211"/>
      <c r="CS124" s="211"/>
      <c r="CT124" s="211"/>
      <c r="CU124" s="211"/>
      <c r="CV124" s="212"/>
      <c r="CW124" s="25"/>
    </row>
    <row r="125" spans="1:101" ht="14.25" hidden="1" customHeight="1" outlineLevel="1">
      <c r="A125" s="8"/>
      <c r="B125" s="56" t="s">
        <v>120</v>
      </c>
      <c r="C125" s="57"/>
      <c r="D125" s="216">
        <v>0</v>
      </c>
      <c r="E125" s="214">
        <v>0</v>
      </c>
      <c r="F125" s="214">
        <v>0</v>
      </c>
      <c r="G125" s="215">
        <v>5.298</v>
      </c>
      <c r="H125" s="216">
        <v>0</v>
      </c>
      <c r="I125" s="214">
        <v>0</v>
      </c>
      <c r="J125" s="214">
        <v>0</v>
      </c>
      <c r="K125" s="215">
        <v>-6.7050000000000001</v>
      </c>
      <c r="L125" s="216">
        <v>0</v>
      </c>
      <c r="M125" s="214">
        <v>0</v>
      </c>
      <c r="N125" s="214">
        <v>0</v>
      </c>
      <c r="O125" s="215">
        <v>-27.010999999999999</v>
      </c>
      <c r="P125" s="216">
        <v>0</v>
      </c>
      <c r="Q125" s="214">
        <v>0</v>
      </c>
      <c r="R125" s="214">
        <v>0</v>
      </c>
      <c r="S125" s="215">
        <v>48.902999999999999</v>
      </c>
      <c r="T125" s="216">
        <v>0</v>
      </c>
      <c r="U125" s="214">
        <v>0</v>
      </c>
      <c r="V125" s="214">
        <v>0</v>
      </c>
      <c r="W125" s="215">
        <v>16.561</v>
      </c>
      <c r="X125" s="216">
        <v>0</v>
      </c>
      <c r="Y125" s="214">
        <v>0</v>
      </c>
      <c r="Z125" s="214">
        <v>0</v>
      </c>
      <c r="AA125" s="215">
        <v>-82.38</v>
      </c>
      <c r="AB125" s="216">
        <v>0</v>
      </c>
      <c r="AC125" s="214">
        <v>0</v>
      </c>
      <c r="AD125" s="214">
        <v>0</v>
      </c>
      <c r="AE125" s="215">
        <v>40.024999999999999</v>
      </c>
      <c r="AF125" s="216">
        <v>0</v>
      </c>
      <c r="AG125" s="214">
        <v>0</v>
      </c>
      <c r="AH125" s="214">
        <v>0</v>
      </c>
      <c r="AI125" s="215">
        <v>0</v>
      </c>
      <c r="AJ125" s="216">
        <v>0</v>
      </c>
      <c r="AK125" s="214">
        <v>0</v>
      </c>
      <c r="AL125" s="214">
        <v>0</v>
      </c>
      <c r="AM125" s="215">
        <v>0</v>
      </c>
      <c r="AN125" s="216">
        <v>0</v>
      </c>
      <c r="AO125" s="214">
        <v>0</v>
      </c>
      <c r="AP125" s="214">
        <v>0</v>
      </c>
      <c r="AQ125" s="215">
        <v>0</v>
      </c>
      <c r="AR125" s="216">
        <v>0</v>
      </c>
      <c r="AS125" s="214">
        <v>0</v>
      </c>
      <c r="AT125" s="214">
        <v>0</v>
      </c>
      <c r="AU125" s="215">
        <v>0</v>
      </c>
      <c r="AV125" s="216">
        <v>0</v>
      </c>
      <c r="AW125" s="214">
        <v>0</v>
      </c>
      <c r="AX125" s="214">
        <v>0</v>
      </c>
      <c r="AY125" s="215">
        <v>0</v>
      </c>
      <c r="AZ125" s="216">
        <v>0</v>
      </c>
      <c r="BA125" s="214">
        <v>0</v>
      </c>
      <c r="BB125" s="214">
        <v>0</v>
      </c>
      <c r="BC125" s="215">
        <v>0</v>
      </c>
      <c r="BD125" s="216">
        <v>0</v>
      </c>
      <c r="BE125" s="211">
        <f t="shared" ref="BE125:BE132" si="782">BD125+BE23</f>
        <v>22.550270967122401</v>
      </c>
      <c r="BF125" s="211">
        <f t="shared" ref="BF125:BF132" si="783">BE125+BF23</f>
        <v>2.3996097197980362</v>
      </c>
      <c r="BG125" s="212">
        <f t="shared" ref="BG125:BG132" si="784">BF125+BG23</f>
        <v>-20.951017422610676</v>
      </c>
      <c r="BH125" s="213">
        <f t="shared" ref="BH125:BH132" si="785">BH23</f>
        <v>22.604239628428672</v>
      </c>
      <c r="BI125" s="211">
        <f t="shared" ref="BI125:BI132" si="786">BH125+BI23</f>
        <v>-9.7695980142667622</v>
      </c>
      <c r="BJ125" s="211">
        <f t="shared" ref="BJ125:BJ132" si="787">BI125+BJ23</f>
        <v>-36.923522990128731</v>
      </c>
      <c r="BK125" s="212">
        <f t="shared" ref="BK125:BK132" si="788">BJ125+BK23</f>
        <v>-68.921774886471667</v>
      </c>
      <c r="BL125" s="213">
        <f t="shared" ref="BL125:BL132" si="789">BL23</f>
        <v>41.555492324360785</v>
      </c>
      <c r="BM125" s="211">
        <f t="shared" ref="BM125:BM132" si="790">BL125+BM23</f>
        <v>9.4759706030146162</v>
      </c>
      <c r="BN125" s="211">
        <f t="shared" ref="BN125:BN132" si="791">BM125+BN23</f>
        <v>-15.456365199864535</v>
      </c>
      <c r="BO125" s="212">
        <f t="shared" ref="BO125:BO132" si="792">BN125+BO23</f>
        <v>-44.395805260916518</v>
      </c>
      <c r="BP125" s="176"/>
      <c r="BQ125" s="211">
        <f t="shared" ref="BQ125:BZ125" si="793">BQ23</f>
        <v>5.298</v>
      </c>
      <c r="BR125" s="211">
        <f t="shared" si="793"/>
        <v>-6.7050000000000001</v>
      </c>
      <c r="BS125" s="211">
        <f t="shared" si="793"/>
        <v>-27.010999999999999</v>
      </c>
      <c r="BT125" s="211">
        <f t="shared" si="793"/>
        <v>48.902999999999999</v>
      </c>
      <c r="BU125" s="211">
        <f t="shared" si="793"/>
        <v>16.561</v>
      </c>
      <c r="BV125" s="211">
        <f t="shared" si="793"/>
        <v>-82.38</v>
      </c>
      <c r="BW125" s="211">
        <f t="shared" si="793"/>
        <v>40.024999999999999</v>
      </c>
      <c r="BX125" s="211">
        <f t="shared" si="793"/>
        <v>0</v>
      </c>
      <c r="BY125" s="211">
        <f t="shared" si="793"/>
        <v>0</v>
      </c>
      <c r="BZ125" s="211">
        <f t="shared" si="793"/>
        <v>0</v>
      </c>
      <c r="CA125" s="211">
        <f t="shared" ref="CA125:CB132" si="794">CA23</f>
        <v>0</v>
      </c>
      <c r="CB125" s="211">
        <f t="shared" si="794"/>
        <v>0</v>
      </c>
      <c r="CC125" s="211">
        <f t="shared" ref="CC125:CD132" si="795">CC23</f>
        <v>0</v>
      </c>
      <c r="CD125" s="211">
        <f t="shared" si="795"/>
        <v>-20.951017422610676</v>
      </c>
      <c r="CE125" s="211">
        <f t="shared" ref="CE125:CF125" si="796">CE23</f>
        <v>-68.921774886471667</v>
      </c>
      <c r="CF125" s="211">
        <f t="shared" si="796"/>
        <v>-44.395805260916518</v>
      </c>
      <c r="CG125" s="23"/>
      <c r="CH125" s="213">
        <f t="shared" ref="CH125:CP125" si="797">CH23</f>
        <v>5.298</v>
      </c>
      <c r="CI125" s="211">
        <f t="shared" si="797"/>
        <v>-6.7050000000000001</v>
      </c>
      <c r="CJ125" s="211">
        <f t="shared" si="797"/>
        <v>-27.010999999999999</v>
      </c>
      <c r="CK125" s="211">
        <f t="shared" si="797"/>
        <v>48.902999999999999</v>
      </c>
      <c r="CL125" s="211">
        <f t="shared" si="797"/>
        <v>16.561</v>
      </c>
      <c r="CM125" s="211">
        <f t="shared" si="797"/>
        <v>-82.38</v>
      </c>
      <c r="CN125" s="211">
        <f t="shared" si="797"/>
        <v>40.024999999999999</v>
      </c>
      <c r="CO125" s="211">
        <f t="shared" si="797"/>
        <v>0</v>
      </c>
      <c r="CP125" s="211">
        <f t="shared" si="797"/>
        <v>0</v>
      </c>
      <c r="CQ125" s="211">
        <f t="shared" ref="CQ125:CR132" si="798">CQ23</f>
        <v>0</v>
      </c>
      <c r="CR125" s="211">
        <f t="shared" si="798"/>
        <v>0</v>
      </c>
      <c r="CS125" s="211">
        <f t="shared" ref="CS125:CT132" si="799">CS23</f>
        <v>0</v>
      </c>
      <c r="CT125" s="211">
        <f t="shared" si="799"/>
        <v>0</v>
      </c>
      <c r="CU125" s="211">
        <f t="shared" ref="CU125" si="800">CU23</f>
        <v>1.6532222058179968</v>
      </c>
      <c r="CV125" s="212">
        <f t="shared" ref="CV125" si="801">CV23</f>
        <v>-49.970522190539555</v>
      </c>
      <c r="CW125" s="25"/>
    </row>
    <row r="126" spans="1:101" ht="14.25" hidden="1" customHeight="1" outlineLevel="1">
      <c r="A126" s="8"/>
      <c r="B126" s="56" t="s">
        <v>121</v>
      </c>
      <c r="C126" s="57"/>
      <c r="D126" s="216">
        <v>0</v>
      </c>
      <c r="E126" s="214">
        <v>0</v>
      </c>
      <c r="F126" s="214">
        <v>0</v>
      </c>
      <c r="G126" s="215">
        <v>22.797000000000001</v>
      </c>
      <c r="H126" s="216">
        <v>0</v>
      </c>
      <c r="I126" s="214">
        <v>0</v>
      </c>
      <c r="J126" s="214">
        <v>0</v>
      </c>
      <c r="K126" s="215">
        <v>-52.042999999999999</v>
      </c>
      <c r="L126" s="216">
        <v>0</v>
      </c>
      <c r="M126" s="214">
        <v>0</v>
      </c>
      <c r="N126" s="214">
        <v>0</v>
      </c>
      <c r="O126" s="215">
        <v>16.548999999999999</v>
      </c>
      <c r="P126" s="216">
        <v>0</v>
      </c>
      <c r="Q126" s="214">
        <v>0</v>
      </c>
      <c r="R126" s="214">
        <v>0</v>
      </c>
      <c r="S126" s="215">
        <v>16.783999999999999</v>
      </c>
      <c r="T126" s="216">
        <v>0</v>
      </c>
      <c r="U126" s="214">
        <v>0</v>
      </c>
      <c r="V126" s="214">
        <v>0</v>
      </c>
      <c r="W126" s="215">
        <v>67.346999999999994</v>
      </c>
      <c r="X126" s="216">
        <v>0</v>
      </c>
      <c r="Y126" s="214">
        <v>0</v>
      </c>
      <c r="Z126" s="214">
        <v>0</v>
      </c>
      <c r="AA126" s="215">
        <v>-24.274000000000001</v>
      </c>
      <c r="AB126" s="216">
        <v>0</v>
      </c>
      <c r="AC126" s="214">
        <v>0</v>
      </c>
      <c r="AD126" s="214">
        <v>0</v>
      </c>
      <c r="AE126" s="215">
        <v>-17.603000000000002</v>
      </c>
      <c r="AF126" s="216">
        <v>0</v>
      </c>
      <c r="AG126" s="214">
        <v>0</v>
      </c>
      <c r="AH126" s="214">
        <v>0</v>
      </c>
      <c r="AI126" s="215">
        <v>0</v>
      </c>
      <c r="AJ126" s="216">
        <v>0</v>
      </c>
      <c r="AK126" s="214">
        <v>0</v>
      </c>
      <c r="AL126" s="214">
        <v>0</v>
      </c>
      <c r="AM126" s="215">
        <v>0</v>
      </c>
      <c r="AN126" s="216">
        <v>0</v>
      </c>
      <c r="AO126" s="214">
        <v>0</v>
      </c>
      <c r="AP126" s="214">
        <v>0</v>
      </c>
      <c r="AQ126" s="215">
        <v>0</v>
      </c>
      <c r="AR126" s="216">
        <v>0</v>
      </c>
      <c r="AS126" s="214">
        <v>0</v>
      </c>
      <c r="AT126" s="214">
        <v>0</v>
      </c>
      <c r="AU126" s="215">
        <v>0</v>
      </c>
      <c r="AV126" s="216">
        <v>0</v>
      </c>
      <c r="AW126" s="214">
        <v>0</v>
      </c>
      <c r="AX126" s="214">
        <v>0</v>
      </c>
      <c r="AY126" s="215">
        <v>0</v>
      </c>
      <c r="AZ126" s="216">
        <v>0</v>
      </c>
      <c r="BA126" s="214">
        <v>0</v>
      </c>
      <c r="BB126" s="214">
        <v>0</v>
      </c>
      <c r="BC126" s="215">
        <v>0</v>
      </c>
      <c r="BD126" s="216">
        <v>0</v>
      </c>
      <c r="BE126" s="211">
        <f t="shared" si="782"/>
        <v>25.957915031627863</v>
      </c>
      <c r="BF126" s="211">
        <f t="shared" si="783"/>
        <v>61.24907962740798</v>
      </c>
      <c r="BG126" s="212">
        <f t="shared" si="784"/>
        <v>52.359954114726634</v>
      </c>
      <c r="BH126" s="213">
        <f t="shared" si="785"/>
        <v>7.7774268300219092</v>
      </c>
      <c r="BI126" s="211">
        <f t="shared" si="786"/>
        <v>-2.1023452590213196</v>
      </c>
      <c r="BJ126" s="211">
        <f t="shared" si="787"/>
        <v>-9.8083351352453292</v>
      </c>
      <c r="BK126" s="212">
        <f t="shared" si="788"/>
        <v>-28.407721730304274</v>
      </c>
      <c r="BL126" s="213">
        <f t="shared" si="789"/>
        <v>9.2245170091883892</v>
      </c>
      <c r="BM126" s="211">
        <f t="shared" si="790"/>
        <v>-0.74773274718870653</v>
      </c>
      <c r="BN126" s="211">
        <f t="shared" si="791"/>
        <v>-7.670615215283533</v>
      </c>
      <c r="BO126" s="212">
        <f t="shared" si="792"/>
        <v>-25.270890424872618</v>
      </c>
      <c r="BP126" s="176"/>
      <c r="BQ126" s="211">
        <f t="shared" ref="BQ126:BZ126" si="802">BQ24</f>
        <v>22.797000000000001</v>
      </c>
      <c r="BR126" s="211">
        <f t="shared" si="802"/>
        <v>-52.042999999999999</v>
      </c>
      <c r="BS126" s="211">
        <f t="shared" si="802"/>
        <v>16.548999999999999</v>
      </c>
      <c r="BT126" s="211">
        <f t="shared" si="802"/>
        <v>16.783999999999999</v>
      </c>
      <c r="BU126" s="211">
        <f t="shared" si="802"/>
        <v>67.346999999999994</v>
      </c>
      <c r="BV126" s="211">
        <f t="shared" si="802"/>
        <v>-24.274000000000001</v>
      </c>
      <c r="BW126" s="211">
        <f t="shared" si="802"/>
        <v>-17.603000000000002</v>
      </c>
      <c r="BX126" s="211">
        <f t="shared" si="802"/>
        <v>0</v>
      </c>
      <c r="BY126" s="211">
        <f t="shared" si="802"/>
        <v>0</v>
      </c>
      <c r="BZ126" s="211">
        <f t="shared" si="802"/>
        <v>0</v>
      </c>
      <c r="CA126" s="211">
        <f t="shared" si="794"/>
        <v>0</v>
      </c>
      <c r="CB126" s="211">
        <f t="shared" si="794"/>
        <v>0</v>
      </c>
      <c r="CC126" s="211">
        <f t="shared" si="795"/>
        <v>0</v>
      </c>
      <c r="CD126" s="211">
        <f t="shared" si="795"/>
        <v>52.359954114726634</v>
      </c>
      <c r="CE126" s="211">
        <f t="shared" ref="CE126:CF126" si="803">CE24</f>
        <v>-28.407721730304274</v>
      </c>
      <c r="CF126" s="211">
        <f t="shared" si="803"/>
        <v>-25.270890424872618</v>
      </c>
      <c r="CG126" s="23"/>
      <c r="CH126" s="213">
        <f t="shared" ref="CH126:CP126" si="804">CH24</f>
        <v>22.797000000000001</v>
      </c>
      <c r="CI126" s="211">
        <f t="shared" si="804"/>
        <v>-52.042999999999999</v>
      </c>
      <c r="CJ126" s="211">
        <f t="shared" si="804"/>
        <v>16.548999999999999</v>
      </c>
      <c r="CK126" s="211">
        <f t="shared" si="804"/>
        <v>16.783999999999999</v>
      </c>
      <c r="CL126" s="211">
        <f t="shared" si="804"/>
        <v>67.346999999999994</v>
      </c>
      <c r="CM126" s="211">
        <f t="shared" si="804"/>
        <v>-24.274000000000001</v>
      </c>
      <c r="CN126" s="211">
        <f t="shared" si="804"/>
        <v>-17.603000000000002</v>
      </c>
      <c r="CO126" s="211">
        <f t="shared" si="804"/>
        <v>0</v>
      </c>
      <c r="CP126" s="211">
        <f t="shared" si="804"/>
        <v>0</v>
      </c>
      <c r="CQ126" s="211">
        <f t="shared" si="798"/>
        <v>0</v>
      </c>
      <c r="CR126" s="211">
        <f t="shared" si="798"/>
        <v>0</v>
      </c>
      <c r="CS126" s="211">
        <f t="shared" si="799"/>
        <v>0</v>
      </c>
      <c r="CT126" s="211">
        <f t="shared" si="799"/>
        <v>0</v>
      </c>
      <c r="CU126" s="211">
        <f t="shared" ref="CU126" si="805">CU24</f>
        <v>60.137380944748543</v>
      </c>
      <c r="CV126" s="212">
        <f t="shared" ref="CV126" si="806">CV24</f>
        <v>-26.960631551137794</v>
      </c>
      <c r="CW126" s="25"/>
    </row>
    <row r="127" spans="1:101" ht="14.25" hidden="1" customHeight="1" outlineLevel="1">
      <c r="A127" s="8"/>
      <c r="B127" s="56" t="s">
        <v>122</v>
      </c>
      <c r="C127" s="57"/>
      <c r="D127" s="216">
        <v>0</v>
      </c>
      <c r="E127" s="214">
        <v>0</v>
      </c>
      <c r="F127" s="214">
        <v>0</v>
      </c>
      <c r="G127" s="215">
        <v>-7.32</v>
      </c>
      <c r="H127" s="216">
        <v>0</v>
      </c>
      <c r="I127" s="214">
        <v>0</v>
      </c>
      <c r="J127" s="214">
        <v>0</v>
      </c>
      <c r="K127" s="215">
        <v>-17.327000000000002</v>
      </c>
      <c r="L127" s="216">
        <v>0</v>
      </c>
      <c r="M127" s="214">
        <v>0</v>
      </c>
      <c r="N127" s="214">
        <v>0</v>
      </c>
      <c r="O127" s="215">
        <v>34.89</v>
      </c>
      <c r="P127" s="216">
        <v>0</v>
      </c>
      <c r="Q127" s="214">
        <v>0</v>
      </c>
      <c r="R127" s="214">
        <v>0</v>
      </c>
      <c r="S127" s="215">
        <v>6.5570000000000004</v>
      </c>
      <c r="T127" s="216">
        <v>0</v>
      </c>
      <c r="U127" s="214">
        <v>0</v>
      </c>
      <c r="V127" s="214">
        <v>0</v>
      </c>
      <c r="W127" s="215">
        <v>0.73099999999999998</v>
      </c>
      <c r="X127" s="216">
        <v>0</v>
      </c>
      <c r="Y127" s="214">
        <v>0</v>
      </c>
      <c r="Z127" s="214">
        <v>0</v>
      </c>
      <c r="AA127" s="215">
        <v>-4.0019999999999998</v>
      </c>
      <c r="AB127" s="216">
        <v>0</v>
      </c>
      <c r="AC127" s="214">
        <v>0</v>
      </c>
      <c r="AD127" s="214">
        <v>0</v>
      </c>
      <c r="AE127" s="215">
        <v>0.82199999999999995</v>
      </c>
      <c r="AF127" s="216">
        <v>0</v>
      </c>
      <c r="AG127" s="214">
        <v>0</v>
      </c>
      <c r="AH127" s="214">
        <v>0</v>
      </c>
      <c r="AI127" s="215">
        <v>0</v>
      </c>
      <c r="AJ127" s="216">
        <v>0</v>
      </c>
      <c r="AK127" s="214">
        <v>0</v>
      </c>
      <c r="AL127" s="214">
        <v>0</v>
      </c>
      <c r="AM127" s="215">
        <v>0</v>
      </c>
      <c r="AN127" s="216">
        <v>0</v>
      </c>
      <c r="AO127" s="214">
        <v>0</v>
      </c>
      <c r="AP127" s="214">
        <v>0</v>
      </c>
      <c r="AQ127" s="215">
        <v>0</v>
      </c>
      <c r="AR127" s="216">
        <v>0</v>
      </c>
      <c r="AS127" s="214">
        <v>0</v>
      </c>
      <c r="AT127" s="214">
        <v>0</v>
      </c>
      <c r="AU127" s="215">
        <v>0</v>
      </c>
      <c r="AV127" s="216">
        <v>0</v>
      </c>
      <c r="AW127" s="214">
        <v>0</v>
      </c>
      <c r="AX127" s="214">
        <v>0</v>
      </c>
      <c r="AY127" s="215">
        <v>0</v>
      </c>
      <c r="AZ127" s="216">
        <v>0</v>
      </c>
      <c r="BA127" s="214">
        <v>0</v>
      </c>
      <c r="BB127" s="214">
        <v>0</v>
      </c>
      <c r="BC127" s="215">
        <v>0</v>
      </c>
      <c r="BD127" s="216">
        <v>0</v>
      </c>
      <c r="BE127" s="211">
        <f t="shared" si="782"/>
        <v>2.5644479213584219</v>
      </c>
      <c r="BF127" s="211">
        <f t="shared" si="783"/>
        <v>0.27288692747769971</v>
      </c>
      <c r="BG127" s="212">
        <f t="shared" si="784"/>
        <v>-2.3825786021858448</v>
      </c>
      <c r="BH127" s="213">
        <f t="shared" si="785"/>
        <v>4.324574061919563</v>
      </c>
      <c r="BI127" s="211">
        <f t="shared" si="786"/>
        <v>0.72316684738798642</v>
      </c>
      <c r="BJ127" s="211">
        <f t="shared" si="787"/>
        <v>-2.2975544643772707</v>
      </c>
      <c r="BK127" s="212">
        <f t="shared" si="788"/>
        <v>-5.8571798786935716</v>
      </c>
      <c r="BL127" s="213">
        <f t="shared" si="789"/>
        <v>4.6228146169174522</v>
      </c>
      <c r="BM127" s="211">
        <f t="shared" si="790"/>
        <v>1.0541483920145112</v>
      </c>
      <c r="BN127" s="211">
        <f t="shared" si="791"/>
        <v>-1.7194336289564518</v>
      </c>
      <c r="BO127" s="212">
        <f t="shared" si="792"/>
        <v>-4.9387834437873437</v>
      </c>
      <c r="BP127" s="176"/>
      <c r="BQ127" s="211">
        <f t="shared" ref="BQ127:BZ128" si="807">BQ25</f>
        <v>-7.32</v>
      </c>
      <c r="BR127" s="211">
        <f t="shared" si="807"/>
        <v>-17.327000000000002</v>
      </c>
      <c r="BS127" s="211">
        <f t="shared" si="807"/>
        <v>34.89</v>
      </c>
      <c r="BT127" s="211">
        <f t="shared" si="807"/>
        <v>6.5570000000000004</v>
      </c>
      <c r="BU127" s="211">
        <f t="shared" si="807"/>
        <v>0.73099999999999998</v>
      </c>
      <c r="BV127" s="211">
        <f t="shared" si="807"/>
        <v>-4.0019999999999998</v>
      </c>
      <c r="BW127" s="211">
        <f t="shared" si="807"/>
        <v>0.82199999999999995</v>
      </c>
      <c r="BX127" s="211">
        <f t="shared" si="807"/>
        <v>0</v>
      </c>
      <c r="BY127" s="211">
        <f t="shared" si="807"/>
        <v>0</v>
      </c>
      <c r="BZ127" s="211">
        <f t="shared" si="807"/>
        <v>0</v>
      </c>
      <c r="CA127" s="211">
        <f t="shared" si="794"/>
        <v>0</v>
      </c>
      <c r="CB127" s="211">
        <f t="shared" si="794"/>
        <v>0</v>
      </c>
      <c r="CC127" s="211">
        <f t="shared" si="795"/>
        <v>0</v>
      </c>
      <c r="CD127" s="211">
        <f t="shared" si="795"/>
        <v>-2.3825786021858448</v>
      </c>
      <c r="CE127" s="211">
        <f t="shared" ref="CE127:CF127" si="808">CE25</f>
        <v>-5.8571798786935716</v>
      </c>
      <c r="CF127" s="211">
        <f t="shared" si="808"/>
        <v>-4.9387834437873437</v>
      </c>
      <c r="CG127" s="23"/>
      <c r="CH127" s="213">
        <f t="shared" ref="CH127:CP128" si="809">CH25</f>
        <v>-7.32</v>
      </c>
      <c r="CI127" s="211">
        <f t="shared" si="809"/>
        <v>-17.327000000000002</v>
      </c>
      <c r="CJ127" s="211">
        <f t="shared" si="809"/>
        <v>34.89</v>
      </c>
      <c r="CK127" s="211">
        <f t="shared" si="809"/>
        <v>6.5570000000000004</v>
      </c>
      <c r="CL127" s="211">
        <f t="shared" si="809"/>
        <v>0.73099999999999998</v>
      </c>
      <c r="CM127" s="211">
        <f t="shared" si="809"/>
        <v>-4.0019999999999998</v>
      </c>
      <c r="CN127" s="211">
        <f t="shared" si="809"/>
        <v>0.82199999999999995</v>
      </c>
      <c r="CO127" s="211">
        <f t="shared" si="809"/>
        <v>0</v>
      </c>
      <c r="CP127" s="211">
        <f t="shared" si="809"/>
        <v>0</v>
      </c>
      <c r="CQ127" s="211">
        <f t="shared" si="798"/>
        <v>0</v>
      </c>
      <c r="CR127" s="211">
        <f t="shared" si="798"/>
        <v>0</v>
      </c>
      <c r="CS127" s="211">
        <f t="shared" si="799"/>
        <v>0</v>
      </c>
      <c r="CT127" s="211">
        <f t="shared" si="799"/>
        <v>0</v>
      </c>
      <c r="CU127" s="211">
        <f t="shared" ref="CU127" si="810">CU25</f>
        <v>1.9419954597337181</v>
      </c>
      <c r="CV127" s="212">
        <f t="shared" ref="CV127" si="811">CV25</f>
        <v>-5.5589393236956823</v>
      </c>
      <c r="CW127" s="25"/>
    </row>
    <row r="128" spans="1:101" ht="14.25" hidden="1" customHeight="1" outlineLevel="1">
      <c r="A128" s="8"/>
      <c r="B128" s="56" t="s">
        <v>238</v>
      </c>
      <c r="C128" s="57"/>
      <c r="D128" s="216">
        <v>0</v>
      </c>
      <c r="E128" s="214">
        <v>0</v>
      </c>
      <c r="F128" s="214">
        <v>0</v>
      </c>
      <c r="G128" s="215">
        <v>41.234000000000002</v>
      </c>
      <c r="H128" s="216">
        <v>0</v>
      </c>
      <c r="I128" s="214">
        <v>0</v>
      </c>
      <c r="J128" s="214">
        <v>0</v>
      </c>
      <c r="K128" s="215">
        <v>245.62899999999999</v>
      </c>
      <c r="L128" s="216">
        <v>0</v>
      </c>
      <c r="M128" s="214">
        <v>0</v>
      </c>
      <c r="N128" s="214">
        <v>0</v>
      </c>
      <c r="O128" s="215">
        <v>-4.7549999999999999</v>
      </c>
      <c r="P128" s="216">
        <v>0</v>
      </c>
      <c r="Q128" s="214">
        <v>0</v>
      </c>
      <c r="R128" s="214">
        <v>0</v>
      </c>
      <c r="S128" s="215">
        <v>4.4009999999999998</v>
      </c>
      <c r="T128" s="216">
        <v>0</v>
      </c>
      <c r="U128" s="214">
        <v>0</v>
      </c>
      <c r="V128" s="214">
        <v>0</v>
      </c>
      <c r="W128" s="215">
        <v>24.097000000000001</v>
      </c>
      <c r="X128" s="216">
        <v>0</v>
      </c>
      <c r="Y128" s="214">
        <v>0</v>
      </c>
      <c r="Z128" s="214">
        <v>0</v>
      </c>
      <c r="AA128" s="215">
        <v>-0.747</v>
      </c>
      <c r="AB128" s="216">
        <v>0</v>
      </c>
      <c r="AC128" s="214">
        <v>0</v>
      </c>
      <c r="AD128" s="214">
        <v>0</v>
      </c>
      <c r="AE128" s="215">
        <v>-17.72</v>
      </c>
      <c r="AF128" s="216">
        <v>0</v>
      </c>
      <c r="AG128" s="214">
        <v>0</v>
      </c>
      <c r="AH128" s="214">
        <v>0</v>
      </c>
      <c r="AI128" s="215">
        <v>0</v>
      </c>
      <c r="AJ128" s="216">
        <v>0</v>
      </c>
      <c r="AK128" s="214">
        <v>0</v>
      </c>
      <c r="AL128" s="214">
        <v>0</v>
      </c>
      <c r="AM128" s="215">
        <v>0</v>
      </c>
      <c r="AN128" s="216">
        <v>0</v>
      </c>
      <c r="AO128" s="214">
        <v>0</v>
      </c>
      <c r="AP128" s="214">
        <v>0</v>
      </c>
      <c r="AQ128" s="215">
        <v>0</v>
      </c>
      <c r="AR128" s="216">
        <v>0</v>
      </c>
      <c r="AS128" s="214">
        <v>0</v>
      </c>
      <c r="AT128" s="214">
        <v>0</v>
      </c>
      <c r="AU128" s="215">
        <v>0</v>
      </c>
      <c r="AV128" s="216">
        <v>0</v>
      </c>
      <c r="AW128" s="214">
        <v>0</v>
      </c>
      <c r="AX128" s="214">
        <v>0</v>
      </c>
      <c r="AY128" s="215">
        <v>0</v>
      </c>
      <c r="AZ128" s="216">
        <v>0</v>
      </c>
      <c r="BA128" s="214">
        <v>0</v>
      </c>
      <c r="BB128" s="214">
        <v>0</v>
      </c>
      <c r="BC128" s="215">
        <v>0</v>
      </c>
      <c r="BD128" s="216">
        <v>0</v>
      </c>
      <c r="BE128" s="211">
        <f t="shared" si="782"/>
        <v>0</v>
      </c>
      <c r="BF128" s="211">
        <f t="shared" si="783"/>
        <v>0</v>
      </c>
      <c r="BG128" s="212">
        <f t="shared" si="784"/>
        <v>0</v>
      </c>
      <c r="BH128" s="213">
        <f t="shared" si="785"/>
        <v>0</v>
      </c>
      <c r="BI128" s="211">
        <f t="shared" si="786"/>
        <v>0</v>
      </c>
      <c r="BJ128" s="211">
        <f t="shared" si="787"/>
        <v>0</v>
      </c>
      <c r="BK128" s="212">
        <f t="shared" si="788"/>
        <v>0</v>
      </c>
      <c r="BL128" s="213">
        <f t="shared" si="789"/>
        <v>0</v>
      </c>
      <c r="BM128" s="211">
        <f t="shared" si="790"/>
        <v>0</v>
      </c>
      <c r="BN128" s="211">
        <f t="shared" si="791"/>
        <v>0</v>
      </c>
      <c r="BO128" s="212">
        <f t="shared" si="792"/>
        <v>0</v>
      </c>
      <c r="BP128" s="176"/>
      <c r="BQ128" s="211">
        <f t="shared" si="807"/>
        <v>41.234000000000002</v>
      </c>
      <c r="BR128" s="211">
        <f t="shared" si="807"/>
        <v>245.62899999999999</v>
      </c>
      <c r="BS128" s="211">
        <f t="shared" si="807"/>
        <v>-4.7549999999999999</v>
      </c>
      <c r="BT128" s="211">
        <f t="shared" si="807"/>
        <v>4.4009999999999998</v>
      </c>
      <c r="BU128" s="211">
        <f t="shared" si="807"/>
        <v>24.097000000000001</v>
      </c>
      <c r="BV128" s="211">
        <f t="shared" si="807"/>
        <v>-0.747</v>
      </c>
      <c r="BW128" s="211">
        <f t="shared" si="807"/>
        <v>-17.72</v>
      </c>
      <c r="BX128" s="211">
        <f t="shared" si="807"/>
        <v>0</v>
      </c>
      <c r="BY128" s="211">
        <f t="shared" si="807"/>
        <v>0</v>
      </c>
      <c r="BZ128" s="211">
        <f t="shared" si="807"/>
        <v>0</v>
      </c>
      <c r="CA128" s="211">
        <f t="shared" si="794"/>
        <v>0</v>
      </c>
      <c r="CB128" s="211">
        <f t="shared" si="794"/>
        <v>0</v>
      </c>
      <c r="CC128" s="211">
        <f t="shared" si="795"/>
        <v>0</v>
      </c>
      <c r="CD128" s="211">
        <f t="shared" si="795"/>
        <v>0</v>
      </c>
      <c r="CE128" s="211">
        <f t="shared" ref="CE128:CF128" si="812">CE26</f>
        <v>0</v>
      </c>
      <c r="CF128" s="211">
        <f t="shared" si="812"/>
        <v>0</v>
      </c>
      <c r="CG128" s="23"/>
      <c r="CH128" s="213">
        <f t="shared" si="809"/>
        <v>41.234000000000002</v>
      </c>
      <c r="CI128" s="211">
        <f t="shared" si="809"/>
        <v>245.62899999999999</v>
      </c>
      <c r="CJ128" s="211">
        <f t="shared" si="809"/>
        <v>-4.7549999999999999</v>
      </c>
      <c r="CK128" s="211">
        <f t="shared" si="809"/>
        <v>4.4009999999999998</v>
      </c>
      <c r="CL128" s="211">
        <f t="shared" si="809"/>
        <v>24.097000000000001</v>
      </c>
      <c r="CM128" s="211">
        <f t="shared" si="809"/>
        <v>-0.747</v>
      </c>
      <c r="CN128" s="211">
        <f t="shared" si="809"/>
        <v>-17.72</v>
      </c>
      <c r="CO128" s="211">
        <f t="shared" si="809"/>
        <v>0</v>
      </c>
      <c r="CP128" s="211">
        <f t="shared" si="809"/>
        <v>0</v>
      </c>
      <c r="CQ128" s="211">
        <f t="shared" si="798"/>
        <v>0</v>
      </c>
      <c r="CR128" s="211">
        <f t="shared" si="798"/>
        <v>0</v>
      </c>
      <c r="CS128" s="211">
        <f t="shared" si="799"/>
        <v>0</v>
      </c>
      <c r="CT128" s="211">
        <f t="shared" si="799"/>
        <v>0</v>
      </c>
      <c r="CU128" s="211">
        <f t="shared" ref="CU128" si="813">CU26</f>
        <v>0</v>
      </c>
      <c r="CV128" s="212">
        <f t="shared" ref="CV128" si="814">CV26</f>
        <v>0</v>
      </c>
      <c r="CW128" s="25"/>
    </row>
    <row r="129" spans="1:101" ht="14.25" hidden="1" customHeight="1" outlineLevel="1">
      <c r="A129" s="8"/>
      <c r="B129" s="56" t="s">
        <v>250</v>
      </c>
      <c r="C129" s="57"/>
      <c r="D129" s="216">
        <v>0</v>
      </c>
      <c r="E129" s="214">
        <v>0</v>
      </c>
      <c r="F129" s="214">
        <v>0</v>
      </c>
      <c r="G129" s="215">
        <v>-5.9370000000000003</v>
      </c>
      <c r="H129" s="216">
        <v>0</v>
      </c>
      <c r="I129" s="214">
        <v>0</v>
      </c>
      <c r="J129" s="214">
        <v>0</v>
      </c>
      <c r="K129" s="215">
        <v>5.6820000000000004</v>
      </c>
      <c r="L129" s="216">
        <v>0</v>
      </c>
      <c r="M129" s="214">
        <v>0</v>
      </c>
      <c r="N129" s="214">
        <v>0</v>
      </c>
      <c r="O129" s="215">
        <v>53.692999999999998</v>
      </c>
      <c r="P129" s="216">
        <v>0</v>
      </c>
      <c r="Q129" s="214">
        <v>0</v>
      </c>
      <c r="R129" s="214">
        <v>0</v>
      </c>
      <c r="S129" s="215">
        <v>-60.735999999999997</v>
      </c>
      <c r="T129" s="216">
        <v>0</v>
      </c>
      <c r="U129" s="214">
        <v>0</v>
      </c>
      <c r="V129" s="214">
        <v>0</v>
      </c>
      <c r="W129" s="215">
        <v>-100.06399999999999</v>
      </c>
      <c r="X129" s="216">
        <v>0</v>
      </c>
      <c r="Y129" s="214">
        <v>0</v>
      </c>
      <c r="Z129" s="214">
        <v>0</v>
      </c>
      <c r="AA129" s="215">
        <v>190.04300000000001</v>
      </c>
      <c r="AB129" s="216">
        <v>0</v>
      </c>
      <c r="AC129" s="214">
        <v>0</v>
      </c>
      <c r="AD129" s="214">
        <v>0</v>
      </c>
      <c r="AE129" s="215">
        <v>-90.322999999999993</v>
      </c>
      <c r="AF129" s="216">
        <v>0</v>
      </c>
      <c r="AG129" s="214">
        <v>0</v>
      </c>
      <c r="AH129" s="214">
        <v>0</v>
      </c>
      <c r="AI129" s="215">
        <v>0</v>
      </c>
      <c r="AJ129" s="216">
        <v>0</v>
      </c>
      <c r="AK129" s="214">
        <v>0</v>
      </c>
      <c r="AL129" s="214">
        <v>0</v>
      </c>
      <c r="AM129" s="215">
        <v>0</v>
      </c>
      <c r="AN129" s="216">
        <v>0</v>
      </c>
      <c r="AO129" s="214">
        <v>0</v>
      </c>
      <c r="AP129" s="214">
        <v>0</v>
      </c>
      <c r="AQ129" s="215">
        <v>0</v>
      </c>
      <c r="AR129" s="216">
        <v>0</v>
      </c>
      <c r="AS129" s="214">
        <v>0</v>
      </c>
      <c r="AT129" s="214">
        <v>0</v>
      </c>
      <c r="AU129" s="215">
        <v>0</v>
      </c>
      <c r="AV129" s="216">
        <v>0</v>
      </c>
      <c r="AW129" s="214">
        <v>0</v>
      </c>
      <c r="AX129" s="214">
        <v>0</v>
      </c>
      <c r="AY129" s="215">
        <v>0</v>
      </c>
      <c r="AZ129" s="216">
        <v>0</v>
      </c>
      <c r="BA129" s="214">
        <v>0</v>
      </c>
      <c r="BB129" s="214">
        <v>0</v>
      </c>
      <c r="BC129" s="215">
        <v>0</v>
      </c>
      <c r="BD129" s="216">
        <v>0</v>
      </c>
      <c r="BE129" s="211">
        <f t="shared" si="782"/>
        <v>-10.974050375221651</v>
      </c>
      <c r="BF129" s="211">
        <f t="shared" si="783"/>
        <v>-25.893854897366396</v>
      </c>
      <c r="BG129" s="212">
        <f t="shared" si="784"/>
        <v>-22.135860041116331</v>
      </c>
      <c r="BH129" s="213">
        <f t="shared" si="785"/>
        <v>-3.288009600088003</v>
      </c>
      <c r="BI129" s="211">
        <f t="shared" si="786"/>
        <v>0.88879414045763383</v>
      </c>
      <c r="BJ129" s="211">
        <f t="shared" si="787"/>
        <v>4.146602827695915</v>
      </c>
      <c r="BK129" s="212">
        <f t="shared" si="788"/>
        <v>12.009738414421776</v>
      </c>
      <c r="BL129" s="213">
        <f t="shared" si="789"/>
        <v>-3.8997860275981395</v>
      </c>
      <c r="BM129" s="211">
        <f t="shared" si="790"/>
        <v>0.31611386449390011</v>
      </c>
      <c r="BN129" s="211">
        <f t="shared" si="791"/>
        <v>3.2428535835369985</v>
      </c>
      <c r="BO129" s="212">
        <f t="shared" si="792"/>
        <v>10.683601676458181</v>
      </c>
      <c r="BP129" s="176"/>
      <c r="BQ129" s="211">
        <f t="shared" ref="BQ129:BZ129" si="815">BQ27</f>
        <v>-5.9370000000000003</v>
      </c>
      <c r="BR129" s="211">
        <f t="shared" si="815"/>
        <v>5.6820000000000004</v>
      </c>
      <c r="BS129" s="211">
        <f t="shared" si="815"/>
        <v>53.692999999999998</v>
      </c>
      <c r="BT129" s="211">
        <f t="shared" si="815"/>
        <v>-60.735999999999997</v>
      </c>
      <c r="BU129" s="211">
        <f t="shared" si="815"/>
        <v>-100.06399999999999</v>
      </c>
      <c r="BV129" s="211">
        <f t="shared" si="815"/>
        <v>190.04300000000001</v>
      </c>
      <c r="BW129" s="211">
        <f t="shared" si="815"/>
        <v>-90.322999999999993</v>
      </c>
      <c r="BX129" s="211">
        <f t="shared" si="815"/>
        <v>0</v>
      </c>
      <c r="BY129" s="211">
        <f t="shared" si="815"/>
        <v>0</v>
      </c>
      <c r="BZ129" s="211">
        <f t="shared" si="815"/>
        <v>0</v>
      </c>
      <c r="CA129" s="211">
        <f t="shared" si="794"/>
        <v>0</v>
      </c>
      <c r="CB129" s="211">
        <f t="shared" si="794"/>
        <v>0</v>
      </c>
      <c r="CC129" s="211">
        <f t="shared" si="795"/>
        <v>0</v>
      </c>
      <c r="CD129" s="211">
        <f t="shared" si="795"/>
        <v>-22.135860041116331</v>
      </c>
      <c r="CE129" s="211">
        <f t="shared" ref="CE129:CF129" si="816">CE27</f>
        <v>12.009738414421776</v>
      </c>
      <c r="CF129" s="211">
        <f t="shared" si="816"/>
        <v>10.683601676458181</v>
      </c>
      <c r="CG129" s="23"/>
      <c r="CH129" s="213">
        <f t="shared" ref="CH129:CP129" si="817">CH27</f>
        <v>-5.9370000000000003</v>
      </c>
      <c r="CI129" s="211">
        <f t="shared" si="817"/>
        <v>5.6820000000000004</v>
      </c>
      <c r="CJ129" s="211">
        <f t="shared" si="817"/>
        <v>53.692999999999998</v>
      </c>
      <c r="CK129" s="211">
        <f t="shared" si="817"/>
        <v>-60.735999999999997</v>
      </c>
      <c r="CL129" s="211">
        <f t="shared" si="817"/>
        <v>-100.06399999999999</v>
      </c>
      <c r="CM129" s="211">
        <f t="shared" si="817"/>
        <v>190.04300000000001</v>
      </c>
      <c r="CN129" s="211">
        <f t="shared" si="817"/>
        <v>-90.322999999999993</v>
      </c>
      <c r="CO129" s="211">
        <f t="shared" si="817"/>
        <v>0</v>
      </c>
      <c r="CP129" s="211">
        <f t="shared" si="817"/>
        <v>0</v>
      </c>
      <c r="CQ129" s="211">
        <f t="shared" si="798"/>
        <v>0</v>
      </c>
      <c r="CR129" s="211">
        <f t="shared" si="798"/>
        <v>0</v>
      </c>
      <c r="CS129" s="211">
        <f t="shared" si="799"/>
        <v>0</v>
      </c>
      <c r="CT129" s="211">
        <f t="shared" si="799"/>
        <v>0</v>
      </c>
      <c r="CU129" s="211">
        <f t="shared" ref="CU129" si="818">CU27</f>
        <v>-25.423869641204334</v>
      </c>
      <c r="CV129" s="212">
        <f t="shared" ref="CV129" si="819">CV27</f>
        <v>11.397961986911639</v>
      </c>
      <c r="CW129" s="25"/>
    </row>
    <row r="130" spans="1:101" ht="14.25" hidden="1" customHeight="1" outlineLevel="1">
      <c r="A130" s="8"/>
      <c r="B130" s="56" t="s">
        <v>251</v>
      </c>
      <c r="C130" s="57"/>
      <c r="D130" s="216">
        <v>0</v>
      </c>
      <c r="E130" s="214">
        <v>0</v>
      </c>
      <c r="F130" s="214">
        <v>0</v>
      </c>
      <c r="G130" s="215">
        <v>-43.271000000000001</v>
      </c>
      <c r="H130" s="216">
        <v>0</v>
      </c>
      <c r="I130" s="214">
        <v>0</v>
      </c>
      <c r="J130" s="214">
        <v>0</v>
      </c>
      <c r="K130" s="215">
        <v>-247.291</v>
      </c>
      <c r="L130" s="216">
        <v>0</v>
      </c>
      <c r="M130" s="214">
        <v>0</v>
      </c>
      <c r="N130" s="214">
        <v>0</v>
      </c>
      <c r="O130" s="215">
        <v>4.8109999999999999</v>
      </c>
      <c r="P130" s="216">
        <v>0</v>
      </c>
      <c r="Q130" s="214">
        <v>0</v>
      </c>
      <c r="R130" s="214">
        <v>0</v>
      </c>
      <c r="S130" s="215">
        <v>-3.8109999999999999</v>
      </c>
      <c r="T130" s="216">
        <v>0</v>
      </c>
      <c r="U130" s="214">
        <v>0</v>
      </c>
      <c r="V130" s="214">
        <v>0</v>
      </c>
      <c r="W130" s="215">
        <v>-24.800999999999998</v>
      </c>
      <c r="X130" s="216">
        <v>0</v>
      </c>
      <c r="Y130" s="214">
        <v>0</v>
      </c>
      <c r="Z130" s="214">
        <v>0</v>
      </c>
      <c r="AA130" s="215">
        <v>0.75</v>
      </c>
      <c r="AB130" s="216">
        <v>0</v>
      </c>
      <c r="AC130" s="214">
        <v>0</v>
      </c>
      <c r="AD130" s="214">
        <v>0</v>
      </c>
      <c r="AE130" s="215">
        <v>17.738</v>
      </c>
      <c r="AF130" s="216">
        <v>0</v>
      </c>
      <c r="AG130" s="214">
        <v>0</v>
      </c>
      <c r="AH130" s="214">
        <v>0</v>
      </c>
      <c r="AI130" s="215">
        <v>0</v>
      </c>
      <c r="AJ130" s="216">
        <v>0</v>
      </c>
      <c r="AK130" s="214">
        <v>0</v>
      </c>
      <c r="AL130" s="214">
        <v>0</v>
      </c>
      <c r="AM130" s="215">
        <v>0</v>
      </c>
      <c r="AN130" s="216">
        <v>0</v>
      </c>
      <c r="AO130" s="214">
        <v>0</v>
      </c>
      <c r="AP130" s="214">
        <v>0</v>
      </c>
      <c r="AQ130" s="215">
        <v>0</v>
      </c>
      <c r="AR130" s="216">
        <v>0</v>
      </c>
      <c r="AS130" s="214">
        <v>0</v>
      </c>
      <c r="AT130" s="214">
        <v>0</v>
      </c>
      <c r="AU130" s="215">
        <v>0</v>
      </c>
      <c r="AV130" s="216">
        <v>0</v>
      </c>
      <c r="AW130" s="214">
        <v>0</v>
      </c>
      <c r="AX130" s="214">
        <v>0</v>
      </c>
      <c r="AY130" s="215">
        <v>0</v>
      </c>
      <c r="AZ130" s="216">
        <v>0</v>
      </c>
      <c r="BA130" s="214">
        <v>0</v>
      </c>
      <c r="BB130" s="214">
        <v>0</v>
      </c>
      <c r="BC130" s="215">
        <v>0</v>
      </c>
      <c r="BD130" s="216">
        <v>0</v>
      </c>
      <c r="BE130" s="211">
        <f t="shared" si="782"/>
        <v>0</v>
      </c>
      <c r="BF130" s="211">
        <f t="shared" si="783"/>
        <v>0</v>
      </c>
      <c r="BG130" s="212">
        <f t="shared" si="784"/>
        <v>0</v>
      </c>
      <c r="BH130" s="213">
        <f t="shared" si="785"/>
        <v>0</v>
      </c>
      <c r="BI130" s="211">
        <f t="shared" si="786"/>
        <v>0</v>
      </c>
      <c r="BJ130" s="211">
        <f t="shared" si="787"/>
        <v>0</v>
      </c>
      <c r="BK130" s="212">
        <f t="shared" si="788"/>
        <v>0</v>
      </c>
      <c r="BL130" s="213">
        <f t="shared" si="789"/>
        <v>0</v>
      </c>
      <c r="BM130" s="211">
        <f t="shared" si="790"/>
        <v>0</v>
      </c>
      <c r="BN130" s="211">
        <f t="shared" si="791"/>
        <v>0</v>
      </c>
      <c r="BO130" s="212">
        <f t="shared" si="792"/>
        <v>0</v>
      </c>
      <c r="BP130" s="176"/>
      <c r="BQ130" s="211">
        <f t="shared" ref="BQ130:BZ130" si="820">BQ28</f>
        <v>-43.271000000000001</v>
      </c>
      <c r="BR130" s="211">
        <f t="shared" si="820"/>
        <v>-247.291</v>
      </c>
      <c r="BS130" s="211">
        <f t="shared" si="820"/>
        <v>4.8109999999999999</v>
      </c>
      <c r="BT130" s="211">
        <f t="shared" si="820"/>
        <v>-3.8109999999999999</v>
      </c>
      <c r="BU130" s="211">
        <f t="shared" si="820"/>
        <v>-24.800999999999998</v>
      </c>
      <c r="BV130" s="211">
        <f t="shared" si="820"/>
        <v>0.75</v>
      </c>
      <c r="BW130" s="211">
        <f t="shared" si="820"/>
        <v>17.738</v>
      </c>
      <c r="BX130" s="211">
        <f t="shared" si="820"/>
        <v>0</v>
      </c>
      <c r="BY130" s="211">
        <f t="shared" si="820"/>
        <v>0</v>
      </c>
      <c r="BZ130" s="211">
        <f t="shared" si="820"/>
        <v>0</v>
      </c>
      <c r="CA130" s="211">
        <f t="shared" si="794"/>
        <v>0</v>
      </c>
      <c r="CB130" s="211">
        <f t="shared" si="794"/>
        <v>0</v>
      </c>
      <c r="CC130" s="211">
        <f t="shared" si="795"/>
        <v>0</v>
      </c>
      <c r="CD130" s="211">
        <f t="shared" si="795"/>
        <v>0</v>
      </c>
      <c r="CE130" s="211">
        <f t="shared" ref="CE130:CF130" si="821">CE28</f>
        <v>0</v>
      </c>
      <c r="CF130" s="211">
        <f t="shared" si="821"/>
        <v>0</v>
      </c>
      <c r="CG130" s="23"/>
      <c r="CH130" s="213">
        <f t="shared" ref="CH130:CP130" si="822">CH28</f>
        <v>-43.271000000000001</v>
      </c>
      <c r="CI130" s="211">
        <f t="shared" si="822"/>
        <v>-247.291</v>
      </c>
      <c r="CJ130" s="211">
        <f t="shared" si="822"/>
        <v>4.8109999999999999</v>
      </c>
      <c r="CK130" s="211">
        <f t="shared" si="822"/>
        <v>-3.8109999999999999</v>
      </c>
      <c r="CL130" s="211">
        <f t="shared" si="822"/>
        <v>-24.800999999999998</v>
      </c>
      <c r="CM130" s="211">
        <f t="shared" si="822"/>
        <v>0.75</v>
      </c>
      <c r="CN130" s="211">
        <f t="shared" si="822"/>
        <v>17.738</v>
      </c>
      <c r="CO130" s="211">
        <f t="shared" si="822"/>
        <v>0</v>
      </c>
      <c r="CP130" s="211">
        <f t="shared" si="822"/>
        <v>0</v>
      </c>
      <c r="CQ130" s="211">
        <f t="shared" si="798"/>
        <v>0</v>
      </c>
      <c r="CR130" s="211">
        <f t="shared" si="798"/>
        <v>0</v>
      </c>
      <c r="CS130" s="211">
        <f t="shared" si="799"/>
        <v>0</v>
      </c>
      <c r="CT130" s="211">
        <f t="shared" si="799"/>
        <v>0</v>
      </c>
      <c r="CU130" s="211">
        <f t="shared" ref="CU130" si="823">CU28</f>
        <v>0</v>
      </c>
      <c r="CV130" s="212">
        <f t="shared" ref="CV130" si="824">CV28</f>
        <v>0</v>
      </c>
      <c r="CW130" s="25"/>
    </row>
    <row r="131" spans="1:101" ht="14.25" hidden="1" customHeight="1" outlineLevel="1">
      <c r="A131" s="8"/>
      <c r="B131" s="56" t="s">
        <v>201</v>
      </c>
      <c r="C131" s="57"/>
      <c r="D131" s="216">
        <v>0</v>
      </c>
      <c r="E131" s="214">
        <v>0</v>
      </c>
      <c r="F131" s="214">
        <v>0</v>
      </c>
      <c r="G131" s="215">
        <v>15.003</v>
      </c>
      <c r="H131" s="216">
        <v>0</v>
      </c>
      <c r="I131" s="214">
        <v>0</v>
      </c>
      <c r="J131" s="214">
        <v>0</v>
      </c>
      <c r="K131" s="215">
        <v>96.335999999999999</v>
      </c>
      <c r="L131" s="216">
        <v>0</v>
      </c>
      <c r="M131" s="214">
        <v>0</v>
      </c>
      <c r="N131" s="214">
        <v>0</v>
      </c>
      <c r="O131" s="215">
        <v>53.119</v>
      </c>
      <c r="P131" s="216">
        <v>0</v>
      </c>
      <c r="Q131" s="214">
        <v>0</v>
      </c>
      <c r="R131" s="214">
        <v>0</v>
      </c>
      <c r="S131" s="215">
        <v>41.442999999999998</v>
      </c>
      <c r="T131" s="216">
        <v>0</v>
      </c>
      <c r="U131" s="214">
        <v>0</v>
      </c>
      <c r="V131" s="214">
        <v>0</v>
      </c>
      <c r="W131" s="215">
        <f>-4.105-24.909</f>
        <v>-29.013999999999999</v>
      </c>
      <c r="X131" s="216">
        <v>0</v>
      </c>
      <c r="Y131" s="214">
        <v>0</v>
      </c>
      <c r="Z131" s="214">
        <v>0</v>
      </c>
      <c r="AA131" s="215">
        <v>61.984000000000002</v>
      </c>
      <c r="AB131" s="216">
        <v>0</v>
      </c>
      <c r="AC131" s="214">
        <v>0</v>
      </c>
      <c r="AD131" s="214">
        <v>0</v>
      </c>
      <c r="AE131" s="215">
        <f>-16.681+0.893</f>
        <v>-15.788</v>
      </c>
      <c r="AF131" s="216">
        <v>0</v>
      </c>
      <c r="AG131" s="214">
        <v>0</v>
      </c>
      <c r="AH131" s="214">
        <v>0</v>
      </c>
      <c r="AI131" s="215">
        <v>0</v>
      </c>
      <c r="AJ131" s="216">
        <v>0</v>
      </c>
      <c r="AK131" s="214">
        <v>0</v>
      </c>
      <c r="AL131" s="214">
        <v>0</v>
      </c>
      <c r="AM131" s="215">
        <v>0</v>
      </c>
      <c r="AN131" s="216">
        <v>0</v>
      </c>
      <c r="AO131" s="214">
        <v>0</v>
      </c>
      <c r="AP131" s="214">
        <v>0</v>
      </c>
      <c r="AQ131" s="215">
        <v>0</v>
      </c>
      <c r="AR131" s="216">
        <v>0</v>
      </c>
      <c r="AS131" s="214">
        <v>0</v>
      </c>
      <c r="AT131" s="214">
        <v>0</v>
      </c>
      <c r="AU131" s="215">
        <v>0</v>
      </c>
      <c r="AV131" s="216">
        <v>0</v>
      </c>
      <c r="AW131" s="214">
        <v>0</v>
      </c>
      <c r="AX131" s="214">
        <v>0</v>
      </c>
      <c r="AY131" s="215">
        <v>0</v>
      </c>
      <c r="AZ131" s="216">
        <v>0</v>
      </c>
      <c r="BA131" s="214">
        <v>0</v>
      </c>
      <c r="BB131" s="214">
        <v>0</v>
      </c>
      <c r="BC131" s="215">
        <v>0</v>
      </c>
      <c r="BD131" s="216">
        <v>0</v>
      </c>
      <c r="BE131" s="211">
        <f t="shared" si="782"/>
        <v>0</v>
      </c>
      <c r="BF131" s="211">
        <f t="shared" si="783"/>
        <v>0</v>
      </c>
      <c r="BG131" s="212">
        <f t="shared" si="784"/>
        <v>0</v>
      </c>
      <c r="BH131" s="213">
        <f t="shared" si="785"/>
        <v>0</v>
      </c>
      <c r="BI131" s="211">
        <f t="shared" si="786"/>
        <v>0</v>
      </c>
      <c r="BJ131" s="211">
        <f t="shared" si="787"/>
        <v>0</v>
      </c>
      <c r="BK131" s="212">
        <f t="shared" si="788"/>
        <v>0</v>
      </c>
      <c r="BL131" s="213">
        <f t="shared" si="789"/>
        <v>0</v>
      </c>
      <c r="BM131" s="211">
        <f t="shared" si="790"/>
        <v>0</v>
      </c>
      <c r="BN131" s="211">
        <f t="shared" si="791"/>
        <v>0</v>
      </c>
      <c r="BO131" s="212">
        <f t="shared" si="792"/>
        <v>0</v>
      </c>
      <c r="BP131" s="176"/>
      <c r="BQ131" s="211">
        <f t="shared" ref="BQ131:BZ131" si="825">BQ29</f>
        <v>15.003</v>
      </c>
      <c r="BR131" s="211">
        <f t="shared" si="825"/>
        <v>96.335999999999999</v>
      </c>
      <c r="BS131" s="211">
        <f t="shared" si="825"/>
        <v>53.119</v>
      </c>
      <c r="BT131" s="211">
        <f t="shared" si="825"/>
        <v>41.442999999999998</v>
      </c>
      <c r="BU131" s="211">
        <f t="shared" si="825"/>
        <v>-29.013999999999999</v>
      </c>
      <c r="BV131" s="211">
        <f t="shared" si="825"/>
        <v>61.984000000000002</v>
      </c>
      <c r="BW131" s="211">
        <f t="shared" si="825"/>
        <v>-15.788</v>
      </c>
      <c r="BX131" s="211">
        <f t="shared" si="825"/>
        <v>0</v>
      </c>
      <c r="BY131" s="211">
        <f t="shared" si="825"/>
        <v>0</v>
      </c>
      <c r="BZ131" s="211">
        <f t="shared" si="825"/>
        <v>0</v>
      </c>
      <c r="CA131" s="211">
        <f t="shared" si="794"/>
        <v>0</v>
      </c>
      <c r="CB131" s="211">
        <f t="shared" si="794"/>
        <v>0</v>
      </c>
      <c r="CC131" s="211">
        <f t="shared" si="795"/>
        <v>0</v>
      </c>
      <c r="CD131" s="211">
        <f t="shared" si="795"/>
        <v>0</v>
      </c>
      <c r="CE131" s="211">
        <f t="shared" ref="CE131:CF131" si="826">CE29</f>
        <v>0</v>
      </c>
      <c r="CF131" s="211">
        <f t="shared" si="826"/>
        <v>0</v>
      </c>
      <c r="CG131" s="23"/>
      <c r="CH131" s="213">
        <f t="shared" ref="CH131:CP131" si="827">CH29</f>
        <v>15.003</v>
      </c>
      <c r="CI131" s="211">
        <f t="shared" si="827"/>
        <v>96.335999999999999</v>
      </c>
      <c r="CJ131" s="211">
        <f t="shared" si="827"/>
        <v>53.119</v>
      </c>
      <c r="CK131" s="211">
        <f t="shared" si="827"/>
        <v>41.442999999999998</v>
      </c>
      <c r="CL131" s="211">
        <f t="shared" si="827"/>
        <v>-29.013999999999999</v>
      </c>
      <c r="CM131" s="211">
        <f t="shared" si="827"/>
        <v>61.984000000000002</v>
      </c>
      <c r="CN131" s="211">
        <f t="shared" si="827"/>
        <v>-15.788</v>
      </c>
      <c r="CO131" s="211">
        <f t="shared" si="827"/>
        <v>0</v>
      </c>
      <c r="CP131" s="211">
        <f t="shared" si="827"/>
        <v>0</v>
      </c>
      <c r="CQ131" s="211">
        <f t="shared" si="798"/>
        <v>0</v>
      </c>
      <c r="CR131" s="211">
        <f t="shared" si="798"/>
        <v>0</v>
      </c>
      <c r="CS131" s="211">
        <f t="shared" si="799"/>
        <v>0</v>
      </c>
      <c r="CT131" s="211">
        <f t="shared" si="799"/>
        <v>0</v>
      </c>
      <c r="CU131" s="211">
        <f t="shared" ref="CU131" si="828">CU29</f>
        <v>0</v>
      </c>
      <c r="CV131" s="212">
        <f t="shared" ref="CV131" si="829">CV29</f>
        <v>0</v>
      </c>
      <c r="CW131" s="25"/>
    </row>
    <row r="132" spans="1:101" ht="14.25" hidden="1" customHeight="1" outlineLevel="1">
      <c r="A132" s="8"/>
      <c r="B132" s="56" t="s">
        <v>202</v>
      </c>
      <c r="C132" s="57"/>
      <c r="D132" s="216">
        <v>-32.86</v>
      </c>
      <c r="E132" s="214">
        <v>-22.198</v>
      </c>
      <c r="F132" s="214">
        <v>-4.9770000000000003</v>
      </c>
      <c r="G132" s="215">
        <v>2.879</v>
      </c>
      <c r="H132" s="216">
        <v>4.5170000000000003</v>
      </c>
      <c r="I132" s="214">
        <v>36.042999999999999</v>
      </c>
      <c r="J132" s="214">
        <f>50.32+5.5</f>
        <v>55.82</v>
      </c>
      <c r="K132" s="215">
        <f>0.2-0.748+21.711</f>
        <v>21.162999999999997</v>
      </c>
      <c r="L132" s="216">
        <f>7.684-0.219</f>
        <v>7.4649999999999999</v>
      </c>
      <c r="M132" s="214">
        <f>86.997-0.219</f>
        <v>86.778000000000006</v>
      </c>
      <c r="N132" s="214">
        <f>-0.219+109.695</f>
        <v>109.476</v>
      </c>
      <c r="O132" s="215">
        <f>15.295-0.219</f>
        <v>15.076000000000001</v>
      </c>
      <c r="P132" s="216">
        <v>11.88</v>
      </c>
      <c r="Q132" s="214">
        <v>53.823999999999998</v>
      </c>
      <c r="R132" s="214">
        <v>69.653999999999996</v>
      </c>
      <c r="S132" s="215">
        <f>14.198-110.401</f>
        <v>-96.203000000000003</v>
      </c>
      <c r="T132" s="216">
        <v>-15.137</v>
      </c>
      <c r="U132" s="214">
        <v>-52.875</v>
      </c>
      <c r="V132" s="214">
        <v>-27.143000000000001</v>
      </c>
      <c r="W132" s="215">
        <v>12.33</v>
      </c>
      <c r="X132" s="216">
        <v>45.046999999999997</v>
      </c>
      <c r="Y132" s="214">
        <v>126.256</v>
      </c>
      <c r="Z132" s="214">
        <v>115.916</v>
      </c>
      <c r="AA132" s="215">
        <v>-26.053000000000001</v>
      </c>
      <c r="AB132" s="214">
        <v>-35.594000000000001</v>
      </c>
      <c r="AC132" s="214">
        <v>-82.277000000000001</v>
      </c>
      <c r="AD132" s="214">
        <v>-91.875</v>
      </c>
      <c r="AE132" s="215">
        <v>-5.694</v>
      </c>
      <c r="AF132" s="214">
        <v>31.545000000000002</v>
      </c>
      <c r="AG132" s="214">
        <f>68.202-1.231</f>
        <v>66.971000000000004</v>
      </c>
      <c r="AH132" s="214">
        <v>1.367</v>
      </c>
      <c r="AI132" s="215">
        <v>26.202999999999999</v>
      </c>
      <c r="AJ132" s="214">
        <v>2.8479999999999999</v>
      </c>
      <c r="AK132" s="214">
        <f>45.845+AJ132</f>
        <v>48.692999999999998</v>
      </c>
      <c r="AL132" s="214">
        <v>48.718000000000004</v>
      </c>
      <c r="AM132" s="215">
        <f>180.85+10.205-85.444</f>
        <v>105.611</v>
      </c>
      <c r="AN132" s="214">
        <v>-24.73</v>
      </c>
      <c r="AO132" s="214">
        <v>-9.84</v>
      </c>
      <c r="AP132" s="214">
        <f>-5.741</f>
        <v>-5.7409999999999997</v>
      </c>
      <c r="AQ132" s="215">
        <f>242.282-SUM(AQ115:AQ123)</f>
        <v>145.01900000000001</v>
      </c>
      <c r="AR132" s="214">
        <v>-83.18</v>
      </c>
      <c r="AS132" s="214">
        <v>-1.9870000000000001</v>
      </c>
      <c r="AT132" s="214">
        <v>-75.524000000000001</v>
      </c>
      <c r="AU132" s="215">
        <v>-9.9540000000000006</v>
      </c>
      <c r="AV132" s="214">
        <f>-7.295</f>
        <v>-7.2949999999999999</v>
      </c>
      <c r="AW132" s="214">
        <f>76.626+3.29</f>
        <v>79.916000000000011</v>
      </c>
      <c r="AX132" s="214">
        <v>20.536999999999999</v>
      </c>
      <c r="AY132" s="215">
        <v>120.489</v>
      </c>
      <c r="AZ132" s="214">
        <v>28.594000000000001</v>
      </c>
      <c r="BA132" s="214">
        <v>262.10599999999999</v>
      </c>
      <c r="BB132" s="214">
        <v>-653.40300000000002</v>
      </c>
      <c r="BC132" s="215">
        <v>216.875</v>
      </c>
      <c r="BD132" s="214">
        <v>568.88300000000004</v>
      </c>
      <c r="BE132" s="211">
        <f t="shared" si="782"/>
        <v>568.88300000000004</v>
      </c>
      <c r="BF132" s="211">
        <f t="shared" si="783"/>
        <v>568.88300000000004</v>
      </c>
      <c r="BG132" s="212">
        <f t="shared" si="784"/>
        <v>568.88300000000004</v>
      </c>
      <c r="BH132" s="211">
        <f t="shared" si="785"/>
        <v>0</v>
      </c>
      <c r="BI132" s="211">
        <f t="shared" si="786"/>
        <v>0</v>
      </c>
      <c r="BJ132" s="211">
        <f t="shared" si="787"/>
        <v>0</v>
      </c>
      <c r="BK132" s="212">
        <f t="shared" si="788"/>
        <v>0</v>
      </c>
      <c r="BL132" s="211">
        <f t="shared" si="789"/>
        <v>0</v>
      </c>
      <c r="BM132" s="211">
        <f t="shared" si="790"/>
        <v>0</v>
      </c>
      <c r="BN132" s="211">
        <f t="shared" si="791"/>
        <v>0</v>
      </c>
      <c r="BO132" s="212">
        <f t="shared" si="792"/>
        <v>0</v>
      </c>
      <c r="BP132" s="176"/>
      <c r="BQ132" s="211">
        <f t="shared" ref="BQ132:BZ132" si="830">BQ30</f>
        <v>2.8790000000000013</v>
      </c>
      <c r="BR132" s="211">
        <f t="shared" si="830"/>
        <v>21.162999999999997</v>
      </c>
      <c r="BS132" s="211">
        <f t="shared" si="830"/>
        <v>15.075999999999993</v>
      </c>
      <c r="BT132" s="211">
        <f t="shared" si="830"/>
        <v>-96.203000000000003</v>
      </c>
      <c r="BU132" s="211">
        <f t="shared" si="830"/>
        <v>12.329999999999998</v>
      </c>
      <c r="BV132" s="211">
        <f t="shared" si="830"/>
        <v>-26.052999999999997</v>
      </c>
      <c r="BW132" s="211">
        <f t="shared" si="830"/>
        <v>-5.6940000000000026</v>
      </c>
      <c r="BX132" s="211">
        <f t="shared" si="830"/>
        <v>26.203000000000003</v>
      </c>
      <c r="BY132" s="211">
        <f t="shared" si="830"/>
        <v>105.611</v>
      </c>
      <c r="BZ132" s="211">
        <f t="shared" si="830"/>
        <v>145.01900000000001</v>
      </c>
      <c r="CA132" s="211">
        <f t="shared" si="794"/>
        <v>-9.9540000000000077</v>
      </c>
      <c r="CB132" s="211">
        <f t="shared" si="794"/>
        <v>120.48899999999999</v>
      </c>
      <c r="CC132" s="211">
        <f t="shared" si="795"/>
        <v>216.875</v>
      </c>
      <c r="CD132" s="211">
        <f t="shared" si="795"/>
        <v>568.88300000000004</v>
      </c>
      <c r="CE132" s="211">
        <f t="shared" ref="CE132:CF132" si="831">CE30</f>
        <v>0</v>
      </c>
      <c r="CF132" s="211">
        <f t="shared" si="831"/>
        <v>0</v>
      </c>
      <c r="CG132" s="23"/>
      <c r="CH132" s="213">
        <f t="shared" ref="CH132:CP132" si="832">CH30</f>
        <v>40.256000000000007</v>
      </c>
      <c r="CI132" s="211">
        <f t="shared" si="832"/>
        <v>24.110999999999994</v>
      </c>
      <c r="CJ132" s="211">
        <f t="shared" si="832"/>
        <v>19.490999999999993</v>
      </c>
      <c r="CK132" s="211">
        <f t="shared" si="832"/>
        <v>-123.22</v>
      </c>
      <c r="CL132" s="211">
        <f t="shared" si="832"/>
        <v>72.513999999999996</v>
      </c>
      <c r="CM132" s="211">
        <f t="shared" si="832"/>
        <v>-106.69399999999999</v>
      </c>
      <c r="CN132" s="211">
        <f t="shared" si="832"/>
        <v>61.445</v>
      </c>
      <c r="CO132" s="211">
        <f t="shared" si="832"/>
        <v>-2.4939999999999989</v>
      </c>
      <c r="CP132" s="211">
        <f t="shared" si="832"/>
        <v>78.033000000000001</v>
      </c>
      <c r="CQ132" s="211">
        <f t="shared" si="798"/>
        <v>86.569000000000017</v>
      </c>
      <c r="CR132" s="211">
        <f t="shared" si="798"/>
        <v>65.930999999999997</v>
      </c>
      <c r="CS132" s="211">
        <f t="shared" si="799"/>
        <v>156.37799999999999</v>
      </c>
      <c r="CT132" s="211">
        <f t="shared" si="799"/>
        <v>757.16399999999999</v>
      </c>
      <c r="CU132" s="211">
        <f t="shared" ref="CU132" si="833">CU30</f>
        <v>0</v>
      </c>
      <c r="CV132" s="212">
        <f t="shared" ref="CV132" si="834">CV30</f>
        <v>0</v>
      </c>
      <c r="CW132" s="25"/>
    </row>
    <row r="133" spans="1:101" ht="14.25" hidden="1" customHeight="1" outlineLevel="1" thickBot="1">
      <c r="A133" s="8"/>
      <c r="B133" s="217" t="s">
        <v>123</v>
      </c>
      <c r="C133" s="218"/>
      <c r="D133" s="220">
        <f t="shared" ref="D133:AQ133" si="835">D113+SUM(D115:D123)+SUM(D125:D132)</f>
        <v>116.87399999999992</v>
      </c>
      <c r="E133" s="219">
        <f t="shared" si="835"/>
        <v>292.07499999999993</v>
      </c>
      <c r="F133" s="219">
        <f t="shared" si="835"/>
        <v>472.38499999999999</v>
      </c>
      <c r="G133" s="221">
        <f t="shared" si="835"/>
        <v>672.70400000000006</v>
      </c>
      <c r="H133" s="220">
        <f t="shared" si="835"/>
        <v>175.255</v>
      </c>
      <c r="I133" s="219">
        <f t="shared" si="835"/>
        <v>380.39399999999995</v>
      </c>
      <c r="J133" s="219">
        <f t="shared" si="835"/>
        <v>454.3669999999999</v>
      </c>
      <c r="K133" s="221">
        <f t="shared" si="835"/>
        <v>621.10199999999986</v>
      </c>
      <c r="L133" s="220">
        <f t="shared" si="835"/>
        <v>208.15299999999999</v>
      </c>
      <c r="M133" s="219">
        <f t="shared" si="835"/>
        <v>446.78599999999994</v>
      </c>
      <c r="N133" s="219">
        <f t="shared" si="835"/>
        <v>637.51499999999999</v>
      </c>
      <c r="O133" s="221">
        <f t="shared" si="835"/>
        <v>820.36500000000001</v>
      </c>
      <c r="P133" s="220">
        <f t="shared" si="835"/>
        <v>177.42000000000004</v>
      </c>
      <c r="Q133" s="219">
        <f t="shared" si="835"/>
        <v>330.96300000000002</v>
      </c>
      <c r="R133" s="219">
        <f t="shared" si="835"/>
        <v>527.11</v>
      </c>
      <c r="S133" s="221">
        <f t="shared" si="835"/>
        <v>669.36800000000005</v>
      </c>
      <c r="T133" s="220">
        <f t="shared" si="835"/>
        <v>59.910000000000011</v>
      </c>
      <c r="U133" s="219">
        <f t="shared" si="835"/>
        <v>135.90600000000003</v>
      </c>
      <c r="V133" s="219">
        <f t="shared" si="835"/>
        <v>269.47000000000003</v>
      </c>
      <c r="W133" s="221">
        <f t="shared" si="835"/>
        <v>432.14800000000002</v>
      </c>
      <c r="X133" s="220">
        <f t="shared" si="835"/>
        <v>213.77299999999994</v>
      </c>
      <c r="Y133" s="219">
        <f t="shared" si="835"/>
        <v>492.09299999999996</v>
      </c>
      <c r="Z133" s="219">
        <f t="shared" si="835"/>
        <v>716.89899999999989</v>
      </c>
      <c r="AA133" s="221">
        <f t="shared" si="835"/>
        <v>991.17500000000007</v>
      </c>
      <c r="AB133" s="219">
        <f t="shared" si="835"/>
        <v>216.751</v>
      </c>
      <c r="AC133" s="219">
        <f t="shared" si="835"/>
        <v>413.3889999999999</v>
      </c>
      <c r="AD133" s="219">
        <f t="shared" si="835"/>
        <v>670.36899999999991</v>
      </c>
      <c r="AE133" s="221">
        <f t="shared" si="835"/>
        <v>900.529</v>
      </c>
      <c r="AF133" s="219">
        <f t="shared" si="835"/>
        <v>214.82</v>
      </c>
      <c r="AG133" s="219">
        <f t="shared" si="835"/>
        <v>440.78899999999999</v>
      </c>
      <c r="AH133" s="219">
        <f t="shared" si="835"/>
        <v>578.49499999999989</v>
      </c>
      <c r="AI133" s="221">
        <f t="shared" si="835"/>
        <v>814.54200000000014</v>
      </c>
      <c r="AJ133" s="219">
        <f t="shared" si="835"/>
        <v>157.96900000000002</v>
      </c>
      <c r="AK133" s="219">
        <f t="shared" si="835"/>
        <v>410.15499999999992</v>
      </c>
      <c r="AL133" s="219">
        <f>AL113+SUM(AL115:AL123)+SUM(AL125:AL132)</f>
        <v>630.17999999999995</v>
      </c>
      <c r="AM133" s="221">
        <f t="shared" si="835"/>
        <v>912.34500000000003</v>
      </c>
      <c r="AN133" s="219">
        <f t="shared" si="835"/>
        <v>157.47300000000007</v>
      </c>
      <c r="AO133" s="219">
        <f>AO113+SUM(AO115:AO123)+SUM(AO125:AO132)</f>
        <v>395.89699999999999</v>
      </c>
      <c r="AP133" s="219">
        <f t="shared" si="835"/>
        <v>609.33899999999994</v>
      </c>
      <c r="AQ133" s="221">
        <f t="shared" si="835"/>
        <v>871.60199999999998</v>
      </c>
      <c r="AR133" s="219">
        <f t="shared" ref="AR133:AU133" si="836">AR113+SUM(AR115:AR123)+SUM(AR125:AR132)</f>
        <v>168.65299999999996</v>
      </c>
      <c r="AS133" s="219">
        <f t="shared" si="836"/>
        <v>512.68400000000008</v>
      </c>
      <c r="AT133" s="219">
        <f t="shared" si="836"/>
        <v>709.82300000000009</v>
      </c>
      <c r="AU133" s="221">
        <f t="shared" si="836"/>
        <v>907.79800000000023</v>
      </c>
      <c r="AV133" s="219">
        <f>AV113+SUM(AV115:AV123)+SUM(AV125:AV132)</f>
        <v>219.70499999999998</v>
      </c>
      <c r="AW133" s="219">
        <f>AW113+SUM(AW115:AW123)+SUM(AW125:AW132)</f>
        <v>539.9079999999999</v>
      </c>
      <c r="AX133" s="219">
        <f>AX113+SUM(AX115:AX123)+SUM(AX125:AX132)</f>
        <v>793.91099999999983</v>
      </c>
      <c r="AY133" s="221">
        <f t="shared" ref="AY133" si="837">AY113+SUM(AY115:AY123)+SUM(AY125:AY132)</f>
        <v>1280.895</v>
      </c>
      <c r="AZ133" s="219">
        <f>AZ113+SUM(AZ115:AZ123)+SUM(AZ125:AZ132)</f>
        <v>314.4919999999999</v>
      </c>
      <c r="BA133" s="219">
        <f>BA113+SUM(BA115:BA123)+SUM(BA125:BA132)</f>
        <v>835.9559999999999</v>
      </c>
      <c r="BB133" s="219">
        <f>BB113+SUM(BB115:BB123)+SUM(BB125:BB132)</f>
        <v>471.673</v>
      </c>
      <c r="BC133" s="221">
        <f t="shared" ref="BC133" si="838">BC113+SUM(BC115:BC123)+SUM(BC125:BC132)</f>
        <v>1112.5919999999999</v>
      </c>
      <c r="BD133" s="219">
        <f t="shared" ref="BD133:BK133" si="839">BD113+SUM(BD115:BD123)+SUM(BD125:BD132)</f>
        <v>388.6880000000001</v>
      </c>
      <c r="BE133" s="219">
        <f t="shared" si="839"/>
        <v>885.31512166196171</v>
      </c>
      <c r="BF133" s="219">
        <f t="shared" si="839"/>
        <v>1509.027978709059</v>
      </c>
      <c r="BG133" s="221">
        <f t="shared" si="839"/>
        <v>2132.9482201279593</v>
      </c>
      <c r="BH133" s="219">
        <f t="shared" si="839"/>
        <v>607.50343745377927</v>
      </c>
      <c r="BI133" s="219">
        <f t="shared" si="839"/>
        <v>1187.9012740901039</v>
      </c>
      <c r="BJ133" s="219">
        <f t="shared" si="839"/>
        <v>1815.0677954808657</v>
      </c>
      <c r="BK133" s="221">
        <f t="shared" si="839"/>
        <v>2469.7928795458124</v>
      </c>
      <c r="BL133" s="219">
        <f t="shared" ref="BL133:BO133" si="840">BL113+SUM(BL115:BL123)+SUM(BL125:BL132)</f>
        <v>692.64293845090378</v>
      </c>
      <c r="BM133" s="219">
        <f t="shared" si="840"/>
        <v>1338.1242061827716</v>
      </c>
      <c r="BN133" s="219">
        <f t="shared" si="840"/>
        <v>2030.3590398522754</v>
      </c>
      <c r="BO133" s="221">
        <f t="shared" si="840"/>
        <v>2747.3795016018657</v>
      </c>
      <c r="BP133" s="176"/>
      <c r="BQ133" s="219">
        <f t="shared" ref="BQ133:CB133" si="841">BQ113+SUM(BQ115:BQ123)+SUM(BQ125:BQ132)</f>
        <v>672.70400000000006</v>
      </c>
      <c r="BR133" s="219">
        <f t="shared" si="841"/>
        <v>621.10199999999986</v>
      </c>
      <c r="BS133" s="219">
        <f t="shared" si="841"/>
        <v>820.36500000000001</v>
      </c>
      <c r="BT133" s="219">
        <f t="shared" si="841"/>
        <v>669.36800000000005</v>
      </c>
      <c r="BU133" s="219">
        <f t="shared" si="841"/>
        <v>432.14800000000002</v>
      </c>
      <c r="BV133" s="219">
        <f t="shared" si="841"/>
        <v>991.17500000000007</v>
      </c>
      <c r="BW133" s="219">
        <f t="shared" si="841"/>
        <v>900.529</v>
      </c>
      <c r="BX133" s="219">
        <f t="shared" si="841"/>
        <v>814.54200000000014</v>
      </c>
      <c r="BY133" s="219">
        <f t="shared" si="841"/>
        <v>912.34500000000003</v>
      </c>
      <c r="BZ133" s="219">
        <f t="shared" si="841"/>
        <v>871.60199999999986</v>
      </c>
      <c r="CA133" s="219">
        <f t="shared" si="841"/>
        <v>907.79800000000023</v>
      </c>
      <c r="CB133" s="219">
        <f t="shared" si="841"/>
        <v>1280.895</v>
      </c>
      <c r="CC133" s="219">
        <f>CC113+SUM(CC115:CC123)+SUM(CC125:CC132)</f>
        <v>1112.5919999999999</v>
      </c>
      <c r="CD133" s="219">
        <f>CD113+SUM(CD115:CD123)+SUM(CD125:CD132)</f>
        <v>2132.9482201279593</v>
      </c>
      <c r="CE133" s="219">
        <f>CE113+SUM(CE115:CE123)+SUM(CE125:CE132)</f>
        <v>2469.7928795458124</v>
      </c>
      <c r="CF133" s="219">
        <f>CF113+SUM(CF115:CF123)+SUM(CF125:CF132)</f>
        <v>2747.3795016018657</v>
      </c>
      <c r="CG133" s="23"/>
      <c r="CH133" s="220">
        <f t="shared" ref="CH133:CR133" si="842">CH113+SUM(CH115:CH123)+SUM(CH125:CH132)</f>
        <v>731.08500000000004</v>
      </c>
      <c r="CI133" s="219">
        <f t="shared" si="842"/>
        <v>653.99999999999989</v>
      </c>
      <c r="CJ133" s="219">
        <f t="shared" si="842"/>
        <v>789.63200000000006</v>
      </c>
      <c r="CK133" s="219">
        <f t="shared" si="842"/>
        <v>551.85800000000029</v>
      </c>
      <c r="CL133" s="219">
        <f t="shared" si="842"/>
        <v>586.01099999999985</v>
      </c>
      <c r="CM133" s="219">
        <f t="shared" si="842"/>
        <v>994.15300000000002</v>
      </c>
      <c r="CN133" s="219">
        <f t="shared" si="842"/>
        <v>898.59799999999996</v>
      </c>
      <c r="CO133" s="219">
        <f t="shared" si="842"/>
        <v>757.69100000000003</v>
      </c>
      <c r="CP133" s="219">
        <f t="shared" si="842"/>
        <v>911.84900000000005</v>
      </c>
      <c r="CQ133" s="219">
        <f t="shared" si="842"/>
        <v>882.78199999999993</v>
      </c>
      <c r="CR133" s="219">
        <f t="shared" si="842"/>
        <v>958.85000000000025</v>
      </c>
      <c r="CS133" s="219">
        <f>CS113+SUM(CS115:CS123)+SUM(CS125:CS132)</f>
        <v>1375.6819999999996</v>
      </c>
      <c r="CT133" s="219">
        <f>CT113+SUM(CT115:CT123)+SUM(CT125:CT132)</f>
        <v>1186.7880000000002</v>
      </c>
      <c r="CU133" s="219">
        <f>CU113+SUM(CU115:CU123)+SUM(CU125:CU132)</f>
        <v>2351.7636575817387</v>
      </c>
      <c r="CV133" s="221">
        <f>CV113+SUM(CV115:CV123)+SUM(CV125:CV132)</f>
        <v>2554.9323805429372</v>
      </c>
      <c r="CW133" s="25"/>
    </row>
    <row r="134" spans="1:101" ht="14.25" hidden="1" customHeight="1" outlineLevel="1" thickTop="1">
      <c r="A134" s="8"/>
      <c r="B134" s="26"/>
      <c r="C134" s="27"/>
      <c r="D134" s="216"/>
      <c r="E134" s="214"/>
      <c r="F134" s="214"/>
      <c r="G134" s="215"/>
      <c r="H134" s="216"/>
      <c r="I134" s="214"/>
      <c r="J134" s="214"/>
      <c r="K134" s="215"/>
      <c r="L134" s="216"/>
      <c r="M134" s="214"/>
      <c r="N134" s="214"/>
      <c r="O134" s="215"/>
      <c r="P134" s="216"/>
      <c r="Q134" s="214"/>
      <c r="R134" s="214"/>
      <c r="S134" s="215"/>
      <c r="T134" s="216"/>
      <c r="U134" s="214"/>
      <c r="V134" s="214"/>
      <c r="W134" s="215"/>
      <c r="X134" s="216"/>
      <c r="Y134" s="214"/>
      <c r="Z134" s="214"/>
      <c r="AA134" s="215"/>
      <c r="AB134" s="214"/>
      <c r="AC134" s="214"/>
      <c r="AD134" s="214"/>
      <c r="AE134" s="215"/>
      <c r="AF134" s="214"/>
      <c r="AG134" s="214"/>
      <c r="AH134" s="214"/>
      <c r="AI134" s="215"/>
      <c r="AJ134" s="214"/>
      <c r="AK134" s="214"/>
      <c r="AL134" s="214"/>
      <c r="AM134" s="215"/>
      <c r="AN134" s="214"/>
      <c r="AO134" s="214"/>
      <c r="AP134" s="214"/>
      <c r="AQ134" s="215"/>
      <c r="AR134" s="214"/>
      <c r="AS134" s="214"/>
      <c r="AT134" s="214"/>
      <c r="AU134" s="215"/>
      <c r="AV134" s="214"/>
      <c r="AW134" s="214"/>
      <c r="AX134" s="214"/>
      <c r="AY134" s="215"/>
      <c r="AZ134" s="214"/>
      <c r="BA134" s="214"/>
      <c r="BB134" s="214"/>
      <c r="BC134" s="215"/>
      <c r="BD134" s="214"/>
      <c r="BE134" s="214"/>
      <c r="BF134" s="214"/>
      <c r="BG134" s="215"/>
      <c r="BH134" s="214"/>
      <c r="BI134" s="214"/>
      <c r="BJ134" s="214"/>
      <c r="BK134" s="215"/>
      <c r="BL134" s="214"/>
      <c r="BM134" s="214"/>
      <c r="BN134" s="214"/>
      <c r="BO134" s="215"/>
      <c r="BP134" s="176"/>
      <c r="BQ134" s="214"/>
      <c r="BR134" s="214"/>
      <c r="BS134" s="214"/>
      <c r="BT134" s="214"/>
      <c r="BU134" s="214"/>
      <c r="BV134" s="214"/>
      <c r="BW134" s="214"/>
      <c r="BX134" s="214"/>
      <c r="BY134" s="214"/>
      <c r="BZ134" s="214"/>
      <c r="CA134" s="214"/>
      <c r="CB134" s="214"/>
      <c r="CC134" s="214"/>
      <c r="CD134" s="214"/>
      <c r="CE134" s="214"/>
      <c r="CF134" s="214"/>
      <c r="CG134" s="23"/>
      <c r="CH134" s="216"/>
      <c r="CI134" s="214"/>
      <c r="CJ134" s="214"/>
      <c r="CK134" s="214"/>
      <c r="CL134" s="214"/>
      <c r="CM134" s="214"/>
      <c r="CN134" s="214"/>
      <c r="CO134" s="214"/>
      <c r="CP134" s="214"/>
      <c r="CQ134" s="214"/>
      <c r="CR134" s="214"/>
      <c r="CS134" s="214"/>
      <c r="CT134" s="214"/>
      <c r="CU134" s="214"/>
      <c r="CV134" s="215"/>
      <c r="CW134" s="25"/>
    </row>
    <row r="135" spans="1:101" ht="14.25" hidden="1" customHeight="1" outlineLevel="1">
      <c r="A135" s="8"/>
      <c r="B135" s="51" t="s">
        <v>124</v>
      </c>
      <c r="C135" s="52"/>
      <c r="D135" s="216"/>
      <c r="E135" s="214"/>
      <c r="F135" s="214"/>
      <c r="G135" s="215"/>
      <c r="H135" s="216"/>
      <c r="I135" s="214"/>
      <c r="J135" s="214"/>
      <c r="K135" s="215"/>
      <c r="L135" s="216"/>
      <c r="M135" s="214"/>
      <c r="N135" s="214"/>
      <c r="O135" s="215"/>
      <c r="P135" s="216"/>
      <c r="Q135" s="214"/>
      <c r="R135" s="214"/>
      <c r="S135" s="215"/>
      <c r="T135" s="216"/>
      <c r="U135" s="214"/>
      <c r="V135" s="214"/>
      <c r="W135" s="215"/>
      <c r="X135" s="216"/>
      <c r="Y135" s="214"/>
      <c r="Z135" s="214"/>
      <c r="AA135" s="215"/>
      <c r="AB135" s="214"/>
      <c r="AC135" s="214"/>
      <c r="AD135" s="214"/>
      <c r="AE135" s="215"/>
      <c r="AF135" s="214"/>
      <c r="AG135" s="214"/>
      <c r="AH135" s="214"/>
      <c r="AI135" s="215"/>
      <c r="AJ135" s="214"/>
      <c r="AK135" s="214"/>
      <c r="AL135" s="214"/>
      <c r="AM135" s="215"/>
      <c r="AN135" s="214"/>
      <c r="AO135" s="214"/>
      <c r="AP135" s="214"/>
      <c r="AQ135" s="215"/>
      <c r="AR135" s="214"/>
      <c r="AS135" s="214"/>
      <c r="AT135" s="214"/>
      <c r="AU135" s="215"/>
      <c r="AV135" s="214"/>
      <c r="AW135" s="214"/>
      <c r="AX135" s="214"/>
      <c r="AY135" s="215"/>
      <c r="AZ135" s="214"/>
      <c r="BA135" s="214"/>
      <c r="BB135" s="214"/>
      <c r="BC135" s="215"/>
      <c r="BD135" s="214"/>
      <c r="BE135" s="214"/>
      <c r="BF135" s="214"/>
      <c r="BG135" s="215"/>
      <c r="BH135" s="214"/>
      <c r="BI135" s="214"/>
      <c r="BJ135" s="214"/>
      <c r="BK135" s="215"/>
      <c r="BL135" s="214"/>
      <c r="BM135" s="214"/>
      <c r="BN135" s="214"/>
      <c r="BO135" s="215"/>
      <c r="BP135" s="176"/>
      <c r="BQ135" s="214"/>
      <c r="BR135" s="214"/>
      <c r="BS135" s="214"/>
      <c r="BT135" s="214"/>
      <c r="BU135" s="214"/>
      <c r="BV135" s="214"/>
      <c r="BW135" s="214"/>
      <c r="BX135" s="214"/>
      <c r="BY135" s="214"/>
      <c r="BZ135" s="214"/>
      <c r="CA135" s="214"/>
      <c r="CB135" s="214"/>
      <c r="CC135" s="214"/>
      <c r="CD135" s="214"/>
      <c r="CE135" s="214"/>
      <c r="CF135" s="214"/>
      <c r="CG135" s="23"/>
      <c r="CH135" s="216"/>
      <c r="CI135" s="214"/>
      <c r="CJ135" s="214"/>
      <c r="CK135" s="214"/>
      <c r="CL135" s="214"/>
      <c r="CM135" s="214"/>
      <c r="CN135" s="214"/>
      <c r="CO135" s="214"/>
      <c r="CP135" s="214"/>
      <c r="CQ135" s="214"/>
      <c r="CR135" s="214"/>
      <c r="CS135" s="214"/>
      <c r="CT135" s="214"/>
      <c r="CU135" s="214"/>
      <c r="CV135" s="215"/>
      <c r="CW135" s="25"/>
    </row>
    <row r="136" spans="1:101" ht="14.25" hidden="1" customHeight="1" outlineLevel="1">
      <c r="A136" s="8"/>
      <c r="B136" s="31" t="s">
        <v>246</v>
      </c>
      <c r="C136" s="32"/>
      <c r="D136" s="216">
        <v>-23.884</v>
      </c>
      <c r="E136" s="214">
        <v>-45.515999999999998</v>
      </c>
      <c r="F136" s="214">
        <v>-64.427999999999997</v>
      </c>
      <c r="G136" s="215">
        <v>-85.456999999999994</v>
      </c>
      <c r="H136" s="216">
        <v>-20.36</v>
      </c>
      <c r="I136" s="214">
        <v>-49.182000000000002</v>
      </c>
      <c r="J136" s="214">
        <v>-87.542000000000002</v>
      </c>
      <c r="K136" s="215">
        <v>-129.297</v>
      </c>
      <c r="L136" s="216">
        <v>-37.725999999999999</v>
      </c>
      <c r="M136" s="214">
        <v>-77.387</v>
      </c>
      <c r="N136" s="214">
        <v>-108.633</v>
      </c>
      <c r="O136" s="215">
        <v>-141.81</v>
      </c>
      <c r="P136" s="216">
        <v>-40.115000000000002</v>
      </c>
      <c r="Q136" s="214">
        <v>-70.650000000000006</v>
      </c>
      <c r="R136" s="214">
        <v>-110.03100000000001</v>
      </c>
      <c r="S136" s="215">
        <v>-157.40799999999999</v>
      </c>
      <c r="T136" s="216">
        <v>-22.234999999999999</v>
      </c>
      <c r="U136" s="214">
        <v>-34.280999999999999</v>
      </c>
      <c r="V136" s="214">
        <v>-39.706000000000003</v>
      </c>
      <c r="W136" s="215">
        <v>-56.094999999999999</v>
      </c>
      <c r="X136" s="216">
        <v>-17.178999999999998</v>
      </c>
      <c r="Y136" s="214">
        <v>-34.668999999999997</v>
      </c>
      <c r="Z136" s="214">
        <v>-73.793999999999997</v>
      </c>
      <c r="AA136" s="215">
        <v>-111.557</v>
      </c>
      <c r="AB136" s="214">
        <v>-25.547000000000001</v>
      </c>
      <c r="AC136" s="214">
        <v>-59.688000000000002</v>
      </c>
      <c r="AD136" s="214">
        <v>-96.665000000000006</v>
      </c>
      <c r="AE136" s="215">
        <v>-122.996</v>
      </c>
      <c r="AF136" s="214">
        <v>-25.289000000000001</v>
      </c>
      <c r="AG136" s="214">
        <v>-55.426000000000002</v>
      </c>
      <c r="AH136" s="214">
        <v>-94.665000000000006</v>
      </c>
      <c r="AI136" s="215">
        <v>-132.17599999999999</v>
      </c>
      <c r="AJ136" s="214">
        <v>-18.268999999999998</v>
      </c>
      <c r="AK136" s="214">
        <f>-26.179+AJ136</f>
        <v>-44.447999999999993</v>
      </c>
      <c r="AL136" s="214">
        <v>-74.516000000000005</v>
      </c>
      <c r="AM136" s="215">
        <v>-123.074</v>
      </c>
      <c r="AN136" s="214">
        <v>-48.122999999999998</v>
      </c>
      <c r="AO136" s="214">
        <v>-92.180999999999997</v>
      </c>
      <c r="AP136" s="214">
        <v>-134.49600000000001</v>
      </c>
      <c r="AQ136" s="215">
        <v>-177.91300000000001</v>
      </c>
      <c r="AR136" s="214">
        <v>-23.76</v>
      </c>
      <c r="AS136" s="214">
        <v>-72.989000000000004</v>
      </c>
      <c r="AT136" s="214">
        <v>-108.15300000000001</v>
      </c>
      <c r="AU136" s="215">
        <v>-153.96</v>
      </c>
      <c r="AV136" s="214">
        <v>-23.128</v>
      </c>
      <c r="AW136" s="214">
        <v>-48.645000000000003</v>
      </c>
      <c r="AX136" s="214">
        <v>-86.173000000000002</v>
      </c>
      <c r="AY136" s="215">
        <v>-127.39700000000001</v>
      </c>
      <c r="AZ136" s="214">
        <v>-28.337</v>
      </c>
      <c r="BA136" s="214">
        <v>-75.266000000000005</v>
      </c>
      <c r="BB136" s="214">
        <v>-138.88300000000001</v>
      </c>
      <c r="BC136" s="215">
        <v>-204.09800000000001</v>
      </c>
      <c r="BD136" s="214">
        <v>-63.222000000000001</v>
      </c>
      <c r="BE136" s="211">
        <f t="shared" ref="BE136:BE142" si="843">BD136+BE34</f>
        <v>-136.74074124999999</v>
      </c>
      <c r="BF136" s="211">
        <f t="shared" ref="BF136:BF142" si="844">BE136+BF34</f>
        <v>-212.41522772874998</v>
      </c>
      <c r="BG136" s="212">
        <f t="shared" ref="BG136:BG142" si="845">BF136+BG34</f>
        <v>-290.58779615293747</v>
      </c>
      <c r="BH136" s="211">
        <f t="shared" ref="BH136:BH142" si="846">BH34</f>
        <v>-74.104302327298115</v>
      </c>
      <c r="BI136" s="211">
        <f t="shared" ref="BI136:BI142" si="847">BH136+BI34</f>
        <v>-151.59656440790155</v>
      </c>
      <c r="BJ136" s="211">
        <f t="shared" ref="BJ136:BJ142" si="848">BI136+BJ34</f>
        <v>-231.93051631156032</v>
      </c>
      <c r="BK136" s="212">
        <f t="shared" ref="BK136:BK142" si="849">BJ136+BK34</f>
        <v>-315.61312248344103</v>
      </c>
      <c r="BL136" s="211">
        <f t="shared" ref="BL136:BL142" si="850">BL34</f>
        <v>-79.333775579796438</v>
      </c>
      <c r="BM136" s="211">
        <f t="shared" ref="BM136:BM142" si="851">BL136+BM34</f>
        <v>-162.02471040950121</v>
      </c>
      <c r="BN136" s="211">
        <f t="shared" ref="BN136:BN142" si="852">BM136+BN34</f>
        <v>-247.32484317206541</v>
      </c>
      <c r="BO136" s="212">
        <f t="shared" ref="BO136:BO142" si="853">BN136+BO34</f>
        <v>-335.65352198753044</v>
      </c>
      <c r="BP136" s="176"/>
      <c r="BQ136" s="211">
        <f t="shared" ref="BQ136:BZ136" si="854">BQ34</f>
        <v>-85.456999999999994</v>
      </c>
      <c r="BR136" s="211">
        <f t="shared" si="854"/>
        <v>-129.297</v>
      </c>
      <c r="BS136" s="211">
        <f t="shared" si="854"/>
        <v>-141.81</v>
      </c>
      <c r="BT136" s="211">
        <f t="shared" si="854"/>
        <v>-157.40799999999999</v>
      </c>
      <c r="BU136" s="211">
        <f t="shared" si="854"/>
        <v>-56.094999999999999</v>
      </c>
      <c r="BV136" s="211">
        <f t="shared" si="854"/>
        <v>-111.557</v>
      </c>
      <c r="BW136" s="211">
        <f t="shared" si="854"/>
        <v>-122.996</v>
      </c>
      <c r="BX136" s="211">
        <f t="shared" si="854"/>
        <v>-132.17599999999999</v>
      </c>
      <c r="BY136" s="211">
        <f t="shared" si="854"/>
        <v>-123.07400000000001</v>
      </c>
      <c r="BZ136" s="211">
        <f t="shared" si="854"/>
        <v>-177.91300000000001</v>
      </c>
      <c r="CA136" s="211">
        <f t="shared" ref="CA136:CB142" si="855">CA34</f>
        <v>-153.96</v>
      </c>
      <c r="CB136" s="211">
        <f t="shared" si="855"/>
        <v>-127.39700000000001</v>
      </c>
      <c r="CC136" s="211">
        <f t="shared" ref="CC136:CD142" si="856">CC34</f>
        <v>-204.09800000000001</v>
      </c>
      <c r="CD136" s="211">
        <f t="shared" si="856"/>
        <v>-290.58779615293747</v>
      </c>
      <c r="CE136" s="211">
        <f t="shared" ref="CE136:CF136" si="857">CE34</f>
        <v>-315.61312248344103</v>
      </c>
      <c r="CF136" s="211">
        <f t="shared" si="857"/>
        <v>-335.65352198753044</v>
      </c>
      <c r="CG136" s="23"/>
      <c r="CH136" s="213">
        <f t="shared" ref="CH136:CP136" si="858">CH34</f>
        <v>-81.932999999999993</v>
      </c>
      <c r="CI136" s="211">
        <f t="shared" si="858"/>
        <v>-146.66300000000001</v>
      </c>
      <c r="CJ136" s="211">
        <f t="shared" si="858"/>
        <v>-144.19900000000001</v>
      </c>
      <c r="CK136" s="211">
        <f t="shared" si="858"/>
        <v>-139.52800000000002</v>
      </c>
      <c r="CL136" s="211">
        <f t="shared" si="858"/>
        <v>-51.039000000000001</v>
      </c>
      <c r="CM136" s="211">
        <f t="shared" si="858"/>
        <v>-119.925</v>
      </c>
      <c r="CN136" s="211">
        <f t="shared" si="858"/>
        <v>-122.738</v>
      </c>
      <c r="CO136" s="211">
        <f t="shared" si="858"/>
        <v>-125.15599999999998</v>
      </c>
      <c r="CP136" s="211">
        <f t="shared" si="858"/>
        <v>-152.928</v>
      </c>
      <c r="CQ136" s="211">
        <f t="shared" ref="CQ136:CR142" si="859">CQ34</f>
        <v>-153.55000000000001</v>
      </c>
      <c r="CR136" s="211">
        <f t="shared" si="859"/>
        <v>-153.32799999999997</v>
      </c>
      <c r="CS136" s="211">
        <f t="shared" ref="CS136:CT142" si="860">CS34</f>
        <v>-132.60599999999999</v>
      </c>
      <c r="CT136" s="211">
        <f t="shared" si="860"/>
        <v>-238.983</v>
      </c>
      <c r="CU136" s="211">
        <f t="shared" ref="CU136" si="861">CU34</f>
        <v>-301.47009848023561</v>
      </c>
      <c r="CV136" s="212">
        <f t="shared" ref="CV136" si="862">CV34</f>
        <v>-320.84259573593937</v>
      </c>
      <c r="CW136" s="25"/>
    </row>
    <row r="137" spans="1:101" ht="14.25" hidden="1" customHeight="1" outlineLevel="1">
      <c r="A137" s="8"/>
      <c r="B137" s="31" t="s">
        <v>247</v>
      </c>
      <c r="C137" s="32"/>
      <c r="D137" s="216">
        <v>-797.65499999999997</v>
      </c>
      <c r="E137" s="214">
        <v>-1740.3420000000001</v>
      </c>
      <c r="F137" s="214">
        <v>-2581.828</v>
      </c>
      <c r="G137" s="215">
        <v>-3457.0169999999998</v>
      </c>
      <c r="H137" s="216">
        <v>-954.87099999999998</v>
      </c>
      <c r="I137" s="214">
        <v>-1375.9739999999999</v>
      </c>
      <c r="J137" s="214">
        <v>-2065.1039999999998</v>
      </c>
      <c r="K137" s="215">
        <v>-2483.123</v>
      </c>
      <c r="L137" s="216">
        <v>-646.40700000000004</v>
      </c>
      <c r="M137" s="214">
        <v>-1206.3399999999999</v>
      </c>
      <c r="N137" s="214">
        <v>-1495.905</v>
      </c>
      <c r="O137" s="215">
        <v>-1807.4760000000001</v>
      </c>
      <c r="P137" s="216">
        <v>-351.221</v>
      </c>
      <c r="Q137" s="214">
        <v>-924.20399999999995</v>
      </c>
      <c r="R137" s="214">
        <v>-1551.019</v>
      </c>
      <c r="S137" s="215">
        <v>-1925.654</v>
      </c>
      <c r="T137" s="216">
        <v>-263.90600000000001</v>
      </c>
      <c r="U137" s="214">
        <v>-847.58299999999997</v>
      </c>
      <c r="V137" s="214">
        <v>-1914.4280000000001</v>
      </c>
      <c r="W137" s="215">
        <v>-2812.0940000000001</v>
      </c>
      <c r="X137" s="216">
        <v>-739.30899999999997</v>
      </c>
      <c r="Y137" s="214">
        <v>-1673.2429999999999</v>
      </c>
      <c r="Z137" s="214">
        <v>-2439.5059999999999</v>
      </c>
      <c r="AA137" s="215">
        <v>-3478.0250000000001</v>
      </c>
      <c r="AB137" s="214">
        <v>-664.14800000000002</v>
      </c>
      <c r="AC137" s="214">
        <v>-1658.7660000000001</v>
      </c>
      <c r="AD137" s="214">
        <v>-3132.6329999999998</v>
      </c>
      <c r="AE137" s="215">
        <v>-4289.3040000000001</v>
      </c>
      <c r="AF137" s="214">
        <v>-2192.8739999999998</v>
      </c>
      <c r="AG137" s="214">
        <v>-4428.4750000000004</v>
      </c>
      <c r="AH137" s="214">
        <v>-6282.7240000000002</v>
      </c>
      <c r="AI137" s="215">
        <v>-8165.0429999999997</v>
      </c>
      <c r="AJ137" s="214">
        <v>-1653.5930000000001</v>
      </c>
      <c r="AK137" s="214">
        <f>-2203.316+AJ137</f>
        <v>-3856.9089999999997</v>
      </c>
      <c r="AL137" s="214">
        <v>-5980.7349999999997</v>
      </c>
      <c r="AM137" s="215">
        <v>-8540.3349999999991</v>
      </c>
      <c r="AN137" s="214">
        <v>-2234.9960000000001</v>
      </c>
      <c r="AO137" s="214">
        <v>-4510.2370000000001</v>
      </c>
      <c r="AP137" s="214">
        <v>-5539.018</v>
      </c>
      <c r="AQ137" s="215">
        <v>-7485.1620000000003</v>
      </c>
      <c r="AR137" s="214">
        <v>-1211.021</v>
      </c>
      <c r="AS137" s="214">
        <v>-2872.1970000000001</v>
      </c>
      <c r="AT137" s="214">
        <v>-4275.7969999999996</v>
      </c>
      <c r="AU137" s="215">
        <v>-6083.9989999999998</v>
      </c>
      <c r="AV137" s="214">
        <v>-1632.0139999999999</v>
      </c>
      <c r="AW137" s="214">
        <v>-3571.7640000000001</v>
      </c>
      <c r="AX137" s="214">
        <v>-5855.93</v>
      </c>
      <c r="AY137" s="215">
        <v>-7697.26</v>
      </c>
      <c r="AZ137" s="214">
        <v>-326.90800000000002</v>
      </c>
      <c r="BA137" s="214">
        <v>-705.44799999999998</v>
      </c>
      <c r="BB137" s="214">
        <v>-705.48500000000001</v>
      </c>
      <c r="BC137" s="215">
        <v>-705.48500000000001</v>
      </c>
      <c r="BD137" s="214">
        <v>0</v>
      </c>
      <c r="BE137" s="211">
        <f t="shared" si="843"/>
        <v>0</v>
      </c>
      <c r="BF137" s="211">
        <f t="shared" si="844"/>
        <v>0</v>
      </c>
      <c r="BG137" s="212">
        <f t="shared" si="845"/>
        <v>0</v>
      </c>
      <c r="BH137" s="211">
        <f t="shared" si="846"/>
        <v>0</v>
      </c>
      <c r="BI137" s="211">
        <f t="shared" si="847"/>
        <v>0</v>
      </c>
      <c r="BJ137" s="211">
        <f t="shared" si="848"/>
        <v>0</v>
      </c>
      <c r="BK137" s="212">
        <f t="shared" si="849"/>
        <v>0</v>
      </c>
      <c r="BL137" s="211">
        <f t="shared" si="850"/>
        <v>0</v>
      </c>
      <c r="BM137" s="211">
        <f t="shared" si="851"/>
        <v>0</v>
      </c>
      <c r="BN137" s="211">
        <f t="shared" si="852"/>
        <v>0</v>
      </c>
      <c r="BO137" s="212">
        <f t="shared" si="853"/>
        <v>0</v>
      </c>
      <c r="BP137" s="176"/>
      <c r="BQ137" s="211">
        <f t="shared" ref="BQ137:BZ137" si="863">BQ35</f>
        <v>-3457.0169999999998</v>
      </c>
      <c r="BR137" s="211">
        <f t="shared" si="863"/>
        <v>-2483.123</v>
      </c>
      <c r="BS137" s="211">
        <f t="shared" si="863"/>
        <v>-1807.4760000000001</v>
      </c>
      <c r="BT137" s="211">
        <f t="shared" si="863"/>
        <v>-1925.654</v>
      </c>
      <c r="BU137" s="211">
        <f t="shared" si="863"/>
        <v>-2812.0940000000001</v>
      </c>
      <c r="BV137" s="211">
        <f t="shared" si="863"/>
        <v>-3478.0250000000001</v>
      </c>
      <c r="BW137" s="211">
        <f t="shared" si="863"/>
        <v>-4289.3040000000001</v>
      </c>
      <c r="BX137" s="211">
        <f t="shared" si="863"/>
        <v>-8165.0429999999997</v>
      </c>
      <c r="BY137" s="211">
        <f t="shared" si="863"/>
        <v>-8540.3349999999991</v>
      </c>
      <c r="BZ137" s="211">
        <f t="shared" si="863"/>
        <v>-7485.1620000000003</v>
      </c>
      <c r="CA137" s="211">
        <f t="shared" si="855"/>
        <v>-6083.9989999999998</v>
      </c>
      <c r="CB137" s="211">
        <f t="shared" si="855"/>
        <v>-7697.26</v>
      </c>
      <c r="CC137" s="211">
        <f t="shared" si="856"/>
        <v>-705.48500000000001</v>
      </c>
      <c r="CD137" s="211">
        <f t="shared" si="856"/>
        <v>0</v>
      </c>
      <c r="CE137" s="211">
        <f t="shared" ref="CE137:CF137" si="864">CE35</f>
        <v>0</v>
      </c>
      <c r="CF137" s="211">
        <f t="shared" si="864"/>
        <v>0</v>
      </c>
      <c r="CG137" s="23"/>
      <c r="CH137" s="213">
        <f t="shared" ref="CH137:CP137" si="865">CH35</f>
        <v>-3614.2330000000002</v>
      </c>
      <c r="CI137" s="211">
        <f t="shared" si="865"/>
        <v>-2174.6590000000001</v>
      </c>
      <c r="CJ137" s="211">
        <f t="shared" si="865"/>
        <v>-1512.29</v>
      </c>
      <c r="CK137" s="211">
        <f t="shared" si="865"/>
        <v>-1838.3389999999999</v>
      </c>
      <c r="CL137" s="211">
        <f t="shared" si="865"/>
        <v>-3287.4970000000003</v>
      </c>
      <c r="CM137" s="211">
        <f t="shared" si="865"/>
        <v>-3402.8640000000005</v>
      </c>
      <c r="CN137" s="211">
        <f t="shared" si="865"/>
        <v>-5818.03</v>
      </c>
      <c r="CO137" s="211">
        <f t="shared" si="865"/>
        <v>-7625.7619999999997</v>
      </c>
      <c r="CP137" s="211">
        <f t="shared" si="865"/>
        <v>-9121.7379999999994</v>
      </c>
      <c r="CQ137" s="211">
        <f t="shared" si="859"/>
        <v>-6461.1869999999999</v>
      </c>
      <c r="CR137" s="211">
        <f t="shared" si="859"/>
        <v>-6504.9919999999993</v>
      </c>
      <c r="CS137" s="211">
        <f t="shared" si="860"/>
        <v>-6392.1540000000005</v>
      </c>
      <c r="CT137" s="211">
        <f t="shared" si="860"/>
        <v>-378.577</v>
      </c>
      <c r="CU137" s="211">
        <f t="shared" ref="CU137" si="866">CU35</f>
        <v>0</v>
      </c>
      <c r="CV137" s="212">
        <f t="shared" ref="CV137" si="867">CV35</f>
        <v>0</v>
      </c>
      <c r="CW137" s="25"/>
    </row>
    <row r="138" spans="1:101" ht="14.25" hidden="1" customHeight="1" outlineLevel="1">
      <c r="A138" s="8"/>
      <c r="B138" s="31" t="s">
        <v>248</v>
      </c>
      <c r="C138" s="32"/>
      <c r="D138" s="216">
        <v>763.96</v>
      </c>
      <c r="E138" s="214">
        <v>1588.8240000000001</v>
      </c>
      <c r="F138" s="214">
        <v>2195.1289999999999</v>
      </c>
      <c r="G138" s="215">
        <v>3526.8710000000001</v>
      </c>
      <c r="H138" s="216">
        <v>726.80700000000002</v>
      </c>
      <c r="I138" s="214">
        <v>1168.4369999999999</v>
      </c>
      <c r="J138" s="214">
        <v>2158.0749999999998</v>
      </c>
      <c r="K138" s="215">
        <v>2788.7170000000001</v>
      </c>
      <c r="L138" s="216">
        <v>878.61900000000003</v>
      </c>
      <c r="M138" s="214">
        <v>1560.2639999999999</v>
      </c>
      <c r="N138" s="214">
        <v>2397.6759999999999</v>
      </c>
      <c r="O138" s="215">
        <f>2943.468+8.003</f>
        <v>2951.471</v>
      </c>
      <c r="P138" s="216">
        <v>371.39600000000002</v>
      </c>
      <c r="Q138" s="214">
        <v>810.91600000000005</v>
      </c>
      <c r="R138" s="214">
        <f>1348.947</f>
        <v>1348.9469999999999</v>
      </c>
      <c r="S138" s="215">
        <f>1768.948+99.734</f>
        <v>1868.682</v>
      </c>
      <c r="T138" s="216">
        <v>464.197</v>
      </c>
      <c r="U138" s="214">
        <v>952.24</v>
      </c>
      <c r="V138" s="214">
        <f>1535.941</f>
        <v>1535.941</v>
      </c>
      <c r="W138" s="215">
        <f>2274.254+74.88</f>
        <v>2349.134</v>
      </c>
      <c r="X138" s="216">
        <f>625.921+24.977</f>
        <v>650.89800000000002</v>
      </c>
      <c r="Y138" s="214">
        <f>1386.041+84.941</f>
        <v>1470.982</v>
      </c>
      <c r="Z138" s="214">
        <f>2015.706+84.941</f>
        <v>2100.6469999999999</v>
      </c>
      <c r="AA138" s="215">
        <f>2801.727+234.718</f>
        <v>3036.4449999999997</v>
      </c>
      <c r="AB138" s="214">
        <f>651.887+239.419</f>
        <v>891.30599999999993</v>
      </c>
      <c r="AC138" s="214">
        <f>1480.687+259.385</f>
        <v>1740.0719999999999</v>
      </c>
      <c r="AD138" s="214">
        <f>2334.311+259.385</f>
        <v>2593.6959999999999</v>
      </c>
      <c r="AE138" s="215">
        <f>3436.284+282.861</f>
        <v>3719.145</v>
      </c>
      <c r="AF138" s="214">
        <f>1659.792+151.841</f>
        <v>1811.6329999999998</v>
      </c>
      <c r="AG138" s="214">
        <f>3295.587+261.575</f>
        <v>3557.1619999999998</v>
      </c>
      <c r="AH138" s="214">
        <f>4829.822+337.905</f>
        <v>5167.7269999999999</v>
      </c>
      <c r="AI138" s="215">
        <f>6543.795+437.748</f>
        <v>6981.5429999999997</v>
      </c>
      <c r="AJ138" s="214">
        <f>1551.147+283.164</f>
        <v>1834.3109999999999</v>
      </c>
      <c r="AK138" s="214">
        <f>1726.488+AJ138+91.351</f>
        <v>3652.15</v>
      </c>
      <c r="AL138" s="214">
        <f>4771.441+590.827</f>
        <v>5362.268</v>
      </c>
      <c r="AM138" s="215">
        <f>6970.885+650.73</f>
        <v>7621.6149999999998</v>
      </c>
      <c r="AN138" s="214">
        <f>2029.319+212.819</f>
        <v>2242.1379999999999</v>
      </c>
      <c r="AO138" s="214">
        <f>3995.075+402.086</f>
        <v>4397.1610000000001</v>
      </c>
      <c r="AP138" s="214">
        <f>1700.13+5810.937</f>
        <v>7511.067</v>
      </c>
      <c r="AQ138" s="215">
        <f>7318.877+2187.389</f>
        <v>9506.2659999999996</v>
      </c>
      <c r="AR138" s="214">
        <f>701.149+583.75</f>
        <v>1284.8989999999999</v>
      </c>
      <c r="AS138" s="214">
        <v>1855.5609999999999</v>
      </c>
      <c r="AT138" s="214">
        <f>2939.035+1091.648</f>
        <v>4030.683</v>
      </c>
      <c r="AU138" s="215">
        <f>4984.98+1251.194</f>
        <v>6236.1739999999991</v>
      </c>
      <c r="AV138" s="214">
        <v>1409.538</v>
      </c>
      <c r="AW138" s="214">
        <v>2932.2260000000001</v>
      </c>
      <c r="AX138" s="214">
        <f>5010.942+290.071</f>
        <v>5301.0129999999999</v>
      </c>
      <c r="AY138" s="215">
        <f>332.716+6375.361</f>
        <v>6708.0770000000002</v>
      </c>
      <c r="AZ138" s="214">
        <f>287.601+1844.38</f>
        <v>2131.9810000000002</v>
      </c>
      <c r="BA138" s="214">
        <f>3091.873+357.388</f>
        <v>3449.261</v>
      </c>
      <c r="BB138" s="214">
        <f>3362.791+577.187</f>
        <v>3939.9780000000001</v>
      </c>
      <c r="BC138" s="215">
        <f>577.187+3362.792</f>
        <v>3939.9789999999998</v>
      </c>
      <c r="BD138" s="214">
        <v>0</v>
      </c>
      <c r="BE138" s="211">
        <f t="shared" si="843"/>
        <v>0</v>
      </c>
      <c r="BF138" s="211">
        <f t="shared" si="844"/>
        <v>0</v>
      </c>
      <c r="BG138" s="212">
        <f t="shared" si="845"/>
        <v>0</v>
      </c>
      <c r="BH138" s="211">
        <f t="shared" si="846"/>
        <v>0</v>
      </c>
      <c r="BI138" s="211">
        <f t="shared" si="847"/>
        <v>0</v>
      </c>
      <c r="BJ138" s="211">
        <f t="shared" si="848"/>
        <v>0</v>
      </c>
      <c r="BK138" s="212">
        <f t="shared" si="849"/>
        <v>0</v>
      </c>
      <c r="BL138" s="211">
        <f t="shared" si="850"/>
        <v>0</v>
      </c>
      <c r="BM138" s="211">
        <f t="shared" si="851"/>
        <v>0</v>
      </c>
      <c r="BN138" s="211">
        <f t="shared" si="852"/>
        <v>0</v>
      </c>
      <c r="BO138" s="212">
        <f t="shared" si="853"/>
        <v>0</v>
      </c>
      <c r="BP138" s="176"/>
      <c r="BQ138" s="211">
        <f t="shared" ref="BQ138:BZ138" si="868">BQ36</f>
        <v>3526.8710000000001</v>
      </c>
      <c r="BR138" s="211">
        <f t="shared" si="868"/>
        <v>2788.7170000000001</v>
      </c>
      <c r="BS138" s="211">
        <f t="shared" si="868"/>
        <v>2951.471</v>
      </c>
      <c r="BT138" s="211">
        <f t="shared" si="868"/>
        <v>1868.6820000000002</v>
      </c>
      <c r="BU138" s="211">
        <f t="shared" si="868"/>
        <v>2349.134</v>
      </c>
      <c r="BV138" s="211">
        <f t="shared" si="868"/>
        <v>3036.4449999999997</v>
      </c>
      <c r="BW138" s="211">
        <f t="shared" si="868"/>
        <v>3719.145</v>
      </c>
      <c r="BX138" s="211">
        <f t="shared" si="868"/>
        <v>6981.5429999999997</v>
      </c>
      <c r="BY138" s="211">
        <f t="shared" si="868"/>
        <v>7621.6149999999998</v>
      </c>
      <c r="BZ138" s="211">
        <f t="shared" si="868"/>
        <v>9506.2659999999996</v>
      </c>
      <c r="CA138" s="211">
        <f t="shared" si="855"/>
        <v>6236.1739999999991</v>
      </c>
      <c r="CB138" s="211">
        <f t="shared" si="855"/>
        <v>6708.0770000000011</v>
      </c>
      <c r="CC138" s="211">
        <f t="shared" si="856"/>
        <v>3939.9789999999998</v>
      </c>
      <c r="CD138" s="211">
        <f t="shared" si="856"/>
        <v>0</v>
      </c>
      <c r="CE138" s="211">
        <f t="shared" ref="CE138:CF138" si="869">CE36</f>
        <v>0</v>
      </c>
      <c r="CF138" s="211">
        <f t="shared" si="869"/>
        <v>0</v>
      </c>
      <c r="CG138" s="23"/>
      <c r="CH138" s="213">
        <f t="shared" ref="CH138:CP138" si="870">CH36</f>
        <v>3489.7179999999998</v>
      </c>
      <c r="CI138" s="211">
        <f t="shared" si="870"/>
        <v>2940.529</v>
      </c>
      <c r="CJ138" s="211">
        <f t="shared" si="870"/>
        <v>2444.248</v>
      </c>
      <c r="CK138" s="211">
        <f t="shared" si="870"/>
        <v>1961.4830000000002</v>
      </c>
      <c r="CL138" s="211">
        <f t="shared" si="870"/>
        <v>2535.835</v>
      </c>
      <c r="CM138" s="211">
        <f t="shared" si="870"/>
        <v>3276.8530000000001</v>
      </c>
      <c r="CN138" s="211">
        <f t="shared" si="870"/>
        <v>4639.4719999999998</v>
      </c>
      <c r="CO138" s="211">
        <f t="shared" si="870"/>
        <v>7004.2209999999995</v>
      </c>
      <c r="CP138" s="211">
        <f t="shared" si="870"/>
        <v>8029.442</v>
      </c>
      <c r="CQ138" s="211">
        <f t="shared" si="859"/>
        <v>8549.027</v>
      </c>
      <c r="CR138" s="211">
        <f t="shared" si="859"/>
        <v>6360.8130000000001</v>
      </c>
      <c r="CS138" s="211">
        <f t="shared" si="860"/>
        <v>7430.52</v>
      </c>
      <c r="CT138" s="211">
        <f t="shared" si="860"/>
        <v>1807.9979999999996</v>
      </c>
      <c r="CU138" s="211">
        <f t="shared" ref="CU138" si="871">CU36</f>
        <v>0</v>
      </c>
      <c r="CV138" s="212">
        <f t="shared" ref="CV138" si="872">CV36</f>
        <v>0</v>
      </c>
      <c r="CW138" s="25"/>
    </row>
    <row r="139" spans="1:101" ht="14.25" hidden="1" customHeight="1" outlineLevel="1">
      <c r="A139" s="8"/>
      <c r="B139" s="31" t="s">
        <v>172</v>
      </c>
      <c r="C139" s="32"/>
      <c r="D139" s="216">
        <v>0</v>
      </c>
      <c r="E139" s="214">
        <v>0</v>
      </c>
      <c r="F139" s="214">
        <v>0</v>
      </c>
      <c r="G139" s="215">
        <v>0</v>
      </c>
      <c r="H139" s="216">
        <v>0</v>
      </c>
      <c r="I139" s="214">
        <v>0</v>
      </c>
      <c r="J139" s="214">
        <v>0</v>
      </c>
      <c r="K139" s="215">
        <v>0</v>
      </c>
      <c r="L139" s="216">
        <v>0</v>
      </c>
      <c r="M139" s="214">
        <v>0</v>
      </c>
      <c r="N139" s="214">
        <v>0</v>
      </c>
      <c r="O139" s="215">
        <v>0</v>
      </c>
      <c r="P139" s="216">
        <v>0</v>
      </c>
      <c r="Q139" s="214">
        <v>0</v>
      </c>
      <c r="R139" s="214">
        <v>0</v>
      </c>
      <c r="S139" s="215">
        <v>0</v>
      </c>
      <c r="T139" s="216">
        <v>0</v>
      </c>
      <c r="U139" s="214">
        <v>0</v>
      </c>
      <c r="V139" s="214">
        <v>0</v>
      </c>
      <c r="W139" s="215">
        <v>0</v>
      </c>
      <c r="X139" s="216">
        <v>0</v>
      </c>
      <c r="Y139" s="214">
        <v>0</v>
      </c>
      <c r="Z139" s="214">
        <v>0</v>
      </c>
      <c r="AA139" s="215">
        <v>0</v>
      </c>
      <c r="AB139" s="214">
        <v>0</v>
      </c>
      <c r="AC139" s="214">
        <v>0</v>
      </c>
      <c r="AD139" s="214">
        <v>0</v>
      </c>
      <c r="AE139" s="215">
        <v>0</v>
      </c>
      <c r="AF139" s="214">
        <v>0</v>
      </c>
      <c r="AG139" s="214">
        <v>0</v>
      </c>
      <c r="AH139" s="214">
        <v>0</v>
      </c>
      <c r="AI139" s="215">
        <v>0</v>
      </c>
      <c r="AJ139" s="214">
        <v>0</v>
      </c>
      <c r="AK139" s="214">
        <v>0</v>
      </c>
      <c r="AL139" s="214">
        <v>0</v>
      </c>
      <c r="AM139" s="215">
        <v>0</v>
      </c>
      <c r="AN139" s="214">
        <v>0</v>
      </c>
      <c r="AO139" s="214">
        <v>0</v>
      </c>
      <c r="AP139" s="214">
        <v>0</v>
      </c>
      <c r="AQ139" s="215">
        <v>0</v>
      </c>
      <c r="AR139" s="214">
        <v>0</v>
      </c>
      <c r="AS139" s="214">
        <v>0</v>
      </c>
      <c r="AT139" s="214">
        <v>0</v>
      </c>
      <c r="AU139" s="215">
        <v>0</v>
      </c>
      <c r="AV139" s="214">
        <v>0</v>
      </c>
      <c r="AW139" s="214">
        <v>0</v>
      </c>
      <c r="AX139" s="214">
        <v>0</v>
      </c>
      <c r="AY139" s="215">
        <v>0</v>
      </c>
      <c r="AZ139" s="214">
        <v>0</v>
      </c>
      <c r="BA139" s="214">
        <v>0</v>
      </c>
      <c r="BB139" s="214">
        <v>0</v>
      </c>
      <c r="BC139" s="215">
        <v>0</v>
      </c>
      <c r="BD139" s="214">
        <v>0</v>
      </c>
      <c r="BE139" s="211">
        <f t="shared" si="843"/>
        <v>0</v>
      </c>
      <c r="BF139" s="211">
        <f t="shared" si="844"/>
        <v>0</v>
      </c>
      <c r="BG139" s="212">
        <f t="shared" si="845"/>
        <v>0</v>
      </c>
      <c r="BH139" s="211">
        <f t="shared" si="846"/>
        <v>0</v>
      </c>
      <c r="BI139" s="211">
        <f t="shared" si="847"/>
        <v>0</v>
      </c>
      <c r="BJ139" s="211">
        <f t="shared" si="848"/>
        <v>0</v>
      </c>
      <c r="BK139" s="212">
        <f t="shared" si="849"/>
        <v>0</v>
      </c>
      <c r="BL139" s="211">
        <f t="shared" si="850"/>
        <v>0</v>
      </c>
      <c r="BM139" s="211">
        <f t="shared" si="851"/>
        <v>0</v>
      </c>
      <c r="BN139" s="211">
        <f t="shared" si="852"/>
        <v>0</v>
      </c>
      <c r="BO139" s="212">
        <f t="shared" si="853"/>
        <v>0</v>
      </c>
      <c r="BP139" s="176"/>
      <c r="BQ139" s="211">
        <f t="shared" ref="BQ139:BZ139" si="873">BQ37</f>
        <v>0</v>
      </c>
      <c r="BR139" s="211">
        <f t="shared" si="873"/>
        <v>0</v>
      </c>
      <c r="BS139" s="211">
        <f t="shared" si="873"/>
        <v>0</v>
      </c>
      <c r="BT139" s="211">
        <f t="shared" si="873"/>
        <v>0</v>
      </c>
      <c r="BU139" s="211">
        <f t="shared" si="873"/>
        <v>0</v>
      </c>
      <c r="BV139" s="211">
        <f t="shared" si="873"/>
        <v>0</v>
      </c>
      <c r="BW139" s="211">
        <f t="shared" si="873"/>
        <v>0</v>
      </c>
      <c r="BX139" s="211">
        <f t="shared" si="873"/>
        <v>0</v>
      </c>
      <c r="BY139" s="211">
        <f t="shared" si="873"/>
        <v>0</v>
      </c>
      <c r="BZ139" s="211">
        <f t="shared" si="873"/>
        <v>0</v>
      </c>
      <c r="CA139" s="211">
        <f t="shared" si="855"/>
        <v>0</v>
      </c>
      <c r="CB139" s="211">
        <f t="shared" si="855"/>
        <v>0</v>
      </c>
      <c r="CC139" s="211">
        <f t="shared" si="856"/>
        <v>0</v>
      </c>
      <c r="CD139" s="211">
        <f t="shared" si="856"/>
        <v>0</v>
      </c>
      <c r="CE139" s="211">
        <f t="shared" ref="CE139:CF139" si="874">CE37</f>
        <v>0</v>
      </c>
      <c r="CF139" s="211">
        <f t="shared" si="874"/>
        <v>0</v>
      </c>
      <c r="CG139" s="23"/>
      <c r="CH139" s="213">
        <f t="shared" ref="CH139:CP139" si="875">CH37</f>
        <v>0</v>
      </c>
      <c r="CI139" s="211">
        <f t="shared" si="875"/>
        <v>0</v>
      </c>
      <c r="CJ139" s="211">
        <f t="shared" si="875"/>
        <v>0</v>
      </c>
      <c r="CK139" s="211">
        <f t="shared" si="875"/>
        <v>0</v>
      </c>
      <c r="CL139" s="211">
        <f t="shared" si="875"/>
        <v>0</v>
      </c>
      <c r="CM139" s="211">
        <f t="shared" si="875"/>
        <v>0</v>
      </c>
      <c r="CN139" s="211">
        <f t="shared" si="875"/>
        <v>0</v>
      </c>
      <c r="CO139" s="211">
        <f t="shared" si="875"/>
        <v>0</v>
      </c>
      <c r="CP139" s="211">
        <f t="shared" si="875"/>
        <v>0</v>
      </c>
      <c r="CQ139" s="211">
        <f t="shared" si="859"/>
        <v>0</v>
      </c>
      <c r="CR139" s="211">
        <f t="shared" si="859"/>
        <v>0</v>
      </c>
      <c r="CS139" s="211">
        <f t="shared" si="860"/>
        <v>0</v>
      </c>
      <c r="CT139" s="211">
        <f t="shared" si="860"/>
        <v>0</v>
      </c>
      <c r="CU139" s="211">
        <f t="shared" ref="CU139" si="876">CU37</f>
        <v>0</v>
      </c>
      <c r="CV139" s="212">
        <f t="shared" ref="CV139" si="877">CV37</f>
        <v>0</v>
      </c>
      <c r="CW139" s="25"/>
    </row>
    <row r="140" spans="1:101" ht="14.25" hidden="1" customHeight="1" outlineLevel="1">
      <c r="A140" s="8"/>
      <c r="B140" s="31" t="s">
        <v>249</v>
      </c>
      <c r="C140" s="32"/>
      <c r="D140" s="216">
        <v>0</v>
      </c>
      <c r="E140" s="214">
        <v>0</v>
      </c>
      <c r="F140" s="214">
        <v>0</v>
      </c>
      <c r="G140" s="215">
        <v>0</v>
      </c>
      <c r="H140" s="216">
        <v>0</v>
      </c>
      <c r="I140" s="214">
        <f>23.07</f>
        <v>23.07</v>
      </c>
      <c r="J140" s="214">
        <f>23.07-14.913</f>
        <v>8.157</v>
      </c>
      <c r="K140" s="215">
        <f>23.07-157.017</f>
        <v>-133.947</v>
      </c>
      <c r="L140" s="216">
        <f>8.003</f>
        <v>8.0030000000000001</v>
      </c>
      <c r="M140" s="214">
        <f>-6+8.003</f>
        <v>2.0030000000000001</v>
      </c>
      <c r="N140" s="214">
        <f>-9.16+8.003</f>
        <v>-1.157</v>
      </c>
      <c r="O140" s="215">
        <v>-9.16</v>
      </c>
      <c r="P140" s="216">
        <v>406.66500000000002</v>
      </c>
      <c r="Q140" s="214">
        <v>399.59100000000001</v>
      </c>
      <c r="R140" s="214">
        <f>403.181-3.146</f>
        <v>400.03499999999997</v>
      </c>
      <c r="S140" s="215">
        <f>403.181-3.146</f>
        <v>400.03499999999997</v>
      </c>
      <c r="T140" s="216">
        <v>0</v>
      </c>
      <c r="U140" s="214">
        <v>-1.34</v>
      </c>
      <c r="V140" s="214">
        <f>-1.34-8.36</f>
        <v>-9.6999999999999993</v>
      </c>
      <c r="W140" s="215">
        <f>-1.653-8.36</f>
        <v>-10.013</v>
      </c>
      <c r="X140" s="216">
        <v>63.036000000000001</v>
      </c>
      <c r="Y140" s="214">
        <v>63.036000000000001</v>
      </c>
      <c r="Z140" s="214">
        <v>63.036000000000001</v>
      </c>
      <c r="AA140" s="215">
        <v>63.036000000000001</v>
      </c>
      <c r="AB140" s="214">
        <v>10</v>
      </c>
      <c r="AC140" s="214">
        <v>10</v>
      </c>
      <c r="AD140" s="214">
        <f>10-13.988</f>
        <v>-3.9879999999999995</v>
      </c>
      <c r="AE140" s="215">
        <f>10-13.988</f>
        <v>-3.9879999999999995</v>
      </c>
      <c r="AF140" s="214">
        <v>0</v>
      </c>
      <c r="AG140" s="214">
        <v>0</v>
      </c>
      <c r="AH140" s="214">
        <v>0</v>
      </c>
      <c r="AI140" s="215">
        <v>1.506</v>
      </c>
      <c r="AJ140" s="214">
        <v>0</v>
      </c>
      <c r="AK140" s="214">
        <v>0</v>
      </c>
      <c r="AL140" s="214">
        <v>0</v>
      </c>
      <c r="AM140" s="215">
        <v>0</v>
      </c>
      <c r="AN140" s="214">
        <v>0</v>
      </c>
      <c r="AO140" s="214">
        <v>0</v>
      </c>
      <c r="AP140" s="214">
        <v>0</v>
      </c>
      <c r="AQ140" s="215">
        <v>0</v>
      </c>
      <c r="AR140" s="214">
        <v>0</v>
      </c>
      <c r="AS140" s="214">
        <v>0</v>
      </c>
      <c r="AT140" s="214">
        <v>0</v>
      </c>
      <c r="AU140" s="215">
        <v>0</v>
      </c>
      <c r="AV140" s="214">
        <v>0</v>
      </c>
      <c r="AW140" s="214">
        <v>0</v>
      </c>
      <c r="AX140" s="214">
        <v>0</v>
      </c>
      <c r="AY140" s="215">
        <v>-83.17</v>
      </c>
      <c r="AZ140" s="214">
        <v>-1.036</v>
      </c>
      <c r="BA140" s="214">
        <v>-9687.5329999999994</v>
      </c>
      <c r="BB140" s="214">
        <v>-9687.4629999999997</v>
      </c>
      <c r="BC140" s="215">
        <v>-9632.5679999999993</v>
      </c>
      <c r="BD140" s="214">
        <v>0</v>
      </c>
      <c r="BE140" s="211">
        <f t="shared" si="843"/>
        <v>0</v>
      </c>
      <c r="BF140" s="211">
        <f t="shared" si="844"/>
        <v>0</v>
      </c>
      <c r="BG140" s="212">
        <f t="shared" si="845"/>
        <v>0</v>
      </c>
      <c r="BH140" s="211">
        <f t="shared" si="846"/>
        <v>0</v>
      </c>
      <c r="BI140" s="211">
        <f t="shared" si="847"/>
        <v>0</v>
      </c>
      <c r="BJ140" s="211">
        <f t="shared" si="848"/>
        <v>0</v>
      </c>
      <c r="BK140" s="212">
        <f t="shared" si="849"/>
        <v>0</v>
      </c>
      <c r="BL140" s="211">
        <f t="shared" si="850"/>
        <v>0</v>
      </c>
      <c r="BM140" s="211">
        <f t="shared" si="851"/>
        <v>0</v>
      </c>
      <c r="BN140" s="211">
        <f t="shared" si="852"/>
        <v>0</v>
      </c>
      <c r="BO140" s="212">
        <f t="shared" si="853"/>
        <v>0</v>
      </c>
      <c r="BP140" s="176"/>
      <c r="BQ140" s="211">
        <f t="shared" ref="BQ140:BZ140" si="878">BQ38</f>
        <v>0</v>
      </c>
      <c r="BR140" s="211">
        <f t="shared" si="878"/>
        <v>-133.947</v>
      </c>
      <c r="BS140" s="211">
        <f t="shared" si="878"/>
        <v>-9.16</v>
      </c>
      <c r="BT140" s="211">
        <f t="shared" si="878"/>
        <v>400.03499999999997</v>
      </c>
      <c r="BU140" s="211">
        <f t="shared" si="878"/>
        <v>-10.013</v>
      </c>
      <c r="BV140" s="211">
        <f t="shared" si="878"/>
        <v>63.036000000000001</v>
      </c>
      <c r="BW140" s="211">
        <f t="shared" si="878"/>
        <v>-3.9879999999999995</v>
      </c>
      <c r="BX140" s="211">
        <f t="shared" si="878"/>
        <v>1.506</v>
      </c>
      <c r="BY140" s="211">
        <f t="shared" si="878"/>
        <v>0</v>
      </c>
      <c r="BZ140" s="211">
        <f t="shared" si="878"/>
        <v>0</v>
      </c>
      <c r="CA140" s="211">
        <f t="shared" si="855"/>
        <v>0</v>
      </c>
      <c r="CB140" s="211">
        <f t="shared" si="855"/>
        <v>-83.17</v>
      </c>
      <c r="CC140" s="211">
        <f t="shared" si="856"/>
        <v>-9632.5679999999993</v>
      </c>
      <c r="CD140" s="211">
        <f t="shared" si="856"/>
        <v>0</v>
      </c>
      <c r="CE140" s="211">
        <f t="shared" ref="CE140:CF140" si="879">CE38</f>
        <v>0</v>
      </c>
      <c r="CF140" s="211">
        <f t="shared" si="879"/>
        <v>0</v>
      </c>
      <c r="CG140" s="23"/>
      <c r="CH140" s="213">
        <f t="shared" ref="CH140:CP140" si="880">CH38</f>
        <v>0</v>
      </c>
      <c r="CI140" s="211">
        <f t="shared" si="880"/>
        <v>-125.944</v>
      </c>
      <c r="CJ140" s="211">
        <f t="shared" si="880"/>
        <v>389.50200000000001</v>
      </c>
      <c r="CK140" s="211">
        <f t="shared" si="880"/>
        <v>-6.6300000000000523</v>
      </c>
      <c r="CL140" s="211">
        <f t="shared" si="880"/>
        <v>53.023000000000003</v>
      </c>
      <c r="CM140" s="211">
        <f t="shared" si="880"/>
        <v>10</v>
      </c>
      <c r="CN140" s="211">
        <f t="shared" si="880"/>
        <v>-13.988</v>
      </c>
      <c r="CO140" s="211">
        <f t="shared" si="880"/>
        <v>1.506</v>
      </c>
      <c r="CP140" s="211">
        <f t="shared" si="880"/>
        <v>0</v>
      </c>
      <c r="CQ140" s="211">
        <f t="shared" si="859"/>
        <v>0</v>
      </c>
      <c r="CR140" s="211">
        <f t="shared" si="859"/>
        <v>0</v>
      </c>
      <c r="CS140" s="211">
        <f t="shared" si="860"/>
        <v>-84.206000000000003</v>
      </c>
      <c r="CT140" s="211">
        <f t="shared" si="860"/>
        <v>-9631.5319999999992</v>
      </c>
      <c r="CU140" s="211">
        <f t="shared" ref="CU140" si="881">CU38</f>
        <v>0</v>
      </c>
      <c r="CV140" s="212">
        <f t="shared" ref="CV140" si="882">CV38</f>
        <v>0</v>
      </c>
      <c r="CW140" s="25"/>
    </row>
    <row r="141" spans="1:101" ht="14.25" hidden="1" customHeight="1" outlineLevel="1">
      <c r="A141" s="8"/>
      <c r="B141" s="31" t="s">
        <v>217</v>
      </c>
      <c r="C141" s="32"/>
      <c r="D141" s="216">
        <v>0</v>
      </c>
      <c r="E141" s="214">
        <v>0</v>
      </c>
      <c r="F141" s="214">
        <v>0</v>
      </c>
      <c r="G141" s="215">
        <v>0</v>
      </c>
      <c r="H141" s="216">
        <v>0</v>
      </c>
      <c r="I141" s="214">
        <v>0</v>
      </c>
      <c r="J141" s="214">
        <v>0</v>
      </c>
      <c r="K141" s="215">
        <v>1.7350000000000001</v>
      </c>
      <c r="L141" s="216">
        <v>0</v>
      </c>
      <c r="M141" s="214">
        <v>0</v>
      </c>
      <c r="N141" s="214">
        <v>0</v>
      </c>
      <c r="O141" s="215">
        <v>0</v>
      </c>
      <c r="P141" s="216">
        <v>0</v>
      </c>
      <c r="Q141" s="214">
        <v>0</v>
      </c>
      <c r="R141" s="214">
        <v>0</v>
      </c>
      <c r="S141" s="215">
        <v>0</v>
      </c>
      <c r="T141" s="216">
        <v>0</v>
      </c>
      <c r="U141" s="214">
        <v>0</v>
      </c>
      <c r="V141" s="214">
        <v>0</v>
      </c>
      <c r="W141" s="215">
        <v>0</v>
      </c>
      <c r="X141" s="216">
        <v>0</v>
      </c>
      <c r="Y141" s="214">
        <v>0</v>
      </c>
      <c r="Z141" s="214">
        <v>0</v>
      </c>
      <c r="AA141" s="215">
        <v>0</v>
      </c>
      <c r="AB141" s="214">
        <v>0</v>
      </c>
      <c r="AC141" s="214">
        <v>0</v>
      </c>
      <c r="AD141" s="214">
        <v>0</v>
      </c>
      <c r="AE141" s="215">
        <v>0</v>
      </c>
      <c r="AF141" s="214">
        <v>0</v>
      </c>
      <c r="AG141" s="214">
        <v>0</v>
      </c>
      <c r="AH141" s="214">
        <v>0</v>
      </c>
      <c r="AI141" s="215">
        <v>0</v>
      </c>
      <c r="AJ141" s="214">
        <v>0</v>
      </c>
      <c r="AK141" s="214">
        <v>0</v>
      </c>
      <c r="AL141" s="214">
        <v>0</v>
      </c>
      <c r="AM141" s="215">
        <v>0</v>
      </c>
      <c r="AN141" s="214">
        <v>0</v>
      </c>
      <c r="AO141" s="214">
        <v>0</v>
      </c>
      <c r="AP141" s="214">
        <v>0</v>
      </c>
      <c r="AQ141" s="215">
        <v>0</v>
      </c>
      <c r="AR141" s="214">
        <v>0</v>
      </c>
      <c r="AS141" s="214">
        <v>0</v>
      </c>
      <c r="AT141" s="214">
        <v>0</v>
      </c>
      <c r="AU141" s="215">
        <v>0</v>
      </c>
      <c r="AV141" s="214">
        <v>0</v>
      </c>
      <c r="AW141" s="214">
        <v>0</v>
      </c>
      <c r="AX141" s="214">
        <v>0</v>
      </c>
      <c r="AY141" s="215">
        <v>0</v>
      </c>
      <c r="AZ141" s="214">
        <v>0</v>
      </c>
      <c r="BA141" s="214">
        <v>0</v>
      </c>
      <c r="BB141" s="214">
        <v>0</v>
      </c>
      <c r="BC141" s="215">
        <v>0</v>
      </c>
      <c r="BD141" s="214">
        <v>0</v>
      </c>
      <c r="BE141" s="211">
        <f t="shared" si="843"/>
        <v>0</v>
      </c>
      <c r="BF141" s="211">
        <f t="shared" si="844"/>
        <v>0</v>
      </c>
      <c r="BG141" s="212">
        <f t="shared" si="845"/>
        <v>0</v>
      </c>
      <c r="BH141" s="211">
        <f t="shared" si="846"/>
        <v>0</v>
      </c>
      <c r="BI141" s="211">
        <f t="shared" si="847"/>
        <v>0</v>
      </c>
      <c r="BJ141" s="211">
        <f t="shared" si="848"/>
        <v>0</v>
      </c>
      <c r="BK141" s="212">
        <f t="shared" si="849"/>
        <v>0</v>
      </c>
      <c r="BL141" s="211">
        <f t="shared" si="850"/>
        <v>0</v>
      </c>
      <c r="BM141" s="211">
        <f t="shared" si="851"/>
        <v>0</v>
      </c>
      <c r="BN141" s="211">
        <f t="shared" si="852"/>
        <v>0</v>
      </c>
      <c r="BO141" s="212">
        <f t="shared" si="853"/>
        <v>0</v>
      </c>
      <c r="BP141" s="176"/>
      <c r="BQ141" s="211">
        <f t="shared" ref="BQ141:BZ141" si="883">BQ39</f>
        <v>0</v>
      </c>
      <c r="BR141" s="211">
        <f t="shared" si="883"/>
        <v>1.7350000000000001</v>
      </c>
      <c r="BS141" s="211">
        <f t="shared" si="883"/>
        <v>0</v>
      </c>
      <c r="BT141" s="211">
        <f t="shared" si="883"/>
        <v>0</v>
      </c>
      <c r="BU141" s="211">
        <f t="shared" si="883"/>
        <v>0</v>
      </c>
      <c r="BV141" s="211">
        <f t="shared" si="883"/>
        <v>0</v>
      </c>
      <c r="BW141" s="211">
        <f t="shared" si="883"/>
        <v>0</v>
      </c>
      <c r="BX141" s="211">
        <f t="shared" si="883"/>
        <v>0</v>
      </c>
      <c r="BY141" s="211">
        <f t="shared" si="883"/>
        <v>0</v>
      </c>
      <c r="BZ141" s="211">
        <f t="shared" si="883"/>
        <v>0</v>
      </c>
      <c r="CA141" s="211">
        <f t="shared" si="855"/>
        <v>0</v>
      </c>
      <c r="CB141" s="211">
        <f t="shared" si="855"/>
        <v>0</v>
      </c>
      <c r="CC141" s="211">
        <f t="shared" si="856"/>
        <v>0</v>
      </c>
      <c r="CD141" s="211">
        <f t="shared" si="856"/>
        <v>0</v>
      </c>
      <c r="CE141" s="211">
        <f t="shared" ref="CE141:CF141" si="884">CE39</f>
        <v>0</v>
      </c>
      <c r="CF141" s="211">
        <f t="shared" si="884"/>
        <v>0</v>
      </c>
      <c r="CG141" s="23"/>
      <c r="CH141" s="213">
        <f t="shared" ref="CH141:CP141" si="885">CH39</f>
        <v>0</v>
      </c>
      <c r="CI141" s="211">
        <f t="shared" si="885"/>
        <v>1.7350000000000001</v>
      </c>
      <c r="CJ141" s="211">
        <f t="shared" si="885"/>
        <v>0</v>
      </c>
      <c r="CK141" s="211">
        <f t="shared" si="885"/>
        <v>0</v>
      </c>
      <c r="CL141" s="211">
        <f t="shared" si="885"/>
        <v>0</v>
      </c>
      <c r="CM141" s="211">
        <f t="shared" si="885"/>
        <v>0</v>
      </c>
      <c r="CN141" s="211">
        <f t="shared" si="885"/>
        <v>0</v>
      </c>
      <c r="CO141" s="211">
        <f t="shared" si="885"/>
        <v>0</v>
      </c>
      <c r="CP141" s="211">
        <f t="shared" si="885"/>
        <v>0</v>
      </c>
      <c r="CQ141" s="211">
        <f t="shared" si="859"/>
        <v>0</v>
      </c>
      <c r="CR141" s="211">
        <f t="shared" si="859"/>
        <v>0</v>
      </c>
      <c r="CS141" s="211">
        <f t="shared" si="860"/>
        <v>0</v>
      </c>
      <c r="CT141" s="211">
        <f t="shared" si="860"/>
        <v>0</v>
      </c>
      <c r="CU141" s="211">
        <f t="shared" ref="CU141" si="886">CU39</f>
        <v>0</v>
      </c>
      <c r="CV141" s="212">
        <f t="shared" ref="CV141" si="887">CV39</f>
        <v>0</v>
      </c>
      <c r="CW141" s="25"/>
    </row>
    <row r="142" spans="1:101" ht="14.25" hidden="1" customHeight="1" outlineLevel="1">
      <c r="A142" s="11"/>
      <c r="B142" s="31" t="s">
        <v>125</v>
      </c>
      <c r="C142" s="32"/>
      <c r="D142" s="216">
        <v>1.5589999999999999</v>
      </c>
      <c r="E142" s="214">
        <v>1.4630000000000001</v>
      </c>
      <c r="F142" s="214">
        <v>1.6679999999999999</v>
      </c>
      <c r="G142" s="215">
        <v>5.6440000000000001</v>
      </c>
      <c r="H142" s="216">
        <v>3.5259999999999998</v>
      </c>
      <c r="I142" s="214">
        <v>3.8559999999999999</v>
      </c>
      <c r="J142" s="214">
        <v>4.125</v>
      </c>
      <c r="K142" s="215">
        <v>0.72299999999999998</v>
      </c>
      <c r="L142" s="216">
        <v>0.153</v>
      </c>
      <c r="M142" s="214">
        <v>-0.18</v>
      </c>
      <c r="N142" s="214">
        <v>-1.7999999999999999E-2</v>
      </c>
      <c r="O142" s="215">
        <v>-8.4380000000000006</v>
      </c>
      <c r="P142" s="216">
        <v>2.7949999999999999</v>
      </c>
      <c r="Q142" s="214">
        <v>3.387</v>
      </c>
      <c r="R142" s="214">
        <v>1.532</v>
      </c>
      <c r="S142" s="215">
        <v>2.7080000000000002</v>
      </c>
      <c r="T142" s="216">
        <v>-2.0630000000000002</v>
      </c>
      <c r="U142" s="214">
        <v>-4.2690000000000001</v>
      </c>
      <c r="V142" s="214">
        <v>-5.75</v>
      </c>
      <c r="W142" s="215">
        <v>-5.6609999999999996</v>
      </c>
      <c r="X142" s="216">
        <v>-0.40699999999999997</v>
      </c>
      <c r="Y142" s="214">
        <v>0.84099999999999997</v>
      </c>
      <c r="Z142" s="214">
        <v>3.6680000000000001</v>
      </c>
      <c r="AA142" s="215">
        <v>4.2759999999999998</v>
      </c>
      <c r="AB142" s="214">
        <v>-3.4750000000000001</v>
      </c>
      <c r="AC142" s="214">
        <v>-7.5190000000000001</v>
      </c>
      <c r="AD142" s="214">
        <v>-6.6829999999999998</v>
      </c>
      <c r="AE142" s="215">
        <v>-6.5949999999999998</v>
      </c>
      <c r="AF142" s="214">
        <v>0.32700000000000001</v>
      </c>
      <c r="AG142" s="214">
        <f>-24.158-1.323+1.506</f>
        <v>-23.975000000000001</v>
      </c>
      <c r="AH142" s="214">
        <f>-24.158-0.915+1.506</f>
        <v>-23.567</v>
      </c>
      <c r="AI142" s="215">
        <f>-24.158-1.362</f>
        <v>-25.520000000000003</v>
      </c>
      <c r="AJ142" s="214">
        <v>-2.048</v>
      </c>
      <c r="AK142" s="214">
        <f>+AJ142-0.478</f>
        <v>-2.5259999999999998</v>
      </c>
      <c r="AL142" s="214">
        <f>-2.475-4.066</f>
        <v>-6.5410000000000004</v>
      </c>
      <c r="AM142" s="215">
        <f>-2.475+100-5.657</f>
        <v>91.868000000000009</v>
      </c>
      <c r="AN142" s="214">
        <v>-3.3420000000000001</v>
      </c>
      <c r="AO142" s="214">
        <v>-9.0820000000000007</v>
      </c>
      <c r="AP142" s="214">
        <f>-1943.704-9.422</f>
        <v>-1953.126</v>
      </c>
      <c r="AQ142" s="215">
        <f>-1945.887-12.055</f>
        <v>-1957.942</v>
      </c>
      <c r="AR142" s="214">
        <f>-3.729-0.118</f>
        <v>-3.847</v>
      </c>
      <c r="AS142" s="214">
        <f>875.65-0.118-8.197</f>
        <v>867.33499999999992</v>
      </c>
      <c r="AT142" s="214">
        <f>-7.065-9.377</f>
        <v>-16.442</v>
      </c>
      <c r="AU142" s="215">
        <f>-7.065-8.275</f>
        <v>-15.34</v>
      </c>
      <c r="AV142" s="214">
        <f>47.95-6.711</f>
        <v>41.239000000000004</v>
      </c>
      <c r="AW142" s="214">
        <f>150.266-2.203-9.457</f>
        <v>138.60599999999999</v>
      </c>
      <c r="AX142" s="214">
        <f>-2.203-18.048</f>
        <v>-20.250999999999998</v>
      </c>
      <c r="AY142" s="215">
        <v>-18.52</v>
      </c>
      <c r="AZ142" s="214">
        <v>-5.9459999999999997</v>
      </c>
      <c r="BA142" s="214">
        <v>-12.063000000000001</v>
      </c>
      <c r="BB142" s="214">
        <f>-13.125</f>
        <v>-13.125</v>
      </c>
      <c r="BC142" s="215">
        <v>-15.842000000000001</v>
      </c>
      <c r="BD142" s="214">
        <v>-1.278</v>
      </c>
      <c r="BE142" s="211">
        <f t="shared" si="843"/>
        <v>-1.278</v>
      </c>
      <c r="BF142" s="211">
        <f t="shared" si="844"/>
        <v>-1.278</v>
      </c>
      <c r="BG142" s="212">
        <f t="shared" si="845"/>
        <v>-1.278</v>
      </c>
      <c r="BH142" s="211">
        <f t="shared" si="846"/>
        <v>0</v>
      </c>
      <c r="BI142" s="211">
        <f t="shared" si="847"/>
        <v>0</v>
      </c>
      <c r="BJ142" s="211">
        <f t="shared" si="848"/>
        <v>0</v>
      </c>
      <c r="BK142" s="212">
        <f t="shared" si="849"/>
        <v>0</v>
      </c>
      <c r="BL142" s="211">
        <f t="shared" si="850"/>
        <v>0</v>
      </c>
      <c r="BM142" s="211">
        <f t="shared" si="851"/>
        <v>0</v>
      </c>
      <c r="BN142" s="211">
        <f t="shared" si="852"/>
        <v>0</v>
      </c>
      <c r="BO142" s="212">
        <f t="shared" si="853"/>
        <v>0</v>
      </c>
      <c r="BP142" s="176"/>
      <c r="BQ142" s="211">
        <f t="shared" ref="BQ142:BZ142" si="888">BQ40</f>
        <v>5.6440000000000001</v>
      </c>
      <c r="BR142" s="211">
        <f t="shared" si="888"/>
        <v>0.72299999999999986</v>
      </c>
      <c r="BS142" s="211">
        <f t="shared" si="888"/>
        <v>-8.4380000000000024</v>
      </c>
      <c r="BT142" s="211">
        <f t="shared" si="888"/>
        <v>2.7080000000000006</v>
      </c>
      <c r="BU142" s="211">
        <f t="shared" si="888"/>
        <v>-5.6609999999999996</v>
      </c>
      <c r="BV142" s="211">
        <f t="shared" si="888"/>
        <v>4.2759999999999998</v>
      </c>
      <c r="BW142" s="211">
        <f t="shared" si="888"/>
        <v>-6.5950000000000006</v>
      </c>
      <c r="BX142" s="211">
        <f t="shared" si="888"/>
        <v>-25.520000000000003</v>
      </c>
      <c r="BY142" s="211">
        <f t="shared" si="888"/>
        <v>91.868000000000009</v>
      </c>
      <c r="BZ142" s="211">
        <f t="shared" si="888"/>
        <v>-1957.942</v>
      </c>
      <c r="CA142" s="211">
        <f t="shared" si="855"/>
        <v>-15.340000000000012</v>
      </c>
      <c r="CB142" s="211">
        <f t="shared" si="855"/>
        <v>-18.52000000000001</v>
      </c>
      <c r="CC142" s="211">
        <f t="shared" si="856"/>
        <v>-15.842000000000001</v>
      </c>
      <c r="CD142" s="211">
        <f t="shared" si="856"/>
        <v>-1.278</v>
      </c>
      <c r="CE142" s="211">
        <f t="shared" ref="CE142:CF142" si="889">CE40</f>
        <v>0</v>
      </c>
      <c r="CF142" s="211">
        <f t="shared" si="889"/>
        <v>0</v>
      </c>
      <c r="CG142" s="176"/>
      <c r="CH142" s="213">
        <f t="shared" ref="CH142:CP142" si="890">CH40</f>
        <v>7.6109999999999998</v>
      </c>
      <c r="CI142" s="211">
        <f t="shared" si="890"/>
        <v>-2.65</v>
      </c>
      <c r="CJ142" s="211">
        <f t="shared" si="890"/>
        <v>-5.7960000000000012</v>
      </c>
      <c r="CK142" s="211">
        <f t="shared" si="890"/>
        <v>-2.1499999999999995</v>
      </c>
      <c r="CL142" s="211">
        <f t="shared" si="890"/>
        <v>-4.004999999999999</v>
      </c>
      <c r="CM142" s="211">
        <f t="shared" si="890"/>
        <v>1.2079999999999997</v>
      </c>
      <c r="CN142" s="211">
        <f t="shared" si="890"/>
        <v>-2.7930000000000001</v>
      </c>
      <c r="CO142" s="211">
        <f t="shared" si="890"/>
        <v>-27.895000000000003</v>
      </c>
      <c r="CP142" s="211">
        <f t="shared" si="890"/>
        <v>90.574000000000012</v>
      </c>
      <c r="CQ142" s="211">
        <f t="shared" si="859"/>
        <v>-1958.4469999999999</v>
      </c>
      <c r="CR142" s="211">
        <f t="shared" si="859"/>
        <v>29.745999999999974</v>
      </c>
      <c r="CS142" s="211">
        <f t="shared" si="860"/>
        <v>-65.705000000000013</v>
      </c>
      <c r="CT142" s="211">
        <f t="shared" si="860"/>
        <v>-11.174000000000001</v>
      </c>
      <c r="CU142" s="211">
        <f t="shared" ref="CU142" si="891">CU40</f>
        <v>0</v>
      </c>
      <c r="CV142" s="212">
        <f t="shared" ref="CV142" si="892">CV40</f>
        <v>0</v>
      </c>
      <c r="CW142" s="26"/>
    </row>
    <row r="143" spans="1:101" ht="14.25" hidden="1" customHeight="1" outlineLevel="1" thickBot="1">
      <c r="A143" s="8"/>
      <c r="B143" s="217" t="s">
        <v>126</v>
      </c>
      <c r="C143" s="218"/>
      <c r="D143" s="220">
        <f t="shared" ref="D143:AA143" si="893">SUM(D136:D142)</f>
        <v>-56.019999999999953</v>
      </c>
      <c r="E143" s="219">
        <f t="shared" si="893"/>
        <v>-195.57100000000011</v>
      </c>
      <c r="F143" s="219">
        <f t="shared" si="893"/>
        <v>-449.45899999999995</v>
      </c>
      <c r="G143" s="221">
        <f t="shared" si="893"/>
        <v>-9.9589999999996106</v>
      </c>
      <c r="H143" s="220">
        <f t="shared" si="893"/>
        <v>-244.89799999999997</v>
      </c>
      <c r="I143" s="219">
        <f t="shared" si="893"/>
        <v>-229.79300000000006</v>
      </c>
      <c r="J143" s="219">
        <f t="shared" si="893"/>
        <v>17.711000000000087</v>
      </c>
      <c r="K143" s="221">
        <f t="shared" si="893"/>
        <v>44.808000000000021</v>
      </c>
      <c r="L143" s="220">
        <f t="shared" si="893"/>
        <v>202.64199999999997</v>
      </c>
      <c r="M143" s="219">
        <f t="shared" si="893"/>
        <v>278.36</v>
      </c>
      <c r="N143" s="219">
        <f t="shared" si="893"/>
        <v>791.96299999999985</v>
      </c>
      <c r="O143" s="221">
        <f t="shared" si="893"/>
        <v>984.58699999999999</v>
      </c>
      <c r="P143" s="220">
        <f t="shared" si="893"/>
        <v>389.52000000000004</v>
      </c>
      <c r="Q143" s="219">
        <f t="shared" si="893"/>
        <v>219.04000000000013</v>
      </c>
      <c r="R143" s="219">
        <f t="shared" si="893"/>
        <v>89.463999999999899</v>
      </c>
      <c r="S143" s="221">
        <f t="shared" si="893"/>
        <v>188.36300000000008</v>
      </c>
      <c r="T143" s="220">
        <f t="shared" si="893"/>
        <v>175.99299999999999</v>
      </c>
      <c r="U143" s="219">
        <f t="shared" si="893"/>
        <v>64.767000000000081</v>
      </c>
      <c r="V143" s="219">
        <f t="shared" si="893"/>
        <v>-433.64299999999997</v>
      </c>
      <c r="W143" s="221">
        <f t="shared" si="893"/>
        <v>-534.72899999999981</v>
      </c>
      <c r="X143" s="220">
        <f t="shared" si="893"/>
        <v>-42.960999999999913</v>
      </c>
      <c r="Y143" s="219">
        <f t="shared" si="893"/>
        <v>-173.05300000000005</v>
      </c>
      <c r="Z143" s="219">
        <f t="shared" si="893"/>
        <v>-345.94899999999978</v>
      </c>
      <c r="AA143" s="221">
        <f t="shared" si="893"/>
        <v>-485.82500000000016</v>
      </c>
      <c r="AB143" s="219">
        <f t="shared" ref="AB143:AQ143" si="894">SUM(AB136:AB142)</f>
        <v>208.13599999999988</v>
      </c>
      <c r="AC143" s="219">
        <f t="shared" si="894"/>
        <v>24.098999999999712</v>
      </c>
      <c r="AD143" s="219">
        <f t="shared" si="894"/>
        <v>-646.27299999999991</v>
      </c>
      <c r="AE143" s="221">
        <f t="shared" si="894"/>
        <v>-703.73800000000028</v>
      </c>
      <c r="AF143" s="219">
        <f t="shared" si="894"/>
        <v>-406.2030000000002</v>
      </c>
      <c r="AG143" s="219">
        <f t="shared" si="894"/>
        <v>-950.71400000000096</v>
      </c>
      <c r="AH143" s="219">
        <f t="shared" si="894"/>
        <v>-1233.2290000000003</v>
      </c>
      <c r="AI143" s="221">
        <f t="shared" si="894"/>
        <v>-1339.6899999999994</v>
      </c>
      <c r="AJ143" s="219">
        <f t="shared" si="894"/>
        <v>160.40099999999984</v>
      </c>
      <c r="AK143" s="219">
        <f t="shared" si="894"/>
        <v>-251.73299999999944</v>
      </c>
      <c r="AL143" s="219">
        <f t="shared" si="894"/>
        <v>-699.52399999999932</v>
      </c>
      <c r="AM143" s="221">
        <f t="shared" si="894"/>
        <v>-949.92599999999982</v>
      </c>
      <c r="AN143" s="219">
        <f t="shared" si="894"/>
        <v>-44.323000000000221</v>
      </c>
      <c r="AO143" s="219">
        <f>SUM(AO136:AO142)</f>
        <v>-214.3389999999996</v>
      </c>
      <c r="AP143" s="219">
        <f t="shared" si="894"/>
        <v>-115.57300000000009</v>
      </c>
      <c r="AQ143" s="221">
        <f t="shared" si="894"/>
        <v>-114.75100000000111</v>
      </c>
      <c r="AR143" s="219">
        <f t="shared" ref="AR143:AU143" si="895">SUM(AR136:AR142)</f>
        <v>46.270999999999937</v>
      </c>
      <c r="AS143" s="219">
        <f t="shared" si="895"/>
        <v>-222.2900000000003</v>
      </c>
      <c r="AT143" s="219">
        <f t="shared" si="895"/>
        <v>-369.70899999999983</v>
      </c>
      <c r="AU143" s="221">
        <f t="shared" si="895"/>
        <v>-17.125000000000764</v>
      </c>
      <c r="AV143" s="219">
        <f>SUM(AV136:AV142)</f>
        <v>-204.36499999999981</v>
      </c>
      <c r="AW143" s="219">
        <f>SUM(AW136:AW142)</f>
        <v>-549.577</v>
      </c>
      <c r="AX143" s="219">
        <f>SUM(AX136:AX142)</f>
        <v>-661.34100000000012</v>
      </c>
      <c r="AY143" s="221">
        <f t="shared" ref="AY143" si="896">SUM(AY136:AY142)</f>
        <v>-1218.27</v>
      </c>
      <c r="AZ143" s="219">
        <f>SUM(AZ136:AZ142)</f>
        <v>1769.7540000000004</v>
      </c>
      <c r="BA143" s="219">
        <f>SUM(BA136:BA142)</f>
        <v>-7031.0489999999991</v>
      </c>
      <c r="BB143" s="219">
        <f>SUM(BB136:BB142)</f>
        <v>-6604.9779999999992</v>
      </c>
      <c r="BC143" s="221">
        <f t="shared" ref="BC143" si="897">SUM(BC136:BC142)</f>
        <v>-6618.0139999999992</v>
      </c>
      <c r="BD143" s="219">
        <f t="shared" ref="BD143:BK143" si="898">SUM(BD136:BD142)</f>
        <v>-64.5</v>
      </c>
      <c r="BE143" s="219">
        <f t="shared" si="898"/>
        <v>-138.01874124999998</v>
      </c>
      <c r="BF143" s="219">
        <f t="shared" si="898"/>
        <v>-213.69322772874997</v>
      </c>
      <c r="BG143" s="221">
        <f t="shared" si="898"/>
        <v>-291.86579615293749</v>
      </c>
      <c r="BH143" s="219">
        <f t="shared" si="898"/>
        <v>-74.104302327298115</v>
      </c>
      <c r="BI143" s="219">
        <f t="shared" si="898"/>
        <v>-151.59656440790155</v>
      </c>
      <c r="BJ143" s="219">
        <f t="shared" si="898"/>
        <v>-231.93051631156032</v>
      </c>
      <c r="BK143" s="221">
        <f t="shared" si="898"/>
        <v>-315.61312248344103</v>
      </c>
      <c r="BL143" s="219">
        <f t="shared" ref="BL143:BO143" si="899">SUM(BL136:BL142)</f>
        <v>-79.333775579796438</v>
      </c>
      <c r="BM143" s="219">
        <f t="shared" si="899"/>
        <v>-162.02471040950121</v>
      </c>
      <c r="BN143" s="219">
        <f t="shared" si="899"/>
        <v>-247.32484317206541</v>
      </c>
      <c r="BO143" s="221">
        <f t="shared" si="899"/>
        <v>-335.65352198753044</v>
      </c>
      <c r="BP143" s="176"/>
      <c r="BQ143" s="219">
        <f t="shared" ref="BQ143:BW143" si="900">SUM(BQ136:BQ142)</f>
        <v>-9.9589999999996106</v>
      </c>
      <c r="BR143" s="219">
        <f t="shared" si="900"/>
        <v>44.808000000000021</v>
      </c>
      <c r="BS143" s="219">
        <f t="shared" si="900"/>
        <v>984.58699999999999</v>
      </c>
      <c r="BT143" s="219">
        <f t="shared" si="900"/>
        <v>188.36300000000031</v>
      </c>
      <c r="BU143" s="219">
        <f t="shared" si="900"/>
        <v>-534.72899999999981</v>
      </c>
      <c r="BV143" s="219">
        <f t="shared" si="900"/>
        <v>-485.82500000000016</v>
      </c>
      <c r="BW143" s="219">
        <f t="shared" si="900"/>
        <v>-703.73800000000028</v>
      </c>
      <c r="BX143" s="219">
        <f t="shared" ref="BX143:CB143" si="901">SUM(BX136:BX142)</f>
        <v>-1339.6899999999994</v>
      </c>
      <c r="BY143" s="219">
        <f t="shared" si="901"/>
        <v>-949.92599999999982</v>
      </c>
      <c r="BZ143" s="219">
        <f t="shared" si="901"/>
        <v>-114.75100000000111</v>
      </c>
      <c r="CA143" s="219">
        <f t="shared" si="901"/>
        <v>-17.125000000000774</v>
      </c>
      <c r="CB143" s="219">
        <f t="shared" si="901"/>
        <v>-1218.2699999999991</v>
      </c>
      <c r="CC143" s="219">
        <f>SUM(CC136:CC142)</f>
        <v>-6618.0139999999992</v>
      </c>
      <c r="CD143" s="219">
        <f>SUM(CD136:CD142)</f>
        <v>-291.86579615293749</v>
      </c>
      <c r="CE143" s="219">
        <f>SUM(CE136:CE142)</f>
        <v>-315.61312248344103</v>
      </c>
      <c r="CF143" s="219">
        <f>SUM(CF136:CF142)</f>
        <v>-335.65352198753044</v>
      </c>
      <c r="CG143" s="23"/>
      <c r="CH143" s="220">
        <f t="shared" ref="CH143:CN143" si="902">SUM(CH136:CH142)</f>
        <v>-198.83700000000033</v>
      </c>
      <c r="CI143" s="219">
        <f t="shared" si="902"/>
        <v>492.3479999999999</v>
      </c>
      <c r="CJ143" s="219">
        <f t="shared" si="902"/>
        <v>1171.4649999999999</v>
      </c>
      <c r="CK143" s="219">
        <f t="shared" si="902"/>
        <v>-25.163999999999838</v>
      </c>
      <c r="CL143" s="219">
        <f t="shared" si="902"/>
        <v>-753.68300000000045</v>
      </c>
      <c r="CM143" s="219">
        <f t="shared" si="902"/>
        <v>-234.72800000000061</v>
      </c>
      <c r="CN143" s="219">
        <f t="shared" si="902"/>
        <v>-1318.0770000000002</v>
      </c>
      <c r="CO143" s="219">
        <f t="shared" ref="CO143:CT143" si="903">SUM(CO136:CO142)</f>
        <v>-773.08600000000013</v>
      </c>
      <c r="CP143" s="219">
        <f t="shared" si="903"/>
        <v>-1154.6499999999992</v>
      </c>
      <c r="CQ143" s="219">
        <f t="shared" si="903"/>
        <v>-24.156999999999925</v>
      </c>
      <c r="CR143" s="219">
        <f t="shared" si="903"/>
        <v>-267.76099999999963</v>
      </c>
      <c r="CS143" s="219">
        <f t="shared" si="903"/>
        <v>755.84900000000016</v>
      </c>
      <c r="CT143" s="219">
        <f t="shared" si="903"/>
        <v>-8452.268</v>
      </c>
      <c r="CU143" s="219">
        <f t="shared" ref="CU143" si="904">SUM(CU136:CU142)</f>
        <v>-301.47009848023561</v>
      </c>
      <c r="CV143" s="221">
        <f t="shared" ref="CV143" si="905">SUM(CV136:CV142)</f>
        <v>-320.84259573593937</v>
      </c>
      <c r="CW143" s="25"/>
    </row>
    <row r="144" spans="1:101" ht="14.25" hidden="1" customHeight="1" outlineLevel="1" thickTop="1">
      <c r="A144" s="8"/>
      <c r="B144" s="26"/>
      <c r="C144" s="27"/>
      <c r="D144" s="216"/>
      <c r="E144" s="214"/>
      <c r="F144" s="214"/>
      <c r="G144" s="215"/>
      <c r="H144" s="216"/>
      <c r="I144" s="214"/>
      <c r="J144" s="214"/>
      <c r="K144" s="215"/>
      <c r="L144" s="216"/>
      <c r="M144" s="214"/>
      <c r="N144" s="214"/>
      <c r="O144" s="215"/>
      <c r="P144" s="216"/>
      <c r="Q144" s="214"/>
      <c r="R144" s="214"/>
      <c r="S144" s="215"/>
      <c r="T144" s="216"/>
      <c r="U144" s="214"/>
      <c r="V144" s="214"/>
      <c r="W144" s="215"/>
      <c r="X144" s="216"/>
      <c r="Y144" s="214"/>
      <c r="Z144" s="214"/>
      <c r="AA144" s="215"/>
      <c r="AB144" s="214"/>
      <c r="AC144" s="214"/>
      <c r="AD144" s="214"/>
      <c r="AE144" s="215"/>
      <c r="AF144" s="214"/>
      <c r="AG144" s="214"/>
      <c r="AH144" s="214"/>
      <c r="AI144" s="215"/>
      <c r="AJ144" s="214"/>
      <c r="AK144" s="214"/>
      <c r="AL144" s="214"/>
      <c r="AM144" s="215"/>
      <c r="AN144" s="214"/>
      <c r="AO144" s="214"/>
      <c r="AP144" s="214"/>
      <c r="AQ144" s="215"/>
      <c r="AR144" s="214"/>
      <c r="AS144" s="214"/>
      <c r="AT144" s="214"/>
      <c r="AU144" s="215"/>
      <c r="AV144" s="214"/>
      <c r="AW144" s="214"/>
      <c r="AX144" s="214"/>
      <c r="AY144" s="215"/>
      <c r="AZ144" s="214"/>
      <c r="BA144" s="214"/>
      <c r="BB144" s="214"/>
      <c r="BC144" s="215"/>
      <c r="BD144" s="214"/>
      <c r="BE144" s="214"/>
      <c r="BF144" s="214"/>
      <c r="BG144" s="215"/>
      <c r="BH144" s="214"/>
      <c r="BI144" s="214"/>
      <c r="BJ144" s="214"/>
      <c r="BK144" s="215"/>
      <c r="BL144" s="214"/>
      <c r="BM144" s="214"/>
      <c r="BN144" s="214"/>
      <c r="BO144" s="215"/>
      <c r="BP144" s="176"/>
      <c r="BQ144" s="214"/>
      <c r="BR144" s="214"/>
      <c r="BS144" s="214"/>
      <c r="BT144" s="214"/>
      <c r="BU144" s="214"/>
      <c r="BV144" s="214"/>
      <c r="BW144" s="214"/>
      <c r="BX144" s="214"/>
      <c r="BY144" s="214"/>
      <c r="BZ144" s="214"/>
      <c r="CA144" s="214"/>
      <c r="CB144" s="214"/>
      <c r="CC144" s="214"/>
      <c r="CD144" s="214"/>
      <c r="CE144" s="214"/>
      <c r="CF144" s="214"/>
      <c r="CG144" s="23"/>
      <c r="CH144" s="216"/>
      <c r="CI144" s="214"/>
      <c r="CJ144" s="214"/>
      <c r="CK144" s="214"/>
      <c r="CL144" s="214"/>
      <c r="CM144" s="214"/>
      <c r="CN144" s="214"/>
      <c r="CO144" s="214"/>
      <c r="CP144" s="214"/>
      <c r="CQ144" s="214"/>
      <c r="CR144" s="214"/>
      <c r="CS144" s="214"/>
      <c r="CT144" s="214"/>
      <c r="CU144" s="214"/>
      <c r="CV144" s="215"/>
      <c r="CW144" s="25"/>
    </row>
    <row r="145" spans="1:101" ht="14.25" hidden="1" customHeight="1" outlineLevel="1">
      <c r="A145" s="8"/>
      <c r="B145" s="222" t="s">
        <v>127</v>
      </c>
      <c r="C145" s="223"/>
      <c r="D145" s="216"/>
      <c r="E145" s="224"/>
      <c r="F145" s="224"/>
      <c r="G145" s="215"/>
      <c r="H145" s="216"/>
      <c r="I145" s="224"/>
      <c r="J145" s="224"/>
      <c r="K145" s="215"/>
      <c r="L145" s="216"/>
      <c r="M145" s="224"/>
      <c r="N145" s="224"/>
      <c r="O145" s="215"/>
      <c r="P145" s="216"/>
      <c r="Q145" s="224"/>
      <c r="R145" s="224"/>
      <c r="S145" s="215"/>
      <c r="T145" s="216"/>
      <c r="U145" s="224"/>
      <c r="V145" s="224"/>
      <c r="W145" s="215"/>
      <c r="X145" s="216"/>
      <c r="Y145" s="224"/>
      <c r="Z145" s="224"/>
      <c r="AA145" s="215"/>
      <c r="AB145" s="214"/>
      <c r="AC145" s="214"/>
      <c r="AD145" s="214"/>
      <c r="AE145" s="215"/>
      <c r="AF145" s="214"/>
      <c r="AG145" s="214"/>
      <c r="AH145" s="214"/>
      <c r="AI145" s="215"/>
      <c r="AJ145" s="214"/>
      <c r="AK145" s="214"/>
      <c r="AL145" s="214"/>
      <c r="AM145" s="215"/>
      <c r="AN145" s="214"/>
      <c r="AO145" s="214"/>
      <c r="AP145" s="214"/>
      <c r="AQ145" s="215"/>
      <c r="AR145" s="214"/>
      <c r="AS145" s="214"/>
      <c r="AT145" s="214"/>
      <c r="AU145" s="215"/>
      <c r="AV145" s="214"/>
      <c r="AW145" s="214"/>
      <c r="AX145" s="214"/>
      <c r="AY145" s="215"/>
      <c r="AZ145" s="214"/>
      <c r="BA145" s="214"/>
      <c r="BB145" s="214"/>
      <c r="BC145" s="215"/>
      <c r="BD145" s="214"/>
      <c r="BE145" s="214"/>
      <c r="BF145" s="214"/>
      <c r="BG145" s="215"/>
      <c r="BH145" s="214"/>
      <c r="BI145" s="214"/>
      <c r="BJ145" s="214"/>
      <c r="BK145" s="215"/>
      <c r="BL145" s="214"/>
      <c r="BM145" s="214"/>
      <c r="BN145" s="214"/>
      <c r="BO145" s="215"/>
      <c r="BP145" s="176"/>
      <c r="BQ145" s="214"/>
      <c r="BR145" s="214"/>
      <c r="BS145" s="214"/>
      <c r="BT145" s="214"/>
      <c r="BU145" s="214"/>
      <c r="BV145" s="214"/>
      <c r="BW145" s="214"/>
      <c r="BX145" s="214"/>
      <c r="BY145" s="214"/>
      <c r="BZ145" s="214"/>
      <c r="CA145" s="214"/>
      <c r="CB145" s="214"/>
      <c r="CC145" s="214"/>
      <c r="CD145" s="214"/>
      <c r="CE145" s="214"/>
      <c r="CF145" s="214"/>
      <c r="CG145" s="23"/>
      <c r="CH145" s="216"/>
      <c r="CI145" s="214"/>
      <c r="CJ145" s="214"/>
      <c r="CK145" s="214"/>
      <c r="CL145" s="214"/>
      <c r="CM145" s="214"/>
      <c r="CN145" s="214"/>
      <c r="CO145" s="214"/>
      <c r="CP145" s="214"/>
      <c r="CQ145" s="214"/>
      <c r="CR145" s="214"/>
      <c r="CS145" s="214"/>
      <c r="CT145" s="214"/>
      <c r="CU145" s="214"/>
      <c r="CV145" s="215"/>
      <c r="CW145" s="25"/>
    </row>
    <row r="146" spans="1:101" ht="14.25" hidden="1" customHeight="1" outlineLevel="1">
      <c r="A146" s="8"/>
      <c r="B146" s="31" t="s">
        <v>200</v>
      </c>
      <c r="C146" s="32"/>
      <c r="D146" s="216">
        <v>0</v>
      </c>
      <c r="E146" s="214">
        <v>0</v>
      </c>
      <c r="F146" s="214">
        <v>0</v>
      </c>
      <c r="G146" s="215">
        <v>0</v>
      </c>
      <c r="H146" s="216">
        <v>0</v>
      </c>
      <c r="I146" s="214">
        <v>0</v>
      </c>
      <c r="J146" s="214">
        <v>0</v>
      </c>
      <c r="K146" s="215">
        <v>0</v>
      </c>
      <c r="L146" s="216">
        <v>0</v>
      </c>
      <c r="M146" s="214">
        <v>0</v>
      </c>
      <c r="N146" s="214">
        <v>0</v>
      </c>
      <c r="O146" s="215">
        <v>0</v>
      </c>
      <c r="P146" s="216">
        <v>0</v>
      </c>
      <c r="Q146" s="214">
        <v>0</v>
      </c>
      <c r="R146" s="214">
        <v>0</v>
      </c>
      <c r="S146" s="215">
        <v>0</v>
      </c>
      <c r="T146" s="216">
        <v>0</v>
      </c>
      <c r="U146" s="214">
        <v>0</v>
      </c>
      <c r="V146" s="214">
        <v>0</v>
      </c>
      <c r="W146" s="215">
        <v>0</v>
      </c>
      <c r="X146" s="216">
        <v>0</v>
      </c>
      <c r="Y146" s="214">
        <v>0</v>
      </c>
      <c r="Z146" s="214">
        <v>0</v>
      </c>
      <c r="AA146" s="215">
        <v>0</v>
      </c>
      <c r="AB146" s="214">
        <v>0</v>
      </c>
      <c r="AC146" s="214">
        <v>0</v>
      </c>
      <c r="AD146" s="214">
        <v>0</v>
      </c>
      <c r="AE146" s="215">
        <v>0</v>
      </c>
      <c r="AF146" s="214">
        <v>0</v>
      </c>
      <c r="AG146" s="214">
        <v>0</v>
      </c>
      <c r="AH146" s="214">
        <v>0</v>
      </c>
      <c r="AI146" s="215">
        <v>0</v>
      </c>
      <c r="AJ146" s="214">
        <v>0</v>
      </c>
      <c r="AK146" s="214">
        <v>0</v>
      </c>
      <c r="AL146" s="214">
        <v>0</v>
      </c>
      <c r="AM146" s="215">
        <v>0</v>
      </c>
      <c r="AN146" s="214">
        <v>0</v>
      </c>
      <c r="AO146" s="214">
        <v>0</v>
      </c>
      <c r="AP146" s="214">
        <v>0</v>
      </c>
      <c r="AQ146" s="215">
        <v>0</v>
      </c>
      <c r="AR146" s="214">
        <v>0</v>
      </c>
      <c r="AS146" s="214">
        <v>0</v>
      </c>
      <c r="AT146" s="214">
        <v>0</v>
      </c>
      <c r="AU146" s="215">
        <v>0</v>
      </c>
      <c r="AV146" s="214">
        <v>-378.15600000000001</v>
      </c>
      <c r="AW146" s="214">
        <v>-378.15600000000001</v>
      </c>
      <c r="AX146" s="214">
        <v>-378.15600000000001</v>
      </c>
      <c r="AY146" s="215">
        <v>-378.15600000000001</v>
      </c>
      <c r="AZ146" s="214">
        <v>0</v>
      </c>
      <c r="BA146" s="214">
        <v>0</v>
      </c>
      <c r="BB146" s="214">
        <v>-4700</v>
      </c>
      <c r="BC146" s="215">
        <v>0</v>
      </c>
      <c r="BD146" s="214">
        <v>0</v>
      </c>
      <c r="BE146" s="211">
        <f t="shared" ref="BE146:BE153" si="906">BD146+BE44</f>
        <v>0</v>
      </c>
      <c r="BF146" s="211">
        <f t="shared" ref="BF146:BF153" si="907">BE146+BF44</f>
        <v>0</v>
      </c>
      <c r="BG146" s="212">
        <f t="shared" ref="BG146:BG153" si="908">BF146+BG44</f>
        <v>0</v>
      </c>
      <c r="BH146" s="211">
        <f t="shared" ref="BH146:BH153" si="909">BH44</f>
        <v>0</v>
      </c>
      <c r="BI146" s="211">
        <f t="shared" ref="BI146:BI153" si="910">BH146+BI44</f>
        <v>0</v>
      </c>
      <c r="BJ146" s="211">
        <f t="shared" ref="BJ146:BJ153" si="911">BI146+BJ44</f>
        <v>0</v>
      </c>
      <c r="BK146" s="212">
        <f t="shared" ref="BK146:BK153" si="912">BJ146+BK44</f>
        <v>0</v>
      </c>
      <c r="BL146" s="211">
        <f t="shared" ref="BL146:BL153" si="913">BL44</f>
        <v>0</v>
      </c>
      <c r="BM146" s="211">
        <f t="shared" ref="BM146:BM153" si="914">BL146+BM44</f>
        <v>0</v>
      </c>
      <c r="BN146" s="211">
        <f t="shared" ref="BN146:BN153" si="915">BM146+BN44</f>
        <v>0</v>
      </c>
      <c r="BO146" s="212">
        <f t="shared" ref="BO146:BO153" si="916">BN146+BO44</f>
        <v>0</v>
      </c>
      <c r="BP146" s="176"/>
      <c r="BQ146" s="211">
        <f t="shared" ref="BQ146:BZ146" si="917">BQ44</f>
        <v>0</v>
      </c>
      <c r="BR146" s="211">
        <f t="shared" si="917"/>
        <v>0</v>
      </c>
      <c r="BS146" s="211">
        <f t="shared" si="917"/>
        <v>0</v>
      </c>
      <c r="BT146" s="211">
        <f t="shared" si="917"/>
        <v>0</v>
      </c>
      <c r="BU146" s="211">
        <f t="shared" si="917"/>
        <v>0</v>
      </c>
      <c r="BV146" s="211">
        <f t="shared" si="917"/>
        <v>0</v>
      </c>
      <c r="BW146" s="211">
        <f t="shared" si="917"/>
        <v>0</v>
      </c>
      <c r="BX146" s="211">
        <f t="shared" si="917"/>
        <v>0</v>
      </c>
      <c r="BY146" s="211">
        <f t="shared" si="917"/>
        <v>0</v>
      </c>
      <c r="BZ146" s="211">
        <f t="shared" si="917"/>
        <v>0</v>
      </c>
      <c r="CA146" s="211">
        <f t="shared" ref="CA146:CB153" si="918">CA44</f>
        <v>0</v>
      </c>
      <c r="CB146" s="211">
        <f t="shared" si="918"/>
        <v>-378.15600000000001</v>
      </c>
      <c r="CC146" s="211">
        <f t="shared" ref="CC146:CD153" si="919">CC44</f>
        <v>0</v>
      </c>
      <c r="CD146" s="211">
        <f t="shared" si="919"/>
        <v>0</v>
      </c>
      <c r="CE146" s="211">
        <f t="shared" ref="CE146:CF146" si="920">CE44</f>
        <v>0</v>
      </c>
      <c r="CF146" s="211">
        <f t="shared" si="920"/>
        <v>0</v>
      </c>
      <c r="CG146" s="23"/>
      <c r="CH146" s="213">
        <f t="shared" ref="CH146:CP146" si="921">CH44</f>
        <v>0</v>
      </c>
      <c r="CI146" s="211">
        <f t="shared" si="921"/>
        <v>0</v>
      </c>
      <c r="CJ146" s="211">
        <f t="shared" si="921"/>
        <v>0</v>
      </c>
      <c r="CK146" s="211">
        <f t="shared" si="921"/>
        <v>0</v>
      </c>
      <c r="CL146" s="211">
        <f t="shared" si="921"/>
        <v>0</v>
      </c>
      <c r="CM146" s="211">
        <f t="shared" si="921"/>
        <v>0</v>
      </c>
      <c r="CN146" s="211">
        <f t="shared" si="921"/>
        <v>0</v>
      </c>
      <c r="CO146" s="211">
        <f t="shared" si="921"/>
        <v>0</v>
      </c>
      <c r="CP146" s="211">
        <f t="shared" si="921"/>
        <v>0</v>
      </c>
      <c r="CQ146" s="211">
        <f t="shared" ref="CQ146:CR153" si="922">CQ44</f>
        <v>0</v>
      </c>
      <c r="CR146" s="211">
        <f t="shared" si="922"/>
        <v>-378.15600000000001</v>
      </c>
      <c r="CS146" s="211">
        <f t="shared" ref="CS146:CT153" si="923">CS44</f>
        <v>0</v>
      </c>
      <c r="CT146" s="211">
        <f t="shared" si="923"/>
        <v>0</v>
      </c>
      <c r="CU146" s="211">
        <f t="shared" ref="CU146" si="924">CU44</f>
        <v>0</v>
      </c>
      <c r="CV146" s="212">
        <f t="shared" ref="CV146" si="925">CV44</f>
        <v>0</v>
      </c>
      <c r="CW146" s="25"/>
    </row>
    <row r="147" spans="1:101" ht="14.25" hidden="1" customHeight="1" outlineLevel="1">
      <c r="A147" s="8"/>
      <c r="B147" s="31" t="s">
        <v>242</v>
      </c>
      <c r="C147" s="32"/>
      <c r="D147" s="216">
        <v>0</v>
      </c>
      <c r="E147" s="214">
        <v>0</v>
      </c>
      <c r="F147" s="214">
        <v>0</v>
      </c>
      <c r="G147" s="215">
        <v>0</v>
      </c>
      <c r="H147" s="216">
        <v>0</v>
      </c>
      <c r="I147" s="214">
        <v>0</v>
      </c>
      <c r="J147" s="214">
        <v>0</v>
      </c>
      <c r="K147" s="215">
        <v>0</v>
      </c>
      <c r="L147" s="216">
        <v>0</v>
      </c>
      <c r="M147" s="214">
        <v>0</v>
      </c>
      <c r="N147" s="214">
        <v>0</v>
      </c>
      <c r="O147" s="215">
        <v>0</v>
      </c>
      <c r="P147" s="216">
        <v>0</v>
      </c>
      <c r="Q147" s="214">
        <v>0</v>
      </c>
      <c r="R147" s="214">
        <v>0</v>
      </c>
      <c r="S147" s="215">
        <v>0</v>
      </c>
      <c r="T147" s="216">
        <v>0</v>
      </c>
      <c r="U147" s="214">
        <v>0</v>
      </c>
      <c r="V147" s="214">
        <v>370.35</v>
      </c>
      <c r="W147" s="215">
        <v>370.35</v>
      </c>
      <c r="X147" s="216">
        <v>0</v>
      </c>
      <c r="Y147" s="214">
        <v>0</v>
      </c>
      <c r="Z147" s="214">
        <v>0</v>
      </c>
      <c r="AA147" s="215">
        <v>0</v>
      </c>
      <c r="AB147" s="214">
        <v>145</v>
      </c>
      <c r="AC147" s="214">
        <v>515.50699999999995</v>
      </c>
      <c r="AD147" s="214">
        <v>515.50699999999995</v>
      </c>
      <c r="AE147" s="215">
        <v>515.50699999999995</v>
      </c>
      <c r="AF147" s="214">
        <v>0</v>
      </c>
      <c r="AG147" s="214">
        <v>0</v>
      </c>
      <c r="AH147" s="214">
        <v>0</v>
      </c>
      <c r="AI147" s="215">
        <v>0</v>
      </c>
      <c r="AJ147" s="214">
        <v>0</v>
      </c>
      <c r="AK147" s="214">
        <v>0</v>
      </c>
      <c r="AL147" s="214">
        <v>493.88</v>
      </c>
      <c r="AM147" s="215">
        <v>493.88</v>
      </c>
      <c r="AN147" s="214">
        <v>0</v>
      </c>
      <c r="AO147" s="214">
        <v>0</v>
      </c>
      <c r="AP147" s="214">
        <v>1995.3979999999999</v>
      </c>
      <c r="AQ147" s="215">
        <v>1995.3979999999999</v>
      </c>
      <c r="AR147" s="214">
        <v>0</v>
      </c>
      <c r="AS147" s="214">
        <v>0</v>
      </c>
      <c r="AT147" s="214">
        <v>0</v>
      </c>
      <c r="AU147" s="215">
        <v>0</v>
      </c>
      <c r="AV147" s="214">
        <v>1235.3309999999999</v>
      </c>
      <c r="AW147" s="214">
        <v>1235.3309999999999</v>
      </c>
      <c r="AX147" s="214">
        <v>1235.3309999999999</v>
      </c>
      <c r="AY147" s="215">
        <v>1235.3309999999999</v>
      </c>
      <c r="AZ147" s="214">
        <v>2072.306</v>
      </c>
      <c r="BA147" s="214">
        <v>11156.164000000001</v>
      </c>
      <c r="BB147" s="214">
        <v>11156.164000000001</v>
      </c>
      <c r="BC147" s="215">
        <v>11156.164000000001</v>
      </c>
      <c r="BD147" s="214">
        <v>0</v>
      </c>
      <c r="BE147" s="211">
        <f t="shared" si="906"/>
        <v>0</v>
      </c>
      <c r="BF147" s="211">
        <f t="shared" si="907"/>
        <v>0</v>
      </c>
      <c r="BG147" s="212">
        <f t="shared" si="908"/>
        <v>0</v>
      </c>
      <c r="BH147" s="211">
        <f t="shared" si="909"/>
        <v>0</v>
      </c>
      <c r="BI147" s="211">
        <f t="shared" si="910"/>
        <v>0</v>
      </c>
      <c r="BJ147" s="211">
        <f t="shared" si="911"/>
        <v>0</v>
      </c>
      <c r="BK147" s="212">
        <f t="shared" si="912"/>
        <v>0</v>
      </c>
      <c r="BL147" s="211">
        <f t="shared" si="913"/>
        <v>0</v>
      </c>
      <c r="BM147" s="211">
        <f t="shared" si="914"/>
        <v>0</v>
      </c>
      <c r="BN147" s="211">
        <f t="shared" si="915"/>
        <v>0</v>
      </c>
      <c r="BO147" s="212">
        <f t="shared" si="916"/>
        <v>0</v>
      </c>
      <c r="BP147" s="176"/>
      <c r="BQ147" s="211">
        <f t="shared" ref="BQ147:BZ147" si="926">BQ45</f>
        <v>0</v>
      </c>
      <c r="BR147" s="211">
        <f t="shared" si="926"/>
        <v>0</v>
      </c>
      <c r="BS147" s="211">
        <f t="shared" si="926"/>
        <v>0</v>
      </c>
      <c r="BT147" s="211">
        <f t="shared" si="926"/>
        <v>0</v>
      </c>
      <c r="BU147" s="211">
        <f t="shared" si="926"/>
        <v>370.35</v>
      </c>
      <c r="BV147" s="211">
        <f t="shared" si="926"/>
        <v>0</v>
      </c>
      <c r="BW147" s="211">
        <f t="shared" si="926"/>
        <v>515.50699999999995</v>
      </c>
      <c r="BX147" s="211">
        <f t="shared" si="926"/>
        <v>0</v>
      </c>
      <c r="BY147" s="211">
        <f t="shared" si="926"/>
        <v>493.88</v>
      </c>
      <c r="BZ147" s="211">
        <f t="shared" si="926"/>
        <v>1995.3979999999999</v>
      </c>
      <c r="CA147" s="211">
        <f t="shared" si="918"/>
        <v>0</v>
      </c>
      <c r="CB147" s="211">
        <f t="shared" si="918"/>
        <v>1235.3309999999999</v>
      </c>
      <c r="CC147" s="211">
        <f t="shared" si="919"/>
        <v>11156.164000000001</v>
      </c>
      <c r="CD147" s="211">
        <f t="shared" si="919"/>
        <v>0</v>
      </c>
      <c r="CE147" s="211">
        <f t="shared" ref="CE147:CF147" si="927">CE45</f>
        <v>0</v>
      </c>
      <c r="CF147" s="211">
        <f t="shared" si="927"/>
        <v>0</v>
      </c>
      <c r="CG147" s="23"/>
      <c r="CH147" s="213">
        <f t="shared" ref="CH147:CP147" si="928">CH45</f>
        <v>0</v>
      </c>
      <c r="CI147" s="211">
        <f t="shared" si="928"/>
        <v>0</v>
      </c>
      <c r="CJ147" s="211">
        <f t="shared" si="928"/>
        <v>0</v>
      </c>
      <c r="CK147" s="211">
        <f t="shared" si="928"/>
        <v>0</v>
      </c>
      <c r="CL147" s="211">
        <f t="shared" si="928"/>
        <v>370.35</v>
      </c>
      <c r="CM147" s="211">
        <f t="shared" si="928"/>
        <v>145</v>
      </c>
      <c r="CN147" s="211">
        <f t="shared" si="928"/>
        <v>370.50699999999995</v>
      </c>
      <c r="CO147" s="211">
        <f t="shared" si="928"/>
        <v>0</v>
      </c>
      <c r="CP147" s="211">
        <f t="shared" si="928"/>
        <v>493.88</v>
      </c>
      <c r="CQ147" s="211">
        <f t="shared" si="922"/>
        <v>1995.3979999999999</v>
      </c>
      <c r="CR147" s="211">
        <f t="shared" si="922"/>
        <v>1235.3309999999999</v>
      </c>
      <c r="CS147" s="211">
        <f t="shared" si="923"/>
        <v>2072.306</v>
      </c>
      <c r="CT147" s="211">
        <f t="shared" si="923"/>
        <v>9083.8580000000002</v>
      </c>
      <c r="CU147" s="211">
        <f t="shared" ref="CU147" si="929">CU45</f>
        <v>0</v>
      </c>
      <c r="CV147" s="212">
        <f t="shared" ref="CV147" si="930">CV45</f>
        <v>0</v>
      </c>
      <c r="CW147" s="25"/>
    </row>
    <row r="148" spans="1:101" ht="14.25" hidden="1" customHeight="1" outlineLevel="1">
      <c r="A148" s="8"/>
      <c r="B148" s="31" t="s">
        <v>243</v>
      </c>
      <c r="C148" s="32"/>
      <c r="D148" s="216">
        <v>0</v>
      </c>
      <c r="E148" s="214">
        <v>0</v>
      </c>
      <c r="F148" s="214">
        <v>0</v>
      </c>
      <c r="G148" s="215">
        <v>0</v>
      </c>
      <c r="H148" s="216">
        <v>0</v>
      </c>
      <c r="I148" s="214">
        <v>0</v>
      </c>
      <c r="J148" s="214">
        <v>0</v>
      </c>
      <c r="K148" s="215">
        <v>0</v>
      </c>
      <c r="L148" s="216">
        <v>0</v>
      </c>
      <c r="M148" s="214">
        <v>0</v>
      </c>
      <c r="N148" s="214">
        <v>0</v>
      </c>
      <c r="O148" s="215">
        <v>0</v>
      </c>
      <c r="P148" s="216">
        <v>0</v>
      </c>
      <c r="Q148" s="214">
        <v>0</v>
      </c>
      <c r="R148" s="214">
        <v>0</v>
      </c>
      <c r="S148" s="215">
        <v>0</v>
      </c>
      <c r="T148" s="216">
        <v>0</v>
      </c>
      <c r="U148" s="214">
        <v>0</v>
      </c>
      <c r="V148" s="214">
        <v>0</v>
      </c>
      <c r="W148" s="215">
        <v>0</v>
      </c>
      <c r="X148" s="216">
        <v>0</v>
      </c>
      <c r="Y148" s="214">
        <v>0</v>
      </c>
      <c r="Z148" s="214">
        <v>0</v>
      </c>
      <c r="AA148" s="215">
        <v>0</v>
      </c>
      <c r="AB148" s="214">
        <v>0</v>
      </c>
      <c r="AC148" s="214">
        <v>-3.625</v>
      </c>
      <c r="AD148" s="214">
        <v>-24.766999999999999</v>
      </c>
      <c r="AE148" s="215">
        <v>-28.391999999999999</v>
      </c>
      <c r="AF148" s="214">
        <v>-15.625</v>
      </c>
      <c r="AG148" s="214">
        <v>-19.25</v>
      </c>
      <c r="AH148" s="214">
        <v>-22.875</v>
      </c>
      <c r="AI148" s="215">
        <v>-56.5</v>
      </c>
      <c r="AJ148" s="214">
        <v>-60.107999999999997</v>
      </c>
      <c r="AK148" s="214">
        <f>+AJ148</f>
        <v>-60.107999999999997</v>
      </c>
      <c r="AL148" s="214">
        <v>-60.107999999999997</v>
      </c>
      <c r="AM148" s="215">
        <v>-60.107999999999997</v>
      </c>
      <c r="AN148" s="214">
        <v>0</v>
      </c>
      <c r="AO148" s="214">
        <f>+AN148</f>
        <v>0</v>
      </c>
      <c r="AP148" s="214">
        <v>0</v>
      </c>
      <c r="AQ148" s="215">
        <v>-1995.3979999999999</v>
      </c>
      <c r="AR148" s="214">
        <v>0</v>
      </c>
      <c r="AS148" s="214">
        <f>+AR148</f>
        <v>0</v>
      </c>
      <c r="AT148" s="214">
        <v>0</v>
      </c>
      <c r="AU148" s="215">
        <v>0</v>
      </c>
      <c r="AV148" s="214">
        <v>0</v>
      </c>
      <c r="AW148" s="214">
        <f>+AV148</f>
        <v>0</v>
      </c>
      <c r="AX148" s="214">
        <v>0</v>
      </c>
      <c r="AY148" s="215">
        <v>0</v>
      </c>
      <c r="AZ148" s="214">
        <v>0</v>
      </c>
      <c r="BA148" s="214">
        <f>+AZ148</f>
        <v>0</v>
      </c>
      <c r="BB148" s="214">
        <v>0</v>
      </c>
      <c r="BC148" s="215">
        <v>-5050</v>
      </c>
      <c r="BD148" s="214">
        <v>-420</v>
      </c>
      <c r="BE148" s="211">
        <f t="shared" si="906"/>
        <v>-420</v>
      </c>
      <c r="BF148" s="211">
        <f t="shared" si="907"/>
        <v>-420</v>
      </c>
      <c r="BG148" s="212">
        <f t="shared" si="908"/>
        <v>-420</v>
      </c>
      <c r="BH148" s="211">
        <f t="shared" si="909"/>
        <v>0</v>
      </c>
      <c r="BI148" s="211">
        <f t="shared" si="910"/>
        <v>0</v>
      </c>
      <c r="BJ148" s="211">
        <f t="shared" si="911"/>
        <v>0</v>
      </c>
      <c r="BK148" s="212">
        <f t="shared" si="912"/>
        <v>0</v>
      </c>
      <c r="BL148" s="211">
        <f t="shared" si="913"/>
        <v>0</v>
      </c>
      <c r="BM148" s="211">
        <f t="shared" si="914"/>
        <v>0</v>
      </c>
      <c r="BN148" s="211">
        <f t="shared" si="915"/>
        <v>0</v>
      </c>
      <c r="BO148" s="212">
        <f t="shared" si="916"/>
        <v>0</v>
      </c>
      <c r="BP148" s="176"/>
      <c r="BQ148" s="211">
        <f t="shared" ref="BQ148:BZ148" si="931">BQ46</f>
        <v>0</v>
      </c>
      <c r="BR148" s="211">
        <f t="shared" si="931"/>
        <v>0</v>
      </c>
      <c r="BS148" s="211">
        <f t="shared" si="931"/>
        <v>0</v>
      </c>
      <c r="BT148" s="211">
        <f t="shared" si="931"/>
        <v>0</v>
      </c>
      <c r="BU148" s="211">
        <f t="shared" si="931"/>
        <v>0</v>
      </c>
      <c r="BV148" s="211">
        <f t="shared" si="931"/>
        <v>0</v>
      </c>
      <c r="BW148" s="211">
        <f t="shared" si="931"/>
        <v>-28.391999999999999</v>
      </c>
      <c r="BX148" s="211">
        <f t="shared" si="931"/>
        <v>-56.5</v>
      </c>
      <c r="BY148" s="211">
        <f t="shared" si="931"/>
        <v>-60.107999999999997</v>
      </c>
      <c r="BZ148" s="211">
        <f t="shared" si="931"/>
        <v>-1995.3979999999999</v>
      </c>
      <c r="CA148" s="211">
        <f t="shared" si="918"/>
        <v>0</v>
      </c>
      <c r="CB148" s="211">
        <f t="shared" si="918"/>
        <v>0</v>
      </c>
      <c r="CC148" s="211">
        <f t="shared" si="919"/>
        <v>-5050</v>
      </c>
      <c r="CD148" s="211">
        <f t="shared" si="919"/>
        <v>-420</v>
      </c>
      <c r="CE148" s="211">
        <f t="shared" ref="CE148:CF148" si="932">CE46</f>
        <v>0</v>
      </c>
      <c r="CF148" s="211">
        <f t="shared" si="932"/>
        <v>0</v>
      </c>
      <c r="CG148" s="23"/>
      <c r="CH148" s="213">
        <f t="shared" ref="CH148:CP148" si="933">CH46</f>
        <v>0</v>
      </c>
      <c r="CI148" s="211">
        <f t="shared" si="933"/>
        <v>0</v>
      </c>
      <c r="CJ148" s="211">
        <f t="shared" si="933"/>
        <v>0</v>
      </c>
      <c r="CK148" s="211">
        <f t="shared" si="933"/>
        <v>0</v>
      </c>
      <c r="CL148" s="211">
        <f t="shared" si="933"/>
        <v>0</v>
      </c>
      <c r="CM148" s="211">
        <f t="shared" si="933"/>
        <v>0</v>
      </c>
      <c r="CN148" s="211">
        <f t="shared" si="933"/>
        <v>-44.016999999999996</v>
      </c>
      <c r="CO148" s="211">
        <f t="shared" si="933"/>
        <v>-100.983</v>
      </c>
      <c r="CP148" s="211">
        <f t="shared" si="933"/>
        <v>0</v>
      </c>
      <c r="CQ148" s="211">
        <f t="shared" si="922"/>
        <v>-1995.3979999999999</v>
      </c>
      <c r="CR148" s="211">
        <f t="shared" si="922"/>
        <v>0</v>
      </c>
      <c r="CS148" s="211">
        <f t="shared" si="923"/>
        <v>0</v>
      </c>
      <c r="CT148" s="211">
        <f t="shared" si="923"/>
        <v>-5470</v>
      </c>
      <c r="CU148" s="211">
        <f t="shared" ref="CU148" si="934">CU46</f>
        <v>0</v>
      </c>
      <c r="CV148" s="212">
        <f t="shared" ref="CV148" si="935">CV46</f>
        <v>0</v>
      </c>
      <c r="CW148" s="25"/>
    </row>
    <row r="149" spans="1:101" ht="14.25" hidden="1" customHeight="1" outlineLevel="1">
      <c r="A149" s="8"/>
      <c r="B149" s="31" t="s">
        <v>244</v>
      </c>
      <c r="C149" s="32"/>
      <c r="D149" s="216">
        <v>-22.579000000000001</v>
      </c>
      <c r="E149" s="214">
        <v>-44.835999999999999</v>
      </c>
      <c r="F149" s="214">
        <v>-81.87</v>
      </c>
      <c r="G149" s="215">
        <v>-118.998</v>
      </c>
      <c r="H149" s="216">
        <v>-44.094000000000001</v>
      </c>
      <c r="I149" s="214">
        <v>-88.284999999999997</v>
      </c>
      <c r="J149" s="214">
        <v>-145.809</v>
      </c>
      <c r="K149" s="215">
        <v>-201.45099999999999</v>
      </c>
      <c r="L149" s="216">
        <v>-54.737000000000002</v>
      </c>
      <c r="M149" s="214">
        <v>-114.29900000000001</v>
      </c>
      <c r="N149" s="214">
        <v>-172.84399999999999</v>
      </c>
      <c r="O149" s="215">
        <v>-228.28100000000001</v>
      </c>
      <c r="P149" s="216">
        <v>-53.835999999999999</v>
      </c>
      <c r="Q149" s="214">
        <v>-106.34699999999999</v>
      </c>
      <c r="R149" s="214">
        <v>-164.42500000000001</v>
      </c>
      <c r="S149" s="215">
        <v>-222.53</v>
      </c>
      <c r="T149" s="216">
        <v>-58.238</v>
      </c>
      <c r="U149" s="214">
        <v>-116.402</v>
      </c>
      <c r="V149" s="214">
        <v>-174.66200000000001</v>
      </c>
      <c r="W149" s="215">
        <v>-232.988</v>
      </c>
      <c r="X149" s="216">
        <v>-58.87</v>
      </c>
      <c r="Y149" s="214">
        <v>-118.426</v>
      </c>
      <c r="Z149" s="214">
        <v>-184.375</v>
      </c>
      <c r="AA149" s="215">
        <v>-249.964</v>
      </c>
      <c r="AB149" s="214">
        <v>-65.81</v>
      </c>
      <c r="AC149" s="214">
        <v>-131.809</v>
      </c>
      <c r="AD149" s="214">
        <v>-206.80199999999999</v>
      </c>
      <c r="AE149" s="215">
        <v>-281.62599999999998</v>
      </c>
      <c r="AF149" s="214">
        <v>-74.415999999999997</v>
      </c>
      <c r="AG149" s="214">
        <v>-163.81800000000001</v>
      </c>
      <c r="AH149" s="214">
        <v>-253.32900000000001</v>
      </c>
      <c r="AI149" s="215">
        <v>-344.70100000000002</v>
      </c>
      <c r="AJ149" s="214">
        <v>-90.679000000000002</v>
      </c>
      <c r="AK149" s="214">
        <f>-104.415+AJ149</f>
        <v>-195.09399999999999</v>
      </c>
      <c r="AL149" s="214">
        <v>-300.017</v>
      </c>
      <c r="AM149" s="215">
        <v>-405.95499999999998</v>
      </c>
      <c r="AN149" s="214">
        <v>-106.024</v>
      </c>
      <c r="AO149" s="214">
        <v>-221.81899999999999</v>
      </c>
      <c r="AP149" s="214">
        <v>-337.91699999999997</v>
      </c>
      <c r="AQ149" s="215">
        <v>-454.22500000000002</v>
      </c>
      <c r="AR149" s="214">
        <v>-115.084</v>
      </c>
      <c r="AS149" s="214">
        <v>-239.96600000000001</v>
      </c>
      <c r="AT149" s="214">
        <v>-365.47699999999998</v>
      </c>
      <c r="AU149" s="215">
        <v>-491.05900000000003</v>
      </c>
      <c r="AV149" s="214">
        <v>-124.658</v>
      </c>
      <c r="AW149" s="214">
        <v>-254.583</v>
      </c>
      <c r="AX149" s="214">
        <v>-383.53699999999998</v>
      </c>
      <c r="AY149" s="215">
        <v>-513.17999999999995</v>
      </c>
      <c r="AZ149" s="214">
        <v>-129.68299999999999</v>
      </c>
      <c r="BA149" s="214">
        <v>-268.99700000000001</v>
      </c>
      <c r="BB149" s="214">
        <v>-435.262</v>
      </c>
      <c r="BC149" s="215">
        <v>-602.11900000000003</v>
      </c>
      <c r="BD149" s="214">
        <v>-166.71899999999999</v>
      </c>
      <c r="BE149" s="211">
        <f t="shared" si="906"/>
        <v>-335.55405000000002</v>
      </c>
      <c r="BF149" s="211">
        <f t="shared" si="907"/>
        <v>-504.83910000000003</v>
      </c>
      <c r="BG149" s="212">
        <f t="shared" si="908"/>
        <v>-674.57415000000003</v>
      </c>
      <c r="BH149" s="211">
        <f t="shared" si="909"/>
        <v>-170.18505000000002</v>
      </c>
      <c r="BI149" s="211">
        <f t="shared" si="910"/>
        <v>-340.82010000000002</v>
      </c>
      <c r="BJ149" s="211">
        <f t="shared" si="911"/>
        <v>-511.90515000000005</v>
      </c>
      <c r="BK149" s="212">
        <f t="shared" si="912"/>
        <v>-683.4402</v>
      </c>
      <c r="BL149" s="211">
        <f t="shared" si="913"/>
        <v>-171.98505</v>
      </c>
      <c r="BM149" s="211">
        <f t="shared" si="914"/>
        <v>-344.42010000000005</v>
      </c>
      <c r="BN149" s="211">
        <f t="shared" si="915"/>
        <v>-517.30515000000003</v>
      </c>
      <c r="BO149" s="212">
        <f t="shared" si="916"/>
        <v>-690.64020000000005</v>
      </c>
      <c r="BP149" s="176"/>
      <c r="BQ149" s="211">
        <f t="shared" ref="BQ149:BZ149" si="936">BQ47</f>
        <v>-118.998</v>
      </c>
      <c r="BR149" s="211">
        <f t="shared" si="936"/>
        <v>-201.45099999999999</v>
      </c>
      <c r="BS149" s="211">
        <f t="shared" si="936"/>
        <v>-228.28100000000001</v>
      </c>
      <c r="BT149" s="211">
        <f t="shared" si="936"/>
        <v>-222.53000000000003</v>
      </c>
      <c r="BU149" s="211">
        <f t="shared" si="936"/>
        <v>-232.988</v>
      </c>
      <c r="BV149" s="211">
        <f t="shared" si="936"/>
        <v>-249.964</v>
      </c>
      <c r="BW149" s="211">
        <f t="shared" si="936"/>
        <v>-281.62599999999998</v>
      </c>
      <c r="BX149" s="211">
        <f t="shared" si="936"/>
        <v>-344.70100000000002</v>
      </c>
      <c r="BY149" s="211">
        <f t="shared" si="936"/>
        <v>-405.95499999999998</v>
      </c>
      <c r="BZ149" s="211">
        <f t="shared" si="936"/>
        <v>-454.22500000000002</v>
      </c>
      <c r="CA149" s="211">
        <f t="shared" si="918"/>
        <v>-491.05900000000003</v>
      </c>
      <c r="CB149" s="211">
        <f t="shared" si="918"/>
        <v>-513.17999999999995</v>
      </c>
      <c r="CC149" s="211">
        <f t="shared" si="919"/>
        <v>-602.11900000000003</v>
      </c>
      <c r="CD149" s="211">
        <f t="shared" si="919"/>
        <v>-674.57415000000003</v>
      </c>
      <c r="CE149" s="211">
        <f t="shared" ref="CE149:CF149" si="937">CE47</f>
        <v>-683.4402</v>
      </c>
      <c r="CF149" s="211">
        <f t="shared" si="937"/>
        <v>-690.64020000000005</v>
      </c>
      <c r="CG149" s="23"/>
      <c r="CH149" s="213">
        <f t="shared" ref="CH149:CP149" si="938">CH47</f>
        <v>-140.51300000000001</v>
      </c>
      <c r="CI149" s="211">
        <f t="shared" si="938"/>
        <v>-212.09399999999997</v>
      </c>
      <c r="CJ149" s="211">
        <f t="shared" si="938"/>
        <v>-227.38</v>
      </c>
      <c r="CK149" s="211">
        <f t="shared" si="938"/>
        <v>-226.93200000000002</v>
      </c>
      <c r="CL149" s="211">
        <f t="shared" si="938"/>
        <v>-233.62</v>
      </c>
      <c r="CM149" s="211">
        <f t="shared" si="938"/>
        <v>-256.904</v>
      </c>
      <c r="CN149" s="211">
        <f t="shared" si="938"/>
        <v>-290.23199999999997</v>
      </c>
      <c r="CO149" s="211">
        <f t="shared" si="938"/>
        <v>-360.96400000000006</v>
      </c>
      <c r="CP149" s="211">
        <f t="shared" si="938"/>
        <v>-421.29999999999995</v>
      </c>
      <c r="CQ149" s="211">
        <f t="shared" si="922"/>
        <v>-463.28500000000003</v>
      </c>
      <c r="CR149" s="211">
        <f t="shared" si="922"/>
        <v>-500.63300000000004</v>
      </c>
      <c r="CS149" s="211">
        <f t="shared" si="923"/>
        <v>-518.20499999999993</v>
      </c>
      <c r="CT149" s="211">
        <f t="shared" si="923"/>
        <v>-639.15499999999997</v>
      </c>
      <c r="CU149" s="211">
        <f t="shared" ref="CU149" si="939">CU47</f>
        <v>-678.04020000000003</v>
      </c>
      <c r="CV149" s="212">
        <f t="shared" ref="CV149" si="940">CV47</f>
        <v>-685.24019999999996</v>
      </c>
      <c r="CW149" s="25"/>
    </row>
    <row r="150" spans="1:101" ht="14.25" hidden="1" customHeight="1" outlineLevel="1">
      <c r="A150" s="8"/>
      <c r="B150" s="31" t="s">
        <v>199</v>
      </c>
      <c r="C150" s="32"/>
      <c r="D150" s="216">
        <v>-161.20400000000001</v>
      </c>
      <c r="E150" s="214">
        <v>-284.697</v>
      </c>
      <c r="F150" s="214">
        <v>-284.697</v>
      </c>
      <c r="G150" s="215">
        <v>-525.49300000000005</v>
      </c>
      <c r="H150" s="216">
        <v>-125.098</v>
      </c>
      <c r="I150" s="214">
        <v>-362.80700000000002</v>
      </c>
      <c r="J150" s="214">
        <v>-667.97</v>
      </c>
      <c r="K150" s="215">
        <v>-1024.982</v>
      </c>
      <c r="L150" s="216">
        <v>-333.22300000000001</v>
      </c>
      <c r="M150" s="214">
        <v>-697.81299999999999</v>
      </c>
      <c r="N150" s="214">
        <v>-1329.521</v>
      </c>
      <c r="O150" s="215">
        <v>-1647.212</v>
      </c>
      <c r="P150" s="216">
        <v>-359.37599999999998</v>
      </c>
      <c r="Q150" s="214">
        <v>-524.80200000000002</v>
      </c>
      <c r="R150" s="214">
        <v>-552.38</v>
      </c>
      <c r="S150" s="215">
        <v>-569.85299999999995</v>
      </c>
      <c r="T150" s="216">
        <v>-0.48899999999999999</v>
      </c>
      <c r="U150" s="214">
        <v>-3.58</v>
      </c>
      <c r="V150" s="214">
        <v>-3.762</v>
      </c>
      <c r="W150" s="215">
        <v>-3.762</v>
      </c>
      <c r="X150" s="216">
        <v>0</v>
      </c>
      <c r="Y150" s="214">
        <v>0</v>
      </c>
      <c r="Z150" s="214">
        <v>-4.0469999999999997</v>
      </c>
      <c r="AA150" s="215">
        <v>-39.847999999999999</v>
      </c>
      <c r="AB150" s="214">
        <v>-113.605</v>
      </c>
      <c r="AC150" s="214">
        <v>-181.15700000000001</v>
      </c>
      <c r="AD150" s="214">
        <v>-247.44</v>
      </c>
      <c r="AE150" s="215">
        <v>-330.25599999999997</v>
      </c>
      <c r="AF150" s="214">
        <v>-78.38</v>
      </c>
      <c r="AG150" s="214">
        <v>-122.39700000000001</v>
      </c>
      <c r="AH150" s="214">
        <v>-139.74100000000001</v>
      </c>
      <c r="AI150" s="215">
        <v>-160.536</v>
      </c>
      <c r="AJ150" s="214">
        <v>-17.001000000000001</v>
      </c>
      <c r="AK150" s="214">
        <f>-4.519+AJ150</f>
        <v>-21.520000000000003</v>
      </c>
      <c r="AL150" s="214">
        <v>-17.72</v>
      </c>
      <c r="AM150" s="215">
        <v>-60.529000000000003</v>
      </c>
      <c r="AN150" s="214">
        <v>-88.962999999999994</v>
      </c>
      <c r="AO150" s="214">
        <v>-111.577</v>
      </c>
      <c r="AP150" s="214">
        <v>-168.971</v>
      </c>
      <c r="AQ150" s="215">
        <v>-356.346</v>
      </c>
      <c r="AR150" s="214">
        <v>-59.636000000000003</v>
      </c>
      <c r="AS150" s="214">
        <v>-83.911000000000001</v>
      </c>
      <c r="AT150" s="214">
        <v>-115.251</v>
      </c>
      <c r="AU150" s="215">
        <v>-226.953</v>
      </c>
      <c r="AV150" s="214">
        <v>-131.977</v>
      </c>
      <c r="AW150" s="214">
        <v>-345.62700000000001</v>
      </c>
      <c r="AX150" s="214">
        <v>-368.649</v>
      </c>
      <c r="AY150" s="215">
        <v>-370.06099999999998</v>
      </c>
      <c r="AZ150" s="214">
        <v>-3.1059999999999999</v>
      </c>
      <c r="BA150" s="214">
        <v>-26.98</v>
      </c>
      <c r="BB150" s="214">
        <v>-35.935000000000002</v>
      </c>
      <c r="BC150" s="215">
        <v>-46.533000000000001</v>
      </c>
      <c r="BD150" s="214">
        <v>-7.93</v>
      </c>
      <c r="BE150" s="211">
        <f t="shared" si="906"/>
        <v>-15.86</v>
      </c>
      <c r="BF150" s="211">
        <f t="shared" si="907"/>
        <v>-23.79</v>
      </c>
      <c r="BG150" s="212">
        <f t="shared" si="908"/>
        <v>-31.72</v>
      </c>
      <c r="BH150" s="211">
        <f t="shared" si="909"/>
        <v>-7.93</v>
      </c>
      <c r="BI150" s="211">
        <f t="shared" si="910"/>
        <v>-15.86</v>
      </c>
      <c r="BJ150" s="211">
        <f t="shared" si="911"/>
        <v>-23.79</v>
      </c>
      <c r="BK150" s="212">
        <f t="shared" si="912"/>
        <v>-31.72</v>
      </c>
      <c r="BL150" s="211">
        <f t="shared" si="913"/>
        <v>-7.93</v>
      </c>
      <c r="BM150" s="211">
        <f t="shared" si="914"/>
        <v>-15.86</v>
      </c>
      <c r="BN150" s="211">
        <f t="shared" si="915"/>
        <v>-23.79</v>
      </c>
      <c r="BO150" s="212">
        <f t="shared" si="916"/>
        <v>-31.72</v>
      </c>
      <c r="BP150" s="176"/>
      <c r="BQ150" s="211">
        <f t="shared" ref="BQ150:BZ150" si="941">BQ48</f>
        <v>-525.49300000000005</v>
      </c>
      <c r="BR150" s="211">
        <f t="shared" si="941"/>
        <v>-1024.982</v>
      </c>
      <c r="BS150" s="211">
        <f t="shared" si="941"/>
        <v>-1647.2120000000002</v>
      </c>
      <c r="BT150" s="211">
        <f t="shared" si="941"/>
        <v>-569.85299999999995</v>
      </c>
      <c r="BU150" s="211">
        <f t="shared" si="941"/>
        <v>-3.762</v>
      </c>
      <c r="BV150" s="211">
        <f t="shared" si="941"/>
        <v>-39.847999999999999</v>
      </c>
      <c r="BW150" s="211">
        <f t="shared" si="941"/>
        <v>-330.25599999999997</v>
      </c>
      <c r="BX150" s="211">
        <f t="shared" si="941"/>
        <v>-160.536</v>
      </c>
      <c r="BY150" s="211">
        <f t="shared" si="941"/>
        <v>-60.528999999999996</v>
      </c>
      <c r="BZ150" s="211">
        <f t="shared" si="941"/>
        <v>-356.346</v>
      </c>
      <c r="CA150" s="211">
        <f t="shared" si="918"/>
        <v>-226.953</v>
      </c>
      <c r="CB150" s="211">
        <f t="shared" si="918"/>
        <v>-370.06099999999998</v>
      </c>
      <c r="CC150" s="211">
        <f t="shared" si="919"/>
        <v>-46.533000000000001</v>
      </c>
      <c r="CD150" s="211">
        <f t="shared" si="919"/>
        <v>-31.72</v>
      </c>
      <c r="CE150" s="211">
        <f t="shared" ref="CE150:CF150" si="942">CE48</f>
        <v>-31.72</v>
      </c>
      <c r="CF150" s="211">
        <f t="shared" si="942"/>
        <v>-31.72</v>
      </c>
      <c r="CG150" s="23"/>
      <c r="CH150" s="213">
        <f t="shared" ref="CH150:CP150" si="943">CH48</f>
        <v>-489.38700000000006</v>
      </c>
      <c r="CI150" s="211">
        <f t="shared" si="943"/>
        <v>-1233.107</v>
      </c>
      <c r="CJ150" s="211">
        <f t="shared" si="943"/>
        <v>-1673.365</v>
      </c>
      <c r="CK150" s="211">
        <f t="shared" si="943"/>
        <v>-210.96599999999998</v>
      </c>
      <c r="CL150" s="211">
        <f t="shared" si="943"/>
        <v>-3.2730000000000001</v>
      </c>
      <c r="CM150" s="211">
        <f t="shared" si="943"/>
        <v>-153.453</v>
      </c>
      <c r="CN150" s="211">
        <f t="shared" si="943"/>
        <v>-295.03099999999995</v>
      </c>
      <c r="CO150" s="211">
        <f t="shared" si="943"/>
        <v>-99.157000000000025</v>
      </c>
      <c r="CP150" s="211">
        <f t="shared" si="943"/>
        <v>-132.49099999999999</v>
      </c>
      <c r="CQ150" s="211">
        <f t="shared" si="922"/>
        <v>-327.01900000000001</v>
      </c>
      <c r="CR150" s="211">
        <f t="shared" si="922"/>
        <v>-299.29399999999998</v>
      </c>
      <c r="CS150" s="211">
        <f t="shared" si="923"/>
        <v>-241.18999999999997</v>
      </c>
      <c r="CT150" s="211">
        <f t="shared" si="923"/>
        <v>-51.356999999999999</v>
      </c>
      <c r="CU150" s="211">
        <f t="shared" ref="CU150" si="944">CU48</f>
        <v>-31.72</v>
      </c>
      <c r="CV150" s="212">
        <f t="shared" ref="CV150" si="945">CV48</f>
        <v>-31.72</v>
      </c>
      <c r="CW150" s="25"/>
    </row>
    <row r="151" spans="1:101" ht="14.25" hidden="1" customHeight="1" outlineLevel="1">
      <c r="A151" s="8"/>
      <c r="B151" s="31" t="s">
        <v>245</v>
      </c>
      <c r="C151" s="32"/>
      <c r="D151" s="216">
        <v>13.611000000000001</v>
      </c>
      <c r="E151" s="214">
        <v>28.428999999999998</v>
      </c>
      <c r="F151" s="214">
        <v>72.397999999999996</v>
      </c>
      <c r="G151" s="215">
        <v>89.402000000000001</v>
      </c>
      <c r="H151" s="216">
        <v>38.685000000000002</v>
      </c>
      <c r="I151" s="214">
        <v>59.679000000000002</v>
      </c>
      <c r="J151" s="214">
        <v>79.852000000000004</v>
      </c>
      <c r="K151" s="215">
        <v>94.391999999999996</v>
      </c>
      <c r="L151" s="216">
        <v>24.497</v>
      </c>
      <c r="M151" s="214">
        <v>78.259</v>
      </c>
      <c r="N151" s="214">
        <v>96.195999999999998</v>
      </c>
      <c r="O151" s="215">
        <v>109.149</v>
      </c>
      <c r="P151" s="216">
        <v>24.497</v>
      </c>
      <c r="Q151" s="214">
        <v>62.12</v>
      </c>
      <c r="R151" s="214">
        <v>83.004999999999995</v>
      </c>
      <c r="S151" s="215">
        <v>94.155000000000001</v>
      </c>
      <c r="T151" s="216">
        <v>0.76800000000000002</v>
      </c>
      <c r="U151" s="214">
        <v>2.92</v>
      </c>
      <c r="V151" s="214">
        <v>8.74</v>
      </c>
      <c r="W151" s="215">
        <v>12.377000000000001</v>
      </c>
      <c r="X151" s="216">
        <v>163.48699999999999</v>
      </c>
      <c r="Y151" s="214">
        <v>169.15299999999999</v>
      </c>
      <c r="Z151" s="214">
        <v>174.00200000000001</v>
      </c>
      <c r="AA151" s="215">
        <v>216.14699999999999</v>
      </c>
      <c r="AB151" s="214">
        <v>101.967</v>
      </c>
      <c r="AC151" s="214">
        <v>148.07900000000001</v>
      </c>
      <c r="AD151" s="214">
        <v>189.239</v>
      </c>
      <c r="AE151" s="215">
        <v>217.16399999999999</v>
      </c>
      <c r="AF151" s="214">
        <v>48.646999999999998</v>
      </c>
      <c r="AG151" s="214">
        <v>87.399000000000001</v>
      </c>
      <c r="AH151" s="214">
        <v>110.72800000000001</v>
      </c>
      <c r="AI151" s="215">
        <v>191.22</v>
      </c>
      <c r="AJ151" s="214">
        <v>113.77</v>
      </c>
      <c r="AK151" s="214">
        <f>+AJ151+62.255</f>
        <v>176.02500000000001</v>
      </c>
      <c r="AL151" s="214">
        <v>261.87799999999999</v>
      </c>
      <c r="AM151" s="215">
        <v>306.27699999999999</v>
      </c>
      <c r="AN151" s="214">
        <v>79.599999999999994</v>
      </c>
      <c r="AO151" s="214">
        <v>142.536</v>
      </c>
      <c r="AP151" s="214">
        <v>178.58099999999999</v>
      </c>
      <c r="AQ151" s="215">
        <v>200.114</v>
      </c>
      <c r="AR151" s="214">
        <v>42.792999999999999</v>
      </c>
      <c r="AS151" s="214">
        <v>94.882999999999996</v>
      </c>
      <c r="AT151" s="214">
        <v>114.871</v>
      </c>
      <c r="AU151" s="215">
        <v>122.631</v>
      </c>
      <c r="AV151" s="214">
        <v>6.2290000000000001</v>
      </c>
      <c r="AW151" s="214">
        <v>22.709</v>
      </c>
      <c r="AX151" s="214">
        <v>39.341999999999999</v>
      </c>
      <c r="AY151" s="215">
        <v>61.496000000000002</v>
      </c>
      <c r="AZ151" s="214">
        <v>34.432000000000002</v>
      </c>
      <c r="BA151" s="214">
        <v>87.272999999999996</v>
      </c>
      <c r="BB151" s="214">
        <v>105.244</v>
      </c>
      <c r="BC151" s="215">
        <v>133.30199999999999</v>
      </c>
      <c r="BD151" s="214">
        <v>37.811999999999998</v>
      </c>
      <c r="BE151" s="211">
        <f t="shared" si="906"/>
        <v>75.623999999999995</v>
      </c>
      <c r="BF151" s="211">
        <f t="shared" si="907"/>
        <v>113.43599999999999</v>
      </c>
      <c r="BG151" s="212">
        <f t="shared" si="908"/>
        <v>151.24799999999999</v>
      </c>
      <c r="BH151" s="211">
        <f t="shared" si="909"/>
        <v>37.811999999999998</v>
      </c>
      <c r="BI151" s="211">
        <f t="shared" si="910"/>
        <v>75.623999999999995</v>
      </c>
      <c r="BJ151" s="211">
        <f t="shared" si="911"/>
        <v>113.43599999999999</v>
      </c>
      <c r="BK151" s="212">
        <f t="shared" si="912"/>
        <v>151.24799999999999</v>
      </c>
      <c r="BL151" s="211">
        <f t="shared" si="913"/>
        <v>37.811999999999998</v>
      </c>
      <c r="BM151" s="211">
        <f t="shared" si="914"/>
        <v>75.623999999999995</v>
      </c>
      <c r="BN151" s="211">
        <f t="shared" si="915"/>
        <v>113.43599999999999</v>
      </c>
      <c r="BO151" s="212">
        <f t="shared" si="916"/>
        <v>151.24799999999999</v>
      </c>
      <c r="BP151" s="176"/>
      <c r="BQ151" s="211">
        <f t="shared" ref="BQ151:BZ151" si="946">BQ49</f>
        <v>89.402000000000001</v>
      </c>
      <c r="BR151" s="211">
        <f t="shared" si="946"/>
        <v>94.391999999999996</v>
      </c>
      <c r="BS151" s="211">
        <f t="shared" si="946"/>
        <v>109.149</v>
      </c>
      <c r="BT151" s="211">
        <f t="shared" si="946"/>
        <v>94.155000000000001</v>
      </c>
      <c r="BU151" s="211">
        <f t="shared" si="946"/>
        <v>12.377000000000001</v>
      </c>
      <c r="BV151" s="211">
        <f t="shared" si="946"/>
        <v>216.14699999999999</v>
      </c>
      <c r="BW151" s="211">
        <f t="shared" si="946"/>
        <v>217.16399999999999</v>
      </c>
      <c r="BX151" s="211">
        <f t="shared" si="946"/>
        <v>191.22</v>
      </c>
      <c r="BY151" s="211">
        <f t="shared" si="946"/>
        <v>306.27699999999999</v>
      </c>
      <c r="BZ151" s="211">
        <f t="shared" si="946"/>
        <v>200.114</v>
      </c>
      <c r="CA151" s="211">
        <f t="shared" si="918"/>
        <v>122.631</v>
      </c>
      <c r="CB151" s="211">
        <f t="shared" si="918"/>
        <v>61.495999999999995</v>
      </c>
      <c r="CC151" s="211">
        <f t="shared" si="919"/>
        <v>133.30199999999999</v>
      </c>
      <c r="CD151" s="211">
        <f t="shared" si="919"/>
        <v>151.24799999999999</v>
      </c>
      <c r="CE151" s="211">
        <f t="shared" ref="CE151:CF151" si="947">CE49</f>
        <v>151.24799999999999</v>
      </c>
      <c r="CF151" s="211">
        <f t="shared" si="947"/>
        <v>151.24799999999999</v>
      </c>
      <c r="CG151" s="23"/>
      <c r="CH151" s="213">
        <f t="shared" ref="CH151:CP151" si="948">CH49</f>
        <v>114.476</v>
      </c>
      <c r="CI151" s="211">
        <f t="shared" si="948"/>
        <v>80.203999999999994</v>
      </c>
      <c r="CJ151" s="211">
        <f t="shared" si="948"/>
        <v>109.149</v>
      </c>
      <c r="CK151" s="211">
        <f t="shared" si="948"/>
        <v>70.426000000000016</v>
      </c>
      <c r="CL151" s="211">
        <f t="shared" si="948"/>
        <v>175.096</v>
      </c>
      <c r="CM151" s="211">
        <f t="shared" si="948"/>
        <v>154.62700000000001</v>
      </c>
      <c r="CN151" s="211">
        <f t="shared" si="948"/>
        <v>163.84399999999997</v>
      </c>
      <c r="CO151" s="211">
        <f t="shared" si="948"/>
        <v>256.34299999999996</v>
      </c>
      <c r="CP151" s="211">
        <f t="shared" si="948"/>
        <v>272.10699999999997</v>
      </c>
      <c r="CQ151" s="211">
        <f t="shared" si="922"/>
        <v>163.30700000000002</v>
      </c>
      <c r="CR151" s="211">
        <f t="shared" si="922"/>
        <v>86.067000000000007</v>
      </c>
      <c r="CS151" s="211">
        <f t="shared" si="923"/>
        <v>89.698999999999998</v>
      </c>
      <c r="CT151" s="211">
        <f t="shared" si="923"/>
        <v>136.68199999999999</v>
      </c>
      <c r="CU151" s="211">
        <f t="shared" ref="CU151" si="949">CU49</f>
        <v>151.24799999999999</v>
      </c>
      <c r="CV151" s="212">
        <f t="shared" ref="CV151" si="950">CV49</f>
        <v>151.24799999999999</v>
      </c>
      <c r="CW151" s="25"/>
    </row>
    <row r="152" spans="1:101" ht="14.25" hidden="1" customHeight="1" outlineLevel="1">
      <c r="A152" s="8"/>
      <c r="B152" s="31" t="s">
        <v>220</v>
      </c>
      <c r="C152" s="32"/>
      <c r="D152" s="216">
        <v>0</v>
      </c>
      <c r="E152" s="214">
        <v>0</v>
      </c>
      <c r="F152" s="214">
        <v>0</v>
      </c>
      <c r="G152" s="215">
        <v>0</v>
      </c>
      <c r="H152" s="216">
        <v>0</v>
      </c>
      <c r="I152" s="214">
        <v>0</v>
      </c>
      <c r="J152" s="214">
        <v>0</v>
      </c>
      <c r="K152" s="215">
        <v>0</v>
      </c>
      <c r="L152" s="216">
        <v>0</v>
      </c>
      <c r="M152" s="214">
        <v>0</v>
      </c>
      <c r="N152" s="214">
        <v>0</v>
      </c>
      <c r="O152" s="215">
        <v>0</v>
      </c>
      <c r="P152" s="216">
        <v>0</v>
      </c>
      <c r="Q152" s="214">
        <v>0</v>
      </c>
      <c r="R152" s="214">
        <v>0</v>
      </c>
      <c r="S152" s="215">
        <v>0</v>
      </c>
      <c r="T152" s="216">
        <v>0</v>
      </c>
      <c r="U152" s="214">
        <v>0</v>
      </c>
      <c r="V152" s="214">
        <v>0</v>
      </c>
      <c r="W152" s="215">
        <v>0</v>
      </c>
      <c r="X152" s="216">
        <v>0</v>
      </c>
      <c r="Y152" s="214">
        <v>0</v>
      </c>
      <c r="Z152" s="214">
        <v>0</v>
      </c>
      <c r="AA152" s="215">
        <v>0</v>
      </c>
      <c r="AB152" s="214">
        <v>0</v>
      </c>
      <c r="AC152" s="214">
        <v>0</v>
      </c>
      <c r="AD152" s="214">
        <v>0</v>
      </c>
      <c r="AE152" s="215">
        <v>0</v>
      </c>
      <c r="AF152" s="214">
        <v>0</v>
      </c>
      <c r="AG152" s="214">
        <v>0</v>
      </c>
      <c r="AH152" s="214">
        <v>0</v>
      </c>
      <c r="AI152" s="215">
        <v>0</v>
      </c>
      <c r="AJ152" s="214">
        <v>0</v>
      </c>
      <c r="AK152" s="214">
        <v>0</v>
      </c>
      <c r="AL152" s="214">
        <v>0</v>
      </c>
      <c r="AM152" s="215">
        <v>0</v>
      </c>
      <c r="AN152" s="214">
        <v>0</v>
      </c>
      <c r="AO152" s="214">
        <v>0</v>
      </c>
      <c r="AP152" s="214">
        <v>0</v>
      </c>
      <c r="AQ152" s="215">
        <v>0</v>
      </c>
      <c r="AR152" s="214">
        <v>0</v>
      </c>
      <c r="AS152" s="214">
        <v>0</v>
      </c>
      <c r="AT152" s="214">
        <v>0</v>
      </c>
      <c r="AU152" s="215">
        <v>0</v>
      </c>
      <c r="AV152" s="214">
        <v>0</v>
      </c>
      <c r="AW152" s="214">
        <v>0</v>
      </c>
      <c r="AX152" s="214">
        <v>0</v>
      </c>
      <c r="AY152" s="215">
        <v>0</v>
      </c>
      <c r="AZ152" s="214">
        <v>0</v>
      </c>
      <c r="BA152" s="214">
        <v>0</v>
      </c>
      <c r="BB152" s="214">
        <v>0</v>
      </c>
      <c r="BC152" s="215">
        <v>0</v>
      </c>
      <c r="BD152" s="214">
        <v>0</v>
      </c>
      <c r="BE152" s="211">
        <f t="shared" si="906"/>
        <v>0</v>
      </c>
      <c r="BF152" s="211">
        <f t="shared" si="907"/>
        <v>0</v>
      </c>
      <c r="BG152" s="212">
        <f t="shared" si="908"/>
        <v>0</v>
      </c>
      <c r="BH152" s="211">
        <f t="shared" si="909"/>
        <v>0</v>
      </c>
      <c r="BI152" s="211">
        <f t="shared" si="910"/>
        <v>0</v>
      </c>
      <c r="BJ152" s="211">
        <f t="shared" si="911"/>
        <v>0</v>
      </c>
      <c r="BK152" s="212">
        <f t="shared" si="912"/>
        <v>0</v>
      </c>
      <c r="BL152" s="211">
        <f t="shared" si="913"/>
        <v>0</v>
      </c>
      <c r="BM152" s="211">
        <f t="shared" si="914"/>
        <v>0</v>
      </c>
      <c r="BN152" s="211">
        <f t="shared" si="915"/>
        <v>0</v>
      </c>
      <c r="BO152" s="212">
        <f t="shared" si="916"/>
        <v>0</v>
      </c>
      <c r="BP152" s="176"/>
      <c r="BQ152" s="211">
        <f t="shared" ref="BQ152:BZ152" si="951">BQ50</f>
        <v>0</v>
      </c>
      <c r="BR152" s="211">
        <f t="shared" si="951"/>
        <v>0</v>
      </c>
      <c r="BS152" s="211">
        <f t="shared" si="951"/>
        <v>0</v>
      </c>
      <c r="BT152" s="211">
        <f t="shared" si="951"/>
        <v>0</v>
      </c>
      <c r="BU152" s="211">
        <f t="shared" si="951"/>
        <v>0</v>
      </c>
      <c r="BV152" s="211">
        <f t="shared" si="951"/>
        <v>0</v>
      </c>
      <c r="BW152" s="211">
        <f t="shared" si="951"/>
        <v>0</v>
      </c>
      <c r="BX152" s="211">
        <f t="shared" si="951"/>
        <v>0</v>
      </c>
      <c r="BY152" s="211">
        <f t="shared" si="951"/>
        <v>0</v>
      </c>
      <c r="BZ152" s="211">
        <f t="shared" si="951"/>
        <v>0</v>
      </c>
      <c r="CA152" s="211">
        <f t="shared" si="918"/>
        <v>0</v>
      </c>
      <c r="CB152" s="211">
        <f t="shared" si="918"/>
        <v>0</v>
      </c>
      <c r="CC152" s="211">
        <f t="shared" si="919"/>
        <v>0</v>
      </c>
      <c r="CD152" s="211">
        <f t="shared" si="919"/>
        <v>0</v>
      </c>
      <c r="CE152" s="211">
        <f t="shared" ref="CE152:CF152" si="952">CE50</f>
        <v>0</v>
      </c>
      <c r="CF152" s="211">
        <f t="shared" si="952"/>
        <v>0</v>
      </c>
      <c r="CG152" s="23"/>
      <c r="CH152" s="213">
        <f t="shared" ref="CH152:CP152" si="953">CH50</f>
        <v>0</v>
      </c>
      <c r="CI152" s="211">
        <f t="shared" si="953"/>
        <v>0</v>
      </c>
      <c r="CJ152" s="211">
        <f t="shared" si="953"/>
        <v>0</v>
      </c>
      <c r="CK152" s="211">
        <f t="shared" si="953"/>
        <v>0</v>
      </c>
      <c r="CL152" s="211">
        <f t="shared" si="953"/>
        <v>0</v>
      </c>
      <c r="CM152" s="211">
        <f t="shared" si="953"/>
        <v>0</v>
      </c>
      <c r="CN152" s="211">
        <f t="shared" si="953"/>
        <v>0</v>
      </c>
      <c r="CO152" s="211">
        <f t="shared" si="953"/>
        <v>0</v>
      </c>
      <c r="CP152" s="211">
        <f t="shared" si="953"/>
        <v>0</v>
      </c>
      <c r="CQ152" s="211">
        <f t="shared" si="922"/>
        <v>0</v>
      </c>
      <c r="CR152" s="211">
        <f t="shared" si="922"/>
        <v>0</v>
      </c>
      <c r="CS152" s="211">
        <f t="shared" si="923"/>
        <v>0</v>
      </c>
      <c r="CT152" s="211">
        <f t="shared" si="923"/>
        <v>0</v>
      </c>
      <c r="CU152" s="211">
        <f t="shared" ref="CU152" si="954">CU50</f>
        <v>0</v>
      </c>
      <c r="CV152" s="212">
        <f t="shared" ref="CV152" si="955">CV50</f>
        <v>0</v>
      </c>
      <c r="CW152" s="25"/>
    </row>
    <row r="153" spans="1:101" ht="14.25" hidden="1" customHeight="1" outlineLevel="1">
      <c r="A153" s="11"/>
      <c r="B153" s="31" t="s">
        <v>150</v>
      </c>
      <c r="C153" s="32"/>
      <c r="D153" s="216">
        <v>0</v>
      </c>
      <c r="E153" s="214">
        <v>0</v>
      </c>
      <c r="F153" s="214">
        <v>0</v>
      </c>
      <c r="G153" s="215">
        <v>0</v>
      </c>
      <c r="H153" s="216">
        <v>0</v>
      </c>
      <c r="I153" s="214">
        <v>14.736000000000001</v>
      </c>
      <c r="J153" s="214">
        <v>155.95599999999999</v>
      </c>
      <c r="K153" s="215">
        <v>181.178</v>
      </c>
      <c r="L153" s="216">
        <v>6.4669999999999996</v>
      </c>
      <c r="M153" s="214">
        <v>21.494</v>
      </c>
      <c r="N153" s="214">
        <v>25.053000000000001</v>
      </c>
      <c r="O153" s="215">
        <v>40.871000000000002</v>
      </c>
      <c r="P153" s="216">
        <f>6.71+24.879</f>
        <v>31.589000000000002</v>
      </c>
      <c r="Q153" s="214">
        <f>9.884+0.505</f>
        <v>10.389000000000001</v>
      </c>
      <c r="R153" s="214">
        <f>12.967-0.6+0.139</f>
        <v>12.506</v>
      </c>
      <c r="S153" s="215">
        <f>-0.366+18.586</f>
        <v>18.22</v>
      </c>
      <c r="T153" s="216">
        <v>0</v>
      </c>
      <c r="U153" s="214">
        <v>5.0000000000000001E-3</v>
      </c>
      <c r="V153" s="214">
        <v>5.0000000000000001E-3</v>
      </c>
      <c r="W153" s="215">
        <v>0.02</v>
      </c>
      <c r="X153" s="216">
        <v>5.2999999999999999E-2</v>
      </c>
      <c r="Y153" s="214">
        <v>0.125</v>
      </c>
      <c r="Z153" s="214">
        <f>0.502+0.153</f>
        <v>0.65500000000000003</v>
      </c>
      <c r="AA153" s="215">
        <f>0.71+0.317</f>
        <v>1.0269999999999999</v>
      </c>
      <c r="AB153" s="214">
        <f>4.576+3.607</f>
        <v>8.1829999999999998</v>
      </c>
      <c r="AC153" s="214">
        <f>2.775+36.014</f>
        <v>38.789000000000001</v>
      </c>
      <c r="AD153" s="214">
        <f>0.365+37.296</f>
        <v>37.661000000000001</v>
      </c>
      <c r="AE153" s="215">
        <f>1.279+44.936</f>
        <v>46.215000000000003</v>
      </c>
      <c r="AF153" s="214">
        <f>1.896-1.991+5.166</f>
        <v>5.0709999999999997</v>
      </c>
      <c r="AG153" s="214">
        <f>-1.991-1.989+4.498+18.52</f>
        <v>19.038</v>
      </c>
      <c r="AH153" s="214">
        <f>18.52-1.991-6.744+9.552</f>
        <v>19.337</v>
      </c>
      <c r="AI153" s="215">
        <f>-1.991-7.869+12.23+18.52</f>
        <v>20.89</v>
      </c>
      <c r="AJ153" s="214">
        <f>-3.752-1.027+5.975</f>
        <v>1.1959999999999997</v>
      </c>
      <c r="AK153" s="214">
        <f>+AJ153+4.184+2.833</f>
        <v>8.213000000000001</v>
      </c>
      <c r="AL153" s="214">
        <f>-3.752-7.486+15.073-392.79+10.952</f>
        <v>-378.00300000000004</v>
      </c>
      <c r="AM153" s="215">
        <f>-392.79+10.952+16.171-5.665-2.79</f>
        <v>-374.12200000000007</v>
      </c>
      <c r="AN153" s="214">
        <f>7.604-1.773+22.248</f>
        <v>28.079000000000001</v>
      </c>
      <c r="AO153" s="214">
        <f>12.027+10.964-1.773</f>
        <v>21.218</v>
      </c>
      <c r="AP153" s="214">
        <f>-3.576+16.37+21.349</f>
        <v>34.143000000000001</v>
      </c>
      <c r="AQ153" s="215">
        <f>15.192-3.576+22.231</f>
        <v>33.847000000000001</v>
      </c>
      <c r="AR153" s="214">
        <f>-3.988+4.635</f>
        <v>0.6469999999999998</v>
      </c>
      <c r="AS153" s="214">
        <f>15.777-7.551</f>
        <v>8.2259999999999991</v>
      </c>
      <c r="AT153" s="214">
        <f>-1.767-3.224+22.15</f>
        <v>17.158999999999999</v>
      </c>
      <c r="AU153" s="215">
        <f>-1.767+0.5+25.045</f>
        <v>23.778000000000002</v>
      </c>
      <c r="AV153" s="214">
        <f>-2.544-33.43+0.986</f>
        <v>-34.988</v>
      </c>
      <c r="AW153" s="214">
        <f>-5.33+4.198-33.43</f>
        <v>-34.561999999999998</v>
      </c>
      <c r="AX153" s="214">
        <f>-33.43-7.423+7.18-22.208</f>
        <v>-55.881</v>
      </c>
      <c r="AY153" s="215">
        <f>10.453-1.409-7.378-33.43-26.583</f>
        <v>-58.347000000000001</v>
      </c>
      <c r="AZ153" s="214">
        <f>8.102+2.221+3.904-5.625</f>
        <v>8.6020000000000003</v>
      </c>
      <c r="BA153" s="214">
        <f>-0.016+25.953-5.625+3.904</f>
        <v>24.216000000000001</v>
      </c>
      <c r="BB153" s="214">
        <f>-0.007+30.235-5.625+3.904</f>
        <v>28.506999999999998</v>
      </c>
      <c r="BC153" s="215">
        <f>41.773-1.764-0.524+3.904-5.625</f>
        <v>37.763999999999996</v>
      </c>
      <c r="BD153" s="214">
        <v>8.8109999999999999</v>
      </c>
      <c r="BE153" s="211">
        <f t="shared" si="906"/>
        <v>8.8109999999999999</v>
      </c>
      <c r="BF153" s="211">
        <f t="shared" si="907"/>
        <v>8.8109999999999999</v>
      </c>
      <c r="BG153" s="212">
        <f t="shared" si="908"/>
        <v>8.8109999999999999</v>
      </c>
      <c r="BH153" s="211">
        <f t="shared" si="909"/>
        <v>0</v>
      </c>
      <c r="BI153" s="211">
        <f t="shared" si="910"/>
        <v>0</v>
      </c>
      <c r="BJ153" s="211">
        <f t="shared" si="911"/>
        <v>0</v>
      </c>
      <c r="BK153" s="212">
        <f t="shared" si="912"/>
        <v>0</v>
      </c>
      <c r="BL153" s="211">
        <f t="shared" si="913"/>
        <v>0</v>
      </c>
      <c r="BM153" s="211">
        <f t="shared" si="914"/>
        <v>0</v>
      </c>
      <c r="BN153" s="211">
        <f t="shared" si="915"/>
        <v>0</v>
      </c>
      <c r="BO153" s="212">
        <f t="shared" si="916"/>
        <v>0</v>
      </c>
      <c r="BP153" s="176"/>
      <c r="BQ153" s="211">
        <f t="shared" ref="BQ153:BZ153" si="956">BQ51</f>
        <v>0</v>
      </c>
      <c r="BR153" s="211">
        <f t="shared" si="956"/>
        <v>181.178</v>
      </c>
      <c r="BS153" s="211">
        <f t="shared" si="956"/>
        <v>40.871000000000009</v>
      </c>
      <c r="BT153" s="211">
        <f t="shared" si="956"/>
        <v>18.219999999999995</v>
      </c>
      <c r="BU153" s="211">
        <f t="shared" si="956"/>
        <v>0.02</v>
      </c>
      <c r="BV153" s="211">
        <f t="shared" si="956"/>
        <v>1.0269999999999999</v>
      </c>
      <c r="BW153" s="211">
        <f t="shared" si="956"/>
        <v>46.215000000000003</v>
      </c>
      <c r="BX153" s="211">
        <f t="shared" si="956"/>
        <v>20.89</v>
      </c>
      <c r="BY153" s="211">
        <f t="shared" si="956"/>
        <v>-374.12200000000007</v>
      </c>
      <c r="BZ153" s="211">
        <f t="shared" si="956"/>
        <v>33.846999999999994</v>
      </c>
      <c r="CA153" s="211">
        <f t="shared" si="918"/>
        <v>23.778000000000002</v>
      </c>
      <c r="CB153" s="211">
        <f t="shared" si="918"/>
        <v>-58.347000000000001</v>
      </c>
      <c r="CC153" s="211">
        <f t="shared" si="919"/>
        <v>37.763999999999996</v>
      </c>
      <c r="CD153" s="211">
        <f t="shared" si="919"/>
        <v>8.8109999999999999</v>
      </c>
      <c r="CE153" s="211">
        <f t="shared" ref="CE153:CF153" si="957">CE51</f>
        <v>0</v>
      </c>
      <c r="CF153" s="211">
        <f t="shared" si="957"/>
        <v>0</v>
      </c>
      <c r="CG153" s="176"/>
      <c r="CH153" s="213">
        <f t="shared" ref="CH153:CP153" si="958">CH51</f>
        <v>0</v>
      </c>
      <c r="CI153" s="211">
        <f t="shared" si="958"/>
        <v>187.64500000000001</v>
      </c>
      <c r="CJ153" s="211">
        <f t="shared" si="958"/>
        <v>65.993000000000009</v>
      </c>
      <c r="CK153" s="211">
        <f t="shared" si="958"/>
        <v>-13.369000000000007</v>
      </c>
      <c r="CL153" s="211">
        <f t="shared" si="958"/>
        <v>7.2999999999999995E-2</v>
      </c>
      <c r="CM153" s="211">
        <f t="shared" si="958"/>
        <v>9.157</v>
      </c>
      <c r="CN153" s="211">
        <f t="shared" si="958"/>
        <v>43.103000000000002</v>
      </c>
      <c r="CO153" s="211">
        <f t="shared" si="958"/>
        <v>17.015000000000001</v>
      </c>
      <c r="CP153" s="211">
        <f t="shared" si="958"/>
        <v>-347.23900000000009</v>
      </c>
      <c r="CQ153" s="211">
        <f t="shared" si="922"/>
        <v>6.4150000000000009</v>
      </c>
      <c r="CR153" s="211">
        <f t="shared" si="922"/>
        <v>-11.856999999999996</v>
      </c>
      <c r="CS153" s="211">
        <f t="shared" si="923"/>
        <v>-14.757000000000001</v>
      </c>
      <c r="CT153" s="211">
        <f t="shared" si="923"/>
        <v>37.972999999999999</v>
      </c>
      <c r="CU153" s="211">
        <f t="shared" ref="CU153" si="959">CU51</f>
        <v>0</v>
      </c>
      <c r="CV153" s="212">
        <f t="shared" ref="CV153" si="960">CV51</f>
        <v>0</v>
      </c>
      <c r="CW153" s="26"/>
    </row>
    <row r="154" spans="1:101" ht="14.25" hidden="1" customHeight="1" outlineLevel="1" thickBot="1">
      <c r="A154" s="8"/>
      <c r="B154" s="217" t="s">
        <v>128</v>
      </c>
      <c r="C154" s="218"/>
      <c r="D154" s="220">
        <f t="shared" ref="D154:AQ154" si="961">SUM(D146:D153)</f>
        <v>-170.17200000000003</v>
      </c>
      <c r="E154" s="219">
        <f t="shared" si="961"/>
        <v>-301.10400000000004</v>
      </c>
      <c r="F154" s="219">
        <f t="shared" si="961"/>
        <v>-294.16899999999998</v>
      </c>
      <c r="G154" s="221">
        <f t="shared" si="961"/>
        <v>-555.08900000000006</v>
      </c>
      <c r="H154" s="220">
        <f t="shared" si="961"/>
        <v>-130.50700000000001</v>
      </c>
      <c r="I154" s="219">
        <f t="shared" si="961"/>
        <v>-376.67700000000002</v>
      </c>
      <c r="J154" s="219">
        <f t="shared" si="961"/>
        <v>-577.971</v>
      </c>
      <c r="K154" s="221">
        <f t="shared" si="961"/>
        <v>-950.86299999999994</v>
      </c>
      <c r="L154" s="220">
        <f t="shared" si="961"/>
        <v>-356.99600000000004</v>
      </c>
      <c r="M154" s="219">
        <f t="shared" si="961"/>
        <v>-712.35899999999992</v>
      </c>
      <c r="N154" s="219">
        <f t="shared" si="961"/>
        <v>-1381.116</v>
      </c>
      <c r="O154" s="221">
        <f t="shared" si="961"/>
        <v>-1725.473</v>
      </c>
      <c r="P154" s="220">
        <f t="shared" si="961"/>
        <v>-357.12599999999998</v>
      </c>
      <c r="Q154" s="219">
        <f t="shared" si="961"/>
        <v>-558.64</v>
      </c>
      <c r="R154" s="219">
        <f t="shared" si="961"/>
        <v>-621.2940000000001</v>
      </c>
      <c r="S154" s="221">
        <f t="shared" si="961"/>
        <v>-680.00799999999992</v>
      </c>
      <c r="T154" s="220">
        <f t="shared" si="961"/>
        <v>-57.958999999999996</v>
      </c>
      <c r="U154" s="219">
        <f t="shared" si="961"/>
        <v>-117.057</v>
      </c>
      <c r="V154" s="219">
        <f t="shared" si="961"/>
        <v>200.67100000000002</v>
      </c>
      <c r="W154" s="221">
        <f t="shared" si="961"/>
        <v>145.99700000000004</v>
      </c>
      <c r="X154" s="220">
        <f t="shared" si="961"/>
        <v>104.66999999999999</v>
      </c>
      <c r="Y154" s="219">
        <f t="shared" si="961"/>
        <v>50.85199999999999</v>
      </c>
      <c r="Z154" s="219">
        <f t="shared" si="961"/>
        <v>-13.764999999999988</v>
      </c>
      <c r="AA154" s="221">
        <f t="shared" si="961"/>
        <v>-72.638000000000019</v>
      </c>
      <c r="AB154" s="219">
        <f t="shared" si="961"/>
        <v>75.734999999999985</v>
      </c>
      <c r="AC154" s="219">
        <f t="shared" si="961"/>
        <v>385.78399999999999</v>
      </c>
      <c r="AD154" s="219">
        <f t="shared" si="961"/>
        <v>263.39800000000002</v>
      </c>
      <c r="AE154" s="221">
        <f t="shared" si="961"/>
        <v>138.61199999999999</v>
      </c>
      <c r="AF154" s="219">
        <f t="shared" si="961"/>
        <v>-114.703</v>
      </c>
      <c r="AG154" s="219">
        <f t="shared" si="961"/>
        <v>-199.02800000000002</v>
      </c>
      <c r="AH154" s="219">
        <f t="shared" si="961"/>
        <v>-285.88000000000005</v>
      </c>
      <c r="AI154" s="221">
        <f t="shared" si="961"/>
        <v>-349.62700000000007</v>
      </c>
      <c r="AJ154" s="219">
        <f t="shared" si="961"/>
        <v>-52.822000000000017</v>
      </c>
      <c r="AK154" s="219">
        <f t="shared" si="961"/>
        <v>-92.48399999999998</v>
      </c>
      <c r="AL154" s="219">
        <f t="shared" si="961"/>
        <v>-9.0000000000031832E-2</v>
      </c>
      <c r="AM154" s="221">
        <f t="shared" si="961"/>
        <v>-100.55700000000007</v>
      </c>
      <c r="AN154" s="219">
        <f t="shared" si="961"/>
        <v>-87.307999999999993</v>
      </c>
      <c r="AO154" s="219">
        <f>SUM(AO146:AO153)</f>
        <v>-169.64199999999997</v>
      </c>
      <c r="AP154" s="219">
        <f t="shared" si="961"/>
        <v>1701.2339999999999</v>
      </c>
      <c r="AQ154" s="221">
        <f t="shared" si="961"/>
        <v>-576.61</v>
      </c>
      <c r="AR154" s="219">
        <f t="shared" ref="AR154:AU154" si="962">SUM(AR146:AR153)</f>
        <v>-131.28</v>
      </c>
      <c r="AS154" s="219">
        <f t="shared" si="962"/>
        <v>-220.76800000000003</v>
      </c>
      <c r="AT154" s="219">
        <f t="shared" si="962"/>
        <v>-348.69799999999998</v>
      </c>
      <c r="AU154" s="221">
        <f t="shared" si="962"/>
        <v>-571.60300000000007</v>
      </c>
      <c r="AV154" s="219">
        <f>SUM(AV146:AV153)</f>
        <v>571.78099999999995</v>
      </c>
      <c r="AW154" s="219">
        <f>SUM(AW146:AW153)</f>
        <v>245.11199999999997</v>
      </c>
      <c r="AX154" s="219">
        <f>SUM(AX146:AX153)</f>
        <v>88.44999999999996</v>
      </c>
      <c r="AY154" s="221">
        <f t="shared" ref="AY154" si="963">SUM(AY146:AY153)</f>
        <v>-22.916999999999973</v>
      </c>
      <c r="AZ154" s="219">
        <f>SUM(AZ146:AZ153)</f>
        <v>1982.5510000000002</v>
      </c>
      <c r="BA154" s="219">
        <f>SUM(BA146:BA153)</f>
        <v>10971.676000000001</v>
      </c>
      <c r="BB154" s="219">
        <f>SUM(BB146:BB153)</f>
        <v>6118.7179999999998</v>
      </c>
      <c r="BC154" s="221">
        <f t="shared" ref="BC154" si="964">SUM(BC146:BC153)</f>
        <v>5628.5780000000004</v>
      </c>
      <c r="BD154" s="219">
        <f t="shared" ref="BD154:BK154" si="965">SUM(BD146:BD153)</f>
        <v>-548.02599999999995</v>
      </c>
      <c r="BE154" s="219">
        <f t="shared" si="965"/>
        <v>-686.97904999999992</v>
      </c>
      <c r="BF154" s="219">
        <f t="shared" si="965"/>
        <v>-826.38209999999992</v>
      </c>
      <c r="BG154" s="221">
        <f t="shared" si="965"/>
        <v>-966.23514999999986</v>
      </c>
      <c r="BH154" s="219">
        <f t="shared" si="965"/>
        <v>-140.30305000000004</v>
      </c>
      <c r="BI154" s="219">
        <f t="shared" si="965"/>
        <v>-281.05610000000001</v>
      </c>
      <c r="BJ154" s="219">
        <f t="shared" si="965"/>
        <v>-422.25915000000003</v>
      </c>
      <c r="BK154" s="221">
        <f t="shared" si="965"/>
        <v>-563.91219999999998</v>
      </c>
      <c r="BL154" s="219">
        <f t="shared" ref="BL154:BO154" si="966">SUM(BL146:BL153)</f>
        <v>-142.10305</v>
      </c>
      <c r="BM154" s="219">
        <f t="shared" si="966"/>
        <v>-284.65610000000004</v>
      </c>
      <c r="BN154" s="219">
        <f t="shared" si="966"/>
        <v>-427.65915000000001</v>
      </c>
      <c r="BO154" s="221">
        <f t="shared" si="966"/>
        <v>-571.11220000000003</v>
      </c>
      <c r="BP154" s="176"/>
      <c r="BQ154" s="219">
        <f t="shared" ref="BQ154:CB154" si="967">SUM(BQ146:BQ153)</f>
        <v>-555.08900000000006</v>
      </c>
      <c r="BR154" s="219">
        <f t="shared" si="967"/>
        <v>-950.86299999999994</v>
      </c>
      <c r="BS154" s="219">
        <f t="shared" si="967"/>
        <v>-1725.473</v>
      </c>
      <c r="BT154" s="219">
        <f t="shared" si="967"/>
        <v>-680.00800000000004</v>
      </c>
      <c r="BU154" s="219">
        <f t="shared" si="967"/>
        <v>145.99700000000004</v>
      </c>
      <c r="BV154" s="219">
        <f t="shared" si="967"/>
        <v>-72.638000000000019</v>
      </c>
      <c r="BW154" s="219">
        <f t="shared" si="967"/>
        <v>138.61199999999999</v>
      </c>
      <c r="BX154" s="219">
        <f t="shared" si="967"/>
        <v>-349.62700000000007</v>
      </c>
      <c r="BY154" s="219">
        <f t="shared" si="967"/>
        <v>-100.55700000000007</v>
      </c>
      <c r="BZ154" s="219">
        <f t="shared" si="967"/>
        <v>-576.61</v>
      </c>
      <c r="CA154" s="219">
        <f t="shared" si="967"/>
        <v>-571.60300000000007</v>
      </c>
      <c r="CB154" s="219">
        <f t="shared" si="967"/>
        <v>-22.91699999999998</v>
      </c>
      <c r="CC154" s="219">
        <f>SUM(CC146:CC153)</f>
        <v>5628.5780000000004</v>
      </c>
      <c r="CD154" s="219">
        <f>SUM(CD146:CD153)</f>
        <v>-966.23514999999986</v>
      </c>
      <c r="CE154" s="219">
        <f>SUM(CE146:CE153)</f>
        <v>-563.91219999999998</v>
      </c>
      <c r="CF154" s="219">
        <f>SUM(CF146:CF153)</f>
        <v>-571.11220000000003</v>
      </c>
      <c r="CG154" s="23"/>
      <c r="CH154" s="220">
        <f t="shared" ref="CH154:CR154" si="968">SUM(CH146:CH153)</f>
        <v>-515.42400000000009</v>
      </c>
      <c r="CI154" s="219">
        <f t="shared" si="968"/>
        <v>-1177.3520000000001</v>
      </c>
      <c r="CJ154" s="219">
        <f t="shared" si="968"/>
        <v>-1725.6030000000001</v>
      </c>
      <c r="CK154" s="219">
        <f t="shared" si="968"/>
        <v>-380.84100000000001</v>
      </c>
      <c r="CL154" s="219">
        <f t="shared" si="968"/>
        <v>308.62599999999998</v>
      </c>
      <c r="CM154" s="219">
        <f t="shared" si="968"/>
        <v>-101.57299999999996</v>
      </c>
      <c r="CN154" s="219">
        <f t="shared" si="968"/>
        <v>-51.826000000000001</v>
      </c>
      <c r="CO154" s="219">
        <f t="shared" si="968"/>
        <v>-287.74600000000009</v>
      </c>
      <c r="CP154" s="219">
        <f t="shared" si="968"/>
        <v>-135.04300000000006</v>
      </c>
      <c r="CQ154" s="219">
        <f t="shared" si="968"/>
        <v>-620.58200000000011</v>
      </c>
      <c r="CR154" s="219">
        <f t="shared" si="968"/>
        <v>131.45799999999994</v>
      </c>
      <c r="CS154" s="219">
        <f>SUM(CS146:CS153)</f>
        <v>1387.8530000000001</v>
      </c>
      <c r="CT154" s="219">
        <f>SUM(CT146:CT153)</f>
        <v>3098.0010000000002</v>
      </c>
      <c r="CU154" s="219">
        <f>SUM(CU146:CU153)</f>
        <v>-558.51220000000012</v>
      </c>
      <c r="CV154" s="221">
        <f>SUM(CV146:CV153)</f>
        <v>-565.71219999999994</v>
      </c>
      <c r="CW154" s="25"/>
    </row>
    <row r="155" spans="1:101" ht="14.25" hidden="1" customHeight="1" outlineLevel="1" thickTop="1">
      <c r="A155" s="8"/>
      <c r="B155" s="51"/>
      <c r="C155" s="52"/>
      <c r="D155" s="226"/>
      <c r="E155" s="225"/>
      <c r="F155" s="225"/>
      <c r="G155" s="227"/>
      <c r="H155" s="226"/>
      <c r="I155" s="225"/>
      <c r="J155" s="225"/>
      <c r="K155" s="227"/>
      <c r="L155" s="226"/>
      <c r="M155" s="225"/>
      <c r="N155" s="225"/>
      <c r="O155" s="227"/>
      <c r="P155" s="226"/>
      <c r="Q155" s="225"/>
      <c r="R155" s="225"/>
      <c r="S155" s="227"/>
      <c r="T155" s="226"/>
      <c r="U155" s="225"/>
      <c r="V155" s="225"/>
      <c r="W155" s="227"/>
      <c r="X155" s="226"/>
      <c r="Y155" s="225"/>
      <c r="Z155" s="225"/>
      <c r="AA155" s="227"/>
      <c r="AB155" s="225"/>
      <c r="AC155" s="225"/>
      <c r="AD155" s="225"/>
      <c r="AE155" s="227"/>
      <c r="AF155" s="225"/>
      <c r="AG155" s="225"/>
      <c r="AH155" s="225"/>
      <c r="AI155" s="227"/>
      <c r="AJ155" s="225"/>
      <c r="AK155" s="225"/>
      <c r="AL155" s="225"/>
      <c r="AM155" s="227"/>
      <c r="AN155" s="225"/>
      <c r="AO155" s="225"/>
      <c r="AP155" s="225"/>
      <c r="AQ155" s="227"/>
      <c r="AR155" s="225"/>
      <c r="AS155" s="225"/>
      <c r="AT155" s="225"/>
      <c r="AU155" s="227"/>
      <c r="AV155" s="225"/>
      <c r="AW155" s="225"/>
      <c r="AX155" s="225"/>
      <c r="AY155" s="227"/>
      <c r="AZ155" s="225"/>
      <c r="BA155" s="225"/>
      <c r="BB155" s="225"/>
      <c r="BC155" s="227"/>
      <c r="BD155" s="225"/>
      <c r="BE155" s="225"/>
      <c r="BF155" s="225"/>
      <c r="BG155" s="227"/>
      <c r="BH155" s="225"/>
      <c r="BI155" s="225"/>
      <c r="BJ155" s="225"/>
      <c r="BK155" s="227"/>
      <c r="BL155" s="225"/>
      <c r="BM155" s="225"/>
      <c r="BN155" s="225"/>
      <c r="BO155" s="227"/>
      <c r="BP155" s="176"/>
      <c r="BQ155" s="225"/>
      <c r="BR155" s="225"/>
      <c r="BS155" s="225"/>
      <c r="BT155" s="225"/>
      <c r="BU155" s="225"/>
      <c r="BV155" s="225"/>
      <c r="BW155" s="225"/>
      <c r="BX155" s="225"/>
      <c r="BY155" s="225"/>
      <c r="BZ155" s="225"/>
      <c r="CA155" s="225"/>
      <c r="CB155" s="225"/>
      <c r="CC155" s="225"/>
      <c r="CD155" s="225"/>
      <c r="CE155" s="225"/>
      <c r="CF155" s="225"/>
      <c r="CG155" s="23"/>
      <c r="CH155" s="226"/>
      <c r="CI155" s="225"/>
      <c r="CJ155" s="225"/>
      <c r="CK155" s="225"/>
      <c r="CL155" s="225"/>
      <c r="CM155" s="225"/>
      <c r="CN155" s="225"/>
      <c r="CO155" s="225"/>
      <c r="CP155" s="225"/>
      <c r="CQ155" s="225"/>
      <c r="CR155" s="225"/>
      <c r="CS155" s="225"/>
      <c r="CT155" s="225"/>
      <c r="CU155" s="225"/>
      <c r="CV155" s="227"/>
      <c r="CW155" s="25"/>
    </row>
    <row r="156" spans="1:101" ht="14.25" hidden="1" customHeight="1" outlineLevel="1">
      <c r="A156" s="8"/>
      <c r="B156" s="51" t="s">
        <v>129</v>
      </c>
      <c r="C156" s="52"/>
      <c r="D156" s="216">
        <v>-0.28599999999999998</v>
      </c>
      <c r="E156" s="214">
        <v>2.8000000000000001E-2</v>
      </c>
      <c r="F156" s="214">
        <v>0.35599999999999998</v>
      </c>
      <c r="G156" s="215">
        <v>0.995</v>
      </c>
      <c r="H156" s="216">
        <v>0.41399999999999998</v>
      </c>
      <c r="I156" s="214">
        <v>0.97599999999999998</v>
      </c>
      <c r="J156" s="214">
        <v>1.427</v>
      </c>
      <c r="K156" s="215">
        <v>1.3089999999999999</v>
      </c>
      <c r="L156" s="216">
        <v>0.80300000000000005</v>
      </c>
      <c r="M156" s="214">
        <v>1.8560000000000001</v>
      </c>
      <c r="N156" s="214">
        <v>1.589</v>
      </c>
      <c r="O156" s="215">
        <v>1.546</v>
      </c>
      <c r="P156" s="216">
        <v>-1.6970000000000001</v>
      </c>
      <c r="Q156" s="214">
        <v>-1.974</v>
      </c>
      <c r="R156" s="214">
        <v>-1.796</v>
      </c>
      <c r="S156" s="215">
        <v>-9.0960000000000001</v>
      </c>
      <c r="T156" s="216">
        <v>-1.83</v>
      </c>
      <c r="U156" s="214">
        <v>-0.33600000000000002</v>
      </c>
      <c r="V156" s="214">
        <v>2.6179999999999999</v>
      </c>
      <c r="W156" s="215">
        <v>2.714</v>
      </c>
      <c r="X156" s="216">
        <v>-0.94299999999999995</v>
      </c>
      <c r="Y156" s="214">
        <v>-1.2490000000000001</v>
      </c>
      <c r="Z156" s="214">
        <v>-3.4849999999999999</v>
      </c>
      <c r="AA156" s="215">
        <v>-2.4409999999999998</v>
      </c>
      <c r="AB156" s="214">
        <v>-0.30099999999999999</v>
      </c>
      <c r="AC156" s="214">
        <v>1.4890000000000001</v>
      </c>
      <c r="AD156" s="214">
        <v>0.32700000000000001</v>
      </c>
      <c r="AE156" s="215">
        <v>-0.30299999999999999</v>
      </c>
      <c r="AF156" s="214">
        <v>-1.5720000000000001</v>
      </c>
      <c r="AG156" s="214">
        <v>-1.081</v>
      </c>
      <c r="AH156" s="214">
        <v>-2.3369999999999997</v>
      </c>
      <c r="AI156" s="215">
        <v>-1.492</v>
      </c>
      <c r="AJ156" s="214">
        <v>1.4159999999999999</v>
      </c>
      <c r="AK156" s="214">
        <f>-0.556+AJ156</f>
        <v>0.85999999999999988</v>
      </c>
      <c r="AL156" s="214">
        <v>0.66900000000000004</v>
      </c>
      <c r="AM156" s="215">
        <v>1.3939999999999999</v>
      </c>
      <c r="AN156" s="214">
        <v>-0.70399999999999996</v>
      </c>
      <c r="AO156" s="214">
        <v>-1.2150000000000001</v>
      </c>
      <c r="AP156" s="214">
        <v>-1.6479999999999999</v>
      </c>
      <c r="AQ156" s="215">
        <v>-3.097</v>
      </c>
      <c r="AR156" s="214">
        <v>-2.6749999999999998</v>
      </c>
      <c r="AS156" s="214">
        <v>-2.6429999999999998</v>
      </c>
      <c r="AT156" s="214">
        <v>-3.1520000000000001</v>
      </c>
      <c r="AU156" s="215">
        <v>-3.95</v>
      </c>
      <c r="AV156" s="214">
        <v>-1.032</v>
      </c>
      <c r="AW156" s="214">
        <v>-0.13400000000000001</v>
      </c>
      <c r="AX156" s="214">
        <v>-1.7030000000000001</v>
      </c>
      <c r="AY156" s="215">
        <v>-2.9289999999999998</v>
      </c>
      <c r="AZ156" s="214">
        <v>-0.66600000000000004</v>
      </c>
      <c r="BA156" s="214">
        <v>2.8000000000000001E-2</v>
      </c>
      <c r="BB156" s="214">
        <v>2.024</v>
      </c>
      <c r="BC156" s="215">
        <v>3.55</v>
      </c>
      <c r="BD156" s="1476">
        <v>3.55</v>
      </c>
      <c r="BE156" s="211">
        <f>BD156+BE54</f>
        <v>3.55</v>
      </c>
      <c r="BF156" s="211">
        <f>BE156+BF54</f>
        <v>3.55</v>
      </c>
      <c r="BG156" s="212">
        <f>BF156+BG54</f>
        <v>3.55</v>
      </c>
      <c r="BH156" s="211">
        <f>BH54</f>
        <v>0</v>
      </c>
      <c r="BI156" s="211">
        <f>BH156+BI54</f>
        <v>0</v>
      </c>
      <c r="BJ156" s="211">
        <f>BI156+BJ54</f>
        <v>0</v>
      </c>
      <c r="BK156" s="212">
        <f>BJ156+BK54</f>
        <v>0</v>
      </c>
      <c r="BL156" s="211">
        <f>BL54</f>
        <v>0</v>
      </c>
      <c r="BM156" s="211">
        <f>BL156+BM54</f>
        <v>0</v>
      </c>
      <c r="BN156" s="211">
        <f>BM156+BN54</f>
        <v>0</v>
      </c>
      <c r="BO156" s="212">
        <f>BN156+BO54</f>
        <v>0</v>
      </c>
      <c r="BP156" s="176"/>
      <c r="BQ156" s="211">
        <f t="shared" ref="BQ156:BZ156" si="969">BQ54</f>
        <v>0.995</v>
      </c>
      <c r="BR156" s="211">
        <f t="shared" si="969"/>
        <v>1.3089999999999999</v>
      </c>
      <c r="BS156" s="211">
        <f t="shared" si="969"/>
        <v>1.5460000000000003</v>
      </c>
      <c r="BT156" s="211">
        <f t="shared" si="969"/>
        <v>-9.0960000000000019</v>
      </c>
      <c r="BU156" s="211">
        <f t="shared" si="969"/>
        <v>2.7139999999999995</v>
      </c>
      <c r="BV156" s="211">
        <f t="shared" si="969"/>
        <v>-2.4409999999999998</v>
      </c>
      <c r="BW156" s="211">
        <f t="shared" si="969"/>
        <v>-0.30299999999999994</v>
      </c>
      <c r="BX156" s="211">
        <f t="shared" si="969"/>
        <v>-1.492</v>
      </c>
      <c r="BY156" s="211">
        <f t="shared" si="969"/>
        <v>1.3940000000000001</v>
      </c>
      <c r="BZ156" s="211">
        <f t="shared" si="969"/>
        <v>-3.097</v>
      </c>
      <c r="CA156" s="211">
        <f t="shared" ref="CA156:CF156" si="970">CA54</f>
        <v>-3.95</v>
      </c>
      <c r="CB156" s="211">
        <f t="shared" si="970"/>
        <v>-2.9289999999999998</v>
      </c>
      <c r="CC156" s="211">
        <f t="shared" si="970"/>
        <v>3.55</v>
      </c>
      <c r="CD156" s="211">
        <f t="shared" si="970"/>
        <v>3.55</v>
      </c>
      <c r="CE156" s="211">
        <f t="shared" si="970"/>
        <v>0</v>
      </c>
      <c r="CF156" s="211">
        <f t="shared" si="970"/>
        <v>0</v>
      </c>
      <c r="CG156" s="23"/>
      <c r="CH156" s="213">
        <f t="shared" ref="CH156:CP156" si="971">CH54</f>
        <v>1.6949999999999998</v>
      </c>
      <c r="CI156" s="211">
        <f t="shared" si="971"/>
        <v>1.698</v>
      </c>
      <c r="CJ156" s="211">
        <f t="shared" si="971"/>
        <v>-0.95399999999999996</v>
      </c>
      <c r="CK156" s="211">
        <f t="shared" si="971"/>
        <v>-9.2290000000000028</v>
      </c>
      <c r="CL156" s="211">
        <f t="shared" si="971"/>
        <v>3.6009999999999995</v>
      </c>
      <c r="CM156" s="211">
        <f t="shared" si="971"/>
        <v>-1.7989999999999997</v>
      </c>
      <c r="CN156" s="211">
        <f t="shared" si="971"/>
        <v>-1.5740000000000001</v>
      </c>
      <c r="CO156" s="211">
        <f t="shared" si="971"/>
        <v>1.496</v>
      </c>
      <c r="CP156" s="211">
        <f t="shared" si="971"/>
        <v>-0.72599999999999976</v>
      </c>
      <c r="CQ156" s="211">
        <f t="shared" ref="CQ156:CV156" si="972">CQ54</f>
        <v>-5.0679999999999996</v>
      </c>
      <c r="CR156" s="211">
        <f t="shared" si="972"/>
        <v>-2.3070000000000004</v>
      </c>
      <c r="CS156" s="211">
        <f t="shared" si="972"/>
        <v>-2.5629999999999997</v>
      </c>
      <c r="CT156" s="211">
        <f t="shared" si="972"/>
        <v>7.7659999999999991</v>
      </c>
      <c r="CU156" s="211">
        <f t="shared" si="972"/>
        <v>0</v>
      </c>
      <c r="CV156" s="212">
        <f t="shared" si="972"/>
        <v>0</v>
      </c>
      <c r="CW156" s="25"/>
    </row>
    <row r="157" spans="1:101" ht="14.25" hidden="1" customHeight="1" outlineLevel="1">
      <c r="A157" s="8"/>
      <c r="B157" s="51"/>
      <c r="C157" s="52"/>
      <c r="D157" s="230"/>
      <c r="E157" s="228"/>
      <c r="F157" s="228"/>
      <c r="G157" s="229"/>
      <c r="H157" s="230"/>
      <c r="I157" s="228"/>
      <c r="J157" s="228"/>
      <c r="K157" s="229"/>
      <c r="L157" s="230"/>
      <c r="M157" s="228"/>
      <c r="N157" s="228"/>
      <c r="O157" s="229"/>
      <c r="P157" s="230"/>
      <c r="Q157" s="228"/>
      <c r="R157" s="228"/>
      <c r="S157" s="229"/>
      <c r="T157" s="230"/>
      <c r="U157" s="228"/>
      <c r="V157" s="228"/>
      <c r="W157" s="229"/>
      <c r="X157" s="230"/>
      <c r="Y157" s="228"/>
      <c r="Z157" s="228"/>
      <c r="AA157" s="229"/>
      <c r="AB157" s="228"/>
      <c r="AC157" s="228"/>
      <c r="AD157" s="228"/>
      <c r="AE157" s="229"/>
      <c r="AF157" s="228"/>
      <c r="AG157" s="228"/>
      <c r="AH157" s="228"/>
      <c r="AI157" s="229"/>
      <c r="AJ157" s="230"/>
      <c r="AK157" s="228"/>
      <c r="AL157" s="228"/>
      <c r="AM157" s="229"/>
      <c r="AN157" s="230"/>
      <c r="AO157" s="228"/>
      <c r="AP157" s="228"/>
      <c r="AQ157" s="229"/>
      <c r="AR157" s="230"/>
      <c r="AS157" s="228"/>
      <c r="AT157" s="228"/>
      <c r="AU157" s="229"/>
      <c r="AV157" s="230"/>
      <c r="AW157" s="228"/>
      <c r="AX157" s="228"/>
      <c r="AY157" s="229"/>
      <c r="AZ157" s="230"/>
      <c r="BA157" s="228"/>
      <c r="BB157" s="228"/>
      <c r="BC157" s="229"/>
      <c r="BD157" s="230"/>
      <c r="BE157" s="228"/>
      <c r="BF157" s="228"/>
      <c r="BG157" s="229"/>
      <c r="BH157" s="230"/>
      <c r="BI157" s="228"/>
      <c r="BJ157" s="228"/>
      <c r="BK157" s="229"/>
      <c r="BL157" s="230"/>
      <c r="BM157" s="228"/>
      <c r="BN157" s="228"/>
      <c r="BO157" s="229"/>
      <c r="BP157" s="176"/>
      <c r="BQ157" s="228"/>
      <c r="BR157" s="228"/>
      <c r="BS157" s="228"/>
      <c r="BT157" s="228"/>
      <c r="BU157" s="228"/>
      <c r="BV157" s="228"/>
      <c r="BW157" s="228"/>
      <c r="BX157" s="228"/>
      <c r="BY157" s="228"/>
      <c r="BZ157" s="228"/>
      <c r="CA157" s="228"/>
      <c r="CB157" s="228"/>
      <c r="CC157" s="228"/>
      <c r="CD157" s="228"/>
      <c r="CE157" s="228"/>
      <c r="CF157" s="228"/>
      <c r="CG157" s="23"/>
      <c r="CH157" s="230"/>
      <c r="CI157" s="228"/>
      <c r="CJ157" s="228"/>
      <c r="CK157" s="228"/>
      <c r="CL157" s="228"/>
      <c r="CM157" s="228"/>
      <c r="CN157" s="228"/>
      <c r="CO157" s="228"/>
      <c r="CP157" s="228"/>
      <c r="CQ157" s="228"/>
      <c r="CR157" s="228"/>
      <c r="CS157" s="228"/>
      <c r="CT157" s="228"/>
      <c r="CU157" s="228"/>
      <c r="CV157" s="229"/>
      <c r="CW157" s="25"/>
    </row>
    <row r="158" spans="1:101" ht="14.25" hidden="1" customHeight="1" outlineLevel="1">
      <c r="A158" s="8"/>
      <c r="B158" s="51" t="s">
        <v>130</v>
      </c>
      <c r="C158" s="52"/>
      <c r="D158" s="230">
        <v>518.94000000000005</v>
      </c>
      <c r="E158" s="225">
        <f>D158</f>
        <v>518.94000000000005</v>
      </c>
      <c r="F158" s="225">
        <f>D158</f>
        <v>518.94000000000005</v>
      </c>
      <c r="G158" s="227">
        <f>D158</f>
        <v>518.94000000000005</v>
      </c>
      <c r="H158" s="226">
        <f>G161</f>
        <v>627.59100000000046</v>
      </c>
      <c r="I158" s="225">
        <f>H158</f>
        <v>627.59100000000046</v>
      </c>
      <c r="J158" s="225">
        <f>H158</f>
        <v>627.59100000000046</v>
      </c>
      <c r="K158" s="227">
        <f>H158</f>
        <v>627.59100000000046</v>
      </c>
      <c r="L158" s="226">
        <f>K161</f>
        <v>343.9470000000004</v>
      </c>
      <c r="M158" s="225">
        <f>L158</f>
        <v>343.9470000000004</v>
      </c>
      <c r="N158" s="225">
        <f>L158</f>
        <v>343.9470000000004</v>
      </c>
      <c r="O158" s="227">
        <f>L158</f>
        <v>343.9470000000004</v>
      </c>
      <c r="P158" s="226">
        <f>O161</f>
        <v>424.97200000000043</v>
      </c>
      <c r="Q158" s="225">
        <f>P158</f>
        <v>424.97200000000043</v>
      </c>
      <c r="R158" s="225">
        <f>P158</f>
        <v>424.97200000000043</v>
      </c>
      <c r="S158" s="227">
        <f>P158</f>
        <v>424.97200000000043</v>
      </c>
      <c r="T158" s="226">
        <f>S161</f>
        <v>593.59900000000061</v>
      </c>
      <c r="U158" s="225">
        <f>T158</f>
        <v>593.59900000000061</v>
      </c>
      <c r="V158" s="225">
        <f>T158</f>
        <v>593.59900000000061</v>
      </c>
      <c r="W158" s="227">
        <f>T158</f>
        <v>593.59900000000061</v>
      </c>
      <c r="X158" s="226">
        <f>W161</f>
        <v>639.72900000000095</v>
      </c>
      <c r="Y158" s="225">
        <f>X158</f>
        <v>639.72900000000095</v>
      </c>
      <c r="Z158" s="225">
        <f>X158</f>
        <v>639.72900000000095</v>
      </c>
      <c r="AA158" s="227">
        <f>X158</f>
        <v>639.72900000000095</v>
      </c>
      <c r="AB158" s="225">
        <f>AA161</f>
        <v>1070.0000000000009</v>
      </c>
      <c r="AC158" s="225">
        <f>AB158</f>
        <v>1070.0000000000009</v>
      </c>
      <c r="AD158" s="225">
        <f>AC158</f>
        <v>1070.0000000000009</v>
      </c>
      <c r="AE158" s="227">
        <f>AB158</f>
        <v>1070.0000000000009</v>
      </c>
      <c r="AF158" s="225">
        <f>AE161</f>
        <v>1405.1000000000006</v>
      </c>
      <c r="AG158" s="225">
        <f>AF158</f>
        <v>1405.1000000000006</v>
      </c>
      <c r="AH158" s="225">
        <f>AF158</f>
        <v>1405.1000000000006</v>
      </c>
      <c r="AI158" s="227">
        <f>AF158</f>
        <v>1405.1000000000006</v>
      </c>
      <c r="AJ158" s="226">
        <f>AI161</f>
        <v>528.83300000000122</v>
      </c>
      <c r="AK158" s="225">
        <f>AJ158</f>
        <v>528.83300000000122</v>
      </c>
      <c r="AL158" s="225">
        <f>AJ158</f>
        <v>528.83300000000122</v>
      </c>
      <c r="AM158" s="227">
        <f>AJ158</f>
        <v>528.83300000000122</v>
      </c>
      <c r="AN158" s="226">
        <f>AM161</f>
        <v>392.08900000000131</v>
      </c>
      <c r="AO158" s="225">
        <f>AN158</f>
        <v>392.08900000000131</v>
      </c>
      <c r="AP158" s="225">
        <f>AN158</f>
        <v>392.08900000000131</v>
      </c>
      <c r="AQ158" s="227">
        <f>AN158</f>
        <v>392.08900000000131</v>
      </c>
      <c r="AR158" s="226">
        <f>AQ161</f>
        <v>569.23300000000017</v>
      </c>
      <c r="AS158" s="225">
        <f>AR158</f>
        <v>569.23300000000017</v>
      </c>
      <c r="AT158" s="225">
        <f>AR158</f>
        <v>569.23300000000017</v>
      </c>
      <c r="AU158" s="227">
        <f>AR158</f>
        <v>569.23300000000017</v>
      </c>
      <c r="AV158" s="226">
        <f>AU161</f>
        <v>884.35299999999961</v>
      </c>
      <c r="AW158" s="225">
        <f>AV158</f>
        <v>884.35299999999961</v>
      </c>
      <c r="AX158" s="225">
        <f>AV158</f>
        <v>884.35299999999961</v>
      </c>
      <c r="AY158" s="227">
        <f>AV158</f>
        <v>884.35299999999961</v>
      </c>
      <c r="AZ158" s="226">
        <f>AY161</f>
        <v>921.13199999999972</v>
      </c>
      <c r="BA158" s="225">
        <f>AZ158</f>
        <v>921.13199999999972</v>
      </c>
      <c r="BB158" s="225">
        <f>AZ158</f>
        <v>921.13199999999972</v>
      </c>
      <c r="BC158" s="227">
        <f>AZ158</f>
        <v>921.13199999999972</v>
      </c>
      <c r="BD158" s="226">
        <f>BC161</f>
        <v>1047.8380000000009</v>
      </c>
      <c r="BE158" s="225">
        <f>BD158</f>
        <v>1047.8380000000009</v>
      </c>
      <c r="BF158" s="225">
        <f>BD158</f>
        <v>1047.8380000000009</v>
      </c>
      <c r="BG158" s="227">
        <f>BD158</f>
        <v>1047.8380000000009</v>
      </c>
      <c r="BH158" s="226">
        <f>BG161</f>
        <v>1926.2352739750227</v>
      </c>
      <c r="BI158" s="225">
        <f>BH158</f>
        <v>1926.2352739750227</v>
      </c>
      <c r="BJ158" s="225">
        <f>BH158</f>
        <v>1926.2352739750227</v>
      </c>
      <c r="BK158" s="227">
        <f>BH158</f>
        <v>1926.2352739750227</v>
      </c>
      <c r="BL158" s="226">
        <f>BK161</f>
        <v>3516.5028310373941</v>
      </c>
      <c r="BM158" s="225">
        <f>BL158</f>
        <v>3516.5028310373941</v>
      </c>
      <c r="BN158" s="225">
        <f>BL158</f>
        <v>3516.5028310373941</v>
      </c>
      <c r="BO158" s="227">
        <f>BL158</f>
        <v>3516.5028310373941</v>
      </c>
      <c r="BP158" s="176"/>
      <c r="BQ158" s="225">
        <f>BQ56</f>
        <v>518.94000000000005</v>
      </c>
      <c r="BR158" s="225">
        <f t="shared" ref="BR158:BW158" si="973">BQ161</f>
        <v>627.59100000000046</v>
      </c>
      <c r="BS158" s="225">
        <f t="shared" si="973"/>
        <v>343.9470000000004</v>
      </c>
      <c r="BT158" s="225">
        <f t="shared" si="973"/>
        <v>424.97200000000043</v>
      </c>
      <c r="BU158" s="225">
        <f t="shared" si="973"/>
        <v>593.59900000000073</v>
      </c>
      <c r="BV158" s="225">
        <f t="shared" si="973"/>
        <v>639.72900000000095</v>
      </c>
      <c r="BW158" s="225">
        <f t="shared" si="973"/>
        <v>1070.0000000000009</v>
      </c>
      <c r="BX158" s="225">
        <f t="shared" ref="BX158:CF158" si="974">BW161</f>
        <v>1405.1000000000006</v>
      </c>
      <c r="BY158" s="225">
        <f t="shared" si="974"/>
        <v>528.83300000000122</v>
      </c>
      <c r="BZ158" s="225">
        <f t="shared" si="974"/>
        <v>392.08900000000131</v>
      </c>
      <c r="CA158" s="225">
        <f t="shared" si="974"/>
        <v>569.23300000000006</v>
      </c>
      <c r="CB158" s="225">
        <f t="shared" si="974"/>
        <v>884.35299999999938</v>
      </c>
      <c r="CC158" s="225">
        <f t="shared" si="974"/>
        <v>921.1320000000004</v>
      </c>
      <c r="CD158" s="225">
        <f t="shared" si="974"/>
        <v>1047.8380000000016</v>
      </c>
      <c r="CE158" s="225">
        <f t="shared" si="974"/>
        <v>1926.2352739750233</v>
      </c>
      <c r="CF158" s="225">
        <f t="shared" si="974"/>
        <v>3516.5028310373946</v>
      </c>
      <c r="CG158" s="23"/>
      <c r="CH158" s="226">
        <f>CH56</f>
        <v>409.33600000000001</v>
      </c>
      <c r="CI158" s="225">
        <f t="shared" ref="CI158:CN158" si="975">CH161</f>
        <v>427.85499999999962</v>
      </c>
      <c r="CJ158" s="225">
        <f t="shared" si="975"/>
        <v>398.54899999999935</v>
      </c>
      <c r="CK158" s="225">
        <f t="shared" si="975"/>
        <v>633.08899999999926</v>
      </c>
      <c r="CL158" s="225">
        <f t="shared" si="975"/>
        <v>769.71299999999974</v>
      </c>
      <c r="CM158" s="225">
        <f t="shared" si="975"/>
        <v>914.26799999999912</v>
      </c>
      <c r="CN158" s="225">
        <f t="shared" si="975"/>
        <v>1570.3209999999985</v>
      </c>
      <c r="CO158" s="225">
        <f t="shared" ref="CO158:CV158" si="976">CN161</f>
        <v>1097.4419999999982</v>
      </c>
      <c r="CP158" s="225">
        <f t="shared" si="976"/>
        <v>795.79699999999787</v>
      </c>
      <c r="CQ158" s="225">
        <f t="shared" si="976"/>
        <v>417.22699999999861</v>
      </c>
      <c r="CR158" s="225">
        <f t="shared" si="976"/>
        <v>650.20199999999852</v>
      </c>
      <c r="CS158" s="225">
        <f t="shared" si="976"/>
        <v>1470.4419999999991</v>
      </c>
      <c r="CT158" s="225">
        <f t="shared" si="976"/>
        <v>4987.262999999999</v>
      </c>
      <c r="CU158" s="225">
        <f t="shared" si="976"/>
        <v>827.54999999999927</v>
      </c>
      <c r="CV158" s="227">
        <f t="shared" si="976"/>
        <v>2319.3313591015021</v>
      </c>
      <c r="CW158" s="25"/>
    </row>
    <row r="159" spans="1:101" ht="14.25" hidden="1" customHeight="1" outlineLevel="1">
      <c r="A159" s="299"/>
      <c r="B159" s="360" t="s">
        <v>131</v>
      </c>
      <c r="C159" s="483"/>
      <c r="D159" s="484"/>
      <c r="E159" s="485"/>
      <c r="F159" s="485"/>
      <c r="G159" s="486"/>
      <c r="H159" s="484"/>
      <c r="I159" s="485"/>
      <c r="J159" s="485"/>
      <c r="K159" s="486"/>
      <c r="L159" s="484"/>
      <c r="M159" s="485"/>
      <c r="N159" s="485"/>
      <c r="O159" s="486"/>
      <c r="P159" s="484"/>
      <c r="Q159" s="485"/>
      <c r="R159" s="485"/>
      <c r="S159" s="486"/>
      <c r="T159" s="484"/>
      <c r="U159" s="485"/>
      <c r="V159" s="485"/>
      <c r="W159" s="486"/>
      <c r="X159" s="484"/>
      <c r="Y159" s="485"/>
      <c r="Z159" s="485"/>
      <c r="AA159" s="486"/>
      <c r="AB159" s="485"/>
      <c r="AC159" s="485"/>
      <c r="AD159" s="485"/>
      <c r="AE159" s="486"/>
      <c r="AF159" s="485"/>
      <c r="AG159" s="485"/>
      <c r="AH159" s="485"/>
      <c r="AI159" s="486"/>
      <c r="AJ159" s="485"/>
      <c r="AK159" s="485"/>
      <c r="AL159" s="485"/>
      <c r="AM159" s="486"/>
      <c r="AN159" s="485"/>
      <c r="AO159" s="211">
        <v>0</v>
      </c>
      <c r="AP159" s="485">
        <v>0</v>
      </c>
      <c r="AQ159" s="486"/>
      <c r="AR159" s="485"/>
      <c r="AS159" s="485"/>
      <c r="AT159" s="485"/>
      <c r="AU159" s="486">
        <v>0</v>
      </c>
      <c r="AV159" s="485"/>
      <c r="AW159" s="485"/>
      <c r="AX159" s="485"/>
      <c r="AY159" s="486">
        <v>0</v>
      </c>
      <c r="AZ159" s="485"/>
      <c r="BA159" s="485"/>
      <c r="BB159" s="485"/>
      <c r="BC159" s="486"/>
      <c r="BD159" s="485"/>
      <c r="BE159" s="485"/>
      <c r="BF159" s="485"/>
      <c r="BG159" s="486"/>
      <c r="BH159" s="485"/>
      <c r="BI159" s="485"/>
      <c r="BJ159" s="485"/>
      <c r="BK159" s="486"/>
      <c r="BL159" s="485"/>
      <c r="BM159" s="485"/>
      <c r="BN159" s="485"/>
      <c r="BO159" s="486"/>
      <c r="BP159" s="487"/>
      <c r="BQ159" s="490">
        <f t="shared" ref="BQ159:BW159" si="977">BQ57</f>
        <v>0</v>
      </c>
      <c r="BR159" s="490">
        <f t="shared" si="977"/>
        <v>0</v>
      </c>
      <c r="BS159" s="490">
        <f t="shared" si="977"/>
        <v>0</v>
      </c>
      <c r="BT159" s="490">
        <f t="shared" si="977"/>
        <v>0</v>
      </c>
      <c r="BU159" s="490">
        <f t="shared" si="977"/>
        <v>0</v>
      </c>
      <c r="BV159" s="490">
        <f t="shared" si="977"/>
        <v>0</v>
      </c>
      <c r="BW159" s="490">
        <f t="shared" si="977"/>
        <v>0</v>
      </c>
      <c r="BX159" s="485"/>
      <c r="BY159" s="485">
        <f>BY57</f>
        <v>0</v>
      </c>
      <c r="BZ159" s="485">
        <f>BZ57</f>
        <v>0</v>
      </c>
      <c r="CA159" s="485"/>
      <c r="CB159" s="485"/>
      <c r="CC159" s="485"/>
      <c r="CD159" s="485"/>
      <c r="CE159" s="485"/>
      <c r="CF159" s="485"/>
      <c r="CG159" s="488"/>
      <c r="CH159" s="489">
        <f t="shared" ref="CH159:CN159" si="978">CH57</f>
        <v>0</v>
      </c>
      <c r="CI159" s="490">
        <f t="shared" si="978"/>
        <v>0</v>
      </c>
      <c r="CJ159" s="490">
        <f t="shared" si="978"/>
        <v>0</v>
      </c>
      <c r="CK159" s="490">
        <f t="shared" si="978"/>
        <v>0</v>
      </c>
      <c r="CL159" s="490">
        <f t="shared" si="978"/>
        <v>0</v>
      </c>
      <c r="CM159" s="490">
        <f t="shared" si="978"/>
        <v>0</v>
      </c>
      <c r="CN159" s="490">
        <f t="shared" si="978"/>
        <v>0</v>
      </c>
      <c r="CO159" s="485"/>
      <c r="CP159" s="485"/>
      <c r="CQ159" s="211">
        <f>CQ57</f>
        <v>0</v>
      </c>
      <c r="CR159" s="485"/>
      <c r="CS159" s="485"/>
      <c r="CT159" s="485"/>
      <c r="CU159" s="485"/>
      <c r="CV159" s="486"/>
      <c r="CW159" s="346"/>
    </row>
    <row r="160" spans="1:101" ht="14.25" hidden="1" customHeight="1" outlineLevel="1">
      <c r="A160" s="8"/>
      <c r="B160" s="222" t="s">
        <v>132</v>
      </c>
      <c r="C160" s="223"/>
      <c r="D160" s="226">
        <f t="shared" ref="D160:AQ160" si="979">D154+D143+D133+D156</f>
        <v>-109.60400000000006</v>
      </c>
      <c r="E160" s="225">
        <f t="shared" si="979"/>
        <v>-204.57200000000026</v>
      </c>
      <c r="F160" s="225">
        <f t="shared" si="979"/>
        <v>-270.88699999999994</v>
      </c>
      <c r="G160" s="227">
        <f t="shared" si="979"/>
        <v>108.65100000000041</v>
      </c>
      <c r="H160" s="226">
        <f t="shared" si="979"/>
        <v>-199.73599999999999</v>
      </c>
      <c r="I160" s="225">
        <f t="shared" si="979"/>
        <v>-225.10000000000008</v>
      </c>
      <c r="J160" s="225">
        <f t="shared" si="979"/>
        <v>-104.46599999999997</v>
      </c>
      <c r="K160" s="227">
        <f t="shared" si="979"/>
        <v>-283.64400000000006</v>
      </c>
      <c r="L160" s="226">
        <f t="shared" si="979"/>
        <v>54.601999999999919</v>
      </c>
      <c r="M160" s="225">
        <f t="shared" si="979"/>
        <v>14.643000000000034</v>
      </c>
      <c r="N160" s="225">
        <f t="shared" si="979"/>
        <v>49.950999999999851</v>
      </c>
      <c r="O160" s="227">
        <f t="shared" si="979"/>
        <v>81.025000000000048</v>
      </c>
      <c r="P160" s="226">
        <f t="shared" si="979"/>
        <v>208.1170000000001</v>
      </c>
      <c r="Q160" s="225">
        <f t="shared" si="979"/>
        <v>-10.61099999999983</v>
      </c>
      <c r="R160" s="225">
        <f t="shared" si="979"/>
        <v>-6.5160000000001412</v>
      </c>
      <c r="S160" s="227">
        <f t="shared" si="979"/>
        <v>168.62700000000018</v>
      </c>
      <c r="T160" s="226">
        <f t="shared" si="979"/>
        <v>176.114</v>
      </c>
      <c r="U160" s="225">
        <f t="shared" si="979"/>
        <v>83.280000000000115</v>
      </c>
      <c r="V160" s="225">
        <f t="shared" si="979"/>
        <v>39.116000000000078</v>
      </c>
      <c r="W160" s="227">
        <f t="shared" si="979"/>
        <v>46.13000000000028</v>
      </c>
      <c r="X160" s="226">
        <f t="shared" si="979"/>
        <v>274.53900000000004</v>
      </c>
      <c r="Y160" s="225">
        <f t="shared" si="979"/>
        <v>368.64299999999986</v>
      </c>
      <c r="Z160" s="225">
        <f t="shared" si="979"/>
        <v>353.7000000000001</v>
      </c>
      <c r="AA160" s="227">
        <f t="shared" si="979"/>
        <v>430.2709999999999</v>
      </c>
      <c r="AB160" s="225">
        <f t="shared" si="979"/>
        <v>500.32099999999986</v>
      </c>
      <c r="AC160" s="225">
        <f t="shared" si="979"/>
        <v>824.76099999999963</v>
      </c>
      <c r="AD160" s="225">
        <f t="shared" si="979"/>
        <v>287.82100000000003</v>
      </c>
      <c r="AE160" s="227">
        <f t="shared" si="979"/>
        <v>335.09999999999968</v>
      </c>
      <c r="AF160" s="225">
        <f>AF154+AF143+AF133+AF156</f>
        <v>-307.65800000000019</v>
      </c>
      <c r="AG160" s="225">
        <f t="shared" si="979"/>
        <v>-710.03400000000113</v>
      </c>
      <c r="AH160" s="225">
        <f>AH154+AH143+AH133+AH156</f>
        <v>-942.95100000000048</v>
      </c>
      <c r="AI160" s="227">
        <f t="shared" si="979"/>
        <v>-876.26699999999937</v>
      </c>
      <c r="AJ160" s="225">
        <f t="shared" si="979"/>
        <v>266.96399999999983</v>
      </c>
      <c r="AK160" s="225">
        <f t="shared" si="979"/>
        <v>66.798000000000499</v>
      </c>
      <c r="AL160" s="225">
        <f>AL154+AL143+AL133+AL156</f>
        <v>-68.764999999999404</v>
      </c>
      <c r="AM160" s="227">
        <f>AM154+AM143+AM133+AM156</f>
        <v>-136.74399999999991</v>
      </c>
      <c r="AN160" s="225">
        <f>AN154+AN143+AN133+AN156</f>
        <v>25.13799999999987</v>
      </c>
      <c r="AO160" s="225">
        <f>AO154+AO143+AO133+AO156</f>
        <v>10.701000000000452</v>
      </c>
      <c r="AP160" s="225">
        <f t="shared" si="979"/>
        <v>2193.3519999999999</v>
      </c>
      <c r="AQ160" s="227">
        <f t="shared" si="979"/>
        <v>177.14399999999884</v>
      </c>
      <c r="AR160" s="225">
        <f>AR154+AR143+AR133+AR156</f>
        <v>80.968999999999895</v>
      </c>
      <c r="AS160" s="225">
        <f t="shared" ref="AS160:AT160" si="980">AS154+AS143+AS133+AS156</f>
        <v>66.982999999999748</v>
      </c>
      <c r="AT160" s="225">
        <f t="shared" si="980"/>
        <v>-11.73599999999972</v>
      </c>
      <c r="AU160" s="227">
        <f t="shared" ref="AU160:AZ160" si="981">AU154+AU143+AU133+AU156</f>
        <v>315.11999999999938</v>
      </c>
      <c r="AV160" s="225">
        <f t="shared" si="981"/>
        <v>586.08900000000006</v>
      </c>
      <c r="AW160" s="225">
        <f t="shared" si="981"/>
        <v>235.30899999999988</v>
      </c>
      <c r="AX160" s="225">
        <f t="shared" si="981"/>
        <v>219.31699999999964</v>
      </c>
      <c r="AY160" s="227">
        <f t="shared" si="981"/>
        <v>36.779000000000082</v>
      </c>
      <c r="AZ160" s="225">
        <f t="shared" si="981"/>
        <v>4066.1309999999999</v>
      </c>
      <c r="BA160" s="225">
        <f t="shared" ref="BA160:BC160" si="982">BA154+BA143+BA133+BA156</f>
        <v>4776.6110000000026</v>
      </c>
      <c r="BB160" s="225">
        <f t="shared" si="982"/>
        <v>-12.562999999999306</v>
      </c>
      <c r="BC160" s="227">
        <f t="shared" si="982"/>
        <v>126.70600000000108</v>
      </c>
      <c r="BD160" s="225">
        <f t="shared" ref="BD160:BG160" si="983">BD154+BD143+BD133+BD156</f>
        <v>-220.28799999999984</v>
      </c>
      <c r="BE160" s="225">
        <f t="shared" si="983"/>
        <v>63.867330411961845</v>
      </c>
      <c r="BF160" s="225">
        <f t="shared" si="983"/>
        <v>472.50265098030906</v>
      </c>
      <c r="BG160" s="227">
        <f t="shared" si="983"/>
        <v>878.39727397502179</v>
      </c>
      <c r="BH160" s="225">
        <f t="shared" ref="BH160:BK160" si="984">BH154+BH143+BH133+BH156</f>
        <v>393.09608512648111</v>
      </c>
      <c r="BI160" s="225">
        <f t="shared" si="984"/>
        <v>755.24860968220241</v>
      </c>
      <c r="BJ160" s="225">
        <f t="shared" si="984"/>
        <v>1160.8781291693053</v>
      </c>
      <c r="BK160" s="227">
        <f t="shared" si="984"/>
        <v>1590.2675570623715</v>
      </c>
      <c r="BL160" s="225">
        <f t="shared" ref="BL160:BO160" si="985">BL154+BL143+BL133+BL156</f>
        <v>471.20611287110734</v>
      </c>
      <c r="BM160" s="225">
        <f t="shared" si="985"/>
        <v>891.44339577327037</v>
      </c>
      <c r="BN160" s="225">
        <f t="shared" si="985"/>
        <v>1355.3750466802098</v>
      </c>
      <c r="BO160" s="227">
        <f t="shared" si="985"/>
        <v>1840.6137796143353</v>
      </c>
      <c r="BP160" s="176"/>
      <c r="BQ160" s="225">
        <f t="shared" ref="BQ160:BZ160" si="986">BQ154+BQ143+BQ133+BQ156</f>
        <v>108.65100000000041</v>
      </c>
      <c r="BR160" s="225">
        <f t="shared" si="986"/>
        <v>-283.64400000000006</v>
      </c>
      <c r="BS160" s="225">
        <f t="shared" si="986"/>
        <v>81.025000000000048</v>
      </c>
      <c r="BT160" s="225">
        <f t="shared" si="986"/>
        <v>168.62700000000029</v>
      </c>
      <c r="BU160" s="225">
        <f t="shared" si="986"/>
        <v>46.13000000000028</v>
      </c>
      <c r="BV160" s="225">
        <f t="shared" si="986"/>
        <v>430.2709999999999</v>
      </c>
      <c r="BW160" s="225">
        <f t="shared" si="986"/>
        <v>335.09999999999968</v>
      </c>
      <c r="BX160" s="225">
        <f t="shared" si="986"/>
        <v>-876.26699999999937</v>
      </c>
      <c r="BY160" s="225">
        <f t="shared" si="986"/>
        <v>-136.74399999999991</v>
      </c>
      <c r="BZ160" s="225">
        <f t="shared" si="986"/>
        <v>177.14399999999873</v>
      </c>
      <c r="CA160" s="225">
        <f t="shared" ref="CA160:CF160" si="987">CA154+CA143+CA133+CA156</f>
        <v>315.11999999999938</v>
      </c>
      <c r="CB160" s="225">
        <f t="shared" si="987"/>
        <v>36.779000000000991</v>
      </c>
      <c r="CC160" s="225">
        <f t="shared" si="987"/>
        <v>126.70600000000108</v>
      </c>
      <c r="CD160" s="225">
        <f t="shared" si="987"/>
        <v>878.39727397502179</v>
      </c>
      <c r="CE160" s="225">
        <f t="shared" si="987"/>
        <v>1590.2675570623715</v>
      </c>
      <c r="CF160" s="225">
        <f t="shared" si="987"/>
        <v>1840.6137796143353</v>
      </c>
      <c r="CG160" s="23"/>
      <c r="CH160" s="226">
        <f t="shared" ref="CH160:CP160" si="988">CH154+CH143+CH133+CH156</f>
        <v>18.518999999999615</v>
      </c>
      <c r="CI160" s="225">
        <f t="shared" si="988"/>
        <v>-29.306000000000246</v>
      </c>
      <c r="CJ160" s="225">
        <f t="shared" si="988"/>
        <v>234.53999999999991</v>
      </c>
      <c r="CK160" s="225">
        <f t="shared" si="988"/>
        <v>136.62400000000045</v>
      </c>
      <c r="CL160" s="225">
        <f t="shared" si="988"/>
        <v>144.55499999999938</v>
      </c>
      <c r="CM160" s="225">
        <f t="shared" si="988"/>
        <v>656.05299999999943</v>
      </c>
      <c r="CN160" s="225">
        <f t="shared" si="988"/>
        <v>-472.8790000000003</v>
      </c>
      <c r="CO160" s="225">
        <f t="shared" si="988"/>
        <v>-301.64500000000032</v>
      </c>
      <c r="CP160" s="225">
        <f t="shared" si="988"/>
        <v>-378.56999999999925</v>
      </c>
      <c r="CQ160" s="225">
        <f t="shared" ref="CQ160:CV160" si="989">CQ154+CQ143+CQ133+CQ156</f>
        <v>232.97499999999988</v>
      </c>
      <c r="CR160" s="225">
        <f t="shared" si="989"/>
        <v>820.24000000000058</v>
      </c>
      <c r="CS160" s="225">
        <f t="shared" si="989"/>
        <v>3516.8209999999999</v>
      </c>
      <c r="CT160" s="225">
        <f t="shared" si="989"/>
        <v>-4159.7129999999997</v>
      </c>
      <c r="CU160" s="225">
        <f t="shared" si="989"/>
        <v>1491.7813591015029</v>
      </c>
      <c r="CV160" s="227">
        <f t="shared" si="989"/>
        <v>1668.3775848069979</v>
      </c>
      <c r="CW160" s="25"/>
    </row>
    <row r="161" spans="1:101" ht="14.25" hidden="1" customHeight="1" outlineLevel="1">
      <c r="A161" s="8"/>
      <c r="B161" s="403" t="s">
        <v>133</v>
      </c>
      <c r="C161" s="231"/>
      <c r="D161" s="233">
        <f t="shared" ref="D161:W161" si="990">D160+D158+D159</f>
        <v>409.33600000000001</v>
      </c>
      <c r="E161" s="232">
        <f t="shared" si="990"/>
        <v>314.36799999999982</v>
      </c>
      <c r="F161" s="232">
        <f t="shared" si="990"/>
        <v>248.05300000000011</v>
      </c>
      <c r="G161" s="234">
        <f t="shared" si="990"/>
        <v>627.59100000000046</v>
      </c>
      <c r="H161" s="233">
        <f t="shared" si="990"/>
        <v>427.85500000000047</v>
      </c>
      <c r="I161" s="232">
        <f t="shared" si="990"/>
        <v>402.49100000000038</v>
      </c>
      <c r="J161" s="232">
        <f t="shared" si="990"/>
        <v>523.12500000000045</v>
      </c>
      <c r="K161" s="234">
        <f t="shared" si="990"/>
        <v>343.9470000000004</v>
      </c>
      <c r="L161" s="233">
        <f t="shared" si="990"/>
        <v>398.54900000000032</v>
      </c>
      <c r="M161" s="232">
        <f t="shared" si="990"/>
        <v>358.59000000000043</v>
      </c>
      <c r="N161" s="232">
        <f t="shared" si="990"/>
        <v>393.89800000000025</v>
      </c>
      <c r="O161" s="234">
        <f t="shared" si="990"/>
        <v>424.97200000000043</v>
      </c>
      <c r="P161" s="233">
        <f t="shared" si="990"/>
        <v>633.08900000000051</v>
      </c>
      <c r="Q161" s="232">
        <f t="shared" si="990"/>
        <v>414.36100000000062</v>
      </c>
      <c r="R161" s="232">
        <f t="shared" si="990"/>
        <v>418.4560000000003</v>
      </c>
      <c r="S161" s="234">
        <f t="shared" si="990"/>
        <v>593.59900000000061</v>
      </c>
      <c r="T161" s="233">
        <f t="shared" si="990"/>
        <v>769.71300000000065</v>
      </c>
      <c r="U161" s="232">
        <f t="shared" si="990"/>
        <v>676.8790000000007</v>
      </c>
      <c r="V161" s="232">
        <f t="shared" si="990"/>
        <v>632.71500000000071</v>
      </c>
      <c r="W161" s="234">
        <f t="shared" si="990"/>
        <v>639.72900000000095</v>
      </c>
      <c r="X161" s="233">
        <f t="shared" ref="X161:AQ161" si="991">X160+X158+X159</f>
        <v>914.26800000000094</v>
      </c>
      <c r="Y161" s="232">
        <f t="shared" si="991"/>
        <v>1008.3720000000008</v>
      </c>
      <c r="Z161" s="232">
        <f t="shared" si="991"/>
        <v>993.429000000001</v>
      </c>
      <c r="AA161" s="234">
        <f t="shared" si="991"/>
        <v>1070.0000000000009</v>
      </c>
      <c r="AB161" s="232">
        <f t="shared" si="991"/>
        <v>1570.3210000000008</v>
      </c>
      <c r="AC161" s="232">
        <f t="shared" si="991"/>
        <v>1894.7610000000004</v>
      </c>
      <c r="AD161" s="232">
        <f t="shared" si="991"/>
        <v>1357.8210000000008</v>
      </c>
      <c r="AE161" s="234">
        <f t="shared" si="991"/>
        <v>1405.1000000000006</v>
      </c>
      <c r="AF161" s="232">
        <f t="shared" si="991"/>
        <v>1097.4420000000005</v>
      </c>
      <c r="AG161" s="232">
        <f t="shared" si="991"/>
        <v>695.06599999999946</v>
      </c>
      <c r="AH161" s="232">
        <f t="shared" si="991"/>
        <v>462.14900000000011</v>
      </c>
      <c r="AI161" s="234">
        <f t="shared" si="991"/>
        <v>528.83300000000122</v>
      </c>
      <c r="AJ161" s="232">
        <f t="shared" si="991"/>
        <v>795.79700000000105</v>
      </c>
      <c r="AK161" s="232">
        <f t="shared" si="991"/>
        <v>595.63100000000168</v>
      </c>
      <c r="AL161" s="232">
        <f t="shared" si="991"/>
        <v>460.0680000000018</v>
      </c>
      <c r="AM161" s="234">
        <f t="shared" si="991"/>
        <v>392.08900000000131</v>
      </c>
      <c r="AN161" s="232">
        <f t="shared" si="991"/>
        <v>417.22700000000117</v>
      </c>
      <c r="AO161" s="232">
        <f t="shared" si="991"/>
        <v>402.79000000000178</v>
      </c>
      <c r="AP161" s="232">
        <f t="shared" si="991"/>
        <v>2585.4410000000012</v>
      </c>
      <c r="AQ161" s="234">
        <f t="shared" si="991"/>
        <v>569.23300000000017</v>
      </c>
      <c r="AR161" s="232">
        <f>AR160+AR158+AR159</f>
        <v>650.20200000000011</v>
      </c>
      <c r="AS161" s="232">
        <f t="shared" ref="AS161:AU161" si="992">AS160+AS158+AS159</f>
        <v>636.21599999999989</v>
      </c>
      <c r="AT161" s="232">
        <f t="shared" si="992"/>
        <v>557.49700000000041</v>
      </c>
      <c r="AU161" s="234">
        <f t="shared" si="992"/>
        <v>884.35299999999961</v>
      </c>
      <c r="AV161" s="232">
        <f>AV160+AV158+AV159</f>
        <v>1470.4419999999996</v>
      </c>
      <c r="AW161" s="232">
        <f>AW160+AW158+AW159</f>
        <v>1119.6619999999996</v>
      </c>
      <c r="AX161" s="232">
        <f>AX160+AX158+AX159</f>
        <v>1103.6699999999992</v>
      </c>
      <c r="AY161" s="234">
        <f t="shared" ref="AY161" si="993">AY160+AY158+AY159</f>
        <v>921.13199999999972</v>
      </c>
      <c r="AZ161" s="232">
        <f>AZ160+AZ158+AZ159</f>
        <v>4987.2629999999999</v>
      </c>
      <c r="BA161" s="232">
        <f>BA160+BA158+BA159</f>
        <v>5697.7430000000022</v>
      </c>
      <c r="BB161" s="232">
        <f>BB160+BB158+BB159</f>
        <v>908.56900000000041</v>
      </c>
      <c r="BC161" s="234">
        <f t="shared" ref="BC161" si="994">BC160+BC158+BC159</f>
        <v>1047.8380000000009</v>
      </c>
      <c r="BD161" s="232">
        <f t="shared" ref="BD161:BG161" si="995">BD160+BD158+BD159</f>
        <v>827.55000000000109</v>
      </c>
      <c r="BE161" s="232">
        <f t="shared" si="995"/>
        <v>1111.7053304119627</v>
      </c>
      <c r="BF161" s="232">
        <f t="shared" si="995"/>
        <v>1520.3406509803099</v>
      </c>
      <c r="BG161" s="234">
        <f t="shared" si="995"/>
        <v>1926.2352739750227</v>
      </c>
      <c r="BH161" s="232">
        <f t="shared" ref="BH161:BK161" si="996">BH160+BH158+BH159</f>
        <v>2319.3313591015039</v>
      </c>
      <c r="BI161" s="232">
        <f t="shared" si="996"/>
        <v>2681.4838836572253</v>
      </c>
      <c r="BJ161" s="232">
        <f t="shared" si="996"/>
        <v>3087.113403144328</v>
      </c>
      <c r="BK161" s="234">
        <f t="shared" si="996"/>
        <v>3516.5028310373941</v>
      </c>
      <c r="BL161" s="232">
        <f t="shared" ref="BL161:BO161" si="997">BL160+BL158+BL159</f>
        <v>3987.7089439085016</v>
      </c>
      <c r="BM161" s="232">
        <f t="shared" si="997"/>
        <v>4407.9462268106645</v>
      </c>
      <c r="BN161" s="232">
        <f t="shared" si="997"/>
        <v>4871.877877717604</v>
      </c>
      <c r="BO161" s="234">
        <f t="shared" si="997"/>
        <v>5357.1166106517294</v>
      </c>
      <c r="BP161" s="176"/>
      <c r="BQ161" s="232">
        <f t="shared" ref="BQ161:BW161" si="998">BQ160+BQ158+BQ159</f>
        <v>627.59100000000046</v>
      </c>
      <c r="BR161" s="232">
        <f t="shared" si="998"/>
        <v>343.9470000000004</v>
      </c>
      <c r="BS161" s="232">
        <f t="shared" si="998"/>
        <v>424.97200000000043</v>
      </c>
      <c r="BT161" s="232">
        <f t="shared" si="998"/>
        <v>593.59900000000073</v>
      </c>
      <c r="BU161" s="232">
        <f t="shared" si="998"/>
        <v>639.72900000000095</v>
      </c>
      <c r="BV161" s="232">
        <f t="shared" si="998"/>
        <v>1070.0000000000009</v>
      </c>
      <c r="BW161" s="232">
        <f t="shared" si="998"/>
        <v>1405.1000000000006</v>
      </c>
      <c r="BX161" s="232">
        <f t="shared" ref="BX161:CC161" si="999">BX160+BX158+BX159</f>
        <v>528.83300000000122</v>
      </c>
      <c r="BY161" s="232">
        <f t="shared" si="999"/>
        <v>392.08900000000131</v>
      </c>
      <c r="BZ161" s="232">
        <f t="shared" si="999"/>
        <v>569.23300000000006</v>
      </c>
      <c r="CA161" s="232">
        <f t="shared" si="999"/>
        <v>884.35299999999938</v>
      </c>
      <c r="CB161" s="232">
        <f t="shared" si="999"/>
        <v>921.1320000000004</v>
      </c>
      <c r="CC161" s="232">
        <f t="shared" si="999"/>
        <v>1047.8380000000016</v>
      </c>
      <c r="CD161" s="232">
        <f t="shared" ref="CD161:CE161" si="1000">CD160+CD158+CD159</f>
        <v>1926.2352739750233</v>
      </c>
      <c r="CE161" s="232">
        <f t="shared" si="1000"/>
        <v>3516.5028310373946</v>
      </c>
      <c r="CF161" s="232">
        <f t="shared" ref="CF161" si="1001">CF160+CF158+CF159</f>
        <v>5357.1166106517303</v>
      </c>
      <c r="CG161" s="23"/>
      <c r="CH161" s="233">
        <f t="shared" ref="CH161:CN161" si="1002">CH160+CH158+CH159</f>
        <v>427.85499999999962</v>
      </c>
      <c r="CI161" s="232">
        <f t="shared" si="1002"/>
        <v>398.54899999999935</v>
      </c>
      <c r="CJ161" s="232">
        <f t="shared" si="1002"/>
        <v>633.08899999999926</v>
      </c>
      <c r="CK161" s="232">
        <f t="shared" si="1002"/>
        <v>769.71299999999974</v>
      </c>
      <c r="CL161" s="232">
        <f t="shared" si="1002"/>
        <v>914.26799999999912</v>
      </c>
      <c r="CM161" s="232">
        <f t="shared" si="1002"/>
        <v>1570.3209999999985</v>
      </c>
      <c r="CN161" s="232">
        <f t="shared" si="1002"/>
        <v>1097.4419999999982</v>
      </c>
      <c r="CO161" s="232">
        <f t="shared" ref="CO161:CT161" si="1003">CO160+CO158+CO159</f>
        <v>795.79699999999787</v>
      </c>
      <c r="CP161" s="232">
        <f t="shared" si="1003"/>
        <v>417.22699999999861</v>
      </c>
      <c r="CQ161" s="232">
        <f t="shared" si="1003"/>
        <v>650.20199999999852</v>
      </c>
      <c r="CR161" s="232">
        <f t="shared" si="1003"/>
        <v>1470.4419999999991</v>
      </c>
      <c r="CS161" s="232">
        <f t="shared" si="1003"/>
        <v>4987.262999999999</v>
      </c>
      <c r="CT161" s="232">
        <f t="shared" si="1003"/>
        <v>827.54999999999927</v>
      </c>
      <c r="CU161" s="232">
        <f t="shared" ref="CU161" si="1004">CU160+CU158+CU159</f>
        <v>2319.3313591015021</v>
      </c>
      <c r="CV161" s="234">
        <f t="shared" ref="CV161" si="1005">CV160+CV158+CV159</f>
        <v>3987.7089439085003</v>
      </c>
      <c r="CW161" s="25"/>
    </row>
    <row r="162" spans="1:101" ht="14.25" hidden="1" customHeight="1" outlineLevel="1">
      <c r="A162" s="8"/>
      <c r="B162" s="295"/>
      <c r="C162" s="296"/>
      <c r="D162" s="225"/>
      <c r="E162" s="225"/>
      <c r="F162" s="225"/>
      <c r="G162" s="225"/>
      <c r="H162" s="225"/>
      <c r="I162" s="225"/>
      <c r="J162" s="225"/>
      <c r="K162" s="225"/>
      <c r="L162" s="225"/>
      <c r="M162" s="225"/>
      <c r="N162" s="225"/>
      <c r="O162" s="225"/>
      <c r="P162" s="225"/>
      <c r="Q162" s="225"/>
      <c r="R162" s="225"/>
      <c r="S162" s="225"/>
      <c r="T162" s="225"/>
      <c r="U162" s="225"/>
      <c r="V162" s="225"/>
      <c r="W162" s="225"/>
      <c r="X162" s="225"/>
      <c r="Y162" s="225"/>
      <c r="Z162" s="225"/>
      <c r="AA162" s="225"/>
      <c r="AB162" s="225"/>
      <c r="AC162" s="225"/>
      <c r="AD162" s="225"/>
      <c r="AE162" s="225"/>
      <c r="AF162" s="225"/>
      <c r="AG162" s="225"/>
      <c r="AH162" s="225"/>
      <c r="AI162" s="225"/>
      <c r="AJ162" s="225"/>
      <c r="AK162" s="225"/>
      <c r="AL162" s="225"/>
      <c r="AM162" s="225"/>
      <c r="AN162" s="225"/>
      <c r="AO162" s="225"/>
      <c r="AP162" s="225"/>
      <c r="AQ162" s="225"/>
      <c r="AR162" s="225"/>
      <c r="AS162" s="225"/>
      <c r="AT162" s="225"/>
      <c r="AU162" s="225"/>
      <c r="AV162" s="225"/>
      <c r="AW162" s="225"/>
      <c r="AX162" s="225"/>
      <c r="AY162" s="225"/>
      <c r="AZ162" s="225"/>
      <c r="BA162" s="225"/>
      <c r="BB162" s="225"/>
      <c r="BC162" s="225"/>
      <c r="BD162" s="225"/>
      <c r="BE162" s="225"/>
      <c r="BF162" s="225"/>
      <c r="BG162" s="225"/>
      <c r="BH162" s="225"/>
      <c r="BI162" s="225"/>
      <c r="BJ162" s="225"/>
      <c r="BK162" s="225"/>
      <c r="BL162" s="225"/>
      <c r="BM162" s="225"/>
      <c r="BN162" s="225"/>
      <c r="BO162" s="225"/>
      <c r="BP162" s="70"/>
      <c r="BQ162" s="225"/>
      <c r="BR162" s="225"/>
      <c r="BS162" s="225"/>
      <c r="BT162" s="225"/>
      <c r="BU162" s="225"/>
      <c r="BV162" s="225"/>
      <c r="BW162" s="225"/>
      <c r="BX162" s="225"/>
      <c r="BY162" s="225"/>
      <c r="BZ162" s="225"/>
      <c r="CA162" s="225"/>
      <c r="CB162" s="225"/>
      <c r="CC162" s="225"/>
      <c r="CD162" s="225"/>
      <c r="CE162" s="225"/>
      <c r="CF162" s="225"/>
      <c r="CG162" s="8"/>
      <c r="CH162" s="225"/>
      <c r="CI162" s="225"/>
      <c r="CJ162" s="225"/>
      <c r="CK162" s="225"/>
      <c r="CL162" s="225"/>
      <c r="CM162" s="225"/>
      <c r="CN162" s="225"/>
      <c r="CO162" s="225"/>
      <c r="CP162" s="225"/>
      <c r="CQ162" s="225"/>
      <c r="CR162" s="225"/>
      <c r="CS162" s="225"/>
      <c r="CT162" s="225"/>
      <c r="CU162" s="225"/>
      <c r="CV162" s="225"/>
      <c r="CW162" s="8"/>
    </row>
    <row r="163" spans="1:101" ht="14.25" hidden="1" customHeight="1" outlineLevel="1">
      <c r="A163" s="8"/>
      <c r="B163" s="75" t="s">
        <v>113</v>
      </c>
      <c r="C163" s="76"/>
      <c r="D163" s="174">
        <f>BS!D11</f>
        <v>409.33600000000001</v>
      </c>
      <c r="E163" s="172">
        <f>BS!E11</f>
        <v>314.36799999999999</v>
      </c>
      <c r="F163" s="172">
        <f>BS!F11</f>
        <v>248.053</v>
      </c>
      <c r="G163" s="175">
        <f>BS!G11</f>
        <v>627.59100000000001</v>
      </c>
      <c r="H163" s="174">
        <f>BS!H11</f>
        <v>427.85500000000002</v>
      </c>
      <c r="I163" s="172">
        <f>BS!I11</f>
        <v>402.49099999999999</v>
      </c>
      <c r="J163" s="172">
        <f>BS!J11</f>
        <v>523.125</v>
      </c>
      <c r="K163" s="175">
        <f>BS!K11</f>
        <v>343.947</v>
      </c>
      <c r="L163" s="174">
        <f>BS!L11</f>
        <v>398.54899999999998</v>
      </c>
      <c r="M163" s="172">
        <f>BS!M11</f>
        <v>358.59</v>
      </c>
      <c r="N163" s="172">
        <f>BS!N11</f>
        <v>393.89800000000002</v>
      </c>
      <c r="O163" s="175">
        <f>BS!O11</f>
        <v>424.97199999999998</v>
      </c>
      <c r="P163" s="174">
        <f>BS!P11</f>
        <v>633.08900000000006</v>
      </c>
      <c r="Q163" s="172">
        <f>BS!Q11</f>
        <v>414.36099999999999</v>
      </c>
      <c r="R163" s="172">
        <f>BS!R11</f>
        <v>418.45600000000002</v>
      </c>
      <c r="S163" s="175">
        <f>BS!S11</f>
        <v>593.59900000000005</v>
      </c>
      <c r="T163" s="174">
        <f>BS!T11</f>
        <v>769.71299999999997</v>
      </c>
      <c r="U163" s="172">
        <f>BS!U11</f>
        <v>676.87900000000002</v>
      </c>
      <c r="V163" s="172">
        <f>BS!V11</f>
        <v>632.71500000000003</v>
      </c>
      <c r="W163" s="175">
        <f>BS!W11</f>
        <v>639.72900000000004</v>
      </c>
      <c r="X163" s="174">
        <f>BS!X11</f>
        <v>914.26800000000003</v>
      </c>
      <c r="Y163" s="172">
        <f>BS!Y11</f>
        <v>1008.372</v>
      </c>
      <c r="Z163" s="172">
        <f>BS!Z11</f>
        <v>993.42899999999997</v>
      </c>
      <c r="AA163" s="175">
        <f>BS!AA11</f>
        <v>1070</v>
      </c>
      <c r="AB163" s="172">
        <f>BS!AB11</f>
        <v>1570.3209999999999</v>
      </c>
      <c r="AC163" s="172">
        <f>BS!AC11</f>
        <v>1894.761</v>
      </c>
      <c r="AD163" s="172">
        <f>BS!AD11</f>
        <v>1357.8209999999999</v>
      </c>
      <c r="AE163" s="175">
        <f>BS!AE11</f>
        <v>1405.1</v>
      </c>
      <c r="AF163" s="172">
        <f>BS!AF11</f>
        <v>1097.442</v>
      </c>
      <c r="AG163" s="172">
        <f>BS!AG11</f>
        <v>695.06600000000003</v>
      </c>
      <c r="AH163" s="172">
        <f>BS!AH11</f>
        <v>462.149</v>
      </c>
      <c r="AI163" s="173">
        <f>BS!AI11</f>
        <v>528.83299999999997</v>
      </c>
      <c r="AJ163" s="172">
        <f>BS!AJ11</f>
        <v>795.79700000000003</v>
      </c>
      <c r="AK163" s="172">
        <f>BS!AK11</f>
        <v>595.63099999999997</v>
      </c>
      <c r="AL163" s="172">
        <f>BS!AL11</f>
        <v>460.06799999999998</v>
      </c>
      <c r="AM163" s="173">
        <f>BS!AM11</f>
        <v>392.089</v>
      </c>
      <c r="AN163" s="172">
        <f>BS!AN11</f>
        <v>417.22699999999998</v>
      </c>
      <c r="AO163" s="172">
        <f>BS!AO11</f>
        <v>402.79</v>
      </c>
      <c r="AP163" s="172">
        <f>BS!AP11</f>
        <v>2585.4409999999998</v>
      </c>
      <c r="AQ163" s="173">
        <f>BS!AQ11</f>
        <v>569.23299999999995</v>
      </c>
      <c r="AR163" s="172">
        <f>BS!AR11</f>
        <v>650.202</v>
      </c>
      <c r="AS163" s="172">
        <f>BS!AS11</f>
        <v>636.21600000000001</v>
      </c>
      <c r="AT163" s="172">
        <f>BS!AT11</f>
        <v>557.49699999999996</v>
      </c>
      <c r="AU163" s="173">
        <f>BS!AU11</f>
        <v>884.35299999999995</v>
      </c>
      <c r="AV163" s="172">
        <f>BS!AV11</f>
        <v>1470.442</v>
      </c>
      <c r="AW163" s="172">
        <f>BS!AW11</f>
        <v>1119.662</v>
      </c>
      <c r="AX163" s="172">
        <f>BS!AX11</f>
        <v>1103.67</v>
      </c>
      <c r="AY163" s="173">
        <f>BS!AY11</f>
        <v>921.13199999999995</v>
      </c>
      <c r="AZ163" s="172">
        <f>BS!AZ11</f>
        <v>4987.2629999999999</v>
      </c>
      <c r="BA163" s="172">
        <f>BS!BA11</f>
        <v>5697.7430000000004</v>
      </c>
      <c r="BB163" s="172">
        <f>BS!BB11</f>
        <v>908.56899999999996</v>
      </c>
      <c r="BC163" s="173">
        <f>BS!BC11</f>
        <v>1047.838</v>
      </c>
      <c r="BD163" s="172">
        <f>BS!BD11</f>
        <v>827.55</v>
      </c>
      <c r="BE163" s="172">
        <f>BS!BE11</f>
        <v>1111.7053304119615</v>
      </c>
      <c r="BF163" s="172">
        <f>BS!BF11</f>
        <v>1520.3406509803087</v>
      </c>
      <c r="BG163" s="173">
        <f>BS!BG11</f>
        <v>1926.2352739750215</v>
      </c>
      <c r="BH163" s="172">
        <f>BS!BH11</f>
        <v>2319.3313591015026</v>
      </c>
      <c r="BI163" s="172">
        <f>BS!BI11</f>
        <v>2681.4838836572239</v>
      </c>
      <c r="BJ163" s="172">
        <f>BS!BJ11</f>
        <v>3087.1134031443271</v>
      </c>
      <c r="BK163" s="173">
        <f>BS!BK11</f>
        <v>3516.5028310373932</v>
      </c>
      <c r="BL163" s="172">
        <f>BS!BL11</f>
        <v>3987.7089439085007</v>
      </c>
      <c r="BM163" s="172">
        <f>BS!BM11</f>
        <v>4407.9462268106636</v>
      </c>
      <c r="BN163" s="172">
        <f>BS!BN11</f>
        <v>4871.877877717603</v>
      </c>
      <c r="BO163" s="173">
        <f>BS!BO11</f>
        <v>5357.1166106517285</v>
      </c>
      <c r="BP163" s="176"/>
      <c r="BQ163" s="172">
        <f>BS!BQ11</f>
        <v>627.59100000000001</v>
      </c>
      <c r="BR163" s="172">
        <f>BS!BR11</f>
        <v>343.947</v>
      </c>
      <c r="BS163" s="172">
        <f>BS!BS11</f>
        <v>424.97199999999998</v>
      </c>
      <c r="BT163" s="172">
        <f>BS!BT11</f>
        <v>593.59900000000005</v>
      </c>
      <c r="BU163" s="172">
        <f>BS!BU11</f>
        <v>639.72900000000004</v>
      </c>
      <c r="BV163" s="172">
        <f>BS!BV11</f>
        <v>1070</v>
      </c>
      <c r="BW163" s="172">
        <f>BS!BW11</f>
        <v>1405.1</v>
      </c>
      <c r="BX163" s="172">
        <f>BS!BX11</f>
        <v>528.83299999999997</v>
      </c>
      <c r="BY163" s="172">
        <f>BS!BY11</f>
        <v>392.089</v>
      </c>
      <c r="BZ163" s="172">
        <f>BS!BZ11</f>
        <v>569.23299999999995</v>
      </c>
      <c r="CA163" s="172">
        <f>BS!CA11</f>
        <v>884.35299999999995</v>
      </c>
      <c r="CB163" s="172">
        <f>BS!CB11</f>
        <v>921.13199999999995</v>
      </c>
      <c r="CC163" s="172">
        <f>BS!CC11</f>
        <v>1047.838</v>
      </c>
      <c r="CD163" s="172">
        <f>BS!CD11</f>
        <v>1926.2352739750215</v>
      </c>
      <c r="CE163" s="172">
        <f>BS!CE11</f>
        <v>3516.5028310373932</v>
      </c>
      <c r="CF163" s="172">
        <f>BS!CF11</f>
        <v>5357.1166106517285</v>
      </c>
      <c r="CG163" s="23"/>
      <c r="CH163" s="174">
        <f>BS!CH11</f>
        <v>427.85500000000002</v>
      </c>
      <c r="CI163" s="172">
        <f>BS!CI11</f>
        <v>398.54899999999998</v>
      </c>
      <c r="CJ163" s="172">
        <f>BS!CJ11</f>
        <v>633.08900000000006</v>
      </c>
      <c r="CK163" s="172">
        <f>BS!CK11</f>
        <v>769.71299999999997</v>
      </c>
      <c r="CL163" s="172">
        <f>BS!CL11</f>
        <v>914.26800000000003</v>
      </c>
      <c r="CM163" s="172">
        <f>BS!CM11</f>
        <v>1570.3209999999999</v>
      </c>
      <c r="CN163" s="172">
        <f>BS!CN11</f>
        <v>1097.442</v>
      </c>
      <c r="CO163" s="172">
        <f>BS!CO11</f>
        <v>795.79700000000003</v>
      </c>
      <c r="CP163" s="172">
        <f>BS!CP11</f>
        <v>417.22699999999998</v>
      </c>
      <c r="CQ163" s="172">
        <f>BS!CQ11</f>
        <v>650.202</v>
      </c>
      <c r="CR163" s="172">
        <f>BS!CR11</f>
        <v>1470.442</v>
      </c>
      <c r="CS163" s="172">
        <f>BS!CS11</f>
        <v>4987.2629999999999</v>
      </c>
      <c r="CT163" s="172">
        <f>BS!CT11</f>
        <v>827.55</v>
      </c>
      <c r="CU163" s="172">
        <f>BS!CU11</f>
        <v>2319.3313591015026</v>
      </c>
      <c r="CV163" s="175">
        <f>BS!CV11</f>
        <v>3987.7089439085007</v>
      </c>
      <c r="CW163" s="25"/>
    </row>
    <row r="164" spans="1:101" ht="14.25" hidden="1" customHeight="1" outlineLevel="1">
      <c r="A164" s="8"/>
      <c r="B164" s="140" t="s">
        <v>95</v>
      </c>
      <c r="C164" s="141"/>
      <c r="D164" s="144">
        <f t="shared" ref="D164:AB164" si="1006">IF(ROUND(D163,4)=ROUND(D161,4),0,(D163-D161))</f>
        <v>0</v>
      </c>
      <c r="E164" s="142">
        <f t="shared" si="1006"/>
        <v>0</v>
      </c>
      <c r="F164" s="177">
        <f t="shared" si="1006"/>
        <v>0</v>
      </c>
      <c r="G164" s="143">
        <f t="shared" si="1006"/>
        <v>0</v>
      </c>
      <c r="H164" s="144">
        <f t="shared" si="1006"/>
        <v>0</v>
      </c>
      <c r="I164" s="142">
        <f t="shared" si="1006"/>
        <v>0</v>
      </c>
      <c r="J164" s="177">
        <f t="shared" si="1006"/>
        <v>0</v>
      </c>
      <c r="K164" s="143">
        <f t="shared" si="1006"/>
        <v>0</v>
      </c>
      <c r="L164" s="144">
        <f t="shared" si="1006"/>
        <v>0</v>
      </c>
      <c r="M164" s="142">
        <f t="shared" si="1006"/>
        <v>0</v>
      </c>
      <c r="N164" s="177">
        <f t="shared" si="1006"/>
        <v>0</v>
      </c>
      <c r="O164" s="143">
        <f t="shared" si="1006"/>
        <v>0</v>
      </c>
      <c r="P164" s="144">
        <f t="shared" si="1006"/>
        <v>0</v>
      </c>
      <c r="Q164" s="142">
        <f t="shared" si="1006"/>
        <v>0</v>
      </c>
      <c r="R164" s="177">
        <f t="shared" si="1006"/>
        <v>0</v>
      </c>
      <c r="S164" s="143">
        <f t="shared" si="1006"/>
        <v>0</v>
      </c>
      <c r="T164" s="144">
        <f t="shared" si="1006"/>
        <v>0</v>
      </c>
      <c r="U164" s="142">
        <f t="shared" si="1006"/>
        <v>0</v>
      </c>
      <c r="V164" s="177">
        <f t="shared" si="1006"/>
        <v>0</v>
      </c>
      <c r="W164" s="143">
        <f t="shared" si="1006"/>
        <v>0</v>
      </c>
      <c r="X164" s="144">
        <f t="shared" si="1006"/>
        <v>0</v>
      </c>
      <c r="Y164" s="142">
        <f t="shared" si="1006"/>
        <v>0</v>
      </c>
      <c r="Z164" s="177">
        <f t="shared" si="1006"/>
        <v>0</v>
      </c>
      <c r="AA164" s="143">
        <f t="shared" si="1006"/>
        <v>0</v>
      </c>
      <c r="AB164" s="144">
        <f t="shared" si="1006"/>
        <v>0</v>
      </c>
      <c r="AC164" s="142">
        <f t="shared" ref="AC164:AQ164" si="1007">IF(ROUND(AC163,4)=ROUND(AC161,4),0,(AC163-AC161))</f>
        <v>0</v>
      </c>
      <c r="AD164" s="142">
        <f t="shared" si="1007"/>
        <v>0</v>
      </c>
      <c r="AE164" s="143">
        <f t="shared" si="1007"/>
        <v>0</v>
      </c>
      <c r="AF164" s="144">
        <f t="shared" si="1007"/>
        <v>0</v>
      </c>
      <c r="AG164" s="641">
        <f t="shared" si="1007"/>
        <v>0</v>
      </c>
      <c r="AH164" s="142">
        <f t="shared" si="1007"/>
        <v>0</v>
      </c>
      <c r="AI164" s="143">
        <f t="shared" si="1007"/>
        <v>0</v>
      </c>
      <c r="AJ164" s="144">
        <f t="shared" si="1007"/>
        <v>0</v>
      </c>
      <c r="AK164" s="142">
        <f t="shared" si="1007"/>
        <v>0</v>
      </c>
      <c r="AL164" s="142">
        <f t="shared" si="1007"/>
        <v>0</v>
      </c>
      <c r="AM164" s="143">
        <f t="shared" si="1007"/>
        <v>0</v>
      </c>
      <c r="AN164" s="144">
        <f t="shared" si="1007"/>
        <v>0</v>
      </c>
      <c r="AO164" s="142">
        <f t="shared" si="1007"/>
        <v>0</v>
      </c>
      <c r="AP164" s="142">
        <f t="shared" si="1007"/>
        <v>0</v>
      </c>
      <c r="AQ164" s="143">
        <f t="shared" si="1007"/>
        <v>0</v>
      </c>
      <c r="AR164" s="144">
        <f t="shared" ref="AR164:AW164" si="1008">IF(ROUND(AR163,4)=ROUND(AR161,4),0,(AR163-AR161))</f>
        <v>0</v>
      </c>
      <c r="AS164" s="142">
        <f t="shared" si="1008"/>
        <v>0</v>
      </c>
      <c r="AT164" s="142">
        <f t="shared" si="1008"/>
        <v>0</v>
      </c>
      <c r="AU164" s="143">
        <f t="shared" si="1008"/>
        <v>0</v>
      </c>
      <c r="AV164" s="144">
        <f t="shared" si="1008"/>
        <v>0</v>
      </c>
      <c r="AW164" s="142">
        <f t="shared" si="1008"/>
        <v>0</v>
      </c>
      <c r="AX164" s="142">
        <f t="shared" ref="AX164:BG164" si="1009">IF(ROUND(AX163,4)=ROUND(AX161,4),0,(AX163-AX161))</f>
        <v>0</v>
      </c>
      <c r="AY164" s="143">
        <f t="shared" si="1009"/>
        <v>0</v>
      </c>
      <c r="AZ164" s="144">
        <f t="shared" si="1009"/>
        <v>0</v>
      </c>
      <c r="BA164" s="142">
        <f t="shared" si="1009"/>
        <v>0</v>
      </c>
      <c r="BB164" s="142">
        <f t="shared" ref="BB164:BC164" si="1010">IF(ROUND(BB163,4)=ROUND(BB161,4),0,(BB163-BB161))</f>
        <v>0</v>
      </c>
      <c r="BC164" s="143">
        <f t="shared" si="1010"/>
        <v>0</v>
      </c>
      <c r="BD164" s="144">
        <f t="shared" si="1009"/>
        <v>0</v>
      </c>
      <c r="BE164" s="142">
        <f t="shared" si="1009"/>
        <v>0</v>
      </c>
      <c r="BF164" s="142">
        <f t="shared" si="1009"/>
        <v>0</v>
      </c>
      <c r="BG164" s="143">
        <f t="shared" si="1009"/>
        <v>0</v>
      </c>
      <c r="BH164" s="144">
        <f t="shared" ref="BH164:BK164" si="1011">IF(ROUND(BH163,4)=ROUND(BH161,4),0,(BH163-BH161))</f>
        <v>0</v>
      </c>
      <c r="BI164" s="142">
        <f t="shared" si="1011"/>
        <v>0</v>
      </c>
      <c r="BJ164" s="142">
        <f t="shared" si="1011"/>
        <v>0</v>
      </c>
      <c r="BK164" s="143">
        <f t="shared" si="1011"/>
        <v>0</v>
      </c>
      <c r="BL164" s="144">
        <f t="shared" ref="BL164:BO164" si="1012">IF(ROUND(BL163,4)=ROUND(BL161,4),0,(BL163-BL161))</f>
        <v>0</v>
      </c>
      <c r="BM164" s="142">
        <f t="shared" si="1012"/>
        <v>0</v>
      </c>
      <c r="BN164" s="142">
        <f t="shared" si="1012"/>
        <v>0</v>
      </c>
      <c r="BO164" s="143">
        <f t="shared" si="1012"/>
        <v>0</v>
      </c>
      <c r="BP164" s="176"/>
      <c r="BQ164" s="142">
        <f t="shared" ref="BQ164:BW164" si="1013">IF(ROUND(BQ163,4)=ROUND(BQ161,4),0,(BQ163-BQ161))</f>
        <v>0</v>
      </c>
      <c r="BR164" s="142">
        <f t="shared" si="1013"/>
        <v>0</v>
      </c>
      <c r="BS164" s="142">
        <f t="shared" si="1013"/>
        <v>0</v>
      </c>
      <c r="BT164" s="142">
        <f t="shared" si="1013"/>
        <v>0</v>
      </c>
      <c r="BU164" s="142">
        <f t="shared" si="1013"/>
        <v>0</v>
      </c>
      <c r="BV164" s="142">
        <f t="shared" si="1013"/>
        <v>0</v>
      </c>
      <c r="BW164" s="142">
        <f t="shared" si="1013"/>
        <v>0</v>
      </c>
      <c r="BX164" s="142">
        <f t="shared" ref="BX164:BZ164" si="1014">IF(ROUND(BX163,4)=ROUND(BX161,4),0,(BX163-BX161))</f>
        <v>0</v>
      </c>
      <c r="BY164" s="142">
        <f t="shared" si="1014"/>
        <v>0</v>
      </c>
      <c r="BZ164" s="142">
        <f t="shared" si="1014"/>
        <v>0</v>
      </c>
      <c r="CA164" s="142">
        <f t="shared" ref="CA164:CF164" si="1015">IF(ROUND(CA163,4)=ROUND(CA161,4),0,(CA163-CA161))</f>
        <v>0</v>
      </c>
      <c r="CB164" s="142">
        <f t="shared" si="1015"/>
        <v>0</v>
      </c>
      <c r="CC164" s="142">
        <f t="shared" si="1015"/>
        <v>0</v>
      </c>
      <c r="CD164" s="142">
        <f t="shared" si="1015"/>
        <v>0</v>
      </c>
      <c r="CE164" s="142">
        <f t="shared" si="1015"/>
        <v>0</v>
      </c>
      <c r="CF164" s="142">
        <f t="shared" si="1015"/>
        <v>0</v>
      </c>
      <c r="CG164" s="23"/>
      <c r="CH164" s="144">
        <f t="shared" ref="CH164:CN164" si="1016">IF(ROUND(CH163,4)=ROUND(CH161,4),0,(CH163-CH161))</f>
        <v>0</v>
      </c>
      <c r="CI164" s="142">
        <f t="shared" si="1016"/>
        <v>0</v>
      </c>
      <c r="CJ164" s="142">
        <f t="shared" si="1016"/>
        <v>0</v>
      </c>
      <c r="CK164" s="142">
        <f t="shared" si="1016"/>
        <v>0</v>
      </c>
      <c r="CL164" s="142">
        <f t="shared" si="1016"/>
        <v>0</v>
      </c>
      <c r="CM164" s="142">
        <f t="shared" si="1016"/>
        <v>0</v>
      </c>
      <c r="CN164" s="142">
        <f t="shared" si="1016"/>
        <v>0</v>
      </c>
      <c r="CO164" s="142">
        <f t="shared" ref="CO164:CT164" si="1017">IF(ROUND(CO163,4)=ROUND(CO161,4),0,(CO163-CO161))</f>
        <v>0</v>
      </c>
      <c r="CP164" s="142">
        <f t="shared" si="1017"/>
        <v>0</v>
      </c>
      <c r="CQ164" s="142">
        <f t="shared" si="1017"/>
        <v>0</v>
      </c>
      <c r="CR164" s="142">
        <f t="shared" si="1017"/>
        <v>0</v>
      </c>
      <c r="CS164" s="142">
        <f t="shared" si="1017"/>
        <v>0</v>
      </c>
      <c r="CT164" s="142">
        <f t="shared" si="1017"/>
        <v>0</v>
      </c>
      <c r="CU164" s="142">
        <f t="shared" ref="CU164" si="1018">IF(ROUND(CU163,4)=ROUND(CU161,4),0,(CU163-CU161))</f>
        <v>0</v>
      </c>
      <c r="CV164" s="143">
        <f t="shared" ref="CV164" si="1019">IF(ROUND(CV163,4)=ROUND(CV161,4),0,(CV163-CV161))</f>
        <v>0</v>
      </c>
      <c r="CW164" s="25"/>
    </row>
    <row r="165" spans="1:101" ht="14.25" customHeight="1" collapsed="1">
      <c r="A165" s="8"/>
      <c r="B165" s="241"/>
      <c r="C165" s="241"/>
      <c r="D165" s="242"/>
      <c r="E165" s="242"/>
      <c r="F165" s="242"/>
      <c r="G165" s="242"/>
      <c r="H165" s="242"/>
      <c r="I165" s="242"/>
      <c r="J165" s="242"/>
      <c r="K165" s="242"/>
      <c r="L165" s="242"/>
      <c r="M165" s="242"/>
      <c r="N165" s="242"/>
      <c r="O165" s="242"/>
      <c r="P165" s="242"/>
      <c r="Q165" s="242"/>
      <c r="R165" s="242"/>
      <c r="S165" s="242"/>
      <c r="T165" s="242"/>
      <c r="U165" s="242"/>
      <c r="V165" s="242"/>
      <c r="W165" s="242"/>
      <c r="X165" s="242"/>
      <c r="Y165" s="242"/>
      <c r="Z165" s="242"/>
      <c r="AA165" s="242"/>
      <c r="AB165" s="242"/>
      <c r="AC165" s="242"/>
      <c r="AD165" s="242"/>
      <c r="AE165" s="242"/>
      <c r="AF165" s="242"/>
      <c r="AG165" s="242"/>
      <c r="AH165" s="242"/>
      <c r="AI165" s="242"/>
      <c r="AJ165" s="242"/>
      <c r="AK165" s="242"/>
      <c r="AL165" s="242"/>
      <c r="AM165" s="242"/>
      <c r="AN165" s="242"/>
      <c r="AO165" s="242"/>
      <c r="AP165" s="242"/>
      <c r="AQ165" s="242"/>
      <c r="AR165" s="242"/>
      <c r="AS165" s="242"/>
      <c r="AT165" s="242"/>
      <c r="AU165" s="242"/>
      <c r="AV165" s="242"/>
      <c r="AW165" s="242"/>
      <c r="AX165" s="242"/>
      <c r="AY165" s="242"/>
      <c r="AZ165" s="242"/>
      <c r="BA165" s="242"/>
      <c r="BB165" s="242"/>
      <c r="BC165" s="242"/>
      <c r="BD165" s="242"/>
      <c r="BE165" s="242"/>
      <c r="BF165" s="242"/>
      <c r="BG165" s="242"/>
      <c r="BH165" s="242"/>
      <c r="BI165" s="242"/>
      <c r="BJ165" s="242"/>
      <c r="BK165" s="242"/>
      <c r="BL165" s="242"/>
      <c r="BM165" s="242"/>
      <c r="BN165" s="242"/>
      <c r="BO165" s="242"/>
      <c r="BP165" s="70"/>
      <c r="BQ165" s="242"/>
      <c r="BR165" s="242"/>
      <c r="BS165" s="242"/>
      <c r="BT165" s="242"/>
      <c r="BU165" s="242"/>
      <c r="BV165" s="242"/>
      <c r="BW165" s="242"/>
      <c r="BX165" s="242"/>
      <c r="BY165" s="242"/>
      <c r="BZ165" s="242"/>
      <c r="CA165" s="242"/>
      <c r="CB165" s="242"/>
      <c r="CC165" s="242"/>
      <c r="CD165" s="242"/>
      <c r="CE165" s="242"/>
      <c r="CF165" s="242"/>
      <c r="CG165" s="8"/>
      <c r="CH165" s="242"/>
      <c r="CI165" s="242"/>
      <c r="CJ165" s="242"/>
      <c r="CK165" s="242"/>
      <c r="CL165" s="242"/>
      <c r="CM165" s="242"/>
      <c r="CN165" s="242"/>
      <c r="CO165" s="242"/>
      <c r="CP165" s="242"/>
      <c r="CQ165" s="242"/>
      <c r="CR165" s="242"/>
      <c r="CS165" s="242"/>
      <c r="CT165" s="242"/>
      <c r="CU165" s="242"/>
      <c r="CV165" s="242"/>
      <c r="CW165" s="8"/>
    </row>
    <row r="166" spans="1:101" ht="14.25" customHeight="1">
      <c r="A166" s="8"/>
      <c r="B166" s="70"/>
      <c r="C166" s="17"/>
      <c r="D166" s="243"/>
      <c r="E166" s="243"/>
      <c r="F166" s="243"/>
      <c r="G166" s="243"/>
      <c r="H166" s="243"/>
      <c r="I166" s="243"/>
      <c r="J166" s="243"/>
      <c r="K166" s="243"/>
      <c r="L166" s="243"/>
      <c r="M166" s="243"/>
      <c r="N166" s="243"/>
      <c r="O166" s="243"/>
      <c r="P166" s="243"/>
      <c r="Q166" s="243"/>
      <c r="R166" s="243"/>
      <c r="S166" s="243"/>
      <c r="T166" s="243"/>
      <c r="U166" s="243"/>
      <c r="V166" s="243"/>
      <c r="W166" s="243"/>
      <c r="X166" s="243"/>
      <c r="Y166" s="243"/>
      <c r="Z166" s="243"/>
      <c r="AA166" s="243"/>
      <c r="AB166" s="243"/>
      <c r="AC166" s="243"/>
      <c r="AD166" s="243"/>
      <c r="AE166" s="243"/>
      <c r="AF166" s="243"/>
      <c r="AG166" s="243"/>
      <c r="AH166" s="243"/>
      <c r="AI166" s="243"/>
      <c r="AJ166" s="243"/>
      <c r="AK166" s="243"/>
      <c r="AL166" s="243"/>
      <c r="AM166" s="243"/>
      <c r="AN166" s="243"/>
      <c r="AO166" s="243"/>
      <c r="AP166" s="243"/>
      <c r="AQ166" s="243"/>
      <c r="AR166" s="243"/>
      <c r="AS166" s="243"/>
      <c r="AT166" s="243"/>
      <c r="AU166" s="243"/>
      <c r="AV166" s="243"/>
      <c r="AW166" s="243"/>
      <c r="AX166" s="243"/>
      <c r="AY166" s="243"/>
      <c r="AZ166" s="243"/>
      <c r="BA166" s="243"/>
      <c r="BB166" s="243"/>
      <c r="BC166" s="243"/>
      <c r="BD166" s="243"/>
      <c r="BE166" s="243"/>
      <c r="BF166" s="243"/>
      <c r="BG166" s="243"/>
      <c r="BH166" s="243"/>
      <c r="BI166" s="243"/>
      <c r="BJ166" s="243"/>
      <c r="BK166" s="243"/>
      <c r="BL166" s="243"/>
      <c r="BM166" s="243"/>
      <c r="BN166" s="243"/>
      <c r="BO166" s="243"/>
      <c r="BP166" s="8"/>
      <c r="BQ166" s="243"/>
      <c r="BR166" s="243"/>
      <c r="BS166" s="243"/>
      <c r="BT166" s="243"/>
      <c r="BU166" s="243"/>
      <c r="BV166" s="243"/>
      <c r="BW166" s="243"/>
      <c r="BX166" s="243"/>
      <c r="BY166" s="243"/>
      <c r="BZ166" s="243"/>
      <c r="CA166" s="243"/>
      <c r="CB166" s="243"/>
      <c r="CC166" s="243"/>
      <c r="CD166" s="243"/>
      <c r="CE166" s="243"/>
      <c r="CF166" s="243"/>
      <c r="CG166" s="8"/>
      <c r="CH166" s="243"/>
      <c r="CI166" s="243"/>
      <c r="CJ166" s="243"/>
      <c r="CK166" s="243"/>
      <c r="CL166" s="243"/>
      <c r="CM166" s="243"/>
      <c r="CN166" s="243"/>
      <c r="CO166" s="243"/>
      <c r="CP166" s="243"/>
      <c r="CQ166" s="1006"/>
      <c r="CR166" s="243"/>
      <c r="CS166" s="243"/>
      <c r="CT166" s="243"/>
      <c r="CU166" s="243"/>
      <c r="CV166" s="243"/>
      <c r="CW166" s="8"/>
    </row>
    <row r="167" spans="1:101" ht="14.25" customHeight="1">
      <c r="A167" s="8"/>
      <c r="B167" s="70"/>
      <c r="C167" s="17"/>
      <c r="D167" s="243"/>
      <c r="E167" s="243"/>
      <c r="F167" s="243"/>
      <c r="G167" s="243"/>
      <c r="H167" s="243"/>
      <c r="I167" s="243"/>
      <c r="J167" s="243"/>
      <c r="K167" s="243"/>
      <c r="L167" s="243"/>
      <c r="M167" s="243"/>
      <c r="N167" s="243"/>
      <c r="O167" s="243"/>
      <c r="P167" s="243"/>
      <c r="Q167" s="243"/>
      <c r="R167" s="243"/>
      <c r="S167" s="243"/>
      <c r="T167" s="243"/>
      <c r="U167" s="243"/>
      <c r="V167" s="243"/>
      <c r="W167" s="243"/>
      <c r="X167" s="243"/>
      <c r="Y167" s="243"/>
      <c r="Z167" s="243"/>
      <c r="AA167" s="243"/>
      <c r="AB167" s="243"/>
      <c r="AC167" s="243"/>
      <c r="AD167" s="243"/>
      <c r="AE167" s="243"/>
      <c r="AF167" s="243"/>
      <c r="AG167" s="243"/>
      <c r="AH167" s="243"/>
      <c r="AI167" s="243"/>
      <c r="AJ167" s="243"/>
      <c r="AK167" s="243"/>
      <c r="AL167" s="243"/>
      <c r="AM167" s="243"/>
      <c r="AN167" s="243"/>
      <c r="AO167" s="243"/>
      <c r="AP167" s="243"/>
      <c r="AQ167" s="243"/>
      <c r="AR167" s="243"/>
      <c r="AS167" s="243"/>
      <c r="AT167" s="243"/>
      <c r="AU167" s="243"/>
      <c r="AV167" s="243"/>
      <c r="AW167" s="243"/>
      <c r="AX167" s="243"/>
      <c r="AY167" s="243"/>
      <c r="AZ167" s="243"/>
      <c r="BA167" s="243"/>
      <c r="BB167" s="243"/>
      <c r="BC167" s="243"/>
      <c r="BD167" s="243"/>
      <c r="BE167" s="243"/>
      <c r="BF167" s="243"/>
      <c r="BG167" s="243"/>
      <c r="BH167" s="243"/>
      <c r="BI167" s="243"/>
      <c r="BJ167" s="243"/>
      <c r="BK167" s="243"/>
      <c r="BL167" s="243"/>
      <c r="BM167" s="243"/>
      <c r="BN167" s="243"/>
      <c r="BO167" s="243"/>
      <c r="BP167" s="8"/>
      <c r="BQ167" s="243"/>
      <c r="BR167" s="243"/>
      <c r="BS167" s="243"/>
      <c r="BT167" s="243"/>
      <c r="BU167" s="243"/>
      <c r="BV167" s="243"/>
      <c r="BW167" s="243"/>
      <c r="BX167" s="243"/>
      <c r="BY167" s="243"/>
      <c r="BZ167" s="243"/>
      <c r="CA167" s="243"/>
      <c r="CB167" s="243"/>
      <c r="CC167" s="243"/>
      <c r="CD167" s="243"/>
      <c r="CE167" s="243"/>
      <c r="CF167" s="243"/>
      <c r="CG167" s="8"/>
      <c r="CH167" s="243"/>
      <c r="CI167" s="243"/>
      <c r="CJ167" s="243"/>
      <c r="CK167" s="243"/>
      <c r="CL167" s="243"/>
      <c r="CM167" s="243"/>
      <c r="CN167" s="243"/>
      <c r="CO167" s="243"/>
      <c r="CP167" s="243"/>
      <c r="CQ167" s="1006"/>
      <c r="CR167" s="243"/>
      <c r="CS167" s="243"/>
      <c r="CT167" s="243"/>
      <c r="CU167" s="243"/>
      <c r="CV167" s="243"/>
      <c r="CW167" s="8"/>
    </row>
    <row r="168" spans="1:101" ht="14.25" customHeight="1">
      <c r="A168" s="1"/>
      <c r="B168" s="5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293"/>
      <c r="BR168" s="293"/>
      <c r="BS168" s="293"/>
      <c r="BT168" s="293"/>
      <c r="BU168" s="293"/>
      <c r="BV168" s="293"/>
      <c r="BW168" s="293"/>
      <c r="BX168" s="293"/>
      <c r="BY168" s="293"/>
      <c r="BZ168" s="293"/>
      <c r="CA168" s="293"/>
      <c r="CB168" s="293"/>
      <c r="CC168" s="293"/>
      <c r="CD168" s="293"/>
      <c r="CE168" s="293"/>
      <c r="CF168" s="293"/>
      <c r="CG168" s="5"/>
      <c r="CH168" s="293"/>
      <c r="CI168" s="293"/>
      <c r="CJ168" s="293"/>
      <c r="CK168" s="293"/>
      <c r="CL168" s="293"/>
      <c r="CM168" s="293"/>
      <c r="CN168" s="293"/>
      <c r="CO168" s="293"/>
      <c r="CP168" s="293"/>
      <c r="CQ168" s="294"/>
      <c r="CR168" s="293"/>
      <c r="CS168" s="293"/>
      <c r="CT168" s="293"/>
      <c r="CU168" s="293"/>
      <c r="CV168" s="293"/>
      <c r="CW168" s="5"/>
    </row>
    <row r="169" spans="1:101" ht="14.2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97"/>
      <c r="CR169" s="1"/>
      <c r="CS169" s="1"/>
      <c r="CT169" s="1"/>
      <c r="CU169" s="1"/>
      <c r="CV169" s="1"/>
      <c r="CW169" s="1"/>
    </row>
    <row r="171" spans="1:101" ht="14.25" customHeight="1">
      <c r="A171" s="1"/>
      <c r="B171" s="196" t="s">
        <v>56</v>
      </c>
      <c r="C171" s="196"/>
      <c r="D171" s="298" t="e">
        <f>IS!D165</f>
        <v>#NAME?</v>
      </c>
      <c r="E171" s="298" t="e">
        <f>IS!E165</f>
        <v>#NAME?</v>
      </c>
      <c r="F171" s="298" t="e">
        <f>IS!F165</f>
        <v>#NAME?</v>
      </c>
      <c r="G171" s="298" t="e">
        <f>IS!G165</f>
        <v>#NAME?</v>
      </c>
      <c r="H171" s="298" t="e">
        <f>IS!H165</f>
        <v>#NAME?</v>
      </c>
      <c r="I171" s="298" t="e">
        <f>IS!I165</f>
        <v>#NAME?</v>
      </c>
      <c r="J171" s="298" t="e">
        <f>IS!J165</f>
        <v>#NAME?</v>
      </c>
      <c r="K171" s="298" t="e">
        <f>IS!K165</f>
        <v>#NAME?</v>
      </c>
      <c r="L171" s="298" t="e">
        <f>IS!L165</f>
        <v>#NAME?</v>
      </c>
      <c r="M171" s="298" t="e">
        <f>IS!M165</f>
        <v>#NAME?</v>
      </c>
      <c r="N171" s="298" t="e">
        <f>IS!N165</f>
        <v>#NAME?</v>
      </c>
      <c r="O171" s="298" t="e">
        <f>IS!O165</f>
        <v>#NAME?</v>
      </c>
      <c r="P171" s="298" t="e">
        <f>IS!P165</f>
        <v>#NAME?</v>
      </c>
      <c r="Q171" s="298" t="e">
        <f>IS!Q165</f>
        <v>#NAME?</v>
      </c>
      <c r="R171" s="298" t="e">
        <f>IS!R165</f>
        <v>#NAME?</v>
      </c>
      <c r="S171" s="298" t="e">
        <f>IS!S165</f>
        <v>#NAME?</v>
      </c>
      <c r="T171" s="298" t="e">
        <f>IS!T165</f>
        <v>#NAME?</v>
      </c>
      <c r="U171" s="298" t="e">
        <f>IS!U165</f>
        <v>#NAME?</v>
      </c>
      <c r="V171" s="298" t="e">
        <f>IS!V165</f>
        <v>#NAME?</v>
      </c>
      <c r="W171" s="298" t="e">
        <f>IS!W165</f>
        <v>#NAME?</v>
      </c>
      <c r="X171" s="298" t="e">
        <f>IS!X165</f>
        <v>#NAME?</v>
      </c>
      <c r="Y171" s="298" t="e">
        <f>IS!Y165</f>
        <v>#NAME?</v>
      </c>
      <c r="Z171" s="298" t="e">
        <f>IS!Z165</f>
        <v>#NAME?</v>
      </c>
      <c r="AA171" s="298" t="e">
        <f>IS!AA165</f>
        <v>#NAME?</v>
      </c>
      <c r="AB171" s="298" t="e">
        <f>IS!AB165</f>
        <v>#NAME?</v>
      </c>
      <c r="AC171" s="298" t="e">
        <f>IS!AC165</f>
        <v>#NAME?</v>
      </c>
      <c r="AD171" s="298" t="e">
        <f>IS!AD165</f>
        <v>#NAME?</v>
      </c>
      <c r="AE171" s="298" t="e">
        <f>IS!AE165</f>
        <v>#NAME?</v>
      </c>
      <c r="AF171" s="298" t="e">
        <f>IS!AF165</f>
        <v>#NAME?</v>
      </c>
      <c r="AG171" s="298" t="str">
        <f>IS!AG165</f>
        <v>A</v>
      </c>
      <c r="AH171" s="298" t="e">
        <f>IS!AH165</f>
        <v>#NAME?</v>
      </c>
      <c r="AI171" s="298" t="e">
        <f>IS!AI165</f>
        <v>#NAME?</v>
      </c>
      <c r="AJ171" s="298" t="e">
        <f>IS!AJ165</f>
        <v>#NAME?</v>
      </c>
      <c r="AK171" s="298" t="e">
        <f>IS!AK165</f>
        <v>#NAME?</v>
      </c>
      <c r="AL171" s="298" t="e">
        <f>IS!AL165</f>
        <v>#NAME?</v>
      </c>
      <c r="AM171" s="298" t="e">
        <f>IS!AM165</f>
        <v>#NAME?</v>
      </c>
      <c r="AN171" s="298" t="e">
        <f>IS!AN165</f>
        <v>#NAME?</v>
      </c>
      <c r="AO171" s="298" t="e">
        <f>IS!AO165</f>
        <v>#NAME?</v>
      </c>
      <c r="AP171" s="298" t="e">
        <f>IS!AP165</f>
        <v>#NAME?</v>
      </c>
      <c r="AQ171" s="298" t="e">
        <f>IS!AQ165</f>
        <v>#NAME?</v>
      </c>
      <c r="AR171" s="298" t="e">
        <f>IS!AR165</f>
        <v>#NAME?</v>
      </c>
      <c r="AS171" s="298" t="e">
        <f>IS!AS165</f>
        <v>#NAME?</v>
      </c>
      <c r="AT171" s="298" t="e">
        <f>IS!AT165</f>
        <v>#NAME?</v>
      </c>
      <c r="AU171" s="298" t="e">
        <f>IS!AU165</f>
        <v>#NAME?</v>
      </c>
      <c r="AV171" s="298" t="e">
        <f>IS!AV165</f>
        <v>#NAME?</v>
      </c>
      <c r="AW171" s="298" t="e">
        <f>IS!AW165</f>
        <v>#NAME?</v>
      </c>
      <c r="AX171" s="298" t="e">
        <f>IS!AX165</f>
        <v>#NAME?</v>
      </c>
      <c r="AY171" s="298" t="e">
        <f>IS!AY165</f>
        <v>#NAME?</v>
      </c>
      <c r="AZ171" s="298" t="e">
        <f>IS!AZ165</f>
        <v>#NAME?</v>
      </c>
      <c r="BA171" s="298" t="e">
        <f>IS!BA165</f>
        <v>#NAME?</v>
      </c>
      <c r="BB171" s="298" t="e">
        <f>IS!BB165</f>
        <v>#NAME?</v>
      </c>
      <c r="BC171" s="298" t="e">
        <f>IS!BC165</f>
        <v>#NAME?</v>
      </c>
      <c r="BD171" s="298" t="e">
        <f>IS!BD165</f>
        <v>#NAME?</v>
      </c>
      <c r="BE171" s="298" t="e">
        <f>IS!BE165</f>
        <v>#NAME?</v>
      </c>
      <c r="BF171" s="298" t="e">
        <f>IS!BF165</f>
        <v>#NAME?</v>
      </c>
      <c r="BG171" s="298" t="e">
        <f>IS!BG165</f>
        <v>#NAME?</v>
      </c>
      <c r="BH171" s="298" t="e">
        <f>IS!BH165</f>
        <v>#NAME?</v>
      </c>
      <c r="BI171" s="298" t="e">
        <f>IS!BI165</f>
        <v>#NAME?</v>
      </c>
      <c r="BJ171" s="298" t="e">
        <f>IS!BJ165</f>
        <v>#NAME?</v>
      </c>
      <c r="BK171" s="298" t="e">
        <f>IS!BK165</f>
        <v>#NAME?</v>
      </c>
      <c r="BL171" s="298" t="e">
        <f>IS!BL165</f>
        <v>#NAME?</v>
      </c>
      <c r="BM171" s="298" t="e">
        <f>IS!BM165</f>
        <v>#NAME?</v>
      </c>
      <c r="BN171" s="298" t="e">
        <f>IS!BN165</f>
        <v>#NAME?</v>
      </c>
      <c r="BO171" s="298" t="e">
        <f>IS!BO165</f>
        <v>#NAME?</v>
      </c>
      <c r="BP171" s="1"/>
      <c r="BQ171" s="1" t="e">
        <f>IS!BQ165</f>
        <v>#NAME?</v>
      </c>
      <c r="BR171" s="1" t="e">
        <f>IS!BR165</f>
        <v>#NAME?</v>
      </c>
      <c r="BS171" s="1" t="e">
        <f>IS!BS165</f>
        <v>#NAME?</v>
      </c>
      <c r="BT171" s="1" t="e">
        <f>IS!BT165</f>
        <v>#NAME?</v>
      </c>
      <c r="BU171" s="1" t="e">
        <f>IS!BU165</f>
        <v>#NAME?</v>
      </c>
      <c r="BV171" s="1" t="e">
        <f>IS!BV165</f>
        <v>#NAME?</v>
      </c>
      <c r="BW171" s="1" t="e">
        <f>IS!BW165</f>
        <v>#NAME?</v>
      </c>
      <c r="BX171" s="1" t="e">
        <f>IS!BX165</f>
        <v>#NAME?</v>
      </c>
      <c r="BY171" s="1" t="e">
        <f>IS!BY165</f>
        <v>#NAME?</v>
      </c>
      <c r="BZ171" s="1" t="e">
        <f>IS!BZ165</f>
        <v>#NAME?</v>
      </c>
      <c r="CA171" s="1" t="e">
        <f>IS!CA165</f>
        <v>#NAME?</v>
      </c>
      <c r="CB171" s="1" t="e">
        <f>IS!CB165</f>
        <v>#NAME?</v>
      </c>
      <c r="CC171" s="1" t="e">
        <f>IS!CC165</f>
        <v>#NAME?</v>
      </c>
      <c r="CD171" s="1" t="e">
        <f>IS!CD165</f>
        <v>#NAME?</v>
      </c>
      <c r="CE171" s="1" t="e">
        <f>IS!CE165</f>
        <v>#NAME?</v>
      </c>
      <c r="CF171" s="1" t="e">
        <f>IS!CF165</f>
        <v>#NAME?</v>
      </c>
      <c r="CG171" s="1"/>
      <c r="CH171" s="1" t="e">
        <f>IS!CH165</f>
        <v>#NAME?</v>
      </c>
      <c r="CI171" s="1" t="e">
        <f>IS!CI165</f>
        <v>#NAME?</v>
      </c>
      <c r="CJ171" s="1" t="e">
        <f>IS!CJ165</f>
        <v>#NAME?</v>
      </c>
      <c r="CK171" s="1" t="e">
        <f>IS!CK165</f>
        <v>#NAME?</v>
      </c>
      <c r="CL171" s="1" t="e">
        <f>IS!CL165</f>
        <v>#NAME?</v>
      </c>
      <c r="CM171" s="1" t="e">
        <f>IS!CM165</f>
        <v>#NAME?</v>
      </c>
      <c r="CN171" s="1" t="e">
        <f>IS!CN165</f>
        <v>#NAME?</v>
      </c>
      <c r="CO171" s="1" t="e">
        <f>IS!CO165</f>
        <v>#NAME?</v>
      </c>
      <c r="CP171" s="1" t="e">
        <f>IS!CP165</f>
        <v>#NAME?</v>
      </c>
      <c r="CQ171" s="197" t="e">
        <f>IS!CQ165</f>
        <v>#NAME?</v>
      </c>
      <c r="CR171" s="1" t="e">
        <f>IS!CR165</f>
        <v>#NAME?</v>
      </c>
      <c r="CS171" s="1" t="e">
        <f>IS!CS165</f>
        <v>#NAME?</v>
      </c>
      <c r="CT171" s="1" t="e">
        <f>IS!CT165</f>
        <v>#NAME?</v>
      </c>
      <c r="CU171" s="1" t="e">
        <f>IS!CU165</f>
        <v>#NAME?</v>
      </c>
      <c r="CV171" s="1" t="e">
        <f>IS!CV165</f>
        <v>#NAME?</v>
      </c>
      <c r="CW171" s="1"/>
    </row>
    <row r="172" spans="1:101" ht="14.25" customHeight="1">
      <c r="CQ172" s="1005"/>
    </row>
    <row r="173" spans="1:101" ht="14.25" customHeight="1">
      <c r="CQ173" s="1005"/>
    </row>
    <row r="174" spans="1:101" ht="14.25" customHeight="1">
      <c r="CQ174" s="1005"/>
    </row>
    <row r="175" spans="1:101" ht="14.25" customHeight="1">
      <c r="CQ175" s="1005"/>
    </row>
    <row r="176" spans="1:101" ht="14.25" customHeight="1">
      <c r="CQ176" s="1005"/>
    </row>
    <row r="177" spans="95:95" ht="14.25" customHeight="1">
      <c r="CQ177" s="1005"/>
    </row>
    <row r="178" spans="95:95" ht="14.25" customHeight="1">
      <c r="CQ178" s="1005"/>
    </row>
    <row r="179" spans="95:95" ht="14.25" customHeight="1">
      <c r="CQ179" s="1005"/>
    </row>
    <row r="180" spans="95:95" ht="14.25" customHeight="1">
      <c r="CQ180" s="1005"/>
    </row>
    <row r="181" spans="95:95" ht="14.25" customHeight="1">
      <c r="CQ181" s="1005"/>
    </row>
    <row r="182" spans="95:95" ht="14.25" customHeight="1">
      <c r="CQ182" s="1005"/>
    </row>
    <row r="183" spans="95:95" ht="14.25" customHeight="1">
      <c r="CQ183" s="1005"/>
    </row>
    <row r="184" spans="95:95" ht="14.25" customHeight="1">
      <c r="CQ184" s="1005"/>
    </row>
    <row r="185" spans="95:95" ht="14.25" customHeight="1">
      <c r="CQ185" s="1005"/>
    </row>
    <row r="186" spans="95:95" ht="14.25" customHeight="1">
      <c r="CQ186" s="1005"/>
    </row>
    <row r="187" spans="95:95" ht="14.25" customHeight="1">
      <c r="CQ187" s="1005"/>
    </row>
    <row r="188" spans="95:95" ht="14.25" customHeight="1">
      <c r="CQ188" s="1005"/>
    </row>
    <row r="189" spans="95:95" ht="14.25" customHeight="1">
      <c r="CQ189" s="1005"/>
    </row>
    <row r="190" spans="95:95" ht="14.25" customHeight="1">
      <c r="CQ190" s="1005"/>
    </row>
    <row r="191" spans="95:95" ht="14.25" customHeight="1">
      <c r="CQ191" s="1005"/>
    </row>
    <row r="192" spans="95:95" ht="14.25" customHeight="1">
      <c r="CQ192" s="1005"/>
    </row>
    <row r="193" spans="95:95" ht="14.25" customHeight="1">
      <c r="CQ193" s="1005"/>
    </row>
    <row r="194" spans="95:95" ht="14.25" customHeight="1">
      <c r="CQ194" s="1005"/>
    </row>
    <row r="195" spans="95:95" ht="14.25" customHeight="1">
      <c r="CQ195" s="1005"/>
    </row>
    <row r="196" spans="95:95" ht="14.25" customHeight="1">
      <c r="CQ196" s="1005"/>
    </row>
    <row r="197" spans="95:95" ht="14.25" customHeight="1">
      <c r="CQ197" s="1005"/>
    </row>
    <row r="198" spans="95:95" ht="14.25" customHeight="1">
      <c r="CQ198" s="1005"/>
    </row>
    <row r="199" spans="95:95" ht="14.25" customHeight="1">
      <c r="CQ199" s="1005"/>
    </row>
  </sheetData>
  <phoneticPr fontId="35" type="noConversion"/>
  <conditionalFormatting sqref="D7:AH9">
    <cfRule type="expression" dxfId="62" priority="1" stopIfTrue="1">
      <formula>D$171="A"</formula>
    </cfRule>
    <cfRule type="expression" dxfId="61" priority="2" stopIfTrue="1">
      <formula>D$171="E"</formula>
    </cfRule>
  </conditionalFormatting>
  <conditionalFormatting sqref="B6">
    <cfRule type="cellIs" dxfId="60" priority="3" stopIfTrue="1" operator="equal">
      <formula>"Bear Case"</formula>
    </cfRule>
    <cfRule type="cellIs" dxfId="59" priority="4" stopIfTrue="1" operator="equal">
      <formula>"Bull Case"</formula>
    </cfRule>
    <cfRule type="cellIs" dxfId="58" priority="5" stopIfTrue="1" operator="equal">
      <formula>"Base Case"</formula>
    </cfRule>
  </conditionalFormatting>
  <pageMargins left="0" right="0" top="0" bottom="0" header="0" footer="0"/>
  <pageSetup paperSize="5" scale="41" orientation="landscape" r:id="rId1"/>
  <headerFooter alignWithMargins="0"/>
  <colBreaks count="1" manualBreakCount="1">
    <brk id="84" max="1048575" man="1"/>
  </colBreaks>
  <ignoredErrors>
    <ignoredError sqref="AB168:AB169 D133:U135 AA162 AA155 D143:U145 X168:Z169 AC155 W133:Z135 AB72:AD72 D55:AD56 CA72 AC157:AD169 AA165:AA169 W143:AD145 AE168:AE169 BQ72:BW72 AA75:AA76 D74:Z82 AA134:AA135 AB133:AD135 AA78:AA82 AB74:AD82 G72:Z72 AG74:AG81 AD154:AD155 D105:AD114 D58:AD69 D83:AD90 AI124 AH65:AH66 AH78:AH79 AG124 AG72 CN72 AI74:AI81 AG105:AG114 AK124 AH168:AH169 AG68 AJ78:AK81 AG60:AG66 AG143:AG145 AG154:AG155 AG157:AG169 AF113 AN70 AI143:AK145 AK60:AK66 AI105:AK114 AF169 AI60:AI66 AG133:AG135 AG70 X171:AN171 AI84:AI90 AJ65:AJ66 AL78:AL81 AI157:AK169 AN87:AN90 AN105:AN112 AL87:AL90 AI154:AK155 AI133:AK135 AL63:AL65 AJ89:AJ90 AM87:AM90 AG84:AG90 AM63:AM66 AK84:AK90 AN165:AN169 AM105:AM112 AM165:AM169 AL165:AL169 AL105:AL112 AM78:AM81 AN64:AN66 AN72 AN74:AN81" formula="1"/>
    <ignoredError sqref="BX171:BZ171 CN22 B20:C21 B31:B34 BP52:BW54 B49:C49 AE8:AE9 B15:C15 CD8:CE10 B13:C13 CN52:CN53 BP16:BW16 CH12:CP12 D46:AD46 D16:AD16 B22:Z22 D50:AD50 D35:AD36 AD22 B51:C54 B9:B12 BP18:BW18 AF8 B18:C18 CN41:CN43 C8:C12 D8:AD10 AG8:AG10 AI8:AQ10 BP8:BZ13 BP20:BW25 CN31:CN33 B23:C25 B27:B29 C27:C34 B37:C45 CO14:CP71 BP15:BZ15 BW30:BZ30 BX47:BZ48 CO105:CP169 CH14:CM71 CP8:CP9 BQ30:BU30 CH73:CM90 BX73:BZ90 CO73:CP90 BX16:BZ26 BX14:BZ14 BP31:BZ46 BP49:BZ51 BP27:BZ29 CH8:CO10 BX52:BX71 BY52:BZ56 BX105:BX169 BY105:BZ158 BY160:BZ169 BY58:BZ71 CG8:CG90 CG105:CM168 CD165:CE168 CO171:CP171" formulaRange="1"/>
    <ignoredError sqref="AI12 D15:AD15 D52:AD54 D45:AD45 D20:Z21 AD24:AD25 D29:AD29 D24:Z25 D49:AD49 CO72:CP72 CH72:CM72 D18:AD18 AD20:AD21 AA24:AC25 D28:AD28 AA20:AC21 D27:AD27 D31:AD34 D37:AD37 AA22:AC23 D23:Z23 AD23 D41:AD44 D38:AD39 U12 D12:T13 BX72:BZ72 V12:AD13 D51:AD51 D40:AD40 D30:AD30" formula="1" formulaRange="1"/>
  </ignoredErrors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 enableFormatConditionsCalculation="0">
    <tabColor indexed="51"/>
    <pageSetUpPr fitToPage="1"/>
  </sheetPr>
  <dimension ref="A1:CK343"/>
  <sheetViews>
    <sheetView showGridLines="0" zoomScale="80" zoomScaleNormal="80" workbookViewId="0">
      <pane xSplit="3" ySplit="9" topLeftCell="AW10" activePane="bottomRight" state="frozen"/>
      <selection activeCell="BA7" sqref="BA7"/>
      <selection pane="topRight" activeCell="BA7" sqref="BA7"/>
      <selection pane="bottomLeft" activeCell="BA7" sqref="BA7"/>
      <selection pane="bottomRight" activeCell="B53" sqref="B53"/>
    </sheetView>
  </sheetViews>
  <sheetFormatPr defaultRowHeight="14.25" customHeight="1" outlineLevelRow="2" outlineLevelCol="1"/>
  <cols>
    <col min="1" max="1" width="1.7109375" customWidth="1"/>
    <col min="2" max="2" width="41.5703125" customWidth="1"/>
    <col min="3" max="3" width="0.140625" customWidth="1"/>
    <col min="4" max="27" width="11.42578125" customWidth="1" outlineLevel="1"/>
    <col min="28" max="28" width="11.42578125" customWidth="1" outlineLevel="1" collapsed="1"/>
    <col min="29" max="35" width="11.42578125" customWidth="1" outlineLevel="1"/>
    <col min="36" max="36" width="11.42578125" customWidth="1" outlineLevel="1" collapsed="1"/>
    <col min="37" max="43" width="11.42578125" customWidth="1" outlineLevel="1"/>
    <col min="44" max="44" width="11.42578125" customWidth="1" outlineLevel="1" collapsed="1"/>
    <col min="45" max="46" width="10.7109375" customWidth="1" outlineLevel="1"/>
    <col min="47" max="47" width="11.42578125" customWidth="1" outlineLevel="1"/>
    <col min="48" max="51" width="10.7109375" customWidth="1" outlineLevel="1"/>
    <col min="52" max="63" width="10.7109375" customWidth="1"/>
    <col min="64" max="67" width="10.7109375" hidden="1" customWidth="1" outlineLevel="1"/>
    <col min="68" max="68" width="1.7109375" customWidth="1" collapsed="1"/>
    <col min="69" max="79" width="11.42578125" hidden="1" customWidth="1" outlineLevel="1"/>
    <col min="80" max="80" width="10.140625" hidden="1" customWidth="1" outlineLevel="1"/>
    <col min="81" max="81" width="10.140625" customWidth="1" collapsed="1"/>
    <col min="82" max="83" width="10.140625" customWidth="1"/>
    <col min="84" max="84" width="11.42578125" hidden="1" customWidth="1" outlineLevel="1"/>
    <col min="85" max="85" width="11.42578125" customWidth="1" collapsed="1"/>
    <col min="86" max="91" width="11.42578125" customWidth="1"/>
  </cols>
  <sheetData>
    <row r="1" spans="1:89" ht="67.5" customHeight="1">
      <c r="A1" s="5"/>
      <c r="B1" s="322"/>
      <c r="C1" s="1"/>
      <c r="D1" s="2" t="str">
        <f>IF(SUM(BS)&lt;&gt;0,"BS BREAK","")</f>
        <v/>
      </c>
      <c r="E1" s="1"/>
      <c r="F1" s="2" t="str">
        <f>IF(SUM(BS)&lt;&gt;0,"BS BREAK","")</f>
        <v/>
      </c>
      <c r="G1" s="1"/>
      <c r="H1" s="2" t="str">
        <f>IF(SUM(BS)&lt;&gt;0,"BS BREAK","")</f>
        <v/>
      </c>
      <c r="I1" s="1"/>
      <c r="J1" s="2" t="str">
        <f>IF(SUM(BS)&lt;&gt;0,"BS BREAK","")</f>
        <v/>
      </c>
      <c r="K1" s="1"/>
      <c r="L1" s="2" t="str">
        <f>IF(SUM(BS)&lt;&gt;0,"BS BREAK","")</f>
        <v/>
      </c>
      <c r="M1" s="1"/>
      <c r="N1" s="2" t="str">
        <f>IF(SUM(BS)&lt;&gt;0,"BS BREAK","")</f>
        <v/>
      </c>
      <c r="O1" s="1"/>
      <c r="P1" s="2" t="str">
        <f>IF(SUM(BS)&lt;&gt;0,"BS BREAK","")</f>
        <v/>
      </c>
      <c r="Q1" s="1"/>
      <c r="R1" s="2" t="str">
        <f>IF(SUM(BS)&lt;&gt;0,"BS BREAK","")</f>
        <v/>
      </c>
      <c r="S1" s="1"/>
      <c r="T1" s="2" t="str">
        <f>IF(SUM(BS)&lt;&gt;0,"BS BREAK","")</f>
        <v/>
      </c>
      <c r="U1" s="1"/>
      <c r="V1" s="2" t="str">
        <f>IF(SUM(BS)&lt;&gt;0,"BS BREAK","")</f>
        <v/>
      </c>
      <c r="W1" s="1"/>
      <c r="X1" s="2" t="str">
        <f>IF(SUM(BS)&lt;&gt;0,"BS BREAK","")</f>
        <v/>
      </c>
      <c r="Y1" s="1"/>
      <c r="Z1" s="2" t="str">
        <f>IF(SUM(BS)&lt;&gt;0,"BS BREAK","")</f>
        <v/>
      </c>
      <c r="AA1" s="1"/>
      <c r="AB1" s="2" t="str">
        <f>IF(SUM(BS)&lt;&gt;0,"BS BREAK","")</f>
        <v/>
      </c>
      <c r="AC1" s="1"/>
      <c r="AD1" s="2" t="str">
        <f>IF(SUM(BS)&lt;&gt;0,"BS BREAK","")</f>
        <v/>
      </c>
      <c r="AE1" s="1"/>
      <c r="AF1" s="2" t="str">
        <f>IF(SUM(BS)&lt;&gt;0,"BS BREAK","")</f>
        <v/>
      </c>
      <c r="AG1" s="1"/>
      <c r="AH1" s="2" t="str">
        <f>IF(SUM(BS)&lt;&gt;0,"BS BREAK","")</f>
        <v/>
      </c>
      <c r="AI1" s="1"/>
      <c r="AJ1" s="2" t="str">
        <f>IF(SUM(BS)&lt;&gt;0,"BS BREAK","")</f>
        <v/>
      </c>
      <c r="AK1" s="1"/>
      <c r="AL1" s="2" t="str">
        <f>IF(SUM(BS)&lt;&gt;0,"BS BREAK","")</f>
        <v/>
      </c>
      <c r="AM1" s="1"/>
      <c r="AN1" s="2" t="str">
        <f>IF(SUM(BS)&lt;&gt;0,"BS BREAK","")</f>
        <v/>
      </c>
      <c r="AO1" s="1"/>
      <c r="AP1" s="2"/>
      <c r="AQ1" s="1"/>
      <c r="AR1" s="2"/>
      <c r="AS1" s="1"/>
      <c r="AT1" s="2"/>
      <c r="AU1" s="1"/>
      <c r="AV1" s="2" t="str">
        <f>IF(SUM(BS)&lt;&gt;0,"BS BREAK","")</f>
        <v/>
      </c>
      <c r="AW1" s="1"/>
      <c r="AX1" s="2" t="str">
        <f>IF(SUM(BS)&lt;&gt;0,"BS BREAK","")</f>
        <v/>
      </c>
      <c r="AY1" s="1"/>
      <c r="AZ1" s="2"/>
      <c r="BA1" s="1"/>
      <c r="BB1" s="2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2" t="str">
        <f>IF(SUM(BS)&lt;&gt;0,"BS BREAK","")</f>
        <v/>
      </c>
      <c r="BQ1" s="2" t="str">
        <f>IF(SUM(BS)&lt;&gt;0,"BS BREAK","")</f>
        <v/>
      </c>
      <c r="BR1" s="1"/>
      <c r="BS1" s="1"/>
      <c r="BT1" s="1"/>
      <c r="BU1" s="1" t="str">
        <f>IF(SUM(BS)&lt;&gt;0,"BS BREAK","")</f>
        <v/>
      </c>
      <c r="BV1" s="1"/>
      <c r="BW1" s="1" t="str">
        <f>IF(SUM(BS)&lt;&gt;0,"BS BREAK","")</f>
        <v/>
      </c>
      <c r="BX1" s="1"/>
      <c r="BY1" s="1" t="str">
        <f>IF(SUM(BS)&lt;&gt;0,"BS BREAK","")</f>
        <v/>
      </c>
      <c r="BZ1" s="1"/>
      <c r="CA1" s="1"/>
      <c r="CB1" s="2"/>
      <c r="CC1" s="2"/>
      <c r="CD1" s="2"/>
      <c r="CE1" s="2" t="str">
        <f>IF(SUM(BS)&lt;&gt;0,"BS BREAK","")</f>
        <v/>
      </c>
      <c r="CF1" s="1" t="str">
        <f>IF(SUM(BS)&lt;&gt;0,"BS BREAK","")</f>
        <v/>
      </c>
      <c r="CG1" s="2" t="str">
        <f>IF(SUM(BS)&lt;&gt;0,"BS BREAK","")</f>
        <v/>
      </c>
      <c r="CH1" s="1"/>
      <c r="CI1" s="2" t="str">
        <f>IF(SUM(BS)&lt;&gt;0,"BS BREAK","")</f>
        <v/>
      </c>
      <c r="CJ1" s="1"/>
      <c r="CK1" s="2" t="str">
        <f>IF(SUM(BS)&lt;&gt;0,"BS BREAK","")</f>
        <v/>
      </c>
    </row>
    <row r="2" spans="1:89" ht="18" customHeight="1">
      <c r="A2" s="1"/>
      <c r="B2" s="4" t="s">
        <v>227</v>
      </c>
      <c r="C2" s="4"/>
      <c r="S2" s="1"/>
      <c r="AR2" s="824"/>
      <c r="AS2" s="824"/>
      <c r="AT2" s="824"/>
      <c r="AU2" s="1005"/>
      <c r="AV2" s="1167"/>
      <c r="AW2" s="1167"/>
      <c r="AX2" s="1167"/>
      <c r="AY2" s="1167"/>
      <c r="AZ2" s="1167"/>
      <c r="BA2" s="1167"/>
      <c r="BB2" s="1167"/>
      <c r="BC2" s="1357"/>
      <c r="BD2" s="1167"/>
      <c r="BE2" s="1167"/>
      <c r="BF2" s="1167"/>
      <c r="BG2" s="1167"/>
      <c r="BH2" s="1167"/>
      <c r="BI2" s="1167"/>
      <c r="BJ2" s="1167"/>
      <c r="BK2" s="1167"/>
      <c r="BL2" s="1167"/>
      <c r="BM2" s="1167"/>
      <c r="BN2" s="1167"/>
      <c r="BO2" s="1167"/>
      <c r="BP2" s="1005"/>
    </row>
    <row r="3" spans="1:89" ht="18" customHeight="1">
      <c r="A3" s="1"/>
      <c r="B3" s="4"/>
      <c r="C3" s="4"/>
      <c r="S3" s="1"/>
      <c r="AS3" s="712"/>
      <c r="AV3" s="1104"/>
      <c r="AW3" s="1104"/>
      <c r="AX3" s="712"/>
      <c r="AY3" s="1104"/>
      <c r="AZ3" s="1104"/>
      <c r="BA3" s="1104"/>
      <c r="BB3" s="1104"/>
      <c r="BC3" s="1357"/>
      <c r="BD3" s="1104"/>
      <c r="BE3" s="1104"/>
      <c r="BF3" s="1104"/>
      <c r="BG3" s="1104"/>
      <c r="BH3" s="1104"/>
      <c r="BI3" s="1104"/>
      <c r="BJ3" s="1104"/>
      <c r="BK3" s="1104"/>
      <c r="BL3" s="1104"/>
      <c r="BM3" s="1104"/>
      <c r="BN3" s="1104"/>
      <c r="BO3" s="1104"/>
    </row>
    <row r="4" spans="1:89" ht="18" customHeight="1">
      <c r="A4" s="1"/>
      <c r="B4" s="4"/>
      <c r="C4" s="4"/>
      <c r="S4" s="1"/>
      <c r="AS4" s="1172"/>
      <c r="AT4" s="1172"/>
      <c r="AU4" s="1172"/>
      <c r="AV4" s="1172"/>
      <c r="AW4" s="1172"/>
      <c r="AX4" s="1172"/>
      <c r="AY4" s="1172"/>
      <c r="AZ4" s="1172"/>
      <c r="BA4" s="1172"/>
      <c r="BB4" s="1172"/>
      <c r="BC4" s="1383"/>
      <c r="BD4" s="1383"/>
      <c r="BE4" s="1383"/>
      <c r="BF4" s="1383"/>
      <c r="BG4" s="1172"/>
      <c r="BH4" s="1172"/>
      <c r="BI4" s="1172"/>
      <c r="BJ4" s="1172"/>
      <c r="BK4" s="1172"/>
      <c r="BL4" s="1172"/>
      <c r="BM4" s="1172"/>
      <c r="BN4" s="1172"/>
      <c r="BO4" s="1172"/>
      <c r="BP4" s="1005"/>
      <c r="CC4" s="1174"/>
      <c r="CD4" s="1174"/>
      <c r="CE4" s="1174"/>
      <c r="CF4" s="1174"/>
    </row>
    <row r="5" spans="1:89" ht="14.25" customHeight="1">
      <c r="Q5" s="514"/>
      <c r="AB5" s="376"/>
      <c r="AC5" s="376"/>
      <c r="AD5" s="376"/>
      <c r="AE5" s="376"/>
      <c r="AF5" s="376"/>
      <c r="AG5" s="376"/>
      <c r="AH5" s="376"/>
      <c r="AI5" s="376"/>
      <c r="AJ5" s="376"/>
      <c r="AQ5" s="1103"/>
      <c r="AS5" s="1145"/>
      <c r="AT5" s="1181"/>
      <c r="AU5" s="1145"/>
      <c r="AV5" s="1145"/>
      <c r="AW5" s="1145"/>
      <c r="AX5" s="1145"/>
      <c r="AY5" s="1145"/>
      <c r="AZ5" s="1145"/>
      <c r="BA5" s="416"/>
      <c r="BB5" s="1358"/>
      <c r="BC5" s="1357"/>
      <c r="BD5" s="1357"/>
      <c r="BE5" s="1357"/>
      <c r="BF5" s="1357"/>
      <c r="BG5" s="1145"/>
      <c r="BH5" s="1145"/>
      <c r="BI5" s="1145"/>
      <c r="BJ5" s="1145"/>
      <c r="BK5" s="1145"/>
      <c r="BL5" s="1145"/>
      <c r="BM5" s="1145"/>
      <c r="BN5" s="1145"/>
      <c r="BO5" s="1145"/>
      <c r="BP5" s="1145">
        <f>IS!BP6</f>
        <v>0</v>
      </c>
      <c r="BQ5" s="1145"/>
      <c r="BR5" s="1145"/>
      <c r="BS5" s="1145"/>
      <c r="BT5" s="1145"/>
      <c r="BU5" s="1145"/>
      <c r="BV5" s="1145"/>
      <c r="BW5" s="1145"/>
      <c r="BX5" s="1145"/>
      <c r="BY5" s="1145"/>
      <c r="BZ5" s="1145"/>
      <c r="CA5" s="1145"/>
    </row>
    <row r="6" spans="1:89" ht="14.25" customHeight="1">
      <c r="A6" s="70"/>
      <c r="B6" s="373" t="str">
        <f>IS!$B$6</f>
        <v>Base Case</v>
      </c>
      <c r="C6" s="339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340"/>
      <c r="AC6" s="340"/>
      <c r="AD6" s="340"/>
      <c r="AE6" s="340"/>
      <c r="AF6" s="340"/>
      <c r="AG6" s="340"/>
      <c r="AH6" s="917"/>
      <c r="AI6" s="340"/>
      <c r="AJ6" s="917"/>
      <c r="AK6" s="8"/>
      <c r="AL6" s="8"/>
      <c r="AM6" s="1166"/>
      <c r="AN6" s="365"/>
      <c r="AO6" s="8"/>
      <c r="AP6" s="8"/>
      <c r="AQ6" s="1166"/>
      <c r="AR6" s="365"/>
      <c r="AS6" s="910"/>
      <c r="AT6" s="910"/>
      <c r="AU6" s="1166"/>
      <c r="AV6" s="1166"/>
      <c r="AW6" s="910"/>
      <c r="AX6" s="910"/>
      <c r="AY6" s="1166"/>
      <c r="AZ6" s="910"/>
      <c r="BA6" s="910"/>
      <c r="BB6" s="910"/>
      <c r="BC6" s="910"/>
      <c r="BD6" s="1166"/>
      <c r="BE6" s="910"/>
      <c r="BF6" s="910"/>
      <c r="BG6" s="910"/>
      <c r="BH6" s="1217"/>
      <c r="BI6" s="944"/>
      <c r="BJ6" s="1217"/>
      <c r="BK6" s="1217"/>
      <c r="BL6" s="1446"/>
      <c r="BM6" s="944"/>
      <c r="BN6" s="1446"/>
      <c r="BO6" s="1446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8"/>
      <c r="CB6" s="349"/>
      <c r="CC6" s="349"/>
      <c r="CD6" s="349"/>
      <c r="CE6" s="349"/>
      <c r="CF6" s="349"/>
      <c r="CG6" s="8"/>
      <c r="CH6" s="8"/>
      <c r="CI6" s="8"/>
      <c r="CJ6" s="8"/>
      <c r="CK6" s="8"/>
    </row>
    <row r="7" spans="1:89" ht="14.25" customHeight="1">
      <c r="A7" s="8"/>
      <c r="B7" s="9" t="s">
        <v>229</v>
      </c>
      <c r="C7" s="10"/>
      <c r="D7" s="110" t="str">
        <f>IS!D7</f>
        <v>C4Q04A</v>
      </c>
      <c r="E7" s="108" t="str">
        <f>IS!E7</f>
        <v>C1Q05A</v>
      </c>
      <c r="F7" s="108" t="str">
        <f>IS!F7</f>
        <v>C2Q05A</v>
      </c>
      <c r="G7" s="109" t="str">
        <f>IS!G7</f>
        <v>C3Q05A</v>
      </c>
      <c r="H7" s="110" t="str">
        <f>IS!H7</f>
        <v>C4Q05A</v>
      </c>
      <c r="I7" s="108" t="str">
        <f>IS!I7</f>
        <v>C1Q06A</v>
      </c>
      <c r="J7" s="108" t="str">
        <f>IS!J7</f>
        <v>C2Q06A</v>
      </c>
      <c r="K7" s="109" t="str">
        <f>IS!K7</f>
        <v>C3Q06A</v>
      </c>
      <c r="L7" s="110" t="str">
        <f>IS!L7</f>
        <v>C4Q06A</v>
      </c>
      <c r="M7" s="108" t="str">
        <f>IS!M7</f>
        <v>C1Q07A</v>
      </c>
      <c r="N7" s="108" t="str">
        <f>IS!N7</f>
        <v>C2Q07A</v>
      </c>
      <c r="O7" s="109" t="str">
        <f>IS!O7</f>
        <v>C3Q07A</v>
      </c>
      <c r="P7" s="110" t="str">
        <f>IS!P7</f>
        <v>C4Q07A</v>
      </c>
      <c r="Q7" s="108" t="str">
        <f>IS!Q7</f>
        <v>C1Q08A</v>
      </c>
      <c r="R7" s="108" t="str">
        <f>IS!R7</f>
        <v>C2Q08A</v>
      </c>
      <c r="S7" s="109" t="str">
        <f>IS!S7</f>
        <v>C3Q08A</v>
      </c>
      <c r="T7" s="110" t="str">
        <f>IS!T7</f>
        <v>C4Q08A</v>
      </c>
      <c r="U7" s="108" t="str">
        <f>IS!U7</f>
        <v>C1Q09A</v>
      </c>
      <c r="V7" s="108" t="str">
        <f>IS!V7</f>
        <v>C2Q09A</v>
      </c>
      <c r="W7" s="109" t="str">
        <f>IS!W7</f>
        <v>C3Q09A</v>
      </c>
      <c r="X7" s="110" t="str">
        <f>IS!X7</f>
        <v>C4Q09A</v>
      </c>
      <c r="Y7" s="108" t="str">
        <f>IS!Y7</f>
        <v>C1Q10A</v>
      </c>
      <c r="Z7" s="108" t="str">
        <f>IS!Z7</f>
        <v>C2Q10A</v>
      </c>
      <c r="AA7" s="109" t="str">
        <f>IS!AA7</f>
        <v>C3Q10A</v>
      </c>
      <c r="AB7" s="110" t="str">
        <f>IS!AB7</f>
        <v>C4Q10A</v>
      </c>
      <c r="AC7" s="108" t="str">
        <f>IS!AC7</f>
        <v>C1Q11A</v>
      </c>
      <c r="AD7" s="108" t="str">
        <f>IS!AD7</f>
        <v>C2Q11A</v>
      </c>
      <c r="AE7" s="109" t="str">
        <f>IS!AE7</f>
        <v>C3Q11A</v>
      </c>
      <c r="AF7" s="110" t="str">
        <f>IS!AF7</f>
        <v>C4Q11A</v>
      </c>
      <c r="AG7" s="108" t="str">
        <f>IS!AG7</f>
        <v>C1Q12A</v>
      </c>
      <c r="AH7" s="695" t="str">
        <f>IS!AH7</f>
        <v>C2Q12A</v>
      </c>
      <c r="AI7" s="695" t="str">
        <f>IS!AI7</f>
        <v>C3Q12A</v>
      </c>
      <c r="AJ7" s="697" t="str">
        <f>IS!AJ7</f>
        <v>C4Q12A</v>
      </c>
      <c r="AK7" s="695" t="str">
        <f>IS!AK7</f>
        <v>C1Q13A</v>
      </c>
      <c r="AL7" s="695" t="str">
        <f>IS!AL7</f>
        <v>C2Q13A</v>
      </c>
      <c r="AM7" s="696" t="str">
        <f>IS!AM7</f>
        <v>C3Q13A</v>
      </c>
      <c r="AN7" s="695" t="str">
        <f>IS!AN7</f>
        <v>C4Q13A</v>
      </c>
      <c r="AO7" s="695" t="str">
        <f>IS!AO7</f>
        <v>C1Q14A</v>
      </c>
      <c r="AP7" s="695" t="str">
        <f>IS!AP7</f>
        <v>C2Q14A</v>
      </c>
      <c r="AQ7" s="1147" t="str">
        <f>IS!AQ7</f>
        <v>C3Q14A</v>
      </c>
      <c r="AR7" s="695" t="s">
        <v>508</v>
      </c>
      <c r="AS7" s="695" t="s">
        <v>535</v>
      </c>
      <c r="AT7" s="695" t="s">
        <v>530</v>
      </c>
      <c r="AU7" s="1147" t="s">
        <v>532</v>
      </c>
      <c r="AV7" s="695" t="str">
        <f>IS!AV7</f>
        <v>C4Q15A</v>
      </c>
      <c r="AW7" s="695" t="str">
        <f>IS!AW7</f>
        <v>C1Q16A</v>
      </c>
      <c r="AX7" s="695" t="str">
        <f>IS!AX7</f>
        <v>C2Q16A</v>
      </c>
      <c r="AY7" s="696" t="str">
        <f>IS!AY7</f>
        <v>C3Q16A</v>
      </c>
      <c r="AZ7" s="697" t="str">
        <f>IS!AZ7</f>
        <v>C4Q16P</v>
      </c>
      <c r="BA7" s="695" t="str">
        <f>IS!BA7</f>
        <v>C1Q17A</v>
      </c>
      <c r="BB7" s="695" t="str">
        <f>IS!BB7</f>
        <v>C2Q17A</v>
      </c>
      <c r="BC7" s="696" t="str">
        <f>IS!BC7</f>
        <v>C3Q17A</v>
      </c>
      <c r="BD7" s="695" t="str">
        <f>IS!BD7</f>
        <v>C4Q17A</v>
      </c>
      <c r="BE7" s="695" t="str">
        <f>IS!BE7</f>
        <v>C1Q18E</v>
      </c>
      <c r="BF7" s="695" t="str">
        <f>IS!BF7</f>
        <v>C2Q18E</v>
      </c>
      <c r="BG7" s="696" t="str">
        <f>IS!BG7</f>
        <v>C3Q18E</v>
      </c>
      <c r="BH7" s="695" t="str">
        <f>IS!BH7</f>
        <v>C4Q18E</v>
      </c>
      <c r="BI7" s="695" t="str">
        <f>IS!BI7</f>
        <v>C1Q19E</v>
      </c>
      <c r="BJ7" s="695" t="str">
        <f>IS!BJ7</f>
        <v>C2Q19E</v>
      </c>
      <c r="BK7" s="696" t="str">
        <f>IS!BK7</f>
        <v>C3Q19E</v>
      </c>
      <c r="BL7" s="695" t="str">
        <f>IS!BL7</f>
        <v>C4Q19E</v>
      </c>
      <c r="BM7" s="695" t="str">
        <f>IS!BM7</f>
        <v>C1Q20E</v>
      </c>
      <c r="BN7" s="695" t="str">
        <f>IS!BN7</f>
        <v>C2Q20E</v>
      </c>
      <c r="BO7" s="696" t="str">
        <f>IS!BO7</f>
        <v>C3Q20E</v>
      </c>
      <c r="BP7" s="8"/>
      <c r="BQ7" s="8"/>
      <c r="BR7" s="8"/>
      <c r="BS7" s="8"/>
      <c r="BT7" s="8"/>
      <c r="BU7" s="8"/>
      <c r="BV7" s="8"/>
      <c r="BW7" s="8"/>
      <c r="BX7" s="8"/>
      <c r="BY7" s="8"/>
      <c r="BZ7" s="8"/>
      <c r="CA7" s="8"/>
      <c r="CB7" s="8"/>
      <c r="CC7" s="8"/>
      <c r="CD7" s="8"/>
      <c r="CE7" s="8"/>
      <c r="CF7" s="8"/>
      <c r="CG7" s="8"/>
      <c r="CH7" s="8"/>
      <c r="CI7" s="8"/>
      <c r="CJ7" s="8"/>
      <c r="CK7" s="8"/>
    </row>
    <row r="8" spans="1:89" ht="14.25" customHeight="1">
      <c r="A8" s="8"/>
      <c r="B8" s="12" t="s">
        <v>232</v>
      </c>
      <c r="C8" s="303"/>
      <c r="D8" s="110">
        <f>IS!D8</f>
        <v>38383</v>
      </c>
      <c r="E8" s="108">
        <f>IS!E8</f>
        <v>38472</v>
      </c>
      <c r="F8" s="108">
        <f>IS!F8</f>
        <v>38564</v>
      </c>
      <c r="G8" s="109">
        <f>IS!G8</f>
        <v>38656</v>
      </c>
      <c r="H8" s="110">
        <f>IS!H8</f>
        <v>38748</v>
      </c>
      <c r="I8" s="108">
        <f>IS!I8</f>
        <v>38837</v>
      </c>
      <c r="J8" s="108">
        <f>IS!J8</f>
        <v>38929</v>
      </c>
      <c r="K8" s="109">
        <f>IS!K8</f>
        <v>39021</v>
      </c>
      <c r="L8" s="110">
        <f>IS!L8</f>
        <v>39113</v>
      </c>
      <c r="M8" s="108">
        <f>IS!M8</f>
        <v>39202</v>
      </c>
      <c r="N8" s="108">
        <f>IS!N8</f>
        <v>39294</v>
      </c>
      <c r="O8" s="109">
        <f>IS!O8</f>
        <v>39386</v>
      </c>
      <c r="P8" s="110">
        <f>IS!P8</f>
        <v>39478</v>
      </c>
      <c r="Q8" s="108">
        <f>IS!Q8</f>
        <v>39568</v>
      </c>
      <c r="R8" s="108">
        <f>IS!R8</f>
        <v>39660</v>
      </c>
      <c r="S8" s="109">
        <f>IS!S8</f>
        <v>39752</v>
      </c>
      <c r="T8" s="110">
        <f>IS!T8</f>
        <v>39844</v>
      </c>
      <c r="U8" s="108">
        <f>IS!U8</f>
        <v>39933</v>
      </c>
      <c r="V8" s="108">
        <f>IS!V8</f>
        <v>40025</v>
      </c>
      <c r="W8" s="109">
        <f>IS!W8</f>
        <v>40117</v>
      </c>
      <c r="X8" s="110">
        <f>IS!X8</f>
        <v>40209</v>
      </c>
      <c r="Y8" s="108">
        <f>IS!Y8</f>
        <v>40298</v>
      </c>
      <c r="Z8" s="108">
        <f>IS!Z8</f>
        <v>40390</v>
      </c>
      <c r="AA8" s="109">
        <f>IS!AA8</f>
        <v>40482</v>
      </c>
      <c r="AB8" s="110">
        <f>IS!AB8</f>
        <v>40574</v>
      </c>
      <c r="AC8" s="108">
        <f>IS!AC8</f>
        <v>40663</v>
      </c>
      <c r="AD8" s="108">
        <f>IS!AD8</f>
        <v>40755</v>
      </c>
      <c r="AE8" s="109">
        <f>IS!AE8</f>
        <v>40847</v>
      </c>
      <c r="AF8" s="110">
        <f>IS!AF8</f>
        <v>40939</v>
      </c>
      <c r="AG8" s="108">
        <f>IS!AG8</f>
        <v>41029</v>
      </c>
      <c r="AH8" s="695">
        <f>IS!AH8</f>
        <v>41121</v>
      </c>
      <c r="AI8" s="695">
        <f>IS!AI8</f>
        <v>41213</v>
      </c>
      <c r="AJ8" s="697">
        <f>IS!AJ8</f>
        <v>41305</v>
      </c>
      <c r="AK8" s="695">
        <f>IS!AK8</f>
        <v>41394</v>
      </c>
      <c r="AL8" s="695">
        <f>IS!AL8</f>
        <v>41486</v>
      </c>
      <c r="AM8" s="696">
        <f>IS!AM8</f>
        <v>41578</v>
      </c>
      <c r="AN8" s="695">
        <f>IS!AN8</f>
        <v>41670</v>
      </c>
      <c r="AO8" s="695">
        <f>IS!AO8</f>
        <v>41759</v>
      </c>
      <c r="AP8" s="695">
        <f>IS!AP8</f>
        <v>41851</v>
      </c>
      <c r="AQ8" s="1147">
        <f>IS!AQ8</f>
        <v>41943</v>
      </c>
      <c r="AR8" s="695">
        <f>IS!AR8</f>
        <v>42035</v>
      </c>
      <c r="AS8" s="695">
        <f>IS!AS8</f>
        <v>42124</v>
      </c>
      <c r="AT8" s="695">
        <f>IS!AT8</f>
        <v>42216</v>
      </c>
      <c r="AU8" s="1147">
        <f>IS!AU8</f>
        <v>42308</v>
      </c>
      <c r="AV8" s="695">
        <f>IS!AV8</f>
        <v>42400</v>
      </c>
      <c r="AW8" s="695">
        <f>IS!AW8</f>
        <v>42490</v>
      </c>
      <c r="AX8" s="695">
        <f>IS!AX8</f>
        <v>42582</v>
      </c>
      <c r="AY8" s="696">
        <f>IS!AY8</f>
        <v>42674</v>
      </c>
      <c r="AZ8" s="697">
        <f>IS!AZ8</f>
        <v>42766</v>
      </c>
      <c r="BA8" s="695">
        <f>IS!BA8</f>
        <v>42855</v>
      </c>
      <c r="BB8" s="695">
        <f>IS!BB8</f>
        <v>42947</v>
      </c>
      <c r="BC8" s="696">
        <f>IS!BC8</f>
        <v>43039</v>
      </c>
      <c r="BD8" s="695">
        <f>IS!BD8</f>
        <v>43131</v>
      </c>
      <c r="BE8" s="695">
        <f>IS!BE8</f>
        <v>43220</v>
      </c>
      <c r="BF8" s="695">
        <f>IS!BF8</f>
        <v>43312</v>
      </c>
      <c r="BG8" s="696">
        <f>IS!BG8</f>
        <v>43404</v>
      </c>
      <c r="BH8" s="695">
        <f>IS!BH8</f>
        <v>43496</v>
      </c>
      <c r="BI8" s="695">
        <f>IS!BI8</f>
        <v>43585</v>
      </c>
      <c r="BJ8" s="695">
        <f>IS!BJ8</f>
        <v>43677</v>
      </c>
      <c r="BK8" s="696">
        <f>IS!BK8</f>
        <v>43769</v>
      </c>
      <c r="BL8" s="695">
        <f>IS!BL8</f>
        <v>43861</v>
      </c>
      <c r="BM8" s="695">
        <f>IS!BM8</f>
        <v>43951</v>
      </c>
      <c r="BN8" s="695">
        <f>IS!BN8</f>
        <v>44043</v>
      </c>
      <c r="BO8" s="696">
        <f>IS!BO8</f>
        <v>44135</v>
      </c>
      <c r="BP8" s="25"/>
      <c r="BQ8" s="8"/>
      <c r="BR8" s="8"/>
      <c r="BS8" s="8"/>
      <c r="BT8" s="8"/>
      <c r="BU8" s="8"/>
      <c r="BV8" s="8"/>
      <c r="BW8" s="8"/>
      <c r="BX8" s="8"/>
      <c r="BY8" s="8"/>
      <c r="BZ8" s="8"/>
      <c r="CA8" s="8"/>
      <c r="CB8" s="8"/>
      <c r="CC8" s="8"/>
      <c r="CD8" s="8"/>
      <c r="CE8" s="8"/>
      <c r="CF8" s="8"/>
      <c r="CG8" s="8"/>
      <c r="CH8" s="8"/>
      <c r="CI8" s="8"/>
      <c r="CJ8" s="8"/>
      <c r="CK8" s="8"/>
    </row>
    <row r="9" spans="1:89" ht="14.25" customHeight="1">
      <c r="A9" s="8"/>
      <c r="B9" s="282"/>
      <c r="C9" s="301"/>
      <c r="D9" s="305" t="str">
        <f>IS!D9</f>
        <v>F1Q05A</v>
      </c>
      <c r="E9" s="306" t="str">
        <f>IS!E9</f>
        <v>F2Q05A</v>
      </c>
      <c r="F9" s="306" t="str">
        <f>IS!F9</f>
        <v>F3Q05A</v>
      </c>
      <c r="G9" s="306" t="str">
        <f>IS!G9</f>
        <v>F4Q05A</v>
      </c>
      <c r="H9" s="305" t="str">
        <f>IS!H9</f>
        <v>F1Q06A</v>
      </c>
      <c r="I9" s="306" t="str">
        <f>IS!I9</f>
        <v>F2Q06A</v>
      </c>
      <c r="J9" s="306" t="str">
        <f>IS!J9</f>
        <v>F3Q06A</v>
      </c>
      <c r="K9" s="306" t="str">
        <f>IS!K9</f>
        <v>F4Q06A</v>
      </c>
      <c r="L9" s="305" t="str">
        <f>IS!L9</f>
        <v>F1Q07A</v>
      </c>
      <c r="M9" s="306" t="str">
        <f>IS!M9</f>
        <v>F2Q07A</v>
      </c>
      <c r="N9" s="306" t="str">
        <f>IS!N9</f>
        <v>F3Q07A</v>
      </c>
      <c r="O9" s="306" t="str">
        <f>IS!O9</f>
        <v>F4Q07A</v>
      </c>
      <c r="P9" s="305" t="str">
        <f>IS!P9</f>
        <v>F1Q08A</v>
      </c>
      <c r="Q9" s="306" t="str">
        <f>IS!Q9</f>
        <v>F2Q08A</v>
      </c>
      <c r="R9" s="306" t="str">
        <f>IS!R9</f>
        <v>F3Q08A</v>
      </c>
      <c r="S9" s="306" t="str">
        <f>IS!S9</f>
        <v>F4Q08A</v>
      </c>
      <c r="T9" s="305" t="str">
        <f>IS!T9</f>
        <v>F1Q09A</v>
      </c>
      <c r="U9" s="306" t="str">
        <f>IS!U9</f>
        <v>F2Q09A</v>
      </c>
      <c r="V9" s="306" t="str">
        <f>IS!V9</f>
        <v>F3Q09A</v>
      </c>
      <c r="W9" s="306" t="str">
        <f>IS!W9</f>
        <v>F4Q09A</v>
      </c>
      <c r="X9" s="305" t="str">
        <f>IS!X9</f>
        <v>F1Q10A</v>
      </c>
      <c r="Y9" s="306" t="str">
        <f>IS!Y9</f>
        <v>F2Q10A</v>
      </c>
      <c r="Z9" s="306" t="str">
        <f>IS!Z9</f>
        <v>F3Q10A</v>
      </c>
      <c r="AA9" s="306" t="str">
        <f>IS!AA9</f>
        <v>F4Q10A</v>
      </c>
      <c r="AB9" s="305" t="str">
        <f>IS!AB9</f>
        <v>F1Q11A</v>
      </c>
      <c r="AC9" s="306" t="str">
        <f>IS!AC9</f>
        <v>F2Q11A</v>
      </c>
      <c r="AD9" s="306" t="str">
        <f>IS!AD9</f>
        <v>F3Q11A</v>
      </c>
      <c r="AE9" s="306" t="str">
        <f>IS!AE9</f>
        <v>F4Q11A</v>
      </c>
      <c r="AF9" s="305" t="str">
        <f>IS!AF9</f>
        <v>F1Q12A</v>
      </c>
      <c r="AG9" s="306" t="str">
        <f>IS!AG9</f>
        <v>F2Q12A</v>
      </c>
      <c r="AH9" s="698" t="str">
        <f>IS!AH9</f>
        <v>F3Q12A</v>
      </c>
      <c r="AI9" s="698" t="str">
        <f>IS!AI9</f>
        <v>F4Q12A</v>
      </c>
      <c r="AJ9" s="699" t="str">
        <f>IS!AJ9</f>
        <v>F1Q13A</v>
      </c>
      <c r="AK9" s="698" t="str">
        <f>IS!AK9</f>
        <v>F2Q13A</v>
      </c>
      <c r="AL9" s="698" t="str">
        <f>IS!AL9</f>
        <v>F3Q13A</v>
      </c>
      <c r="AM9" s="700" t="str">
        <f>IS!AM9</f>
        <v>F4Q13A</v>
      </c>
      <c r="AN9" s="698" t="str">
        <f>IS!AN9</f>
        <v>F1Q14A</v>
      </c>
      <c r="AO9" s="698" t="str">
        <f>IS!AO9</f>
        <v>F2Q14A</v>
      </c>
      <c r="AP9" s="698" t="str">
        <f>IS!AP9</f>
        <v>F3Q14A</v>
      </c>
      <c r="AQ9" s="1148" t="str">
        <f>IS!AQ9</f>
        <v>F4Q14A</v>
      </c>
      <c r="AR9" s="698" t="str">
        <f>IS!AR9</f>
        <v>F1Q15A</v>
      </c>
      <c r="AS9" s="698" t="str">
        <f>IS!AS9</f>
        <v>F2Q15A</v>
      </c>
      <c r="AT9" s="698" t="str">
        <f>IS!AT9</f>
        <v>F3Q15A</v>
      </c>
      <c r="AU9" s="1148" t="str">
        <f>IS!AU9</f>
        <v>F4Q15A</v>
      </c>
      <c r="AV9" s="698" t="str">
        <f>IS!AV9</f>
        <v>F1Q16A</v>
      </c>
      <c r="AW9" s="698" t="str">
        <f>IS!AW9</f>
        <v>F2Q16A</v>
      </c>
      <c r="AX9" s="698" t="str">
        <f>IS!AX9</f>
        <v>F3Q16A</v>
      </c>
      <c r="AY9" s="700" t="str">
        <f>IS!AY9</f>
        <v>F4Q16A</v>
      </c>
      <c r="AZ9" s="699" t="str">
        <f>IS!AZ9</f>
        <v>F1Q17A</v>
      </c>
      <c r="BA9" s="698" t="str">
        <f>IS!BA9</f>
        <v>F2Q17A</v>
      </c>
      <c r="BB9" s="698" t="str">
        <f>IS!BB9</f>
        <v>F3Q17A</v>
      </c>
      <c r="BC9" s="700" t="str">
        <f>IS!BC9</f>
        <v>F4Q17A</v>
      </c>
      <c r="BD9" s="698" t="str">
        <f>IS!BD9</f>
        <v>F1Q18A</v>
      </c>
      <c r="BE9" s="698" t="str">
        <f>IS!BE9</f>
        <v>F2Q18E</v>
      </c>
      <c r="BF9" s="698" t="str">
        <f>IS!BF9</f>
        <v>F3Q18E</v>
      </c>
      <c r="BG9" s="700" t="str">
        <f>IS!BG9</f>
        <v>F4Q18E</v>
      </c>
      <c r="BH9" s="698" t="str">
        <f>IS!BH9</f>
        <v>F1Q19E</v>
      </c>
      <c r="BI9" s="698" t="str">
        <f>IS!BI9</f>
        <v>F2Q19E</v>
      </c>
      <c r="BJ9" s="698" t="str">
        <f>IS!BJ9</f>
        <v>F3Q19E</v>
      </c>
      <c r="BK9" s="700" t="str">
        <f>IS!BK9</f>
        <v>F4Q19E</v>
      </c>
      <c r="BL9" s="698" t="str">
        <f>IS!BL9</f>
        <v>F1Q20E</v>
      </c>
      <c r="BM9" s="698" t="str">
        <f>IS!BM9</f>
        <v>F2Q20E</v>
      </c>
      <c r="BN9" s="698" t="str">
        <f>IS!BN9</f>
        <v>F3Q20E</v>
      </c>
      <c r="BO9" s="700" t="str">
        <f>IS!BO9</f>
        <v>F4Q20E</v>
      </c>
      <c r="BP9" s="23"/>
      <c r="BQ9" s="701" t="str">
        <f>IS!BQ9</f>
        <v>FY2005A</v>
      </c>
      <c r="BR9" s="698" t="str">
        <f>IS!BR9</f>
        <v>FY2006A</v>
      </c>
      <c r="BS9" s="698" t="str">
        <f>IS!BS9</f>
        <v>FY2007A</v>
      </c>
      <c r="BT9" s="698" t="str">
        <f>IS!BT9</f>
        <v>FY2008A</v>
      </c>
      <c r="BU9" s="698" t="str">
        <f>IS!BU9</f>
        <v>FY2009A</v>
      </c>
      <c r="BV9" s="698" t="str">
        <f>IS!BV9</f>
        <v>FY2010A</v>
      </c>
      <c r="BW9" s="698" t="str">
        <f>IS!BW9</f>
        <v>FY2011A</v>
      </c>
      <c r="BX9" s="698" t="str">
        <f>IS!BX9</f>
        <v>FY2012A</v>
      </c>
      <c r="BY9" s="698" t="str">
        <f>IS!BY9</f>
        <v>FY2013A</v>
      </c>
      <c r="BZ9" s="698" t="str">
        <f>IS!BZ9</f>
        <v>FY2014A</v>
      </c>
      <c r="CA9" s="698" t="str">
        <f>IS!CA9</f>
        <v>FY2015A</v>
      </c>
      <c r="CB9" s="698" t="str">
        <f>IS!CB9</f>
        <v>FY2016A</v>
      </c>
      <c r="CC9" s="698" t="str">
        <f>IS!CC9</f>
        <v>FY2017A</v>
      </c>
      <c r="CD9" s="698" t="str">
        <f>IS!CD9</f>
        <v>FY2018E</v>
      </c>
      <c r="CE9" s="698" t="str">
        <f>IS!CE9</f>
        <v>FY2019E</v>
      </c>
      <c r="CF9" s="700" t="str">
        <f>IS!CF9</f>
        <v>FY2020E</v>
      </c>
      <c r="CG9" s="25"/>
      <c r="CH9" s="8"/>
      <c r="CI9" s="8"/>
      <c r="CJ9" s="8"/>
      <c r="CK9" s="8"/>
    </row>
    <row r="10" spans="1:89" ht="14.25" customHeight="1">
      <c r="A10" s="8"/>
      <c r="B10" s="350" t="s">
        <v>167</v>
      </c>
      <c r="C10" s="351"/>
      <c r="D10" s="352"/>
      <c r="E10" s="352"/>
      <c r="F10" s="352"/>
      <c r="G10" s="352"/>
      <c r="H10" s="352"/>
      <c r="I10" s="352"/>
      <c r="J10" s="352"/>
      <c r="K10" s="352"/>
      <c r="L10" s="352"/>
      <c r="M10" s="352"/>
      <c r="N10" s="352"/>
      <c r="O10" s="352"/>
      <c r="P10" s="352"/>
      <c r="Q10" s="352"/>
      <c r="R10" s="352"/>
      <c r="S10" s="352"/>
      <c r="T10" s="352"/>
      <c r="U10" s="352"/>
      <c r="V10" s="352"/>
      <c r="W10" s="352"/>
      <c r="X10" s="352"/>
      <c r="Y10" s="352"/>
      <c r="Z10" s="352"/>
      <c r="AA10" s="352"/>
      <c r="AB10" s="352"/>
      <c r="AC10" s="352"/>
      <c r="AD10" s="352"/>
      <c r="AE10" s="352"/>
      <c r="AF10" s="352"/>
      <c r="AG10" s="352"/>
      <c r="AH10" s="352"/>
      <c r="AI10" s="352"/>
      <c r="AJ10" s="815"/>
      <c r="AK10" s="352"/>
      <c r="AL10" s="352"/>
      <c r="AM10" s="353"/>
      <c r="AN10" s="352"/>
      <c r="AO10" s="352"/>
      <c r="AP10" s="352"/>
      <c r="AQ10" s="352"/>
      <c r="AR10" s="352"/>
      <c r="AS10" s="352"/>
      <c r="AT10" s="352"/>
      <c r="AU10" s="352"/>
      <c r="AV10" s="352"/>
      <c r="AW10" s="352"/>
      <c r="AX10" s="352"/>
      <c r="AY10" s="353"/>
      <c r="AZ10" s="815"/>
      <c r="BA10" s="352"/>
      <c r="BB10" s="352"/>
      <c r="BC10" s="353"/>
      <c r="BD10" s="352"/>
      <c r="BE10" s="352"/>
      <c r="BF10" s="352"/>
      <c r="BG10" s="353"/>
      <c r="BH10" s="1225"/>
      <c r="BI10" s="1225"/>
      <c r="BJ10" s="1225"/>
      <c r="BK10" s="1225"/>
      <c r="BL10" s="1225"/>
      <c r="BM10" s="1225"/>
      <c r="BN10" s="1225"/>
      <c r="BO10" s="1225"/>
      <c r="BP10" s="176"/>
      <c r="BQ10" s="476"/>
      <c r="BR10" s="646"/>
      <c r="BS10" s="646"/>
      <c r="BT10" s="646"/>
      <c r="BU10" s="646"/>
      <c r="BV10" s="646"/>
      <c r="BW10" s="646"/>
      <c r="BX10" s="646"/>
      <c r="BY10" s="646"/>
      <c r="BZ10" s="646"/>
      <c r="CA10" s="646"/>
      <c r="CB10" s="646"/>
      <c r="CC10" s="646"/>
      <c r="CD10" s="646"/>
      <c r="CE10" s="646"/>
      <c r="CF10" s="822"/>
      <c r="CG10" s="25"/>
      <c r="CH10" s="8"/>
      <c r="CI10" s="8"/>
      <c r="CJ10" s="8"/>
      <c r="CK10" s="8"/>
    </row>
    <row r="11" spans="1:89" ht="14.25" customHeight="1">
      <c r="A11" s="634"/>
      <c r="B11" s="836" t="s">
        <v>285</v>
      </c>
      <c r="C11" s="837"/>
      <c r="D11" s="838"/>
      <c r="E11" s="838"/>
      <c r="F11" s="838"/>
      <c r="G11" s="838"/>
      <c r="H11" s="838"/>
      <c r="I11" s="838"/>
      <c r="J11" s="838"/>
      <c r="K11" s="838"/>
      <c r="L11" s="838"/>
      <c r="M11" s="838"/>
      <c r="N11" s="838"/>
      <c r="O11" s="838"/>
      <c r="P11" s="838"/>
      <c r="Q11" s="838"/>
      <c r="R11" s="838"/>
      <c r="S11" s="838"/>
      <c r="T11" s="838"/>
      <c r="U11" s="838"/>
      <c r="V11" s="838"/>
      <c r="W11" s="838"/>
      <c r="X11" s="838"/>
      <c r="Y11" s="838"/>
      <c r="Z11" s="838"/>
      <c r="AA11" s="838"/>
      <c r="AB11" s="838"/>
      <c r="AC11" s="838"/>
      <c r="AD11" s="838"/>
      <c r="AE11" s="838"/>
      <c r="AF11" s="838"/>
      <c r="AG11" s="838"/>
      <c r="AH11" s="838"/>
      <c r="AI11" s="838"/>
      <c r="AJ11" s="839"/>
      <c r="AK11" s="838"/>
      <c r="AL11" s="838"/>
      <c r="AM11" s="840"/>
      <c r="AN11" s="1035"/>
      <c r="AO11" s="1035"/>
      <c r="AP11" s="1035"/>
      <c r="AQ11" s="1035"/>
      <c r="AR11" s="1035"/>
      <c r="AS11" s="838"/>
      <c r="AT11" s="838"/>
      <c r="AU11" s="1035"/>
      <c r="AV11" s="838"/>
      <c r="AW11" s="838"/>
      <c r="AX11" s="838"/>
      <c r="AY11" s="840"/>
      <c r="AZ11" s="839"/>
      <c r="BA11" s="838"/>
      <c r="BB11" s="838"/>
      <c r="BC11" s="840"/>
      <c r="BD11" s="1405"/>
      <c r="BE11" s="1405"/>
      <c r="BF11" s="1405"/>
      <c r="BG11" s="840"/>
      <c r="BH11" s="1226"/>
      <c r="BI11" s="1226"/>
      <c r="BJ11" s="1226"/>
      <c r="BK11" s="1226"/>
      <c r="BL11" s="1226"/>
      <c r="BM11" s="1226"/>
      <c r="BN11" s="1226"/>
      <c r="BO11" s="1226"/>
      <c r="BP11" s="23"/>
      <c r="BQ11" s="841"/>
      <c r="BR11" s="842"/>
      <c r="BS11" s="842"/>
      <c r="BT11" s="842"/>
      <c r="BU11" s="842"/>
      <c r="BV11" s="842"/>
      <c r="BW11" s="842"/>
      <c r="BX11" s="842"/>
      <c r="BY11" s="842"/>
      <c r="BZ11" s="842"/>
      <c r="CA11" s="842"/>
      <c r="CB11" s="842"/>
      <c r="CC11" s="842"/>
      <c r="CD11" s="842"/>
      <c r="CE11" s="842"/>
      <c r="CF11" s="843"/>
      <c r="CG11" s="1031"/>
    </row>
    <row r="12" spans="1:89" ht="14.25" customHeight="1">
      <c r="A12" s="634"/>
      <c r="B12" s="51" t="s">
        <v>258</v>
      </c>
      <c r="C12" s="341"/>
      <c r="D12" s="477"/>
      <c r="E12" s="416"/>
      <c r="F12" s="416"/>
      <c r="G12" s="415"/>
      <c r="H12" s="477">
        <f>H$240</f>
        <v>251.95699999999999</v>
      </c>
      <c r="I12" s="416">
        <f t="shared" ref="I12:BD12" si="0">I$240</f>
        <v>273.065</v>
      </c>
      <c r="J12" s="416">
        <f t="shared" si="0"/>
        <v>285.334</v>
      </c>
      <c r="K12" s="417">
        <f t="shared" si="0"/>
        <v>307.24600000000009</v>
      </c>
      <c r="L12" s="477">
        <f t="shared" si="0"/>
        <v>298.452</v>
      </c>
      <c r="M12" s="416">
        <f t="shared" si="0"/>
        <v>297.21100000000001</v>
      </c>
      <c r="N12" s="416">
        <f t="shared" si="0"/>
        <v>298.04899999999998</v>
      </c>
      <c r="O12" s="417">
        <f t="shared" si="0"/>
        <v>429.54</v>
      </c>
      <c r="P12" s="477">
        <f t="shared" si="0"/>
        <v>331.06099999999998</v>
      </c>
      <c r="Q12" s="416">
        <f t="shared" si="0"/>
        <v>355.90800000000002</v>
      </c>
      <c r="R12" s="416">
        <f t="shared" si="0"/>
        <v>356.28</v>
      </c>
      <c r="S12" s="417">
        <f t="shared" si="0"/>
        <v>100.08400000000006</v>
      </c>
      <c r="T12" s="477">
        <f t="shared" si="0"/>
        <v>218.66200000000001</v>
      </c>
      <c r="U12" s="416">
        <f t="shared" si="0"/>
        <v>205.17599999999999</v>
      </c>
      <c r="V12" s="416">
        <f t="shared" si="0"/>
        <v>201.9</v>
      </c>
      <c r="W12" s="417">
        <f t="shared" si="0"/>
        <v>232.2120000000001</v>
      </c>
      <c r="X12" s="477">
        <f t="shared" si="0"/>
        <v>264.7</v>
      </c>
      <c r="Y12" s="416">
        <f t="shared" si="0"/>
        <v>319</v>
      </c>
      <c r="Z12" s="416">
        <f t="shared" si="0"/>
        <v>342.9</v>
      </c>
      <c r="AA12" s="417">
        <f t="shared" si="0"/>
        <v>350.09999999999997</v>
      </c>
      <c r="AB12" s="477">
        <f t="shared" si="0"/>
        <v>339</v>
      </c>
      <c r="AC12" s="416">
        <f t="shared" si="0"/>
        <v>386.2</v>
      </c>
      <c r="AD12" s="416">
        <f t="shared" si="0"/>
        <v>366.5</v>
      </c>
      <c r="AE12" s="417">
        <f t="shared" si="0"/>
        <v>314.20000000000005</v>
      </c>
      <c r="AF12" s="477">
        <f t="shared" si="0"/>
        <v>289.5</v>
      </c>
      <c r="AG12" s="416">
        <f t="shared" si="0"/>
        <v>323.39999999999998</v>
      </c>
      <c r="AH12" s="416">
        <f>AH$240</f>
        <v>322.29500000000002</v>
      </c>
      <c r="AI12" s="416">
        <f t="shared" si="0"/>
        <v>304.69299999999998</v>
      </c>
      <c r="AJ12" s="1033">
        <f t="shared" si="0"/>
        <v>282.654</v>
      </c>
      <c r="AK12" s="562">
        <f t="shared" si="0"/>
        <v>312.07100000000003</v>
      </c>
      <c r="AL12" s="562">
        <f t="shared" si="0"/>
        <v>314.19600000000003</v>
      </c>
      <c r="AM12" s="645">
        <f t="shared" si="0"/>
        <v>312.98399999999998</v>
      </c>
      <c r="AN12" s="1033">
        <f t="shared" si="0"/>
        <v>290.36500000000001</v>
      </c>
      <c r="AO12" s="562">
        <f t="shared" si="0"/>
        <v>326.52999999999997</v>
      </c>
      <c r="AP12" s="562">
        <f t="shared" si="0"/>
        <v>350.57799999999997</v>
      </c>
      <c r="AQ12" s="645">
        <f>AQ$240</f>
        <v>369.24099999999999</v>
      </c>
      <c r="AR12" s="1033">
        <f t="shared" si="0"/>
        <v>349.76600000000002</v>
      </c>
      <c r="AS12" s="562">
        <f t="shared" si="0"/>
        <v>390.71199999999999</v>
      </c>
      <c r="AT12" s="562">
        <f t="shared" si="0"/>
        <v>384.18700000000001</v>
      </c>
      <c r="AU12" s="645">
        <f>AU$240</f>
        <v>369.387</v>
      </c>
      <c r="AV12" s="562">
        <f t="shared" si="0"/>
        <v>349.13400000000001</v>
      </c>
      <c r="AW12" s="562">
        <f t="shared" si="0"/>
        <v>385.28699999999998</v>
      </c>
      <c r="AX12" s="562">
        <f t="shared" si="0"/>
        <v>374.73500000000001</v>
      </c>
      <c r="AY12" s="645">
        <f>AY$240</f>
        <v>396.351</v>
      </c>
      <c r="AZ12" s="562">
        <f t="shared" si="0"/>
        <v>401.48099999999999</v>
      </c>
      <c r="BA12" s="416">
        <f t="shared" si="0"/>
        <v>462.91300000000001</v>
      </c>
      <c r="BB12" s="416">
        <f t="shared" si="0"/>
        <v>700.21299999999997</v>
      </c>
      <c r="BC12" s="562">
        <f t="shared" si="0"/>
        <v>720.25800000000004</v>
      </c>
      <c r="BD12" s="1033">
        <f t="shared" si="0"/>
        <v>743.62300000000005</v>
      </c>
      <c r="BE12" s="416">
        <f t="shared" ref="BE12" si="1">BD12*(1+BE13)</f>
        <v>747.34111499999995</v>
      </c>
      <c r="BF12" s="416">
        <f t="shared" ref="BF12" si="2">BE12*(1+BF13)</f>
        <v>766.02464287499993</v>
      </c>
      <c r="BG12" s="417">
        <f t="shared" ref="BG12" si="3">BF12*(1+BG13)</f>
        <v>773.68488930374997</v>
      </c>
      <c r="BH12" s="416">
        <f t="shared" ref="BH12" si="4">BG12*(1+BH13)</f>
        <v>735.00064483856238</v>
      </c>
      <c r="BI12" s="416">
        <f t="shared" ref="BI12" si="5">BH12*(1+BI13)</f>
        <v>801.15070287403307</v>
      </c>
      <c r="BJ12" s="416">
        <f t="shared" ref="BJ12" si="6">BI12*(1+BJ13)</f>
        <v>829.19097747462422</v>
      </c>
      <c r="BK12" s="417">
        <f t="shared" ref="BK12" si="7">BJ12*(1+BK13)</f>
        <v>837.48288724937049</v>
      </c>
      <c r="BL12" s="416">
        <f t="shared" ref="BL12" si="8">BK12*(1+BL13)</f>
        <v>795.60874288690195</v>
      </c>
      <c r="BM12" s="416">
        <f t="shared" ref="BM12" si="9">BL12*(1+BM13)</f>
        <v>859.25744231785416</v>
      </c>
      <c r="BN12" s="416">
        <f t="shared" ref="BN12" si="10">BM12*(1+BN13)</f>
        <v>885.03516558738977</v>
      </c>
      <c r="BO12" s="417">
        <f t="shared" ref="BO12" si="11">BN12*(1+BO13)</f>
        <v>885.03516558738977</v>
      </c>
      <c r="BP12" s="1470"/>
      <c r="BQ12" s="410">
        <f>SUM(D12:G12)</f>
        <v>0</v>
      </c>
      <c r="BR12" s="404">
        <f>SUM(H12:K12)</f>
        <v>1117.6020000000001</v>
      </c>
      <c r="BS12" s="404">
        <f>SUM(L12:O12)</f>
        <v>1323.252</v>
      </c>
      <c r="BT12" s="404">
        <f>SUM(P12:S12)</f>
        <v>1143.3330000000001</v>
      </c>
      <c r="BU12" s="404">
        <f>SUM(T12:W12)</f>
        <v>857.95</v>
      </c>
      <c r="BV12" s="404">
        <f>SUM(X12:AA12)</f>
        <v>1276.7</v>
      </c>
      <c r="BW12" s="404">
        <f>SUM(AB12:AE12)</f>
        <v>1405.9</v>
      </c>
      <c r="BX12" s="404">
        <f>SUM(AF12:AI12)</f>
        <v>1239.8879999999999</v>
      </c>
      <c r="BY12" s="404">
        <f>SUM(AJ12:AM12)</f>
        <v>1221.905</v>
      </c>
      <c r="BZ12" s="404">
        <f>SUM(AN12:AQ12)</f>
        <v>1336.7139999999999</v>
      </c>
      <c r="CA12" s="404">
        <f>SUM(AR12:AU12)</f>
        <v>1494.0519999999999</v>
      </c>
      <c r="CB12" s="404">
        <f>SUM(AV12:AY12)</f>
        <v>1505.5070000000001</v>
      </c>
      <c r="CC12" s="404">
        <f>SUM(AZ12:BC12)</f>
        <v>2284.8649999999998</v>
      </c>
      <c r="CD12" s="404">
        <f>SUM(BD12:BG12)</f>
        <v>3030.6736471787499</v>
      </c>
      <c r="CE12" s="404">
        <f>SUM(BH12:BK12)</f>
        <v>3202.8252124365899</v>
      </c>
      <c r="CF12" s="405">
        <f>SUM(BK12:BN12)</f>
        <v>3377.3842380415163</v>
      </c>
      <c r="CG12" s="1031"/>
    </row>
    <row r="13" spans="1:89" ht="14.25" customHeight="1">
      <c r="A13" s="634"/>
      <c r="B13" s="38" t="s">
        <v>152</v>
      </c>
      <c r="C13" s="261"/>
      <c r="D13" s="153"/>
      <c r="E13" s="94"/>
      <c r="F13" s="94"/>
      <c r="G13" s="95"/>
      <c r="H13" s="153"/>
      <c r="I13" s="94">
        <f t="shared" ref="I13:BD13" si="12">I12/H12-1</f>
        <v>8.3776199907126925E-2</v>
      </c>
      <c r="J13" s="94">
        <f t="shared" si="12"/>
        <v>4.4930694157068851E-2</v>
      </c>
      <c r="K13" s="95">
        <f t="shared" si="12"/>
        <v>7.6794213097633346E-2</v>
      </c>
      <c r="L13" s="153">
        <f t="shared" si="12"/>
        <v>-2.862201623454852E-2</v>
      </c>
      <c r="M13" s="94">
        <f t="shared" si="12"/>
        <v>-4.1581225791751386E-3</v>
      </c>
      <c r="N13" s="94">
        <f t="shared" si="12"/>
        <v>2.8195457099500221E-3</v>
      </c>
      <c r="O13" s="95">
        <f t="shared" si="12"/>
        <v>0.44117242466842721</v>
      </c>
      <c r="P13" s="153">
        <f t="shared" si="12"/>
        <v>-0.22926619174000107</v>
      </c>
      <c r="Q13" s="94">
        <f t="shared" si="12"/>
        <v>7.505263380464644E-2</v>
      </c>
      <c r="R13" s="94">
        <f t="shared" si="12"/>
        <v>1.0452139316901032E-3</v>
      </c>
      <c r="S13" s="95">
        <f t="shared" si="12"/>
        <v>-0.7190861120467047</v>
      </c>
      <c r="T13" s="153">
        <f t="shared" si="12"/>
        <v>1.1847847807841401</v>
      </c>
      <c r="U13" s="94">
        <f t="shared" si="12"/>
        <v>-6.1675096724625345E-2</v>
      </c>
      <c r="V13" s="94">
        <f t="shared" si="12"/>
        <v>-1.5966779740320458E-2</v>
      </c>
      <c r="W13" s="95">
        <f t="shared" si="12"/>
        <v>0.1501337295690941</v>
      </c>
      <c r="X13" s="153">
        <f t="shared" si="12"/>
        <v>0.13990663703856776</v>
      </c>
      <c r="Y13" s="94">
        <f t="shared" si="12"/>
        <v>0.20513789195315457</v>
      </c>
      <c r="Z13" s="94">
        <f t="shared" si="12"/>
        <v>7.4921630094043845E-2</v>
      </c>
      <c r="AA13" s="95">
        <f t="shared" si="12"/>
        <v>2.0997375328083878E-2</v>
      </c>
      <c r="AB13" s="153">
        <f t="shared" si="12"/>
        <v>-3.1705227077977627E-2</v>
      </c>
      <c r="AC13" s="94">
        <f t="shared" si="12"/>
        <v>0.13923303834808265</v>
      </c>
      <c r="AD13" s="94">
        <f t="shared" si="12"/>
        <v>-5.1009839461418904E-2</v>
      </c>
      <c r="AE13" s="95">
        <f t="shared" si="12"/>
        <v>-0.14270122783083206</v>
      </c>
      <c r="AF13" s="153">
        <f t="shared" si="12"/>
        <v>-7.8612348822406197E-2</v>
      </c>
      <c r="AG13" s="94">
        <f t="shared" si="12"/>
        <v>0.11709844559585481</v>
      </c>
      <c r="AH13" s="94">
        <f t="shared" si="12"/>
        <v>-3.4168212739640325E-3</v>
      </c>
      <c r="AI13" s="94">
        <f t="shared" si="12"/>
        <v>-5.4614561193937372E-2</v>
      </c>
      <c r="AJ13" s="153">
        <f t="shared" si="12"/>
        <v>-7.2331822522998523E-2</v>
      </c>
      <c r="AK13" s="94">
        <f t="shared" si="12"/>
        <v>0.10407423917581227</v>
      </c>
      <c r="AL13" s="94">
        <f t="shared" si="12"/>
        <v>6.8093478727597745E-3</v>
      </c>
      <c r="AM13" s="95">
        <f t="shared" si="12"/>
        <v>-3.8574647672154905E-3</v>
      </c>
      <c r="AN13" s="153">
        <f t="shared" si="12"/>
        <v>-7.2268869974183914E-2</v>
      </c>
      <c r="AO13" s="94">
        <f t="shared" si="12"/>
        <v>0.12455013517469382</v>
      </c>
      <c r="AP13" s="94">
        <f t="shared" si="12"/>
        <v>7.3647138088383857E-2</v>
      </c>
      <c r="AQ13" s="95">
        <f t="shared" si="12"/>
        <v>5.3234943436268223E-2</v>
      </c>
      <c r="AR13" s="153">
        <f t="shared" si="12"/>
        <v>-5.2743330236891262E-2</v>
      </c>
      <c r="AS13" s="94">
        <f t="shared" si="12"/>
        <v>0.11706683897234149</v>
      </c>
      <c r="AT13" s="94">
        <f t="shared" si="12"/>
        <v>-1.6700280513524013E-2</v>
      </c>
      <c r="AU13" s="95">
        <f t="shared" si="12"/>
        <v>-3.8522906813609037E-2</v>
      </c>
      <c r="AV13" s="94">
        <f t="shared" si="12"/>
        <v>-5.482867561662963E-2</v>
      </c>
      <c r="AW13" s="94">
        <f t="shared" si="12"/>
        <v>0.1035504992352505</v>
      </c>
      <c r="AX13" s="94">
        <f t="shared" si="12"/>
        <v>-2.738737616374276E-2</v>
      </c>
      <c r="AY13" s="95">
        <f t="shared" si="12"/>
        <v>5.7683429623600624E-2</v>
      </c>
      <c r="AZ13" s="1211">
        <f t="shared" si="12"/>
        <v>1.2943073185131437E-2</v>
      </c>
      <c r="BA13" s="1321">
        <f t="shared" si="12"/>
        <v>0.15301346763607748</v>
      </c>
      <c r="BB13" s="1321">
        <f t="shared" si="12"/>
        <v>0.51262332230894336</v>
      </c>
      <c r="BC13" s="1389">
        <f t="shared" si="12"/>
        <v>2.8627003497507353E-2</v>
      </c>
      <c r="BD13" s="1323">
        <f t="shared" si="12"/>
        <v>3.2439764639892843E-2</v>
      </c>
      <c r="BE13" s="1380">
        <v>5.0000000000000001E-3</v>
      </c>
      <c r="BF13" s="1380">
        <v>2.5000000000000001E-2</v>
      </c>
      <c r="BG13" s="1381">
        <v>0.01</v>
      </c>
      <c r="BH13" s="1380">
        <v>-0.05</v>
      </c>
      <c r="BI13" s="1380">
        <v>0.09</v>
      </c>
      <c r="BJ13" s="1380">
        <v>3.5000000000000003E-2</v>
      </c>
      <c r="BK13" s="1381">
        <v>0.01</v>
      </c>
      <c r="BL13" s="1380">
        <v>-0.05</v>
      </c>
      <c r="BM13" s="1380">
        <v>0.08</v>
      </c>
      <c r="BN13" s="1380">
        <v>0.03</v>
      </c>
      <c r="BO13" s="1381">
        <v>0</v>
      </c>
      <c r="BP13" s="23"/>
      <c r="BQ13" s="262"/>
      <c r="BR13" s="263"/>
      <c r="BS13" s="263"/>
      <c r="BT13" s="263"/>
      <c r="BU13" s="1425"/>
      <c r="BV13" s="1425"/>
      <c r="BW13" s="1425"/>
      <c r="BX13" s="1425"/>
      <c r="BY13" s="1425"/>
      <c r="BZ13" s="1425"/>
      <c r="CA13" s="1425"/>
      <c r="CB13" s="263"/>
      <c r="CC13" s="263"/>
      <c r="CD13" s="263"/>
      <c r="CE13" s="1425"/>
      <c r="CF13" s="1426"/>
      <c r="CG13" s="1031"/>
    </row>
    <row r="14" spans="1:89" ht="14.25" customHeight="1">
      <c r="A14" s="634"/>
      <c r="B14" s="38" t="s">
        <v>313</v>
      </c>
      <c r="C14" s="261"/>
      <c r="D14" s="153"/>
      <c r="E14" s="94"/>
      <c r="F14" s="94"/>
      <c r="G14" s="95"/>
      <c r="H14" s="153"/>
      <c r="I14" s="94"/>
      <c r="J14" s="94"/>
      <c r="K14" s="95"/>
      <c r="L14" s="153"/>
      <c r="M14" s="94"/>
      <c r="N14" s="94"/>
      <c r="O14" s="95"/>
      <c r="P14" s="153"/>
      <c r="Q14" s="94"/>
      <c r="R14" s="94"/>
      <c r="S14" s="95"/>
      <c r="T14" s="153"/>
      <c r="U14" s="94"/>
      <c r="V14" s="94"/>
      <c r="W14" s="95"/>
      <c r="X14" s="153"/>
      <c r="Y14" s="94"/>
      <c r="Z14" s="94"/>
      <c r="AA14" s="95"/>
      <c r="AB14" s="153"/>
      <c r="AC14" s="94" t="s">
        <v>316</v>
      </c>
      <c r="AD14" s="94"/>
      <c r="AE14" s="95"/>
      <c r="AF14" s="94"/>
      <c r="AG14" s="263">
        <f t="shared" ref="AG14:BD14" si="13">AVERAGE(AC13,Y13,U13,U13,Q13,M13,I13)</f>
        <v>5.3670206854940679E-2</v>
      </c>
      <c r="AH14" s="263">
        <f t="shared" si="13"/>
        <v>5.8248121358132855E-3</v>
      </c>
      <c r="AI14" s="94">
        <f t="shared" si="13"/>
        <v>-3.2222668064577314E-3</v>
      </c>
      <c r="AJ14" s="153">
        <f t="shared" si="13"/>
        <v>0.15662746728376317</v>
      </c>
      <c r="AK14" s="94">
        <f t="shared" si="13"/>
        <v>9.6546668907298933E-2</v>
      </c>
      <c r="AL14" s="263">
        <f t="shared" si="13"/>
        <v>1.1902082764860631E-2</v>
      </c>
      <c r="AM14" s="95">
        <f t="shared" si="13"/>
        <v>-4.0442999453969293E-2</v>
      </c>
      <c r="AN14" s="153">
        <f t="shared" si="13"/>
        <v>0.12586722865447811</v>
      </c>
      <c r="AO14" s="94">
        <f t="shared" si="13"/>
        <v>0.1025934557858583</v>
      </c>
      <c r="AP14" s="263">
        <f t="shared" si="13"/>
        <v>-5.5181554340897965E-3</v>
      </c>
      <c r="AQ14" s="95">
        <f t="shared" si="13"/>
        <v>-0.12740421268176338</v>
      </c>
      <c r="AR14" s="153">
        <f t="shared" si="13"/>
        <v>0.14159440008610505</v>
      </c>
      <c r="AS14" s="94">
        <f t="shared" si="13"/>
        <v>0.10650244273126108</v>
      </c>
      <c r="AT14" s="263">
        <f t="shared" si="13"/>
        <v>1.1652550615074293E-2</v>
      </c>
      <c r="AU14" s="95">
        <f t="shared" si="13"/>
        <v>-4.4888238074965846E-3</v>
      </c>
      <c r="AV14" s="263">
        <f t="shared" si="13"/>
        <v>-3.4298112016984038E-2</v>
      </c>
      <c r="AW14" s="263">
        <f t="shared" si="13"/>
        <v>0.13017640405653599</v>
      </c>
      <c r="AX14" s="263">
        <f t="shared" si="13"/>
        <v>1.3008646097005758E-2</v>
      </c>
      <c r="AY14" s="95">
        <f t="shared" si="13"/>
        <v>-2.4188758086922477E-2</v>
      </c>
      <c r="AZ14" s="263">
        <f t="shared" si="13"/>
        <v>-6.2108449175038723E-2</v>
      </c>
      <c r="BA14" s="1321">
        <f t="shared" si="13"/>
        <v>0.11858904738238991</v>
      </c>
      <c r="BB14" s="1321">
        <f t="shared" si="13"/>
        <v>7.941329519553968E-3</v>
      </c>
      <c r="BC14" s="1389">
        <f t="shared" si="13"/>
        <v>-1.0791834872779555E-2</v>
      </c>
      <c r="BD14" s="1323">
        <f t="shared" si="13"/>
        <v>-5.2940757746409904E-2</v>
      </c>
      <c r="BE14" s="94">
        <f t="shared" ref="BE14:BG14" si="14">BA14</f>
        <v>0.11858904738238991</v>
      </c>
      <c r="BF14" s="94">
        <f t="shared" si="14"/>
        <v>7.941329519553968E-3</v>
      </c>
      <c r="BG14" s="95">
        <f t="shared" si="14"/>
        <v>-1.0791834872779555E-2</v>
      </c>
      <c r="BH14" s="1211">
        <f t="shared" ref="BH14" si="15">BD14</f>
        <v>-5.2940757746409904E-2</v>
      </c>
      <c r="BI14" s="1211">
        <f t="shared" ref="BI14" si="16">BE14</f>
        <v>0.11858904738238991</v>
      </c>
      <c r="BJ14" s="1211">
        <f t="shared" ref="BJ14" si="17">BF14</f>
        <v>7.941329519553968E-3</v>
      </c>
      <c r="BK14" s="1212">
        <f t="shared" ref="BK14" si="18">BG14</f>
        <v>-1.0791834872779555E-2</v>
      </c>
      <c r="BL14" s="1389">
        <f t="shared" ref="BL14" si="19">BH14</f>
        <v>-5.2940757746409904E-2</v>
      </c>
      <c r="BM14" s="1389">
        <f t="shared" ref="BM14" si="20">BI14</f>
        <v>0.11858904738238991</v>
      </c>
      <c r="BN14" s="1389">
        <f t="shared" ref="BN14" si="21">BJ14</f>
        <v>7.941329519553968E-3</v>
      </c>
      <c r="BO14" s="1322">
        <f t="shared" ref="BO14" si="22">BK14</f>
        <v>-1.0791834872779555E-2</v>
      </c>
      <c r="BP14" s="23"/>
      <c r="BQ14" s="262"/>
      <c r="BR14" s="263"/>
      <c r="BS14" s="263"/>
      <c r="BT14" s="263"/>
      <c r="BU14" s="1425"/>
      <c r="BV14" s="1425"/>
      <c r="BW14" s="1425"/>
      <c r="BX14" s="1425"/>
      <c r="BY14" s="1425"/>
      <c r="BZ14" s="1425"/>
      <c r="CA14" s="1425"/>
      <c r="CB14" s="263"/>
      <c r="CC14" s="263"/>
      <c r="CD14" s="263"/>
      <c r="CE14" s="1425"/>
      <c r="CF14" s="1426"/>
      <c r="CG14" s="1031"/>
    </row>
    <row r="15" spans="1:89" ht="14.25" customHeight="1">
      <c r="A15" s="634"/>
      <c r="B15" s="38" t="s">
        <v>153</v>
      </c>
      <c r="C15" s="39"/>
      <c r="D15" s="153"/>
      <c r="E15" s="94"/>
      <c r="F15" s="94"/>
      <c r="G15" s="95"/>
      <c r="H15" s="153"/>
      <c r="I15" s="94"/>
      <c r="J15" s="94"/>
      <c r="K15" s="95"/>
      <c r="L15" s="153">
        <f t="shared" ref="L15:BD15" si="23">L12/H12-1</f>
        <v>0.18453545644693348</v>
      </c>
      <c r="M15" s="94">
        <f t="shared" si="23"/>
        <v>8.8425832677201388E-2</v>
      </c>
      <c r="N15" s="94">
        <f t="shared" si="23"/>
        <v>4.4561811771467674E-2</v>
      </c>
      <c r="O15" s="95">
        <f t="shared" si="23"/>
        <v>0.3980328466440568</v>
      </c>
      <c r="P15" s="153">
        <f t="shared" si="23"/>
        <v>0.10926045059171985</v>
      </c>
      <c r="Q15" s="94">
        <f t="shared" si="23"/>
        <v>0.19749269037821615</v>
      </c>
      <c r="R15" s="94">
        <f t="shared" si="23"/>
        <v>0.19537391502739476</v>
      </c>
      <c r="S15" s="95">
        <f t="shared" si="23"/>
        <v>-0.76699725287516862</v>
      </c>
      <c r="T15" s="153">
        <f t="shared" si="23"/>
        <v>-0.33951144955159318</v>
      </c>
      <c r="U15" s="94">
        <f t="shared" si="23"/>
        <v>-0.42351394180518565</v>
      </c>
      <c r="V15" s="94">
        <f t="shared" si="23"/>
        <v>-0.43331087908386656</v>
      </c>
      <c r="W15" s="95">
        <f t="shared" si="23"/>
        <v>1.3201710563126969</v>
      </c>
      <c r="X15" s="153">
        <f t="shared" si="23"/>
        <v>0.21054412746613482</v>
      </c>
      <c r="Y15" s="94">
        <f t="shared" si="23"/>
        <v>0.55476274028151451</v>
      </c>
      <c r="Z15" s="94">
        <f t="shared" si="23"/>
        <v>0.69836552748885561</v>
      </c>
      <c r="AA15" s="95">
        <f t="shared" si="23"/>
        <v>0.5076740220143654</v>
      </c>
      <c r="AB15" s="153">
        <f t="shared" si="23"/>
        <v>0.28069512655836792</v>
      </c>
      <c r="AC15" s="94">
        <f t="shared" si="23"/>
        <v>0.2106583072100312</v>
      </c>
      <c r="AD15" s="94">
        <f t="shared" si="23"/>
        <v>6.8824730242053045E-2</v>
      </c>
      <c r="AE15" s="95">
        <f t="shared" si="23"/>
        <v>-0.1025421308197656</v>
      </c>
      <c r="AF15" s="263">
        <f t="shared" si="23"/>
        <v>-0.14601769911504425</v>
      </c>
      <c r="AG15" s="263">
        <f t="shared" si="23"/>
        <v>-0.16261004660797518</v>
      </c>
      <c r="AH15" s="94">
        <f t="shared" si="23"/>
        <v>-0.12061391541609823</v>
      </c>
      <c r="AI15" s="94">
        <f t="shared" si="23"/>
        <v>-3.0257797581158652E-2</v>
      </c>
      <c r="AJ15" s="153">
        <f t="shared" si="23"/>
        <v>-2.3647668393782406E-2</v>
      </c>
      <c r="AK15" s="94">
        <f t="shared" si="23"/>
        <v>-3.5030921459492714E-2</v>
      </c>
      <c r="AL15" s="94">
        <f t="shared" si="23"/>
        <v>-2.5129151863975463E-2</v>
      </c>
      <c r="AM15" s="95">
        <f t="shared" si="23"/>
        <v>2.7210995986123754E-2</v>
      </c>
      <c r="AN15" s="153">
        <f t="shared" si="23"/>
        <v>2.7280703616435753E-2</v>
      </c>
      <c r="AO15" s="94">
        <f t="shared" si="23"/>
        <v>4.6332405125756537E-2</v>
      </c>
      <c r="AP15" s="94">
        <f t="shared" si="23"/>
        <v>0.11579396300398459</v>
      </c>
      <c r="AQ15" s="95">
        <f t="shared" si="23"/>
        <v>0.17974401247348104</v>
      </c>
      <c r="AR15" s="153">
        <f t="shared" si="23"/>
        <v>0.20457355397516919</v>
      </c>
      <c r="AS15" s="94">
        <f t="shared" si="23"/>
        <v>0.19655774354576927</v>
      </c>
      <c r="AT15" s="94">
        <f t="shared" si="23"/>
        <v>9.5867396128679117E-2</v>
      </c>
      <c r="AU15" s="95">
        <f t="shared" ref="AU15:AY15" si="24">AU12/AQ12-1</f>
        <v>3.9540571063345631E-4</v>
      </c>
      <c r="AV15" s="94">
        <f t="shared" si="23"/>
        <v>-1.806922342366013E-3</v>
      </c>
      <c r="AW15" s="94">
        <f t="shared" si="23"/>
        <v>-1.388490755338978E-2</v>
      </c>
      <c r="AX15" s="94">
        <f t="shared" si="23"/>
        <v>-2.4602602378529181E-2</v>
      </c>
      <c r="AY15" s="95">
        <f t="shared" si="24"/>
        <v>7.2996613307994007E-2</v>
      </c>
      <c r="AZ15" s="1211">
        <f t="shared" si="23"/>
        <v>0.14993383629208257</v>
      </c>
      <c r="BA15" s="1321">
        <f t="shared" si="23"/>
        <v>0.20147578298774693</v>
      </c>
      <c r="BB15" s="1321">
        <f t="shared" si="23"/>
        <v>0.86855511227934401</v>
      </c>
      <c r="BC15" s="1389">
        <f t="shared" si="23"/>
        <v>0.81722261328973578</v>
      </c>
      <c r="BD15" s="1323">
        <f t="shared" si="23"/>
        <v>0.85219973049783193</v>
      </c>
      <c r="BE15" s="94">
        <f t="shared" ref="BE15:BG15" si="25">BE12/BA12-1</f>
        <v>0.614431037797599</v>
      </c>
      <c r="BF15" s="94">
        <f t="shared" si="25"/>
        <v>9.3988033462674814E-2</v>
      </c>
      <c r="BG15" s="95">
        <f t="shared" si="25"/>
        <v>7.4177432675166299E-2</v>
      </c>
      <c r="BH15" s="1211">
        <f t="shared" ref="BH15" si="26">BH12/BD12-1</f>
        <v>-1.1595062500000197E-2</v>
      </c>
      <c r="BI15" s="1211">
        <f t="shared" ref="BI15" si="27">BI12/BE12-1</f>
        <v>7.2001374999999923E-2</v>
      </c>
      <c r="BJ15" s="1211">
        <f t="shared" ref="BJ15" si="28">BJ12/BF12-1</f>
        <v>8.2459924999999989E-2</v>
      </c>
      <c r="BK15" s="1212">
        <f t="shared" ref="BK15" si="29">BK12/BG12-1</f>
        <v>8.2459924999999989E-2</v>
      </c>
      <c r="BL15" s="1389">
        <f t="shared" ref="BL15" si="30">BL12/BH12-1</f>
        <v>8.2459925000000212E-2</v>
      </c>
      <c r="BM15" s="1389">
        <f t="shared" ref="BM15" si="31">BM12/BI12-1</f>
        <v>7.2529100000000124E-2</v>
      </c>
      <c r="BN15" s="1389">
        <f t="shared" ref="BN15" si="32">BN12/BJ12-1</f>
        <v>6.7347800000000069E-2</v>
      </c>
      <c r="BO15" s="1322">
        <f t="shared" ref="BO15" si="33">BO12/BK12-1</f>
        <v>5.6780000000000053E-2</v>
      </c>
      <c r="BP15" s="23"/>
      <c r="BQ15" s="462"/>
      <c r="BR15" s="413"/>
      <c r="BS15" s="413">
        <f>BS12/BR12-1</f>
        <v>0.18401005008938776</v>
      </c>
      <c r="BT15" s="413">
        <f>BT12/BS12-1</f>
        <v>-0.13596729874581703</v>
      </c>
      <c r="BU15" s="413">
        <f t="shared" ref="BU15:CF15" si="34">BU12/BT12-1</f>
        <v>-0.24960619522046512</v>
      </c>
      <c r="BV15" s="413">
        <f t="shared" si="34"/>
        <v>0.48808205606387323</v>
      </c>
      <c r="BW15" s="413">
        <f t="shared" si="34"/>
        <v>0.1011984021304928</v>
      </c>
      <c r="BX15" s="413">
        <f t="shared" si="34"/>
        <v>-0.11808236716693943</v>
      </c>
      <c r="BY15" s="413">
        <f t="shared" si="34"/>
        <v>-1.4503729369104268E-2</v>
      </c>
      <c r="BZ15" s="413">
        <f t="shared" si="34"/>
        <v>9.3959023000969699E-2</v>
      </c>
      <c r="CA15" s="413">
        <f t="shared" si="34"/>
        <v>0.11770505882335347</v>
      </c>
      <c r="CB15" s="413">
        <f t="shared" si="34"/>
        <v>7.6670691515423606E-3</v>
      </c>
      <c r="CC15" s="413">
        <f t="shared" si="34"/>
        <v>0.5176714555295987</v>
      </c>
      <c r="CD15" s="413">
        <f t="shared" si="34"/>
        <v>0.32641256580968681</v>
      </c>
      <c r="CE15" s="413">
        <f t="shared" si="34"/>
        <v>5.6803069316980315E-2</v>
      </c>
      <c r="CF15" s="412">
        <f t="shared" si="34"/>
        <v>5.450157720974369E-2</v>
      </c>
      <c r="CG15" s="1031"/>
    </row>
    <row r="16" spans="1:89" ht="14.25" customHeight="1">
      <c r="A16" s="634"/>
      <c r="B16" s="38" t="s">
        <v>154</v>
      </c>
      <c r="C16" s="261"/>
      <c r="D16" s="153"/>
      <c r="E16" s="94"/>
      <c r="F16" s="94"/>
      <c r="G16" s="95"/>
      <c r="H16" s="153">
        <f t="shared" ref="H16:AM16" si="35">H12/H122</f>
        <v>0.40553064371271946</v>
      </c>
      <c r="I16" s="94">
        <f t="shared" si="35"/>
        <v>0.42409826797872863</v>
      </c>
      <c r="J16" s="94">
        <f t="shared" si="35"/>
        <v>0.42994002953319471</v>
      </c>
      <c r="K16" s="95">
        <f t="shared" si="35"/>
        <v>0.44817968848006401</v>
      </c>
      <c r="L16" s="153">
        <f t="shared" si="35"/>
        <v>0.47655864530190895</v>
      </c>
      <c r="M16" s="94">
        <f t="shared" si="35"/>
        <v>0.49743842084209933</v>
      </c>
      <c r="N16" s="94">
        <f t="shared" si="35"/>
        <v>0.4827243853969107</v>
      </c>
      <c r="O16" s="95">
        <f t="shared" si="35"/>
        <v>0.68887099826475207</v>
      </c>
      <c r="P16" s="153">
        <f t="shared" si="35"/>
        <v>0.53926722038608321</v>
      </c>
      <c r="Q16" s="94">
        <f t="shared" si="35"/>
        <v>0.54810730895986692</v>
      </c>
      <c r="R16" s="94">
        <f t="shared" si="35"/>
        <v>0.54064881499758721</v>
      </c>
      <c r="S16" s="95">
        <f t="shared" ref="S16" si="36">S12/S122</f>
        <v>0.15148267887197753</v>
      </c>
      <c r="T16" s="153">
        <f t="shared" si="35"/>
        <v>0.45882547962624515</v>
      </c>
      <c r="U16" s="94">
        <f t="shared" si="35"/>
        <v>0.4321787558873339</v>
      </c>
      <c r="V16" s="94">
        <f t="shared" si="35"/>
        <v>0.41037336048830164</v>
      </c>
      <c r="W16" s="95">
        <f t="shared" si="35"/>
        <v>0.40624912526242135</v>
      </c>
      <c r="X16" s="153">
        <f t="shared" si="35"/>
        <v>0.438971807628524</v>
      </c>
      <c r="Y16" s="94">
        <f t="shared" si="35"/>
        <v>0.47740197545645013</v>
      </c>
      <c r="Z16" s="94">
        <f t="shared" si="35"/>
        <v>0.47605164514785508</v>
      </c>
      <c r="AA16" s="95">
        <f t="shared" si="35"/>
        <v>0.45467532467532462</v>
      </c>
      <c r="AB16" s="153">
        <f t="shared" si="35"/>
        <v>0.46533973919011667</v>
      </c>
      <c r="AC16" s="94">
        <f t="shared" si="35"/>
        <v>0.48836621143146181</v>
      </c>
      <c r="AD16" s="94">
        <f t="shared" si="35"/>
        <v>0.48357303074284208</v>
      </c>
      <c r="AE16" s="95">
        <f t="shared" si="35"/>
        <v>0.43876553553972913</v>
      </c>
      <c r="AF16" s="94">
        <f t="shared" si="35"/>
        <v>0.44669032556704213</v>
      </c>
      <c r="AG16" s="94">
        <f t="shared" si="35"/>
        <v>0.47903375603050768</v>
      </c>
      <c r="AH16" s="94">
        <f t="shared" si="35"/>
        <v>0.47186344297288829</v>
      </c>
      <c r="AI16" s="94">
        <f t="shared" si="35"/>
        <v>0.43842990428281181</v>
      </c>
      <c r="AJ16" s="153">
        <f t="shared" si="35"/>
        <v>0.4543297746144721</v>
      </c>
      <c r="AK16" s="94">
        <f t="shared" si="35"/>
        <v>0.47337277208949569</v>
      </c>
      <c r="AL16" s="94">
        <f t="shared" si="35"/>
        <v>0.4660472401701643</v>
      </c>
      <c r="AM16" s="95">
        <f t="shared" si="35"/>
        <v>0.46153778093677783</v>
      </c>
      <c r="AN16" s="153">
        <f t="shared" ref="AN16:BK16" si="37">AN12/AN122</f>
        <v>0.46218948869695875</v>
      </c>
      <c r="AO16" s="94">
        <f t="shared" si="37"/>
        <v>0.47014121658200581</v>
      </c>
      <c r="AP16" s="94">
        <f t="shared" si="37"/>
        <v>0.48172729171475998</v>
      </c>
      <c r="AQ16" s="95">
        <f t="shared" si="37"/>
        <v>0.4534754196208276</v>
      </c>
      <c r="AR16" s="153">
        <f t="shared" si="37"/>
        <v>0.45307298318881428</v>
      </c>
      <c r="AS16" s="94">
        <f t="shared" si="37"/>
        <v>0.47588667253741995</v>
      </c>
      <c r="AT16" s="94">
        <f t="shared" si="37"/>
        <v>0.44498792515332453</v>
      </c>
      <c r="AU16" s="95">
        <f t="shared" si="37"/>
        <v>0.37741769368625616</v>
      </c>
      <c r="AV16" s="94">
        <f t="shared" si="37"/>
        <v>0.45375726675235795</v>
      </c>
      <c r="AW16" s="94">
        <f t="shared" si="37"/>
        <v>0.49474039698702821</v>
      </c>
      <c r="AX16" s="94">
        <f t="shared" si="37"/>
        <v>0.43093247285217995</v>
      </c>
      <c r="AY16" s="95">
        <f t="shared" si="37"/>
        <v>0.39492020410054374</v>
      </c>
      <c r="AZ16" s="1211">
        <f t="shared" si="37"/>
        <v>0.40782305634928773</v>
      </c>
      <c r="BA16" s="1321">
        <f t="shared" ref="BA16:BB16" si="38">BA12/BA122</f>
        <v>0.45559936843017801</v>
      </c>
      <c r="BB16" s="1321">
        <f t="shared" si="38"/>
        <v>0.48832695679342097</v>
      </c>
      <c r="BC16" s="1389">
        <f>BC12/BC122</f>
        <v>0.46734493923447773</v>
      </c>
      <c r="BD16" s="1323">
        <f>BD12/BD122</f>
        <v>0.489668937143098</v>
      </c>
      <c r="BE16" s="94">
        <f t="shared" si="37"/>
        <v>0.50826571721261615</v>
      </c>
      <c r="BF16" s="94">
        <f t="shared" si="37"/>
        <v>0.50613137830152688</v>
      </c>
      <c r="BG16" s="95">
        <f t="shared" si="37"/>
        <v>0.49485702267418585</v>
      </c>
      <c r="BH16" s="1211">
        <f t="shared" si="37"/>
        <v>0.49592305828092731</v>
      </c>
      <c r="BI16" s="1211">
        <f t="shared" si="37"/>
        <v>0.51692303293502873</v>
      </c>
      <c r="BJ16" s="1211">
        <f t="shared" si="37"/>
        <v>0.51608999546607581</v>
      </c>
      <c r="BK16" s="1212">
        <f t="shared" si="37"/>
        <v>0.50039245045094216</v>
      </c>
      <c r="BL16" s="1389">
        <f t="shared" ref="BL16:BO16" si="39">BL12/BL122</f>
        <v>0.50143128640502777</v>
      </c>
      <c r="BM16" s="1389">
        <f t="shared" si="39"/>
        <v>0.51955963739400501</v>
      </c>
      <c r="BN16" s="1389">
        <f t="shared" si="39"/>
        <v>0.51877713253443292</v>
      </c>
      <c r="BO16" s="1322">
        <f t="shared" si="39"/>
        <v>0.5009896997533454</v>
      </c>
      <c r="BP16" s="23"/>
      <c r="BQ16" s="823"/>
      <c r="BR16" s="413">
        <f t="shared" ref="BR16:CE16" si="40">BR12/BR122</f>
        <v>0.42748326943025794</v>
      </c>
      <c r="BS16" s="413">
        <f t="shared" si="40"/>
        <v>0.53687699337977801</v>
      </c>
      <c r="BT16" s="413">
        <f t="shared" si="40"/>
        <v>0.44264945521192789</v>
      </c>
      <c r="BU16" s="413">
        <f t="shared" si="40"/>
        <v>0.42580107875893092</v>
      </c>
      <c r="BV16" s="413">
        <f t="shared" si="40"/>
        <v>0.46232120224515666</v>
      </c>
      <c r="BW16" s="413">
        <f t="shared" si="40"/>
        <v>0.46968229044866877</v>
      </c>
      <c r="BX16" s="413">
        <f t="shared" si="40"/>
        <v>0.45901394158668063</v>
      </c>
      <c r="BY16" s="413">
        <f t="shared" si="40"/>
        <v>0.46395189409227888</v>
      </c>
      <c r="BZ16" s="413">
        <f t="shared" si="40"/>
        <v>0.46660381119202116</v>
      </c>
      <c r="CA16" s="413">
        <f t="shared" si="40"/>
        <v>0.43493798710485776</v>
      </c>
      <c r="CB16" s="413">
        <f t="shared" si="40"/>
        <v>0.44002543981149289</v>
      </c>
      <c r="CC16" s="413">
        <f t="shared" si="40"/>
        <v>0.45921638506952411</v>
      </c>
      <c r="CD16" s="413">
        <f t="shared" si="40"/>
        <v>0.4996214412968556</v>
      </c>
      <c r="CE16" s="413">
        <f t="shared" si="40"/>
        <v>0.50739734571787798</v>
      </c>
      <c r="CF16" s="412">
        <f t="shared" ref="CF16" si="41">CF12/CF122</f>
        <v>0.50310573505124534</v>
      </c>
      <c r="CG16" s="1031"/>
    </row>
    <row r="17" spans="1:85" ht="14.25" customHeight="1">
      <c r="A17" s="634"/>
      <c r="B17" s="38" t="s">
        <v>333</v>
      </c>
      <c r="C17" s="261"/>
      <c r="D17" s="153"/>
      <c r="E17" s="94"/>
      <c r="F17" s="94"/>
      <c r="G17" s="95"/>
      <c r="H17" s="153"/>
      <c r="I17" s="94"/>
      <c r="J17" s="94"/>
      <c r="K17" s="95"/>
      <c r="L17" s="153"/>
      <c r="M17" s="94"/>
      <c r="N17" s="94"/>
      <c r="O17" s="95"/>
      <c r="P17" s="153"/>
      <c r="Q17" s="94"/>
      <c r="R17" s="94"/>
      <c r="S17" s="95"/>
      <c r="T17" s="153"/>
      <c r="U17" s="94"/>
      <c r="V17" s="94"/>
      <c r="W17" s="95"/>
      <c r="X17" s="94">
        <f t="shared" ref="X17:BD17" si="42">+X12/MAX(T12,P12,L12,H12,D12)-1</f>
        <v>-0.20044946399606112</v>
      </c>
      <c r="Y17" s="94">
        <f t="shared" si="42"/>
        <v>-0.10370095642694188</v>
      </c>
      <c r="Z17" s="94">
        <f t="shared" si="42"/>
        <v>-3.755473223307515E-2</v>
      </c>
      <c r="AA17" s="95">
        <f t="shared" si="42"/>
        <v>-0.18494203100991768</v>
      </c>
      <c r="AB17" s="94">
        <f t="shared" si="42"/>
        <v>2.3980474897375537E-2</v>
      </c>
      <c r="AC17" s="94">
        <f t="shared" si="42"/>
        <v>8.5111882846128806E-2</v>
      </c>
      <c r="AD17" s="94">
        <f t="shared" si="42"/>
        <v>2.8685303693724018E-2</v>
      </c>
      <c r="AE17" s="95">
        <f t="shared" si="42"/>
        <v>-0.26851981189179119</v>
      </c>
      <c r="AF17" s="94">
        <f t="shared" si="42"/>
        <v>-0.14601769911504425</v>
      </c>
      <c r="AG17" s="94">
        <f t="shared" si="42"/>
        <v>-0.16261004660797518</v>
      </c>
      <c r="AH17" s="94">
        <f t="shared" si="42"/>
        <v>-0.12061391541609823</v>
      </c>
      <c r="AI17" s="94">
        <f t="shared" si="42"/>
        <v>-0.29065279135819722</v>
      </c>
      <c r="AJ17" s="153">
        <f t="shared" si="42"/>
        <v>-0.16621238938053096</v>
      </c>
      <c r="AK17" s="96">
        <f t="shared" si="42"/>
        <v>-0.19194458829621952</v>
      </c>
      <c r="AL17" s="94">
        <f t="shared" si="42"/>
        <v>-0.14271214188267389</v>
      </c>
      <c r="AM17" s="95">
        <f t="shared" si="42"/>
        <v>-0.10601542416452436</v>
      </c>
      <c r="AN17" s="153">
        <f t="shared" si="42"/>
        <v>-0.14346607669616518</v>
      </c>
      <c r="AO17" s="94">
        <f t="shared" si="42"/>
        <v>-0.1545054375971</v>
      </c>
      <c r="AP17" s="94">
        <f t="shared" si="42"/>
        <v>-4.3443383356071008E-2</v>
      </c>
      <c r="AQ17" s="95">
        <f t="shared" si="42"/>
        <v>5.4672950585546998E-2</v>
      </c>
      <c r="AR17" s="153">
        <f t="shared" si="42"/>
        <v>3.1758112094395274E-2</v>
      </c>
      <c r="AS17" s="94">
        <f t="shared" si="42"/>
        <v>1.1683065769031664E-2</v>
      </c>
      <c r="AT17" s="94">
        <f t="shared" si="42"/>
        <v>4.8259208731241454E-2</v>
      </c>
      <c r="AU17" s="95">
        <f t="shared" si="42"/>
        <v>3.9540571063345631E-4</v>
      </c>
      <c r="AV17" s="94">
        <f t="shared" si="42"/>
        <v>-1.806922342366013E-3</v>
      </c>
      <c r="AW17" s="94">
        <f t="shared" si="42"/>
        <v>-1.388490755338978E-2</v>
      </c>
      <c r="AX17" s="94">
        <f t="shared" si="42"/>
        <v>-2.4602602378529181E-2</v>
      </c>
      <c r="AY17" s="95">
        <f t="shared" si="42"/>
        <v>7.2996613307994007E-2</v>
      </c>
      <c r="AZ17" s="1211">
        <f t="shared" si="42"/>
        <v>0.14785599515104386</v>
      </c>
      <c r="BA17" s="1321">
        <f t="shared" si="42"/>
        <v>0.18479340281332557</v>
      </c>
      <c r="BB17" s="1321">
        <f t="shared" si="42"/>
        <v>0.82258379382956726</v>
      </c>
      <c r="BC17" s="1389">
        <f t="shared" si="42"/>
        <v>0.81722261328973578</v>
      </c>
      <c r="BD17" s="1323">
        <f t="shared" si="42"/>
        <v>0.85219973049783193</v>
      </c>
      <c r="BE17" s="1269">
        <f t="shared" ref="BE17:BK17" si="43">+BE12/MAX(BA12,AW12,AS12,AO12,AK12)-1</f>
        <v>0.614431037797599</v>
      </c>
      <c r="BF17" s="1269">
        <f t="shared" si="43"/>
        <v>9.3988033462674814E-2</v>
      </c>
      <c r="BG17" s="1270">
        <f t="shared" si="43"/>
        <v>7.4177432675166299E-2</v>
      </c>
      <c r="BH17" s="1269">
        <f t="shared" si="43"/>
        <v>-1.1595062500000197E-2</v>
      </c>
      <c r="BI17" s="1269">
        <f t="shared" si="43"/>
        <v>7.2001374999999923E-2</v>
      </c>
      <c r="BJ17" s="1269">
        <f t="shared" si="43"/>
        <v>8.2459924999999989E-2</v>
      </c>
      <c r="BK17" s="1270">
        <f t="shared" si="43"/>
        <v>8.2459924999999989E-2</v>
      </c>
      <c r="BL17" s="1389">
        <f t="shared" ref="BL17" si="44">+BL12/MAX(BH12,BD12,AZ12,AV12,AR12)-1</f>
        <v>6.9908734515879534E-2</v>
      </c>
      <c r="BM17" s="1389">
        <f t="shared" ref="BM17" si="45">+BM12/MAX(BI12,BE12,BA12,AW12,AS12)-1</f>
        <v>7.2529100000000124E-2</v>
      </c>
      <c r="BN17" s="1389">
        <f t="shared" ref="BN17" si="46">+BN12/MAX(BJ12,BF12,BB12,AX12,AT12)-1</f>
        <v>6.7347800000000069E-2</v>
      </c>
      <c r="BO17" s="1322">
        <f t="shared" ref="BO17" si="47">+BO12/MAX(BK12,BG12,BC12,AY12,AU12)-1</f>
        <v>5.6780000000000053E-2</v>
      </c>
      <c r="BP17" s="23"/>
      <c r="BQ17" s="262"/>
      <c r="BR17" s="263"/>
      <c r="BS17" s="263"/>
      <c r="BT17" s="263"/>
      <c r="BU17" s="1425"/>
      <c r="BV17" s="1425"/>
      <c r="BW17" s="1425"/>
      <c r="BX17" s="1425"/>
      <c r="BY17" s="1425"/>
      <c r="BZ17" s="1425"/>
      <c r="CA17" s="1425"/>
      <c r="CB17" s="263"/>
      <c r="CC17" s="263"/>
      <c r="CD17" s="263"/>
      <c r="CE17" s="1425"/>
      <c r="CF17" s="1426"/>
      <c r="CG17" s="1031"/>
    </row>
    <row r="18" spans="1:85" ht="14.25" hidden="1" customHeight="1" outlineLevel="1">
      <c r="A18" s="634"/>
      <c r="B18" s="38"/>
      <c r="C18" s="261"/>
      <c r="D18" s="153"/>
      <c r="E18" s="1211"/>
      <c r="F18" s="1211"/>
      <c r="G18" s="1212"/>
      <c r="H18" s="153"/>
      <c r="I18" s="1211"/>
      <c r="J18" s="1211"/>
      <c r="K18" s="1212"/>
      <c r="L18" s="153"/>
      <c r="M18" s="1211"/>
      <c r="N18" s="1211"/>
      <c r="O18" s="1212"/>
      <c r="P18" s="153"/>
      <c r="Q18" s="1211"/>
      <c r="R18" s="1211"/>
      <c r="S18" s="1212"/>
      <c r="T18" s="153"/>
      <c r="U18" s="1211"/>
      <c r="V18" s="1211"/>
      <c r="W18" s="1212"/>
      <c r="X18" s="1211"/>
      <c r="Y18" s="1211"/>
      <c r="Z18" s="1211"/>
      <c r="AA18" s="1212"/>
      <c r="AB18" s="1211"/>
      <c r="AC18" s="1211"/>
      <c r="AD18" s="1211"/>
      <c r="AE18" s="1212"/>
      <c r="AF18" s="1211"/>
      <c r="AG18" s="1211"/>
      <c r="AH18" s="1211"/>
      <c r="AI18" s="1211"/>
      <c r="AJ18" s="153"/>
      <c r="AK18" s="96"/>
      <c r="AL18" s="1211"/>
      <c r="AM18" s="1212"/>
      <c r="AN18" s="153"/>
      <c r="AO18" s="1211"/>
      <c r="AP18" s="1211"/>
      <c r="AQ18" s="1212"/>
      <c r="AR18" s="153"/>
      <c r="AS18" s="1211"/>
      <c r="AT18" s="1211"/>
      <c r="AU18" s="1212"/>
      <c r="AV18" s="1211"/>
      <c r="AW18" s="1211"/>
      <c r="AX18" s="1211"/>
      <c r="AY18" s="1212"/>
      <c r="AZ18" s="1211"/>
      <c r="BA18" s="1389"/>
      <c r="BB18" s="1389"/>
      <c r="BC18" s="1389"/>
      <c r="BD18" s="1323"/>
      <c r="BE18" s="96"/>
      <c r="BF18" s="96"/>
      <c r="BG18" s="97"/>
      <c r="BH18" s="96"/>
      <c r="BI18" s="96"/>
      <c r="BJ18" s="96"/>
      <c r="BK18" s="97"/>
      <c r="BL18" s="1331"/>
      <c r="BM18" s="1331"/>
      <c r="BN18" s="1331"/>
      <c r="BO18" s="1332"/>
      <c r="BP18" s="23"/>
      <c r="BQ18" s="262"/>
      <c r="BR18" s="263"/>
      <c r="BS18" s="263"/>
      <c r="BT18" s="263"/>
      <c r="BU18" s="1425"/>
      <c r="BV18" s="1425"/>
      <c r="BW18" s="1425"/>
      <c r="BX18" s="1425"/>
      <c r="BY18" s="1425"/>
      <c r="BZ18" s="1425"/>
      <c r="CA18" s="1425"/>
      <c r="CB18" s="263"/>
      <c r="CC18" s="263"/>
      <c r="CD18" s="263"/>
      <c r="CE18" s="1425"/>
      <c r="CF18" s="1426"/>
      <c r="CG18" s="1031"/>
    </row>
    <row r="19" spans="1:85" ht="14.25" hidden="1" customHeight="1" outlineLevel="1">
      <c r="A19" s="634"/>
      <c r="B19" s="1232" t="s">
        <v>571</v>
      </c>
      <c r="C19" s="261"/>
      <c r="D19" s="477"/>
      <c r="E19" s="416"/>
      <c r="F19" s="416"/>
      <c r="G19" s="417"/>
      <c r="H19" s="477">
        <f>H$240</f>
        <v>251.95699999999999</v>
      </c>
      <c r="I19" s="416">
        <f t="shared" ref="I19:BA19" si="48">I$240</f>
        <v>273.065</v>
      </c>
      <c r="J19" s="416">
        <f t="shared" si="48"/>
        <v>285.334</v>
      </c>
      <c r="K19" s="417">
        <f t="shared" si="48"/>
        <v>307.24600000000009</v>
      </c>
      <c r="L19" s="477">
        <f t="shared" si="48"/>
        <v>298.452</v>
      </c>
      <c r="M19" s="416">
        <f t="shared" si="48"/>
        <v>297.21100000000001</v>
      </c>
      <c r="N19" s="416">
        <f t="shared" si="48"/>
        <v>298.04899999999998</v>
      </c>
      <c r="O19" s="417">
        <f t="shared" si="48"/>
        <v>429.54</v>
      </c>
      <c r="P19" s="477">
        <f t="shared" si="48"/>
        <v>331.06099999999998</v>
      </c>
      <c r="Q19" s="416">
        <f t="shared" si="48"/>
        <v>355.90800000000002</v>
      </c>
      <c r="R19" s="416">
        <f t="shared" si="48"/>
        <v>356.28</v>
      </c>
      <c r="S19" s="417">
        <f t="shared" si="48"/>
        <v>100.08400000000006</v>
      </c>
      <c r="T19" s="477">
        <f t="shared" si="48"/>
        <v>218.66200000000001</v>
      </c>
      <c r="U19" s="416">
        <f t="shared" si="48"/>
        <v>205.17599999999999</v>
      </c>
      <c r="V19" s="416">
        <f t="shared" si="48"/>
        <v>201.9</v>
      </c>
      <c r="W19" s="417">
        <f t="shared" si="48"/>
        <v>232.2120000000001</v>
      </c>
      <c r="X19" s="477">
        <f t="shared" si="48"/>
        <v>264.7</v>
      </c>
      <c r="Y19" s="416">
        <f t="shared" si="48"/>
        <v>319</v>
      </c>
      <c r="Z19" s="416">
        <f t="shared" si="48"/>
        <v>342.9</v>
      </c>
      <c r="AA19" s="417">
        <f t="shared" si="48"/>
        <v>350.09999999999997</v>
      </c>
      <c r="AB19" s="477">
        <f t="shared" si="48"/>
        <v>339</v>
      </c>
      <c r="AC19" s="416">
        <f t="shared" si="48"/>
        <v>386.2</v>
      </c>
      <c r="AD19" s="416">
        <f t="shared" si="48"/>
        <v>366.5</v>
      </c>
      <c r="AE19" s="417">
        <f t="shared" si="48"/>
        <v>314.20000000000005</v>
      </c>
      <c r="AF19" s="477">
        <f t="shared" si="48"/>
        <v>289.5</v>
      </c>
      <c r="AG19" s="416">
        <f t="shared" si="48"/>
        <v>323.39999999999998</v>
      </c>
      <c r="AH19" s="416">
        <f>AH$240</f>
        <v>322.29500000000002</v>
      </c>
      <c r="AI19" s="416">
        <f t="shared" si="48"/>
        <v>304.69299999999998</v>
      </c>
      <c r="AJ19" s="477">
        <f t="shared" si="48"/>
        <v>282.654</v>
      </c>
      <c r="AK19" s="416">
        <f t="shared" si="48"/>
        <v>312.07100000000003</v>
      </c>
      <c r="AL19" s="416">
        <f t="shared" si="48"/>
        <v>314.19600000000003</v>
      </c>
      <c r="AM19" s="417">
        <f t="shared" si="48"/>
        <v>312.98399999999998</v>
      </c>
      <c r="AN19" s="477">
        <f t="shared" si="48"/>
        <v>290.36500000000001</v>
      </c>
      <c r="AO19" s="416">
        <f t="shared" si="48"/>
        <v>326.52999999999997</v>
      </c>
      <c r="AP19" s="416">
        <f t="shared" si="48"/>
        <v>350.57799999999997</v>
      </c>
      <c r="AQ19" s="417">
        <f>AQ$240</f>
        <v>369.24099999999999</v>
      </c>
      <c r="AR19" s="477">
        <f t="shared" si="48"/>
        <v>349.76600000000002</v>
      </c>
      <c r="AS19" s="416">
        <f t="shared" si="48"/>
        <v>390.71199999999999</v>
      </c>
      <c r="AT19" s="416">
        <f t="shared" si="48"/>
        <v>384.18700000000001</v>
      </c>
      <c r="AU19" s="417">
        <f>AU$240</f>
        <v>369.387</v>
      </c>
      <c r="AV19" s="416">
        <f t="shared" si="48"/>
        <v>349.13400000000001</v>
      </c>
      <c r="AW19" s="416">
        <f t="shared" si="48"/>
        <v>385.28699999999998</v>
      </c>
      <c r="AX19" s="416">
        <f t="shared" si="48"/>
        <v>374.73500000000001</v>
      </c>
      <c r="AY19" s="417">
        <f>AY$240</f>
        <v>396.351</v>
      </c>
      <c r="AZ19" s="416">
        <f t="shared" si="48"/>
        <v>401.48099999999999</v>
      </c>
      <c r="BA19" s="416">
        <f t="shared" si="48"/>
        <v>462.91300000000001</v>
      </c>
      <c r="BB19" s="416">
        <f>BB12-BB25</f>
        <v>489.91615749999994</v>
      </c>
      <c r="BC19" s="416">
        <f>BC12-BC25</f>
        <v>498.39483116250005</v>
      </c>
      <c r="BD19" s="477">
        <f>BD12-BD25</f>
        <v>509.55735687643755</v>
      </c>
      <c r="BE19" s="416">
        <v>728.92555947488586</v>
      </c>
      <c r="BF19" s="416"/>
      <c r="BG19" s="417"/>
      <c r="BH19" s="416"/>
      <c r="BI19" s="416"/>
      <c r="BJ19" s="416"/>
      <c r="BK19" s="417"/>
      <c r="BL19" s="416"/>
      <c r="BM19" s="416"/>
      <c r="BN19" s="416"/>
      <c r="BO19" s="417"/>
      <c r="BP19" s="1470"/>
      <c r="BQ19" s="410"/>
      <c r="BR19" s="404"/>
      <c r="BS19" s="404"/>
      <c r="BT19" s="404"/>
      <c r="BU19" s="404"/>
      <c r="BV19" s="404"/>
      <c r="BW19" s="404"/>
      <c r="BX19" s="404"/>
      <c r="BY19" s="404"/>
      <c r="BZ19" s="404"/>
      <c r="CA19" s="404"/>
      <c r="CB19" s="404"/>
      <c r="CC19" s="404">
        <f>SUM(AZ19:BC19)</f>
        <v>1852.7049886625</v>
      </c>
      <c r="CD19" s="404"/>
      <c r="CE19" s="404"/>
      <c r="CF19" s="405"/>
      <c r="CG19" s="1031"/>
    </row>
    <row r="20" spans="1:85" ht="14.25" hidden="1" customHeight="1" outlineLevel="1">
      <c r="A20" s="634"/>
      <c r="B20" s="1233" t="s">
        <v>152</v>
      </c>
      <c r="C20" s="261"/>
      <c r="D20" s="153"/>
      <c r="E20" s="1211"/>
      <c r="F20" s="1211"/>
      <c r="G20" s="1212"/>
      <c r="H20" s="153"/>
      <c r="I20" s="1211">
        <f t="shared" ref="I20" si="49">I19/H19-1</f>
        <v>8.3776199907126925E-2</v>
      </c>
      <c r="J20" s="1211">
        <f t="shared" ref="J20" si="50">J19/I19-1</f>
        <v>4.4930694157068851E-2</v>
      </c>
      <c r="K20" s="1212">
        <f t="shared" ref="K20" si="51">K19/J19-1</f>
        <v>7.6794213097633346E-2</v>
      </c>
      <c r="L20" s="153">
        <f t="shared" ref="L20" si="52">L19/K19-1</f>
        <v>-2.862201623454852E-2</v>
      </c>
      <c r="M20" s="1211">
        <f t="shared" ref="M20" si="53">M19/L19-1</f>
        <v>-4.1581225791751386E-3</v>
      </c>
      <c r="N20" s="1211">
        <f t="shared" ref="N20" si="54">N19/M19-1</f>
        <v>2.8195457099500221E-3</v>
      </c>
      <c r="O20" s="1212">
        <f t="shared" ref="O20" si="55">O19/N19-1</f>
        <v>0.44117242466842721</v>
      </c>
      <c r="P20" s="153">
        <f t="shared" ref="P20" si="56">P19/O19-1</f>
        <v>-0.22926619174000107</v>
      </c>
      <c r="Q20" s="1211">
        <f t="shared" ref="Q20" si="57">Q19/P19-1</f>
        <v>7.505263380464644E-2</v>
      </c>
      <c r="R20" s="1211">
        <f t="shared" ref="R20:S20" si="58">R19/Q19-1</f>
        <v>1.0452139316901032E-3</v>
      </c>
      <c r="S20" s="1212">
        <f t="shared" si="58"/>
        <v>-0.7190861120467047</v>
      </c>
      <c r="T20" s="153">
        <f t="shared" ref="T20" si="59">T19/S19-1</f>
        <v>1.1847847807841401</v>
      </c>
      <c r="U20" s="1211">
        <f t="shared" ref="U20" si="60">U19/T19-1</f>
        <v>-6.1675096724625345E-2</v>
      </c>
      <c r="V20" s="1211">
        <f t="shared" ref="V20" si="61">V19/U19-1</f>
        <v>-1.5966779740320458E-2</v>
      </c>
      <c r="W20" s="1212">
        <f t="shared" ref="W20" si="62">W19/V19-1</f>
        <v>0.1501337295690941</v>
      </c>
      <c r="X20" s="153">
        <f t="shared" ref="X20" si="63">X19/W19-1</f>
        <v>0.13990663703856776</v>
      </c>
      <c r="Y20" s="1211">
        <f t="shared" ref="Y20" si="64">Y19/X19-1</f>
        <v>0.20513789195315457</v>
      </c>
      <c r="Z20" s="1211">
        <f t="shared" ref="Z20" si="65">Z19/Y19-1</f>
        <v>7.4921630094043845E-2</v>
      </c>
      <c r="AA20" s="1212">
        <f t="shared" ref="AA20" si="66">AA19/Z19-1</f>
        <v>2.0997375328083878E-2</v>
      </c>
      <c r="AB20" s="153">
        <f t="shared" ref="AB20" si="67">AB19/AA19-1</f>
        <v>-3.1705227077977627E-2</v>
      </c>
      <c r="AC20" s="1211">
        <f t="shared" ref="AC20" si="68">AC19/AB19-1</f>
        <v>0.13923303834808265</v>
      </c>
      <c r="AD20" s="1211">
        <f t="shared" ref="AD20" si="69">AD19/AC19-1</f>
        <v>-5.1009839461418904E-2</v>
      </c>
      <c r="AE20" s="1212">
        <f t="shared" ref="AE20" si="70">AE19/AD19-1</f>
        <v>-0.14270122783083206</v>
      </c>
      <c r="AF20" s="153">
        <f t="shared" ref="AF20" si="71">AF19/AE19-1</f>
        <v>-7.8612348822406197E-2</v>
      </c>
      <c r="AG20" s="1211">
        <f t="shared" ref="AG20" si="72">AG19/AF19-1</f>
        <v>0.11709844559585481</v>
      </c>
      <c r="AH20" s="1211">
        <f t="shared" ref="AH20" si="73">AH19/AG19-1</f>
        <v>-3.4168212739640325E-3</v>
      </c>
      <c r="AI20" s="1211">
        <f t="shared" ref="AI20" si="74">AI19/AH19-1</f>
        <v>-5.4614561193937372E-2</v>
      </c>
      <c r="AJ20" s="153">
        <f t="shared" ref="AJ20" si="75">AJ19/AI19-1</f>
        <v>-7.2331822522998523E-2</v>
      </c>
      <c r="AK20" s="1211">
        <f t="shared" ref="AK20" si="76">AK19/AJ19-1</f>
        <v>0.10407423917581227</v>
      </c>
      <c r="AL20" s="1211">
        <f t="shared" ref="AL20" si="77">AL19/AK19-1</f>
        <v>6.8093478727597745E-3</v>
      </c>
      <c r="AM20" s="1212">
        <f t="shared" ref="AM20" si="78">AM19/AL19-1</f>
        <v>-3.8574647672154905E-3</v>
      </c>
      <c r="AN20" s="153">
        <f t="shared" ref="AN20" si="79">AN19/AM19-1</f>
        <v>-7.2268869974183914E-2</v>
      </c>
      <c r="AO20" s="1211">
        <f t="shared" ref="AO20" si="80">AO19/AN19-1</f>
        <v>0.12455013517469382</v>
      </c>
      <c r="AP20" s="1211">
        <f t="shared" ref="AP20" si="81">AP19/AO19-1</f>
        <v>7.3647138088383857E-2</v>
      </c>
      <c r="AQ20" s="1212">
        <f t="shared" ref="AQ20" si="82">AQ19/AP19-1</f>
        <v>5.3234943436268223E-2</v>
      </c>
      <c r="AR20" s="153">
        <f t="shared" ref="AR20" si="83">AR19/AQ19-1</f>
        <v>-5.2743330236891262E-2</v>
      </c>
      <c r="AS20" s="1211">
        <f t="shared" ref="AS20" si="84">AS19/AR19-1</f>
        <v>0.11706683897234149</v>
      </c>
      <c r="AT20" s="1211">
        <f t="shared" ref="AT20" si="85">AT19/AS19-1</f>
        <v>-1.6700280513524013E-2</v>
      </c>
      <c r="AU20" s="1212">
        <f t="shared" ref="AU20" si="86">AU19/AT19-1</f>
        <v>-3.8522906813609037E-2</v>
      </c>
      <c r="AV20" s="1211">
        <f t="shared" ref="AV20" si="87">AV19/AU19-1</f>
        <v>-5.482867561662963E-2</v>
      </c>
      <c r="AW20" s="1211">
        <f t="shared" ref="AW20" si="88">AW19/AV19-1</f>
        <v>0.1035504992352505</v>
      </c>
      <c r="AX20" s="1211">
        <f t="shared" ref="AX20" si="89">AX19/AW19-1</f>
        <v>-2.738737616374276E-2</v>
      </c>
      <c r="AY20" s="1212">
        <f t="shared" ref="AY20" si="90">AY19/AX19-1</f>
        <v>5.7683429623600624E-2</v>
      </c>
      <c r="AZ20" s="1211">
        <f t="shared" ref="AZ20:BD20" si="91">AZ19/AY19-1</f>
        <v>1.2943073185131437E-2</v>
      </c>
      <c r="BA20" s="1321">
        <f t="shared" si="91"/>
        <v>0.15301346763607748</v>
      </c>
      <c r="BB20" s="1321">
        <f t="shared" si="91"/>
        <v>5.8333115509825673E-2</v>
      </c>
      <c r="BC20" s="1389">
        <f t="shared" si="91"/>
        <v>1.7306376882456842E-2</v>
      </c>
      <c r="BD20" s="1323">
        <f t="shared" si="91"/>
        <v>2.2396953210572113E-2</v>
      </c>
      <c r="BE20" s="96"/>
      <c r="BF20" s="96"/>
      <c r="BG20" s="97"/>
      <c r="BH20" s="96"/>
      <c r="BI20" s="96"/>
      <c r="BJ20" s="96"/>
      <c r="BK20" s="97"/>
      <c r="BL20" s="1331"/>
      <c r="BM20" s="1331"/>
      <c r="BN20" s="1331"/>
      <c r="BO20" s="1332"/>
      <c r="BP20" s="23"/>
      <c r="BQ20" s="1277"/>
      <c r="BR20" s="1271"/>
      <c r="BS20" s="1271"/>
      <c r="BT20" s="1271"/>
      <c r="BU20" s="1425"/>
      <c r="BV20" s="1425"/>
      <c r="BW20" s="1425"/>
      <c r="BX20" s="1425"/>
      <c r="BY20" s="1425"/>
      <c r="BZ20" s="1425"/>
      <c r="CA20" s="1425"/>
      <c r="CB20" s="1271"/>
      <c r="CC20" s="263"/>
      <c r="CD20" s="263"/>
      <c r="CE20" s="1425"/>
      <c r="CF20" s="1426"/>
      <c r="CG20" s="1031"/>
    </row>
    <row r="21" spans="1:85" ht="14.25" hidden="1" customHeight="1" outlineLevel="1">
      <c r="A21" s="634"/>
      <c r="B21" s="1233" t="s">
        <v>313</v>
      </c>
      <c r="C21" s="261"/>
      <c r="D21" s="153"/>
      <c r="E21" s="1211"/>
      <c r="F21" s="1211"/>
      <c r="G21" s="1212"/>
      <c r="H21" s="153"/>
      <c r="I21" s="1211"/>
      <c r="J21" s="1211"/>
      <c r="K21" s="1212"/>
      <c r="L21" s="153"/>
      <c r="M21" s="1211"/>
      <c r="N21" s="1211"/>
      <c r="O21" s="1212"/>
      <c r="P21" s="153"/>
      <c r="Q21" s="1211"/>
      <c r="R21" s="1211"/>
      <c r="S21" s="1212"/>
      <c r="T21" s="153"/>
      <c r="U21" s="1211"/>
      <c r="V21" s="1211"/>
      <c r="W21" s="1212"/>
      <c r="X21" s="153"/>
      <c r="Y21" s="1211"/>
      <c r="Z21" s="1211"/>
      <c r="AA21" s="1212"/>
      <c r="AB21" s="153"/>
      <c r="AC21" s="1211" t="s">
        <v>316</v>
      </c>
      <c r="AD21" s="1211"/>
      <c r="AE21" s="1212"/>
      <c r="AF21" s="1211"/>
      <c r="AG21" s="263">
        <f t="shared" ref="AG21" si="92">AVERAGE(AC20,Y20,U20,U20,Q20,M20,I20)</f>
        <v>5.3670206854940679E-2</v>
      </c>
      <c r="AH21" s="263">
        <f t="shared" ref="AH21" si="93">AVERAGE(AD20,Z20,V20,V20,R20,N20,J20)</f>
        <v>5.8248121358132855E-3</v>
      </c>
      <c r="AI21" s="1211">
        <f t="shared" ref="AI21" si="94">AVERAGE(AE20,AA20,W20,W20,S20,O20,K20)</f>
        <v>-3.2222668064577314E-3</v>
      </c>
      <c r="AJ21" s="153">
        <f t="shared" ref="AJ21" si="95">AVERAGE(AF20,AB20,X20,X20,T20,P20,L20)</f>
        <v>0.15662746728376317</v>
      </c>
      <c r="AK21" s="1211">
        <f t="shared" ref="AK21" si="96">AVERAGE(AG20,AC20,Y20,Y20,U20,Q20,M20)</f>
        <v>9.6546668907298933E-2</v>
      </c>
      <c r="AL21" s="263">
        <f t="shared" ref="AL21" si="97">AVERAGE(AH20,AD20,Z20,Z20,V20,R20,N20)</f>
        <v>1.1902082764860631E-2</v>
      </c>
      <c r="AM21" s="1212">
        <f t="shared" ref="AM21" si="98">AVERAGE(AI20,AE20,AA20,AA20,W20,S20,O20)</f>
        <v>-4.0442999453969293E-2</v>
      </c>
      <c r="AN21" s="153">
        <f t="shared" ref="AN21" si="99">AVERAGE(AJ20,AF20,AB20,AB20,X20,T20,P20)</f>
        <v>0.12586722865447811</v>
      </c>
      <c r="AO21" s="1211">
        <f t="shared" ref="AO21" si="100">AVERAGE(AK20,AG20,AC20,AC20,Y20,U20,Q20)</f>
        <v>0.1025934557858583</v>
      </c>
      <c r="AP21" s="263">
        <f t="shared" ref="AP21" si="101">AVERAGE(AL20,AH20,AD20,AD20,Z20,V20,R20)</f>
        <v>-5.5181554340897965E-3</v>
      </c>
      <c r="AQ21" s="1212">
        <f t="shared" ref="AQ21" si="102">AVERAGE(AM20,AI20,AE20,AE20,AA20,W20,S20)</f>
        <v>-0.12740421268176338</v>
      </c>
      <c r="AR21" s="153">
        <f t="shared" ref="AR21" si="103">AVERAGE(AN20,AJ20,AF20,AF20,AB20,X20,T20)</f>
        <v>0.14159440008610505</v>
      </c>
      <c r="AS21" s="1211">
        <f t="shared" ref="AS21" si="104">AVERAGE(AO20,AK20,AG20,AG20,AC20,Y20,U20)</f>
        <v>0.10650244273126108</v>
      </c>
      <c r="AT21" s="263">
        <f t="shared" ref="AT21" si="105">AVERAGE(AP20,AL20,AH20,AH20,AD20,Z20,V20)</f>
        <v>1.1652550615074293E-2</v>
      </c>
      <c r="AU21" s="1212">
        <f t="shared" ref="AU21" si="106">AVERAGE(AQ20,AM20,AI20,AI20,AE20,AA20,W20)</f>
        <v>-4.4888238074965846E-3</v>
      </c>
      <c r="AV21" s="263">
        <f t="shared" ref="AV21" si="107">AVERAGE(AR20,AN20,AJ20,AJ20,AF20,AB20,X20)</f>
        <v>-3.4298112016984038E-2</v>
      </c>
      <c r="AW21" s="263">
        <f t="shared" ref="AW21" si="108">AVERAGE(AS20,AO20,AK20,AK20,AG20,AC20,Y20)</f>
        <v>0.13017640405653599</v>
      </c>
      <c r="AX21" s="263">
        <f t="shared" ref="AX21" si="109">AVERAGE(AT20,AP20,AL20,AL20,AH20,AD20,Z20)</f>
        <v>1.3008646097005758E-2</v>
      </c>
      <c r="AY21" s="1212">
        <f t="shared" ref="AY21" si="110">AVERAGE(AU20,AQ20,AM20,AM20,AI20,AE20,AA20)</f>
        <v>-2.4188758086922477E-2</v>
      </c>
      <c r="AZ21" s="263">
        <f t="shared" ref="AZ21:BD21" si="111">AVERAGE(AV20,AR20,AN20,AN20,AJ20,AF20,AB20)</f>
        <v>-6.2108449175038723E-2</v>
      </c>
      <c r="BA21" s="1324">
        <f t="shared" si="111"/>
        <v>0.11858904738238991</v>
      </c>
      <c r="BB21" s="1324">
        <f t="shared" si="111"/>
        <v>7.941329519553968E-3</v>
      </c>
      <c r="BC21" s="1425">
        <f t="shared" si="111"/>
        <v>-1.0791834872779555E-2</v>
      </c>
      <c r="BD21" s="1424">
        <f t="shared" si="111"/>
        <v>-5.2940757746409904E-2</v>
      </c>
      <c r="BE21" s="1435">
        <v>728.92555947488586</v>
      </c>
      <c r="BF21" s="1435">
        <v>750.79332625913241</v>
      </c>
      <c r="BG21" s="1212"/>
      <c r="BH21" s="1211"/>
      <c r="BI21" s="1211"/>
      <c r="BJ21" s="1211"/>
      <c r="BK21" s="1212"/>
      <c r="BL21" s="1389"/>
      <c r="BM21" s="1389"/>
      <c r="BN21" s="1389"/>
      <c r="BO21" s="1322"/>
      <c r="BP21" s="23"/>
      <c r="BQ21" s="462"/>
      <c r="BR21" s="473"/>
      <c r="BS21" s="473"/>
      <c r="BT21" s="473"/>
      <c r="BU21" s="473"/>
      <c r="BV21" s="473"/>
      <c r="BW21" s="473"/>
      <c r="BX21" s="473"/>
      <c r="BY21" s="473"/>
      <c r="BZ21" s="473"/>
      <c r="CA21" s="473"/>
      <c r="CB21" s="413"/>
      <c r="CC21" s="263"/>
      <c r="CD21" s="263"/>
      <c r="CE21" s="1425"/>
      <c r="CF21" s="1426"/>
      <c r="CG21" s="1031"/>
    </row>
    <row r="22" spans="1:85" ht="14.25" hidden="1" customHeight="1" outlineLevel="1">
      <c r="A22" s="634"/>
      <c r="B22" s="1233" t="s">
        <v>153</v>
      </c>
      <c r="C22" s="39"/>
      <c r="D22" s="153"/>
      <c r="E22" s="1211"/>
      <c r="F22" s="1211"/>
      <c r="G22" s="1212"/>
      <c r="H22" s="153"/>
      <c r="I22" s="1211"/>
      <c r="J22" s="1211"/>
      <c r="K22" s="1212"/>
      <c r="L22" s="153">
        <f t="shared" ref="L22" si="112">L19/H19-1</f>
        <v>0.18453545644693348</v>
      </c>
      <c r="M22" s="1211">
        <f t="shared" ref="M22" si="113">M19/I19-1</f>
        <v>8.8425832677201388E-2</v>
      </c>
      <c r="N22" s="1211">
        <f t="shared" ref="N22" si="114">N19/J19-1</f>
        <v>4.4561811771467674E-2</v>
      </c>
      <c r="O22" s="1212">
        <f t="shared" ref="O22" si="115">O19/K19-1</f>
        <v>0.3980328466440568</v>
      </c>
      <c r="P22" s="153">
        <f t="shared" ref="P22" si="116">P19/L19-1</f>
        <v>0.10926045059171985</v>
      </c>
      <c r="Q22" s="1211">
        <f t="shared" ref="Q22" si="117">Q19/M19-1</f>
        <v>0.19749269037821615</v>
      </c>
      <c r="R22" s="1211">
        <f t="shared" ref="R22:S22" si="118">R19/N19-1</f>
        <v>0.19537391502739476</v>
      </c>
      <c r="S22" s="1212">
        <f t="shared" si="118"/>
        <v>-0.76699725287516862</v>
      </c>
      <c r="T22" s="153">
        <f t="shared" ref="T22" si="119">T19/P19-1</f>
        <v>-0.33951144955159318</v>
      </c>
      <c r="U22" s="1211">
        <f t="shared" ref="U22" si="120">U19/Q19-1</f>
        <v>-0.42351394180518565</v>
      </c>
      <c r="V22" s="1211">
        <f t="shared" ref="V22" si="121">V19/R19-1</f>
        <v>-0.43331087908386656</v>
      </c>
      <c r="W22" s="1212">
        <f t="shared" ref="W22" si="122">W19/S19-1</f>
        <v>1.3201710563126969</v>
      </c>
      <c r="X22" s="153">
        <f t="shared" ref="X22" si="123">X19/T19-1</f>
        <v>0.21054412746613482</v>
      </c>
      <c r="Y22" s="1211">
        <f t="shared" ref="Y22" si="124">Y19/U19-1</f>
        <v>0.55476274028151451</v>
      </c>
      <c r="Z22" s="1211">
        <f t="shared" ref="Z22" si="125">Z19/V19-1</f>
        <v>0.69836552748885561</v>
      </c>
      <c r="AA22" s="1212">
        <f t="shared" ref="AA22" si="126">AA19/W19-1</f>
        <v>0.5076740220143654</v>
      </c>
      <c r="AB22" s="153">
        <f t="shared" ref="AB22" si="127">AB19/X19-1</f>
        <v>0.28069512655836792</v>
      </c>
      <c r="AC22" s="1211">
        <f t="shared" ref="AC22" si="128">AC19/Y19-1</f>
        <v>0.2106583072100312</v>
      </c>
      <c r="AD22" s="1211">
        <f t="shared" ref="AD22" si="129">AD19/Z19-1</f>
        <v>6.8824730242053045E-2</v>
      </c>
      <c r="AE22" s="1212">
        <f t="shared" ref="AE22" si="130">AE19/AA19-1</f>
        <v>-0.1025421308197656</v>
      </c>
      <c r="AF22" s="263">
        <f t="shared" ref="AF22" si="131">AF19/AB19-1</f>
        <v>-0.14601769911504425</v>
      </c>
      <c r="AG22" s="263">
        <f t="shared" ref="AG22" si="132">AG19/AC19-1</f>
        <v>-0.16261004660797518</v>
      </c>
      <c r="AH22" s="1211">
        <f t="shared" ref="AH22" si="133">AH19/AD19-1</f>
        <v>-0.12061391541609823</v>
      </c>
      <c r="AI22" s="1211">
        <f t="shared" ref="AI22" si="134">AI19/AE19-1</f>
        <v>-3.0257797581158652E-2</v>
      </c>
      <c r="AJ22" s="153">
        <f t="shared" ref="AJ22" si="135">AJ19/AF19-1</f>
        <v>-2.3647668393782406E-2</v>
      </c>
      <c r="AK22" s="1211">
        <f t="shared" ref="AK22" si="136">AK19/AG19-1</f>
        <v>-3.5030921459492714E-2</v>
      </c>
      <c r="AL22" s="1211">
        <f t="shared" ref="AL22" si="137">AL19/AH19-1</f>
        <v>-2.5129151863975463E-2</v>
      </c>
      <c r="AM22" s="1212">
        <f t="shared" ref="AM22" si="138">AM19/AI19-1</f>
        <v>2.7210995986123754E-2</v>
      </c>
      <c r="AN22" s="153">
        <f t="shared" ref="AN22" si="139">AN19/AJ19-1</f>
        <v>2.7280703616435753E-2</v>
      </c>
      <c r="AO22" s="1211">
        <f t="shared" ref="AO22" si="140">AO19/AK19-1</f>
        <v>4.6332405125756537E-2</v>
      </c>
      <c r="AP22" s="1211">
        <f t="shared" ref="AP22" si="141">AP19/AL19-1</f>
        <v>0.11579396300398459</v>
      </c>
      <c r="AQ22" s="1212">
        <f t="shared" ref="AQ22" si="142">AQ19/AM19-1</f>
        <v>0.17974401247348104</v>
      </c>
      <c r="AR22" s="153">
        <f t="shared" ref="AR22" si="143">AR19/AN19-1</f>
        <v>0.20457355397516919</v>
      </c>
      <c r="AS22" s="1211">
        <f t="shared" ref="AS22" si="144">AS19/AO19-1</f>
        <v>0.19655774354576927</v>
      </c>
      <c r="AT22" s="1211">
        <f t="shared" ref="AT22" si="145">AT19/AP19-1</f>
        <v>9.5867396128679117E-2</v>
      </c>
      <c r="AU22" s="1212">
        <f t="shared" ref="AU22" si="146">AU19/AQ19-1</f>
        <v>3.9540571063345631E-4</v>
      </c>
      <c r="AV22" s="1211">
        <f t="shared" ref="AV22" si="147">AV19/AR19-1</f>
        <v>-1.806922342366013E-3</v>
      </c>
      <c r="AW22" s="1211">
        <f t="shared" ref="AW22" si="148">AW19/AS19-1</f>
        <v>-1.388490755338978E-2</v>
      </c>
      <c r="AX22" s="1211">
        <f t="shared" ref="AX22" si="149">AX19/AT19-1</f>
        <v>-2.4602602378529181E-2</v>
      </c>
      <c r="AY22" s="1212">
        <f t="shared" ref="AY22" si="150">AY19/AU19-1</f>
        <v>7.2996613307994007E-2</v>
      </c>
      <c r="AZ22" s="1211">
        <f t="shared" ref="AZ22:BD22" si="151">AZ19/AV19-1</f>
        <v>0.14993383629208257</v>
      </c>
      <c r="BA22" s="1321">
        <f t="shared" si="151"/>
        <v>0.20147578298774693</v>
      </c>
      <c r="BB22" s="1321">
        <f t="shared" si="151"/>
        <v>0.3073669593179178</v>
      </c>
      <c r="BC22" s="1389">
        <f t="shared" si="151"/>
        <v>0.25745824070710066</v>
      </c>
      <c r="BD22" s="1323">
        <f t="shared" si="151"/>
        <v>0.26919420066313871</v>
      </c>
      <c r="BE22" s="1211"/>
      <c r="BF22" s="1211"/>
      <c r="BG22" s="1212"/>
      <c r="BH22" s="1211"/>
      <c r="BI22" s="1211"/>
      <c r="BJ22" s="1211"/>
      <c r="BK22" s="1212"/>
      <c r="BL22" s="1389"/>
      <c r="BM22" s="1389"/>
      <c r="BN22" s="1389"/>
      <c r="BO22" s="1322"/>
      <c r="BP22" s="23"/>
      <c r="BQ22" s="823"/>
      <c r="BR22" s="413"/>
      <c r="BS22" s="413"/>
      <c r="BT22" s="413"/>
      <c r="BU22" s="413"/>
      <c r="BV22" s="413"/>
      <c r="BW22" s="413"/>
      <c r="BX22" s="413"/>
      <c r="BY22" s="413"/>
      <c r="BZ22" s="413"/>
      <c r="CA22" s="413"/>
      <c r="CB22" s="413"/>
      <c r="CC22" s="413">
        <f>CC19/CB12-1</f>
        <v>0.23061864784587516</v>
      </c>
      <c r="CD22" s="413"/>
      <c r="CE22" s="413"/>
      <c r="CF22" s="412"/>
      <c r="CG22" s="1031"/>
    </row>
    <row r="23" spans="1:85" ht="14.25" hidden="1" customHeight="1" outlineLevel="1">
      <c r="A23" s="634"/>
      <c r="B23" s="1233" t="s">
        <v>601</v>
      </c>
      <c r="C23" s="39"/>
      <c r="D23" s="1323"/>
      <c r="E23" s="1321"/>
      <c r="F23" s="1321"/>
      <c r="G23" s="1322"/>
      <c r="H23" s="1323"/>
      <c r="I23" s="1321"/>
      <c r="J23" s="1321"/>
      <c r="K23" s="1322"/>
      <c r="L23" s="1323"/>
      <c r="M23" s="1321"/>
      <c r="N23" s="1321"/>
      <c r="O23" s="1322"/>
      <c r="P23" s="1323"/>
      <c r="Q23" s="1321"/>
      <c r="R23" s="1321"/>
      <c r="S23" s="1322"/>
      <c r="T23" s="1323"/>
      <c r="U23" s="1321"/>
      <c r="V23" s="1321"/>
      <c r="W23" s="1322"/>
      <c r="X23" s="1321"/>
      <c r="Y23" s="1321"/>
      <c r="Z23" s="1321"/>
      <c r="AA23" s="1322"/>
      <c r="AB23" s="1321"/>
      <c r="AC23" s="1321"/>
      <c r="AD23" s="1321"/>
      <c r="AE23" s="1322"/>
      <c r="AF23" s="1324"/>
      <c r="AG23" s="1324"/>
      <c r="AH23" s="1321"/>
      <c r="AI23" s="1321"/>
      <c r="AJ23" s="1323"/>
      <c r="AK23" s="1321"/>
      <c r="AL23" s="1321"/>
      <c r="AM23" s="1322"/>
      <c r="AN23" s="1323"/>
      <c r="AO23" s="1321"/>
      <c r="AP23" s="1321"/>
      <c r="AQ23" s="1322"/>
      <c r="AR23" s="1323"/>
      <c r="AS23" s="1321"/>
      <c r="AT23" s="1321"/>
      <c r="AU23" s="1322"/>
      <c r="AV23" s="1321"/>
      <c r="AW23" s="1321"/>
      <c r="AX23" s="1321"/>
      <c r="AY23" s="1322"/>
      <c r="AZ23" s="1321"/>
      <c r="BA23" s="1321">
        <f t="shared" ref="BA23" si="152">BA19/BA$127</f>
        <v>0.46267287277902769</v>
      </c>
      <c r="BB23" s="1321">
        <f t="shared" ref="BB23:BC23" si="153">BB19/BB$127</f>
        <v>0.46926786206215326</v>
      </c>
      <c r="BC23" s="1389">
        <f t="shared" si="153"/>
        <v>0.43897117495108534</v>
      </c>
      <c r="BD23" s="1323">
        <f t="shared" ref="BD23" si="154">BD19/BD$127</f>
        <v>0.46496193168886929</v>
      </c>
      <c r="BE23" s="1321"/>
      <c r="BF23" s="1321"/>
      <c r="BG23" s="1322"/>
      <c r="BH23" s="1321"/>
      <c r="BI23" s="1321"/>
      <c r="BJ23" s="1321"/>
      <c r="BK23" s="1322"/>
      <c r="BL23" s="1389"/>
      <c r="BM23" s="1389"/>
      <c r="BN23" s="1389"/>
      <c r="BO23" s="1322"/>
      <c r="BP23" s="23"/>
      <c r="BQ23" s="823"/>
      <c r="BR23" s="413"/>
      <c r="BS23" s="413"/>
      <c r="BT23" s="413"/>
      <c r="BU23" s="413"/>
      <c r="BV23" s="413"/>
      <c r="BW23" s="413"/>
      <c r="BX23" s="413"/>
      <c r="BY23" s="413"/>
      <c r="BZ23" s="413"/>
      <c r="CA23" s="413"/>
      <c r="CB23" s="413"/>
      <c r="CC23" s="413">
        <f>CC19/CC$127</f>
        <v>0.44813308954080933</v>
      </c>
      <c r="CD23" s="413"/>
      <c r="CE23" s="413"/>
      <c r="CF23" s="412"/>
      <c r="CG23" s="1031"/>
    </row>
    <row r="24" spans="1:85" ht="14.25" hidden="1" customHeight="1" outlineLevel="1">
      <c r="A24" s="634"/>
      <c r="B24" s="38"/>
      <c r="C24" s="261"/>
      <c r="D24" s="153"/>
      <c r="E24" s="1211"/>
      <c r="F24" s="1211"/>
      <c r="G24" s="1212"/>
      <c r="H24" s="153"/>
      <c r="I24" s="1211"/>
      <c r="J24" s="1211"/>
      <c r="K24" s="1212"/>
      <c r="L24" s="153"/>
      <c r="M24" s="1211"/>
      <c r="N24" s="1211"/>
      <c r="O24" s="1212"/>
      <c r="P24" s="153"/>
      <c r="Q24" s="1211"/>
      <c r="R24" s="1211"/>
      <c r="S24" s="1212"/>
      <c r="T24" s="153"/>
      <c r="U24" s="1211"/>
      <c r="V24" s="1211"/>
      <c r="W24" s="1212"/>
      <c r="X24" s="1211"/>
      <c r="Y24" s="1211"/>
      <c r="Z24" s="1211"/>
      <c r="AA24" s="1212"/>
      <c r="AB24" s="1211"/>
      <c r="AC24" s="1211"/>
      <c r="AD24" s="1211"/>
      <c r="AE24" s="1212"/>
      <c r="AF24" s="1211"/>
      <c r="AG24" s="1211"/>
      <c r="AH24" s="1211"/>
      <c r="AI24" s="1211"/>
      <c r="AJ24" s="153"/>
      <c r="AK24" s="96"/>
      <c r="AL24" s="1211"/>
      <c r="AM24" s="1212"/>
      <c r="AN24" s="153"/>
      <c r="AO24" s="1211"/>
      <c r="AP24" s="1211"/>
      <c r="AQ24" s="1212"/>
      <c r="AR24" s="153"/>
      <c r="AS24" s="1211"/>
      <c r="AT24" s="1211"/>
      <c r="AU24" s="1212"/>
      <c r="AV24" s="1211"/>
      <c r="AW24" s="1211"/>
      <c r="AX24" s="1211"/>
      <c r="AY24" s="1212"/>
      <c r="AZ24" s="1211"/>
      <c r="BA24" s="96"/>
      <c r="BB24" s="96"/>
      <c r="BC24" s="1331"/>
      <c r="BD24" s="98"/>
      <c r="BE24" s="96"/>
      <c r="BF24" s="96"/>
      <c r="BG24" s="97"/>
      <c r="BH24" s="96"/>
      <c r="BI24" s="96"/>
      <c r="BJ24" s="96"/>
      <c r="BK24" s="97"/>
      <c r="BL24" s="1331"/>
      <c r="BM24" s="1331"/>
      <c r="BN24" s="1331"/>
      <c r="BO24" s="1332"/>
      <c r="BP24" s="23"/>
      <c r="BQ24" s="1277"/>
      <c r="BR24" s="1271"/>
      <c r="BS24" s="1271"/>
      <c r="BT24" s="1271"/>
      <c r="BU24" s="1425"/>
      <c r="BV24" s="1425"/>
      <c r="BW24" s="1425"/>
      <c r="BX24" s="1425"/>
      <c r="BY24" s="1425"/>
      <c r="BZ24" s="1425"/>
      <c r="CA24" s="1425"/>
      <c r="CB24" s="1271"/>
      <c r="CC24" s="263"/>
      <c r="CD24" s="263"/>
      <c r="CE24" s="1425"/>
      <c r="CF24" s="1426"/>
      <c r="CG24" s="1031"/>
    </row>
    <row r="25" spans="1:85" ht="14.25" hidden="1" customHeight="1" outlineLevel="1">
      <c r="A25" s="634"/>
      <c r="B25" s="1232" t="s">
        <v>572</v>
      </c>
      <c r="C25" s="261"/>
      <c r="D25" s="477"/>
      <c r="E25" s="416"/>
      <c r="F25" s="416"/>
      <c r="G25" s="417"/>
      <c r="H25" s="477"/>
      <c r="I25" s="416"/>
      <c r="J25" s="416"/>
      <c r="K25" s="417">
        <v>102.241</v>
      </c>
      <c r="L25" s="477">
        <v>99.105999999999995</v>
      </c>
      <c r="M25" s="416">
        <v>96.897000000000006</v>
      </c>
      <c r="N25" s="416">
        <v>96.522000000000006</v>
      </c>
      <c r="O25" s="417">
        <v>99.927999999999997</v>
      </c>
      <c r="P25" s="477">
        <v>109.714</v>
      </c>
      <c r="Q25" s="416">
        <v>110.21</v>
      </c>
      <c r="R25" s="416">
        <v>128.97399999999999</v>
      </c>
      <c r="S25" s="417">
        <v>96.814999999999998</v>
      </c>
      <c r="T25" s="477">
        <v>122.10599999999999</v>
      </c>
      <c r="U25" s="416">
        <v>84.391999999999996</v>
      </c>
      <c r="V25" s="416">
        <v>83.206999999999994</v>
      </c>
      <c r="W25" s="417">
        <v>96.814999999999998</v>
      </c>
      <c r="X25" s="477">
        <v>110.23699999999999</v>
      </c>
      <c r="Y25" s="416">
        <v>130.756</v>
      </c>
      <c r="Z25" s="416">
        <v>157.45099999999999</v>
      </c>
      <c r="AA25" s="417">
        <v>170.98</v>
      </c>
      <c r="AB25" s="477">
        <v>184.13800000000001</v>
      </c>
      <c r="AC25" s="416">
        <v>176.596</v>
      </c>
      <c r="AD25" s="416">
        <v>179.279</v>
      </c>
      <c r="AE25" s="417">
        <v>158.36199999999999</v>
      </c>
      <c r="AF25" s="477">
        <v>132.44999999999999</v>
      </c>
      <c r="AG25" s="416">
        <v>143.684</v>
      </c>
      <c r="AH25" s="416">
        <v>155.10499999999999</v>
      </c>
      <c r="AI25" s="416">
        <v>154.16800000000001</v>
      </c>
      <c r="AJ25" s="477">
        <v>149.58799999999999</v>
      </c>
      <c r="AK25" s="416">
        <v>154.126</v>
      </c>
      <c r="AL25" s="416">
        <v>160.36000000000001</v>
      </c>
      <c r="AM25" s="417">
        <v>166.77500000000001</v>
      </c>
      <c r="AN25" s="477">
        <v>162.21</v>
      </c>
      <c r="AO25" s="416">
        <v>168.98699999999999</v>
      </c>
      <c r="AP25" s="416">
        <v>182.714</v>
      </c>
      <c r="AQ25" s="417">
        <v>180.33500000000001</v>
      </c>
      <c r="AR25" s="477">
        <v>177.69800000000001</v>
      </c>
      <c r="AS25" s="416">
        <v>187.499</v>
      </c>
      <c r="AT25" s="416">
        <v>189.74199999999999</v>
      </c>
      <c r="AU25" s="417">
        <v>164.12</v>
      </c>
      <c r="AV25" s="416">
        <v>170.09299999999999</v>
      </c>
      <c r="AW25" s="416">
        <v>180.56299999999999</v>
      </c>
      <c r="AX25" s="416">
        <v>183.14500000000001</v>
      </c>
      <c r="AY25" s="417">
        <v>183.209</v>
      </c>
      <c r="AZ25" s="416">
        <v>195.42500000000001</v>
      </c>
      <c r="BA25" s="416">
        <f>AZ25*(1+BA26)</f>
        <v>199.33350000000002</v>
      </c>
      <c r="BB25" s="416">
        <f t="shared" ref="BB25:BD25" si="155">BA25*(1+BB26)</f>
        <v>210.2968425</v>
      </c>
      <c r="BC25" s="416">
        <f t="shared" si="155"/>
        <v>221.86316883749998</v>
      </c>
      <c r="BD25" s="477">
        <f t="shared" si="155"/>
        <v>234.06564312356247</v>
      </c>
      <c r="BE25" s="416"/>
      <c r="BF25" s="416"/>
      <c r="BG25" s="417"/>
      <c r="BH25" s="416"/>
      <c r="BI25" s="416"/>
      <c r="BJ25" s="416"/>
      <c r="BK25" s="417"/>
      <c r="BL25" s="416"/>
      <c r="BM25" s="416"/>
      <c r="BN25" s="416"/>
      <c r="BO25" s="417"/>
      <c r="BP25" s="1470"/>
      <c r="BQ25" s="410"/>
      <c r="BR25" s="404"/>
      <c r="BS25" s="404"/>
      <c r="BT25" s="404"/>
      <c r="BU25" s="404"/>
      <c r="BV25" s="404"/>
      <c r="BW25" s="404"/>
      <c r="BX25" s="404"/>
      <c r="BY25" s="404"/>
      <c r="BZ25" s="404"/>
      <c r="CA25" s="404"/>
      <c r="CB25" s="404"/>
      <c r="CC25" s="404">
        <f>SUM(AZ25:BC25)</f>
        <v>826.91851133750004</v>
      </c>
      <c r="CD25" s="404"/>
      <c r="CE25" s="404"/>
      <c r="CF25" s="405"/>
      <c r="CG25" s="1031"/>
    </row>
    <row r="26" spans="1:85" ht="14.25" hidden="1" customHeight="1" outlineLevel="1">
      <c r="A26" s="634"/>
      <c r="B26" s="1233" t="s">
        <v>152</v>
      </c>
      <c r="C26" s="261"/>
      <c r="D26" s="153"/>
      <c r="E26" s="1211"/>
      <c r="F26" s="1211"/>
      <c r="G26" s="1212"/>
      <c r="H26" s="153"/>
      <c r="I26" s="1211"/>
      <c r="J26" s="1211"/>
      <c r="K26" s="1212"/>
      <c r="L26" s="153">
        <f t="shared" ref="L26" si="156">L25/K25-1</f>
        <v>-3.0662845629444213E-2</v>
      </c>
      <c r="M26" s="1211">
        <f t="shared" ref="M26" si="157">M25/L25-1</f>
        <v>-2.2289266038382993E-2</v>
      </c>
      <c r="N26" s="1211">
        <f t="shared" ref="N26" si="158">N25/M25-1</f>
        <v>-3.8700888572401615E-3</v>
      </c>
      <c r="O26" s="1212">
        <f t="shared" ref="O26" si="159">O25/N25-1</f>
        <v>3.5287292016327854E-2</v>
      </c>
      <c r="P26" s="153">
        <f t="shared" ref="P26" si="160">P25/O25-1</f>
        <v>9.7930509967176338E-2</v>
      </c>
      <c r="Q26" s="1211">
        <f t="shared" ref="Q26" si="161">Q25/P25-1</f>
        <v>4.5208451063674104E-3</v>
      </c>
      <c r="R26" s="1211">
        <f t="shared" ref="R26:S26" si="162">R25/Q25-1</f>
        <v>0.17025678250612475</v>
      </c>
      <c r="S26" s="1212">
        <f t="shared" si="162"/>
        <v>-0.24934482919037937</v>
      </c>
      <c r="T26" s="153">
        <f t="shared" ref="T26" si="163">T25/S25-1</f>
        <v>0.2612301812735629</v>
      </c>
      <c r="U26" s="1211">
        <f t="shared" ref="U26" si="164">U25/T25-1</f>
        <v>-0.30886279134522465</v>
      </c>
      <c r="V26" s="1211">
        <f t="shared" ref="V26" si="165">V25/U25-1</f>
        <v>-1.4041615318987621E-2</v>
      </c>
      <c r="W26" s="1212">
        <f t="shared" ref="W26" si="166">W25/V25-1</f>
        <v>0.16354393260182443</v>
      </c>
      <c r="X26" s="153">
        <f t="shared" ref="X26" si="167">X25/W25-1</f>
        <v>0.13863554201311779</v>
      </c>
      <c r="Y26" s="1211">
        <f t="shared" ref="Y26" si="168">Y25/X25-1</f>
        <v>0.18613532661447607</v>
      </c>
      <c r="Z26" s="1211">
        <f t="shared" ref="Z26" si="169">Z25/Y25-1</f>
        <v>0.20415889137018572</v>
      </c>
      <c r="AA26" s="1212">
        <f t="shared" ref="AA26" si="170">AA25/Z25-1</f>
        <v>8.5925144965735445E-2</v>
      </c>
      <c r="AB26" s="153">
        <f t="shared" ref="AB26" si="171">AB25/AA25-1</f>
        <v>7.6956369165984473E-2</v>
      </c>
      <c r="AC26" s="1211">
        <f t="shared" ref="AC26" si="172">AC25/AB25-1</f>
        <v>-4.0958411626063063E-2</v>
      </c>
      <c r="AD26" s="1211">
        <f t="shared" ref="AD26" si="173">AD25/AC25-1</f>
        <v>1.5192869600670456E-2</v>
      </c>
      <c r="AE26" s="1212">
        <f t="shared" ref="AE26" si="174">AE25/AD25-1</f>
        <v>-0.11667289531958569</v>
      </c>
      <c r="AF26" s="153">
        <f t="shared" ref="AF26" si="175">AF25/AE25-1</f>
        <v>-0.16362511208496988</v>
      </c>
      <c r="AG26" s="1211">
        <f t="shared" ref="AG26" si="176">AG25/AF25-1</f>
        <v>8.4816912042280146E-2</v>
      </c>
      <c r="AH26" s="1211">
        <f t="shared" ref="AH26" si="177">AH25/AG25-1</f>
        <v>7.9486929651178873E-2</v>
      </c>
      <c r="AI26" s="1211">
        <f t="shared" ref="AI26" si="178">AI25/AH25-1</f>
        <v>-6.0410689532895967E-3</v>
      </c>
      <c r="AJ26" s="153">
        <f t="shared" ref="AJ26" si="179">AJ25/AI25-1</f>
        <v>-2.9707851175341249E-2</v>
      </c>
      <c r="AK26" s="1211">
        <f t="shared" ref="AK26" si="180">AK25/AJ25-1</f>
        <v>3.033665802069696E-2</v>
      </c>
      <c r="AL26" s="1211">
        <f t="shared" ref="AL26" si="181">AL25/AK25-1</f>
        <v>4.0447426131866138E-2</v>
      </c>
      <c r="AM26" s="1212">
        <f t="shared" ref="AM26" si="182">AM25/AL25-1</f>
        <v>4.0003741581441599E-2</v>
      </c>
      <c r="AN26" s="153">
        <f t="shared" ref="AN26" si="183">AN25/AM25-1</f>
        <v>-2.737220806475793E-2</v>
      </c>
      <c r="AO26" s="1211">
        <f t="shared" ref="AO26" si="184">AO25/AN25-1</f>
        <v>4.1779175143332736E-2</v>
      </c>
      <c r="AP26" s="1211">
        <f t="shared" ref="AP26" si="185">AP25/AO25-1</f>
        <v>8.1231100617207286E-2</v>
      </c>
      <c r="AQ26" s="1212">
        <f t="shared" ref="AQ26" si="186">AQ25/AP25-1</f>
        <v>-1.3020348741749399E-2</v>
      </c>
      <c r="AR26" s="153">
        <f t="shared" ref="AR26" si="187">AR25/AQ25-1</f>
        <v>-1.4622785371669389E-2</v>
      </c>
      <c r="AS26" s="1211">
        <f t="shared" ref="AS26" si="188">AS25/AR25-1</f>
        <v>5.5155375974968779E-2</v>
      </c>
      <c r="AT26" s="1211">
        <f t="shared" ref="AT26" si="189">AT25/AS25-1</f>
        <v>1.1962730467895755E-2</v>
      </c>
      <c r="AU26" s="1212">
        <f t="shared" ref="AU26" si="190">AU25/AT25-1</f>
        <v>-0.13503599624753604</v>
      </c>
      <c r="AV26" s="1211">
        <f t="shared" ref="AV26" si="191">AV25/AU25-1</f>
        <v>3.6394101876675578E-2</v>
      </c>
      <c r="AW26" s="1211">
        <f t="shared" ref="AW26" si="192">AW25/AV25-1</f>
        <v>6.1554561328214463E-2</v>
      </c>
      <c r="AX26" s="1211">
        <f t="shared" ref="AX26" si="193">AX25/AW25-1</f>
        <v>1.4299718103930603E-2</v>
      </c>
      <c r="AY26" s="1212">
        <f t="shared" ref="AY26" si="194">AY25/AX25-1</f>
        <v>3.4944988943186317E-4</v>
      </c>
      <c r="AZ26" s="1321">
        <f t="shared" ref="AZ26" si="195">AZ25/AY25-1</f>
        <v>6.6677947044086361E-2</v>
      </c>
      <c r="BA26" s="1331">
        <v>0.02</v>
      </c>
      <c r="BB26" s="1331">
        <v>5.5E-2</v>
      </c>
      <c r="BC26" s="1331">
        <v>5.5E-2</v>
      </c>
      <c r="BD26" s="98">
        <v>5.5E-2</v>
      </c>
      <c r="BE26" s="96"/>
      <c r="BF26" s="1326"/>
      <c r="BG26" s="1327"/>
      <c r="BH26" s="1326"/>
      <c r="BI26" s="96"/>
      <c r="BJ26" s="96"/>
      <c r="BK26" s="97"/>
      <c r="BL26" s="1331"/>
      <c r="BM26" s="1331"/>
      <c r="BN26" s="1331"/>
      <c r="BO26" s="1332"/>
      <c r="BP26" s="23"/>
      <c r="BQ26" s="1277"/>
      <c r="BR26" s="1271"/>
      <c r="BS26" s="1271"/>
      <c r="BT26" s="1271"/>
      <c r="BU26" s="1425"/>
      <c r="BV26" s="1425"/>
      <c r="BW26" s="1425"/>
      <c r="BX26" s="1425"/>
      <c r="BY26" s="1425"/>
      <c r="BZ26" s="1425"/>
      <c r="CA26" s="1425"/>
      <c r="CB26" s="1271"/>
      <c r="CC26" s="1271"/>
      <c r="CD26" s="1271"/>
      <c r="CE26" s="1425"/>
      <c r="CF26" s="1426"/>
      <c r="CG26" s="1031"/>
    </row>
    <row r="27" spans="1:85" ht="14.25" hidden="1" customHeight="1" outlineLevel="1">
      <c r="A27" s="634"/>
      <c r="B27" s="1233" t="s">
        <v>313</v>
      </c>
      <c r="C27" s="261"/>
      <c r="D27" s="153"/>
      <c r="E27" s="1211"/>
      <c r="F27" s="1211"/>
      <c r="G27" s="1212"/>
      <c r="H27" s="153"/>
      <c r="I27" s="1211"/>
      <c r="J27" s="1211"/>
      <c r="K27" s="1212"/>
      <c r="L27" s="153"/>
      <c r="M27" s="1211"/>
      <c r="N27" s="1211"/>
      <c r="O27" s="1212"/>
      <c r="P27" s="153"/>
      <c r="Q27" s="1211"/>
      <c r="R27" s="1211"/>
      <c r="S27" s="1212"/>
      <c r="T27" s="153"/>
      <c r="U27" s="1211"/>
      <c r="V27" s="1211"/>
      <c r="W27" s="1212"/>
      <c r="X27" s="153"/>
      <c r="Y27" s="1211"/>
      <c r="Z27" s="1211"/>
      <c r="AA27" s="1212"/>
      <c r="AB27" s="153"/>
      <c r="AC27" s="1211" t="s">
        <v>316</v>
      </c>
      <c r="AD27" s="1211"/>
      <c r="AE27" s="1212"/>
      <c r="AF27" s="1211"/>
      <c r="AG27" s="263"/>
      <c r="AH27" s="263"/>
      <c r="AI27" s="1211"/>
      <c r="AJ27" s="153">
        <f t="shared" ref="AJ27" si="196">AVERAGE(AF26,AB26,X26,X26,T26,P26,L26)</f>
        <v>7.4157169531220743E-2</v>
      </c>
      <c r="AK27" s="1211">
        <f t="shared" ref="AK27" si="197">AVERAGE(AG26,AC26,Y26,Y26,U26,Q26,M26)</f>
        <v>1.2785420195418427E-2</v>
      </c>
      <c r="AL27" s="263">
        <f t="shared" ref="AL27" si="198">AVERAGE(AH26,AD26,Z26,Z26,V26,R26,N26)</f>
        <v>9.3620380046016818E-2</v>
      </c>
      <c r="AM27" s="1212">
        <f t="shared" ref="AM27" si="199">AVERAGE(AI26,AE26,AA26,AA26,W26,S26,O26)</f>
        <v>-1.9675413051878365E-4</v>
      </c>
      <c r="AN27" s="153">
        <f t="shared" ref="AN27" si="200">AVERAGE(AJ26,AF26,AB26,AB26,X26,T26,P26)</f>
        <v>6.5482286903644979E-2</v>
      </c>
      <c r="AO27" s="1211">
        <f t="shared" ref="AO27" si="201">AVERAGE(AK26,AG26,AC26,AC26,Y26,U26,Q26)</f>
        <v>-1.2138553259075742E-2</v>
      </c>
      <c r="AP27" s="263">
        <f t="shared" ref="AP27" si="202">AVERAGE(AL26,AH26,AD26,AD26,Z26,V26,R26)</f>
        <v>7.2956307648815541E-2</v>
      </c>
      <c r="AQ27" s="1212">
        <f t="shared" ref="AQ27" si="203">AVERAGE(AM26,AI26,AE26,AE26,AA26,W26,S26)</f>
        <v>-2.8465552804834125E-2</v>
      </c>
      <c r="AR27" s="153">
        <f t="shared" ref="AR27" si="204">AVERAGE(AN26,AJ26,AF26,AF26,AB26,X26,T26)</f>
        <v>1.3213115577518031E-2</v>
      </c>
      <c r="AS27" s="1211">
        <f t="shared" ref="AS27" si="205">AVERAGE(AO26,AK26,AG26,AG26,AC26,Y26,U26)</f>
        <v>1.1151968698825478E-2</v>
      </c>
      <c r="AT27" s="263">
        <f t="shared" ref="AT27" si="206">AVERAGE(AP26,AL26,AH26,AH26,AD26,Z26,V26)</f>
        <v>6.9423218814757104E-2</v>
      </c>
      <c r="AU27" s="1212">
        <f t="shared" ref="AU27" si="207">AVERAGE(AQ26,AM26,AI26,AI26,AE26,AA26,W26)</f>
        <v>2.1099633883012454E-2</v>
      </c>
      <c r="AV27" s="263">
        <f t="shared" ref="AV27" si="208">AVERAGE(AR26,AN26,AJ26,AJ26,AF26,AB26,X26)</f>
        <v>-7.0634138132824919E-3</v>
      </c>
      <c r="AW27" s="263">
        <f t="shared" ref="AW27" si="209">AVERAGE(AS26,AO26,AK26,AK26,AG26,AC26,Y26)</f>
        <v>5.5371670598626944E-2</v>
      </c>
      <c r="AX27" s="263">
        <f t="shared" ref="AX27" si="210">AVERAGE(AT26,AP26,AL26,AL26,AH26,AD26,Z26)</f>
        <v>6.7561053424410059E-2</v>
      </c>
      <c r="AY27" s="1212">
        <f t="shared" ref="AY27" si="211">AVERAGE(AU26,AQ26,AM26,AM26,AI26,AE26,AA26)</f>
        <v>-1.4976811590506012E-2</v>
      </c>
      <c r="AZ27" s="1321">
        <f t="shared" ref="AZ27" si="212">AVERAGE(AV26,AR26,AN26,AN26,AJ26,AF26,AB26)</f>
        <v>-2.1335670531262334E-2</v>
      </c>
      <c r="BA27" s="1321">
        <f t="shared" ref="BA27" si="213">AW27</f>
        <v>5.5371670598626944E-2</v>
      </c>
      <c r="BB27" s="1321">
        <f t="shared" ref="BB27:BD27" si="214">AX27</f>
        <v>6.7561053424410059E-2</v>
      </c>
      <c r="BC27" s="1389">
        <f t="shared" si="214"/>
        <v>-1.4976811590506012E-2</v>
      </c>
      <c r="BD27" s="1323">
        <f t="shared" si="214"/>
        <v>-2.1335670531262334E-2</v>
      </c>
      <c r="BE27" s="1211"/>
      <c r="BF27" s="1211"/>
      <c r="BG27" s="1212"/>
      <c r="BH27" s="1211"/>
      <c r="BI27" s="1211"/>
      <c r="BJ27" s="1211"/>
      <c r="BK27" s="1212"/>
      <c r="BL27" s="1389"/>
      <c r="BM27" s="1389"/>
      <c r="BN27" s="1389"/>
      <c r="BO27" s="1322"/>
      <c r="BP27" s="23"/>
      <c r="BQ27" s="462"/>
      <c r="BR27" s="473"/>
      <c r="BS27" s="473"/>
      <c r="BT27" s="473"/>
      <c r="BU27" s="473"/>
      <c r="BV27" s="473"/>
      <c r="BW27" s="473"/>
      <c r="BX27" s="473"/>
      <c r="BY27" s="473"/>
      <c r="BZ27" s="473"/>
      <c r="CA27" s="473"/>
      <c r="CB27" s="413"/>
      <c r="CC27" s="1271"/>
      <c r="CD27" s="413"/>
      <c r="CE27" s="413"/>
      <c r="CF27" s="412"/>
      <c r="CG27" s="1031"/>
    </row>
    <row r="28" spans="1:85" ht="14.25" hidden="1" customHeight="1" outlineLevel="1">
      <c r="A28" s="634"/>
      <c r="B28" s="1233" t="s">
        <v>153</v>
      </c>
      <c r="C28" s="39"/>
      <c r="D28" s="153"/>
      <c r="E28" s="1211"/>
      <c r="F28" s="1211"/>
      <c r="G28" s="1212"/>
      <c r="H28" s="153"/>
      <c r="I28" s="1211"/>
      <c r="J28" s="1211"/>
      <c r="K28" s="1212"/>
      <c r="L28" s="153"/>
      <c r="M28" s="1211"/>
      <c r="N28" s="1211"/>
      <c r="O28" s="1212">
        <f t="shared" ref="O28" si="215">O25/K25-1</f>
        <v>-2.2623018162967967E-2</v>
      </c>
      <c r="P28" s="153">
        <f t="shared" ref="P28" si="216">P25/L25-1</f>
        <v>0.10703690997517823</v>
      </c>
      <c r="Q28" s="1211">
        <f t="shared" ref="Q28" si="217">Q25/M25-1</f>
        <v>0.13739331455050197</v>
      </c>
      <c r="R28" s="1211">
        <f t="shared" ref="R28:S28" si="218">R25/N25-1</f>
        <v>0.33621350572926367</v>
      </c>
      <c r="S28" s="1212">
        <f t="shared" si="218"/>
        <v>-3.1152429749419563E-2</v>
      </c>
      <c r="T28" s="153">
        <f t="shared" ref="T28" si="219">T25/P25-1</f>
        <v>0.11294821080263229</v>
      </c>
      <c r="U28" s="1211">
        <f t="shared" ref="U28" si="220">U25/Q25-1</f>
        <v>-0.23426186371472646</v>
      </c>
      <c r="V28" s="1211">
        <f t="shared" ref="V28" si="221">V25/R25-1</f>
        <v>-0.35485446679175647</v>
      </c>
      <c r="W28" s="1212">
        <f t="shared" ref="W28" si="222">W25/S25-1</f>
        <v>0</v>
      </c>
      <c r="X28" s="153">
        <f t="shared" ref="X28" si="223">X25/T25-1</f>
        <v>-9.720243067498735E-2</v>
      </c>
      <c r="Y28" s="1211">
        <f t="shared" ref="Y28" si="224">Y25/U25-1</f>
        <v>0.54938856763674293</v>
      </c>
      <c r="Z28" s="1211">
        <f t="shared" ref="Z28" si="225">Z25/V25-1</f>
        <v>0.89228069753746686</v>
      </c>
      <c r="AA28" s="1212">
        <f t="shared" ref="AA28" si="226">AA25/W25-1</f>
        <v>0.76604864948613338</v>
      </c>
      <c r="AB28" s="153">
        <f t="shared" ref="AB28" si="227">AB25/X25-1</f>
        <v>0.67038290229233399</v>
      </c>
      <c r="AC28" s="1211">
        <f t="shared" ref="AC28" si="228">AC25/Y25-1</f>
        <v>0.35057664657835974</v>
      </c>
      <c r="AD28" s="1211">
        <f t="shared" ref="AD28" si="229">AD25/Z25-1</f>
        <v>0.13863360664587709</v>
      </c>
      <c r="AE28" s="1212">
        <f t="shared" ref="AE28" si="230">AE25/AA25-1</f>
        <v>-7.3798105041525286E-2</v>
      </c>
      <c r="AF28" s="263">
        <f t="shared" ref="AF28" si="231">AF25/AB25-1</f>
        <v>-0.2807025165908178</v>
      </c>
      <c r="AG28" s="263">
        <f t="shared" ref="AG28" si="232">AG25/AC25-1</f>
        <v>-0.18636888717751254</v>
      </c>
      <c r="AH28" s="1211">
        <f t="shared" ref="AH28" si="233">AH25/AD25-1</f>
        <v>-0.13484010954991943</v>
      </c>
      <c r="AI28" s="1211">
        <f t="shared" ref="AI28" si="234">AI25/AE25-1</f>
        <v>-2.6483626122428272E-2</v>
      </c>
      <c r="AJ28" s="153">
        <f t="shared" ref="AJ28" si="235">AJ25/AF25-1</f>
        <v>0.12939222348055868</v>
      </c>
      <c r="AK28" s="1211">
        <f t="shared" ref="AK28" si="236">AK25/AG25-1</f>
        <v>7.2673366554383279E-2</v>
      </c>
      <c r="AL28" s="1211">
        <f t="shared" ref="AL28" si="237">AL25/AH25-1</f>
        <v>3.3880274652654752E-2</v>
      </c>
      <c r="AM28" s="1212">
        <f t="shared" ref="AM28" si="238">AM25/AI25-1</f>
        <v>8.1774427896839752E-2</v>
      </c>
      <c r="AN28" s="153">
        <f t="shared" ref="AN28" si="239">AN25/AJ25-1</f>
        <v>8.4378426076958224E-2</v>
      </c>
      <c r="AO28" s="1211">
        <f t="shared" ref="AO28" si="240">AO25/AK25-1</f>
        <v>9.642111000090825E-2</v>
      </c>
      <c r="AP28" s="1211">
        <f t="shared" ref="AP28" si="241">AP25/AL25-1</f>
        <v>0.13939885258169116</v>
      </c>
      <c r="AQ28" s="1212">
        <f t="shared" ref="AQ28" si="242">AQ25/AM25-1</f>
        <v>8.1307150352271096E-2</v>
      </c>
      <c r="AR28" s="153">
        <f t="shared" ref="AR28" si="243">AR25/AN25-1</f>
        <v>9.5481166389248529E-2</v>
      </c>
      <c r="AS28" s="1211">
        <f t="shared" ref="AS28" si="244">AS25/AO25-1</f>
        <v>0.10954688822217085</v>
      </c>
      <c r="AT28" s="1211">
        <f t="shared" ref="AT28" si="245">AT25/AP25-1</f>
        <v>3.8464485480039778E-2</v>
      </c>
      <c r="AU28" s="1212">
        <f t="shared" ref="AU28" si="246">AU25/AQ25-1</f>
        <v>-8.9915989685862452E-2</v>
      </c>
      <c r="AV28" s="1211">
        <f t="shared" ref="AV28" si="247">AV25/AR25-1</f>
        <v>-4.279733030197308E-2</v>
      </c>
      <c r="AW28" s="1211">
        <f t="shared" ref="AW28" si="248">AW25/AS25-1</f>
        <v>-3.6992197291718876E-2</v>
      </c>
      <c r="AX28" s="1211">
        <f t="shared" ref="AX28" si="249">AX25/AT25-1</f>
        <v>-3.4768264274646521E-2</v>
      </c>
      <c r="AY28" s="1212">
        <f t="shared" ref="AY28" si="250">AY25/AU25-1</f>
        <v>0.11631123568120882</v>
      </c>
      <c r="AZ28" s="1321">
        <f t="shared" ref="AZ28" si="251">AZ25/AV25-1</f>
        <v>0.1489302910760586</v>
      </c>
      <c r="BA28" s="1321">
        <f t="shared" ref="BA28" si="252">BA25/AW25-1</f>
        <v>0.10395540614633125</v>
      </c>
      <c r="BB28" s="1321">
        <f t="shared" ref="BB28:BD28" si="253">BB25/AX25-1</f>
        <v>0.14825325561713387</v>
      </c>
      <c r="BC28" s="1389">
        <f t="shared" si="253"/>
        <v>0.21098400644891879</v>
      </c>
      <c r="BD28" s="1323">
        <f t="shared" si="253"/>
        <v>0.19772620249999973</v>
      </c>
      <c r="BE28" s="1211"/>
      <c r="BF28" s="1211"/>
      <c r="BG28" s="1212"/>
      <c r="BH28" s="1211"/>
      <c r="BI28" s="1211"/>
      <c r="BJ28" s="1211"/>
      <c r="BK28" s="1212"/>
      <c r="BL28" s="1389"/>
      <c r="BM28" s="1389"/>
      <c r="BN28" s="1389"/>
      <c r="BO28" s="1322"/>
      <c r="BP28" s="23"/>
      <c r="BQ28" s="823"/>
      <c r="BR28" s="413"/>
      <c r="BS28" s="413"/>
      <c r="BT28" s="413"/>
      <c r="BU28" s="413"/>
      <c r="BV28" s="413"/>
      <c r="BW28" s="413"/>
      <c r="BX28" s="413"/>
      <c r="BY28" s="413"/>
      <c r="BZ28" s="413"/>
      <c r="CA28" s="413"/>
      <c r="CB28" s="413"/>
      <c r="CC28" s="413"/>
      <c r="CD28" s="413"/>
      <c r="CE28" s="413"/>
      <c r="CF28" s="412"/>
      <c r="CG28" s="1031"/>
    </row>
    <row r="29" spans="1:85" ht="14.25" hidden="1" customHeight="1" outlineLevel="1">
      <c r="A29" s="634"/>
      <c r="B29" s="1233" t="s">
        <v>602</v>
      </c>
      <c r="C29" s="813"/>
      <c r="D29" s="1321"/>
      <c r="E29" s="1321"/>
      <c r="F29" s="1321"/>
      <c r="G29" s="1322"/>
      <c r="H29" s="1321"/>
      <c r="I29" s="1321"/>
      <c r="J29" s="1321"/>
      <c r="K29" s="1322"/>
      <c r="L29" s="1321"/>
      <c r="M29" s="1321"/>
      <c r="N29" s="1321"/>
      <c r="O29" s="1322"/>
      <c r="P29" s="1321"/>
      <c r="Q29" s="1321"/>
      <c r="R29" s="1321"/>
      <c r="S29" s="1322"/>
      <c r="T29" s="1321"/>
      <c r="U29" s="1321"/>
      <c r="V29" s="1321"/>
      <c r="W29" s="1322"/>
      <c r="X29" s="1321"/>
      <c r="Y29" s="1321"/>
      <c r="Z29" s="1321"/>
      <c r="AA29" s="1322"/>
      <c r="AB29" s="1321"/>
      <c r="AC29" s="1321"/>
      <c r="AD29" s="1321"/>
      <c r="AE29" s="1322"/>
      <c r="AF29" s="1324"/>
      <c r="AG29" s="1324"/>
      <c r="AH29" s="1321"/>
      <c r="AI29" s="1321"/>
      <c r="AJ29" s="1323"/>
      <c r="AK29" s="1321"/>
      <c r="AL29" s="1321"/>
      <c r="AM29" s="1322"/>
      <c r="AN29" s="1321"/>
      <c r="AO29" s="1321"/>
      <c r="AP29" s="1321"/>
      <c r="AQ29" s="1322"/>
      <c r="AR29" s="1321"/>
      <c r="AS29" s="1321"/>
      <c r="AT29" s="1321"/>
      <c r="AU29" s="1322"/>
      <c r="AV29" s="1321"/>
      <c r="AW29" s="1321"/>
      <c r="AX29" s="1321"/>
      <c r="AY29" s="1322"/>
      <c r="AZ29" s="1321"/>
      <c r="BA29" s="1321">
        <f t="shared" ref="BA29:BB29" si="254">BA25/BA$136</f>
        <v>0.53162293614770895</v>
      </c>
      <c r="BB29" s="1321">
        <f t="shared" si="254"/>
        <v>0.53935970605244776</v>
      </c>
      <c r="BC29" s="1389">
        <f t="shared" ref="BC29" si="255">BC25/BC$136</f>
        <v>0.54673072592630689</v>
      </c>
      <c r="BD29" s="1323">
        <f t="shared" ref="BD29" si="256">BD25/BD$136</f>
        <v>0.55372366725068289</v>
      </c>
      <c r="BE29" s="1321"/>
      <c r="BF29" s="1321"/>
      <c r="BG29" s="1322"/>
      <c r="BH29" s="1321"/>
      <c r="BI29" s="1321"/>
      <c r="BJ29" s="1321"/>
      <c r="BK29" s="1321"/>
      <c r="BL29" s="1389"/>
      <c r="BM29" s="1389"/>
      <c r="BN29" s="1389"/>
      <c r="BO29" s="1389"/>
      <c r="BP29" s="23"/>
      <c r="BQ29" s="823"/>
      <c r="BR29" s="413"/>
      <c r="BS29" s="413"/>
      <c r="BT29" s="413"/>
      <c r="BU29" s="413"/>
      <c r="BV29" s="413"/>
      <c r="BW29" s="413"/>
      <c r="BX29" s="413"/>
      <c r="BY29" s="413"/>
      <c r="BZ29" s="413"/>
      <c r="CA29" s="413"/>
      <c r="CB29" s="413"/>
      <c r="CC29" s="413"/>
      <c r="CD29" s="413"/>
      <c r="CE29" s="413"/>
      <c r="CF29" s="412"/>
      <c r="CG29" s="1031"/>
    </row>
    <row r="30" spans="1:85" ht="14.25" hidden="1" customHeight="1" outlineLevel="1">
      <c r="A30" s="634"/>
      <c r="B30" s="1333" t="s">
        <v>593</v>
      </c>
      <c r="C30" s="813"/>
      <c r="D30" s="1321"/>
      <c r="E30" s="1321"/>
      <c r="F30" s="1321"/>
      <c r="G30" s="1322"/>
      <c r="H30" s="1321"/>
      <c r="I30" s="1321"/>
      <c r="J30" s="1321"/>
      <c r="K30" s="1322"/>
      <c r="L30" s="1321"/>
      <c r="M30" s="1321"/>
      <c r="N30" s="1321"/>
      <c r="O30" s="1322"/>
      <c r="P30" s="1321"/>
      <c r="Q30" s="1321"/>
      <c r="R30" s="1321"/>
      <c r="S30" s="1322"/>
      <c r="T30" s="1321"/>
      <c r="U30" s="1321"/>
      <c r="V30" s="1321"/>
      <c r="W30" s="1322"/>
      <c r="X30" s="1321"/>
      <c r="Y30" s="1321"/>
      <c r="Z30" s="1321"/>
      <c r="AA30" s="1322"/>
      <c r="AB30" s="1321"/>
      <c r="AC30" s="1321"/>
      <c r="AD30" s="1321"/>
      <c r="AE30" s="1322"/>
      <c r="AF30" s="1324"/>
      <c r="AG30" s="1324"/>
      <c r="AH30" s="1321"/>
      <c r="AI30" s="1321"/>
      <c r="AJ30" s="1323"/>
      <c r="AK30" s="1321"/>
      <c r="AL30" s="1321"/>
      <c r="AM30" s="1322"/>
      <c r="AN30" s="1321"/>
      <c r="AO30" s="1321"/>
      <c r="AP30" s="1321"/>
      <c r="AQ30" s="1322"/>
      <c r="AR30" s="1321"/>
      <c r="AS30" s="1321"/>
      <c r="AT30" s="1321"/>
      <c r="AU30" s="1322"/>
      <c r="AV30" s="1321"/>
      <c r="AW30" s="1321"/>
      <c r="AX30" s="1321"/>
      <c r="AY30" s="1322"/>
      <c r="AZ30" s="1317"/>
      <c r="BA30" s="1317">
        <f>5/9*BA25</f>
        <v>110.74083333333334</v>
      </c>
      <c r="BB30" s="1317">
        <f>BB25</f>
        <v>210.2968425</v>
      </c>
      <c r="BC30" s="1317">
        <f>BC25</f>
        <v>221.86316883749998</v>
      </c>
      <c r="BD30" s="1479">
        <f>BD25</f>
        <v>234.06564312356247</v>
      </c>
      <c r="BE30" s="1317"/>
      <c r="BF30" s="1317"/>
      <c r="BG30" s="1316"/>
      <c r="BH30" s="1317"/>
      <c r="BI30" s="1317"/>
      <c r="BJ30" s="1317"/>
      <c r="BK30" s="1317"/>
      <c r="BL30" s="1317"/>
      <c r="BM30" s="1317"/>
      <c r="BN30" s="1317"/>
      <c r="BO30" s="1317"/>
      <c r="BP30" s="1471"/>
      <c r="BQ30" s="1325"/>
      <c r="BR30" s="1321"/>
      <c r="BS30" s="1321"/>
      <c r="BT30" s="1321"/>
      <c r="BU30" s="1389"/>
      <c r="BV30" s="1389"/>
      <c r="BW30" s="1389"/>
      <c r="BX30" s="1389"/>
      <c r="BY30" s="1389"/>
      <c r="BZ30" s="1389"/>
      <c r="CA30" s="1389"/>
      <c r="CB30" s="1324"/>
      <c r="CC30" s="404">
        <f>CC12-CC19</f>
        <v>432.16001133749978</v>
      </c>
      <c r="CD30" s="404"/>
      <c r="CE30" s="404"/>
      <c r="CF30" s="405"/>
      <c r="CG30" s="1031"/>
    </row>
    <row r="31" spans="1:85" ht="14.25" hidden="1" customHeight="1" outlineLevel="1">
      <c r="A31" s="634"/>
      <c r="B31" s="1333" t="s">
        <v>153</v>
      </c>
      <c r="C31" s="813"/>
      <c r="D31" s="1321"/>
      <c r="E31" s="1321"/>
      <c r="F31" s="1321"/>
      <c r="G31" s="1322"/>
      <c r="H31" s="1321"/>
      <c r="I31" s="1321"/>
      <c r="J31" s="1321"/>
      <c r="K31" s="1322"/>
      <c r="L31" s="1321"/>
      <c r="M31" s="1321"/>
      <c r="N31" s="1321"/>
      <c r="O31" s="1322"/>
      <c r="P31" s="1321"/>
      <c r="Q31" s="1321"/>
      <c r="R31" s="1321"/>
      <c r="S31" s="1322"/>
      <c r="T31" s="1321"/>
      <c r="U31" s="1321"/>
      <c r="V31" s="1321"/>
      <c r="W31" s="1322"/>
      <c r="X31" s="1321"/>
      <c r="Y31" s="1321"/>
      <c r="Z31" s="1321"/>
      <c r="AA31" s="1322"/>
      <c r="AB31" s="1321"/>
      <c r="AC31" s="1321"/>
      <c r="AD31" s="1321"/>
      <c r="AE31" s="1322"/>
      <c r="AF31" s="1324"/>
      <c r="AG31" s="1324"/>
      <c r="AH31" s="1321"/>
      <c r="AI31" s="1321"/>
      <c r="AJ31" s="1323"/>
      <c r="AK31" s="1321"/>
      <c r="AL31" s="1321"/>
      <c r="AM31" s="1322"/>
      <c r="AN31" s="1321"/>
      <c r="AO31" s="1321"/>
      <c r="AP31" s="1321"/>
      <c r="AQ31" s="1322"/>
      <c r="AR31" s="1321"/>
      <c r="AS31" s="1321"/>
      <c r="AT31" s="1321"/>
      <c r="AU31" s="1322"/>
      <c r="AV31" s="1321"/>
      <c r="AW31" s="1321"/>
      <c r="AX31" s="1321"/>
      <c r="AY31" s="1322"/>
      <c r="AZ31" s="1317"/>
      <c r="BA31" s="1321"/>
      <c r="BB31" s="1321"/>
      <c r="BC31" s="1389"/>
      <c r="BD31" s="1323"/>
      <c r="BE31" s="1321"/>
      <c r="BF31" s="1321"/>
      <c r="BG31" s="1322"/>
      <c r="BH31" s="1321"/>
      <c r="BI31" s="1321"/>
      <c r="BJ31" s="1321"/>
      <c r="BK31" s="1322"/>
      <c r="BL31" s="1389"/>
      <c r="BM31" s="1389"/>
      <c r="BN31" s="1389"/>
      <c r="BO31" s="1322"/>
      <c r="BP31" s="1471"/>
      <c r="BQ31" s="1325"/>
      <c r="BR31" s="1321"/>
      <c r="BS31" s="1321"/>
      <c r="BT31" s="1321"/>
      <c r="BU31" s="1389"/>
      <c r="BV31" s="1389"/>
      <c r="BW31" s="1389"/>
      <c r="BX31" s="1389"/>
      <c r="BY31" s="1389"/>
      <c r="BZ31" s="1389"/>
      <c r="CA31" s="1389"/>
      <c r="CB31" s="1324"/>
      <c r="CC31" s="1315"/>
      <c r="CD31" s="413"/>
      <c r="CE31" s="413"/>
      <c r="CF31" s="412"/>
      <c r="CG31" s="1031"/>
    </row>
    <row r="32" spans="1:85" ht="14.25" customHeight="1" collapsed="1">
      <c r="A32" s="634"/>
      <c r="B32" s="1234"/>
      <c r="C32" s="284"/>
      <c r="D32" s="390"/>
      <c r="E32" s="264"/>
      <c r="F32" s="264"/>
      <c r="G32" s="265"/>
      <c r="H32" s="390"/>
      <c r="I32" s="264"/>
      <c r="J32" s="264"/>
      <c r="K32" s="265"/>
      <c r="L32" s="390"/>
      <c r="M32" s="264"/>
      <c r="N32" s="264"/>
      <c r="O32" s="265"/>
      <c r="P32" s="390"/>
      <c r="Q32" s="264"/>
      <c r="R32" s="264"/>
      <c r="S32" s="265"/>
      <c r="T32" s="390"/>
      <c r="U32" s="264"/>
      <c r="V32" s="264"/>
      <c r="W32" s="265"/>
      <c r="X32" s="390"/>
      <c r="Y32" s="264"/>
      <c r="Z32" s="264"/>
      <c r="AA32" s="265"/>
      <c r="AB32" s="390"/>
      <c r="AC32" s="264"/>
      <c r="AD32" s="264"/>
      <c r="AE32" s="265"/>
      <c r="AF32" s="244"/>
      <c r="AG32" s="342"/>
      <c r="AH32" s="264"/>
      <c r="AI32" s="354"/>
      <c r="AJ32" s="67"/>
      <c r="AK32" s="74"/>
      <c r="AL32" s="264"/>
      <c r="AM32" s="355"/>
      <c r="AN32" s="67"/>
      <c r="AO32" s="74"/>
      <c r="AP32" s="264"/>
      <c r="AQ32" s="355"/>
      <c r="AR32" s="67"/>
      <c r="AS32" s="74"/>
      <c r="AT32" s="264"/>
      <c r="AU32" s="355"/>
      <c r="AV32" s="264"/>
      <c r="AW32" s="74"/>
      <c r="AX32" s="74"/>
      <c r="AY32" s="68"/>
      <c r="AZ32" s="74"/>
      <c r="BA32" s="74"/>
      <c r="BB32" s="74"/>
      <c r="BC32" s="74"/>
      <c r="BD32" s="26"/>
      <c r="BE32" s="74"/>
      <c r="BF32" s="74"/>
      <c r="BG32" s="68"/>
      <c r="BH32" s="74"/>
      <c r="BI32" s="74"/>
      <c r="BJ32" s="74"/>
      <c r="BK32" s="68"/>
      <c r="BL32" s="74"/>
      <c r="BM32" s="74"/>
      <c r="BN32" s="74"/>
      <c r="BO32" s="68"/>
      <c r="BP32" s="23"/>
      <c r="BQ32" s="18"/>
      <c r="BR32" s="244"/>
      <c r="BS32" s="244"/>
      <c r="BT32" s="244"/>
      <c r="BU32" s="244"/>
      <c r="BV32" s="244"/>
      <c r="BW32" s="244"/>
      <c r="BX32" s="244"/>
      <c r="BY32" s="244"/>
      <c r="BZ32" s="244"/>
      <c r="CA32" s="244"/>
      <c r="CB32" s="244"/>
      <c r="CC32" s="244"/>
      <c r="CD32" s="244"/>
      <c r="CE32" s="244"/>
      <c r="CF32" s="19"/>
      <c r="CG32" s="1031"/>
    </row>
    <row r="33" spans="1:85" ht="14.25" customHeight="1">
      <c r="A33" s="635"/>
      <c r="B33" s="51" t="s">
        <v>259</v>
      </c>
      <c r="C33" s="341"/>
      <c r="D33" s="414"/>
      <c r="E33" s="414"/>
      <c r="F33" s="414"/>
      <c r="G33" s="415"/>
      <c r="H33" s="416">
        <f>H$241</f>
        <v>0</v>
      </c>
      <c r="I33" s="416">
        <f t="shared" ref="I33:R33" si="257">I$241</f>
        <v>0</v>
      </c>
      <c r="J33" s="416">
        <f t="shared" si="257"/>
        <v>0</v>
      </c>
      <c r="K33" s="417">
        <f t="shared" si="257"/>
        <v>0</v>
      </c>
      <c r="L33" s="416">
        <f t="shared" si="257"/>
        <v>0</v>
      </c>
      <c r="M33" s="416">
        <f t="shared" si="257"/>
        <v>0</v>
      </c>
      <c r="N33" s="416">
        <f t="shared" si="257"/>
        <v>0</v>
      </c>
      <c r="O33" s="417">
        <f t="shared" si="257"/>
        <v>0</v>
      </c>
      <c r="P33" s="416">
        <f t="shared" si="257"/>
        <v>0</v>
      </c>
      <c r="Q33" s="416">
        <f t="shared" si="257"/>
        <v>0</v>
      </c>
      <c r="R33" s="416">
        <f t="shared" si="257"/>
        <v>0</v>
      </c>
      <c r="S33" s="417">
        <f>S$241</f>
        <v>255.172</v>
      </c>
      <c r="T33" s="416">
        <v>41.246000000000002</v>
      </c>
      <c r="U33" s="416">
        <v>40.707999999999998</v>
      </c>
      <c r="V33" s="416">
        <v>51.497</v>
      </c>
      <c r="W33" s="417">
        <v>67.537999999999982</v>
      </c>
      <c r="X33" s="416">
        <v>72.5</v>
      </c>
      <c r="Y33" s="416">
        <v>83.4</v>
      </c>
      <c r="Z33" s="416">
        <v>83.5</v>
      </c>
      <c r="AA33" s="417">
        <v>93.6</v>
      </c>
      <c r="AB33" s="414">
        <v>94.6</v>
      </c>
      <c r="AC33" s="414">
        <v>106</v>
      </c>
      <c r="AD33" s="414">
        <v>101.2</v>
      </c>
      <c r="AE33" s="415">
        <v>112.4</v>
      </c>
      <c r="AF33" s="414">
        <v>119.1</v>
      </c>
      <c r="AG33" s="414">
        <v>118.009</v>
      </c>
      <c r="AH33" s="414">
        <v>114.655</v>
      </c>
      <c r="AI33" s="414">
        <v>110.227</v>
      </c>
      <c r="AJ33" s="477">
        <f t="shared" ref="AJ33:BD33" si="258">AJ$241</f>
        <v>107.581</v>
      </c>
      <c r="AK33" s="416">
        <f t="shared" si="258"/>
        <v>122.229</v>
      </c>
      <c r="AL33" s="416">
        <f t="shared" si="258"/>
        <v>120.386</v>
      </c>
      <c r="AM33" s="417">
        <f t="shared" si="258"/>
        <v>130.98099999999999</v>
      </c>
      <c r="AN33" s="1033">
        <f t="shared" si="258"/>
        <v>124.157</v>
      </c>
      <c r="AO33" s="416">
        <f t="shared" si="258"/>
        <v>135.488</v>
      </c>
      <c r="AP33" s="416">
        <f t="shared" si="258"/>
        <v>130.05199999999999</v>
      </c>
      <c r="AQ33" s="417">
        <f t="shared" si="258"/>
        <v>134.49299999999999</v>
      </c>
      <c r="AR33" s="1033">
        <f t="shared" si="258"/>
        <v>123.675</v>
      </c>
      <c r="AS33" s="416">
        <f t="shared" si="258"/>
        <v>139.70699999999999</v>
      </c>
      <c r="AT33" s="416">
        <f t="shared" si="258"/>
        <v>130.10900000000001</v>
      </c>
      <c r="AU33" s="417">
        <f t="shared" si="258"/>
        <v>132.18799999999999</v>
      </c>
      <c r="AV33" s="416">
        <f t="shared" si="258"/>
        <v>126.631</v>
      </c>
      <c r="AW33" s="416">
        <f t="shared" si="258"/>
        <v>138.03100000000001</v>
      </c>
      <c r="AX33" s="416">
        <f t="shared" si="258"/>
        <v>134.61699999999999</v>
      </c>
      <c r="AY33" s="417">
        <f t="shared" si="258"/>
        <v>141.535</v>
      </c>
      <c r="AZ33" s="416">
        <f t="shared" si="258"/>
        <v>138.58500000000001</v>
      </c>
      <c r="BA33" s="416">
        <f t="shared" si="258"/>
        <v>150.41800000000001</v>
      </c>
      <c r="BB33" s="416">
        <f t="shared" si="258"/>
        <v>227.46199999999999</v>
      </c>
      <c r="BC33" s="416">
        <f t="shared" si="258"/>
        <v>235.19</v>
      </c>
      <c r="BD33" s="1033">
        <f t="shared" si="258"/>
        <v>252.17</v>
      </c>
      <c r="BE33" s="416">
        <f t="shared" ref="BE33" si="259">BD33*(1+BE34)</f>
        <v>259.73509999999999</v>
      </c>
      <c r="BF33" s="416">
        <f t="shared" ref="BF33" si="260">BE33*(1+BF34)</f>
        <v>257.13774899999999</v>
      </c>
      <c r="BG33" s="417">
        <f t="shared" ref="BG33" si="261">BF33*(1+BG34)</f>
        <v>267.42325896</v>
      </c>
      <c r="BH33" s="416">
        <f t="shared" ref="BH33" si="262">BG33*(1+BH34)</f>
        <v>264.74902637039997</v>
      </c>
      <c r="BI33" s="416">
        <f t="shared" ref="BI33" si="263">BH33*(1+BI34)</f>
        <v>288.57643874373599</v>
      </c>
      <c r="BJ33" s="416">
        <f t="shared" ref="BJ33" si="264">BI33*(1+BJ34)</f>
        <v>282.80490996886124</v>
      </c>
      <c r="BK33" s="417">
        <f t="shared" ref="BK33" si="265">BJ33*(1+BK34)</f>
        <v>294.11710636761569</v>
      </c>
      <c r="BL33" s="416">
        <f t="shared" ref="BL33" si="266">BK33*(1+BL34)</f>
        <v>289.70534977210144</v>
      </c>
      <c r="BM33" s="416">
        <f t="shared" ref="BM33" si="267">BL33*(1+BM34)</f>
        <v>315.77883125159059</v>
      </c>
      <c r="BN33" s="416">
        <f t="shared" ref="BN33" si="268">BM33*(1+BN34)</f>
        <v>309.46325462655875</v>
      </c>
      <c r="BO33" s="417">
        <f t="shared" ref="BO33" si="269">BN33*(1+BO34)</f>
        <v>321.8417848116211</v>
      </c>
      <c r="BP33" s="343"/>
      <c r="BQ33" s="410">
        <f>SUM(D33:G33)</f>
        <v>0</v>
      </c>
      <c r="BR33" s="404">
        <f>SUM(H33:K33)</f>
        <v>0</v>
      </c>
      <c r="BS33" s="404">
        <f>SUM(L33:O33)</f>
        <v>0</v>
      </c>
      <c r="BT33" s="404">
        <f>SUM(P33:S33)</f>
        <v>255.172</v>
      </c>
      <c r="BU33" s="404">
        <f>SUM(T33:W33)</f>
        <v>200.989</v>
      </c>
      <c r="BV33" s="404">
        <f>SUM(X33:AA33)</f>
        <v>333</v>
      </c>
      <c r="BW33" s="404">
        <f>SUM(AB33:AE33)</f>
        <v>414.20000000000005</v>
      </c>
      <c r="BX33" s="404">
        <f>SUM(AF33:AI33)</f>
        <v>461.99099999999999</v>
      </c>
      <c r="BY33" s="404">
        <f>SUM(AJ33:AM33)</f>
        <v>481.17700000000002</v>
      </c>
      <c r="BZ33" s="404">
        <f>SUM(AN33:AQ33)</f>
        <v>524.19000000000005</v>
      </c>
      <c r="CA33" s="404">
        <f>SUM(AR33:AU33)</f>
        <v>525.67899999999997</v>
      </c>
      <c r="CB33" s="404">
        <f>SUM(AV33:AY33)</f>
        <v>540.81399999999996</v>
      </c>
      <c r="CC33" s="404">
        <f>SUM(AZ33:BC33)</f>
        <v>751.65499999999997</v>
      </c>
      <c r="CD33" s="404">
        <f>SUM(BD33:BG33)</f>
        <v>1036.46610796</v>
      </c>
      <c r="CE33" s="404">
        <f>SUM(BH33:BK33)</f>
        <v>1130.2474814506129</v>
      </c>
      <c r="CF33" s="405">
        <f>SUM(BL33:BO33)</f>
        <v>1236.789220461872</v>
      </c>
      <c r="CG33" s="1031"/>
    </row>
    <row r="34" spans="1:85" ht="14.25" customHeight="1">
      <c r="A34" s="634"/>
      <c r="B34" s="260" t="s">
        <v>152</v>
      </c>
      <c r="C34" s="261"/>
      <c r="D34" s="94"/>
      <c r="E34" s="94"/>
      <c r="F34" s="94"/>
      <c r="G34" s="95"/>
      <c r="H34" s="94"/>
      <c r="I34" s="94"/>
      <c r="J34" s="94"/>
      <c r="K34" s="95"/>
      <c r="L34" s="94"/>
      <c r="M34" s="94"/>
      <c r="N34" s="94"/>
      <c r="O34" s="95"/>
      <c r="P34" s="94"/>
      <c r="Q34" s="94"/>
      <c r="R34" s="94"/>
      <c r="S34" s="95"/>
      <c r="T34" s="94"/>
      <c r="U34" s="94">
        <f t="shared" ref="U34:BD34" si="270">U33/T33-1</f>
        <v>-1.3043689085002308E-2</v>
      </c>
      <c r="V34" s="94">
        <f t="shared" si="270"/>
        <v>0.26503389997052174</v>
      </c>
      <c r="W34" s="95">
        <f t="shared" si="270"/>
        <v>0.31149387342951984</v>
      </c>
      <c r="X34" s="94">
        <f t="shared" si="270"/>
        <v>7.3469750362759045E-2</v>
      </c>
      <c r="Y34" s="94">
        <f t="shared" si="270"/>
        <v>0.15034482758620693</v>
      </c>
      <c r="Z34" s="94">
        <f t="shared" si="270"/>
        <v>1.1990407673860837E-3</v>
      </c>
      <c r="AA34" s="95">
        <f t="shared" si="270"/>
        <v>0.12095808383233519</v>
      </c>
      <c r="AB34" s="94">
        <f t="shared" si="270"/>
        <v>1.0683760683760646E-2</v>
      </c>
      <c r="AC34" s="94">
        <f t="shared" si="270"/>
        <v>0.12050739957716705</v>
      </c>
      <c r="AD34" s="94">
        <f t="shared" si="270"/>
        <v>-4.5283018867924518E-2</v>
      </c>
      <c r="AE34" s="95">
        <f t="shared" si="270"/>
        <v>0.11067193675889331</v>
      </c>
      <c r="AF34" s="153">
        <f t="shared" si="270"/>
        <v>5.9608540925266906E-2</v>
      </c>
      <c r="AG34" s="94">
        <f t="shared" si="270"/>
        <v>-9.1603694374474687E-3</v>
      </c>
      <c r="AH34" s="94">
        <f t="shared" si="270"/>
        <v>-2.8421561067376255E-2</v>
      </c>
      <c r="AI34" s="94">
        <f t="shared" si="270"/>
        <v>-3.8620208451441207E-2</v>
      </c>
      <c r="AJ34" s="153">
        <f t="shared" si="270"/>
        <v>-2.4005007847442084E-2</v>
      </c>
      <c r="AK34" s="94">
        <f t="shared" si="270"/>
        <v>0.13615787174315153</v>
      </c>
      <c r="AL34" s="94">
        <f t="shared" si="270"/>
        <v>-1.5078254751327402E-2</v>
      </c>
      <c r="AM34" s="95">
        <f t="shared" si="270"/>
        <v>8.8008572425364973E-2</v>
      </c>
      <c r="AN34" s="153">
        <f t="shared" si="270"/>
        <v>-5.2099159420068597E-2</v>
      </c>
      <c r="AO34" s="94">
        <f t="shared" si="270"/>
        <v>9.1263480915292794E-2</v>
      </c>
      <c r="AP34" s="94">
        <f t="shared" si="270"/>
        <v>-4.012163438828531E-2</v>
      </c>
      <c r="AQ34" s="95">
        <f t="shared" si="270"/>
        <v>3.4147879309814666E-2</v>
      </c>
      <c r="AR34" s="153">
        <f t="shared" si="270"/>
        <v>-8.0435412995471856E-2</v>
      </c>
      <c r="AS34" s="94">
        <f t="shared" si="270"/>
        <v>0.12963007883565791</v>
      </c>
      <c r="AT34" s="94">
        <f t="shared" si="270"/>
        <v>-6.8700924076817826E-2</v>
      </c>
      <c r="AU34" s="95">
        <f t="shared" si="270"/>
        <v>1.5978909990853607E-2</v>
      </c>
      <c r="AV34" s="94">
        <f t="shared" si="270"/>
        <v>-4.2038611674282023E-2</v>
      </c>
      <c r="AW34" s="94">
        <f t="shared" si="270"/>
        <v>9.002534924307648E-2</v>
      </c>
      <c r="AX34" s="94">
        <f t="shared" si="270"/>
        <v>-2.4733574341995745E-2</v>
      </c>
      <c r="AY34" s="1212">
        <f t="shared" si="270"/>
        <v>5.1390240459971759E-2</v>
      </c>
      <c r="AZ34" s="1211">
        <f t="shared" si="270"/>
        <v>-2.0842901049210383E-2</v>
      </c>
      <c r="BA34" s="1321">
        <f t="shared" si="270"/>
        <v>8.5384421113396058E-2</v>
      </c>
      <c r="BB34" s="1321">
        <f t="shared" si="270"/>
        <v>0.51219933784520455</v>
      </c>
      <c r="BC34" s="1389">
        <f t="shared" si="270"/>
        <v>3.3974905698534341E-2</v>
      </c>
      <c r="BD34" s="1323">
        <f t="shared" si="270"/>
        <v>7.2196947149113511E-2</v>
      </c>
      <c r="BE34" s="1380">
        <v>0.03</v>
      </c>
      <c r="BF34" s="1380">
        <v>-0.01</v>
      </c>
      <c r="BG34" s="1381">
        <v>0.04</v>
      </c>
      <c r="BH34" s="1380">
        <v>-0.01</v>
      </c>
      <c r="BI34" s="1380">
        <v>0.09</v>
      </c>
      <c r="BJ34" s="1380">
        <v>-2.0000000000000018E-2</v>
      </c>
      <c r="BK34" s="1381">
        <v>4.0000000000000036E-2</v>
      </c>
      <c r="BL34" s="1380">
        <v>-1.4999999999999999E-2</v>
      </c>
      <c r="BM34" s="1380">
        <v>0.09</v>
      </c>
      <c r="BN34" s="1380">
        <v>-2.0000000000000018E-2</v>
      </c>
      <c r="BO34" s="1381">
        <v>4.0000000000000036E-2</v>
      </c>
      <c r="BP34" s="23"/>
      <c r="BQ34" s="262"/>
      <c r="BR34" s="263"/>
      <c r="BS34" s="263"/>
      <c r="BT34" s="263"/>
      <c r="BU34" s="1425"/>
      <c r="BV34" s="1425"/>
      <c r="BW34" s="1425">
        <f>+BW33/BT33-1</f>
        <v>0.62321884846299769</v>
      </c>
      <c r="BX34" s="1425"/>
      <c r="BY34" s="1425">
        <f>(BY33/BT33)^(1/5)-1</f>
        <v>0.1352574707011367</v>
      </c>
      <c r="BZ34" s="1425"/>
      <c r="CA34" s="1425"/>
      <c r="CB34" s="263"/>
      <c r="CC34" s="1271"/>
      <c r="CD34" s="1271"/>
      <c r="CE34" s="1425"/>
      <c r="CF34" s="1426"/>
      <c r="CG34" s="1031"/>
    </row>
    <row r="35" spans="1:85" ht="14.25" customHeight="1">
      <c r="A35" s="634"/>
      <c r="B35" s="38" t="s">
        <v>313</v>
      </c>
      <c r="C35" s="261"/>
      <c r="D35" s="94"/>
      <c r="E35" s="94"/>
      <c r="F35" s="94"/>
      <c r="G35" s="95"/>
      <c r="H35" s="94"/>
      <c r="I35" s="94"/>
      <c r="J35" s="94"/>
      <c r="K35" s="95"/>
      <c r="L35" s="94"/>
      <c r="M35" s="94"/>
      <c r="N35" s="94"/>
      <c r="O35" s="95"/>
      <c r="P35" s="94"/>
      <c r="Q35" s="94"/>
      <c r="R35" s="94"/>
      <c r="S35" s="95"/>
      <c r="T35" s="94"/>
      <c r="U35" s="94"/>
      <c r="V35" s="94"/>
      <c r="W35" s="95"/>
      <c r="X35" s="94"/>
      <c r="Y35" s="94"/>
      <c r="Z35" s="94"/>
      <c r="AA35" s="95"/>
      <c r="AB35" s="94"/>
      <c r="AC35" s="94"/>
      <c r="AD35" s="94"/>
      <c r="AE35" s="95"/>
      <c r="AF35" s="94"/>
      <c r="AG35" s="94"/>
      <c r="AH35" s="94"/>
      <c r="AI35" s="94">
        <f t="shared" ref="AI35:BD35" si="271">AVERAGE(AE34,AA34,W34,W34,S34,O34,K34)</f>
        <v>0.21365444186256705</v>
      </c>
      <c r="AJ35" s="153">
        <f t="shared" si="271"/>
        <v>5.4307950583636411E-2</v>
      </c>
      <c r="AK35" s="94">
        <f t="shared" si="271"/>
        <v>7.9798599245426233E-2</v>
      </c>
      <c r="AL35" s="94">
        <f t="shared" si="271"/>
        <v>3.8745480313998625E-2</v>
      </c>
      <c r="AM35" s="95">
        <f t="shared" si="271"/>
        <v>0.12509235388032847</v>
      </c>
      <c r="AN35" s="153">
        <f t="shared" si="271"/>
        <v>2.6088160961621032E-2</v>
      </c>
      <c r="AO35" s="94">
        <f t="shared" si="271"/>
        <v>8.4218906660207135E-2</v>
      </c>
      <c r="AP35" s="94">
        <f t="shared" si="271"/>
        <v>2.202784786389252E-2</v>
      </c>
      <c r="AQ35" s="95">
        <f t="shared" si="271"/>
        <v>0.11719736579226091</v>
      </c>
      <c r="AR35" s="153">
        <f t="shared" si="271"/>
        <v>2.1211070938257137E-2</v>
      </c>
      <c r="AS35" s="94">
        <f t="shared" si="271"/>
        <v>6.6701307408845861E-2</v>
      </c>
      <c r="AT35" s="94">
        <f t="shared" si="271"/>
        <v>1.5558130085088297E-2</v>
      </c>
      <c r="AU35" s="95">
        <f t="shared" si="271"/>
        <v>8.4005704121863659E-2</v>
      </c>
      <c r="AV35" s="94">
        <f t="shared" si="271"/>
        <v>-5.2546480198054314E-3</v>
      </c>
      <c r="AW35" s="94">
        <f t="shared" si="271"/>
        <v>0.10784302299474004</v>
      </c>
      <c r="AX35" s="94">
        <f t="shared" si="271"/>
        <v>-3.0212086733667518E-2</v>
      </c>
      <c r="AY35" s="1212">
        <f t="shared" si="271"/>
        <v>5.9879106613026499E-2</v>
      </c>
      <c r="AZ35" s="1211">
        <f t="shared" si="271"/>
        <v>-2.5769292821186514E-2</v>
      </c>
      <c r="BA35" s="1321">
        <f t="shared" si="271"/>
        <v>9.2812470256027305E-2</v>
      </c>
      <c r="BB35" s="1321">
        <f t="shared" si="271"/>
        <v>-3.7494371697430341E-2</v>
      </c>
      <c r="BC35" s="1389">
        <f t="shared" si="271"/>
        <v>4.2246458543324539E-2</v>
      </c>
      <c r="BD35" s="1323">
        <f t="shared" si="271"/>
        <v>-3.4321137865239985E-2</v>
      </c>
      <c r="BE35" s="94">
        <f t="shared" ref="BE35:BG35" si="272">BA35</f>
        <v>9.2812470256027305E-2</v>
      </c>
      <c r="BF35" s="94">
        <f t="shared" si="272"/>
        <v>-3.7494371697430341E-2</v>
      </c>
      <c r="BG35" s="95">
        <f t="shared" si="272"/>
        <v>4.2246458543324539E-2</v>
      </c>
      <c r="BH35" s="1211">
        <f t="shared" ref="BH35" si="273">BD35</f>
        <v>-3.4321137865239985E-2</v>
      </c>
      <c r="BI35" s="1211">
        <f t="shared" ref="BI35" si="274">BE35</f>
        <v>9.2812470256027305E-2</v>
      </c>
      <c r="BJ35" s="1211">
        <f t="shared" ref="BJ35" si="275">BF35</f>
        <v>-3.7494371697430341E-2</v>
      </c>
      <c r="BK35" s="1212">
        <f t="shared" ref="BK35" si="276">BG35</f>
        <v>4.2246458543324539E-2</v>
      </c>
      <c r="BL35" s="1389">
        <f t="shared" ref="BL35" si="277">BH35</f>
        <v>-3.4321137865239985E-2</v>
      </c>
      <c r="BM35" s="1389">
        <f t="shared" ref="BM35" si="278">BI35</f>
        <v>9.2812470256027305E-2</v>
      </c>
      <c r="BN35" s="1389">
        <f t="shared" ref="BN35" si="279">BJ35</f>
        <v>-3.7494371697430341E-2</v>
      </c>
      <c r="BO35" s="1322">
        <f t="shared" ref="BO35" si="280">BK35</f>
        <v>4.2246458543324539E-2</v>
      </c>
      <c r="BP35" s="23"/>
      <c r="BQ35" s="262"/>
      <c r="BR35" s="263"/>
      <c r="BS35" s="263"/>
      <c r="BT35" s="263"/>
      <c r="BU35" s="1425"/>
      <c r="BV35" s="1425"/>
      <c r="BW35" s="1425">
        <f>+POWER(BW33/BT33,0.3)</f>
        <v>1.1564134203930625</v>
      </c>
      <c r="BX35" s="1425"/>
      <c r="BY35" s="1425"/>
      <c r="BZ35" s="1425"/>
      <c r="CA35" s="1425"/>
      <c r="CB35" s="263"/>
      <c r="CC35" s="1271"/>
      <c r="CD35" s="1271"/>
      <c r="CE35" s="1425"/>
      <c r="CF35" s="1426"/>
      <c r="CG35" s="1031"/>
    </row>
    <row r="36" spans="1:85" ht="14.25" customHeight="1">
      <c r="A36" s="634"/>
      <c r="B36" s="38" t="s">
        <v>153</v>
      </c>
      <c r="C36" s="39"/>
      <c r="D36" s="94"/>
      <c r="E36" s="94"/>
      <c r="F36" s="94"/>
      <c r="G36" s="95"/>
      <c r="H36" s="94"/>
      <c r="I36" s="94"/>
      <c r="J36" s="94"/>
      <c r="K36" s="95"/>
      <c r="L36" s="94"/>
      <c r="M36" s="94"/>
      <c r="N36" s="94"/>
      <c r="O36" s="95"/>
      <c r="P36" s="94"/>
      <c r="Q36" s="94"/>
      <c r="R36" s="94"/>
      <c r="S36" s="95"/>
      <c r="T36" s="94"/>
      <c r="U36" s="94"/>
      <c r="V36" s="94"/>
      <c r="W36" s="95"/>
      <c r="X36" s="94">
        <f t="shared" ref="X36:AQ36" si="281">X33/T33-1</f>
        <v>0.75774620569267315</v>
      </c>
      <c r="Y36" s="94">
        <f t="shared" si="281"/>
        <v>1.0487373489240448</v>
      </c>
      <c r="Z36" s="94">
        <f t="shared" si="281"/>
        <v>0.62145367691321818</v>
      </c>
      <c r="AA36" s="95">
        <f t="shared" si="281"/>
        <v>0.38588646391661019</v>
      </c>
      <c r="AB36" s="94">
        <f t="shared" si="281"/>
        <v>0.30482758620689654</v>
      </c>
      <c r="AC36" s="94">
        <f t="shared" si="281"/>
        <v>0.27098321342925646</v>
      </c>
      <c r="AD36" s="94">
        <f t="shared" si="281"/>
        <v>0.21197604790419167</v>
      </c>
      <c r="AE36" s="95">
        <f t="shared" si="281"/>
        <v>0.20085470085470103</v>
      </c>
      <c r="AF36" s="263">
        <f t="shared" si="281"/>
        <v>0.2589852008456659</v>
      </c>
      <c r="AG36" s="94">
        <f t="shared" si="281"/>
        <v>0.11329245283018863</v>
      </c>
      <c r="AH36" s="94">
        <f t="shared" si="281"/>
        <v>0.13295454545454533</v>
      </c>
      <c r="AI36" s="94">
        <f t="shared" si="281"/>
        <v>-1.9332740213523159E-2</v>
      </c>
      <c r="AJ36" s="153">
        <f t="shared" si="281"/>
        <v>-9.6717044500419735E-2</v>
      </c>
      <c r="AK36" s="94">
        <f t="shared" si="281"/>
        <v>3.5759984407968792E-2</v>
      </c>
      <c r="AL36" s="94">
        <f t="shared" si="281"/>
        <v>4.9984736819153053E-2</v>
      </c>
      <c r="AM36" s="95">
        <f t="shared" si="281"/>
        <v>0.1882841771979642</v>
      </c>
      <c r="AN36" s="153">
        <f t="shared" si="281"/>
        <v>0.15407925191251226</v>
      </c>
      <c r="AO36" s="94">
        <f t="shared" si="281"/>
        <v>0.10847671174598505</v>
      </c>
      <c r="AP36" s="94">
        <f t="shared" si="281"/>
        <v>8.0291728274051843E-2</v>
      </c>
      <c r="AQ36" s="95">
        <f t="shared" si="281"/>
        <v>2.6813049220879348E-2</v>
      </c>
      <c r="AR36" s="153">
        <f t="shared" ref="AR36:AY36" si="282">AR33/AN33-1</f>
        <v>-3.8821814315744829E-3</v>
      </c>
      <c r="AS36" s="94">
        <f>AS33/AO33-1</f>
        <v>3.1139289088332411E-2</v>
      </c>
      <c r="AT36" s="94">
        <f>AT33/AP33-1</f>
        <v>4.3828622397201755E-4</v>
      </c>
      <c r="AU36" s="95">
        <f t="shared" si="282"/>
        <v>-1.7138438431740011E-2</v>
      </c>
      <c r="AV36" s="94">
        <f>AV33/AR33-1</f>
        <v>2.3901354356175464E-2</v>
      </c>
      <c r="AW36" s="94">
        <f>AW33/AS33-1</f>
        <v>-1.1996535606662473E-2</v>
      </c>
      <c r="AX36" s="94">
        <f>AX33/AT33-1</f>
        <v>3.4647872168720006E-2</v>
      </c>
      <c r="AY36" s="1212">
        <f t="shared" si="282"/>
        <v>7.0709898024026385E-2</v>
      </c>
      <c r="AZ36" s="1211">
        <f>AZ33/AV33-1</f>
        <v>9.4400265337871492E-2</v>
      </c>
      <c r="BA36" s="1321">
        <f>BA33/AW33-1</f>
        <v>8.9740710420123104E-2</v>
      </c>
      <c r="BB36" s="1321">
        <f>BB33/AX33-1</f>
        <v>0.68969743791645932</v>
      </c>
      <c r="BC36" s="1389">
        <f>BC33/AY33-1</f>
        <v>0.66170911788603526</v>
      </c>
      <c r="BD36" s="1323">
        <f>BD33/AZ33-1</f>
        <v>0.81960529638849788</v>
      </c>
      <c r="BE36" s="94">
        <f t="shared" ref="BE36:BG36" si="283">BE33/BA33-1</f>
        <v>0.72675544150301152</v>
      </c>
      <c r="BF36" s="94">
        <f t="shared" si="283"/>
        <v>0.13046464464394059</v>
      </c>
      <c r="BG36" s="95">
        <f t="shared" si="283"/>
        <v>0.13705199608826901</v>
      </c>
      <c r="BH36" s="1211">
        <f t="shared" ref="BH36" si="284">BH33/BD33-1</f>
        <v>4.9883120000000059E-2</v>
      </c>
      <c r="BI36" s="1211">
        <f t="shared" ref="BI36" si="285">BI33/BE33-1</f>
        <v>0.11104135999999998</v>
      </c>
      <c r="BJ36" s="1211">
        <f t="shared" ref="BJ36" si="286">BJ33/BF33-1</f>
        <v>9.9818719999999805E-2</v>
      </c>
      <c r="BK36" s="1212">
        <f t="shared" ref="BK36" si="287">BK33/BG33-1</f>
        <v>9.9818719999999805E-2</v>
      </c>
      <c r="BL36" s="1389">
        <f t="shared" ref="BL36" si="288">BL33/BH33-1</f>
        <v>9.4264079999999861E-2</v>
      </c>
      <c r="BM36" s="1389">
        <f t="shared" ref="BM36" si="289">BM33/BI33-1</f>
        <v>9.4264079999999861E-2</v>
      </c>
      <c r="BN36" s="1389">
        <f t="shared" ref="BN36" si="290">BN33/BJ33-1</f>
        <v>9.4264079999999861E-2</v>
      </c>
      <c r="BO36" s="1322">
        <f t="shared" ref="BO36" si="291">BO33/BK33-1</f>
        <v>9.4264079999999861E-2</v>
      </c>
      <c r="BP36" s="23"/>
      <c r="BQ36" s="462"/>
      <c r="BR36" s="473"/>
      <c r="BS36" s="413"/>
      <c r="BT36" s="413"/>
      <c r="BU36" s="413">
        <f t="shared" ref="BU36:CB36" si="292">BU33/BT33-1</f>
        <v>-0.21233912811750499</v>
      </c>
      <c r="BV36" s="413">
        <f t="shared" si="292"/>
        <v>0.65680708894516604</v>
      </c>
      <c r="BW36" s="413">
        <f t="shared" si="292"/>
        <v>0.24384384384384394</v>
      </c>
      <c r="BX36" s="413">
        <f t="shared" si="292"/>
        <v>0.11538145823273771</v>
      </c>
      <c r="BY36" s="413">
        <f t="shared" si="292"/>
        <v>4.1528947533610028E-2</v>
      </c>
      <c r="BZ36" s="413">
        <f t="shared" si="292"/>
        <v>8.9391221941198529E-2</v>
      </c>
      <c r="CA36" s="413">
        <f t="shared" si="292"/>
        <v>2.840573074648356E-3</v>
      </c>
      <c r="CB36" s="413">
        <f t="shared" si="292"/>
        <v>2.8791334635775767E-2</v>
      </c>
      <c r="CC36" s="413">
        <f t="shared" ref="CC36" si="293">CC33/CB33-1</f>
        <v>0.38985862052387699</v>
      </c>
      <c r="CD36" s="413">
        <f t="shared" ref="CD36" si="294">CD33/CC33-1</f>
        <v>0.37891201144141928</v>
      </c>
      <c r="CE36" s="413">
        <f t="shared" ref="CE36:CF36" si="295">CE33/CD33-1</f>
        <v>9.0481852489316728E-2</v>
      </c>
      <c r="CF36" s="412">
        <f t="shared" si="295"/>
        <v>9.4264080000000083E-2</v>
      </c>
      <c r="CG36" s="1031"/>
    </row>
    <row r="37" spans="1:85" ht="14.25" customHeight="1">
      <c r="A37" s="634"/>
      <c r="B37" s="260" t="s">
        <v>154</v>
      </c>
      <c r="C37" s="261"/>
      <c r="D37" s="94"/>
      <c r="E37" s="94"/>
      <c r="F37" s="94"/>
      <c r="G37" s="95"/>
      <c r="H37" s="94">
        <f t="shared" ref="H37:AM37" si="296">H33/H122</f>
        <v>0</v>
      </c>
      <c r="I37" s="94">
        <f t="shared" si="296"/>
        <v>0</v>
      </c>
      <c r="J37" s="94">
        <f t="shared" si="296"/>
        <v>0</v>
      </c>
      <c r="K37" s="95">
        <f t="shared" si="296"/>
        <v>0</v>
      </c>
      <c r="L37" s="94">
        <f t="shared" si="296"/>
        <v>0</v>
      </c>
      <c r="M37" s="94">
        <f t="shared" si="296"/>
        <v>0</v>
      </c>
      <c r="N37" s="94">
        <f t="shared" si="296"/>
        <v>0</v>
      </c>
      <c r="O37" s="95">
        <f t="shared" si="296"/>
        <v>0</v>
      </c>
      <c r="P37" s="94">
        <f t="shared" si="296"/>
        <v>0</v>
      </c>
      <c r="Q37" s="94">
        <f t="shared" si="296"/>
        <v>0</v>
      </c>
      <c r="R37" s="94">
        <f t="shared" si="296"/>
        <v>0</v>
      </c>
      <c r="S37" s="95">
        <f t="shared" si="296"/>
        <v>0.38621695908557035</v>
      </c>
      <c r="T37" s="94">
        <f t="shared" si="296"/>
        <v>8.6547803151275068E-2</v>
      </c>
      <c r="U37" s="94">
        <f t="shared" si="296"/>
        <v>8.5746543429356198E-2</v>
      </c>
      <c r="V37" s="94">
        <f t="shared" si="296"/>
        <v>0.10467061389334358</v>
      </c>
      <c r="W37" s="95">
        <f t="shared" si="296"/>
        <v>0.11815605318404472</v>
      </c>
      <c r="X37" s="94">
        <f t="shared" si="296"/>
        <v>0.12023217247097844</v>
      </c>
      <c r="Y37" s="94">
        <f t="shared" si="296"/>
        <v>0.12481293026040108</v>
      </c>
      <c r="Z37" s="94">
        <f t="shared" si="296"/>
        <v>0.11592392058864363</v>
      </c>
      <c r="AA37" s="95">
        <f t="shared" si="296"/>
        <v>0.12155844155844155</v>
      </c>
      <c r="AB37" s="94">
        <f t="shared" si="296"/>
        <v>0.12985586822237474</v>
      </c>
      <c r="AC37" s="94">
        <f t="shared" si="296"/>
        <v>0.13404147698533131</v>
      </c>
      <c r="AD37" s="94">
        <f t="shared" si="296"/>
        <v>0.1335268505079826</v>
      </c>
      <c r="AE37" s="95">
        <f t="shared" si="296"/>
        <v>0.15696131825164084</v>
      </c>
      <c r="AF37" s="94">
        <f t="shared" si="296"/>
        <v>0.18376793704675204</v>
      </c>
      <c r="AG37" s="94">
        <f t="shared" si="296"/>
        <v>0.1747999211979103</v>
      </c>
      <c r="AH37" s="94">
        <f t="shared" si="296"/>
        <v>0.16786330242186973</v>
      </c>
      <c r="AI37" s="94">
        <f t="shared" si="296"/>
        <v>0.15860821567735883</v>
      </c>
      <c r="AJ37" s="153">
        <f t="shared" si="296"/>
        <v>0.17292255366207279</v>
      </c>
      <c r="AK37" s="94">
        <f t="shared" si="296"/>
        <v>0.18540614334470989</v>
      </c>
      <c r="AL37" s="94">
        <f t="shared" si="296"/>
        <v>0.17856867386957628</v>
      </c>
      <c r="AM37" s="95">
        <f t="shared" si="296"/>
        <v>0.19314942643994612</v>
      </c>
      <c r="AN37" s="153">
        <f t="shared" ref="AN37:BK37" si="297">AN33/AN122</f>
        <v>0.19762733231673343</v>
      </c>
      <c r="AO37" s="94">
        <f t="shared" si="297"/>
        <v>0.19507700104818182</v>
      </c>
      <c r="AP37" s="94">
        <f t="shared" si="297"/>
        <v>0.17870373423913641</v>
      </c>
      <c r="AQ37" s="95">
        <f t="shared" si="297"/>
        <v>0.16517469514778685</v>
      </c>
      <c r="AR37" s="153">
        <f t="shared" si="297"/>
        <v>0.16020368245019984</v>
      </c>
      <c r="AS37" s="94">
        <f t="shared" si="297"/>
        <v>0.17016293167393201</v>
      </c>
      <c r="AT37" s="94">
        <f t="shared" si="297"/>
        <v>0.15069987780370991</v>
      </c>
      <c r="AU37" s="95">
        <f t="shared" si="297"/>
        <v>0.1350618459583007</v>
      </c>
      <c r="AV37" s="94">
        <f t="shared" si="297"/>
        <v>0.16457788827819073</v>
      </c>
      <c r="AW37" s="94">
        <f t="shared" si="297"/>
        <v>0.17724322838952908</v>
      </c>
      <c r="AX37" s="94">
        <f t="shared" si="297"/>
        <v>0.15480496003293501</v>
      </c>
      <c r="AY37" s="95">
        <f t="shared" si="297"/>
        <v>0.14102406979513224</v>
      </c>
      <c r="AZ37" s="1211">
        <f t="shared" si="297"/>
        <v>0.14077417926169866</v>
      </c>
      <c r="BA37" s="1321">
        <f t="shared" ref="BA37:BB37" si="298">BA33/BA122</f>
        <v>0.14804152357036962</v>
      </c>
      <c r="BB37" s="1321">
        <f t="shared" si="298"/>
        <v>0.15863148248625078</v>
      </c>
      <c r="BC37" s="1389">
        <f t="shared" ref="BC37" si="299">BC33/BC122</f>
        <v>0.15260483918062251</v>
      </c>
      <c r="BD37" s="1323">
        <f t="shared" ref="BD37" si="300">BD33/BD122</f>
        <v>0.16605163621805002</v>
      </c>
      <c r="BE37" s="94">
        <f t="shared" si="297"/>
        <v>0.17664550261869452</v>
      </c>
      <c r="BF37" s="94">
        <f t="shared" si="297"/>
        <v>0.16989725399207453</v>
      </c>
      <c r="BG37" s="95">
        <f t="shared" si="297"/>
        <v>0.17104673950898108</v>
      </c>
      <c r="BH37" s="1211">
        <f t="shared" si="297"/>
        <v>0.17863269611599411</v>
      </c>
      <c r="BI37" s="1211">
        <f t="shared" si="297"/>
        <v>0.18619693824628172</v>
      </c>
      <c r="BJ37" s="1211">
        <f t="shared" si="297"/>
        <v>0.17601829815867742</v>
      </c>
      <c r="BK37" s="1212">
        <f t="shared" si="297"/>
        <v>0.1757337156562207</v>
      </c>
      <c r="BL37" s="1389">
        <f t="shared" ref="BL37:BO37" si="301">BL33/BL122</f>
        <v>0.18258638748429828</v>
      </c>
      <c r="BM37" s="1389">
        <f t="shared" si="301"/>
        <v>0.19093920748502322</v>
      </c>
      <c r="BN37" s="1389">
        <f t="shared" si="301"/>
        <v>0.1813967016252836</v>
      </c>
      <c r="BO37" s="1322">
        <f t="shared" si="301"/>
        <v>0.18218419494534066</v>
      </c>
      <c r="BP37" s="23"/>
      <c r="BQ37" s="823"/>
      <c r="BR37" s="413">
        <f t="shared" ref="BR37:CE37" si="302">BR33/BR122</f>
        <v>0</v>
      </c>
      <c r="BS37" s="413">
        <f t="shared" si="302"/>
        <v>0</v>
      </c>
      <c r="BT37" s="413">
        <f t="shared" si="302"/>
        <v>9.8791644066372655E-2</v>
      </c>
      <c r="BU37" s="413">
        <f t="shared" si="302"/>
        <v>9.975095637120901E-2</v>
      </c>
      <c r="BV37" s="413">
        <f t="shared" si="302"/>
        <v>0.12058663769690385</v>
      </c>
      <c r="BW37" s="413">
        <f t="shared" si="302"/>
        <v>0.13837570574282568</v>
      </c>
      <c r="BX37" s="413">
        <f t="shared" si="302"/>
        <v>0.17103182697757555</v>
      </c>
      <c r="BY37" s="413">
        <f t="shared" si="302"/>
        <v>0.1827007668711074</v>
      </c>
      <c r="BZ37" s="413">
        <f t="shared" si="302"/>
        <v>0.18297784850667054</v>
      </c>
      <c r="CA37" s="413">
        <f t="shared" si="302"/>
        <v>0.15303200030741534</v>
      </c>
      <c r="CB37" s="413">
        <f t="shared" si="302"/>
        <v>0.15806762652462769</v>
      </c>
      <c r="CC37" s="413">
        <f t="shared" si="302"/>
        <v>0.15106900929351763</v>
      </c>
      <c r="CD37" s="413">
        <f t="shared" si="302"/>
        <v>0.17086653034924257</v>
      </c>
      <c r="CE37" s="413">
        <f t="shared" si="302"/>
        <v>0.17905584415456499</v>
      </c>
      <c r="CF37" s="412">
        <f t="shared" ref="CF37" si="303">CF33/CF122</f>
        <v>0.18423599626459738</v>
      </c>
      <c r="CG37" s="1031"/>
    </row>
    <row r="38" spans="1:85" ht="14.25" customHeight="1">
      <c r="A38" s="634"/>
      <c r="B38" s="38" t="s">
        <v>333</v>
      </c>
      <c r="C38" s="261"/>
      <c r="D38" s="94"/>
      <c r="E38" s="94"/>
      <c r="F38" s="94"/>
      <c r="G38" s="95"/>
      <c r="H38" s="94"/>
      <c r="I38" s="94"/>
      <c r="J38" s="94"/>
      <c r="K38" s="95"/>
      <c r="L38" s="94"/>
      <c r="M38" s="94"/>
      <c r="N38" s="94"/>
      <c r="O38" s="95"/>
      <c r="P38" s="94"/>
      <c r="Q38" s="94"/>
      <c r="R38" s="94"/>
      <c r="S38" s="95"/>
      <c r="T38" s="94"/>
      <c r="U38" s="94"/>
      <c r="V38" s="94"/>
      <c r="W38" s="95"/>
      <c r="X38" s="94">
        <f t="shared" ref="X38:AJ38" si="304">+X33/MAX(T33,P33,L33,H33,D33)-1</f>
        <v>0.75774620569267315</v>
      </c>
      <c r="Y38" s="94">
        <f t="shared" si="304"/>
        <v>1.0487373489240448</v>
      </c>
      <c r="Z38" s="94">
        <f t="shared" si="304"/>
        <v>0.62145367691321818</v>
      </c>
      <c r="AA38" s="95">
        <f t="shared" si="304"/>
        <v>-0.63318859435988273</v>
      </c>
      <c r="AB38" s="94">
        <f t="shared" si="304"/>
        <v>0.30482758620689654</v>
      </c>
      <c r="AC38" s="94">
        <f t="shared" si="304"/>
        <v>0.27098321342925646</v>
      </c>
      <c r="AD38" s="94">
        <f t="shared" si="304"/>
        <v>0.21197604790419167</v>
      </c>
      <c r="AE38" s="95">
        <f t="shared" si="304"/>
        <v>-0.55951279920994468</v>
      </c>
      <c r="AF38" s="94">
        <f t="shared" si="304"/>
        <v>0.2589852008456659</v>
      </c>
      <c r="AG38" s="94">
        <f t="shared" si="304"/>
        <v>0.11329245283018863</v>
      </c>
      <c r="AH38" s="94">
        <f t="shared" si="304"/>
        <v>0.13295454545454533</v>
      </c>
      <c r="AI38" s="94">
        <f t="shared" si="304"/>
        <v>-0.56802862383020081</v>
      </c>
      <c r="AJ38" s="153">
        <f t="shared" si="304"/>
        <v>-9.6717044500419735E-2</v>
      </c>
      <c r="AK38" s="94"/>
      <c r="AL38" s="94">
        <f t="shared" ref="AL38:BD38" si="305">+AL33/MAX(AH33,AD33,Z33,V33,R33)-1</f>
        <v>4.9984736819153053E-2</v>
      </c>
      <c r="AM38" s="95">
        <f t="shared" si="305"/>
        <v>-0.48669524869499792</v>
      </c>
      <c r="AN38" s="153">
        <f t="shared" si="305"/>
        <v>4.2460117548278831E-2</v>
      </c>
      <c r="AO38" s="94">
        <f t="shared" si="305"/>
        <v>0.10847671174598505</v>
      </c>
      <c r="AP38" s="94">
        <f t="shared" si="305"/>
        <v>8.0291728274051843E-2</v>
      </c>
      <c r="AQ38" s="95">
        <f t="shared" si="305"/>
        <v>2.6813049220879348E-2</v>
      </c>
      <c r="AR38" s="153">
        <f t="shared" si="305"/>
        <v>-3.8821814315744829E-3</v>
      </c>
      <c r="AS38" s="94">
        <f t="shared" si="305"/>
        <v>3.1139289088332411E-2</v>
      </c>
      <c r="AT38" s="94">
        <f t="shared" si="305"/>
        <v>4.3828622397201755E-4</v>
      </c>
      <c r="AU38" s="95">
        <f t="shared" si="305"/>
        <v>-1.7138438431740011E-2</v>
      </c>
      <c r="AV38" s="94">
        <f t="shared" si="305"/>
        <v>1.992638353052989E-2</v>
      </c>
      <c r="AW38" s="94">
        <f t="shared" si="305"/>
        <v>-1.1996535606662473E-2</v>
      </c>
      <c r="AX38" s="94">
        <f t="shared" si="305"/>
        <v>3.4647872168720006E-2</v>
      </c>
      <c r="AY38" s="95">
        <f t="shared" si="305"/>
        <v>5.2359602358487134E-2</v>
      </c>
      <c r="AZ38" s="1211">
        <f t="shared" si="305"/>
        <v>9.4400265337871492E-2</v>
      </c>
      <c r="BA38" s="1321">
        <f t="shared" si="305"/>
        <v>7.6667597185538394E-2</v>
      </c>
      <c r="BB38" s="1321">
        <f t="shared" si="305"/>
        <v>0.68969743791645932</v>
      </c>
      <c r="BC38" s="1389">
        <f t="shared" si="305"/>
        <v>0.66170911788603526</v>
      </c>
      <c r="BD38" s="1323">
        <f t="shared" si="305"/>
        <v>0.81960529638849788</v>
      </c>
      <c r="BE38" s="94"/>
      <c r="BF38" s="94"/>
      <c r="BG38" s="95"/>
      <c r="BH38" s="1211"/>
      <c r="BI38" s="1211"/>
      <c r="BJ38" s="1211"/>
      <c r="BK38" s="1212"/>
      <c r="BL38" s="1389"/>
      <c r="BM38" s="1389"/>
      <c r="BN38" s="1389"/>
      <c r="BO38" s="1322"/>
      <c r="BP38" s="23"/>
      <c r="BQ38" s="823"/>
      <c r="BR38" s="413"/>
      <c r="BS38" s="413"/>
      <c r="BT38" s="413"/>
      <c r="BU38" s="413"/>
      <c r="BV38" s="413"/>
      <c r="BW38" s="413"/>
      <c r="BX38" s="413"/>
      <c r="BY38" s="413"/>
      <c r="BZ38" s="413"/>
      <c r="CA38" s="413"/>
      <c r="CB38" s="413"/>
      <c r="CC38" s="1271"/>
      <c r="CD38" s="1271"/>
      <c r="CE38" s="1425"/>
      <c r="CF38" s="1426"/>
      <c r="CG38" s="1031"/>
    </row>
    <row r="39" spans="1:85" ht="14.25" hidden="1" customHeight="1" outlineLevel="1">
      <c r="A39" s="634"/>
      <c r="B39" s="260"/>
      <c r="C39" s="261"/>
      <c r="D39" s="94"/>
      <c r="E39" s="94"/>
      <c r="F39" s="94"/>
      <c r="G39" s="95"/>
      <c r="H39" s="94"/>
      <c r="I39" s="94"/>
      <c r="J39" s="94"/>
      <c r="K39" s="95"/>
      <c r="L39" s="94"/>
      <c r="M39" s="94"/>
      <c r="N39" s="94"/>
      <c r="O39" s="95"/>
      <c r="P39" s="94"/>
      <c r="Q39" s="94"/>
      <c r="R39" s="94"/>
      <c r="S39" s="95"/>
      <c r="T39" s="94"/>
      <c r="U39" s="94"/>
      <c r="V39" s="94"/>
      <c r="W39" s="95"/>
      <c r="X39" s="94"/>
      <c r="Y39" s="94"/>
      <c r="Z39" s="94"/>
      <c r="AA39" s="95"/>
      <c r="AB39" s="94"/>
      <c r="AC39" s="94"/>
      <c r="AD39" s="94"/>
      <c r="AE39" s="95"/>
      <c r="AF39" s="94"/>
      <c r="AG39" s="94"/>
      <c r="AH39" s="94"/>
      <c r="AI39" s="96"/>
      <c r="AJ39" s="98"/>
      <c r="AK39" s="96"/>
      <c r="AL39" s="94"/>
      <c r="AM39" s="97"/>
      <c r="AN39" s="98"/>
      <c r="AO39" s="96"/>
      <c r="AP39" s="94"/>
      <c r="AQ39" s="97"/>
      <c r="AR39" s="98"/>
      <c r="AS39" s="96"/>
      <c r="AT39" s="94"/>
      <c r="AU39" s="97"/>
      <c r="AV39" s="94"/>
      <c r="AW39" s="94"/>
      <c r="AX39" s="94"/>
      <c r="AY39" s="97"/>
      <c r="AZ39" s="1211"/>
      <c r="BA39" s="1389"/>
      <c r="BB39" s="1389"/>
      <c r="BC39" s="1389"/>
      <c r="BD39" s="1323"/>
      <c r="BE39" s="96"/>
      <c r="BF39" s="96"/>
      <c r="BG39" s="97"/>
      <c r="BH39" s="96"/>
      <c r="BI39" s="96"/>
      <c r="BJ39" s="96"/>
      <c r="BK39" s="97"/>
      <c r="BL39" s="1331"/>
      <c r="BM39" s="1331"/>
      <c r="BN39" s="1331"/>
      <c r="BO39" s="1332"/>
      <c r="BP39" s="23"/>
      <c r="BQ39" s="262"/>
      <c r="BR39" s="263"/>
      <c r="BS39" s="263"/>
      <c r="BT39" s="263"/>
      <c r="BU39" s="1425"/>
      <c r="BV39" s="1425"/>
      <c r="BW39" s="1425"/>
      <c r="BX39" s="1425"/>
      <c r="BY39" s="1425"/>
      <c r="BZ39" s="1425"/>
      <c r="CA39" s="1425"/>
      <c r="CB39" s="263"/>
      <c r="CC39" s="1271"/>
      <c r="CD39" s="1271"/>
      <c r="CE39" s="1425"/>
      <c r="CF39" s="1426"/>
      <c r="CG39" s="1031"/>
    </row>
    <row r="40" spans="1:85" ht="14.25" hidden="1" customHeight="1" outlineLevel="1">
      <c r="A40" s="634"/>
      <c r="B40" s="1232" t="s">
        <v>573</v>
      </c>
      <c r="C40" s="261"/>
      <c r="D40" s="477"/>
      <c r="E40" s="416"/>
      <c r="F40" s="416"/>
      <c r="G40" s="417"/>
      <c r="H40" s="477"/>
      <c r="I40" s="416"/>
      <c r="J40" s="416"/>
      <c r="K40" s="417"/>
      <c r="L40" s="477"/>
      <c r="M40" s="416"/>
      <c r="N40" s="416"/>
      <c r="O40" s="417"/>
      <c r="P40" s="477"/>
      <c r="Q40" s="416"/>
      <c r="R40" s="416"/>
      <c r="S40" s="417"/>
      <c r="T40" s="477">
        <v>41.246000000000002</v>
      </c>
      <c r="U40" s="416">
        <v>40.707999999999998</v>
      </c>
      <c r="V40" s="416">
        <v>51.497</v>
      </c>
      <c r="W40" s="417">
        <v>67.537999999999982</v>
      </c>
      <c r="X40" s="477">
        <v>72.5</v>
      </c>
      <c r="Y40" s="416">
        <v>83.4</v>
      </c>
      <c r="Z40" s="416">
        <v>83.5</v>
      </c>
      <c r="AA40" s="417">
        <v>93.6</v>
      </c>
      <c r="AB40" s="477">
        <v>94.6</v>
      </c>
      <c r="AC40" s="416">
        <v>106</v>
      </c>
      <c r="AD40" s="416">
        <v>101.2</v>
      </c>
      <c r="AE40" s="417">
        <v>112.4</v>
      </c>
      <c r="AF40" s="477">
        <v>119.1</v>
      </c>
      <c r="AG40" s="416">
        <v>118.009</v>
      </c>
      <c r="AH40" s="416">
        <v>114.655</v>
      </c>
      <c r="AI40" s="416">
        <v>110.227</v>
      </c>
      <c r="AJ40" s="477">
        <f t="shared" ref="AJ40:BA40" si="306">AJ$241</f>
        <v>107.581</v>
      </c>
      <c r="AK40" s="416">
        <f t="shared" si="306"/>
        <v>122.229</v>
      </c>
      <c r="AL40" s="416">
        <f t="shared" si="306"/>
        <v>120.386</v>
      </c>
      <c r="AM40" s="417">
        <f t="shared" si="306"/>
        <v>130.98099999999999</v>
      </c>
      <c r="AN40" s="477">
        <f t="shared" si="306"/>
        <v>124.157</v>
      </c>
      <c r="AO40" s="416">
        <f t="shared" si="306"/>
        <v>135.488</v>
      </c>
      <c r="AP40" s="416">
        <f t="shared" si="306"/>
        <v>130.05199999999999</v>
      </c>
      <c r="AQ40" s="417">
        <f t="shared" si="306"/>
        <v>134.49299999999999</v>
      </c>
      <c r="AR40" s="477">
        <f t="shared" si="306"/>
        <v>123.675</v>
      </c>
      <c r="AS40" s="416">
        <f t="shared" si="306"/>
        <v>139.70699999999999</v>
      </c>
      <c r="AT40" s="416">
        <f t="shared" si="306"/>
        <v>130.10900000000001</v>
      </c>
      <c r="AU40" s="417">
        <f t="shared" si="306"/>
        <v>132.18799999999999</v>
      </c>
      <c r="AV40" s="416">
        <f t="shared" si="306"/>
        <v>126.631</v>
      </c>
      <c r="AW40" s="416">
        <f t="shared" si="306"/>
        <v>138.03100000000001</v>
      </c>
      <c r="AX40" s="416">
        <f t="shared" si="306"/>
        <v>134.61699999999999</v>
      </c>
      <c r="AY40" s="417">
        <f t="shared" si="306"/>
        <v>141.535</v>
      </c>
      <c r="AZ40" s="416">
        <f t="shared" si="306"/>
        <v>138.58500000000001</v>
      </c>
      <c r="BA40" s="416">
        <f t="shared" si="306"/>
        <v>150.41800000000001</v>
      </c>
      <c r="BB40" s="416">
        <f>BB33-BB46</f>
        <v>147.24611625200001</v>
      </c>
      <c r="BC40" s="416">
        <f>BC33-BC46</f>
        <v>155.77627508948001</v>
      </c>
      <c r="BD40" s="477">
        <f>BD33-BD46</f>
        <v>173.5504123385852</v>
      </c>
      <c r="BE40" s="416">
        <v>257.72695641000001</v>
      </c>
      <c r="BF40" s="416">
        <v>253.86105206385</v>
      </c>
      <c r="BG40" s="417"/>
      <c r="BH40" s="416"/>
      <c r="BI40" s="416"/>
      <c r="BJ40" s="416"/>
      <c r="BK40" s="417"/>
      <c r="BL40" s="416"/>
      <c r="BM40" s="416"/>
      <c r="BN40" s="416"/>
      <c r="BO40" s="417"/>
      <c r="BP40" s="1470"/>
      <c r="BQ40" s="410"/>
      <c r="BR40" s="404"/>
      <c r="BS40" s="404"/>
      <c r="BT40" s="404"/>
      <c r="BU40" s="404"/>
      <c r="BV40" s="404"/>
      <c r="BW40" s="404"/>
      <c r="BX40" s="404"/>
      <c r="BY40" s="404"/>
      <c r="BZ40" s="404"/>
      <c r="CA40" s="404"/>
      <c r="CB40" s="404"/>
      <c r="CC40" s="404">
        <f>SUM(AZ40:BC40)</f>
        <v>592.02539134148003</v>
      </c>
      <c r="CD40" s="404"/>
      <c r="CE40" s="404"/>
      <c r="CF40" s="405"/>
      <c r="CG40" s="1031"/>
    </row>
    <row r="41" spans="1:85" ht="14.25" hidden="1" customHeight="1" outlineLevel="1">
      <c r="A41" s="634"/>
      <c r="B41" s="1233" t="s">
        <v>152</v>
      </c>
      <c r="C41" s="261"/>
      <c r="D41" s="1257"/>
      <c r="E41" s="1253"/>
      <c r="F41" s="1253"/>
      <c r="G41" s="1254"/>
      <c r="H41" s="1257"/>
      <c r="I41" s="1253"/>
      <c r="J41" s="1253"/>
      <c r="K41" s="1254"/>
      <c r="L41" s="1257"/>
      <c r="M41" s="1253"/>
      <c r="N41" s="1253"/>
      <c r="O41" s="1254"/>
      <c r="P41" s="1257"/>
      <c r="Q41" s="1253"/>
      <c r="R41" s="1253"/>
      <c r="S41" s="1254"/>
      <c r="T41" s="1257"/>
      <c r="U41" s="1253">
        <f t="shared" ref="U41" si="307">U40/T40-1</f>
        <v>-1.3043689085002308E-2</v>
      </c>
      <c r="V41" s="1253">
        <f t="shared" ref="V41" si="308">V40/U40-1</f>
        <v>0.26503389997052174</v>
      </c>
      <c r="W41" s="1254">
        <f t="shared" ref="W41" si="309">W40/V40-1</f>
        <v>0.31149387342951984</v>
      </c>
      <c r="X41" s="1257">
        <f t="shared" ref="X41" si="310">X40/W40-1</f>
        <v>7.3469750362759045E-2</v>
      </c>
      <c r="Y41" s="1253">
        <f t="shared" ref="Y41" si="311">Y40/X40-1</f>
        <v>0.15034482758620693</v>
      </c>
      <c r="Z41" s="1253">
        <f t="shared" ref="Z41" si="312">Z40/Y40-1</f>
        <v>1.1990407673860837E-3</v>
      </c>
      <c r="AA41" s="1254">
        <f t="shared" ref="AA41" si="313">AA40/Z40-1</f>
        <v>0.12095808383233519</v>
      </c>
      <c r="AB41" s="1257">
        <f t="shared" ref="AB41" si="314">AB40/AA40-1</f>
        <v>1.0683760683760646E-2</v>
      </c>
      <c r="AC41" s="1253">
        <f t="shared" ref="AC41" si="315">AC40/AB40-1</f>
        <v>0.12050739957716705</v>
      </c>
      <c r="AD41" s="1253">
        <f t="shared" ref="AD41" si="316">AD40/AC40-1</f>
        <v>-4.5283018867924518E-2</v>
      </c>
      <c r="AE41" s="1254">
        <f t="shared" ref="AE41" si="317">AE40/AD40-1</f>
        <v>0.11067193675889331</v>
      </c>
      <c r="AF41" s="1257">
        <f t="shared" ref="AF41" si="318">AF40/AE40-1</f>
        <v>5.9608540925266906E-2</v>
      </c>
      <c r="AG41" s="1253">
        <f t="shared" ref="AG41" si="319">AG40/AF40-1</f>
        <v>-9.1603694374474687E-3</v>
      </c>
      <c r="AH41" s="1253">
        <f t="shared" ref="AH41" si="320">AH40/AG40-1</f>
        <v>-2.8421561067376255E-2</v>
      </c>
      <c r="AI41" s="1253">
        <f t="shared" ref="AI41" si="321">AI40/AH40-1</f>
        <v>-3.8620208451441207E-2</v>
      </c>
      <c r="AJ41" s="1257">
        <f t="shared" ref="AJ41" si="322">AJ40/AI40-1</f>
        <v>-2.4005007847442084E-2</v>
      </c>
      <c r="AK41" s="1253">
        <f t="shared" ref="AK41" si="323">AK40/AJ40-1</f>
        <v>0.13615787174315153</v>
      </c>
      <c r="AL41" s="1253">
        <f t="shared" ref="AL41" si="324">AL40/AK40-1</f>
        <v>-1.5078254751327402E-2</v>
      </c>
      <c r="AM41" s="1254">
        <f t="shared" ref="AM41" si="325">AM40/AL40-1</f>
        <v>8.8008572425364973E-2</v>
      </c>
      <c r="AN41" s="1257">
        <f t="shared" ref="AN41" si="326">AN40/AM40-1</f>
        <v>-5.2099159420068597E-2</v>
      </c>
      <c r="AO41" s="1253">
        <f t="shared" ref="AO41" si="327">AO40/AN40-1</f>
        <v>9.1263480915292794E-2</v>
      </c>
      <c r="AP41" s="1253">
        <f t="shared" ref="AP41" si="328">AP40/AO40-1</f>
        <v>-4.012163438828531E-2</v>
      </c>
      <c r="AQ41" s="1254">
        <f t="shared" ref="AQ41" si="329">AQ40/AP40-1</f>
        <v>3.4147879309814666E-2</v>
      </c>
      <c r="AR41" s="1257">
        <f t="shared" ref="AR41" si="330">AR40/AQ40-1</f>
        <v>-8.0435412995471856E-2</v>
      </c>
      <c r="AS41" s="1253">
        <f t="shared" ref="AS41" si="331">AS40/AR40-1</f>
        <v>0.12963007883565791</v>
      </c>
      <c r="AT41" s="1253">
        <f t="shared" ref="AT41" si="332">AT40/AS40-1</f>
        <v>-6.8700924076817826E-2</v>
      </c>
      <c r="AU41" s="1254">
        <f t="shared" ref="AU41" si="333">AU40/AT40-1</f>
        <v>1.5978909990853607E-2</v>
      </c>
      <c r="AV41" s="1253">
        <f t="shared" ref="AV41" si="334">AV40/AU40-1</f>
        <v>-4.2038611674282023E-2</v>
      </c>
      <c r="AW41" s="1253">
        <f t="shared" ref="AW41" si="335">AW40/AV40-1</f>
        <v>9.002534924307648E-2</v>
      </c>
      <c r="AX41" s="1253">
        <f t="shared" ref="AX41" si="336">AX40/AW40-1</f>
        <v>-2.4733574341995745E-2</v>
      </c>
      <c r="AY41" s="1254">
        <f t="shared" ref="AY41" si="337">AY40/AX40-1</f>
        <v>5.1390240459971759E-2</v>
      </c>
      <c r="AZ41" s="1253">
        <f t="shared" ref="AZ41:BD41" si="338">AZ40/AY40-1</f>
        <v>-2.0842901049210383E-2</v>
      </c>
      <c r="BA41" s="1321">
        <f t="shared" si="338"/>
        <v>8.5384421113396058E-2</v>
      </c>
      <c r="BB41" s="1321">
        <f t="shared" si="338"/>
        <v>-2.1087128854259451E-2</v>
      </c>
      <c r="BC41" s="1389">
        <f t="shared" si="338"/>
        <v>5.7931299341582143E-2</v>
      </c>
      <c r="BD41" s="1323">
        <f t="shared" si="338"/>
        <v>0.1141004125236369</v>
      </c>
      <c r="BE41" s="1255"/>
      <c r="BF41" s="1255"/>
      <c r="BG41" s="1256"/>
      <c r="BH41" s="1255"/>
      <c r="BI41" s="1255"/>
      <c r="BJ41" s="1255"/>
      <c r="BK41" s="1256"/>
      <c r="BL41" s="1331"/>
      <c r="BM41" s="1331"/>
      <c r="BN41" s="1331"/>
      <c r="BO41" s="1332"/>
      <c r="BP41" s="23"/>
      <c r="BQ41" s="1277"/>
      <c r="BR41" s="1271"/>
      <c r="BS41" s="1271"/>
      <c r="BT41" s="1271"/>
      <c r="BU41" s="1425"/>
      <c r="BV41" s="1425"/>
      <c r="BW41" s="1425"/>
      <c r="BX41" s="1425"/>
      <c r="BY41" s="1425"/>
      <c r="BZ41" s="1425"/>
      <c r="CA41" s="1425"/>
      <c r="CB41" s="1271"/>
      <c r="CC41" s="1271"/>
      <c r="CD41" s="1271"/>
      <c r="CE41" s="1425"/>
      <c r="CF41" s="1426"/>
      <c r="CG41" s="1031"/>
    </row>
    <row r="42" spans="1:85" ht="14.25" hidden="1" customHeight="1" outlineLevel="1">
      <c r="A42" s="634"/>
      <c r="B42" s="1233" t="s">
        <v>313</v>
      </c>
      <c r="C42" s="261"/>
      <c r="D42" s="1257"/>
      <c r="E42" s="1253"/>
      <c r="F42" s="1253"/>
      <c r="G42" s="1254"/>
      <c r="H42" s="1257"/>
      <c r="I42" s="1253"/>
      <c r="J42" s="1253"/>
      <c r="K42" s="1254"/>
      <c r="L42" s="1257"/>
      <c r="M42" s="1253"/>
      <c r="N42" s="1253"/>
      <c r="O42" s="1254"/>
      <c r="P42" s="1257"/>
      <c r="Q42" s="1253"/>
      <c r="R42" s="1253"/>
      <c r="S42" s="1254"/>
      <c r="T42" s="1257"/>
      <c r="U42" s="1253"/>
      <c r="V42" s="1253"/>
      <c r="W42" s="1254"/>
      <c r="X42" s="1257"/>
      <c r="Y42" s="1253"/>
      <c r="Z42" s="1253"/>
      <c r="AA42" s="1254"/>
      <c r="AB42" s="1257"/>
      <c r="AC42" s="1253" t="s">
        <v>316</v>
      </c>
      <c r="AD42" s="1253"/>
      <c r="AE42" s="1254"/>
      <c r="AF42" s="1253"/>
      <c r="AG42" s="1258">
        <f t="shared" ref="AG42" si="339">AVERAGE(AC41,Y41,U41,U41,Q41,M41,I41)</f>
        <v>6.1191212248342342E-2</v>
      </c>
      <c r="AH42" s="1258">
        <f t="shared" ref="AH42" si="340">AVERAGE(AD41,Z41,V41,V41,R41,N41,J41)</f>
        <v>0.12149595546012626</v>
      </c>
      <c r="AI42" s="1253">
        <f t="shared" ref="AI42" si="341">AVERAGE(AE41,AA41,W41,W41,S41,O41,K41)</f>
        <v>0.21365444186256705</v>
      </c>
      <c r="AJ42" s="1257">
        <f t="shared" ref="AJ42" si="342">AVERAGE(AF41,AB41,X41,X41,T41,P41,L41)</f>
        <v>5.4307950583636411E-2</v>
      </c>
      <c r="AK42" s="1253">
        <f t="shared" ref="AK42" si="343">AVERAGE(AG41,AC41,Y41,Y41,U41,Q41,M41)</f>
        <v>7.9798599245426233E-2</v>
      </c>
      <c r="AL42" s="1258">
        <f t="shared" ref="AL42" si="344">AVERAGE(AH41,AD41,Z41,Z41,V41,R41,N41)</f>
        <v>3.8745480313998625E-2</v>
      </c>
      <c r="AM42" s="1254">
        <f t="shared" ref="AM42" si="345">AVERAGE(AI41,AE41,AA41,AA41,W41,S41,O41)</f>
        <v>0.12509235388032847</v>
      </c>
      <c r="AN42" s="1257">
        <f t="shared" ref="AN42" si="346">AVERAGE(AJ41,AF41,AB41,AB41,X41,T41,P41)</f>
        <v>2.6088160961621032E-2</v>
      </c>
      <c r="AO42" s="1253">
        <f t="shared" ref="AO42" si="347">AVERAGE(AK41,AG41,AC41,AC41,Y41,U41,Q41)</f>
        <v>8.4218906660207135E-2</v>
      </c>
      <c r="AP42" s="1258">
        <f t="shared" ref="AP42" si="348">AVERAGE(AL41,AH41,AD41,AD41,Z41,V41,R41)</f>
        <v>2.202784786389252E-2</v>
      </c>
      <c r="AQ42" s="1254">
        <f t="shared" ref="AQ42" si="349">AVERAGE(AM41,AI41,AE41,AE41,AA41,W41,S41)</f>
        <v>0.11719736579226091</v>
      </c>
      <c r="AR42" s="1257">
        <f t="shared" ref="AR42" si="350">AVERAGE(AN41,AJ41,AF41,AF41,AB41,X41,T41)</f>
        <v>2.1211070938257137E-2</v>
      </c>
      <c r="AS42" s="1253">
        <f t="shared" ref="AS42" si="351">AVERAGE(AO41,AK41,AG41,AG41,AC41,Y41,U41)</f>
        <v>6.6701307408845861E-2</v>
      </c>
      <c r="AT42" s="1258">
        <f t="shared" ref="AT42" si="352">AVERAGE(AP41,AL41,AH41,AH41,AD41,Z41,V41)</f>
        <v>1.5558130085088297E-2</v>
      </c>
      <c r="AU42" s="1254">
        <f t="shared" ref="AU42" si="353">AVERAGE(AQ41,AM41,AI41,AI41,AE41,AA41,W41)</f>
        <v>8.4005704121863659E-2</v>
      </c>
      <c r="AV42" s="1258">
        <f t="shared" ref="AV42" si="354">AVERAGE(AR41,AN41,AJ41,AJ41,AF41,AB41,X41)</f>
        <v>-5.2546480198054314E-3</v>
      </c>
      <c r="AW42" s="1258">
        <f t="shared" ref="AW42" si="355">AVERAGE(AS41,AO41,AK41,AK41,AG41,AC41,Y41)</f>
        <v>0.10784302299474004</v>
      </c>
      <c r="AX42" s="1258">
        <f t="shared" ref="AX42" si="356">AVERAGE(AT41,AP41,AL41,AL41,AH41,AD41,Z41)</f>
        <v>-3.0212086733667518E-2</v>
      </c>
      <c r="AY42" s="1254">
        <f t="shared" ref="AY42" si="357">AVERAGE(AU41,AQ41,AM41,AM41,AI41,AE41,AA41)</f>
        <v>5.9879106613026499E-2</v>
      </c>
      <c r="AZ42" s="1258">
        <f t="shared" ref="AZ42:BD42" si="358">AVERAGE(AV41,AR41,AN41,AN41,AJ41,AF41,AB41)</f>
        <v>-2.5769292821186514E-2</v>
      </c>
      <c r="BA42" s="1324">
        <f t="shared" si="358"/>
        <v>9.2812470256027305E-2</v>
      </c>
      <c r="BB42" s="1324">
        <f t="shared" si="358"/>
        <v>-3.7494371697430341E-2</v>
      </c>
      <c r="BC42" s="1425">
        <f t="shared" si="358"/>
        <v>4.2246458543324539E-2</v>
      </c>
      <c r="BD42" s="1424">
        <f t="shared" si="358"/>
        <v>-3.4321137865239985E-2</v>
      </c>
      <c r="BE42" s="1253"/>
      <c r="BF42" s="1253"/>
      <c r="BG42" s="1254"/>
      <c r="BH42" s="1253"/>
      <c r="BI42" s="1253"/>
      <c r="BJ42" s="1253"/>
      <c r="BK42" s="1254"/>
      <c r="BL42" s="1389"/>
      <c r="BM42" s="1389"/>
      <c r="BN42" s="1389"/>
      <c r="BO42" s="1322"/>
      <c r="BP42" s="23"/>
      <c r="BQ42" s="462"/>
      <c r="BR42" s="473"/>
      <c r="BS42" s="473"/>
      <c r="BT42" s="473"/>
      <c r="BU42" s="473"/>
      <c r="BV42" s="473"/>
      <c r="BW42" s="473"/>
      <c r="BX42" s="473"/>
      <c r="BY42" s="473"/>
      <c r="BZ42" s="473"/>
      <c r="CA42" s="473"/>
      <c r="CB42" s="413"/>
      <c r="CC42" s="1271"/>
      <c r="CD42" s="1271"/>
      <c r="CE42" s="1425"/>
      <c r="CF42" s="1426"/>
      <c r="CG42" s="1031"/>
    </row>
    <row r="43" spans="1:85" ht="14.25" hidden="1" customHeight="1" outlineLevel="1">
      <c r="A43" s="634"/>
      <c r="B43" s="1233" t="s">
        <v>153</v>
      </c>
      <c r="C43" s="39"/>
      <c r="D43" s="1257"/>
      <c r="E43" s="1253"/>
      <c r="F43" s="1253"/>
      <c r="G43" s="1254"/>
      <c r="H43" s="1257"/>
      <c r="I43" s="1253"/>
      <c r="J43" s="1253"/>
      <c r="K43" s="1254"/>
      <c r="L43" s="1257"/>
      <c r="M43" s="1253"/>
      <c r="N43" s="1253"/>
      <c r="O43" s="1254"/>
      <c r="P43" s="1257"/>
      <c r="Q43" s="1253"/>
      <c r="R43" s="1253"/>
      <c r="S43" s="1254"/>
      <c r="T43" s="1257"/>
      <c r="U43" s="1253"/>
      <c r="V43" s="1253"/>
      <c r="W43" s="1254"/>
      <c r="X43" s="1257">
        <f t="shared" ref="X43" si="359">X40/T40-1</f>
        <v>0.75774620569267315</v>
      </c>
      <c r="Y43" s="1253">
        <f t="shared" ref="Y43" si="360">Y40/U40-1</f>
        <v>1.0487373489240448</v>
      </c>
      <c r="Z43" s="1253">
        <f t="shared" ref="Z43" si="361">Z40/V40-1</f>
        <v>0.62145367691321818</v>
      </c>
      <c r="AA43" s="1254">
        <f t="shared" ref="AA43" si="362">AA40/W40-1</f>
        <v>0.38588646391661019</v>
      </c>
      <c r="AB43" s="1257">
        <f t="shared" ref="AB43" si="363">AB40/X40-1</f>
        <v>0.30482758620689654</v>
      </c>
      <c r="AC43" s="1253">
        <f t="shared" ref="AC43" si="364">AC40/Y40-1</f>
        <v>0.27098321342925646</v>
      </c>
      <c r="AD43" s="1253">
        <f t="shared" ref="AD43" si="365">AD40/Z40-1</f>
        <v>0.21197604790419167</v>
      </c>
      <c r="AE43" s="1254">
        <f t="shared" ref="AE43" si="366">AE40/AA40-1</f>
        <v>0.20085470085470103</v>
      </c>
      <c r="AF43" s="1258">
        <f t="shared" ref="AF43" si="367">AF40/AB40-1</f>
        <v>0.2589852008456659</v>
      </c>
      <c r="AG43" s="1258">
        <f t="shared" ref="AG43" si="368">AG40/AC40-1</f>
        <v>0.11329245283018863</v>
      </c>
      <c r="AH43" s="1253">
        <f t="shared" ref="AH43" si="369">AH40/AD40-1</f>
        <v>0.13295454545454533</v>
      </c>
      <c r="AI43" s="1253">
        <f t="shared" ref="AI43" si="370">AI40/AE40-1</f>
        <v>-1.9332740213523159E-2</v>
      </c>
      <c r="AJ43" s="1257">
        <f t="shared" ref="AJ43" si="371">AJ40/AF40-1</f>
        <v>-9.6717044500419735E-2</v>
      </c>
      <c r="AK43" s="1253">
        <f t="shared" ref="AK43" si="372">AK40/AG40-1</f>
        <v>3.5759984407968792E-2</v>
      </c>
      <c r="AL43" s="1253">
        <f t="shared" ref="AL43" si="373">AL40/AH40-1</f>
        <v>4.9984736819153053E-2</v>
      </c>
      <c r="AM43" s="1254">
        <f t="shared" ref="AM43" si="374">AM40/AI40-1</f>
        <v>0.1882841771979642</v>
      </c>
      <c r="AN43" s="1257">
        <f t="shared" ref="AN43" si="375">AN40/AJ40-1</f>
        <v>0.15407925191251226</v>
      </c>
      <c r="AO43" s="1253">
        <f t="shared" ref="AO43" si="376">AO40/AK40-1</f>
        <v>0.10847671174598505</v>
      </c>
      <c r="AP43" s="1253">
        <f t="shared" ref="AP43" si="377">AP40/AL40-1</f>
        <v>8.0291728274051843E-2</v>
      </c>
      <c r="AQ43" s="1254">
        <f t="shared" ref="AQ43" si="378">AQ40/AM40-1</f>
        <v>2.6813049220879348E-2</v>
      </c>
      <c r="AR43" s="1257">
        <f t="shared" ref="AR43" si="379">AR40/AN40-1</f>
        <v>-3.8821814315744829E-3</v>
      </c>
      <c r="AS43" s="1253">
        <f t="shared" ref="AS43" si="380">AS40/AO40-1</f>
        <v>3.1139289088332411E-2</v>
      </c>
      <c r="AT43" s="1253">
        <f t="shared" ref="AT43" si="381">AT40/AP40-1</f>
        <v>4.3828622397201755E-4</v>
      </c>
      <c r="AU43" s="1254">
        <f t="shared" ref="AU43" si="382">AU40/AQ40-1</f>
        <v>-1.7138438431740011E-2</v>
      </c>
      <c r="AV43" s="1253">
        <f t="shared" ref="AV43" si="383">AV40/AR40-1</f>
        <v>2.3901354356175464E-2</v>
      </c>
      <c r="AW43" s="1253">
        <f t="shared" ref="AW43" si="384">AW40/AS40-1</f>
        <v>-1.1996535606662473E-2</v>
      </c>
      <c r="AX43" s="1253">
        <f t="shared" ref="AX43" si="385">AX40/AT40-1</f>
        <v>3.4647872168720006E-2</v>
      </c>
      <c r="AY43" s="1254">
        <f t="shared" ref="AY43" si="386">AY40/AU40-1</f>
        <v>7.0709898024026385E-2</v>
      </c>
      <c r="AZ43" s="1253">
        <f t="shared" ref="AZ43:BD43" si="387">AZ40/AV40-1</f>
        <v>9.4400265337871492E-2</v>
      </c>
      <c r="BA43" s="1321">
        <f t="shared" si="387"/>
        <v>8.9740710420123104E-2</v>
      </c>
      <c r="BB43" s="1321">
        <f t="shared" si="387"/>
        <v>9.3815166375717851E-2</v>
      </c>
      <c r="BC43" s="1389">
        <f t="shared" si="387"/>
        <v>0.10062016525580253</v>
      </c>
      <c r="BD43" s="1323">
        <f t="shared" si="387"/>
        <v>0.25230300781892123</v>
      </c>
      <c r="BE43" s="1253"/>
      <c r="BF43" s="1253"/>
      <c r="BG43" s="1254"/>
      <c r="BH43" s="1253"/>
      <c r="BI43" s="1253"/>
      <c r="BJ43" s="1253"/>
      <c r="BK43" s="1254"/>
      <c r="BL43" s="1389"/>
      <c r="BM43" s="1389"/>
      <c r="BN43" s="1389"/>
      <c r="BO43" s="1322"/>
      <c r="BP43" s="23"/>
      <c r="BQ43" s="823"/>
      <c r="BR43" s="413"/>
      <c r="BS43" s="413"/>
      <c r="BT43" s="413"/>
      <c r="BU43" s="413"/>
      <c r="BV43" s="413"/>
      <c r="BW43" s="413"/>
      <c r="BX43" s="413"/>
      <c r="BY43" s="413"/>
      <c r="BZ43" s="413"/>
      <c r="CA43" s="413"/>
      <c r="CB43" s="413"/>
      <c r="CC43" s="413">
        <f>CC40/CB33-1</f>
        <v>9.4693168707688846E-2</v>
      </c>
      <c r="CD43" s="413"/>
      <c r="CE43" s="413"/>
      <c r="CF43" s="412"/>
      <c r="CG43" s="1031"/>
    </row>
    <row r="44" spans="1:85" ht="14.25" hidden="1" customHeight="1" outlineLevel="1">
      <c r="A44" s="634"/>
      <c r="B44" s="1233" t="s">
        <v>601</v>
      </c>
      <c r="C44" s="39"/>
      <c r="D44" s="1323"/>
      <c r="E44" s="1321"/>
      <c r="F44" s="1321"/>
      <c r="G44" s="1322"/>
      <c r="H44" s="1323"/>
      <c r="I44" s="1321"/>
      <c r="J44" s="1321"/>
      <c r="K44" s="1322"/>
      <c r="L44" s="1323"/>
      <c r="M44" s="1321"/>
      <c r="N44" s="1321"/>
      <c r="O44" s="1322"/>
      <c r="P44" s="1323"/>
      <c r="Q44" s="1321"/>
      <c r="R44" s="1321"/>
      <c r="S44" s="1322"/>
      <c r="T44" s="1323"/>
      <c r="U44" s="1321"/>
      <c r="V44" s="1321"/>
      <c r="W44" s="1322"/>
      <c r="X44" s="1321"/>
      <c r="Y44" s="1321"/>
      <c r="Z44" s="1321"/>
      <c r="AA44" s="1322"/>
      <c r="AB44" s="1321"/>
      <c r="AC44" s="1321"/>
      <c r="AD44" s="1321"/>
      <c r="AE44" s="1322"/>
      <c r="AF44" s="1324"/>
      <c r="AG44" s="1324"/>
      <c r="AH44" s="1321"/>
      <c r="AI44" s="1321"/>
      <c r="AJ44" s="1323"/>
      <c r="AK44" s="1321"/>
      <c r="AL44" s="1321"/>
      <c r="AM44" s="1322"/>
      <c r="AN44" s="1323"/>
      <c r="AO44" s="1321"/>
      <c r="AP44" s="1321"/>
      <c r="AQ44" s="1322"/>
      <c r="AR44" s="1323"/>
      <c r="AS44" s="1321"/>
      <c r="AT44" s="1321"/>
      <c r="AU44" s="1322"/>
      <c r="AV44" s="1321"/>
      <c r="AW44" s="1321"/>
      <c r="AX44" s="1321"/>
      <c r="AY44" s="1322"/>
      <c r="AZ44" s="1321"/>
      <c r="BA44" s="1321">
        <f t="shared" ref="BA44" si="388">BA40/BA$127</f>
        <v>0.15033997355372561</v>
      </c>
      <c r="BB44" s="1321">
        <f t="shared" ref="BB44:BC44" si="389">BB40/BB$127</f>
        <v>0.14104019455723163</v>
      </c>
      <c r="BC44" s="1389">
        <f t="shared" si="389"/>
        <v>0.13720305715457354</v>
      </c>
      <c r="BD44" s="1323">
        <f t="shared" ref="BD44" si="390">BD40/BD$127</f>
        <v>0.15836163265505732</v>
      </c>
      <c r="BE44" s="1321"/>
      <c r="BF44" s="1321"/>
      <c r="BG44" s="1322"/>
      <c r="BH44" s="1321"/>
      <c r="BI44" s="1321"/>
      <c r="BJ44" s="1321"/>
      <c r="BK44" s="1322"/>
      <c r="BL44" s="1389"/>
      <c r="BM44" s="1389"/>
      <c r="BN44" s="1389"/>
      <c r="BO44" s="1322"/>
      <c r="BP44" s="23"/>
      <c r="BQ44" s="823"/>
      <c r="BR44" s="413"/>
      <c r="BS44" s="413"/>
      <c r="BT44" s="413"/>
      <c r="BU44" s="413"/>
      <c r="BV44" s="413"/>
      <c r="BW44" s="413"/>
      <c r="BX44" s="413"/>
      <c r="BY44" s="413"/>
      <c r="BZ44" s="413"/>
      <c r="CA44" s="413"/>
      <c r="CB44" s="413"/>
      <c r="CC44" s="413">
        <f>CC40/CC$127</f>
        <v>0.14319935949435389</v>
      </c>
      <c r="CD44" s="413"/>
      <c r="CE44" s="413"/>
      <c r="CF44" s="412"/>
      <c r="CG44" s="1031"/>
    </row>
    <row r="45" spans="1:85" ht="14.25" hidden="1" customHeight="1" outlineLevel="1">
      <c r="A45" s="634"/>
      <c r="B45" s="38"/>
      <c r="C45" s="261"/>
      <c r="D45" s="1257"/>
      <c r="E45" s="1253"/>
      <c r="F45" s="1253"/>
      <c r="G45" s="1254"/>
      <c r="H45" s="1257"/>
      <c r="I45" s="1253"/>
      <c r="J45" s="1253"/>
      <c r="K45" s="1254"/>
      <c r="L45" s="1257"/>
      <c r="M45" s="1253"/>
      <c r="N45" s="1253"/>
      <c r="O45" s="1254"/>
      <c r="P45" s="1257"/>
      <c r="Q45" s="1253"/>
      <c r="R45" s="1253"/>
      <c r="S45" s="1254"/>
      <c r="T45" s="1257"/>
      <c r="U45" s="1253"/>
      <c r="V45" s="1253"/>
      <c r="W45" s="1254"/>
      <c r="X45" s="1253"/>
      <c r="Y45" s="1253"/>
      <c r="Z45" s="1253"/>
      <c r="AA45" s="1254"/>
      <c r="AB45" s="1253"/>
      <c r="AC45" s="1253"/>
      <c r="AD45" s="1253"/>
      <c r="AE45" s="1254"/>
      <c r="AF45" s="1253"/>
      <c r="AG45" s="1253"/>
      <c r="AH45" s="1253"/>
      <c r="AI45" s="1253"/>
      <c r="AJ45" s="1257"/>
      <c r="AK45" s="1255"/>
      <c r="AL45" s="1253"/>
      <c r="AM45" s="1254"/>
      <c r="AN45" s="1257"/>
      <c r="AO45" s="1253"/>
      <c r="AP45" s="1253"/>
      <c r="AQ45" s="1254"/>
      <c r="AR45" s="1257"/>
      <c r="AS45" s="1253"/>
      <c r="AT45" s="1253"/>
      <c r="AU45" s="1254"/>
      <c r="AV45" s="1253"/>
      <c r="AW45" s="1253"/>
      <c r="AX45" s="1253"/>
      <c r="AY45" s="1254"/>
      <c r="AZ45" s="1253"/>
      <c r="BA45" s="1255"/>
      <c r="BB45" s="1255"/>
      <c r="BC45" s="1331"/>
      <c r="BD45" s="98"/>
      <c r="BE45" s="1255"/>
      <c r="BF45" s="1255"/>
      <c r="BG45" s="1256"/>
      <c r="BH45" s="1255"/>
      <c r="BI45" s="1255"/>
      <c r="BJ45" s="1255"/>
      <c r="BK45" s="1256"/>
      <c r="BL45" s="1331"/>
      <c r="BM45" s="1331"/>
      <c r="BN45" s="1331"/>
      <c r="BO45" s="1332"/>
      <c r="BP45" s="23"/>
      <c r="BQ45" s="1277"/>
      <c r="BR45" s="1271"/>
      <c r="BS45" s="1271"/>
      <c r="BT45" s="1271"/>
      <c r="BU45" s="1425"/>
      <c r="BV45" s="1425"/>
      <c r="BW45" s="1425"/>
      <c r="BX45" s="1425"/>
      <c r="BY45" s="1425"/>
      <c r="BZ45" s="1425"/>
      <c r="CA45" s="1425"/>
      <c r="CB45" s="1271"/>
      <c r="CC45" s="1271"/>
      <c r="CD45" s="1271"/>
      <c r="CE45" s="1425"/>
      <c r="CF45" s="1426"/>
      <c r="CG45" s="1031"/>
    </row>
    <row r="46" spans="1:85" ht="14.25" hidden="1" customHeight="1" outlineLevel="1">
      <c r="A46" s="634"/>
      <c r="B46" s="1232" t="s">
        <v>574</v>
      </c>
      <c r="C46" s="261"/>
      <c r="D46" s="477"/>
      <c r="E46" s="416"/>
      <c r="F46" s="416"/>
      <c r="G46" s="417"/>
      <c r="H46" s="477"/>
      <c r="I46" s="416"/>
      <c r="J46" s="416"/>
      <c r="K46" s="417">
        <v>23.36928</v>
      </c>
      <c r="L46" s="477">
        <v>21.428319999999999</v>
      </c>
      <c r="M46" s="416">
        <v>22.949279999999998</v>
      </c>
      <c r="N46" s="416">
        <v>24.130439999999997</v>
      </c>
      <c r="O46" s="417">
        <v>28.148800000000001</v>
      </c>
      <c r="P46" s="477">
        <v>28.872000000000003</v>
      </c>
      <c r="Q46" s="416">
        <v>29.786500000000004</v>
      </c>
      <c r="R46" s="416">
        <v>27.637199999999996</v>
      </c>
      <c r="S46" s="417">
        <v>24.82808</v>
      </c>
      <c r="T46" s="477">
        <v>19.935680000000001</v>
      </c>
      <c r="U46" s="416">
        <v>14.06531</v>
      </c>
      <c r="V46" s="416">
        <v>18.721620000000001</v>
      </c>
      <c r="W46" s="417">
        <v>30.69755</v>
      </c>
      <c r="X46" s="477">
        <v>28.200039999999998</v>
      </c>
      <c r="Y46" s="416">
        <v>34.245640000000002</v>
      </c>
      <c r="Z46" s="416">
        <v>40.278149999999997</v>
      </c>
      <c r="AA46" s="417">
        <v>46.631039999999999</v>
      </c>
      <c r="AB46" s="477">
        <v>46.034519999999993</v>
      </c>
      <c r="AC46" s="416">
        <v>45.914960000000001</v>
      </c>
      <c r="AD46" s="416">
        <v>43.02684</v>
      </c>
      <c r="AE46" s="417">
        <v>52.787200000000006</v>
      </c>
      <c r="AF46" s="477">
        <v>50.03661000000001</v>
      </c>
      <c r="AG46" s="416">
        <v>53.100690000000007</v>
      </c>
      <c r="AH46" s="416">
        <v>52.801760000000002</v>
      </c>
      <c r="AI46" s="416">
        <v>56.97516000000001</v>
      </c>
      <c r="AJ46" s="477">
        <v>48.84496</v>
      </c>
      <c r="AK46" s="416">
        <v>56.61755999999999</v>
      </c>
      <c r="AL46" s="416">
        <v>58.907699999999998</v>
      </c>
      <c r="AM46" s="417">
        <v>64.667830000000009</v>
      </c>
      <c r="AN46" s="477">
        <v>65.314203175701124</v>
      </c>
      <c r="AO46" s="416">
        <v>69.601199999999992</v>
      </c>
      <c r="AP46" s="416">
        <v>70.893032000000005</v>
      </c>
      <c r="AQ46" s="417">
        <v>71.985640000000004</v>
      </c>
      <c r="AR46" s="477">
        <v>66.989249999999998</v>
      </c>
      <c r="AS46" s="416">
        <v>72.172074000000009</v>
      </c>
      <c r="AT46" s="416">
        <v>79.691429999999997</v>
      </c>
      <c r="AU46" s="417">
        <v>75.221739999999997</v>
      </c>
      <c r="AV46" s="416">
        <v>79.839439999999996</v>
      </c>
      <c r="AW46" s="416">
        <v>86.67</v>
      </c>
      <c r="AX46" s="416">
        <v>85.966180000000008</v>
      </c>
      <c r="AY46" s="417">
        <v>89.734799999999993</v>
      </c>
      <c r="AZ46" s="416">
        <v>82.679739999999995</v>
      </c>
      <c r="BA46" s="416">
        <f t="shared" ref="BA46" si="391">AZ46*(1+BA47)</f>
        <v>81.026145199999988</v>
      </c>
      <c r="BB46" s="416">
        <f t="shared" ref="BB46:BD46" si="392">BA46*(1+BB47)</f>
        <v>80.215883747999982</v>
      </c>
      <c r="BC46" s="416">
        <f t="shared" si="392"/>
        <v>79.413724910519974</v>
      </c>
      <c r="BD46" s="477">
        <f t="shared" si="392"/>
        <v>78.619587661414769</v>
      </c>
      <c r="BE46" s="416"/>
      <c r="BF46" s="416"/>
      <c r="BG46" s="417"/>
      <c r="BH46" s="416"/>
      <c r="BI46" s="416"/>
      <c r="BJ46" s="416"/>
      <c r="BK46" s="417"/>
      <c r="BL46" s="416"/>
      <c r="BM46" s="416"/>
      <c r="BN46" s="416"/>
      <c r="BO46" s="417"/>
      <c r="BP46" s="1470"/>
      <c r="BQ46" s="410"/>
      <c r="BR46" s="404"/>
      <c r="BS46" s="404"/>
      <c r="BT46" s="404"/>
      <c r="BU46" s="404"/>
      <c r="BV46" s="404"/>
      <c r="BW46" s="404"/>
      <c r="BX46" s="404"/>
      <c r="BY46" s="404"/>
      <c r="BZ46" s="404"/>
      <c r="CA46" s="404"/>
      <c r="CB46" s="404"/>
      <c r="CC46" s="404">
        <f>SUM(AZ46:BC46)</f>
        <v>323.33549385851995</v>
      </c>
      <c r="CD46" s="404"/>
      <c r="CE46" s="404"/>
      <c r="CF46" s="405"/>
      <c r="CG46" s="1031"/>
    </row>
    <row r="47" spans="1:85" ht="14.25" hidden="1" customHeight="1" outlineLevel="1">
      <c r="A47" s="634"/>
      <c r="B47" s="1233" t="s">
        <v>152</v>
      </c>
      <c r="C47" s="261"/>
      <c r="D47" s="1257"/>
      <c r="E47" s="1253"/>
      <c r="F47" s="1253"/>
      <c r="G47" s="1254"/>
      <c r="H47" s="1257"/>
      <c r="I47" s="1253"/>
      <c r="J47" s="1253"/>
      <c r="K47" s="1254"/>
      <c r="L47" s="1257">
        <f t="shared" ref="L47" si="393">L46/K46-1</f>
        <v>-8.3056046228210723E-2</v>
      </c>
      <c r="M47" s="1253">
        <f t="shared" ref="M47" si="394">M46/L46-1</f>
        <v>7.097896615320276E-2</v>
      </c>
      <c r="N47" s="1253">
        <f t="shared" ref="N47" si="395">N46/M46-1</f>
        <v>5.1468281357846424E-2</v>
      </c>
      <c r="O47" s="1254">
        <f t="shared" ref="O47" si="396">O46/N46-1</f>
        <v>0.16652659462488062</v>
      </c>
      <c r="P47" s="1257">
        <f t="shared" ref="P47" si="397">P46/O46-1</f>
        <v>2.569203660546826E-2</v>
      </c>
      <c r="Q47" s="1253">
        <f t="shared" ref="Q47" si="398">Q46/P46-1</f>
        <v>3.1674286505957383E-2</v>
      </c>
      <c r="R47" s="1253">
        <f t="shared" ref="R47" si="399">R46/Q46-1</f>
        <v>-7.2156849579507742E-2</v>
      </c>
      <c r="S47" s="1254">
        <f t="shared" ref="S47" si="400">S46/R46-1</f>
        <v>-0.10164271344419828</v>
      </c>
      <c r="T47" s="1257">
        <f t="shared" ref="T47" si="401">T46/S46-1</f>
        <v>-0.19705108087294698</v>
      </c>
      <c r="U47" s="1253">
        <f t="shared" ref="U47" si="402">U46/T46-1</f>
        <v>-0.29446550105138125</v>
      </c>
      <c r="V47" s="1253">
        <f t="shared" ref="V47" si="403">V46/U46-1</f>
        <v>0.33104922678561666</v>
      </c>
      <c r="W47" s="1254">
        <f t="shared" ref="W47" si="404">W46/V46-1</f>
        <v>0.63968449311544595</v>
      </c>
      <c r="X47" s="1257">
        <f t="shared" ref="X47" si="405">X46/W46-1</f>
        <v>-8.1358610051942337E-2</v>
      </c>
      <c r="Y47" s="1253">
        <f t="shared" ref="Y47" si="406">Y46/X46-1</f>
        <v>0.21438267463450411</v>
      </c>
      <c r="Z47" s="1253">
        <f t="shared" ref="Z47" si="407">Z46/Y46-1</f>
        <v>0.17615410312086421</v>
      </c>
      <c r="AA47" s="1254">
        <f t="shared" ref="AA47" si="408">AA46/Z46-1</f>
        <v>0.15772546653706798</v>
      </c>
      <c r="AB47" s="1257">
        <f t="shared" ref="AB47" si="409">AB46/AA46-1</f>
        <v>-1.2792337464487269E-2</v>
      </c>
      <c r="AC47" s="1253">
        <f t="shared" ref="AC47" si="410">AC46/AB46-1</f>
        <v>-2.5971814195084875E-3</v>
      </c>
      <c r="AD47" s="1253">
        <f t="shared" ref="AD47" si="411">AD46/AC46-1</f>
        <v>-6.2901503126649772E-2</v>
      </c>
      <c r="AE47" s="1254">
        <f t="shared" ref="AE47" si="412">AE46/AD46-1</f>
        <v>0.22684352371682426</v>
      </c>
      <c r="AF47" s="1257">
        <f t="shared" ref="AF47" si="413">AF46/AE46-1</f>
        <v>-5.2107139609602227E-2</v>
      </c>
      <c r="AG47" s="1253">
        <f t="shared" ref="AG47" si="414">AG46/AF46-1</f>
        <v>6.1236762442539394E-2</v>
      </c>
      <c r="AH47" s="1253">
        <f t="shared" ref="AH47" si="415">AH46/AG46-1</f>
        <v>-5.6294937033776193E-3</v>
      </c>
      <c r="AI47" s="1253">
        <f t="shared" ref="AI47" si="416">AI46/AH46-1</f>
        <v>7.903903203226581E-2</v>
      </c>
      <c r="AJ47" s="1257">
        <f t="shared" ref="AJ47" si="417">AJ46/AI46-1</f>
        <v>-0.14269727368909557</v>
      </c>
      <c r="AK47" s="1253">
        <f t="shared" ref="AK47" si="418">AK46/AJ46-1</f>
        <v>0.1591279837264683</v>
      </c>
      <c r="AL47" s="1253">
        <f t="shared" ref="AL47" si="419">AL46/AK46-1</f>
        <v>4.0449288171373166E-2</v>
      </c>
      <c r="AM47" s="1254">
        <f t="shared" ref="AM47" si="420">AM46/AL46-1</f>
        <v>9.7782293316493574E-2</v>
      </c>
      <c r="AN47" s="1257">
        <f t="shared" ref="AN47" si="421">AN46/AM46-1</f>
        <v>9.9952816678883227E-3</v>
      </c>
      <c r="AO47" s="1253">
        <f t="shared" ref="AO47" si="422">AO46/AN46-1</f>
        <v>6.5636517263579774E-2</v>
      </c>
      <c r="AP47" s="1253">
        <f t="shared" ref="AP47" si="423">AP46/AO46-1</f>
        <v>1.8560484589346338E-2</v>
      </c>
      <c r="AQ47" s="1254">
        <f t="shared" ref="AQ47" si="424">AQ46/AP46-1</f>
        <v>1.5412064756942456E-2</v>
      </c>
      <c r="AR47" s="1257">
        <f t="shared" ref="AR47" si="425">AR46/AQ46-1</f>
        <v>-6.9408148625198063E-2</v>
      </c>
      <c r="AS47" s="1253">
        <f t="shared" ref="AS47" si="426">AS46/AR46-1</f>
        <v>7.7367995611236307E-2</v>
      </c>
      <c r="AT47" s="1253">
        <f t="shared" ref="AT47" si="427">AT46/AS46-1</f>
        <v>0.10418650294018139</v>
      </c>
      <c r="AU47" s="1254">
        <f t="shared" ref="AU47" si="428">AU46/AT46-1</f>
        <v>-5.6087461349357159E-2</v>
      </c>
      <c r="AV47" s="1253">
        <f t="shared" ref="AV47" si="429">AV46/AU46-1</f>
        <v>6.1387838143600604E-2</v>
      </c>
      <c r="AW47" s="1253">
        <f t="shared" ref="AW47" si="430">AW46/AV46-1</f>
        <v>8.5553706288521214E-2</v>
      </c>
      <c r="AX47" s="1253">
        <f t="shared" ref="AX47" si="431">AX46/AW46-1</f>
        <v>-8.1206876658589389E-3</v>
      </c>
      <c r="AY47" s="1254">
        <f t="shared" ref="AY47" si="432">AY46/AX46-1</f>
        <v>4.3838402497353934E-2</v>
      </c>
      <c r="AZ47" s="1321">
        <f t="shared" ref="AZ47" si="433">AZ46/AY46-1</f>
        <v>-7.8621226101802222E-2</v>
      </c>
      <c r="BA47" s="1331">
        <v>-0.02</v>
      </c>
      <c r="BB47" s="1331">
        <v>-0.01</v>
      </c>
      <c r="BC47" s="1331">
        <v>-0.01</v>
      </c>
      <c r="BD47" s="98">
        <v>-0.01</v>
      </c>
      <c r="BE47" s="1328"/>
      <c r="BF47" s="1328"/>
      <c r="BG47" s="1329"/>
      <c r="BH47" s="1328"/>
      <c r="BI47" s="1255"/>
      <c r="BJ47" s="1255"/>
      <c r="BK47" s="1256"/>
      <c r="BL47" s="1331"/>
      <c r="BM47" s="1331"/>
      <c r="BN47" s="1331"/>
      <c r="BO47" s="1332"/>
      <c r="BP47" s="23"/>
      <c r="BQ47" s="1277"/>
      <c r="BR47" s="1271"/>
      <c r="BS47" s="1271"/>
      <c r="BT47" s="1271"/>
      <c r="BU47" s="1425"/>
      <c r="BV47" s="1425"/>
      <c r="BW47" s="1425"/>
      <c r="BX47" s="1425"/>
      <c r="BY47" s="1425"/>
      <c r="BZ47" s="1425"/>
      <c r="CA47" s="1425"/>
      <c r="CB47" s="1271"/>
      <c r="CC47" s="1324"/>
      <c r="CD47" s="1324"/>
      <c r="CE47" s="1425"/>
      <c r="CF47" s="1426"/>
      <c r="CG47" s="1031"/>
    </row>
    <row r="48" spans="1:85" ht="14.25" hidden="1" customHeight="1" outlineLevel="1">
      <c r="A48" s="634"/>
      <c r="B48" s="1233" t="s">
        <v>313</v>
      </c>
      <c r="C48" s="261"/>
      <c r="D48" s="1257"/>
      <c r="E48" s="1253"/>
      <c r="F48" s="1253"/>
      <c r="G48" s="1254"/>
      <c r="H48" s="1257"/>
      <c r="I48" s="1253"/>
      <c r="J48" s="1253"/>
      <c r="K48" s="1254"/>
      <c r="L48" s="1257"/>
      <c r="M48" s="1253"/>
      <c r="N48" s="1253"/>
      <c r="O48" s="1254"/>
      <c r="P48" s="1257"/>
      <c r="Q48" s="1253"/>
      <c r="R48" s="1253"/>
      <c r="S48" s="1254"/>
      <c r="T48" s="1257"/>
      <c r="U48" s="1253"/>
      <c r="V48" s="1253"/>
      <c r="W48" s="1254"/>
      <c r="X48" s="1257"/>
      <c r="Y48" s="1253"/>
      <c r="Z48" s="1253"/>
      <c r="AA48" s="1254"/>
      <c r="AB48" s="1257"/>
      <c r="AC48" s="1253" t="s">
        <v>316</v>
      </c>
      <c r="AD48" s="1253"/>
      <c r="AE48" s="1254"/>
      <c r="AF48" s="1253"/>
      <c r="AG48" s="1258"/>
      <c r="AH48" s="1258"/>
      <c r="AI48" s="1253"/>
      <c r="AJ48" s="1257">
        <f t="shared" ref="AJ48" si="434">AVERAGE(AF47,AB47,X47,X47,T47,P47,L47)</f>
        <v>-6.886168395338052E-2</v>
      </c>
      <c r="AK48" s="1253">
        <f t="shared" ref="AK48" si="435">AVERAGE(AG47,AC47,Y47,Y47,U47,Q47,M47)</f>
        <v>4.222752598568829E-2</v>
      </c>
      <c r="AL48" s="1258">
        <f t="shared" ref="AL48" si="436">AVERAGE(AH47,AD47,Z47,Z47,V47,R47,N47)</f>
        <v>8.4876838282236619E-2</v>
      </c>
      <c r="AM48" s="1254">
        <f t="shared" ref="AM48" si="437">AVERAGE(AI47,AE47,AA47,AA47,W47,S47,O47)</f>
        <v>0.18941455187419345</v>
      </c>
      <c r="AN48" s="1257">
        <f t="shared" ref="AN48" si="438">AVERAGE(AJ47,AF47,AB47,AB47,X47,T47,P47)</f>
        <v>-6.758667750672763E-2</v>
      </c>
      <c r="AO48" s="1253">
        <f t="shared" ref="AO48" si="439">AVERAGE(AK47,AG47,AC47,AC47,Y47,U47,Q47)</f>
        <v>2.3823120488438709E-2</v>
      </c>
      <c r="AP48" s="1258">
        <f t="shared" ref="AP48" si="440">AVERAGE(AL47,AH47,AD47,AD47,Z47,V47,R47)</f>
        <v>4.9151895505952732E-2</v>
      </c>
      <c r="AQ48" s="1254">
        <f t="shared" ref="AQ48" si="441">AVERAGE(AM47,AI47,AE47,AE47,AA47,W47,S47)</f>
        <v>0.18946794557010335</v>
      </c>
      <c r="AR48" s="1257">
        <f t="shared" ref="AR48" si="442">AVERAGE(AN47,AJ47,AF47,AF47,AB47,X47,T47)</f>
        <v>-7.5445471375684039E-2</v>
      </c>
      <c r="AS48" s="1253">
        <f t="shared" ref="AS48" si="443">AVERAGE(AO47,AK47,AG47,AG47,AC47,Y47,U47)</f>
        <v>3.7794002576963033E-2</v>
      </c>
      <c r="AT48" s="1258">
        <f t="shared" ref="AT48" si="444">AVERAGE(AP47,AL47,AH47,AH47,AD47,Z47,V47)</f>
        <v>7.0293230304827911E-2</v>
      </c>
      <c r="AU48" s="1254">
        <f t="shared" ref="AU48" si="445">AVERAGE(AQ47,AM47,AI47,AI47,AE47,AA47,W47)</f>
        <v>0.18507512935818654</v>
      </c>
      <c r="AV48" s="1258">
        <f t="shared" ref="AV48" si="446">AVERAGE(AR47,AN47,AJ47,AJ47,AF47,AB47,X47)</f>
        <v>-7.0152214494504678E-2</v>
      </c>
      <c r="AW48" s="1258">
        <f t="shared" ref="AW48" si="447">AVERAGE(AS47,AO47,AK47,AK47,AG47,AC47,Y47)</f>
        <v>0.10489753371218395</v>
      </c>
      <c r="AX48" s="1258">
        <f t="shared" ref="AX48" si="448">AVERAGE(AT47,AP47,AL47,AL47,AH47,AD47,Z47)</f>
        <v>4.4466952880444409E-2</v>
      </c>
      <c r="AY48" s="1254">
        <f t="shared" ref="AY48" si="449">AVERAGE(AU47,AQ47,AM47,AM47,AI47,AE47,AA47)</f>
        <v>8.835674461810436E-2</v>
      </c>
      <c r="AZ48" s="1321">
        <f t="shared" ref="AZ48" si="450">AVERAGE(AV47,AR47,AN47,AN47,AJ47,AF47,AB47)</f>
        <v>-2.7946642558429411E-2</v>
      </c>
      <c r="BA48" s="1321">
        <f t="shared" ref="BA48" si="451">AW48</f>
        <v>0.10489753371218395</v>
      </c>
      <c r="BB48" s="1321">
        <f t="shared" ref="BB48:BD48" si="452">AX48</f>
        <v>4.4466952880444409E-2</v>
      </c>
      <c r="BC48" s="1389">
        <f t="shared" si="452"/>
        <v>8.835674461810436E-2</v>
      </c>
      <c r="BD48" s="1323">
        <f t="shared" si="452"/>
        <v>-2.7946642558429411E-2</v>
      </c>
      <c r="BE48" s="1253"/>
      <c r="BF48" s="1253"/>
      <c r="BG48" s="1254"/>
      <c r="BH48" s="1253"/>
      <c r="BI48" s="1253"/>
      <c r="BJ48" s="1253"/>
      <c r="BK48" s="1254"/>
      <c r="BL48" s="1389"/>
      <c r="BM48" s="1389"/>
      <c r="BN48" s="1389"/>
      <c r="BO48" s="1322"/>
      <c r="BP48" s="23"/>
      <c r="BQ48" s="462"/>
      <c r="BR48" s="473"/>
      <c r="BS48" s="473"/>
      <c r="BT48" s="473"/>
      <c r="BU48" s="473"/>
      <c r="BV48" s="473"/>
      <c r="BW48" s="473"/>
      <c r="BX48" s="473"/>
      <c r="BY48" s="473"/>
      <c r="BZ48" s="473"/>
      <c r="CA48" s="473"/>
      <c r="CB48" s="413"/>
      <c r="CC48" s="1324"/>
      <c r="CD48" s="413"/>
      <c r="CE48" s="413"/>
      <c r="CF48" s="412"/>
      <c r="CG48" s="1031"/>
    </row>
    <row r="49" spans="1:89" ht="14.25" hidden="1" customHeight="1" outlineLevel="1">
      <c r="A49" s="634"/>
      <c r="B49" s="1233" t="s">
        <v>153</v>
      </c>
      <c r="C49" s="39"/>
      <c r="D49" s="1257"/>
      <c r="E49" s="1253"/>
      <c r="F49" s="1253"/>
      <c r="G49" s="1254"/>
      <c r="H49" s="1257"/>
      <c r="I49" s="1253"/>
      <c r="J49" s="1253"/>
      <c r="K49" s="1254"/>
      <c r="L49" s="1257"/>
      <c r="M49" s="1253"/>
      <c r="N49" s="1253"/>
      <c r="O49" s="1254">
        <f t="shared" ref="O49" si="453">O46/K46-1</f>
        <v>0.20452149146229592</v>
      </c>
      <c r="P49" s="1257">
        <f t="shared" ref="P49" si="454">P46/L46-1</f>
        <v>0.34737580920949496</v>
      </c>
      <c r="Q49" s="1253">
        <f t="shared" ref="Q49" si="455">Q46/M46-1</f>
        <v>0.2979274295315586</v>
      </c>
      <c r="R49" s="1253">
        <f t="shared" ref="R49" si="456">R46/N46-1</f>
        <v>0.14532515776753341</v>
      </c>
      <c r="S49" s="1254">
        <f t="shared" ref="S49" si="457">S46/O46-1</f>
        <v>-0.11797021542659014</v>
      </c>
      <c r="T49" s="1257">
        <f t="shared" ref="T49" si="458">T46/P46-1</f>
        <v>-0.30951510113604885</v>
      </c>
      <c r="U49" s="1253">
        <f t="shared" ref="U49" si="459">U46/Q46-1</f>
        <v>-0.52779581353969085</v>
      </c>
      <c r="V49" s="1253">
        <f t="shared" ref="V49" si="460">V46/R46-1</f>
        <v>-0.32259346098736474</v>
      </c>
      <c r="W49" s="1254">
        <f t="shared" ref="W49" si="461">W46/S46-1</f>
        <v>0.23640450651037059</v>
      </c>
      <c r="X49" s="1257">
        <f t="shared" ref="X49" si="462">X46/T46-1</f>
        <v>0.41455119664842122</v>
      </c>
      <c r="Y49" s="1253">
        <f t="shared" ref="Y49" si="463">Y46/U46-1</f>
        <v>1.4347589921587227</v>
      </c>
      <c r="Z49" s="1253">
        <f t="shared" ref="Z49" si="464">Z46/V46-1</f>
        <v>1.1514243959657335</v>
      </c>
      <c r="AA49" s="1254">
        <f t="shared" ref="AA49" si="465">AA46/W46-1</f>
        <v>0.51904761129145482</v>
      </c>
      <c r="AB49" s="1257">
        <f t="shared" ref="AB49" si="466">AB46/X46-1</f>
        <v>0.63242747173408254</v>
      </c>
      <c r="AC49" s="1253">
        <f t="shared" ref="AC49" si="467">AC46/Y46-1</f>
        <v>0.34075345065824436</v>
      </c>
      <c r="AD49" s="1253">
        <f t="shared" ref="AD49" si="468">AD46/Z46-1</f>
        <v>6.8242707274291492E-2</v>
      </c>
      <c r="AE49" s="1254">
        <f t="shared" ref="AE49" si="469">AE46/AA46-1</f>
        <v>0.13201850098132084</v>
      </c>
      <c r="AF49" s="1258">
        <f t="shared" ref="AF49" si="470">AF46/AB46-1</f>
        <v>8.6936716186027718E-2</v>
      </c>
      <c r="AG49" s="1258">
        <f t="shared" ref="AG49" si="471">AG46/AC46-1</f>
        <v>0.15650084416930787</v>
      </c>
      <c r="AH49" s="1253">
        <f t="shared" ref="AH49" si="472">AH46/AD46-1</f>
        <v>0.22718191714752933</v>
      </c>
      <c r="AI49" s="1253">
        <f t="shared" ref="AI49" si="473">AI46/AE46-1</f>
        <v>7.9336657371483987E-2</v>
      </c>
      <c r="AJ49" s="1257">
        <f t="shared" ref="AJ49" si="474">AJ46/AF46-1</f>
        <v>-2.3815562245324218E-2</v>
      </c>
      <c r="AK49" s="1253">
        <f t="shared" ref="AK49" si="475">AK46/AG46-1</f>
        <v>6.6230212827742552E-2</v>
      </c>
      <c r="AL49" s="1253">
        <f t="shared" ref="AL49" si="476">AL46/AH46-1</f>
        <v>0.11563894839868971</v>
      </c>
      <c r="AM49" s="1254">
        <f t="shared" ref="AM49" si="477">AM46/AI46-1</f>
        <v>0.13501796221370843</v>
      </c>
      <c r="AN49" s="1257">
        <f t="shared" ref="AN49" si="478">AN46/AJ46-1</f>
        <v>0.33717384916890358</v>
      </c>
      <c r="AO49" s="1253">
        <f t="shared" ref="AO49" si="479">AO46/AK46-1</f>
        <v>0.22932178638570799</v>
      </c>
      <c r="AP49" s="1253">
        <f t="shared" ref="AP49" si="480">AP46/AL46-1</f>
        <v>0.20345951378172988</v>
      </c>
      <c r="AQ49" s="1254">
        <f t="shared" ref="AQ49" si="481">AQ46/AM46-1</f>
        <v>0.1131599745963332</v>
      </c>
      <c r="AR49" s="1257">
        <f t="shared" ref="AR49" si="482">AR46/AN46-1</f>
        <v>2.5645981162670584E-2</v>
      </c>
      <c r="AS49" s="1253">
        <f t="shared" ref="AS49" si="483">AS46/AO46-1</f>
        <v>3.6937207979172992E-2</v>
      </c>
      <c r="AT49" s="1253">
        <f t="shared" ref="AT49" si="484">AT46/AP46-1</f>
        <v>0.12410807877422969</v>
      </c>
      <c r="AU49" s="1254">
        <f t="shared" ref="AU49" si="485">AU46/AQ46-1</f>
        <v>4.4954799318308369E-2</v>
      </c>
      <c r="AV49" s="1253">
        <f t="shared" ref="AV49" si="486">AV46/AR46-1</f>
        <v>0.19182465843400243</v>
      </c>
      <c r="AW49" s="1253">
        <f t="shared" ref="AW49" si="487">AW46/AS46-1</f>
        <v>0.20087999688078795</v>
      </c>
      <c r="AX49" s="1253">
        <f t="shared" ref="AX49" si="488">AX46/AT46-1</f>
        <v>7.8738077607592327E-2</v>
      </c>
      <c r="AY49" s="1254">
        <f t="shared" ref="AY49" si="489">AY46/AU46-1</f>
        <v>0.1929370418711398</v>
      </c>
      <c r="AZ49" s="1321">
        <f t="shared" ref="AZ49" si="490">AZ46/AV46-1</f>
        <v>3.5575149324694744E-2</v>
      </c>
      <c r="BA49" s="1321">
        <f t="shared" ref="BA49" si="491">BA46/AW46-1</f>
        <v>-6.5118896965501438E-2</v>
      </c>
      <c r="BB49" s="1321">
        <f t="shared" ref="BB49:BD49" si="492">BB46/AX46-1</f>
        <v>-6.6890214872872389E-2</v>
      </c>
      <c r="BC49" s="1389">
        <f t="shared" si="492"/>
        <v>-0.11501753042832907</v>
      </c>
      <c r="BD49" s="1323">
        <f t="shared" si="492"/>
        <v>-4.9106980000000355E-2</v>
      </c>
      <c r="BE49" s="1253"/>
      <c r="BF49" s="1253"/>
      <c r="BG49" s="1254"/>
      <c r="BH49" s="1253"/>
      <c r="BI49" s="1253"/>
      <c r="BJ49" s="1253"/>
      <c r="BK49" s="1254"/>
      <c r="BL49" s="1389"/>
      <c r="BM49" s="1389"/>
      <c r="BN49" s="1389"/>
      <c r="BO49" s="1322"/>
      <c r="BP49" s="23"/>
      <c r="BQ49" s="823"/>
      <c r="BR49" s="413"/>
      <c r="BS49" s="413"/>
      <c r="BT49" s="413"/>
      <c r="BU49" s="413"/>
      <c r="BV49" s="413"/>
      <c r="BW49" s="413"/>
      <c r="BX49" s="413"/>
      <c r="BY49" s="413"/>
      <c r="BZ49" s="413"/>
      <c r="CA49" s="413"/>
      <c r="CB49" s="413"/>
      <c r="CC49" s="413"/>
      <c r="CD49" s="413"/>
      <c r="CE49" s="413"/>
      <c r="CF49" s="412"/>
      <c r="CG49" s="1031"/>
    </row>
    <row r="50" spans="1:89" ht="14.25" hidden="1" customHeight="1" outlineLevel="1">
      <c r="A50" s="634"/>
      <c r="B50" s="1233" t="s">
        <v>602</v>
      </c>
      <c r="C50" s="813"/>
      <c r="D50" s="1321"/>
      <c r="E50" s="1321"/>
      <c r="F50" s="1321"/>
      <c r="G50" s="1322"/>
      <c r="H50" s="1321"/>
      <c r="I50" s="1321"/>
      <c r="J50" s="1321"/>
      <c r="K50" s="1322"/>
      <c r="L50" s="1321"/>
      <c r="M50" s="1321"/>
      <c r="N50" s="1321"/>
      <c r="O50" s="1322"/>
      <c r="P50" s="1321"/>
      <c r="Q50" s="1321"/>
      <c r="R50" s="1321"/>
      <c r="S50" s="1322"/>
      <c r="T50" s="1321"/>
      <c r="U50" s="1321"/>
      <c r="V50" s="1321"/>
      <c r="W50" s="1322"/>
      <c r="X50" s="1321"/>
      <c r="Y50" s="1321"/>
      <c r="Z50" s="1321"/>
      <c r="AA50" s="1322"/>
      <c r="AB50" s="1321"/>
      <c r="AC50" s="1321"/>
      <c r="AD50" s="1321"/>
      <c r="AE50" s="1322"/>
      <c r="AF50" s="1324"/>
      <c r="AG50" s="1324"/>
      <c r="AH50" s="1321"/>
      <c r="AI50" s="1321"/>
      <c r="AJ50" s="1323"/>
      <c r="AK50" s="1321"/>
      <c r="AL50" s="1321"/>
      <c r="AM50" s="1322"/>
      <c r="AN50" s="1321"/>
      <c r="AO50" s="1321"/>
      <c r="AP50" s="1321"/>
      <c r="AQ50" s="1322"/>
      <c r="AR50" s="1321"/>
      <c r="AS50" s="1321"/>
      <c r="AT50" s="1321"/>
      <c r="AU50" s="1322"/>
      <c r="AV50" s="1321"/>
      <c r="AW50" s="1321"/>
      <c r="AX50" s="1321"/>
      <c r="AY50" s="1322"/>
      <c r="AZ50" s="1321"/>
      <c r="BA50" s="1321">
        <f t="shared" ref="BA50:BB50" si="493">BA46/BA$136</f>
        <v>0.2160969290959853</v>
      </c>
      <c r="BB50" s="1321">
        <f t="shared" si="493"/>
        <v>0.20573402322509235</v>
      </c>
      <c r="BC50" s="1389">
        <f t="shared" ref="BC50" si="494">BC46/BC$136</f>
        <v>0.19569685088488648</v>
      </c>
      <c r="BD50" s="1323">
        <f t="shared" ref="BD50" si="495">BD46/BD$136</f>
        <v>0.18598853644929822</v>
      </c>
      <c r="BE50" s="1321"/>
      <c r="BF50" s="1321"/>
      <c r="BG50" s="1322"/>
      <c r="BH50" s="1321"/>
      <c r="BI50" s="1321"/>
      <c r="BJ50" s="1321"/>
      <c r="BK50" s="1321"/>
      <c r="BL50" s="1389"/>
      <c r="BM50" s="1389"/>
      <c r="BN50" s="1389"/>
      <c r="BO50" s="1389"/>
      <c r="BP50" s="23"/>
      <c r="BQ50" s="823"/>
      <c r="BR50" s="413"/>
      <c r="BS50" s="413"/>
      <c r="BT50" s="413"/>
      <c r="BU50" s="413"/>
      <c r="BV50" s="413"/>
      <c r="BW50" s="413"/>
      <c r="BX50" s="413"/>
      <c r="BY50" s="413"/>
      <c r="BZ50" s="413"/>
      <c r="CA50" s="413"/>
      <c r="CB50" s="413"/>
      <c r="CC50" s="413"/>
      <c r="CD50" s="413"/>
      <c r="CE50" s="413"/>
      <c r="CF50" s="412"/>
      <c r="CG50" s="1031"/>
    </row>
    <row r="51" spans="1:89" ht="14.25" hidden="1" customHeight="1" outlineLevel="1">
      <c r="A51" s="634"/>
      <c r="B51" s="1333" t="s">
        <v>593</v>
      </c>
      <c r="C51" s="813"/>
      <c r="D51" s="1321"/>
      <c r="E51" s="1321"/>
      <c r="F51" s="1321"/>
      <c r="G51" s="1322"/>
      <c r="H51" s="1321"/>
      <c r="I51" s="1321"/>
      <c r="J51" s="1321"/>
      <c r="K51" s="1322"/>
      <c r="L51" s="1321"/>
      <c r="M51" s="1321"/>
      <c r="N51" s="1321"/>
      <c r="O51" s="1322"/>
      <c r="P51" s="1321"/>
      <c r="Q51" s="1321"/>
      <c r="R51" s="1321"/>
      <c r="S51" s="1322"/>
      <c r="T51" s="1321"/>
      <c r="U51" s="1321"/>
      <c r="V51" s="1321"/>
      <c r="W51" s="1322"/>
      <c r="X51" s="1321"/>
      <c r="Y51" s="1321"/>
      <c r="Z51" s="1321"/>
      <c r="AA51" s="1322"/>
      <c r="AB51" s="1321"/>
      <c r="AC51" s="1321"/>
      <c r="AD51" s="1321"/>
      <c r="AE51" s="1322"/>
      <c r="AF51" s="1324"/>
      <c r="AG51" s="1324"/>
      <c r="AH51" s="1321"/>
      <c r="AI51" s="1321"/>
      <c r="AJ51" s="1323"/>
      <c r="AK51" s="1321"/>
      <c r="AL51" s="1321"/>
      <c r="AM51" s="1322"/>
      <c r="AN51" s="1321"/>
      <c r="AO51" s="1321"/>
      <c r="AP51" s="1321"/>
      <c r="AQ51" s="1322"/>
      <c r="AR51" s="1321"/>
      <c r="AS51" s="1321"/>
      <c r="AT51" s="1321"/>
      <c r="AU51" s="1322"/>
      <c r="AV51" s="1321"/>
      <c r="AW51" s="1321"/>
      <c r="AX51" s="1321"/>
      <c r="AY51" s="1322"/>
      <c r="AZ51" s="1317"/>
      <c r="BA51" s="1317">
        <f>5/9*BA46</f>
        <v>45.014525111111105</v>
      </c>
      <c r="BB51" s="1317">
        <f>BB46</f>
        <v>80.215883747999982</v>
      </c>
      <c r="BC51" s="1317">
        <f>BC46</f>
        <v>79.413724910519974</v>
      </c>
      <c r="BD51" s="1479">
        <f>BD46</f>
        <v>78.619587661414769</v>
      </c>
      <c r="BE51" s="1317"/>
      <c r="BF51" s="1317"/>
      <c r="BG51" s="1316"/>
      <c r="BH51" s="1317"/>
      <c r="BI51" s="1317"/>
      <c r="BJ51" s="1317"/>
      <c r="BK51" s="1317"/>
      <c r="BL51" s="1317"/>
      <c r="BM51" s="1317"/>
      <c r="BN51" s="1317"/>
      <c r="BO51" s="1317"/>
      <c r="BP51" s="1471"/>
      <c r="BQ51" s="1325"/>
      <c r="BR51" s="1321"/>
      <c r="BS51" s="1321"/>
      <c r="BT51" s="1321"/>
      <c r="BU51" s="1389"/>
      <c r="BV51" s="1389"/>
      <c r="BW51" s="1389"/>
      <c r="BX51" s="1389"/>
      <c r="BY51" s="1389"/>
      <c r="BZ51" s="1389"/>
      <c r="CA51" s="1389"/>
      <c r="CB51" s="1324"/>
      <c r="CC51" s="404">
        <f>CC33-CC40</f>
        <v>159.62960865851994</v>
      </c>
      <c r="CD51" s="404"/>
      <c r="CE51" s="404"/>
      <c r="CF51" s="405"/>
      <c r="CG51" s="1031"/>
    </row>
    <row r="52" spans="1:89" ht="14.25" hidden="1" customHeight="1" outlineLevel="1">
      <c r="A52" s="634"/>
      <c r="B52" s="1333" t="s">
        <v>153</v>
      </c>
      <c r="C52" s="813"/>
      <c r="D52" s="1321"/>
      <c r="E52" s="1321"/>
      <c r="F52" s="1321"/>
      <c r="G52" s="1322"/>
      <c r="H52" s="1321"/>
      <c r="I52" s="1321"/>
      <c r="J52" s="1321"/>
      <c r="K52" s="1322"/>
      <c r="L52" s="1321"/>
      <c r="M52" s="1321"/>
      <c r="N52" s="1321"/>
      <c r="O52" s="1322"/>
      <c r="P52" s="1321"/>
      <c r="Q52" s="1321"/>
      <c r="R52" s="1321"/>
      <c r="S52" s="1322"/>
      <c r="T52" s="1321"/>
      <c r="U52" s="1321"/>
      <c r="V52" s="1321"/>
      <c r="W52" s="1322"/>
      <c r="X52" s="1321"/>
      <c r="Y52" s="1321"/>
      <c r="Z52" s="1321"/>
      <c r="AA52" s="1322"/>
      <c r="AB52" s="1321"/>
      <c r="AC52" s="1321"/>
      <c r="AD52" s="1321"/>
      <c r="AE52" s="1322"/>
      <c r="AF52" s="1324"/>
      <c r="AG52" s="1324"/>
      <c r="AH52" s="1321"/>
      <c r="AI52" s="1321"/>
      <c r="AJ52" s="1323"/>
      <c r="AK52" s="1321"/>
      <c r="AL52" s="1321"/>
      <c r="AM52" s="1322"/>
      <c r="AN52" s="1321"/>
      <c r="AO52" s="1321"/>
      <c r="AP52" s="1321"/>
      <c r="AQ52" s="1322"/>
      <c r="AR52" s="1321"/>
      <c r="AS52" s="1321"/>
      <c r="AT52" s="1321"/>
      <c r="AU52" s="1322"/>
      <c r="AV52" s="1321"/>
      <c r="AW52" s="1321"/>
      <c r="AX52" s="1321"/>
      <c r="AY52" s="1322"/>
      <c r="AZ52" s="1317"/>
      <c r="BA52" s="1321"/>
      <c r="BB52" s="1321"/>
      <c r="BC52" s="1389"/>
      <c r="BD52" s="1323"/>
      <c r="BE52" s="1321"/>
      <c r="BF52" s="1321"/>
      <c r="BG52" s="1322"/>
      <c r="BH52" s="1321"/>
      <c r="BI52" s="1321"/>
      <c r="BJ52" s="1321"/>
      <c r="BK52" s="1322"/>
      <c r="BL52" s="1389"/>
      <c r="BM52" s="1389"/>
      <c r="BN52" s="1389"/>
      <c r="BO52" s="1322"/>
      <c r="BP52" s="1471"/>
      <c r="BQ52" s="1325"/>
      <c r="BR52" s="1321"/>
      <c r="BS52" s="1321"/>
      <c r="BT52" s="1321"/>
      <c r="BU52" s="1389"/>
      <c r="BV52" s="1389"/>
      <c r="BW52" s="1389"/>
      <c r="BX52" s="1389"/>
      <c r="BY52" s="1389"/>
      <c r="BZ52" s="1389"/>
      <c r="CA52" s="1389"/>
      <c r="CB52" s="1324"/>
      <c r="CC52" s="1315"/>
      <c r="CD52" s="413"/>
      <c r="CE52" s="413"/>
      <c r="CF52" s="412"/>
      <c r="CG52" s="1031"/>
    </row>
    <row r="53" spans="1:89" ht="14.25" customHeight="1" collapsed="1">
      <c r="A53" s="634"/>
      <c r="B53" s="1234"/>
      <c r="C53" s="284"/>
      <c r="D53" s="1291"/>
      <c r="E53" s="1287"/>
      <c r="F53" s="1287"/>
      <c r="G53" s="1288"/>
      <c r="H53" s="1291"/>
      <c r="I53" s="1287"/>
      <c r="J53" s="1287"/>
      <c r="K53" s="1288"/>
      <c r="L53" s="1291"/>
      <c r="M53" s="1287"/>
      <c r="N53" s="1287"/>
      <c r="O53" s="1288"/>
      <c r="P53" s="1291"/>
      <c r="Q53" s="1287"/>
      <c r="R53" s="1287"/>
      <c r="S53" s="1288"/>
      <c r="T53" s="1291"/>
      <c r="U53" s="1287"/>
      <c r="V53" s="1287"/>
      <c r="W53" s="1288"/>
      <c r="X53" s="1291"/>
      <c r="Y53" s="1287"/>
      <c r="Z53" s="1287"/>
      <c r="AA53" s="1288"/>
      <c r="AB53" s="1291"/>
      <c r="AC53" s="1287"/>
      <c r="AD53" s="1287"/>
      <c r="AE53" s="1288"/>
      <c r="AF53" s="244"/>
      <c r="AG53" s="342"/>
      <c r="AH53" s="1287"/>
      <c r="AI53" s="1289"/>
      <c r="AJ53" s="67"/>
      <c r="AK53" s="74"/>
      <c r="AL53" s="1287"/>
      <c r="AM53" s="1290"/>
      <c r="AN53" s="67"/>
      <c r="AO53" s="74"/>
      <c r="AP53" s="1287"/>
      <c r="AQ53" s="1290"/>
      <c r="AR53" s="67"/>
      <c r="AS53" s="74"/>
      <c r="AT53" s="1287"/>
      <c r="AU53" s="1290"/>
      <c r="AV53" s="1287"/>
      <c r="AW53" s="74"/>
      <c r="AX53" s="74"/>
      <c r="AY53" s="68"/>
      <c r="AZ53" s="74"/>
      <c r="BA53" s="74"/>
      <c r="BB53" s="74"/>
      <c r="BC53" s="74"/>
      <c r="BD53" s="26"/>
      <c r="BE53" s="74"/>
      <c r="BF53" s="74"/>
      <c r="BG53" s="68"/>
      <c r="BH53" s="74"/>
      <c r="BI53" s="74"/>
      <c r="BJ53" s="74"/>
      <c r="BK53" s="68"/>
      <c r="BL53" s="74"/>
      <c r="BM53" s="74"/>
      <c r="BN53" s="74"/>
      <c r="BO53" s="68"/>
      <c r="BP53" s="23"/>
      <c r="BQ53" s="18"/>
      <c r="BR53" s="244"/>
      <c r="BS53" s="244"/>
      <c r="BT53" s="244"/>
      <c r="BU53" s="244"/>
      <c r="BV53" s="244"/>
      <c r="BW53" s="244"/>
      <c r="BX53" s="244"/>
      <c r="BY53" s="244"/>
      <c r="BZ53" s="244"/>
      <c r="CA53" s="244"/>
      <c r="CB53" s="244"/>
      <c r="CC53" s="244"/>
      <c r="CD53" s="244"/>
      <c r="CE53" s="244"/>
      <c r="CF53" s="19"/>
      <c r="CG53" s="1031"/>
    </row>
    <row r="54" spans="1:89" ht="14.25" customHeight="1">
      <c r="A54" s="635"/>
      <c r="B54" s="51" t="s">
        <v>260</v>
      </c>
      <c r="C54" s="341"/>
      <c r="D54" s="414"/>
      <c r="E54" s="414"/>
      <c r="F54" s="414"/>
      <c r="G54" s="415"/>
      <c r="H54" s="416">
        <f>H$242</f>
        <v>99.692999999999998</v>
      </c>
      <c r="I54" s="416">
        <f t="shared" ref="I54:AI54" si="496">I$242</f>
        <v>108.414</v>
      </c>
      <c r="J54" s="416">
        <f t="shared" si="496"/>
        <v>110.27</v>
      </c>
      <c r="K54" s="417">
        <f t="shared" si="496"/>
        <v>131.37700000000001</v>
      </c>
      <c r="L54" s="416">
        <f t="shared" si="496"/>
        <v>129.60400000000001</v>
      </c>
      <c r="M54" s="416">
        <f t="shared" si="496"/>
        <v>131.185</v>
      </c>
      <c r="N54" s="416">
        <f t="shared" si="496"/>
        <v>136.14500000000001</v>
      </c>
      <c r="O54" s="417">
        <f t="shared" si="496"/>
        <v>126.85900000000004</v>
      </c>
      <c r="P54" s="416">
        <f t="shared" si="496"/>
        <v>126.952</v>
      </c>
      <c r="Q54" s="416">
        <f t="shared" si="496"/>
        <v>122.956</v>
      </c>
      <c r="R54" s="416">
        <f t="shared" si="496"/>
        <v>129.78399999999999</v>
      </c>
      <c r="S54" s="417">
        <f t="shared" si="496"/>
        <v>158.51</v>
      </c>
      <c r="T54" s="416">
        <f t="shared" si="496"/>
        <v>76.701999999999998</v>
      </c>
      <c r="U54" s="416">
        <f t="shared" si="496"/>
        <v>82.367999999999995</v>
      </c>
      <c r="V54" s="416">
        <f t="shared" si="496"/>
        <v>104.432</v>
      </c>
      <c r="W54" s="417">
        <f t="shared" si="496"/>
        <v>154.15</v>
      </c>
      <c r="X54" s="416">
        <f t="shared" si="496"/>
        <v>144.9</v>
      </c>
      <c r="Y54" s="416">
        <f t="shared" si="496"/>
        <v>145.5</v>
      </c>
      <c r="Z54" s="416">
        <f t="shared" si="496"/>
        <v>155.9</v>
      </c>
      <c r="AA54" s="417">
        <f t="shared" si="496"/>
        <v>164.6</v>
      </c>
      <c r="AB54" s="414">
        <f t="shared" si="496"/>
        <v>146</v>
      </c>
      <c r="AC54" s="414">
        <f t="shared" si="496"/>
        <v>136.19999999999999</v>
      </c>
      <c r="AD54" s="414">
        <f t="shared" si="496"/>
        <v>135.6</v>
      </c>
      <c r="AE54" s="415">
        <f t="shared" si="496"/>
        <v>148.6</v>
      </c>
      <c r="AF54" s="414">
        <f t="shared" si="496"/>
        <v>116.9</v>
      </c>
      <c r="AG54" s="414">
        <f t="shared" si="496"/>
        <v>108</v>
      </c>
      <c r="AH54" s="414">
        <f t="shared" si="496"/>
        <v>108.905</v>
      </c>
      <c r="AI54" s="414">
        <f t="shared" si="496"/>
        <v>137.62</v>
      </c>
      <c r="AJ54" s="477">
        <f t="shared" ref="AJ54:AU54" si="497">AJ$242</f>
        <v>106.929</v>
      </c>
      <c r="AK54" s="416">
        <f t="shared" si="497"/>
        <v>101.04900000000001</v>
      </c>
      <c r="AL54" s="416">
        <f t="shared" si="497"/>
        <v>100.163</v>
      </c>
      <c r="AM54" s="417">
        <f t="shared" si="497"/>
        <v>94.516000000000005</v>
      </c>
      <c r="AN54" s="1033">
        <f t="shared" si="497"/>
        <v>74.119</v>
      </c>
      <c r="AO54" s="416">
        <f t="shared" si="497"/>
        <v>77.704999999999998</v>
      </c>
      <c r="AP54" s="416">
        <f t="shared" si="497"/>
        <v>80.87</v>
      </c>
      <c r="AQ54" s="417">
        <f t="shared" si="497"/>
        <v>92.328999999999994</v>
      </c>
      <c r="AR54" s="1033">
        <f t="shared" si="497"/>
        <v>94.834999999999994</v>
      </c>
      <c r="AS54" s="416">
        <f t="shared" si="497"/>
        <v>109.032</v>
      </c>
      <c r="AT54" s="416">
        <f>AT$242</f>
        <v>206.77799999999999</v>
      </c>
      <c r="AU54" s="417">
        <f t="shared" si="497"/>
        <v>317.37599999999998</v>
      </c>
      <c r="AV54" s="416">
        <f>AV$242</f>
        <v>125.702</v>
      </c>
      <c r="AW54" s="416">
        <f>AW$242</f>
        <v>80.037999999999997</v>
      </c>
      <c r="AX54" s="416">
        <f>AX$242</f>
        <v>186.101</v>
      </c>
      <c r="AY54" s="417">
        <f t="shared" ref="AY54" si="498">AY$242</f>
        <v>294.04000000000002</v>
      </c>
      <c r="AZ54" s="416">
        <f>AZ$242</f>
        <v>270.40800000000002</v>
      </c>
      <c r="BA54" s="1252">
        <f>BA61+BA72*(5/9)</f>
        <v>220.97776933333333</v>
      </c>
      <c r="BB54" s="416">
        <f>BB$242</f>
        <v>252.49799999999999</v>
      </c>
      <c r="BC54" s="416">
        <f>BC$242</f>
        <v>313.37400000000002</v>
      </c>
      <c r="BD54" s="1033">
        <f>BD$242</f>
        <v>238.506</v>
      </c>
      <c r="BE54" s="416">
        <f t="shared" ref="BE54" si="499">BD54*(1+BE55)</f>
        <v>193.18986000000001</v>
      </c>
      <c r="BF54" s="416">
        <f t="shared" ref="BF54" si="500">BE54*(1+BF55)</f>
        <v>206.71315020000003</v>
      </c>
      <c r="BG54" s="417">
        <f t="shared" ref="BG54" si="501">BF54*(1+BG55)</f>
        <v>227.38446522000004</v>
      </c>
      <c r="BH54" s="416">
        <f t="shared" ref="BH54" si="502">BG54*(1+BH55)</f>
        <v>193.27679543700003</v>
      </c>
      <c r="BI54" s="416">
        <f t="shared" ref="BI54" si="503">BH54*(1+BI55)</f>
        <v>173.94911589330005</v>
      </c>
      <c r="BJ54" s="416">
        <f t="shared" ref="BJ54" si="504">BI54*(1+BJ55)</f>
        <v>191.34402748263005</v>
      </c>
      <c r="BK54" s="417">
        <f t="shared" ref="BK54" si="505">BJ54*(1+BK55)</f>
        <v>229.61283297915605</v>
      </c>
      <c r="BL54" s="416">
        <f t="shared" ref="BL54" si="506">BK54*(1+BL55)</f>
        <v>195.17090803228265</v>
      </c>
      <c r="BM54" s="416">
        <f t="shared" ref="BM54" si="507">BL54*(1+BM55)</f>
        <v>175.6538172290544</v>
      </c>
      <c r="BN54" s="416">
        <f t="shared" ref="BN54" si="508">BM54*(1+BN55)</f>
        <v>193.21919895195984</v>
      </c>
      <c r="BO54" s="417">
        <f t="shared" ref="BO54" si="509">BN54*(1+BO55)</f>
        <v>231.86303874235179</v>
      </c>
      <c r="BP54" s="343"/>
      <c r="BQ54" s="410">
        <f>SUM(D54:G54)</f>
        <v>0</v>
      </c>
      <c r="BR54" s="404">
        <f>SUM(H54:K54)</f>
        <v>449.75400000000002</v>
      </c>
      <c r="BS54" s="404">
        <f>SUM(L54:O54)</f>
        <v>523.79300000000001</v>
      </c>
      <c r="BT54" s="404">
        <f>SUM(P54:S54)</f>
        <v>538.202</v>
      </c>
      <c r="BU54" s="404">
        <f>SUM(T54:W54)</f>
        <v>417.65200000000004</v>
      </c>
      <c r="BV54" s="404">
        <f>SUM(X54:AA54)</f>
        <v>610.9</v>
      </c>
      <c r="BW54" s="404">
        <f>SUM(AB54:AE54)</f>
        <v>566.4</v>
      </c>
      <c r="BX54" s="404">
        <f>SUM(AF54:AI54)</f>
        <v>471.42500000000001</v>
      </c>
      <c r="BY54" s="404">
        <f>SUM(AJ54:AM54)</f>
        <v>402.65700000000004</v>
      </c>
      <c r="BZ54" s="404">
        <f>SUM(AN54:AQ54)</f>
        <v>325.02300000000002</v>
      </c>
      <c r="CA54" s="404">
        <f>SUM(AR54:AU54)</f>
        <v>728.02099999999996</v>
      </c>
      <c r="CB54" s="479">
        <f>SUM(AV54:AY54)</f>
        <v>685.88100000000009</v>
      </c>
      <c r="CC54" s="479">
        <f>SUM(AZ54:BC54)</f>
        <v>1057.2577693333333</v>
      </c>
      <c r="CD54" s="479">
        <f>SUM(BD54:BG54)</f>
        <v>865.79347542000005</v>
      </c>
      <c r="CE54" s="479">
        <f>SUM(BH54:BK54)</f>
        <v>788.18277179208621</v>
      </c>
      <c r="CF54" s="480">
        <f>SUM(BL54:BO54)</f>
        <v>795.90696295564874</v>
      </c>
      <c r="CG54" s="1031"/>
    </row>
    <row r="55" spans="1:89" ht="14.25" customHeight="1">
      <c r="A55" s="634"/>
      <c r="B55" s="260" t="s">
        <v>152</v>
      </c>
      <c r="C55" s="261"/>
      <c r="D55" s="94"/>
      <c r="E55" s="94"/>
      <c r="F55" s="94"/>
      <c r="G55" s="95"/>
      <c r="H55" s="94"/>
      <c r="I55" s="94">
        <f t="shared" ref="I55:AL55" si="510">I54/H54-1</f>
        <v>8.7478559176672466E-2</v>
      </c>
      <c r="J55" s="94">
        <f t="shared" si="510"/>
        <v>1.711956020440164E-2</v>
      </c>
      <c r="K55" s="95">
        <f t="shared" si="510"/>
        <v>0.19141198875487442</v>
      </c>
      <c r="L55" s="94">
        <f t="shared" si="510"/>
        <v>-1.3495512913219154E-2</v>
      </c>
      <c r="M55" s="94">
        <f t="shared" si="510"/>
        <v>1.2198697571062622E-2</v>
      </c>
      <c r="N55" s="94">
        <f t="shared" si="510"/>
        <v>3.7809200747036753E-2</v>
      </c>
      <c r="O55" s="95">
        <f t="shared" si="510"/>
        <v>-6.8206691395203412E-2</v>
      </c>
      <c r="P55" s="94">
        <f t="shared" si="510"/>
        <v>7.330973758263859E-4</v>
      </c>
      <c r="Q55" s="94">
        <f t="shared" si="510"/>
        <v>-3.1476463545276889E-2</v>
      </c>
      <c r="R55" s="94">
        <f t="shared" si="510"/>
        <v>5.5532060249194659E-2</v>
      </c>
      <c r="S55" s="95">
        <f t="shared" si="510"/>
        <v>0.22133699069222712</v>
      </c>
      <c r="T55" s="94">
        <f t="shared" si="510"/>
        <v>-0.51610623935398392</v>
      </c>
      <c r="U55" s="94">
        <f t="shared" si="510"/>
        <v>7.3870303251544867E-2</v>
      </c>
      <c r="V55" s="94">
        <f t="shared" si="510"/>
        <v>0.26787101787101797</v>
      </c>
      <c r="W55" s="95">
        <f t="shared" si="510"/>
        <v>0.4760801286961851</v>
      </c>
      <c r="X55" s="94">
        <f t="shared" si="510"/>
        <v>-6.0006487187804103E-2</v>
      </c>
      <c r="Y55" s="94">
        <f t="shared" si="510"/>
        <v>4.1407867494822614E-3</v>
      </c>
      <c r="Z55" s="94">
        <f t="shared" si="510"/>
        <v>7.1477663230240518E-2</v>
      </c>
      <c r="AA55" s="95">
        <f t="shared" si="510"/>
        <v>5.5805003207183956E-2</v>
      </c>
      <c r="AB55" s="94">
        <f t="shared" si="510"/>
        <v>-0.1130012150668287</v>
      </c>
      <c r="AC55" s="94">
        <f t="shared" si="510"/>
        <v>-6.712328767123299E-2</v>
      </c>
      <c r="AD55" s="94">
        <f t="shared" si="510"/>
        <v>-4.405286343612258E-3</v>
      </c>
      <c r="AE55" s="95">
        <f t="shared" si="510"/>
        <v>9.587020648967548E-2</v>
      </c>
      <c r="AF55" s="94">
        <f t="shared" si="510"/>
        <v>-0.21332436069986538</v>
      </c>
      <c r="AG55" s="94">
        <f t="shared" si="510"/>
        <v>-7.6133447390932418E-2</v>
      </c>
      <c r="AH55" s="94">
        <f t="shared" si="510"/>
        <v>8.3796296296296813E-3</v>
      </c>
      <c r="AI55" s="94">
        <f t="shared" si="510"/>
        <v>0.26367017125017211</v>
      </c>
      <c r="AJ55" s="153">
        <f t="shared" si="510"/>
        <v>-0.2230126435111176</v>
      </c>
      <c r="AK55" s="94">
        <f t="shared" si="510"/>
        <v>-5.4989759560081897E-2</v>
      </c>
      <c r="AL55" s="94">
        <f t="shared" si="510"/>
        <v>-8.768023434175598E-3</v>
      </c>
      <c r="AM55" s="95">
        <f t="shared" ref="AM55:AZ55" si="511">AM54/AL54-1</f>
        <v>-5.6378103690983616E-2</v>
      </c>
      <c r="AN55" s="153">
        <f t="shared" si="511"/>
        <v>-0.21580473147403623</v>
      </c>
      <c r="AO55" s="94">
        <f t="shared" si="511"/>
        <v>4.8381656525317451E-2</v>
      </c>
      <c r="AP55" s="94">
        <f t="shared" si="511"/>
        <v>4.0730969693069996E-2</v>
      </c>
      <c r="AQ55" s="95">
        <f t="shared" si="511"/>
        <v>0.14169655001854808</v>
      </c>
      <c r="AR55" s="153">
        <f t="shared" si="511"/>
        <v>2.7142068039294198E-2</v>
      </c>
      <c r="AS55" s="94">
        <f t="shared" si="511"/>
        <v>0.14970211419834456</v>
      </c>
      <c r="AT55" s="94">
        <f t="shared" si="511"/>
        <v>0.89648910411622285</v>
      </c>
      <c r="AU55" s="95">
        <f t="shared" si="511"/>
        <v>0.53486347677219048</v>
      </c>
      <c r="AV55" s="153">
        <f t="shared" si="511"/>
        <v>-0.60393350473885854</v>
      </c>
      <c r="AW55" s="94">
        <f t="shared" si="511"/>
        <v>-0.36327186520500865</v>
      </c>
      <c r="AX55" s="94">
        <f t="shared" si="511"/>
        <v>1.3251580499262849</v>
      </c>
      <c r="AY55" s="95">
        <f t="shared" si="511"/>
        <v>0.5800022568390284</v>
      </c>
      <c r="AZ55" s="153">
        <f t="shared" si="511"/>
        <v>-8.0370017684668782E-2</v>
      </c>
      <c r="BA55" s="1269">
        <f>BA54/AZ54-1</f>
        <v>-0.18279869924952918</v>
      </c>
      <c r="BB55" s="1269">
        <f t="shared" ref="BB55:BD55" si="512">BB54/BA54-1</f>
        <v>0.14263982644842454</v>
      </c>
      <c r="BC55" s="1389">
        <f t="shared" si="512"/>
        <v>0.24109497897013066</v>
      </c>
      <c r="BD55" s="1323">
        <f t="shared" si="512"/>
        <v>-0.23890941813934796</v>
      </c>
      <c r="BE55" s="1380">
        <v>-0.19</v>
      </c>
      <c r="BF55" s="1380">
        <v>7.0000000000000007E-2</v>
      </c>
      <c r="BG55" s="1381">
        <v>0.1</v>
      </c>
      <c r="BH55" s="1380">
        <v>-0.15</v>
      </c>
      <c r="BI55" s="1380">
        <v>-0.1</v>
      </c>
      <c r="BJ55" s="1380">
        <v>0.1</v>
      </c>
      <c r="BK55" s="1381">
        <v>0.2</v>
      </c>
      <c r="BL55" s="1380">
        <v>-0.15</v>
      </c>
      <c r="BM55" s="1380">
        <v>-0.1</v>
      </c>
      <c r="BN55" s="1380">
        <v>0.1</v>
      </c>
      <c r="BO55" s="1381">
        <v>0.2</v>
      </c>
      <c r="BP55" s="23"/>
      <c r="BQ55" s="262"/>
      <c r="BR55" s="263"/>
      <c r="BS55" s="263"/>
      <c r="BT55" s="263"/>
      <c r="BU55" s="1425"/>
      <c r="BV55" s="1425"/>
      <c r="BW55" s="1425"/>
      <c r="BX55" s="1425"/>
      <c r="BY55" s="1425"/>
      <c r="BZ55" s="1425"/>
      <c r="CA55" s="1425"/>
      <c r="CB55" s="1425"/>
      <c r="CC55" s="1425"/>
      <c r="CD55" s="1425"/>
      <c r="CE55" s="1425"/>
      <c r="CF55" s="1426"/>
      <c r="CG55" s="25"/>
      <c r="CH55" s="8"/>
      <c r="CI55" s="8"/>
      <c r="CJ55" s="8"/>
      <c r="CK55" s="8"/>
    </row>
    <row r="56" spans="1:89" ht="14.25" customHeight="1">
      <c r="A56" s="634"/>
      <c r="B56" s="38" t="s">
        <v>313</v>
      </c>
      <c r="C56" s="261"/>
      <c r="D56" s="94"/>
      <c r="E56" s="94"/>
      <c r="F56" s="94"/>
      <c r="G56" s="95"/>
      <c r="H56" s="94"/>
      <c r="I56" s="94"/>
      <c r="J56" s="94"/>
      <c r="K56" s="95"/>
      <c r="L56" s="94"/>
      <c r="M56" s="94"/>
      <c r="N56" s="94"/>
      <c r="O56" s="95"/>
      <c r="P56" s="94"/>
      <c r="Q56" s="94"/>
      <c r="R56" s="94"/>
      <c r="S56" s="95"/>
      <c r="T56" s="94"/>
      <c r="U56" s="94"/>
      <c r="V56" s="94"/>
      <c r="W56" s="95"/>
      <c r="X56" s="94"/>
      <c r="Y56" s="94"/>
      <c r="Z56" s="94"/>
      <c r="AA56" s="95"/>
      <c r="AB56" s="94"/>
      <c r="AC56" s="94"/>
      <c r="AD56" s="94"/>
      <c r="AE56" s="95"/>
      <c r="AF56" s="94"/>
      <c r="AG56" s="94">
        <f t="shared" ref="AG56:AZ56" si="513">AVERAGE(AC55,Y55,U55,U55,Q55,M55,I55)</f>
        <v>2.1851271254828171E-2</v>
      </c>
      <c r="AH56" s="94">
        <f t="shared" si="513"/>
        <v>0.10189646197561389</v>
      </c>
      <c r="AI56" s="94">
        <f t="shared" si="513"/>
        <v>0.20691110787730396</v>
      </c>
      <c r="AJ56" s="153">
        <f t="shared" si="513"/>
        <v>-0.13931531500481129</v>
      </c>
      <c r="AK56" s="94">
        <f t="shared" si="513"/>
        <v>-1.1483232040838611E-2</v>
      </c>
      <c r="AL56" s="94">
        <f t="shared" si="513"/>
        <v>7.2591706944821116E-2</v>
      </c>
      <c r="AM56" s="95">
        <f t="shared" si="513"/>
        <v>0.15719440173534632</v>
      </c>
      <c r="AN56" s="153">
        <f t="shared" si="513"/>
        <v>-0.17681700907294312</v>
      </c>
      <c r="AO56" s="94">
        <f t="shared" si="513"/>
        <v>-3.1262165119675722E-2</v>
      </c>
      <c r="AP56" s="94">
        <f t="shared" si="513"/>
        <v>5.5097396408383244E-2</v>
      </c>
      <c r="AQ56" s="95">
        <f t="shared" si="513"/>
        <v>0.16460780044773365</v>
      </c>
      <c r="AR56" s="153">
        <f t="shared" si="513"/>
        <v>-0.22208286257050019</v>
      </c>
      <c r="AS56" s="94">
        <f t="shared" si="513"/>
        <v>-2.1141027926690734E-2</v>
      </c>
      <c r="AT56" s="94">
        <f t="shared" si="513"/>
        <v>5.4809371467971428E-2</v>
      </c>
      <c r="AU56" s="95">
        <f t="shared" si="513"/>
        <v>0.17720201817442188</v>
      </c>
      <c r="AV56" s="153">
        <f t="shared" si="513"/>
        <v>-0.14586000191592507</v>
      </c>
      <c r="AW56" s="94">
        <f t="shared" si="513"/>
        <v>-7.2873852441692755E-3</v>
      </c>
      <c r="AX56" s="94">
        <f t="shared" si="513"/>
        <v>0.14216229049388565</v>
      </c>
      <c r="AY56" s="95">
        <f t="shared" si="513"/>
        <v>0.13987845719368613</v>
      </c>
      <c r="AZ56" s="153">
        <f t="shared" si="513"/>
        <v>-0.22253415984649264</v>
      </c>
      <c r="BA56" s="1269">
        <f t="shared" ref="BA56" si="514">AW56</f>
        <v>-7.2873852441692755E-3</v>
      </c>
      <c r="BB56" s="1269">
        <f t="shared" ref="BB56:BD56" si="515">AX56</f>
        <v>0.14216229049388565</v>
      </c>
      <c r="BC56" s="1389">
        <f t="shared" si="515"/>
        <v>0.13987845719368613</v>
      </c>
      <c r="BD56" s="1323">
        <f t="shared" si="515"/>
        <v>-0.22253415984649264</v>
      </c>
      <c r="BE56" s="1269">
        <f t="shared" ref="BE56" si="516">BA56</f>
        <v>-7.2873852441692755E-3</v>
      </c>
      <c r="BF56" s="1269">
        <f t="shared" ref="BF56" si="517">BB56</f>
        <v>0.14216229049388565</v>
      </c>
      <c r="BG56" s="1270">
        <f t="shared" ref="BG56" si="518">BC56</f>
        <v>0.13987845719368613</v>
      </c>
      <c r="BH56" s="1269">
        <f t="shared" ref="BH56" si="519">BD56</f>
        <v>-0.22253415984649264</v>
      </c>
      <c r="BI56" s="1269">
        <f t="shared" ref="BI56" si="520">BE56</f>
        <v>-7.2873852441692755E-3</v>
      </c>
      <c r="BJ56" s="1269">
        <f t="shared" ref="BJ56" si="521">BF56</f>
        <v>0.14216229049388565</v>
      </c>
      <c r="BK56" s="1270">
        <f t="shared" ref="BK56" si="522">BG56</f>
        <v>0.13987845719368613</v>
      </c>
      <c r="BL56" s="1389">
        <f t="shared" ref="BL56" si="523">BH56</f>
        <v>-0.22253415984649264</v>
      </c>
      <c r="BM56" s="1389">
        <f t="shared" ref="BM56" si="524">BI56</f>
        <v>-7.2873852441692755E-3</v>
      </c>
      <c r="BN56" s="1389">
        <f t="shared" ref="BN56" si="525">BJ56</f>
        <v>0.14216229049388565</v>
      </c>
      <c r="BO56" s="1322">
        <f t="shared" ref="BO56" si="526">BK56</f>
        <v>0.13987845719368613</v>
      </c>
      <c r="BP56" s="23"/>
      <c r="BQ56" s="262"/>
      <c r="BR56" s="263"/>
      <c r="BS56" s="263"/>
      <c r="BT56" s="263"/>
      <c r="BU56" s="1425"/>
      <c r="BV56" s="1425"/>
      <c r="BW56" s="1425"/>
      <c r="BX56" s="1425"/>
      <c r="BY56" s="1425"/>
      <c r="BZ56" s="1425"/>
      <c r="CA56" s="1425"/>
      <c r="CB56" s="1425"/>
      <c r="CC56" s="1425"/>
      <c r="CD56" s="1425"/>
      <c r="CE56" s="1425"/>
      <c r="CF56" s="1426"/>
      <c r="CG56" s="25"/>
      <c r="CH56" s="8"/>
      <c r="CI56" s="8"/>
      <c r="CJ56" s="8"/>
      <c r="CK56" s="8"/>
    </row>
    <row r="57" spans="1:89" ht="14.25" customHeight="1">
      <c r="A57" s="634"/>
      <c r="B57" s="38" t="s">
        <v>153</v>
      </c>
      <c r="C57" s="39"/>
      <c r="D57" s="94"/>
      <c r="E57" s="94"/>
      <c r="F57" s="94"/>
      <c r="G57" s="95"/>
      <c r="H57" s="94"/>
      <c r="I57" s="94"/>
      <c r="J57" s="94"/>
      <c r="K57" s="95"/>
      <c r="L57" s="94">
        <f t="shared" ref="L57:AQ57" si="527">L54/H54-1</f>
        <v>0.30003109546307183</v>
      </c>
      <c r="M57" s="94">
        <f t="shared" si="527"/>
        <v>0.21003744903794708</v>
      </c>
      <c r="N57" s="94">
        <f t="shared" si="527"/>
        <v>0.23465131041987863</v>
      </c>
      <c r="O57" s="95">
        <f t="shared" si="527"/>
        <v>-3.438958112911672E-2</v>
      </c>
      <c r="P57" s="94">
        <f t="shared" si="527"/>
        <v>-2.046233140952447E-2</v>
      </c>
      <c r="Q57" s="94">
        <f t="shared" si="527"/>
        <v>-6.2728208255517059E-2</v>
      </c>
      <c r="R57" s="94">
        <f t="shared" si="527"/>
        <v>-4.6722244665614032E-2</v>
      </c>
      <c r="S57" s="95">
        <f t="shared" si="527"/>
        <v>0.24949747357302154</v>
      </c>
      <c r="T57" s="94">
        <f t="shared" si="527"/>
        <v>-0.39581889217972144</v>
      </c>
      <c r="U57" s="94">
        <f t="shared" si="527"/>
        <v>-0.33010182504310492</v>
      </c>
      <c r="V57" s="94">
        <f t="shared" si="527"/>
        <v>-0.19533994945447819</v>
      </c>
      <c r="W57" s="95">
        <f t="shared" si="527"/>
        <v>-2.7506151031480575E-2</v>
      </c>
      <c r="X57" s="94">
        <f t="shared" si="527"/>
        <v>0.8891293577742434</v>
      </c>
      <c r="Y57" s="94">
        <f t="shared" si="527"/>
        <v>0.76646270396270411</v>
      </c>
      <c r="Z57" s="94">
        <f t="shared" si="527"/>
        <v>0.49283744446146782</v>
      </c>
      <c r="AA57" s="95">
        <f t="shared" si="527"/>
        <v>6.7791112552708421E-2</v>
      </c>
      <c r="AB57" s="94">
        <f t="shared" si="527"/>
        <v>7.5914423740510717E-3</v>
      </c>
      <c r="AC57" s="94">
        <f t="shared" si="527"/>
        <v>-6.3917525773195982E-2</v>
      </c>
      <c r="AD57" s="94">
        <f t="shared" si="527"/>
        <v>-0.13021167415009627</v>
      </c>
      <c r="AE57" s="95">
        <f t="shared" si="527"/>
        <v>-9.7205346294046202E-2</v>
      </c>
      <c r="AF57" s="263">
        <f t="shared" si="527"/>
        <v>-0.19931506849315062</v>
      </c>
      <c r="AG57" s="94">
        <f t="shared" si="527"/>
        <v>-0.20704845814977968</v>
      </c>
      <c r="AH57" s="94">
        <f t="shared" si="527"/>
        <v>-0.1968657817109144</v>
      </c>
      <c r="AI57" s="94">
        <f t="shared" si="527"/>
        <v>-7.3889636608344467E-2</v>
      </c>
      <c r="AJ57" s="153">
        <f t="shared" si="527"/>
        <v>-8.5295124037639058E-2</v>
      </c>
      <c r="AK57" s="94">
        <f t="shared" si="527"/>
        <v>-6.4361111111111091E-2</v>
      </c>
      <c r="AL57" s="94">
        <f t="shared" si="527"/>
        <v>-8.0271796519902683E-2</v>
      </c>
      <c r="AM57" s="95">
        <f t="shared" si="527"/>
        <v>-0.31321028920215088</v>
      </c>
      <c r="AN57" s="153">
        <f t="shared" si="527"/>
        <v>-0.30683911754528703</v>
      </c>
      <c r="AO57" s="94">
        <f t="shared" si="527"/>
        <v>-0.23101663549367146</v>
      </c>
      <c r="AP57" s="94">
        <f t="shared" si="527"/>
        <v>-0.19261603586154563</v>
      </c>
      <c r="AQ57" s="95">
        <f t="shared" si="527"/>
        <v>-2.3138939438825279E-2</v>
      </c>
      <c r="AR57" s="153">
        <f t="shared" ref="AR57:AY57" si="528">AR54/AN54-1</f>
        <v>0.27949648538161598</v>
      </c>
      <c r="AS57" s="94">
        <f>AS54/AO54-1</f>
        <v>0.40315295026060105</v>
      </c>
      <c r="AT57" s="94">
        <f>AT54/AP54-1</f>
        <v>1.5569185111907999</v>
      </c>
      <c r="AU57" s="95">
        <f t="shared" si="528"/>
        <v>2.4374465227609958</v>
      </c>
      <c r="AV57" s="153">
        <f>AV54/AR54-1</f>
        <v>0.32548109875046149</v>
      </c>
      <c r="AW57" s="94">
        <f>AW54/AS54-1</f>
        <v>-0.26592193117616847</v>
      </c>
      <c r="AX57" s="94">
        <f>AX54/AT54-1</f>
        <v>-9.9996131116462994E-2</v>
      </c>
      <c r="AY57" s="95">
        <f t="shared" si="528"/>
        <v>-7.3527929017947025E-2</v>
      </c>
      <c r="AZ57" s="153">
        <f>AZ54/AV54-1</f>
        <v>1.1511829565162053</v>
      </c>
      <c r="BA57" s="1269">
        <f t="shared" ref="BA57" si="529">BA54/AW54-1</f>
        <v>1.7609106840917232</v>
      </c>
      <c r="BB57" s="1269">
        <f t="shared" ref="BB57:BD57" si="530">BB54/AX54-1</f>
        <v>0.35677938323813407</v>
      </c>
      <c r="BC57" s="1389">
        <f t="shared" si="530"/>
        <v>6.5752958781118309E-2</v>
      </c>
      <c r="BD57" s="1323">
        <f t="shared" si="530"/>
        <v>-0.11797727877873443</v>
      </c>
      <c r="BE57" s="1269">
        <f t="shared" ref="BE57" si="531">BE54/BA54-1</f>
        <v>-0.12574979563404276</v>
      </c>
      <c r="BF57" s="1269">
        <f t="shared" ref="BF57" si="532">BF54/BB54-1</f>
        <v>-0.1813275740797945</v>
      </c>
      <c r="BG57" s="1270">
        <f t="shared" ref="BG57" si="533">BG54/BC54-1</f>
        <v>-0.27439907197151003</v>
      </c>
      <c r="BH57" s="1269">
        <f t="shared" ref="BH57" si="534">BH54/BD54-1</f>
        <v>-0.18963549999999985</v>
      </c>
      <c r="BI57" s="1269">
        <f t="shared" ref="BI57" si="535">BI54/BE54-1</f>
        <v>-9.9594999999999767E-2</v>
      </c>
      <c r="BJ57" s="1269">
        <f t="shared" ref="BJ57" si="536">BJ54/BF54-1</f>
        <v>-7.4349999999999916E-2</v>
      </c>
      <c r="BK57" s="1270">
        <f t="shared" ref="BK57" si="537">BK54/BG54-1</f>
        <v>9.8000000000000309E-3</v>
      </c>
      <c r="BL57" s="1389">
        <f t="shared" ref="BL57" si="538">BL54/BH54-1</f>
        <v>9.8000000000000309E-3</v>
      </c>
      <c r="BM57" s="1389">
        <f t="shared" ref="BM57" si="539">BM54/BI54-1</f>
        <v>9.8000000000000309E-3</v>
      </c>
      <c r="BN57" s="1389">
        <f t="shared" ref="BN57" si="540">BN54/BJ54-1</f>
        <v>9.8000000000000309E-3</v>
      </c>
      <c r="BO57" s="1322">
        <f t="shared" ref="BO57" si="541">BO54/BK54-1</f>
        <v>9.8000000000000309E-3</v>
      </c>
      <c r="BP57" s="23"/>
      <c r="BQ57" s="462"/>
      <c r="BR57" s="473"/>
      <c r="BS57" s="413">
        <f t="shared" ref="BS57:CB57" si="542">BS54/BR54-1</f>
        <v>0.16462110398128749</v>
      </c>
      <c r="BT57" s="413">
        <f t="shared" si="542"/>
        <v>2.7508958691697005E-2</v>
      </c>
      <c r="BU57" s="413">
        <f t="shared" si="542"/>
        <v>-0.22398653293744719</v>
      </c>
      <c r="BV57" s="413">
        <f t="shared" si="542"/>
        <v>0.46270100466416997</v>
      </c>
      <c r="BW57" s="413">
        <f t="shared" si="542"/>
        <v>-7.2843345883123245E-2</v>
      </c>
      <c r="BX57" s="413">
        <f t="shared" si="542"/>
        <v>-0.16768185028248583</v>
      </c>
      <c r="BY57" s="413">
        <f t="shared" si="542"/>
        <v>-0.145872620247123</v>
      </c>
      <c r="BZ57" s="413">
        <f t="shared" si="542"/>
        <v>-0.19280429745416072</v>
      </c>
      <c r="CA57" s="413">
        <f t="shared" si="542"/>
        <v>1.2399060989529969</v>
      </c>
      <c r="CB57" s="413">
        <f t="shared" si="542"/>
        <v>-5.7882945684258891E-2</v>
      </c>
      <c r="CC57" s="413">
        <f t="shared" ref="CC57" si="543">CC54/CB54-1</f>
        <v>0.54145947960846441</v>
      </c>
      <c r="CD57" s="413">
        <f>CD54/CC54-1</f>
        <v>-0.18109518744332653</v>
      </c>
      <c r="CE57" s="413">
        <f t="shared" ref="CE57:CF57" si="544">CE54/CD54-1</f>
        <v>-8.9641127857038372E-2</v>
      </c>
      <c r="CF57" s="412">
        <f t="shared" si="544"/>
        <v>9.8000000000000309E-3</v>
      </c>
      <c r="CG57" s="25"/>
      <c r="CH57" s="8"/>
      <c r="CI57" s="8"/>
      <c r="CJ57" s="8"/>
      <c r="CK57" s="8"/>
    </row>
    <row r="58" spans="1:89" ht="14.25" customHeight="1">
      <c r="A58" s="634"/>
      <c r="B58" s="260" t="s">
        <v>154</v>
      </c>
      <c r="C58" s="261"/>
      <c r="D58" s="94"/>
      <c r="E58" s="94"/>
      <c r="F58" s="94"/>
      <c r="G58" s="95"/>
      <c r="H58" s="94">
        <f t="shared" ref="H58:AE58" si="545">H54/H122</f>
        <v>0.16045819907227082</v>
      </c>
      <c r="I58" s="94">
        <f t="shared" si="545"/>
        <v>0.16837818696883852</v>
      </c>
      <c r="J58" s="94">
        <f t="shared" si="545"/>
        <v>0.16615435614621946</v>
      </c>
      <c r="K58" s="95">
        <f t="shared" si="545"/>
        <v>0.19163960778478922</v>
      </c>
      <c r="L58" s="94">
        <f t="shared" si="545"/>
        <v>0.20694753818271822</v>
      </c>
      <c r="M58" s="94">
        <f t="shared" si="545"/>
        <v>0.21956273232878595</v>
      </c>
      <c r="N58" s="94">
        <f t="shared" si="545"/>
        <v>0.22050237192496003</v>
      </c>
      <c r="O58" s="95">
        <f t="shared" si="545"/>
        <v>0.20344900584082554</v>
      </c>
      <c r="P58" s="94">
        <f t="shared" si="545"/>
        <v>0.20679286343741499</v>
      </c>
      <c r="Q58" s="94">
        <f t="shared" si="545"/>
        <v>0.18935534542766502</v>
      </c>
      <c r="R58" s="94">
        <f t="shared" si="545"/>
        <v>0.19694500338398691</v>
      </c>
      <c r="S58" s="95">
        <f t="shared" si="545"/>
        <v>0.23991366679985951</v>
      </c>
      <c r="T58" s="94">
        <f t="shared" si="545"/>
        <v>0.16094626381489355</v>
      </c>
      <c r="U58" s="94">
        <f t="shared" si="545"/>
        <v>0.17349836123585566</v>
      </c>
      <c r="V58" s="94">
        <f t="shared" si="545"/>
        <v>0.21226404548050676</v>
      </c>
      <c r="W58" s="95">
        <f t="shared" si="545"/>
        <v>0.26968159552134352</v>
      </c>
      <c r="X58" s="94">
        <f t="shared" si="545"/>
        <v>0.24029850746268658</v>
      </c>
      <c r="Y58" s="94">
        <f t="shared" si="545"/>
        <v>0.21774917689314574</v>
      </c>
      <c r="Z58" s="94">
        <f t="shared" si="545"/>
        <v>0.21643759544634184</v>
      </c>
      <c r="AA58" s="95">
        <f t="shared" si="545"/>
        <v>0.21376623376623377</v>
      </c>
      <c r="AB58" s="94">
        <f t="shared" si="545"/>
        <v>0.20041180507892931</v>
      </c>
      <c r="AC58" s="94">
        <f t="shared" si="545"/>
        <v>0.17223065250379363</v>
      </c>
      <c r="AD58" s="94">
        <f t="shared" si="545"/>
        <v>0.17891542419844306</v>
      </c>
      <c r="AE58" s="95">
        <f t="shared" si="545"/>
        <v>0.20751291719033654</v>
      </c>
      <c r="AF58" s="94">
        <f>AF54/(AF$122)</f>
        <v>0.18037339916679526</v>
      </c>
      <c r="AG58" s="94">
        <f>AG54/(AG$122)</f>
        <v>0.15997416713449236</v>
      </c>
      <c r="AH58" s="94">
        <f>AH54/AH122</f>
        <v>0.1594448820396295</v>
      </c>
      <c r="AI58" s="94">
        <f>AI54/(AI$122)</f>
        <v>0.19802464588093774</v>
      </c>
      <c r="AJ58" s="153">
        <f>AJ54/(AJ$122)</f>
        <v>0.17187454792697393</v>
      </c>
      <c r="AK58" s="94">
        <f>AK54/(AK$122)</f>
        <v>0.15327872582480093</v>
      </c>
      <c r="AL58" s="94">
        <f>AL54/AL122</f>
        <v>0.14857187779973063</v>
      </c>
      <c r="AM58" s="95">
        <f>AM54/(AM$122)</f>
        <v>0.13937678891898786</v>
      </c>
      <c r="AN58" s="153">
        <f>AN54/(AN$122)</f>
        <v>0.11797917349794185</v>
      </c>
      <c r="AO58" s="94">
        <f>AO54/(AO$122)</f>
        <v>0.11188044968151399</v>
      </c>
      <c r="AP58" s="94">
        <f>AP54/AP122</f>
        <v>0.11112301992986623</v>
      </c>
      <c r="AQ58" s="95">
        <f>AQ54/(AQ$122)</f>
        <v>0.11339188231580835</v>
      </c>
      <c r="AR58" s="153">
        <f>AR54/(AR$122)</f>
        <v>0.12284549201669458</v>
      </c>
      <c r="AS58" s="94">
        <f>AS54/(AS$122)</f>
        <v>0.1328008243414586</v>
      </c>
      <c r="AT58" s="94">
        <f>AT54/AT122</f>
        <v>0.23950241207368841</v>
      </c>
      <c r="AU58" s="95">
        <f>AU54/(AU$122)</f>
        <v>0.32427594352635375</v>
      </c>
      <c r="AV58" s="153">
        <f>AV54/AV122</f>
        <v>0.16337049942229886</v>
      </c>
      <c r="AW58" s="94">
        <f>AW54/AW122</f>
        <v>0.10277541649224542</v>
      </c>
      <c r="AX58" s="94">
        <f>AX54/AX122</f>
        <v>0.21400980460929334</v>
      </c>
      <c r="AY58" s="95">
        <f>AY54/(AY$122)</f>
        <v>0.29297853875409391</v>
      </c>
      <c r="AZ58" s="153">
        <f>AZ54/AZ122</f>
        <v>0.27467954155065422</v>
      </c>
      <c r="BA58" s="94">
        <f t="shared" ref="BA58:BK58" si="546">BA54/(BA$122)</f>
        <v>0.21748650857801838</v>
      </c>
      <c r="BB58" s="94">
        <f t="shared" si="546"/>
        <v>0.17609153205728145</v>
      </c>
      <c r="BC58" s="1389">
        <f t="shared" ref="BC58" si="547">BC54/(BC$122)</f>
        <v>0.20333512850626473</v>
      </c>
      <c r="BD58" s="1323">
        <f t="shared" ref="BD58" si="548">BD54/(BD$122)</f>
        <v>0.15705401732094318</v>
      </c>
      <c r="BE58" s="94">
        <f t="shared" si="546"/>
        <v>0.13138817172009187</v>
      </c>
      <c r="BF58" s="94">
        <f t="shared" si="546"/>
        <v>0.13658047766075476</v>
      </c>
      <c r="BG58" s="95">
        <f t="shared" si="546"/>
        <v>0.14543750435967806</v>
      </c>
      <c r="BH58" s="1211">
        <f t="shared" si="546"/>
        <v>0.13040861958550673</v>
      </c>
      <c r="BI58" s="1211">
        <f t="shared" si="546"/>
        <v>0.1122364422091377</v>
      </c>
      <c r="BJ58" s="1211">
        <f t="shared" si="546"/>
        <v>0.11909287601841195</v>
      </c>
      <c r="BK58" s="1212">
        <f t="shared" si="546"/>
        <v>0.1371926876342382</v>
      </c>
      <c r="BL58" s="1389">
        <f t="shared" ref="BL58:BO58" si="549">BL54/(BL$122)</f>
        <v>0.12300618910792514</v>
      </c>
      <c r="BM58" s="1389">
        <f t="shared" si="549"/>
        <v>0.10621104815830122</v>
      </c>
      <c r="BN58" s="1389">
        <f t="shared" si="549"/>
        <v>0.11325843975518303</v>
      </c>
      <c r="BO58" s="1322">
        <f t="shared" si="549"/>
        <v>0.1312501453954478</v>
      </c>
      <c r="BP58" s="23"/>
      <c r="BQ58" s="823"/>
      <c r="BR58" s="413">
        <f t="shared" ref="BR58:CE58" si="550">BR54/BR122</f>
        <v>0.17203110799670743</v>
      </c>
      <c r="BS58" s="413">
        <f t="shared" si="550"/>
        <v>0.21251614280074702</v>
      </c>
      <c r="BT58" s="413">
        <f t="shared" si="550"/>
        <v>0.20836870981067632</v>
      </c>
      <c r="BU58" s="413">
        <f t="shared" si="550"/>
        <v>0.20728092796296407</v>
      </c>
      <c r="BV58" s="413">
        <f t="shared" si="550"/>
        <v>0.22122035125837405</v>
      </c>
      <c r="BW58" s="413">
        <f t="shared" si="550"/>
        <v>0.18922259713359837</v>
      </c>
      <c r="BX58" s="413">
        <f t="shared" si="550"/>
        <v>0.17452435011267223</v>
      </c>
      <c r="BY58" s="413">
        <f t="shared" si="550"/>
        <v>0.15288707208785851</v>
      </c>
      <c r="BZ58" s="413">
        <f t="shared" si="550"/>
        <v>0.11345506258262</v>
      </c>
      <c r="CA58" s="413">
        <f t="shared" si="550"/>
        <v>0.21193639064106581</v>
      </c>
      <c r="CB58" s="413">
        <f t="shared" si="550"/>
        <v>0.20046740977182209</v>
      </c>
      <c r="CC58" s="413">
        <f t="shared" si="550"/>
        <v>0.21248961795113588</v>
      </c>
      <c r="CD58" s="413">
        <f t="shared" si="550"/>
        <v>0.14273030831195962</v>
      </c>
      <c r="CE58" s="413">
        <f t="shared" si="550"/>
        <v>0.12486533601489258</v>
      </c>
      <c r="CF58" s="412">
        <f t="shared" ref="CF58" si="551">CF54/CF122</f>
        <v>0.11856079421463914</v>
      </c>
      <c r="CG58" s="25"/>
      <c r="CH58" s="8"/>
      <c r="CI58" s="8"/>
      <c r="CJ58" s="8"/>
      <c r="CK58" s="8"/>
    </row>
    <row r="59" spans="1:89" ht="14.25" customHeight="1">
      <c r="A59" s="634"/>
      <c r="B59" s="38" t="s">
        <v>333</v>
      </c>
      <c r="C59" s="261"/>
      <c r="D59" s="94"/>
      <c r="E59" s="94"/>
      <c r="F59" s="94"/>
      <c r="G59" s="95"/>
      <c r="H59" s="94"/>
      <c r="I59" s="94"/>
      <c r="J59" s="94"/>
      <c r="K59" s="95"/>
      <c r="L59" s="94"/>
      <c r="M59" s="94"/>
      <c r="N59" s="94"/>
      <c r="O59" s="95"/>
      <c r="P59" s="94"/>
      <c r="Q59" s="94"/>
      <c r="R59" s="94"/>
      <c r="S59" s="95"/>
      <c r="T59" s="94"/>
      <c r="U59" s="94"/>
      <c r="V59" s="94"/>
      <c r="W59" s="95"/>
      <c r="X59" s="94">
        <f t="shared" ref="X59:AZ59" si="552">+X54/MAX(T54,P54,L54,H54,D54)-1</f>
        <v>0.11802104873306374</v>
      </c>
      <c r="Y59" s="94">
        <f t="shared" si="552"/>
        <v>0.10912070739794943</v>
      </c>
      <c r="Z59" s="94">
        <f t="shared" si="552"/>
        <v>0.14510264791215244</v>
      </c>
      <c r="AA59" s="95">
        <f t="shared" si="552"/>
        <v>3.8420288940760772E-2</v>
      </c>
      <c r="AB59" s="94">
        <f t="shared" si="552"/>
        <v>7.5914423740510717E-3</v>
      </c>
      <c r="AC59" s="94">
        <f t="shared" si="552"/>
        <v>-6.3917525773195982E-2</v>
      </c>
      <c r="AD59" s="94">
        <f t="shared" si="552"/>
        <v>-0.13021167415009627</v>
      </c>
      <c r="AE59" s="95">
        <f t="shared" si="552"/>
        <v>-9.7205346294046202E-2</v>
      </c>
      <c r="AF59" s="94">
        <f t="shared" si="552"/>
        <v>-0.19931506849315062</v>
      </c>
      <c r="AG59" s="94">
        <f t="shared" si="552"/>
        <v>-0.25773195876288657</v>
      </c>
      <c r="AH59" s="94">
        <f t="shared" si="552"/>
        <v>-0.30144323284156516</v>
      </c>
      <c r="AI59" s="94">
        <f t="shared" si="552"/>
        <v>-0.16391251518833527</v>
      </c>
      <c r="AJ59" s="153">
        <f t="shared" si="552"/>
        <v>-0.26760958904109589</v>
      </c>
      <c r="AK59" s="94">
        <f t="shared" si="552"/>
        <v>-0.30550515463917516</v>
      </c>
      <c r="AL59" s="94">
        <f t="shared" si="552"/>
        <v>-0.35751763951250803</v>
      </c>
      <c r="AM59" s="95">
        <f t="shared" si="552"/>
        <v>-0.42578371810449567</v>
      </c>
      <c r="AN59" s="153">
        <f t="shared" si="552"/>
        <v>-0.49233561643835622</v>
      </c>
      <c r="AO59" s="94">
        <f t="shared" si="552"/>
        <v>-0.46594501718213055</v>
      </c>
      <c r="AP59" s="94">
        <f t="shared" si="552"/>
        <v>-0.48127004490057723</v>
      </c>
      <c r="AQ59" s="95">
        <f t="shared" si="552"/>
        <v>-0.43907047387606324</v>
      </c>
      <c r="AR59" s="153">
        <f t="shared" si="552"/>
        <v>-0.35044520547945213</v>
      </c>
      <c r="AS59" s="94">
        <f t="shared" si="552"/>
        <v>-0.25063917525773194</v>
      </c>
      <c r="AT59" s="94">
        <f t="shared" si="552"/>
        <v>0.32635022450288642</v>
      </c>
      <c r="AU59" s="95">
        <f t="shared" si="552"/>
        <v>0.9281652490886998</v>
      </c>
      <c r="AV59" s="153">
        <f t="shared" si="552"/>
        <v>-0.13902739726027402</v>
      </c>
      <c r="AW59" s="94">
        <f t="shared" si="552"/>
        <v>-0.41234948604992661</v>
      </c>
      <c r="AX59" s="94">
        <f t="shared" si="552"/>
        <v>-9.9996131116462994E-2</v>
      </c>
      <c r="AY59" s="95">
        <f t="shared" si="552"/>
        <v>-7.3527929017947025E-2</v>
      </c>
      <c r="AZ59" s="153">
        <f t="shared" si="552"/>
        <v>1.1511829565162053</v>
      </c>
      <c r="BA59" s="94"/>
      <c r="BB59" s="94"/>
      <c r="BC59" s="1389"/>
      <c r="BD59" s="1323"/>
      <c r="BE59" s="94"/>
      <c r="BF59" s="94"/>
      <c r="BG59" s="95"/>
      <c r="BH59" s="1211"/>
      <c r="BI59" s="1211"/>
      <c r="BJ59" s="1211"/>
      <c r="BK59" s="1212"/>
      <c r="BL59" s="1389"/>
      <c r="BM59" s="1389"/>
      <c r="BN59" s="1389"/>
      <c r="BO59" s="1322"/>
      <c r="BP59" s="23"/>
      <c r="BQ59" s="823"/>
      <c r="BR59" s="413"/>
      <c r="BS59" s="413"/>
      <c r="BT59" s="413"/>
      <c r="BU59" s="413"/>
      <c r="BV59" s="413"/>
      <c r="BW59" s="413"/>
      <c r="BX59" s="413"/>
      <c r="BY59" s="413"/>
      <c r="BZ59" s="413"/>
      <c r="CA59" s="413"/>
      <c r="CB59" s="413"/>
      <c r="CC59" s="1425"/>
      <c r="CD59" s="1425"/>
      <c r="CE59" s="1425"/>
      <c r="CF59" s="1426"/>
      <c r="CG59" s="25"/>
      <c r="CH59" s="8"/>
      <c r="CI59" s="8"/>
      <c r="CJ59" s="8"/>
      <c r="CK59" s="8"/>
    </row>
    <row r="60" spans="1:89" ht="14.25" hidden="1" customHeight="1" outlineLevel="1">
      <c r="A60" s="634"/>
      <c r="B60" s="38"/>
      <c r="C60" s="261"/>
      <c r="D60" s="1249"/>
      <c r="E60" s="1249"/>
      <c r="F60" s="1249"/>
      <c r="G60" s="1250"/>
      <c r="H60" s="1249"/>
      <c r="I60" s="1249"/>
      <c r="J60" s="1249"/>
      <c r="K60" s="1250"/>
      <c r="L60" s="1249"/>
      <c r="M60" s="1249"/>
      <c r="N60" s="1249"/>
      <c r="O60" s="1250"/>
      <c r="P60" s="1249"/>
      <c r="Q60" s="1249"/>
      <c r="R60" s="1249"/>
      <c r="S60" s="1250"/>
      <c r="T60" s="1249"/>
      <c r="U60" s="1249"/>
      <c r="V60" s="1249"/>
      <c r="W60" s="1250"/>
      <c r="X60" s="1249"/>
      <c r="Y60" s="1249"/>
      <c r="Z60" s="1249"/>
      <c r="AA60" s="1250"/>
      <c r="AB60" s="1249"/>
      <c r="AC60" s="1249"/>
      <c r="AD60" s="1249"/>
      <c r="AE60" s="1250"/>
      <c r="AF60" s="1249"/>
      <c r="AG60" s="1249"/>
      <c r="AH60" s="1249"/>
      <c r="AI60" s="1249"/>
      <c r="AJ60" s="1251"/>
      <c r="AK60" s="1249"/>
      <c r="AL60" s="1249"/>
      <c r="AM60" s="1250"/>
      <c r="AN60" s="1251"/>
      <c r="AO60" s="1249"/>
      <c r="AP60" s="1249"/>
      <c r="AQ60" s="1250"/>
      <c r="AR60" s="1251"/>
      <c r="AS60" s="1249"/>
      <c r="AT60" s="1249"/>
      <c r="AU60" s="1250"/>
      <c r="AV60" s="1251"/>
      <c r="AW60" s="1249"/>
      <c r="AX60" s="1249"/>
      <c r="AY60" s="1250"/>
      <c r="AZ60" s="1251"/>
      <c r="BA60" s="1249"/>
      <c r="BB60" s="1389"/>
      <c r="BC60" s="1389"/>
      <c r="BD60" s="1323"/>
      <c r="BE60" s="1370">
        <v>195.99217957439998</v>
      </c>
      <c r="BF60" s="1370">
        <v>211.671553940352</v>
      </c>
      <c r="BG60" s="1371"/>
      <c r="BH60" s="1370"/>
      <c r="BI60" s="1370"/>
      <c r="BJ60" s="1249"/>
      <c r="BK60" s="1250"/>
      <c r="BL60" s="1370"/>
      <c r="BM60" s="1370"/>
      <c r="BN60" s="1389"/>
      <c r="BO60" s="1322"/>
      <c r="BP60" s="23"/>
      <c r="BQ60" s="823"/>
      <c r="BR60" s="413"/>
      <c r="BS60" s="413"/>
      <c r="BT60" s="413"/>
      <c r="BU60" s="413"/>
      <c r="BV60" s="413"/>
      <c r="BW60" s="413"/>
      <c r="BX60" s="413"/>
      <c r="BY60" s="413"/>
      <c r="BZ60" s="413"/>
      <c r="CA60" s="413"/>
      <c r="CB60" s="413"/>
      <c r="CC60" s="1425"/>
      <c r="CD60" s="1425"/>
      <c r="CE60" s="1425"/>
      <c r="CF60" s="1426"/>
      <c r="CG60" s="25"/>
      <c r="CH60" s="8"/>
      <c r="CI60" s="8"/>
      <c r="CJ60" s="8"/>
      <c r="CK60" s="8"/>
    </row>
    <row r="61" spans="1:89" ht="14.25" hidden="1" customHeight="1" outlineLevel="1">
      <c r="A61" s="634"/>
      <c r="B61" s="1232" t="s">
        <v>575</v>
      </c>
      <c r="C61" s="261"/>
      <c r="D61" s="477"/>
      <c r="E61" s="416"/>
      <c r="F61" s="416"/>
      <c r="G61" s="417"/>
      <c r="H61" s="477">
        <f>H$242</f>
        <v>99.692999999999998</v>
      </c>
      <c r="I61" s="416">
        <f t="shared" ref="I61:AU61" si="553">I$242</f>
        <v>108.414</v>
      </c>
      <c r="J61" s="416">
        <f t="shared" si="553"/>
        <v>110.27</v>
      </c>
      <c r="K61" s="417">
        <f t="shared" si="553"/>
        <v>131.37700000000001</v>
      </c>
      <c r="L61" s="477">
        <f t="shared" si="553"/>
        <v>129.60400000000001</v>
      </c>
      <c r="M61" s="416">
        <f t="shared" si="553"/>
        <v>131.185</v>
      </c>
      <c r="N61" s="416">
        <f t="shared" si="553"/>
        <v>136.14500000000001</v>
      </c>
      <c r="O61" s="417">
        <f t="shared" si="553"/>
        <v>126.85900000000004</v>
      </c>
      <c r="P61" s="477">
        <f t="shared" si="553"/>
        <v>126.952</v>
      </c>
      <c r="Q61" s="416">
        <f t="shared" si="553"/>
        <v>122.956</v>
      </c>
      <c r="R61" s="416">
        <f t="shared" si="553"/>
        <v>129.78399999999999</v>
      </c>
      <c r="S61" s="417">
        <f t="shared" si="553"/>
        <v>158.51</v>
      </c>
      <c r="T61" s="477">
        <f t="shared" si="553"/>
        <v>76.701999999999998</v>
      </c>
      <c r="U61" s="416">
        <f t="shared" si="553"/>
        <v>82.367999999999995</v>
      </c>
      <c r="V61" s="416">
        <f t="shared" si="553"/>
        <v>104.432</v>
      </c>
      <c r="W61" s="417">
        <f t="shared" si="553"/>
        <v>154.15</v>
      </c>
      <c r="X61" s="477">
        <f t="shared" si="553"/>
        <v>144.9</v>
      </c>
      <c r="Y61" s="416">
        <f t="shared" si="553"/>
        <v>145.5</v>
      </c>
      <c r="Z61" s="416">
        <f t="shared" si="553"/>
        <v>155.9</v>
      </c>
      <c r="AA61" s="417">
        <f t="shared" si="553"/>
        <v>164.6</v>
      </c>
      <c r="AB61" s="477">
        <f t="shared" si="553"/>
        <v>146</v>
      </c>
      <c r="AC61" s="416">
        <f t="shared" si="553"/>
        <v>136.19999999999999</v>
      </c>
      <c r="AD61" s="416">
        <f t="shared" si="553"/>
        <v>135.6</v>
      </c>
      <c r="AE61" s="417">
        <f t="shared" si="553"/>
        <v>148.6</v>
      </c>
      <c r="AF61" s="477">
        <f t="shared" si="553"/>
        <v>116.9</v>
      </c>
      <c r="AG61" s="416">
        <f t="shared" si="553"/>
        <v>108</v>
      </c>
      <c r="AH61" s="416">
        <f t="shared" si="553"/>
        <v>108.905</v>
      </c>
      <c r="AI61" s="416">
        <f t="shared" si="553"/>
        <v>137.62</v>
      </c>
      <c r="AJ61" s="477">
        <f t="shared" si="553"/>
        <v>106.929</v>
      </c>
      <c r="AK61" s="416">
        <f t="shared" si="553"/>
        <v>101.04900000000001</v>
      </c>
      <c r="AL61" s="416">
        <f t="shared" si="553"/>
        <v>100.163</v>
      </c>
      <c r="AM61" s="417">
        <f t="shared" si="553"/>
        <v>94.516000000000005</v>
      </c>
      <c r="AN61" s="477">
        <f t="shared" si="553"/>
        <v>74.119</v>
      </c>
      <c r="AO61" s="416">
        <f t="shared" si="553"/>
        <v>77.704999999999998</v>
      </c>
      <c r="AP61" s="416">
        <f t="shared" si="553"/>
        <v>80.87</v>
      </c>
      <c r="AQ61" s="417">
        <f t="shared" si="553"/>
        <v>92.328999999999994</v>
      </c>
      <c r="AR61" s="477">
        <f t="shared" si="553"/>
        <v>94.834999999999994</v>
      </c>
      <c r="AS61" s="416">
        <f t="shared" si="553"/>
        <v>109.032</v>
      </c>
      <c r="AT61" s="416">
        <f>AT$242</f>
        <v>206.77799999999999</v>
      </c>
      <c r="AU61" s="417">
        <f t="shared" si="553"/>
        <v>317.37599999999998</v>
      </c>
      <c r="AV61" s="416">
        <f>AV$242</f>
        <v>125.702</v>
      </c>
      <c r="AW61" s="416">
        <f>AW$242</f>
        <v>80.037999999999997</v>
      </c>
      <c r="AX61" s="416">
        <f>AX$242</f>
        <v>186.101</v>
      </c>
      <c r="AY61" s="417">
        <f t="shared" ref="AY61" si="554">AY$242</f>
        <v>294.04000000000002</v>
      </c>
      <c r="AZ61" s="416">
        <f>AZ54-AZ72</f>
        <v>240.34264000000002</v>
      </c>
      <c r="BA61" s="416">
        <f>BA$242</f>
        <v>205.44399999999999</v>
      </c>
      <c r="BB61" s="416">
        <f>BB54-BB72</f>
        <v>221.74113671999999</v>
      </c>
      <c r="BC61" s="416">
        <f>BC54-BC72</f>
        <v>279.541450392</v>
      </c>
      <c r="BD61" s="477">
        <f>BD54-BD72</f>
        <v>201.2901954312</v>
      </c>
      <c r="BE61" s="416"/>
      <c r="BF61" s="416"/>
      <c r="BG61" s="417"/>
      <c r="BH61" s="416"/>
      <c r="BI61" s="416"/>
      <c r="BJ61" s="416"/>
      <c r="BK61" s="417"/>
      <c r="BL61" s="416"/>
      <c r="BM61" s="416"/>
      <c r="BN61" s="416"/>
      <c r="BO61" s="417"/>
      <c r="BP61" s="1470"/>
      <c r="BQ61" s="410"/>
      <c r="BR61" s="404"/>
      <c r="BS61" s="404"/>
      <c r="BT61" s="404"/>
      <c r="BU61" s="404"/>
      <c r="BV61" s="404"/>
      <c r="BW61" s="404"/>
      <c r="BX61" s="404"/>
      <c r="BY61" s="404"/>
      <c r="BZ61" s="404"/>
      <c r="CA61" s="404"/>
      <c r="CB61" s="404"/>
      <c r="CC61" s="404">
        <f>SUM(AZ61:BC61)</f>
        <v>947.06922711200002</v>
      </c>
      <c r="CD61" s="404"/>
      <c r="CE61" s="404"/>
      <c r="CF61" s="405"/>
      <c r="CG61" s="1031"/>
    </row>
    <row r="62" spans="1:89" ht="14.25" hidden="1" customHeight="1" outlineLevel="1">
      <c r="A62" s="634"/>
      <c r="B62" s="1233" t="s">
        <v>152</v>
      </c>
      <c r="C62" s="261"/>
      <c r="D62" s="1257"/>
      <c r="E62" s="1253"/>
      <c r="F62" s="1253"/>
      <c r="G62" s="1254"/>
      <c r="H62" s="1257"/>
      <c r="I62" s="1253">
        <f t="shared" ref="I62" si="555">I61/H61-1</f>
        <v>8.7478559176672466E-2</v>
      </c>
      <c r="J62" s="1253">
        <f t="shared" ref="J62" si="556">J61/I61-1</f>
        <v>1.711956020440164E-2</v>
      </c>
      <c r="K62" s="1254">
        <f t="shared" ref="K62" si="557">K61/J61-1</f>
        <v>0.19141198875487442</v>
      </c>
      <c r="L62" s="1257">
        <f t="shared" ref="L62" si="558">L61/K61-1</f>
        <v>-1.3495512913219154E-2</v>
      </c>
      <c r="M62" s="1253">
        <f t="shared" ref="M62" si="559">M61/L61-1</f>
        <v>1.2198697571062622E-2</v>
      </c>
      <c r="N62" s="1253">
        <f t="shared" ref="N62" si="560">N61/M61-1</f>
        <v>3.7809200747036753E-2</v>
      </c>
      <c r="O62" s="1254">
        <f t="shared" ref="O62" si="561">O61/N61-1</f>
        <v>-6.8206691395203412E-2</v>
      </c>
      <c r="P62" s="1257">
        <f t="shared" ref="P62" si="562">P61/O61-1</f>
        <v>7.330973758263859E-4</v>
      </c>
      <c r="Q62" s="1253">
        <f t="shared" ref="Q62" si="563">Q61/P61-1</f>
        <v>-3.1476463545276889E-2</v>
      </c>
      <c r="R62" s="1253">
        <f t="shared" ref="R62" si="564">R61/Q61-1</f>
        <v>5.5532060249194659E-2</v>
      </c>
      <c r="S62" s="1254">
        <f t="shared" ref="S62" si="565">S61/R61-1</f>
        <v>0.22133699069222712</v>
      </c>
      <c r="T62" s="1257">
        <f t="shared" ref="T62" si="566">T61/S61-1</f>
        <v>-0.51610623935398392</v>
      </c>
      <c r="U62" s="1253">
        <f t="shared" ref="U62" si="567">U61/T61-1</f>
        <v>7.3870303251544867E-2</v>
      </c>
      <c r="V62" s="1253">
        <f t="shared" ref="V62" si="568">V61/U61-1</f>
        <v>0.26787101787101797</v>
      </c>
      <c r="W62" s="1254">
        <f t="shared" ref="W62" si="569">W61/V61-1</f>
        <v>0.4760801286961851</v>
      </c>
      <c r="X62" s="1257">
        <f t="shared" ref="X62" si="570">X61/W61-1</f>
        <v>-6.0006487187804103E-2</v>
      </c>
      <c r="Y62" s="1253">
        <f t="shared" ref="Y62" si="571">Y61/X61-1</f>
        <v>4.1407867494822614E-3</v>
      </c>
      <c r="Z62" s="1253">
        <f t="shared" ref="Z62" si="572">Z61/Y61-1</f>
        <v>7.1477663230240518E-2</v>
      </c>
      <c r="AA62" s="1254">
        <f t="shared" ref="AA62" si="573">AA61/Z61-1</f>
        <v>5.5805003207183956E-2</v>
      </c>
      <c r="AB62" s="1257">
        <f t="shared" ref="AB62" si="574">AB61/AA61-1</f>
        <v>-0.1130012150668287</v>
      </c>
      <c r="AC62" s="1253">
        <f t="shared" ref="AC62" si="575">AC61/AB61-1</f>
        <v>-6.712328767123299E-2</v>
      </c>
      <c r="AD62" s="1253">
        <f t="shared" ref="AD62" si="576">AD61/AC61-1</f>
        <v>-4.405286343612258E-3</v>
      </c>
      <c r="AE62" s="1254">
        <f t="shared" ref="AE62" si="577">AE61/AD61-1</f>
        <v>9.587020648967548E-2</v>
      </c>
      <c r="AF62" s="1257">
        <f t="shared" ref="AF62" si="578">AF61/AE61-1</f>
        <v>-0.21332436069986538</v>
      </c>
      <c r="AG62" s="1253">
        <f t="shared" ref="AG62" si="579">AG61/AF61-1</f>
        <v>-7.6133447390932418E-2</v>
      </c>
      <c r="AH62" s="1253">
        <f t="shared" ref="AH62" si="580">AH61/AG61-1</f>
        <v>8.3796296296296813E-3</v>
      </c>
      <c r="AI62" s="1253">
        <f t="shared" ref="AI62" si="581">AI61/AH61-1</f>
        <v>0.26367017125017211</v>
      </c>
      <c r="AJ62" s="1257">
        <f t="shared" ref="AJ62" si="582">AJ61/AI61-1</f>
        <v>-0.2230126435111176</v>
      </c>
      <c r="AK62" s="1253">
        <f t="shared" ref="AK62" si="583">AK61/AJ61-1</f>
        <v>-5.4989759560081897E-2</v>
      </c>
      <c r="AL62" s="1253">
        <f t="shared" ref="AL62" si="584">AL61/AK61-1</f>
        <v>-8.768023434175598E-3</v>
      </c>
      <c r="AM62" s="1254">
        <f t="shared" ref="AM62" si="585">AM61/AL61-1</f>
        <v>-5.6378103690983616E-2</v>
      </c>
      <c r="AN62" s="1257">
        <f t="shared" ref="AN62" si="586">AN61/AM61-1</f>
        <v>-0.21580473147403623</v>
      </c>
      <c r="AO62" s="1253">
        <f t="shared" ref="AO62" si="587">AO61/AN61-1</f>
        <v>4.8381656525317451E-2</v>
      </c>
      <c r="AP62" s="1253">
        <f t="shared" ref="AP62" si="588">AP61/AO61-1</f>
        <v>4.0730969693069996E-2</v>
      </c>
      <c r="AQ62" s="1254">
        <f t="shared" ref="AQ62" si="589">AQ61/AP61-1</f>
        <v>0.14169655001854808</v>
      </c>
      <c r="AR62" s="1257">
        <f t="shared" ref="AR62" si="590">AR61/AQ61-1</f>
        <v>2.7142068039294198E-2</v>
      </c>
      <c r="AS62" s="1253">
        <f t="shared" ref="AS62" si="591">AS61/AR61-1</f>
        <v>0.14970211419834456</v>
      </c>
      <c r="AT62" s="1253">
        <f t="shared" ref="AT62" si="592">AT61/AS61-1</f>
        <v>0.89648910411622285</v>
      </c>
      <c r="AU62" s="1254">
        <f t="shared" ref="AU62" si="593">AU61/AT61-1</f>
        <v>0.53486347677219048</v>
      </c>
      <c r="AV62" s="1253">
        <f t="shared" ref="AV62" si="594">AV61/AU61-1</f>
        <v>-0.60393350473885854</v>
      </c>
      <c r="AW62" s="1253">
        <f t="shared" ref="AW62" si="595">AW61/AV61-1</f>
        <v>-0.36327186520500865</v>
      </c>
      <c r="AX62" s="1253">
        <f t="shared" ref="AX62" si="596">AX61/AW61-1</f>
        <v>1.3251580499262849</v>
      </c>
      <c r="AY62" s="1254">
        <f t="shared" ref="AY62" si="597">AY61/AX61-1</f>
        <v>0.5800022568390284</v>
      </c>
      <c r="AZ62" s="1253">
        <f t="shared" ref="AZ62:BD62" si="598">AZ61/AY61-1</f>
        <v>-0.18261923547816628</v>
      </c>
      <c r="BA62" s="1321">
        <f t="shared" si="598"/>
        <v>-0.14520369752117235</v>
      </c>
      <c r="BB62" s="1389">
        <f t="shared" si="598"/>
        <v>7.9326418488736561E-2</v>
      </c>
      <c r="BC62" s="1389">
        <f t="shared" si="598"/>
        <v>0.26066572277468936</v>
      </c>
      <c r="BD62" s="1323">
        <f t="shared" si="598"/>
        <v>-0.2799271980991318</v>
      </c>
      <c r="BE62" s="1255"/>
      <c r="BF62" s="1255"/>
      <c r="BG62" s="1256"/>
      <c r="BH62" s="1255"/>
      <c r="BI62" s="1255"/>
      <c r="BJ62" s="1255"/>
      <c r="BK62" s="1256"/>
      <c r="BL62" s="1331"/>
      <c r="BM62" s="1331"/>
      <c r="BN62" s="1331"/>
      <c r="BO62" s="1332"/>
      <c r="BP62" s="23"/>
      <c r="BQ62" s="1277"/>
      <c r="BR62" s="1271"/>
      <c r="BS62" s="1271"/>
      <c r="BT62" s="1271"/>
      <c r="BU62" s="1425"/>
      <c r="BV62" s="1425"/>
      <c r="BW62" s="1425"/>
      <c r="BX62" s="1425"/>
      <c r="BY62" s="1425"/>
      <c r="BZ62" s="1425"/>
      <c r="CA62" s="1425"/>
      <c r="CB62" s="1425"/>
      <c r="CC62" s="1425"/>
      <c r="CD62" s="1432"/>
      <c r="CE62" s="1432"/>
      <c r="CF62" s="1426"/>
      <c r="CG62" s="1031"/>
    </row>
    <row r="63" spans="1:89" ht="14.25" hidden="1" customHeight="1" outlineLevel="1">
      <c r="A63" s="634"/>
      <c r="B63" s="1233" t="s">
        <v>313</v>
      </c>
      <c r="C63" s="261"/>
      <c r="D63" s="1257"/>
      <c r="E63" s="1253"/>
      <c r="F63" s="1253"/>
      <c r="G63" s="1254"/>
      <c r="H63" s="1257"/>
      <c r="I63" s="1253"/>
      <c r="J63" s="1253"/>
      <c r="K63" s="1254"/>
      <c r="L63" s="1257"/>
      <c r="M63" s="1253"/>
      <c r="N63" s="1253"/>
      <c r="O63" s="1254"/>
      <c r="P63" s="1257"/>
      <c r="Q63" s="1253"/>
      <c r="R63" s="1253"/>
      <c r="S63" s="1254"/>
      <c r="T63" s="1257"/>
      <c r="U63" s="1253"/>
      <c r="V63" s="1253"/>
      <c r="W63" s="1254"/>
      <c r="X63" s="1257"/>
      <c r="Y63" s="1253"/>
      <c r="Z63" s="1253"/>
      <c r="AA63" s="1254"/>
      <c r="AB63" s="1257"/>
      <c r="AC63" s="1253"/>
      <c r="AD63" s="1253"/>
      <c r="AE63" s="1254"/>
      <c r="AF63" s="1253"/>
      <c r="AG63" s="1258">
        <f t="shared" ref="AG63" si="599">AVERAGE(AC62,Y62,U62,U62,Q62,M62,I62)</f>
        <v>2.1851271254828171E-2</v>
      </c>
      <c r="AH63" s="1258">
        <f t="shared" ref="AH63" si="600">AVERAGE(AD62,Z62,V62,V62,R62,N62,J62)</f>
        <v>0.10189646197561389</v>
      </c>
      <c r="AI63" s="1253">
        <f t="shared" ref="AI63" si="601">AVERAGE(AE62,AA62,W62,W62,S62,O62,K62)</f>
        <v>0.20691110787730396</v>
      </c>
      <c r="AJ63" s="1257">
        <f t="shared" ref="AJ63" si="602">AVERAGE(AF62,AB62,X62,X62,T62,P62,L62)</f>
        <v>-0.13931531500481129</v>
      </c>
      <c r="AK63" s="1253">
        <f t="shared" ref="AK63" si="603">AVERAGE(AG62,AC62,Y62,Y62,U62,Q62,M62)</f>
        <v>-1.1483232040838611E-2</v>
      </c>
      <c r="AL63" s="1258">
        <f t="shared" ref="AL63" si="604">AVERAGE(AH62,AD62,Z62,Z62,V62,R62,N62)</f>
        <v>7.2591706944821116E-2</v>
      </c>
      <c r="AM63" s="1254">
        <f t="shared" ref="AM63" si="605">AVERAGE(AI62,AE62,AA62,AA62,W62,S62,O62)</f>
        <v>0.15719440173534632</v>
      </c>
      <c r="AN63" s="1257">
        <f t="shared" ref="AN63" si="606">AVERAGE(AJ62,AF62,AB62,AB62,X62,T62,P62)</f>
        <v>-0.17681700907294312</v>
      </c>
      <c r="AO63" s="1253">
        <f t="shared" ref="AO63" si="607">AVERAGE(AK62,AG62,AC62,AC62,Y62,U62,Q62)</f>
        <v>-3.1262165119675722E-2</v>
      </c>
      <c r="AP63" s="1258">
        <f t="shared" ref="AP63" si="608">AVERAGE(AL62,AH62,AD62,AD62,Z62,V62,R62)</f>
        <v>5.5097396408383244E-2</v>
      </c>
      <c r="AQ63" s="1254">
        <f t="shared" ref="AQ63" si="609">AVERAGE(AM62,AI62,AE62,AE62,AA62,W62,S62)</f>
        <v>0.16460780044773365</v>
      </c>
      <c r="AR63" s="1257">
        <f t="shared" ref="AR63" si="610">AVERAGE(AN62,AJ62,AF62,AF62,AB62,X62,T62)</f>
        <v>-0.22208286257050019</v>
      </c>
      <c r="AS63" s="1253">
        <f t="shared" ref="AS63" si="611">AVERAGE(AO62,AK62,AG62,AG62,AC62,Y62,U62)</f>
        <v>-2.1141027926690734E-2</v>
      </c>
      <c r="AT63" s="1258">
        <f t="shared" ref="AT63" si="612">AVERAGE(AP62,AL62,AH62,AH62,AD62,Z62,V62)</f>
        <v>5.4809371467971428E-2</v>
      </c>
      <c r="AU63" s="1254">
        <f t="shared" ref="AU63" si="613">AVERAGE(AQ62,AM62,AI62,AI62,AE62,AA62,W62)</f>
        <v>0.17720201817442188</v>
      </c>
      <c r="AV63" s="1258">
        <f t="shared" ref="AV63" si="614">AVERAGE(AR62,AN62,AJ62,AJ62,AF62,AB62,X62)</f>
        <v>-0.14586000191592507</v>
      </c>
      <c r="AW63" s="1258">
        <f t="shared" ref="AW63" si="615">AVERAGE(AS62,AO62,AK62,AK62,AG62,AC62,Y62)</f>
        <v>-7.2873852441692755E-3</v>
      </c>
      <c r="AX63" s="1258">
        <f t="shared" ref="AX63" si="616">AVERAGE(AT62,AP62,AL62,AL62,AH62,AD62,Z62)</f>
        <v>0.14216229049388565</v>
      </c>
      <c r="AY63" s="1254">
        <f t="shared" ref="AY63" si="617">AVERAGE(AU62,AQ62,AM62,AM62,AI62,AE62,AA62)</f>
        <v>0.13987845719368613</v>
      </c>
      <c r="AZ63" s="1258">
        <f t="shared" ref="AZ63:BA63" si="618">AVERAGE(AV62,AR62,AN62,AN62,AJ62,AF62,AB62)</f>
        <v>-0.22253415984649264</v>
      </c>
      <c r="BA63" s="1253">
        <f t="shared" si="618"/>
        <v>-4.500756179689664E-2</v>
      </c>
      <c r="BB63" s="1253">
        <f t="shared" ref="BB63:BD63" si="619">AX63</f>
        <v>0.14216229049388565</v>
      </c>
      <c r="BC63" s="1389">
        <f t="shared" si="619"/>
        <v>0.13987845719368613</v>
      </c>
      <c r="BD63" s="1323">
        <f t="shared" si="619"/>
        <v>-0.22253415984649264</v>
      </c>
      <c r="BE63" s="1253"/>
      <c r="BF63" s="1253"/>
      <c r="BG63" s="1254"/>
      <c r="BH63" s="1253"/>
      <c r="BI63" s="1253"/>
      <c r="BJ63" s="1253"/>
      <c r="BK63" s="1254"/>
      <c r="BL63" s="1389"/>
      <c r="BM63" s="1389"/>
      <c r="BN63" s="1389"/>
      <c r="BO63" s="1322"/>
      <c r="BP63" s="23"/>
      <c r="BQ63" s="462"/>
      <c r="BR63" s="473"/>
      <c r="BS63" s="473"/>
      <c r="BT63" s="473"/>
      <c r="BU63" s="473"/>
      <c r="BV63" s="473"/>
      <c r="BW63" s="473"/>
      <c r="BX63" s="473"/>
      <c r="BY63" s="473"/>
      <c r="BZ63" s="473"/>
      <c r="CA63" s="473"/>
      <c r="CB63" s="413"/>
      <c r="CC63" s="1425"/>
      <c r="CD63" s="1425"/>
      <c r="CE63" s="1425"/>
      <c r="CF63" s="1426"/>
      <c r="CG63" s="1031"/>
    </row>
    <row r="64" spans="1:89" ht="14.25" hidden="1" customHeight="1" outlineLevel="1">
      <c r="A64" s="634"/>
      <c r="B64" s="1233" t="s">
        <v>153</v>
      </c>
      <c r="C64" s="39"/>
      <c r="D64" s="1257"/>
      <c r="E64" s="1253"/>
      <c r="F64" s="1253"/>
      <c r="G64" s="1254"/>
      <c r="H64" s="1257"/>
      <c r="I64" s="1253"/>
      <c r="J64" s="1253"/>
      <c r="K64" s="1254"/>
      <c r="L64" s="1257">
        <f t="shared" ref="L64" si="620">L61/H61-1</f>
        <v>0.30003109546307183</v>
      </c>
      <c r="M64" s="1253">
        <f t="shared" ref="M64" si="621">M61/I61-1</f>
        <v>0.21003744903794708</v>
      </c>
      <c r="N64" s="1253">
        <f t="shared" ref="N64" si="622">N61/J61-1</f>
        <v>0.23465131041987863</v>
      </c>
      <c r="O64" s="1254">
        <f t="shared" ref="O64" si="623">O61/K61-1</f>
        <v>-3.438958112911672E-2</v>
      </c>
      <c r="P64" s="1257">
        <f t="shared" ref="P64" si="624">P61/L61-1</f>
        <v>-2.046233140952447E-2</v>
      </c>
      <c r="Q64" s="1253">
        <f t="shared" ref="Q64" si="625">Q61/M61-1</f>
        <v>-6.2728208255517059E-2</v>
      </c>
      <c r="R64" s="1253">
        <f t="shared" ref="R64" si="626">R61/N61-1</f>
        <v>-4.6722244665614032E-2</v>
      </c>
      <c r="S64" s="1254">
        <f t="shared" ref="S64" si="627">S61/O61-1</f>
        <v>0.24949747357302154</v>
      </c>
      <c r="T64" s="1257">
        <f t="shared" ref="T64" si="628">T61/P61-1</f>
        <v>-0.39581889217972144</v>
      </c>
      <c r="U64" s="1253">
        <f t="shared" ref="U64" si="629">U61/Q61-1</f>
        <v>-0.33010182504310492</v>
      </c>
      <c r="V64" s="1253">
        <f t="shared" ref="V64" si="630">V61/R61-1</f>
        <v>-0.19533994945447819</v>
      </c>
      <c r="W64" s="1254">
        <f t="shared" ref="W64" si="631">W61/S61-1</f>
        <v>-2.7506151031480575E-2</v>
      </c>
      <c r="X64" s="1257">
        <f t="shared" ref="X64" si="632">X61/T61-1</f>
        <v>0.8891293577742434</v>
      </c>
      <c r="Y64" s="1253">
        <f t="shared" ref="Y64" si="633">Y61/U61-1</f>
        <v>0.76646270396270411</v>
      </c>
      <c r="Z64" s="1253">
        <f t="shared" ref="Z64" si="634">Z61/V61-1</f>
        <v>0.49283744446146782</v>
      </c>
      <c r="AA64" s="1254">
        <f t="shared" ref="AA64" si="635">AA61/W61-1</f>
        <v>6.7791112552708421E-2</v>
      </c>
      <c r="AB64" s="1257">
        <f t="shared" ref="AB64" si="636">AB61/X61-1</f>
        <v>7.5914423740510717E-3</v>
      </c>
      <c r="AC64" s="1253">
        <f t="shared" ref="AC64" si="637">AC61/Y61-1</f>
        <v>-6.3917525773195982E-2</v>
      </c>
      <c r="AD64" s="1253">
        <f t="shared" ref="AD64" si="638">AD61/Z61-1</f>
        <v>-0.13021167415009627</v>
      </c>
      <c r="AE64" s="1254">
        <f t="shared" ref="AE64" si="639">AE61/AA61-1</f>
        <v>-9.7205346294046202E-2</v>
      </c>
      <c r="AF64" s="1258">
        <f t="shared" ref="AF64" si="640">AF61/AB61-1</f>
        <v>-0.19931506849315062</v>
      </c>
      <c r="AG64" s="1258">
        <f t="shared" ref="AG64" si="641">AG61/AC61-1</f>
        <v>-0.20704845814977968</v>
      </c>
      <c r="AH64" s="1253">
        <f t="shared" ref="AH64" si="642">AH61/AD61-1</f>
        <v>-0.1968657817109144</v>
      </c>
      <c r="AI64" s="1253">
        <f t="shared" ref="AI64" si="643">AI61/AE61-1</f>
        <v>-7.3889636608344467E-2</v>
      </c>
      <c r="AJ64" s="1257">
        <f t="shared" ref="AJ64" si="644">AJ61/AF61-1</f>
        <v>-8.5295124037639058E-2</v>
      </c>
      <c r="AK64" s="1253">
        <f t="shared" ref="AK64" si="645">AK61/AG61-1</f>
        <v>-6.4361111111111091E-2</v>
      </c>
      <c r="AL64" s="1253">
        <f t="shared" ref="AL64" si="646">AL61/AH61-1</f>
        <v>-8.0271796519902683E-2</v>
      </c>
      <c r="AM64" s="1254">
        <f t="shared" ref="AM64" si="647">AM61/AI61-1</f>
        <v>-0.31321028920215088</v>
      </c>
      <c r="AN64" s="1257">
        <f t="shared" ref="AN64" si="648">AN61/AJ61-1</f>
        <v>-0.30683911754528703</v>
      </c>
      <c r="AO64" s="1253">
        <f t="shared" ref="AO64" si="649">AO61/AK61-1</f>
        <v>-0.23101663549367146</v>
      </c>
      <c r="AP64" s="1253">
        <f t="shared" ref="AP64" si="650">AP61/AL61-1</f>
        <v>-0.19261603586154563</v>
      </c>
      <c r="AQ64" s="1254">
        <f t="shared" ref="AQ64" si="651">AQ61/AM61-1</f>
        <v>-2.3138939438825279E-2</v>
      </c>
      <c r="AR64" s="1257">
        <f t="shared" ref="AR64" si="652">AR61/AN61-1</f>
        <v>0.27949648538161598</v>
      </c>
      <c r="AS64" s="1253">
        <f>AS61/AO61-1</f>
        <v>0.40315295026060105</v>
      </c>
      <c r="AT64" s="1253">
        <f>AT61/AP61-1</f>
        <v>1.5569185111907999</v>
      </c>
      <c r="AU64" s="1254">
        <f t="shared" ref="AU64" si="653">AU61/AQ61-1</f>
        <v>2.4374465227609958</v>
      </c>
      <c r="AV64" s="1253">
        <f>AV61/AR61-1</f>
        <v>0.32548109875046149</v>
      </c>
      <c r="AW64" s="1253">
        <f>AW61/AS61-1</f>
        <v>-0.26592193117616847</v>
      </c>
      <c r="AX64" s="1253">
        <f>AX61/AT61-1</f>
        <v>-9.9996131116462994E-2</v>
      </c>
      <c r="AY64" s="1254">
        <f t="shared" ref="AY64" si="654">AY61/AU61-1</f>
        <v>-7.3527929017947025E-2</v>
      </c>
      <c r="AZ64" s="1253">
        <f>AZ61/AV61-1</f>
        <v>0.91200330941432939</v>
      </c>
      <c r="BA64" s="1253">
        <f>BA61/AW61-1</f>
        <v>1.5668307553911891</v>
      </c>
      <c r="BB64" s="1253">
        <f t="shared" ref="BB64:BD64" si="655">BB61/AX61-1</f>
        <v>0.19150964648228652</v>
      </c>
      <c r="BC64" s="1389">
        <f t="shared" si="655"/>
        <v>-4.9308086001904616E-2</v>
      </c>
      <c r="BD64" s="1323">
        <f t="shared" si="655"/>
        <v>-0.16248654241627702</v>
      </c>
      <c r="BE64" s="1253"/>
      <c r="BF64" s="1253"/>
      <c r="BG64" s="1254"/>
      <c r="BH64" s="1253"/>
      <c r="BI64" s="1253"/>
      <c r="BJ64" s="1253"/>
      <c r="BK64" s="1254"/>
      <c r="BL64" s="1389"/>
      <c r="BM64" s="1389"/>
      <c r="BN64" s="1389"/>
      <c r="BO64" s="1322"/>
      <c r="BP64" s="23"/>
      <c r="BQ64" s="823"/>
      <c r="BR64" s="413"/>
      <c r="BS64" s="413"/>
      <c r="BT64" s="413"/>
      <c r="BU64" s="413"/>
      <c r="BV64" s="413"/>
      <c r="BW64" s="413"/>
      <c r="BX64" s="413"/>
      <c r="BY64" s="413"/>
      <c r="BZ64" s="413"/>
      <c r="CA64" s="413"/>
      <c r="CB64" s="413"/>
      <c r="CC64" s="413">
        <f>CC61/CB54-1</f>
        <v>0.38080691419065382</v>
      </c>
      <c r="CD64" s="413"/>
      <c r="CE64" s="413"/>
      <c r="CF64" s="412"/>
      <c r="CG64" s="1031"/>
    </row>
    <row r="65" spans="1:89" ht="14.25" hidden="1" customHeight="1" outlineLevel="1">
      <c r="A65" s="634"/>
      <c r="B65" s="1233" t="s">
        <v>601</v>
      </c>
      <c r="C65" s="39"/>
      <c r="D65" s="1323"/>
      <c r="E65" s="1321"/>
      <c r="F65" s="1321"/>
      <c r="G65" s="1322"/>
      <c r="H65" s="1323"/>
      <c r="I65" s="1321"/>
      <c r="J65" s="1321"/>
      <c r="K65" s="1322"/>
      <c r="L65" s="1323"/>
      <c r="M65" s="1321"/>
      <c r="N65" s="1321"/>
      <c r="O65" s="1322"/>
      <c r="P65" s="1323"/>
      <c r="Q65" s="1321"/>
      <c r="R65" s="1321"/>
      <c r="S65" s="1322"/>
      <c r="T65" s="1323"/>
      <c r="U65" s="1321"/>
      <c r="V65" s="1321"/>
      <c r="W65" s="1322"/>
      <c r="X65" s="1321"/>
      <c r="Y65" s="1321"/>
      <c r="Z65" s="1321"/>
      <c r="AA65" s="1322"/>
      <c r="AB65" s="1321"/>
      <c r="AC65" s="1321"/>
      <c r="AD65" s="1321"/>
      <c r="AE65" s="1322"/>
      <c r="AF65" s="1324"/>
      <c r="AG65" s="1324"/>
      <c r="AH65" s="1321"/>
      <c r="AI65" s="1321"/>
      <c r="AJ65" s="1323"/>
      <c r="AK65" s="1321"/>
      <c r="AL65" s="1321"/>
      <c r="AM65" s="1322"/>
      <c r="AN65" s="1323"/>
      <c r="AO65" s="1321"/>
      <c r="AP65" s="1321"/>
      <c r="AQ65" s="1322"/>
      <c r="AR65" s="1323"/>
      <c r="AS65" s="1321"/>
      <c r="AT65" s="1321"/>
      <c r="AU65" s="1322"/>
      <c r="AV65" s="1321"/>
      <c r="AW65" s="1321"/>
      <c r="AX65" s="1321"/>
      <c r="AY65" s="1322"/>
      <c r="AZ65" s="1321"/>
      <c r="BA65" s="1321">
        <f t="shared" ref="BA65:BB65" si="656">BA61/BA$127</f>
        <v>0.20533742987389544</v>
      </c>
      <c r="BB65" s="1321">
        <f t="shared" si="656"/>
        <v>0.21239550393849999</v>
      </c>
      <c r="BC65" s="1389">
        <f t="shared" ref="BC65" si="657">BC61/BC$127</f>
        <v>0.24621170055051667</v>
      </c>
      <c r="BD65" s="1323">
        <f t="shared" ref="BD65" si="658">BD61/BD$127</f>
        <v>0.18367368625867164</v>
      </c>
      <c r="BE65" s="1321"/>
      <c r="BF65" s="1321"/>
      <c r="BG65" s="1322"/>
      <c r="BH65" s="1321"/>
      <c r="BI65" s="1321"/>
      <c r="BJ65" s="1321"/>
      <c r="BK65" s="1322"/>
      <c r="BL65" s="1389"/>
      <c r="BM65" s="1389"/>
      <c r="BN65" s="1389"/>
      <c r="BO65" s="1322"/>
      <c r="BP65" s="23"/>
      <c r="BQ65" s="823"/>
      <c r="BR65" s="413"/>
      <c r="BS65" s="413"/>
      <c r="BT65" s="413"/>
      <c r="BU65" s="413"/>
      <c r="BV65" s="413"/>
      <c r="BW65" s="413"/>
      <c r="BX65" s="413"/>
      <c r="BY65" s="413"/>
      <c r="BZ65" s="413"/>
      <c r="CA65" s="413"/>
      <c r="CB65" s="413"/>
      <c r="CC65" s="413">
        <f>CC61/CC$127</f>
        <v>0.22907751711788621</v>
      </c>
      <c r="CD65" s="413"/>
      <c r="CE65" s="413"/>
      <c r="CF65" s="412"/>
      <c r="CG65" s="1031"/>
    </row>
    <row r="66" spans="1:89" ht="14.25" hidden="1" customHeight="1" outlineLevel="1">
      <c r="A66" s="634"/>
      <c r="B66" s="1334" t="s">
        <v>596</v>
      </c>
      <c r="C66" s="1335"/>
      <c r="D66" s="1336"/>
      <c r="E66" s="1337"/>
      <c r="F66" s="1337"/>
      <c r="G66" s="1338"/>
      <c r="H66" s="1336">
        <v>99.692999999999998</v>
      </c>
      <c r="I66" s="1337">
        <v>108.414</v>
      </c>
      <c r="J66" s="1337">
        <v>110.27</v>
      </c>
      <c r="K66" s="1338">
        <v>131.37700000000001</v>
      </c>
      <c r="L66" s="1336"/>
      <c r="M66" s="1337"/>
      <c r="N66" s="1337"/>
      <c r="O66" s="1338"/>
      <c r="P66" s="1336"/>
      <c r="Q66" s="1337"/>
      <c r="R66" s="1337"/>
      <c r="S66" s="1338"/>
      <c r="T66" s="1336"/>
      <c r="U66" s="1337"/>
      <c r="V66" s="1337"/>
      <c r="W66" s="1338"/>
      <c r="X66" s="1336"/>
      <c r="Y66" s="1337"/>
      <c r="Z66" s="1337"/>
      <c r="AA66" s="1338"/>
      <c r="AB66" s="1336"/>
      <c r="AC66" s="1337"/>
      <c r="AD66" s="1337"/>
      <c r="AE66" s="1338"/>
      <c r="AF66" s="1336"/>
      <c r="AG66" s="1337"/>
      <c r="AH66" s="1337"/>
      <c r="AI66" s="1337"/>
      <c r="AJ66" s="1336"/>
      <c r="AK66" s="1337"/>
      <c r="AL66" s="1337"/>
      <c r="AM66" s="1338"/>
      <c r="AN66" s="1336"/>
      <c r="AO66" s="1337"/>
      <c r="AP66" s="1337"/>
      <c r="AQ66" s="1338"/>
      <c r="AR66" s="1336"/>
      <c r="AS66" s="1337"/>
      <c r="AT66" s="1337"/>
      <c r="AU66" s="1338"/>
      <c r="AV66" s="1337"/>
      <c r="AW66" s="1337"/>
      <c r="AX66" s="1337"/>
      <c r="AY66" s="1338"/>
      <c r="AZ66" s="1337"/>
      <c r="BA66" s="1337">
        <v>160.89276000000001</v>
      </c>
      <c r="BB66" s="1337">
        <v>201.11595</v>
      </c>
      <c r="BC66" s="1337">
        <v>201.11595</v>
      </c>
      <c r="BD66" s="1336">
        <v>201.11595</v>
      </c>
      <c r="BE66" s="1337"/>
      <c r="BF66" s="1337"/>
      <c r="BG66" s="1338"/>
      <c r="BH66" s="1337"/>
      <c r="BI66" s="1337"/>
      <c r="BJ66" s="1337"/>
      <c r="BK66" s="1338"/>
      <c r="BL66" s="1337"/>
      <c r="BM66" s="1337"/>
      <c r="BN66" s="1337"/>
      <c r="BO66" s="1338"/>
      <c r="BP66" s="1470"/>
      <c r="BQ66" s="410"/>
      <c r="BR66" s="404"/>
      <c r="BS66" s="404"/>
      <c r="BT66" s="404"/>
      <c r="BU66" s="404"/>
      <c r="BV66" s="404"/>
      <c r="BW66" s="404"/>
      <c r="BX66" s="404"/>
      <c r="BY66" s="404"/>
      <c r="BZ66" s="404"/>
      <c r="CA66" s="404"/>
      <c r="CB66" s="1337"/>
      <c r="CC66" s="1337">
        <v>934.09063500000002</v>
      </c>
      <c r="CD66" s="1337"/>
      <c r="CE66" s="1337"/>
      <c r="CF66" s="1338"/>
      <c r="CG66" s="1031"/>
    </row>
    <row r="67" spans="1:89" ht="14.25" hidden="1" customHeight="1" outlineLevel="1">
      <c r="A67" s="634"/>
      <c r="B67" s="1369" t="s">
        <v>595</v>
      </c>
      <c r="C67" s="1335"/>
      <c r="D67" s="1336"/>
      <c r="E67" s="1337"/>
      <c r="F67" s="1337"/>
      <c r="G67" s="1338"/>
      <c r="H67" s="1336"/>
      <c r="I67" s="1337"/>
      <c r="J67" s="1337"/>
      <c r="K67" s="1338"/>
      <c r="L67" s="1336"/>
      <c r="M67" s="1337"/>
      <c r="N67" s="1337"/>
      <c r="O67" s="1338"/>
      <c r="P67" s="1336"/>
      <c r="Q67" s="1337"/>
      <c r="R67" s="1337"/>
      <c r="S67" s="1338"/>
      <c r="T67" s="1336"/>
      <c r="U67" s="1337"/>
      <c r="V67" s="1337"/>
      <c r="W67" s="1338"/>
      <c r="X67" s="1337"/>
      <c r="Y67" s="1337"/>
      <c r="Z67" s="1337"/>
      <c r="AA67" s="1338"/>
      <c r="AB67" s="1337"/>
      <c r="AC67" s="1337"/>
      <c r="AD67" s="1337"/>
      <c r="AE67" s="1338"/>
      <c r="AF67" s="1337"/>
      <c r="AG67" s="1337"/>
      <c r="AH67" s="1337"/>
      <c r="AI67" s="1337"/>
      <c r="AJ67" s="1336"/>
      <c r="AK67" s="1337"/>
      <c r="AL67" s="1337"/>
      <c r="AM67" s="1338"/>
      <c r="AN67" s="1336"/>
      <c r="AO67" s="1337"/>
      <c r="AP67" s="1337"/>
      <c r="AQ67" s="1338"/>
      <c r="AR67" s="1336"/>
      <c r="AS67" s="1337"/>
      <c r="AT67" s="1337"/>
      <c r="AU67" s="1338"/>
      <c r="AV67" s="1337"/>
      <c r="AW67" s="1337"/>
      <c r="AX67" s="1337"/>
      <c r="AY67" s="1338"/>
      <c r="AZ67" s="1337"/>
      <c r="BA67" s="1339">
        <v>0</v>
      </c>
      <c r="BB67" s="1337">
        <v>-30.00649974000001</v>
      </c>
      <c r="BC67" s="1337">
        <v>-30.00649974000001</v>
      </c>
      <c r="BD67" s="1336">
        <v>-30.00649974000001</v>
      </c>
      <c r="BE67" s="1337"/>
      <c r="BF67" s="1337"/>
      <c r="BG67" s="1338"/>
      <c r="BH67" s="1337"/>
      <c r="BI67" s="1337"/>
      <c r="BJ67" s="1337"/>
      <c r="BK67" s="1338"/>
      <c r="BL67" s="1337"/>
      <c r="BM67" s="1337"/>
      <c r="BN67" s="1337"/>
      <c r="BO67" s="1338"/>
      <c r="BP67" s="1470"/>
      <c r="BQ67" s="410"/>
      <c r="BR67" s="404"/>
      <c r="BS67" s="404"/>
      <c r="BT67" s="404"/>
      <c r="BU67" s="404"/>
      <c r="BV67" s="404"/>
      <c r="BW67" s="404"/>
      <c r="BX67" s="404"/>
      <c r="BY67" s="404"/>
      <c r="BZ67" s="404"/>
      <c r="CA67" s="404"/>
      <c r="CB67" s="1337"/>
      <c r="CC67" s="1337"/>
      <c r="CD67" s="1337"/>
      <c r="CE67" s="1337"/>
      <c r="CF67" s="1338"/>
      <c r="CG67" s="1031"/>
    </row>
    <row r="68" spans="1:89" ht="14.25" hidden="1" customHeight="1" outlineLevel="1">
      <c r="A68" s="634"/>
      <c r="B68" s="1334" t="s">
        <v>603</v>
      </c>
      <c r="C68" s="1335"/>
      <c r="D68" s="1336"/>
      <c r="E68" s="1337"/>
      <c r="F68" s="1337"/>
      <c r="G68" s="1338"/>
      <c r="H68" s="1336"/>
      <c r="I68" s="1337"/>
      <c r="J68" s="1337"/>
      <c r="K68" s="1338"/>
      <c r="L68" s="1336"/>
      <c r="M68" s="1337"/>
      <c r="N68" s="1337"/>
      <c r="O68" s="1338"/>
      <c r="P68" s="1336"/>
      <c r="Q68" s="1337"/>
      <c r="R68" s="1337"/>
      <c r="S68" s="1338"/>
      <c r="T68" s="1336"/>
      <c r="U68" s="1337"/>
      <c r="V68" s="1337"/>
      <c r="W68" s="1338"/>
      <c r="X68" s="1337"/>
      <c r="Y68" s="1337"/>
      <c r="Z68" s="1337"/>
      <c r="AA68" s="1338"/>
      <c r="AB68" s="1337"/>
      <c r="AC68" s="1337"/>
      <c r="AD68" s="1337"/>
      <c r="AE68" s="1338"/>
      <c r="AF68" s="1337"/>
      <c r="AG68" s="1337"/>
      <c r="AH68" s="1337"/>
      <c r="AI68" s="1337"/>
      <c r="AJ68" s="1336"/>
      <c r="AK68" s="1337"/>
      <c r="AL68" s="1337"/>
      <c r="AM68" s="1338"/>
      <c r="AN68" s="1336"/>
      <c r="AO68" s="1337"/>
      <c r="AP68" s="1337"/>
      <c r="AQ68" s="1338"/>
      <c r="AR68" s="1336"/>
      <c r="AS68" s="1337"/>
      <c r="AT68" s="1337"/>
      <c r="AU68" s="1338"/>
      <c r="AV68" s="1337"/>
      <c r="AW68" s="1337"/>
      <c r="AX68" s="1337"/>
      <c r="AY68" s="1338"/>
      <c r="AZ68" s="1337"/>
      <c r="BA68" s="1337">
        <v>160.89276000000001</v>
      </c>
      <c r="BB68" s="1337">
        <v>171.10945025999999</v>
      </c>
      <c r="BC68" s="1337">
        <v>171.10945025999999</v>
      </c>
      <c r="BD68" s="1336">
        <v>171.10945025999999</v>
      </c>
      <c r="BE68" s="1337"/>
      <c r="BF68" s="1337"/>
      <c r="BG68" s="1338"/>
      <c r="BH68" s="1337"/>
      <c r="BI68" s="1337"/>
      <c r="BJ68" s="1337"/>
      <c r="BK68" s="1338"/>
      <c r="BL68" s="1337"/>
      <c r="BM68" s="1337"/>
      <c r="BN68" s="1337"/>
      <c r="BO68" s="1338"/>
      <c r="BP68" s="1470"/>
      <c r="BQ68" s="410"/>
      <c r="BR68" s="404"/>
      <c r="BS68" s="404"/>
      <c r="BT68" s="404"/>
      <c r="BU68" s="404"/>
      <c r="BV68" s="404"/>
      <c r="BW68" s="404"/>
      <c r="BX68" s="404"/>
      <c r="BY68" s="404"/>
      <c r="BZ68" s="404"/>
      <c r="CA68" s="404"/>
      <c r="CB68" s="1337"/>
      <c r="CC68" s="1337"/>
      <c r="CD68" s="1337"/>
      <c r="CE68" s="1337"/>
      <c r="CF68" s="1338"/>
      <c r="CG68" s="1031"/>
    </row>
    <row r="69" spans="1:89" ht="14.25" hidden="1" customHeight="1" outlineLevel="1">
      <c r="A69" s="634"/>
      <c r="B69" s="1334" t="s">
        <v>605</v>
      </c>
      <c r="C69" s="1335"/>
      <c r="D69" s="1336"/>
      <c r="E69" s="1337"/>
      <c r="F69" s="1337"/>
      <c r="G69" s="1338"/>
      <c r="H69" s="1336"/>
      <c r="I69" s="1337"/>
      <c r="J69" s="1337"/>
      <c r="K69" s="1338"/>
      <c r="L69" s="1336"/>
      <c r="M69" s="1337"/>
      <c r="N69" s="1337"/>
      <c r="O69" s="1338"/>
      <c r="P69" s="1336"/>
      <c r="Q69" s="1337"/>
      <c r="R69" s="1337"/>
      <c r="S69" s="1338"/>
      <c r="T69" s="1336"/>
      <c r="U69" s="1337"/>
      <c r="V69" s="1337"/>
      <c r="W69" s="1338"/>
      <c r="X69" s="1337"/>
      <c r="Y69" s="1337"/>
      <c r="Z69" s="1337"/>
      <c r="AA69" s="1338"/>
      <c r="AB69" s="1337"/>
      <c r="AC69" s="1337"/>
      <c r="AD69" s="1337"/>
      <c r="AE69" s="1338"/>
      <c r="AF69" s="1337"/>
      <c r="AG69" s="1337"/>
      <c r="AH69" s="1337"/>
      <c r="AI69" s="1337"/>
      <c r="AJ69" s="1336"/>
      <c r="AK69" s="1337"/>
      <c r="AL69" s="1337"/>
      <c r="AM69" s="1338"/>
      <c r="AN69" s="1336"/>
      <c r="AO69" s="1337"/>
      <c r="AP69" s="1337"/>
      <c r="AQ69" s="1338"/>
      <c r="AR69" s="1336"/>
      <c r="AS69" s="1337"/>
      <c r="AT69" s="1337"/>
      <c r="AU69" s="1338"/>
      <c r="AV69" s="1337"/>
      <c r="AW69" s="1337"/>
      <c r="AX69" s="1337"/>
      <c r="AY69" s="1338"/>
      <c r="AZ69" s="1337"/>
      <c r="BA69" s="1339"/>
      <c r="BB69" s="1337">
        <f>BB61-BB68</f>
        <v>50.631686459999997</v>
      </c>
      <c r="BC69" s="1337">
        <f>BC61-BC68</f>
        <v>108.43200013200001</v>
      </c>
      <c r="BD69" s="1336">
        <f>BD61-BD68</f>
        <v>30.180745171200016</v>
      </c>
      <c r="BE69" s="1337"/>
      <c r="BF69" s="1337"/>
      <c r="BG69" s="1338"/>
      <c r="BH69" s="1337"/>
      <c r="BI69" s="1337"/>
      <c r="BJ69" s="1337"/>
      <c r="BK69" s="1338"/>
      <c r="BL69" s="1337"/>
      <c r="BM69" s="1337"/>
      <c r="BN69" s="1337"/>
      <c r="BO69" s="1338"/>
      <c r="BP69" s="1470"/>
      <c r="BQ69" s="410"/>
      <c r="BR69" s="404"/>
      <c r="BS69" s="404"/>
      <c r="BT69" s="404"/>
      <c r="BU69" s="404"/>
      <c r="BV69" s="404"/>
      <c r="BW69" s="404"/>
      <c r="BX69" s="404"/>
      <c r="BY69" s="404"/>
      <c r="BZ69" s="404"/>
      <c r="CA69" s="404"/>
      <c r="CB69" s="1337"/>
      <c r="CC69" s="1337"/>
      <c r="CD69" s="1337"/>
      <c r="CE69" s="1337"/>
      <c r="CF69" s="1338"/>
      <c r="CG69" s="1031"/>
    </row>
    <row r="70" spans="1:89" ht="14.25" hidden="1" customHeight="1" outlineLevel="1">
      <c r="A70" s="634"/>
      <c r="B70" s="1334" t="s">
        <v>606</v>
      </c>
      <c r="C70" s="1335"/>
      <c r="D70" s="1336"/>
      <c r="E70" s="1337"/>
      <c r="F70" s="1337"/>
      <c r="G70" s="1338"/>
      <c r="H70" s="1336"/>
      <c r="I70" s="1337"/>
      <c r="J70" s="1337"/>
      <c r="K70" s="1338"/>
      <c r="L70" s="1336"/>
      <c r="M70" s="1337"/>
      <c r="N70" s="1337"/>
      <c r="O70" s="1338"/>
      <c r="P70" s="1336"/>
      <c r="Q70" s="1337"/>
      <c r="R70" s="1337"/>
      <c r="S70" s="1338"/>
      <c r="T70" s="1336"/>
      <c r="U70" s="1337"/>
      <c r="V70" s="1337"/>
      <c r="W70" s="1338"/>
      <c r="X70" s="1337"/>
      <c r="Y70" s="1337"/>
      <c r="Z70" s="1337"/>
      <c r="AA70" s="1338"/>
      <c r="AB70" s="1337"/>
      <c r="AC70" s="1337"/>
      <c r="AD70" s="1337"/>
      <c r="AE70" s="1338"/>
      <c r="AF70" s="1337"/>
      <c r="AG70" s="1337"/>
      <c r="AH70" s="1337"/>
      <c r="AI70" s="1337"/>
      <c r="AJ70" s="1336"/>
      <c r="AK70" s="1337"/>
      <c r="AL70" s="1337"/>
      <c r="AM70" s="1338"/>
      <c r="AN70" s="1336"/>
      <c r="AO70" s="1337"/>
      <c r="AP70" s="1337"/>
      <c r="AQ70" s="1338"/>
      <c r="AR70" s="1336"/>
      <c r="AS70" s="1337"/>
      <c r="AT70" s="1337"/>
      <c r="AU70" s="1338"/>
      <c r="AV70" s="1337"/>
      <c r="AW70" s="1337"/>
      <c r="AX70" s="1337"/>
      <c r="AY70" s="1338"/>
      <c r="AZ70" s="1337"/>
      <c r="BA70" s="1339"/>
      <c r="BB70" s="1337"/>
      <c r="BC70" s="1337"/>
      <c r="BD70" s="1336"/>
      <c r="BE70" s="1337"/>
      <c r="BF70" s="1337"/>
      <c r="BG70" s="1338"/>
      <c r="BH70" s="1375"/>
      <c r="BI70" s="1337"/>
      <c r="BJ70" s="1337"/>
      <c r="BK70" s="1338"/>
      <c r="BL70" s="1433"/>
      <c r="BM70" s="1337"/>
      <c r="BN70" s="1337"/>
      <c r="BO70" s="1338"/>
      <c r="BP70" s="1470"/>
      <c r="BQ70" s="410"/>
      <c r="BR70" s="404"/>
      <c r="BS70" s="404"/>
      <c r="BT70" s="404"/>
      <c r="BU70" s="404"/>
      <c r="BV70" s="404"/>
      <c r="BW70" s="404"/>
      <c r="BX70" s="404"/>
      <c r="BY70" s="404"/>
      <c r="BZ70" s="404"/>
      <c r="CA70" s="404"/>
      <c r="CB70" s="1433"/>
      <c r="CC70" s="1433">
        <f>(CC61-365)/CC122</f>
        <v>0.11698534763961306</v>
      </c>
      <c r="CD70" s="1433"/>
      <c r="CE70" s="1433"/>
      <c r="CF70" s="1387"/>
      <c r="CG70" s="1031"/>
    </row>
    <row r="71" spans="1:89" ht="14.25" hidden="1" customHeight="1" outlineLevel="1">
      <c r="A71" s="634"/>
      <c r="B71" s="38"/>
      <c r="C71" s="261"/>
      <c r="D71" s="1257"/>
      <c r="E71" s="1253"/>
      <c r="F71" s="1253"/>
      <c r="G71" s="1254"/>
      <c r="H71" s="1257"/>
      <c r="I71" s="1253"/>
      <c r="J71" s="1253"/>
      <c r="K71" s="1254"/>
      <c r="L71" s="1257"/>
      <c r="M71" s="1253"/>
      <c r="N71" s="1253"/>
      <c r="O71" s="1254"/>
      <c r="P71" s="1257"/>
      <c r="Q71" s="1253"/>
      <c r="R71" s="1253"/>
      <c r="S71" s="1254"/>
      <c r="T71" s="1257"/>
      <c r="U71" s="1253"/>
      <c r="V71" s="1253"/>
      <c r="W71" s="1254"/>
      <c r="X71" s="1253"/>
      <c r="Y71" s="1253"/>
      <c r="Z71" s="1253"/>
      <c r="AA71" s="1254"/>
      <c r="AB71" s="1253"/>
      <c r="AC71" s="1253"/>
      <c r="AD71" s="1253"/>
      <c r="AE71" s="1254"/>
      <c r="AF71" s="1253"/>
      <c r="AG71" s="1253"/>
      <c r="AH71" s="1253"/>
      <c r="AI71" s="1253"/>
      <c r="AJ71" s="1257"/>
      <c r="AK71" s="1255"/>
      <c r="AL71" s="1253"/>
      <c r="AM71" s="1254"/>
      <c r="AN71" s="1257"/>
      <c r="AO71" s="1253"/>
      <c r="AP71" s="1253"/>
      <c r="AQ71" s="1254"/>
      <c r="AR71" s="1257"/>
      <c r="AS71" s="1253"/>
      <c r="AT71" s="1253"/>
      <c r="AU71" s="1254"/>
      <c r="AV71" s="1253"/>
      <c r="AW71" s="1253"/>
      <c r="AX71" s="1253"/>
      <c r="AY71" s="1254"/>
      <c r="AZ71" s="1253"/>
      <c r="BA71" s="1255"/>
      <c r="BB71" s="1255"/>
      <c r="BC71" s="1331"/>
      <c r="BD71" s="98"/>
      <c r="BE71" s="1255"/>
      <c r="BF71" s="1255"/>
      <c r="BG71" s="1256"/>
      <c r="BH71" s="1255"/>
      <c r="BI71" s="1255"/>
      <c r="BJ71" s="1255"/>
      <c r="BK71" s="1256"/>
      <c r="BL71" s="1331"/>
      <c r="BM71" s="1331"/>
      <c r="BN71" s="1331"/>
      <c r="BO71" s="1332"/>
      <c r="BP71" s="23"/>
      <c r="BQ71" s="1277"/>
      <c r="BR71" s="1271"/>
      <c r="BS71" s="1271"/>
      <c r="BT71" s="1271"/>
      <c r="BU71" s="1425"/>
      <c r="BV71" s="1425"/>
      <c r="BW71" s="1425"/>
      <c r="BX71" s="1425"/>
      <c r="BY71" s="1425"/>
      <c r="BZ71" s="1425"/>
      <c r="CA71" s="1425"/>
      <c r="CB71" s="1425"/>
      <c r="CC71" s="1425"/>
      <c r="CD71" s="1425"/>
      <c r="CE71" s="1425"/>
      <c r="CF71" s="1426"/>
      <c r="CG71" s="1031"/>
    </row>
    <row r="72" spans="1:89" ht="14.25" hidden="1" customHeight="1" outlineLevel="1">
      <c r="A72" s="634"/>
      <c r="B72" s="1232" t="s">
        <v>576</v>
      </c>
      <c r="C72" s="261"/>
      <c r="D72" s="477"/>
      <c r="E72" s="416"/>
      <c r="F72" s="416"/>
      <c r="G72" s="417"/>
      <c r="H72" s="477"/>
      <c r="I72" s="416"/>
      <c r="J72" s="416"/>
      <c r="K72" s="417">
        <v>67.186679999999996</v>
      </c>
      <c r="L72" s="477">
        <v>58.927879999999995</v>
      </c>
      <c r="M72" s="416">
        <v>56.098240000000004</v>
      </c>
      <c r="N72" s="416">
        <v>58.985519999999994</v>
      </c>
      <c r="O72" s="417">
        <v>64.74224000000001</v>
      </c>
      <c r="P72" s="477">
        <v>57.744</v>
      </c>
      <c r="Q72" s="416">
        <v>53.615700000000004</v>
      </c>
      <c r="R72" s="416">
        <v>58.345199999999991</v>
      </c>
      <c r="S72" s="417">
        <v>68.27722</v>
      </c>
      <c r="T72" s="477">
        <v>44.855280000000008</v>
      </c>
      <c r="U72" s="416">
        <v>34.158609999999996</v>
      </c>
      <c r="V72" s="416">
        <v>45.763960000000012</v>
      </c>
      <c r="W72" s="417">
        <v>51.9497</v>
      </c>
      <c r="X72" s="477">
        <v>51.272799999999997</v>
      </c>
      <c r="Y72" s="416">
        <v>71.604520000000008</v>
      </c>
      <c r="Z72" s="416">
        <v>84.217950000000002</v>
      </c>
      <c r="AA72" s="417">
        <v>77.718400000000003</v>
      </c>
      <c r="AB72" s="477">
        <v>65.21557</v>
      </c>
      <c r="AC72" s="416">
        <v>49.44688</v>
      </c>
      <c r="AD72" s="416">
        <v>53.783550000000005</v>
      </c>
      <c r="AE72" s="417">
        <v>46.188800000000001</v>
      </c>
      <c r="AF72" s="477">
        <v>47.093280000000007</v>
      </c>
      <c r="AG72" s="416">
        <v>46.853550000000006</v>
      </c>
      <c r="AH72" s="416">
        <v>52.801760000000002</v>
      </c>
      <c r="AI72" s="416">
        <v>50.272199999999998</v>
      </c>
      <c r="AJ72" s="477">
        <v>42.739339999999999</v>
      </c>
      <c r="AK72" s="416">
        <v>40.890459999999997</v>
      </c>
      <c r="AL72" s="416">
        <v>42.544449999999998</v>
      </c>
      <c r="AM72" s="417">
        <v>40.842840000000002</v>
      </c>
      <c r="AN72" s="477">
        <v>40.025796213978374</v>
      </c>
      <c r="AO72" s="416">
        <v>39.67268399999999</v>
      </c>
      <c r="AP72" s="416">
        <v>42.389648000000001</v>
      </c>
      <c r="AQ72" s="417">
        <v>44.527200000000001</v>
      </c>
      <c r="AR72" s="477">
        <v>40.898699999999998</v>
      </c>
      <c r="AS72" s="416">
        <v>44.642519999999998</v>
      </c>
      <c r="AT72" s="416">
        <v>41.743130000000001</v>
      </c>
      <c r="AU72" s="417">
        <v>41.030039999999993</v>
      </c>
      <c r="AV72" s="416">
        <v>34.712800000000001</v>
      </c>
      <c r="AW72" s="416">
        <v>28.89</v>
      </c>
      <c r="AX72" s="416">
        <v>41.114260000000002</v>
      </c>
      <c r="AY72" s="417">
        <v>33.650550000000003</v>
      </c>
      <c r="AZ72" s="416">
        <v>30.065359999999998</v>
      </c>
      <c r="BA72" s="416">
        <f t="shared" ref="BA72" si="659">AZ72*(1+BA73)</f>
        <v>27.960784799999995</v>
      </c>
      <c r="BB72" s="416">
        <f t="shared" ref="BB72:BD72" si="660">BA72*(1+BB73)</f>
        <v>30.756863279999997</v>
      </c>
      <c r="BC72" s="416">
        <f t="shared" si="660"/>
        <v>33.832549608000001</v>
      </c>
      <c r="BD72" s="477">
        <f t="shared" si="660"/>
        <v>37.215804568800003</v>
      </c>
      <c r="BE72" s="416"/>
      <c r="BF72" s="416"/>
      <c r="BG72" s="417"/>
      <c r="BH72" s="416"/>
      <c r="BI72" s="416"/>
      <c r="BJ72" s="416"/>
      <c r="BK72" s="417"/>
      <c r="BL72" s="416"/>
      <c r="BM72" s="416"/>
      <c r="BN72" s="416"/>
      <c r="BO72" s="417"/>
      <c r="BP72" s="1470"/>
      <c r="BQ72" s="410"/>
      <c r="BR72" s="404"/>
      <c r="BS72" s="404"/>
      <c r="BT72" s="404"/>
      <c r="BU72" s="404"/>
      <c r="BV72" s="404"/>
      <c r="BW72" s="404"/>
      <c r="BX72" s="404"/>
      <c r="BY72" s="404"/>
      <c r="BZ72" s="404"/>
      <c r="CA72" s="404"/>
      <c r="CB72" s="404"/>
      <c r="CC72" s="404">
        <f>SUM(AZ72:BC72)</f>
        <v>122.615557688</v>
      </c>
      <c r="CD72" s="404"/>
      <c r="CE72" s="404"/>
      <c r="CF72" s="405"/>
      <c r="CG72" s="1031"/>
    </row>
    <row r="73" spans="1:89" ht="14.25" hidden="1" customHeight="1" outlineLevel="1">
      <c r="A73" s="634"/>
      <c r="B73" s="1233" t="s">
        <v>152</v>
      </c>
      <c r="C73" s="261"/>
      <c r="D73" s="1257"/>
      <c r="E73" s="1253"/>
      <c r="F73" s="1253"/>
      <c r="G73" s="1254"/>
      <c r="H73" s="1257"/>
      <c r="I73" s="1253"/>
      <c r="J73" s="1253"/>
      <c r="K73" s="1254"/>
      <c r="L73" s="1257">
        <f t="shared" ref="L73" si="661">L72/K72-1</f>
        <v>-0.12292317465307112</v>
      </c>
      <c r="M73" s="1253">
        <f t="shared" ref="M73" si="662">M72/L72-1</f>
        <v>-4.8018696752708423E-2</v>
      </c>
      <c r="N73" s="1253">
        <f t="shared" ref="N73" si="663">N72/M72-1</f>
        <v>5.1468281357846424E-2</v>
      </c>
      <c r="O73" s="1254">
        <f t="shared" ref="O73" si="664">O72/N72-1</f>
        <v>9.7595477669774056E-2</v>
      </c>
      <c r="P73" s="1257">
        <f t="shared" ref="P73" si="665">P72/O72-1</f>
        <v>-0.10809388121263663</v>
      </c>
      <c r="Q73" s="1253">
        <f t="shared" ref="Q73" si="666">Q72/P72-1</f>
        <v>-7.1493142144638311E-2</v>
      </c>
      <c r="R73" s="1253">
        <f t="shared" ref="R73" si="667">R72/Q72-1</f>
        <v>8.821110234502183E-2</v>
      </c>
      <c r="S73" s="1254">
        <f t="shared" ref="S73" si="668">S72/R72-1</f>
        <v>0.17022857064505748</v>
      </c>
      <c r="T73" s="1257">
        <f t="shared" ref="T73" si="669">T72/S72-1</f>
        <v>-0.3430417934415021</v>
      </c>
      <c r="U73" s="1253">
        <f t="shared" ref="U73" si="670">U72/T72-1</f>
        <v>-0.23847069954752287</v>
      </c>
      <c r="V73" s="1253">
        <f t="shared" ref="V73" si="671">V72/U72-1</f>
        <v>0.33974889493454263</v>
      </c>
      <c r="W73" s="1254">
        <f t="shared" ref="W73" si="672">W72/V72-1</f>
        <v>0.13516618754146248</v>
      </c>
      <c r="X73" s="1257">
        <f t="shared" ref="X73" si="673">X72/W72-1</f>
        <v>-1.3029911626053714E-2</v>
      </c>
      <c r="Y73" s="1253">
        <f t="shared" ref="Y73" si="674">Y72/X72-1</f>
        <v>0.39654007582967998</v>
      </c>
      <c r="Z73" s="1253">
        <f t="shared" ref="Z73" si="675">Z72/Y72-1</f>
        <v>0.17615410312086444</v>
      </c>
      <c r="AA73" s="1254">
        <f t="shared" ref="AA73" si="676">AA72/Z72-1</f>
        <v>-7.717535276030818E-2</v>
      </c>
      <c r="AB73" s="1257">
        <f t="shared" ref="AB73" si="677">AB72/AA72-1</f>
        <v>-0.16087348684481417</v>
      </c>
      <c r="AC73" s="1253">
        <f t="shared" ref="AC73" si="678">AC72/AB72-1</f>
        <v>-0.24179333248179846</v>
      </c>
      <c r="AD73" s="1253">
        <f t="shared" ref="AD73" si="679">AD72/AC72-1</f>
        <v>8.7703612442281642E-2</v>
      </c>
      <c r="AE73" s="1254">
        <f t="shared" ref="AE73" si="680">AE72/AD72-1</f>
        <v>-0.14120953339822317</v>
      </c>
      <c r="AF73" s="1257">
        <f t="shared" ref="AF73" si="681">AF72/AE72-1</f>
        <v>1.9582236386310292E-2</v>
      </c>
      <c r="AG73" s="1253">
        <f t="shared" ref="AG73" si="682">AG72/AF72-1</f>
        <v>-5.0905352101191514E-3</v>
      </c>
      <c r="AH73" s="1253">
        <f t="shared" ref="AH73" si="683">AH72/AG72-1</f>
        <v>0.12695324046950551</v>
      </c>
      <c r="AI73" s="1253">
        <f t="shared" ref="AI73" si="684">AI72/AH72-1</f>
        <v>-4.7906736442118625E-2</v>
      </c>
      <c r="AJ73" s="1257">
        <f t="shared" ref="AJ73" si="685">AJ72/AI72-1</f>
        <v>-0.14984146307501955</v>
      </c>
      <c r="AK73" s="1253">
        <f t="shared" ref="AK73" si="686">AK72/AJ72-1</f>
        <v>-4.3259442003549919E-2</v>
      </c>
      <c r="AL73" s="1253">
        <f t="shared" ref="AL73" si="687">AL72/AK72-1</f>
        <v>4.0449288171372944E-2</v>
      </c>
      <c r="AM73" s="1254">
        <f t="shared" ref="AM73" si="688">AM72/AL72-1</f>
        <v>-3.9996051188815329E-2</v>
      </c>
      <c r="AN73" s="1257">
        <f t="shared" ref="AN73" si="689">AN72/AM72-1</f>
        <v>-2.0004578183633326E-2</v>
      </c>
      <c r="AO73" s="1253">
        <f t="shared" ref="AO73" si="690">AO72/AN72-1</f>
        <v>-8.8221159197094945E-3</v>
      </c>
      <c r="AP73" s="1253">
        <f t="shared" ref="AP73" si="691">AP72/AO72-1</f>
        <v>6.8484501830025302E-2</v>
      </c>
      <c r="AQ73" s="1254">
        <f t="shared" ref="AQ73" si="692">AQ72/AP72-1</f>
        <v>5.0426273886492234E-2</v>
      </c>
      <c r="AR73" s="1257">
        <f t="shared" ref="AR73" si="693">AR72/AQ72-1</f>
        <v>-8.1489516520239391E-2</v>
      </c>
      <c r="AS73" s="1253">
        <f t="shared" ref="AS73" si="694">AS72/AR72-1</f>
        <v>9.1538850868120525E-2</v>
      </c>
      <c r="AT73" s="1253">
        <f t="shared" ref="AT73" si="695">AT72/AS72-1</f>
        <v>-6.4946826478433528E-2</v>
      </c>
      <c r="AU73" s="1254">
        <f t="shared" ref="AU73" si="696">AU72/AT72-1</f>
        <v>-1.7082810991892794E-2</v>
      </c>
      <c r="AV73" s="1253">
        <f t="shared" ref="AV73" si="697">AV72/AU72-1</f>
        <v>-0.15396621597249216</v>
      </c>
      <c r="AW73" s="1253">
        <f t="shared" ref="AW73" si="698">AW72/AV72-1</f>
        <v>-0.16774215851213392</v>
      </c>
      <c r="AX73" s="1253">
        <f t="shared" ref="AX73" si="699">AX72/AW72-1</f>
        <v>0.42313118726202847</v>
      </c>
      <c r="AY73" s="1254">
        <f t="shared" ref="AY73" si="700">AY72/AX72-1</f>
        <v>-0.18153579804184727</v>
      </c>
      <c r="AZ73" s="1253">
        <f t="shared" ref="AZ73" si="701">AZ72/AY72-1</f>
        <v>-0.10654179500780836</v>
      </c>
      <c r="BA73" s="1331">
        <v>-7.0000000000000007E-2</v>
      </c>
      <c r="BB73" s="1331">
        <v>0.1</v>
      </c>
      <c r="BC73" s="1331">
        <v>0.1</v>
      </c>
      <c r="BD73" s="98">
        <v>0.1</v>
      </c>
      <c r="BE73" s="1319"/>
      <c r="BF73" s="1330"/>
      <c r="BG73" s="1320"/>
      <c r="BH73" s="1255"/>
      <c r="BI73" s="1255"/>
      <c r="BJ73" s="1255"/>
      <c r="BK73" s="1256"/>
      <c r="BL73" s="1331"/>
      <c r="BM73" s="1331"/>
      <c r="BN73" s="1331"/>
      <c r="BO73" s="1332"/>
      <c r="BP73" s="23"/>
      <c r="BQ73" s="1277"/>
      <c r="BR73" s="1271"/>
      <c r="BS73" s="1271"/>
      <c r="BT73" s="1271"/>
      <c r="BU73" s="1425"/>
      <c r="BV73" s="1425"/>
      <c r="BW73" s="1425"/>
      <c r="BX73" s="1425"/>
      <c r="BY73" s="1425"/>
      <c r="BZ73" s="1425"/>
      <c r="CA73" s="1425"/>
      <c r="CB73" s="1425"/>
      <c r="CC73" s="1425"/>
      <c r="CD73" s="1425"/>
      <c r="CE73" s="1425"/>
      <c r="CF73" s="1426"/>
      <c r="CG73" s="1031"/>
    </row>
    <row r="74" spans="1:89" ht="14.25" hidden="1" customHeight="1" outlineLevel="1">
      <c r="A74" s="634"/>
      <c r="B74" s="1233" t="s">
        <v>313</v>
      </c>
      <c r="C74" s="261"/>
      <c r="D74" s="1257"/>
      <c r="E74" s="1253"/>
      <c r="F74" s="1253"/>
      <c r="G74" s="1254"/>
      <c r="H74" s="1257"/>
      <c r="I74" s="1253"/>
      <c r="J74" s="1253"/>
      <c r="K74" s="1254"/>
      <c r="L74" s="1257"/>
      <c r="M74" s="1253"/>
      <c r="N74" s="1253"/>
      <c r="O74" s="1254"/>
      <c r="P74" s="1257"/>
      <c r="Q74" s="1253"/>
      <c r="R74" s="1253"/>
      <c r="S74" s="1254"/>
      <c r="T74" s="1257"/>
      <c r="U74" s="1253"/>
      <c r="V74" s="1253"/>
      <c r="W74" s="1254"/>
      <c r="X74" s="1257"/>
      <c r="Y74" s="1253"/>
      <c r="Z74" s="1253"/>
      <c r="AA74" s="1254"/>
      <c r="AB74" s="1257"/>
      <c r="AC74" s="1253"/>
      <c r="AD74" s="1253"/>
      <c r="AE74" s="1254"/>
      <c r="AF74" s="1253"/>
      <c r="AG74" s="1258">
        <f t="shared" ref="AG74" si="702">AVERAGE(AC73,Y73,U73,U73,Q73,M73,I73)</f>
        <v>-7.3617749107418487E-2</v>
      </c>
      <c r="AH74" s="1258">
        <f t="shared" ref="AH74" si="703">AVERAGE(AD73,Z73,V73,V73,R73,N73,J73)</f>
        <v>0.18050581485584993</v>
      </c>
      <c r="AI74" s="1253">
        <f t="shared" ref="AI74" si="704">AVERAGE(AE73,AA73,W73,W73,S73,O73,K73)</f>
        <v>5.3295256206537522E-2</v>
      </c>
      <c r="AJ74" s="1257">
        <f t="shared" ref="AJ74" si="705">AVERAGE(AF73,AB73,X73,X73,T73,P73,L73)</f>
        <v>-0.10591570328826017</v>
      </c>
      <c r="AK74" s="1253">
        <f t="shared" ref="AK74" si="706">AVERAGE(AG73,AC73,Y73,Y73,U73,Q73,M73)</f>
        <v>2.6887677931796108E-2</v>
      </c>
      <c r="AL74" s="1258">
        <f t="shared" ref="AL74" si="707">AVERAGE(AH73,AD73,Z73,Z73,V73,R73,N73)</f>
        <v>0.14948476254156098</v>
      </c>
      <c r="AM74" s="1254">
        <f t="shared" ref="AM74" si="708">AVERAGE(AI73,AE73,AA73,AA73,W73,S73,O73)</f>
        <v>8.5033229279051215E-3</v>
      </c>
      <c r="AN74" s="1257">
        <f t="shared" ref="AN74" si="709">AVERAGE(AJ73,AF73,AB73,AB73,X73,T73,P73)</f>
        <v>-0.13088168380836143</v>
      </c>
      <c r="AO74" s="1253">
        <f t="shared" ref="AO74" si="710">AVERAGE(AK73,AG73,AC73,AC73,Y73,U73,Q73)</f>
        <v>-6.3622915434249597E-2</v>
      </c>
      <c r="AP74" s="1258">
        <f t="shared" ref="AP74" si="711">AVERAGE(AL73,AH73,AD73,AD73,Z73,V73,R73)</f>
        <v>0.13527483627512438</v>
      </c>
      <c r="AQ74" s="1254">
        <f t="shared" ref="AQ74" si="712">AVERAGE(AM73,AI73,AE73,AE73,AA73,W73,S73)</f>
        <v>-2.0300349857309791E-2</v>
      </c>
      <c r="AR74" s="1257">
        <f t="shared" ref="AR74" si="713">AVERAGE(AN73,AJ73,AF73,AF73,AB73,X73,T73)</f>
        <v>-9.2518108628343185E-2</v>
      </c>
      <c r="AS74" s="1253">
        <f t="shared" ref="AS74" si="714">AVERAGE(AO73,AK73,AG73,AG73,AC73,Y73,U73)</f>
        <v>-2.0855226363305581E-2</v>
      </c>
      <c r="AT74" s="1258">
        <f t="shared" ref="AT74" si="715">AVERAGE(AP73,AL73,AH73,AH73,AD73,Z73,V73)</f>
        <v>0.13806384020544257</v>
      </c>
      <c r="AU74" s="1254">
        <f t="shared" ref="AU74" si="716">AVERAGE(AQ73,AM73,AI73,AI73,AE73,AA73,W73)</f>
        <v>-2.4085992686232745E-2</v>
      </c>
      <c r="AV74" s="1258">
        <f t="shared" ref="AV74" si="717">AVERAGE(AR73,AN73,AJ73,AJ73,AF73,AB73,X73)</f>
        <v>-7.9356883276924209E-2</v>
      </c>
      <c r="AW74" s="1258">
        <f t="shared" ref="AW74" si="718">AVERAGE(AS73,AO73,AK73,AK73,AG73,AC73,Y73)</f>
        <v>2.0836294154153365E-2</v>
      </c>
      <c r="AX74" s="1258">
        <f t="shared" ref="AX74" si="719">AVERAGE(AT73,AP73,AL73,AL73,AH73,AD73,Z73)</f>
        <v>6.789245824671275E-2</v>
      </c>
      <c r="AY74" s="1254">
        <f t="shared" ref="AY74" si="720">AVERAGE(AU73,AQ73,AM73,AM73,AI73,AE73,AA73)</f>
        <v>-4.4705751726240174E-2</v>
      </c>
      <c r="AZ74" s="1258">
        <f t="shared" ref="AZ74" si="721">AVERAGE(AV73,AR73,AN73,AN73,AJ73,AF73,AB73)</f>
        <v>-8.0942514627645942E-2</v>
      </c>
      <c r="BA74" s="1253">
        <f t="shared" ref="BA74" si="722">AW74</f>
        <v>2.0836294154153365E-2</v>
      </c>
      <c r="BB74" s="1253">
        <f t="shared" ref="BB74:BD74" si="723">AX74</f>
        <v>6.789245824671275E-2</v>
      </c>
      <c r="BC74" s="1389">
        <f t="shared" si="723"/>
        <v>-4.4705751726240174E-2</v>
      </c>
      <c r="BD74" s="1323">
        <f t="shared" si="723"/>
        <v>-8.0942514627645942E-2</v>
      </c>
      <c r="BE74" s="1253"/>
      <c r="BF74" s="1253"/>
      <c r="BG74" s="1254"/>
      <c r="BH74" s="1253"/>
      <c r="BI74" s="1253"/>
      <c r="BJ74" s="1253"/>
      <c r="BK74" s="1254"/>
      <c r="BL74" s="1389"/>
      <c r="BM74" s="1389"/>
      <c r="BN74" s="1389"/>
      <c r="BO74" s="1322"/>
      <c r="BP74" s="23"/>
      <c r="BQ74" s="462"/>
      <c r="BR74" s="473"/>
      <c r="BS74" s="473"/>
      <c r="BT74" s="473"/>
      <c r="BU74" s="473"/>
      <c r="BV74" s="473"/>
      <c r="BW74" s="473"/>
      <c r="BX74" s="473"/>
      <c r="BY74" s="473"/>
      <c r="BZ74" s="473"/>
      <c r="CA74" s="473"/>
      <c r="CB74" s="413"/>
      <c r="CC74" s="1425"/>
      <c r="CD74" s="413"/>
      <c r="CE74" s="413"/>
      <c r="CF74" s="412"/>
      <c r="CG74" s="1031"/>
    </row>
    <row r="75" spans="1:89" ht="14.25" hidden="1" customHeight="1" outlineLevel="1">
      <c r="A75" s="634"/>
      <c r="B75" s="1233" t="s">
        <v>153</v>
      </c>
      <c r="C75" s="39"/>
      <c r="D75" s="1257"/>
      <c r="E75" s="1253"/>
      <c r="F75" s="1253"/>
      <c r="G75" s="1254"/>
      <c r="H75" s="1257"/>
      <c r="I75" s="1253"/>
      <c r="J75" s="1253"/>
      <c r="K75" s="1254"/>
      <c r="L75" s="1257"/>
      <c r="M75" s="1253"/>
      <c r="N75" s="1253"/>
      <c r="O75" s="1254">
        <f t="shared" ref="O75" si="724">O72/K72-1</f>
        <v>-3.638280683016315E-2</v>
      </c>
      <c r="P75" s="1257">
        <f t="shared" ref="P75" si="725">P72/L72-1</f>
        <v>-2.009032057491289E-2</v>
      </c>
      <c r="Q75" s="1253">
        <f t="shared" ref="Q75" si="726">Q72/M72-1</f>
        <v>-4.4253438254034383E-2</v>
      </c>
      <c r="R75" s="1253">
        <f t="shared" ref="R75" si="727">R72/N72-1</f>
        <v>-1.0855545564402935E-2</v>
      </c>
      <c r="S75" s="1254">
        <f t="shared" ref="S75" si="728">S72/O72-1</f>
        <v>5.4600829381250771E-2</v>
      </c>
      <c r="T75" s="1257">
        <f t="shared" ref="T75" si="729">T72/P72-1</f>
        <v>-0.22320448877805477</v>
      </c>
      <c r="U75" s="1253">
        <f t="shared" ref="U75" si="730">U72/Q72-1</f>
        <v>-0.36289911350593218</v>
      </c>
      <c r="V75" s="1253">
        <f t="shared" ref="V75" si="731">V72/R72-1</f>
        <v>-0.21563453377484321</v>
      </c>
      <c r="W75" s="1254">
        <f t="shared" ref="W75" si="732">W72/S72-1</f>
        <v>-0.23913568830131049</v>
      </c>
      <c r="X75" s="1257">
        <f t="shared" ref="X75" si="733">X72/T72-1</f>
        <v>0.14307167405933008</v>
      </c>
      <c r="Y75" s="1253">
        <f t="shared" ref="Y75" si="734">Y72/U72-1</f>
        <v>1.096236351537724</v>
      </c>
      <c r="Z75" s="1253">
        <f t="shared" ref="Z75" si="735">Z72/V72-1</f>
        <v>0.84026797506159823</v>
      </c>
      <c r="AA75" s="1254">
        <f t="shared" ref="AA75" si="736">AA72/W72-1</f>
        <v>0.49603173839309944</v>
      </c>
      <c r="AB75" s="1257">
        <f t="shared" ref="AB75" si="737">AB72/X72-1</f>
        <v>0.27193307172613945</v>
      </c>
      <c r="AC75" s="1253">
        <f t="shared" ref="AC75" si="738">AC72/Y72-1</f>
        <v>-0.30944471103220861</v>
      </c>
      <c r="AD75" s="1253">
        <f t="shared" ref="AD75" si="739">AD72/Z72-1</f>
        <v>-0.36137664239036926</v>
      </c>
      <c r="AE75" s="1254">
        <f t="shared" ref="AE75" si="740">AE72/AA72-1</f>
        <v>-0.40569028698480669</v>
      </c>
      <c r="AF75" s="1258">
        <f t="shared" ref="AF75" si="741">AF72/AB72-1</f>
        <v>-0.27788287367571873</v>
      </c>
      <c r="AG75" s="1258">
        <f t="shared" ref="AG75" si="742">AG72/AC72-1</f>
        <v>-5.2446787340272971E-2</v>
      </c>
      <c r="AH75" s="1253">
        <f t="shared" ref="AH75" si="743">AH72/AD72-1</f>
        <v>-1.8254466281976578E-2</v>
      </c>
      <c r="AI75" s="1253">
        <f t="shared" ref="AI75" si="744">AI72/AE72-1</f>
        <v>8.8406713315782204E-2</v>
      </c>
      <c r="AJ75" s="1257">
        <f t="shared" ref="AJ75" si="745">AJ72/AF72-1</f>
        <v>-9.2453530524949756E-2</v>
      </c>
      <c r="AK75" s="1253">
        <f t="shared" ref="AK75" si="746">AK72/AG72-1</f>
        <v>-0.12727082579655136</v>
      </c>
      <c r="AL75" s="1253">
        <f t="shared" ref="AL75" si="747">AL72/AH72-1</f>
        <v>-0.19426075948983523</v>
      </c>
      <c r="AM75" s="1254">
        <f t="shared" ref="AM75" si="748">AM72/AI72-1</f>
        <v>-0.18756609020492432</v>
      </c>
      <c r="AN75" s="1257">
        <f t="shared" ref="AN75" si="749">AN72/AJ72-1</f>
        <v>-6.3490540238141824E-2</v>
      </c>
      <c r="AO75" s="1253">
        <f t="shared" ref="AO75" si="750">AO72/AK72-1</f>
        <v>-2.9781420898664535E-2</v>
      </c>
      <c r="AP75" s="1253">
        <f t="shared" ref="AP75" si="751">AP72/AL72-1</f>
        <v>-3.6385944582665308E-3</v>
      </c>
      <c r="AQ75" s="1254">
        <f t="shared" ref="AQ75" si="752">AQ72/AM72-1</f>
        <v>9.0208222542800698E-2</v>
      </c>
      <c r="AR75" s="1257">
        <f t="shared" ref="AR75" si="753">AR72/AN72-1</f>
        <v>2.1808530212742649E-2</v>
      </c>
      <c r="AS75" s="1253">
        <f>AS72/AO72-1</f>
        <v>0.12527097990143576</v>
      </c>
      <c r="AT75" s="1253">
        <f>AT72/AP72-1</f>
        <v>-1.5251789776598246E-2</v>
      </c>
      <c r="AU75" s="1254">
        <f t="shared" ref="AU75" si="754">AU72/AQ72-1</f>
        <v>-7.8539858782946337E-2</v>
      </c>
      <c r="AV75" s="1253">
        <f>AV72/AR72-1</f>
        <v>-0.15124930621266686</v>
      </c>
      <c r="AW75" s="1253">
        <f>AW72/AS72-1</f>
        <v>-0.35285911279201976</v>
      </c>
      <c r="AX75" s="1253">
        <f>AX72/AT72-1</f>
        <v>-1.5065233488720131E-2</v>
      </c>
      <c r="AY75" s="1254">
        <f t="shared" ref="AY75" si="755">AY72/AU72-1</f>
        <v>-0.17985578371359112</v>
      </c>
      <c r="AZ75" s="1253">
        <f>AZ72/AV72-1</f>
        <v>-0.13388260238298277</v>
      </c>
      <c r="BA75" s="1253">
        <f t="shared" ref="BA75" si="756">BA72/AW72-1</f>
        <v>-3.2163904465213E-2</v>
      </c>
      <c r="BB75" s="1253">
        <f t="shared" ref="BB75:BD75" si="757">BB72/AX72-1</f>
        <v>-0.25191738146326859</v>
      </c>
      <c r="BC75" s="1389">
        <f t="shared" si="757"/>
        <v>5.4085180777134756E-3</v>
      </c>
      <c r="BD75" s="1323">
        <f t="shared" si="757"/>
        <v>0.23783000000000021</v>
      </c>
      <c r="BE75" s="1253"/>
      <c r="BF75" s="1253"/>
      <c r="BG75" s="1254"/>
      <c r="BH75" s="1253"/>
      <c r="BI75" s="1253"/>
      <c r="BJ75" s="1253"/>
      <c r="BK75" s="1254"/>
      <c r="BL75" s="1389"/>
      <c r="BM75" s="1389"/>
      <c r="BN75" s="1389"/>
      <c r="BO75" s="1322"/>
      <c r="BP75" s="23"/>
      <c r="BQ75" s="823"/>
      <c r="BR75" s="413"/>
      <c r="BS75" s="413"/>
      <c r="BT75" s="413"/>
      <c r="BU75" s="413"/>
      <c r="BV75" s="413"/>
      <c r="BW75" s="413"/>
      <c r="BX75" s="413"/>
      <c r="BY75" s="413"/>
      <c r="BZ75" s="413"/>
      <c r="CA75" s="413"/>
      <c r="CB75" s="413"/>
      <c r="CC75" s="413"/>
      <c r="CD75" s="413"/>
      <c r="CE75" s="413"/>
      <c r="CF75" s="412"/>
      <c r="CG75" s="1031"/>
    </row>
    <row r="76" spans="1:89" ht="14.25" hidden="1" customHeight="1" outlineLevel="1">
      <c r="A76" s="634"/>
      <c r="B76" s="1233" t="s">
        <v>602</v>
      </c>
      <c r="C76" s="813"/>
      <c r="D76" s="1321"/>
      <c r="E76" s="1321"/>
      <c r="F76" s="1321"/>
      <c r="G76" s="1322"/>
      <c r="H76" s="1321"/>
      <c r="I76" s="1321"/>
      <c r="J76" s="1321"/>
      <c r="K76" s="1322"/>
      <c r="L76" s="1321"/>
      <c r="M76" s="1321"/>
      <c r="N76" s="1321"/>
      <c r="O76" s="1322"/>
      <c r="P76" s="1321"/>
      <c r="Q76" s="1321"/>
      <c r="R76" s="1321"/>
      <c r="S76" s="1322"/>
      <c r="T76" s="1321"/>
      <c r="U76" s="1321"/>
      <c r="V76" s="1321"/>
      <c r="W76" s="1322"/>
      <c r="X76" s="1321"/>
      <c r="Y76" s="1321"/>
      <c r="Z76" s="1321"/>
      <c r="AA76" s="1322"/>
      <c r="AB76" s="1321"/>
      <c r="AC76" s="1321"/>
      <c r="AD76" s="1321"/>
      <c r="AE76" s="1322"/>
      <c r="AF76" s="1324"/>
      <c r="AG76" s="1324"/>
      <c r="AH76" s="1321"/>
      <c r="AI76" s="1321"/>
      <c r="AJ76" s="1323"/>
      <c r="AK76" s="1321"/>
      <c r="AL76" s="1321"/>
      <c r="AM76" s="1322"/>
      <c r="AN76" s="1321"/>
      <c r="AO76" s="1321"/>
      <c r="AP76" s="1321"/>
      <c r="AQ76" s="1322"/>
      <c r="AR76" s="1321"/>
      <c r="AS76" s="1321"/>
      <c r="AT76" s="1321"/>
      <c r="AU76" s="1322"/>
      <c r="AV76" s="1321"/>
      <c r="AW76" s="1321"/>
      <c r="AX76" s="1321"/>
      <c r="AY76" s="1322"/>
      <c r="AZ76" s="1321"/>
      <c r="BA76" s="1321">
        <f>BA72/BA$136</f>
        <v>7.4571482025701782E-2</v>
      </c>
      <c r="BB76" s="1321">
        <f t="shared" ref="BB76:BC76" si="758">BB72/BB$136</f>
        <v>7.8883793691748472E-2</v>
      </c>
      <c r="BC76" s="1389">
        <f t="shared" si="758"/>
        <v>8.3372533188091569E-2</v>
      </c>
      <c r="BD76" s="1323">
        <f t="shared" ref="BD76" si="759">BD72/BD$136</f>
        <v>8.8040566357883404E-2</v>
      </c>
      <c r="BE76" s="1321"/>
      <c r="BF76" s="1321"/>
      <c r="BG76" s="1322"/>
      <c r="BH76" s="1321"/>
      <c r="BI76" s="1321"/>
      <c r="BJ76" s="1321"/>
      <c r="BK76" s="1321"/>
      <c r="BL76" s="1389"/>
      <c r="BM76" s="1389"/>
      <c r="BN76" s="1389"/>
      <c r="BO76" s="1389"/>
      <c r="BP76" s="23"/>
      <c r="BQ76" s="823"/>
      <c r="BR76" s="413"/>
      <c r="BS76" s="413"/>
      <c r="BT76" s="413"/>
      <c r="BU76" s="413"/>
      <c r="BV76" s="413"/>
      <c r="BW76" s="413"/>
      <c r="BX76" s="413"/>
      <c r="BY76" s="413"/>
      <c r="BZ76" s="413"/>
      <c r="CA76" s="413"/>
      <c r="CB76" s="413"/>
      <c r="CC76" s="413"/>
      <c r="CD76" s="413"/>
      <c r="CE76" s="413"/>
      <c r="CF76" s="412"/>
      <c r="CG76" s="1031"/>
    </row>
    <row r="77" spans="1:89" ht="14.25" hidden="1" customHeight="1" outlineLevel="1">
      <c r="A77" s="634"/>
      <c r="B77" s="1333" t="s">
        <v>593</v>
      </c>
      <c r="C77" s="813"/>
      <c r="D77" s="1321"/>
      <c r="E77" s="1321"/>
      <c r="F77" s="1321"/>
      <c r="G77" s="1322"/>
      <c r="H77" s="1321"/>
      <c r="I77" s="1321"/>
      <c r="J77" s="1321"/>
      <c r="K77" s="1322"/>
      <c r="L77" s="1321"/>
      <c r="M77" s="1321"/>
      <c r="N77" s="1321"/>
      <c r="O77" s="1322"/>
      <c r="P77" s="1321"/>
      <c r="Q77" s="1321"/>
      <c r="R77" s="1321"/>
      <c r="S77" s="1322"/>
      <c r="T77" s="1321"/>
      <c r="U77" s="1321"/>
      <c r="V77" s="1321"/>
      <c r="W77" s="1322"/>
      <c r="X77" s="1321"/>
      <c r="Y77" s="1321"/>
      <c r="Z77" s="1321"/>
      <c r="AA77" s="1322"/>
      <c r="AB77" s="1321"/>
      <c r="AC77" s="1321"/>
      <c r="AD77" s="1321"/>
      <c r="AE77" s="1322"/>
      <c r="AF77" s="1324"/>
      <c r="AG77" s="1324"/>
      <c r="AH77" s="1321"/>
      <c r="AI77" s="1321"/>
      <c r="AJ77" s="1323"/>
      <c r="AK77" s="1321"/>
      <c r="AL77" s="1321"/>
      <c r="AM77" s="1322"/>
      <c r="AN77" s="1321"/>
      <c r="AO77" s="1321"/>
      <c r="AP77" s="1321"/>
      <c r="AQ77" s="1322"/>
      <c r="AR77" s="1321"/>
      <c r="AS77" s="1321"/>
      <c r="AT77" s="1321"/>
      <c r="AU77" s="1322"/>
      <c r="AV77" s="1321"/>
      <c r="AW77" s="1321"/>
      <c r="AX77" s="1321"/>
      <c r="AY77" s="1322"/>
      <c r="AZ77" s="1317"/>
      <c r="BA77" s="1317">
        <f>5/9*BA72</f>
        <v>15.533769333333332</v>
      </c>
      <c r="BB77" s="1317">
        <f>BB72</f>
        <v>30.756863279999997</v>
      </c>
      <c r="BC77" s="1317">
        <f>BC72</f>
        <v>33.832549608000001</v>
      </c>
      <c r="BD77" s="1479">
        <f>BD72</f>
        <v>37.215804568800003</v>
      </c>
      <c r="BE77" s="1317"/>
      <c r="BF77" s="1317"/>
      <c r="BG77" s="1316"/>
      <c r="BH77" s="1317"/>
      <c r="BI77" s="1317"/>
      <c r="BJ77" s="1317"/>
      <c r="BK77" s="1317"/>
      <c r="BL77" s="1317"/>
      <c r="BM77" s="1317"/>
      <c r="BN77" s="1317"/>
      <c r="BO77" s="1317"/>
      <c r="BP77" s="1471"/>
      <c r="BQ77" s="1325"/>
      <c r="BR77" s="1321"/>
      <c r="BS77" s="1321"/>
      <c r="BT77" s="1321"/>
      <c r="BU77" s="1389"/>
      <c r="BV77" s="1389"/>
      <c r="BW77" s="1389"/>
      <c r="BX77" s="1389"/>
      <c r="BY77" s="1389"/>
      <c r="BZ77" s="1389"/>
      <c r="CA77" s="1389"/>
      <c r="CB77" s="1425"/>
      <c r="CC77" s="404">
        <f>CC54-CC61</f>
        <v>110.18854222133325</v>
      </c>
      <c r="CD77" s="404"/>
      <c r="CE77" s="404"/>
      <c r="CF77" s="405"/>
      <c r="CG77" s="1031"/>
    </row>
    <row r="78" spans="1:89" ht="14.25" hidden="1" customHeight="1" outlineLevel="1">
      <c r="A78" s="634"/>
      <c r="B78" s="1333" t="s">
        <v>153</v>
      </c>
      <c r="C78" s="813"/>
      <c r="D78" s="1321"/>
      <c r="E78" s="1321"/>
      <c r="F78" s="1321"/>
      <c r="G78" s="1322"/>
      <c r="H78" s="1321"/>
      <c r="I78" s="1321"/>
      <c r="J78" s="1321"/>
      <c r="K78" s="1322"/>
      <c r="L78" s="1321"/>
      <c r="M78" s="1321"/>
      <c r="N78" s="1321"/>
      <c r="O78" s="1322"/>
      <c r="P78" s="1321"/>
      <c r="Q78" s="1321"/>
      <c r="R78" s="1321"/>
      <c r="S78" s="1322"/>
      <c r="T78" s="1321"/>
      <c r="U78" s="1321"/>
      <c r="V78" s="1321"/>
      <c r="W78" s="1322"/>
      <c r="X78" s="1321"/>
      <c r="Y78" s="1321"/>
      <c r="Z78" s="1321"/>
      <c r="AA78" s="1322"/>
      <c r="AB78" s="1321"/>
      <c r="AC78" s="1321"/>
      <c r="AD78" s="1321"/>
      <c r="AE78" s="1322"/>
      <c r="AF78" s="1324"/>
      <c r="AG78" s="1324"/>
      <c r="AH78" s="1321"/>
      <c r="AI78" s="1321"/>
      <c r="AJ78" s="1323"/>
      <c r="AK78" s="1321"/>
      <c r="AL78" s="1321"/>
      <c r="AM78" s="1322"/>
      <c r="AN78" s="1321"/>
      <c r="AO78" s="1321"/>
      <c r="AP78" s="1321"/>
      <c r="AQ78" s="1322"/>
      <c r="AR78" s="1321"/>
      <c r="AS78" s="1321"/>
      <c r="AT78" s="1321"/>
      <c r="AU78" s="1322"/>
      <c r="AV78" s="1321"/>
      <c r="AW78" s="1321"/>
      <c r="AX78" s="1321"/>
      <c r="AY78" s="1322"/>
      <c r="AZ78" s="1317"/>
      <c r="BA78" s="1321"/>
      <c r="BB78" s="1321"/>
      <c r="BC78" s="1389"/>
      <c r="BD78" s="1323"/>
      <c r="BE78" s="1321"/>
      <c r="BF78" s="1321"/>
      <c r="BG78" s="1322"/>
      <c r="BH78" s="1321"/>
      <c r="BI78" s="1321"/>
      <c r="BJ78" s="1321"/>
      <c r="BK78" s="1322"/>
      <c r="BL78" s="1389"/>
      <c r="BM78" s="1389"/>
      <c r="BN78" s="1389"/>
      <c r="BO78" s="1322"/>
      <c r="BP78" s="1471"/>
      <c r="BQ78" s="1325"/>
      <c r="BR78" s="1321"/>
      <c r="BS78" s="1321"/>
      <c r="BT78" s="1321"/>
      <c r="BU78" s="1389"/>
      <c r="BV78" s="1389"/>
      <c r="BW78" s="1389"/>
      <c r="BX78" s="1389"/>
      <c r="BY78" s="1389"/>
      <c r="BZ78" s="1389"/>
      <c r="CA78" s="1389"/>
      <c r="CB78" s="1425"/>
      <c r="CC78" s="1315"/>
      <c r="CD78" s="413"/>
      <c r="CE78" s="413"/>
      <c r="CF78" s="412"/>
      <c r="CG78" s="1031"/>
    </row>
    <row r="79" spans="1:89" ht="14.25" customHeight="1" collapsed="1">
      <c r="A79" s="634"/>
      <c r="B79" s="1234"/>
      <c r="C79" s="284"/>
      <c r="D79" s="1276"/>
      <c r="E79" s="1272"/>
      <c r="F79" s="1272"/>
      <c r="G79" s="1273"/>
      <c r="H79" s="1276"/>
      <c r="I79" s="1272"/>
      <c r="J79" s="1272"/>
      <c r="K79" s="1273"/>
      <c r="L79" s="1276"/>
      <c r="M79" s="1272"/>
      <c r="N79" s="1272"/>
      <c r="O79" s="1273"/>
      <c r="P79" s="1276"/>
      <c r="Q79" s="1272"/>
      <c r="R79" s="1272"/>
      <c r="S79" s="1273"/>
      <c r="T79" s="1276"/>
      <c r="U79" s="1272"/>
      <c r="V79" s="1272"/>
      <c r="W79" s="1273"/>
      <c r="X79" s="1276"/>
      <c r="Y79" s="1272"/>
      <c r="Z79" s="1272"/>
      <c r="AA79" s="1273"/>
      <c r="AB79" s="1276"/>
      <c r="AC79" s="1272"/>
      <c r="AD79" s="1272"/>
      <c r="AE79" s="1273"/>
      <c r="AF79" s="244"/>
      <c r="AG79" s="342"/>
      <c r="AH79" s="1272"/>
      <c r="AI79" s="1274"/>
      <c r="AJ79" s="67"/>
      <c r="AK79" s="74"/>
      <c r="AL79" s="1272"/>
      <c r="AM79" s="1275"/>
      <c r="AN79" s="67"/>
      <c r="AO79" s="74"/>
      <c r="AP79" s="1272"/>
      <c r="AQ79" s="1275"/>
      <c r="AR79" s="67"/>
      <c r="AS79" s="74"/>
      <c r="AT79" s="1272"/>
      <c r="AU79" s="1275"/>
      <c r="AV79" s="1272"/>
      <c r="AW79" s="74"/>
      <c r="AX79" s="74"/>
      <c r="AY79" s="68"/>
      <c r="AZ79" s="74"/>
      <c r="BA79" s="74"/>
      <c r="BB79" s="74"/>
      <c r="BC79" s="74"/>
      <c r="BD79" s="26"/>
      <c r="BE79" s="74"/>
      <c r="BF79" s="74"/>
      <c r="BG79" s="68"/>
      <c r="BH79" s="74"/>
      <c r="BI79" s="74"/>
      <c r="BJ79" s="74"/>
      <c r="BK79" s="68"/>
      <c r="BL79" s="74"/>
      <c r="BM79" s="74"/>
      <c r="BN79" s="74"/>
      <c r="BO79" s="68"/>
      <c r="BP79" s="23"/>
      <c r="BQ79" s="18"/>
      <c r="BR79" s="244"/>
      <c r="BS79" s="244"/>
      <c r="BT79" s="244"/>
      <c r="BU79" s="244"/>
      <c r="BV79" s="244"/>
      <c r="BW79" s="244"/>
      <c r="BX79" s="244"/>
      <c r="BY79" s="244"/>
      <c r="BZ79" s="244"/>
      <c r="CA79" s="244"/>
      <c r="CB79" s="244"/>
      <c r="CC79" s="244"/>
      <c r="CD79" s="244"/>
      <c r="CE79" s="244"/>
      <c r="CF79" s="19"/>
      <c r="CG79" s="1031"/>
    </row>
    <row r="80" spans="1:89" ht="14.25" customHeight="1">
      <c r="A80" s="634"/>
      <c r="B80" s="282" t="s">
        <v>261</v>
      </c>
      <c r="C80" s="341"/>
      <c r="D80" s="416"/>
      <c r="E80" s="416"/>
      <c r="F80" s="416"/>
      <c r="G80" s="415"/>
      <c r="H80" s="416">
        <f t="shared" ref="H80:BD80" si="760">H$243</f>
        <v>192.13499999999999</v>
      </c>
      <c r="I80" s="416">
        <f t="shared" si="760"/>
        <v>190.78200000000001</v>
      </c>
      <c r="J80" s="416">
        <f t="shared" si="760"/>
        <v>198.41399999999999</v>
      </c>
      <c r="K80" s="417">
        <f t="shared" si="760"/>
        <v>166.845</v>
      </c>
      <c r="L80" s="416">
        <f t="shared" si="760"/>
        <v>123.105</v>
      </c>
      <c r="M80" s="416">
        <f t="shared" si="760"/>
        <v>134.50399999999999</v>
      </c>
      <c r="N80" s="416">
        <f t="shared" si="760"/>
        <v>148.011</v>
      </c>
      <c r="O80" s="417">
        <f t="shared" si="760"/>
        <v>37.024999999999999</v>
      </c>
      <c r="P80" s="416">
        <f t="shared" si="760"/>
        <v>131.012</v>
      </c>
      <c r="Q80" s="416">
        <f t="shared" si="760"/>
        <v>146.953</v>
      </c>
      <c r="R80" s="416">
        <f t="shared" si="760"/>
        <v>147.89400000000001</v>
      </c>
      <c r="S80" s="417">
        <f t="shared" si="760"/>
        <v>133.14699999999993</v>
      </c>
      <c r="T80" s="416">
        <f t="shared" si="760"/>
        <v>125.708</v>
      </c>
      <c r="U80" s="416">
        <f t="shared" si="760"/>
        <v>134.625</v>
      </c>
      <c r="V80" s="416">
        <f t="shared" si="760"/>
        <v>123.55</v>
      </c>
      <c r="W80" s="417">
        <f t="shared" si="760"/>
        <v>109.52600000000001</v>
      </c>
      <c r="X80" s="416">
        <f t="shared" si="760"/>
        <v>120.9</v>
      </c>
      <c r="Y80" s="416">
        <f t="shared" si="760"/>
        <v>120.3</v>
      </c>
      <c r="Z80" s="416">
        <f t="shared" si="760"/>
        <v>138</v>
      </c>
      <c r="AA80" s="417">
        <f t="shared" si="760"/>
        <v>161.69999999999999</v>
      </c>
      <c r="AB80" s="416">
        <f t="shared" si="760"/>
        <v>148.9</v>
      </c>
      <c r="AC80" s="416">
        <f t="shared" si="760"/>
        <v>162.4</v>
      </c>
      <c r="AD80" s="416">
        <f t="shared" si="760"/>
        <v>154.6</v>
      </c>
      <c r="AE80" s="417">
        <f t="shared" si="760"/>
        <v>140.9</v>
      </c>
      <c r="AF80" s="416">
        <f t="shared" si="760"/>
        <v>122.6</v>
      </c>
      <c r="AG80" s="416">
        <f t="shared" si="760"/>
        <v>125.7</v>
      </c>
      <c r="AH80" s="416">
        <f t="shared" si="760"/>
        <v>137.17099999999999</v>
      </c>
      <c r="AI80" s="475">
        <f t="shared" si="760"/>
        <v>142.42400000000001</v>
      </c>
      <c r="AJ80" s="816">
        <f t="shared" si="760"/>
        <v>124.97</v>
      </c>
      <c r="AK80" s="475">
        <f t="shared" si="760"/>
        <v>123.901</v>
      </c>
      <c r="AL80" s="416">
        <f t="shared" si="760"/>
        <v>139.42699999999999</v>
      </c>
      <c r="AM80" s="474">
        <f t="shared" si="760"/>
        <v>139.65199999999999</v>
      </c>
      <c r="AN80" s="1062">
        <f t="shared" si="760"/>
        <v>139.59700000000001</v>
      </c>
      <c r="AO80" s="495">
        <f t="shared" si="760"/>
        <v>154.81299999999999</v>
      </c>
      <c r="AP80" s="562">
        <f t="shared" si="760"/>
        <v>166.25200000000001</v>
      </c>
      <c r="AQ80" s="474">
        <f t="shared" si="760"/>
        <v>218.184</v>
      </c>
      <c r="AR80" s="1062">
        <f t="shared" si="760"/>
        <v>203.71</v>
      </c>
      <c r="AS80" s="495">
        <f t="shared" si="760"/>
        <v>181.56800000000001</v>
      </c>
      <c r="AT80" s="562">
        <f t="shared" si="760"/>
        <v>142.291</v>
      </c>
      <c r="AU80" s="474">
        <f t="shared" si="760"/>
        <v>159.77099999999999</v>
      </c>
      <c r="AV80" s="562">
        <f t="shared" si="760"/>
        <v>167.96199999999999</v>
      </c>
      <c r="AW80" s="562">
        <f t="shared" si="760"/>
        <v>175.41</v>
      </c>
      <c r="AX80" s="562">
        <f t="shared" si="760"/>
        <v>174.13800000000001</v>
      </c>
      <c r="AY80" s="474">
        <f t="shared" si="760"/>
        <v>171.697</v>
      </c>
      <c r="AZ80" s="562">
        <f t="shared" si="760"/>
        <v>173.97499999999999</v>
      </c>
      <c r="BA80" s="416">
        <f t="shared" si="760"/>
        <v>181.744</v>
      </c>
      <c r="BB80" s="416">
        <f t="shared" si="760"/>
        <v>253.72900000000001</v>
      </c>
      <c r="BC80" s="416">
        <f t="shared" si="760"/>
        <v>272.34800000000001</v>
      </c>
      <c r="BD80" s="1033">
        <f t="shared" si="760"/>
        <v>284.32499999999999</v>
      </c>
      <c r="BE80" s="416">
        <f t="shared" ref="BE80" si="761">BD80*(1+BE81)</f>
        <v>270.10874999999999</v>
      </c>
      <c r="BF80" s="416">
        <f t="shared" ref="BF80" si="762">BE80*(1+BF81)</f>
        <v>283.61418750000001</v>
      </c>
      <c r="BG80" s="417">
        <f t="shared" ref="BG80" si="763">BF80*(1+BG81)</f>
        <v>294.958755</v>
      </c>
      <c r="BH80" s="416">
        <f t="shared" ref="BH80" si="764">BG80*(1+BH81)</f>
        <v>289.05957990000002</v>
      </c>
      <c r="BI80" s="416">
        <f t="shared" ref="BI80" si="765">BH80*(1+BI81)</f>
        <v>286.16898410100004</v>
      </c>
      <c r="BJ80" s="416">
        <f t="shared" ref="BJ80" si="766">BI80*(1+BJ81)</f>
        <v>303.33912314706004</v>
      </c>
      <c r="BK80" s="417">
        <f t="shared" ref="BK80" si="767">BJ80*(1+BK81)</f>
        <v>312.43929684147184</v>
      </c>
      <c r="BL80" s="416">
        <f t="shared" ref="BL80" si="768">BK80*(1+BL81)</f>
        <v>306.19051090464239</v>
      </c>
      <c r="BM80" s="416">
        <f t="shared" ref="BM80" si="769">BL80*(1+BM81)</f>
        <v>303.12860579559594</v>
      </c>
      <c r="BN80" s="416">
        <f t="shared" ref="BN80" si="770">BM80*(1+BN81)</f>
        <v>318.28503608537574</v>
      </c>
      <c r="BO80" s="417">
        <f t="shared" ref="BO80" si="771">BN80*(1+BO81)</f>
        <v>327.83358716793703</v>
      </c>
      <c r="BP80" s="1470"/>
      <c r="BQ80" s="410">
        <f>SUM(D80:G80)</f>
        <v>0</v>
      </c>
      <c r="BR80" s="404">
        <f>SUM(H80:K80)</f>
        <v>748.17600000000004</v>
      </c>
      <c r="BS80" s="404">
        <f>SUM(L80:O80)</f>
        <v>442.64499999999998</v>
      </c>
      <c r="BT80" s="404">
        <f>SUM(P80:S80)</f>
        <v>559.00599999999997</v>
      </c>
      <c r="BU80" s="404">
        <f>SUM(T80:W80)</f>
        <v>493.40899999999999</v>
      </c>
      <c r="BV80" s="404">
        <f>SUM(X80:AA80)</f>
        <v>540.9</v>
      </c>
      <c r="BW80" s="404">
        <f>SUM(AB80:AE80)</f>
        <v>606.79999999999995</v>
      </c>
      <c r="BX80" s="404">
        <f>SUM(AF80:AI80)</f>
        <v>527.89499999999998</v>
      </c>
      <c r="BY80" s="404">
        <f>SUM(AJ80:AM80)</f>
        <v>527.95000000000005</v>
      </c>
      <c r="BZ80" s="404">
        <f>SUM(AN80:AQ80)</f>
        <v>678.846</v>
      </c>
      <c r="CA80" s="404">
        <f>SUM(AR80:AU80)</f>
        <v>687.33999999999992</v>
      </c>
      <c r="CB80" s="404">
        <f>SUM(AV80:AY80)</f>
        <v>689.20699999999999</v>
      </c>
      <c r="CC80" s="404">
        <f>SUM(AZ80:BC80)</f>
        <v>881.79600000000005</v>
      </c>
      <c r="CD80" s="404">
        <f>SUM(BD80:BG80)</f>
        <v>1133.0066925000001</v>
      </c>
      <c r="CE80" s="404">
        <f>SUM(BH80:BK80)</f>
        <v>1191.0069839895318</v>
      </c>
      <c r="CF80" s="405">
        <f>SUM(BL80:BO80)</f>
        <v>1255.437739953551</v>
      </c>
      <c r="CG80" s="25"/>
      <c r="CH80" s="8"/>
      <c r="CI80" s="8"/>
      <c r="CJ80" s="8"/>
      <c r="CK80" s="8"/>
    </row>
    <row r="81" spans="1:89" ht="14.25" customHeight="1">
      <c r="A81" s="634"/>
      <c r="B81" s="260" t="s">
        <v>152</v>
      </c>
      <c r="C81" s="261"/>
      <c r="D81" s="94"/>
      <c r="E81" s="94"/>
      <c r="F81" s="94"/>
      <c r="G81" s="95"/>
      <c r="H81" s="94"/>
      <c r="I81" s="94">
        <f t="shared" ref="I81:AL81" si="772">I80/H80-1</f>
        <v>-7.0419236474352775E-3</v>
      </c>
      <c r="J81" s="94">
        <f t="shared" si="772"/>
        <v>4.0003773940937792E-2</v>
      </c>
      <c r="K81" s="95">
        <f t="shared" si="772"/>
        <v>-0.15910671625994133</v>
      </c>
      <c r="L81" s="94">
        <f t="shared" si="772"/>
        <v>-0.26215948934639932</v>
      </c>
      <c r="M81" s="94">
        <f t="shared" si="772"/>
        <v>9.2595751594167552E-2</v>
      </c>
      <c r="N81" s="94">
        <f t="shared" si="772"/>
        <v>0.10042080532920949</v>
      </c>
      <c r="O81" s="95">
        <f t="shared" si="772"/>
        <v>-0.74984967333508989</v>
      </c>
      <c r="P81" s="94">
        <f t="shared" si="772"/>
        <v>2.538474004051317</v>
      </c>
      <c r="Q81" s="94">
        <f t="shared" si="772"/>
        <v>0.12167587701889904</v>
      </c>
      <c r="R81" s="94">
        <f t="shared" si="772"/>
        <v>6.4034078923194127E-3</v>
      </c>
      <c r="S81" s="95">
        <f t="shared" si="772"/>
        <v>-9.9713308180183535E-2</v>
      </c>
      <c r="T81" s="94">
        <f t="shared" si="772"/>
        <v>-5.5870579134339793E-2</v>
      </c>
      <c r="U81" s="94">
        <f t="shared" si="772"/>
        <v>7.0934228529608401E-2</v>
      </c>
      <c r="V81" s="94">
        <f t="shared" si="772"/>
        <v>-8.2265552460538571E-2</v>
      </c>
      <c r="W81" s="95">
        <f t="shared" si="772"/>
        <v>-0.11350870093079712</v>
      </c>
      <c r="X81" s="94">
        <f t="shared" si="772"/>
        <v>0.10384748826762591</v>
      </c>
      <c r="Y81" s="94">
        <f t="shared" si="772"/>
        <v>-4.9627791563275903E-3</v>
      </c>
      <c r="Z81" s="94">
        <f t="shared" si="772"/>
        <v>0.1471321695760599</v>
      </c>
      <c r="AA81" s="95">
        <f t="shared" si="772"/>
        <v>0.17173913043478262</v>
      </c>
      <c r="AB81" s="94">
        <f t="shared" si="772"/>
        <v>-7.9158936301793381E-2</v>
      </c>
      <c r="AC81" s="94">
        <f t="shared" si="772"/>
        <v>9.0664875755540608E-2</v>
      </c>
      <c r="AD81" s="94">
        <f t="shared" si="772"/>
        <v>-4.802955665024633E-2</v>
      </c>
      <c r="AE81" s="95">
        <f t="shared" si="772"/>
        <v>-8.8615782664941745E-2</v>
      </c>
      <c r="AF81" s="94">
        <f t="shared" si="772"/>
        <v>-0.12987934705464876</v>
      </c>
      <c r="AG81" s="94">
        <f t="shared" si="772"/>
        <v>2.5285481239804231E-2</v>
      </c>
      <c r="AH81" s="94">
        <f t="shared" si="772"/>
        <v>9.1256961018297389E-2</v>
      </c>
      <c r="AI81" s="94">
        <f t="shared" si="772"/>
        <v>3.8295266492188729E-2</v>
      </c>
      <c r="AJ81" s="153">
        <f t="shared" si="772"/>
        <v>-0.12254957029714098</v>
      </c>
      <c r="AK81" s="94">
        <f t="shared" si="772"/>
        <v>-8.5540529727134995E-3</v>
      </c>
      <c r="AL81" s="94">
        <f t="shared" si="772"/>
        <v>0.12530972308536659</v>
      </c>
      <c r="AM81" s="95">
        <f t="shared" ref="AM81:BD81" si="773">AM80/AL80-1</f>
        <v>1.6137476959268149E-3</v>
      </c>
      <c r="AN81" s="153">
        <f t="shared" si="773"/>
        <v>-3.9383610689414095E-4</v>
      </c>
      <c r="AO81" s="94">
        <f t="shared" si="773"/>
        <v>0.108999477066126</v>
      </c>
      <c r="AP81" s="94">
        <f t="shared" si="773"/>
        <v>7.3889143676564739E-2</v>
      </c>
      <c r="AQ81" s="95">
        <f t="shared" si="773"/>
        <v>0.31236917450617119</v>
      </c>
      <c r="AR81" s="153">
        <f t="shared" si="773"/>
        <v>-6.633850328163382E-2</v>
      </c>
      <c r="AS81" s="94">
        <f t="shared" si="773"/>
        <v>-0.1086937312846693</v>
      </c>
      <c r="AT81" s="94">
        <f t="shared" si="773"/>
        <v>-0.21632115791328876</v>
      </c>
      <c r="AU81" s="95">
        <f t="shared" si="773"/>
        <v>0.12284684203498464</v>
      </c>
      <c r="AV81" s="94">
        <f t="shared" si="773"/>
        <v>5.1267126074193703E-2</v>
      </c>
      <c r="AW81" s="94">
        <f t="shared" si="773"/>
        <v>4.434336337981204E-2</v>
      </c>
      <c r="AX81" s="94">
        <f t="shared" si="773"/>
        <v>-7.2515820078672411E-3</v>
      </c>
      <c r="AY81" s="95">
        <f t="shared" si="773"/>
        <v>-1.401761821084424E-2</v>
      </c>
      <c r="AZ81" s="1211">
        <f t="shared" si="773"/>
        <v>1.3267558547906955E-2</v>
      </c>
      <c r="BA81" s="1321">
        <f t="shared" si="773"/>
        <v>4.465584135651679E-2</v>
      </c>
      <c r="BB81" s="1321">
        <f t="shared" si="773"/>
        <v>0.39607910027291138</v>
      </c>
      <c r="BC81" s="1389">
        <f t="shared" si="773"/>
        <v>7.3381442405085817E-2</v>
      </c>
      <c r="BD81" s="1323">
        <f t="shared" si="773"/>
        <v>4.397682376958878E-2</v>
      </c>
      <c r="BE81" s="1380">
        <v>-0.05</v>
      </c>
      <c r="BF81" s="1380">
        <v>0.05</v>
      </c>
      <c r="BG81" s="1381">
        <v>0.04</v>
      </c>
      <c r="BH81" s="1380">
        <v>-0.02</v>
      </c>
      <c r="BI81" s="1380">
        <v>-0.01</v>
      </c>
      <c r="BJ81" s="1380">
        <v>0.06</v>
      </c>
      <c r="BK81" s="1381">
        <v>3.0000000000000027E-2</v>
      </c>
      <c r="BL81" s="1380">
        <v>-0.02</v>
      </c>
      <c r="BM81" s="1380">
        <v>-0.01</v>
      </c>
      <c r="BN81" s="1380">
        <v>5.0000000000000044E-2</v>
      </c>
      <c r="BO81" s="1381">
        <v>3.0000000000000027E-2</v>
      </c>
      <c r="BP81" s="23"/>
      <c r="BQ81" s="262"/>
      <c r="BR81" s="263"/>
      <c r="BS81" s="263"/>
      <c r="BT81" s="263"/>
      <c r="BU81" s="1425"/>
      <c r="BV81" s="1425"/>
      <c r="BW81" s="1425"/>
      <c r="BX81" s="1425"/>
      <c r="BY81" s="1425"/>
      <c r="BZ81" s="1425"/>
      <c r="CA81" s="1425"/>
      <c r="CB81" s="263"/>
      <c r="CC81" s="1271"/>
      <c r="CD81" s="1271"/>
      <c r="CE81" s="1425"/>
      <c r="CF81" s="1426"/>
      <c r="CG81" s="25"/>
      <c r="CH81" s="8"/>
      <c r="CI81" s="8"/>
      <c r="CJ81" s="8"/>
      <c r="CK81" s="8"/>
    </row>
    <row r="82" spans="1:89" ht="14.25" customHeight="1">
      <c r="A82" s="634"/>
      <c r="B82" s="38" t="s">
        <v>313</v>
      </c>
      <c r="C82" s="261"/>
      <c r="D82" s="94"/>
      <c r="E82" s="94"/>
      <c r="F82" s="94"/>
      <c r="G82" s="95"/>
      <c r="H82" s="94"/>
      <c r="I82" s="94"/>
      <c r="J82" s="94"/>
      <c r="K82" s="95"/>
      <c r="L82" s="94"/>
      <c r="M82" s="94"/>
      <c r="N82" s="94"/>
      <c r="O82" s="95"/>
      <c r="P82" s="94"/>
      <c r="Q82" s="94"/>
      <c r="R82" s="94"/>
      <c r="S82" s="95"/>
      <c r="T82" s="94"/>
      <c r="U82" s="94"/>
      <c r="V82" s="94"/>
      <c r="W82" s="95"/>
      <c r="X82" s="94"/>
      <c r="Y82" s="94"/>
      <c r="Z82" s="94"/>
      <c r="AA82" s="95"/>
      <c r="AB82" s="94"/>
      <c r="AC82" s="94"/>
      <c r="AD82" s="94"/>
      <c r="AE82" s="95"/>
      <c r="AF82" s="94"/>
      <c r="AG82" s="263">
        <f t="shared" ref="AG82:BD82" si="774">AVERAGE(AC81,Y81,U81,U81,Q81,M81,I81)</f>
        <v>6.211432266058016E-2</v>
      </c>
      <c r="AH82" s="263">
        <f t="shared" si="774"/>
        <v>1.1628499309600446E-2</v>
      </c>
      <c r="AI82" s="94">
        <f t="shared" si="774"/>
        <v>-0.16465196455242401</v>
      </c>
      <c r="AJ82" s="153">
        <f t="shared" si="774"/>
        <v>0.31701437553562678</v>
      </c>
      <c r="AK82" s="94">
        <f t="shared" si="774"/>
        <v>5.5890093689337804E-2</v>
      </c>
      <c r="AL82" s="263">
        <f t="shared" si="774"/>
        <v>5.1721486325880174E-2</v>
      </c>
      <c r="AM82" s="95">
        <f t="shared" si="774"/>
        <v>-9.5701991107036907E-2</v>
      </c>
      <c r="AN82" s="153">
        <f t="shared" si="774"/>
        <v>0.31081487474703234</v>
      </c>
      <c r="AO82" s="94">
        <f t="shared" si="774"/>
        <v>5.5101215167193116E-2</v>
      </c>
      <c r="AP82" s="263">
        <f t="shared" si="774"/>
        <v>2.7396799401573153E-2</v>
      </c>
      <c r="AQ82" s="95">
        <f t="shared" si="774"/>
        <v>-2.5543632831137999E-2</v>
      </c>
      <c r="AR82" s="153">
        <f t="shared" si="774"/>
        <v>-5.9126303954548556E-2</v>
      </c>
      <c r="AS82" s="94">
        <f t="shared" si="774"/>
        <v>4.3950387385977487E-2</v>
      </c>
      <c r="AT82" s="263">
        <f t="shared" si="774"/>
        <v>5.6935692751971585E-2</v>
      </c>
      <c r="AU82" s="95">
        <f t="shared" si="774"/>
        <v>5.1455443146502744E-2</v>
      </c>
      <c r="AV82" s="263">
        <f t="shared" si="774"/>
        <v>-5.9574610724518022E-2</v>
      </c>
      <c r="AW82" s="263">
        <f t="shared" si="774"/>
        <v>1.3455031096435279E-2</v>
      </c>
      <c r="AX82" s="263">
        <f t="shared" si="774"/>
        <v>4.264957226830287E-2</v>
      </c>
      <c r="AY82" s="95">
        <f t="shared" si="774"/>
        <v>7.9980303742148443E-2</v>
      </c>
      <c r="AZ82" s="263">
        <f t="shared" si="774"/>
        <v>-4.9635271867830219E-2</v>
      </c>
      <c r="BA82" s="1321">
        <f t="shared" si="774"/>
        <v>3.7292127178575156E-2</v>
      </c>
      <c r="BB82" s="1321">
        <f t="shared" si="774"/>
        <v>1.3248953555055874E-2</v>
      </c>
      <c r="BC82" s="1389">
        <f t="shared" si="774"/>
        <v>9.7837257765665223E-2</v>
      </c>
      <c r="BD82" s="1323">
        <f t="shared" si="774"/>
        <v>-4.5852153628550121E-2</v>
      </c>
      <c r="BE82" s="1269">
        <f t="shared" ref="BE82" si="775">BA82</f>
        <v>3.7292127178575156E-2</v>
      </c>
      <c r="BF82" s="1269">
        <f t="shared" ref="BF82" si="776">BB82</f>
        <v>1.3248953555055874E-2</v>
      </c>
      <c r="BG82" s="1270">
        <f t="shared" ref="BG82" si="777">BC82</f>
        <v>9.7837257765665223E-2</v>
      </c>
      <c r="BH82" s="1269">
        <f t="shared" ref="BH82" si="778">BD82</f>
        <v>-4.5852153628550121E-2</v>
      </c>
      <c r="BI82" s="1269">
        <f t="shared" ref="BI82" si="779">BE82</f>
        <v>3.7292127178575156E-2</v>
      </c>
      <c r="BJ82" s="1269">
        <f t="shared" ref="BJ82" si="780">BF82</f>
        <v>1.3248953555055874E-2</v>
      </c>
      <c r="BK82" s="1270">
        <f t="shared" ref="BK82" si="781">BG82</f>
        <v>9.7837257765665223E-2</v>
      </c>
      <c r="BL82" s="1389">
        <f t="shared" ref="BL82" si="782">BH82</f>
        <v>-4.5852153628550121E-2</v>
      </c>
      <c r="BM82" s="1389">
        <f t="shared" ref="BM82" si="783">BI82</f>
        <v>3.7292127178575156E-2</v>
      </c>
      <c r="BN82" s="1389">
        <f t="shared" ref="BN82" si="784">BJ82</f>
        <v>1.3248953555055874E-2</v>
      </c>
      <c r="BO82" s="1322">
        <f t="shared" ref="BO82" si="785">BK82</f>
        <v>9.7837257765665223E-2</v>
      </c>
      <c r="BP82" s="23"/>
      <c r="BQ82" s="262"/>
      <c r="BR82" s="263"/>
      <c r="BS82" s="263"/>
      <c r="BT82" s="263"/>
      <c r="BU82" s="1425"/>
      <c r="BV82" s="1425"/>
      <c r="BW82" s="1425"/>
      <c r="BX82" s="1425"/>
      <c r="BY82" s="1425"/>
      <c r="BZ82" s="1425"/>
      <c r="CA82" s="1425"/>
      <c r="CB82" s="263"/>
      <c r="CC82" s="1271"/>
      <c r="CD82" s="1271"/>
      <c r="CE82" s="1425"/>
      <c r="CF82" s="1426"/>
      <c r="CG82" s="25"/>
      <c r="CH82" s="8"/>
      <c r="CI82" s="8"/>
      <c r="CJ82" s="8"/>
      <c r="CK82" s="8"/>
    </row>
    <row r="83" spans="1:89" ht="14.25" customHeight="1">
      <c r="A83" s="634"/>
      <c r="B83" s="38" t="s">
        <v>153</v>
      </c>
      <c r="C83" s="39"/>
      <c r="D83" s="94"/>
      <c r="E83" s="94"/>
      <c r="F83" s="94"/>
      <c r="G83" s="95"/>
      <c r="H83" s="94"/>
      <c r="I83" s="94"/>
      <c r="J83" s="94"/>
      <c r="K83" s="95"/>
      <c r="L83" s="94">
        <f t="shared" ref="L83:AQ83" si="786">L80/H80-1</f>
        <v>-0.35927863221172607</v>
      </c>
      <c r="M83" s="94">
        <f t="shared" si="786"/>
        <v>-0.29498590013732962</v>
      </c>
      <c r="N83" s="94">
        <f t="shared" si="786"/>
        <v>-0.25402945356678452</v>
      </c>
      <c r="O83" s="95">
        <f t="shared" si="786"/>
        <v>-0.77808744643231742</v>
      </c>
      <c r="P83" s="94">
        <f t="shared" si="786"/>
        <v>6.422972259453319E-2</v>
      </c>
      <c r="Q83" s="94">
        <f t="shared" si="786"/>
        <v>9.2554868256706113E-2</v>
      </c>
      <c r="R83" s="94">
        <f t="shared" si="786"/>
        <v>-7.9048178851570672E-4</v>
      </c>
      <c r="S83" s="95">
        <f t="shared" si="786"/>
        <v>2.5961377447670477</v>
      </c>
      <c r="T83" s="94">
        <f t="shared" si="786"/>
        <v>-4.048484108325956E-2</v>
      </c>
      <c r="U83" s="94">
        <f t="shared" si="786"/>
        <v>-8.3890767796506394E-2</v>
      </c>
      <c r="V83" s="94">
        <f t="shared" si="786"/>
        <v>-0.16460437881185175</v>
      </c>
      <c r="W83" s="95">
        <f t="shared" si="786"/>
        <v>-0.17740542408015147</v>
      </c>
      <c r="X83" s="94">
        <f t="shared" si="786"/>
        <v>-3.8247366913800152E-2</v>
      </c>
      <c r="Y83" s="94">
        <f t="shared" si="786"/>
        <v>-0.10640668523676877</v>
      </c>
      <c r="Z83" s="94">
        <f t="shared" si="786"/>
        <v>0.11695669769324168</v>
      </c>
      <c r="AA83" s="95">
        <f t="shared" si="786"/>
        <v>0.47636177711228367</v>
      </c>
      <c r="AB83" s="94">
        <f t="shared" si="786"/>
        <v>0.23159636062861866</v>
      </c>
      <c r="AC83" s="94">
        <f t="shared" si="786"/>
        <v>0.3499584372402329</v>
      </c>
      <c r="AD83" s="94">
        <f t="shared" si="786"/>
        <v>0.12028985507246381</v>
      </c>
      <c r="AE83" s="95">
        <f t="shared" si="786"/>
        <v>-0.12863327149041426</v>
      </c>
      <c r="AF83" s="263">
        <f t="shared" si="786"/>
        <v>-0.17662860980523853</v>
      </c>
      <c r="AG83" s="94">
        <f t="shared" si="786"/>
        <v>-0.22598522167487689</v>
      </c>
      <c r="AH83" s="94">
        <f t="shared" si="786"/>
        <v>-0.11273609314359645</v>
      </c>
      <c r="AI83" s="94">
        <f t="shared" si="786"/>
        <v>1.0816181689141224E-2</v>
      </c>
      <c r="AJ83" s="153">
        <f t="shared" si="786"/>
        <v>1.9331158238172996E-2</v>
      </c>
      <c r="AK83" s="94">
        <f t="shared" si="786"/>
        <v>-1.4311853619729531E-2</v>
      </c>
      <c r="AL83" s="94">
        <f t="shared" si="786"/>
        <v>1.6446625015491545E-2</v>
      </c>
      <c r="AM83" s="95">
        <f t="shared" si="786"/>
        <v>-1.9463011851935219E-2</v>
      </c>
      <c r="AN83" s="153">
        <f t="shared" si="786"/>
        <v>0.11704409058173959</v>
      </c>
      <c r="AO83" s="94">
        <f t="shared" si="786"/>
        <v>0.24948951178763679</v>
      </c>
      <c r="AP83" s="94">
        <f t="shared" si="786"/>
        <v>0.19239458641439611</v>
      </c>
      <c r="AQ83" s="95">
        <f t="shared" si="786"/>
        <v>0.56234067539312016</v>
      </c>
      <c r="AR83" s="153">
        <f t="shared" ref="AR83:AY83" si="787">AR80/AN80-1</f>
        <v>0.45927204739356853</v>
      </c>
      <c r="AS83" s="94">
        <f>AS80/AO80-1</f>
        <v>0.17282140388727063</v>
      </c>
      <c r="AT83" s="94">
        <f>AT80/AP80-1</f>
        <v>-0.14412458195991629</v>
      </c>
      <c r="AU83" s="95">
        <f t="shared" si="787"/>
        <v>-0.26772357276427239</v>
      </c>
      <c r="AV83" s="94">
        <f>AV80/AR80-1</f>
        <v>-0.17548475774385164</v>
      </c>
      <c r="AW83" s="94">
        <f>AW80/AS80-1</f>
        <v>-3.3915667959111828E-2</v>
      </c>
      <c r="AX83" s="94">
        <f>AX80/AT80-1</f>
        <v>0.22381598273959713</v>
      </c>
      <c r="AY83" s="95">
        <f t="shared" si="787"/>
        <v>7.4644334704045301E-2</v>
      </c>
      <c r="AZ83" s="1211">
        <f>AZ80/AV80-1</f>
        <v>3.5799764232385956E-2</v>
      </c>
      <c r="BA83" s="1321">
        <f>BA80/AW80-1</f>
        <v>3.610968587879837E-2</v>
      </c>
      <c r="BB83" s="1321">
        <f>BB80/AX80-1</f>
        <v>0.45705704671008052</v>
      </c>
      <c r="BC83" s="1389">
        <f>BC80/AY80-1</f>
        <v>0.58621292160026095</v>
      </c>
      <c r="BD83" s="1323">
        <f>BD80/AZ80-1</f>
        <v>0.63428653542175595</v>
      </c>
      <c r="BE83" s="1269">
        <f t="shared" ref="BE83" si="788">BE80/BA80-1</f>
        <v>0.48620449643454533</v>
      </c>
      <c r="BF83" s="1269">
        <f t="shared" ref="BF83" si="789">BF80/BB80-1</f>
        <v>0.11778388556294317</v>
      </c>
      <c r="BG83" s="1270">
        <f t="shared" ref="BG83" si="790">BG80/BC80-1</f>
        <v>8.3021556978571498E-2</v>
      </c>
      <c r="BH83" s="1269">
        <f t="shared" ref="BH83" si="791">BH80/BD80-1</f>
        <v>1.6652000000000111E-2</v>
      </c>
      <c r="BI83" s="1269">
        <f t="shared" ref="BI83" si="792">BI80/BE80-1</f>
        <v>5.9458400000000244E-2</v>
      </c>
      <c r="BJ83" s="1269">
        <f t="shared" ref="BJ83" si="793">BJ80/BF80-1</f>
        <v>6.9548480000000135E-2</v>
      </c>
      <c r="BK83" s="1270">
        <f t="shared" ref="BK83" si="794">BK80/BG80-1</f>
        <v>5.9264360000000238E-2</v>
      </c>
      <c r="BL83" s="1389">
        <f t="shared" ref="BL83" si="795">BL80/BH80-1</f>
        <v>5.9264360000000016E-2</v>
      </c>
      <c r="BM83" s="1389">
        <f t="shared" ref="BM83" si="796">BM80/BI80-1</f>
        <v>5.9264359999999794E-2</v>
      </c>
      <c r="BN83" s="1389">
        <f t="shared" ref="BN83" si="797">BN80/BJ80-1</f>
        <v>4.9271299999999796E-2</v>
      </c>
      <c r="BO83" s="1322">
        <f t="shared" ref="BO83" si="798">BO80/BK80-1</f>
        <v>4.9271299999999796E-2</v>
      </c>
      <c r="BP83" s="23"/>
      <c r="BQ83" s="462"/>
      <c r="BR83" s="473"/>
      <c r="BS83" s="413">
        <f t="shared" ref="BS83:CB83" si="799">BS80/BR80-1</f>
        <v>-0.40836781719809245</v>
      </c>
      <c r="BT83" s="413">
        <f t="shared" si="799"/>
        <v>0.2628765715189374</v>
      </c>
      <c r="BU83" s="413">
        <f t="shared" si="799"/>
        <v>-0.11734578877507573</v>
      </c>
      <c r="BV83" s="413">
        <f t="shared" si="799"/>
        <v>9.6250777752331151E-2</v>
      </c>
      <c r="BW83" s="413">
        <f t="shared" si="799"/>
        <v>0.12183398040303195</v>
      </c>
      <c r="BX83" s="413">
        <f t="shared" si="799"/>
        <v>-0.13003460777851017</v>
      </c>
      <c r="BY83" s="413">
        <f t="shared" si="799"/>
        <v>1.0418738574924369E-4</v>
      </c>
      <c r="BZ83" s="413">
        <f t="shared" si="799"/>
        <v>0.28581494459702617</v>
      </c>
      <c r="CA83" s="413">
        <f t="shared" si="799"/>
        <v>1.2512410767685056E-2</v>
      </c>
      <c r="CB83" s="473">
        <f t="shared" si="799"/>
        <v>2.7162685133996778E-3</v>
      </c>
      <c r="CC83" s="413">
        <f t="shared" ref="CC83" si="800">CC80/CB80-1</f>
        <v>0.27943564125146736</v>
      </c>
      <c r="CD83" s="413">
        <f t="shared" ref="CD83" si="801">CD80/CC80-1</f>
        <v>0.28488527108310779</v>
      </c>
      <c r="CE83" s="413">
        <f t="shared" ref="CE83:CF83" si="802">CE80/CD80-1</f>
        <v>5.1191481809832018E-2</v>
      </c>
      <c r="CF83" s="412">
        <f t="shared" si="802"/>
        <v>5.4097714648317696E-2</v>
      </c>
      <c r="CG83" s="25"/>
      <c r="CH83" s="8"/>
      <c r="CI83" s="8"/>
      <c r="CJ83" s="8"/>
      <c r="CK83" s="8"/>
    </row>
    <row r="84" spans="1:89" ht="14.25" customHeight="1">
      <c r="A84" s="634"/>
      <c r="B84" s="260" t="s">
        <v>154</v>
      </c>
      <c r="C84" s="261"/>
      <c r="D84" s="94"/>
      <c r="E84" s="94"/>
      <c r="F84" s="94"/>
      <c r="G84" s="95"/>
      <c r="H84" s="94">
        <f t="shared" ref="H84:AH84" si="803">H80/H122</f>
        <v>0.30924574522534937</v>
      </c>
      <c r="I84" s="94">
        <f t="shared" si="803"/>
        <v>0.29630423438198894</v>
      </c>
      <c r="J84" s="94">
        <f t="shared" si="803"/>
        <v>0.29896935177651207</v>
      </c>
      <c r="K84" s="95">
        <f t="shared" si="803"/>
        <v>0.24337677341432029</v>
      </c>
      <c r="L84" s="94">
        <f t="shared" si="803"/>
        <v>0.19657014203252618</v>
      </c>
      <c r="M84" s="94">
        <f t="shared" si="803"/>
        <v>0.22511770209361606</v>
      </c>
      <c r="N84" s="94">
        <f t="shared" si="803"/>
        <v>0.23972071373157483</v>
      </c>
      <c r="O84" s="95">
        <f t="shared" si="803"/>
        <v>5.9378518207273925E-2</v>
      </c>
      <c r="P84" s="94">
        <f t="shared" si="803"/>
        <v>0.21340622144324323</v>
      </c>
      <c r="Q84" s="94">
        <f t="shared" si="803"/>
        <v>0.22631133150583668</v>
      </c>
      <c r="R84" s="94">
        <f t="shared" si="803"/>
        <v>0.22442661907840228</v>
      </c>
      <c r="S84" s="95">
        <f t="shared" si="803"/>
        <v>0.20152536113431885</v>
      </c>
      <c r="T84" s="94">
        <f t="shared" si="803"/>
        <v>0.26377712356447863</v>
      </c>
      <c r="U84" s="94">
        <f t="shared" si="803"/>
        <v>0.28357149477196325</v>
      </c>
      <c r="V84" s="94">
        <f t="shared" si="803"/>
        <v>0.2511224798827621</v>
      </c>
      <c r="W84" s="95">
        <f t="shared" si="803"/>
        <v>0.19161301609517142</v>
      </c>
      <c r="X84" s="94">
        <f t="shared" si="803"/>
        <v>0.20049751243781094</v>
      </c>
      <c r="Y84" s="94">
        <f t="shared" si="803"/>
        <v>0.18003591739000296</v>
      </c>
      <c r="Z84" s="94">
        <f t="shared" si="803"/>
        <v>0.19158683881715952</v>
      </c>
      <c r="AA84" s="95">
        <f t="shared" si="803"/>
        <v>0.21</v>
      </c>
      <c r="AB84" s="94">
        <f t="shared" si="803"/>
        <v>0.20439258750857928</v>
      </c>
      <c r="AC84" s="94">
        <f t="shared" si="803"/>
        <v>0.20536165907941328</v>
      </c>
      <c r="AD84" s="94">
        <f t="shared" si="803"/>
        <v>0.20398469455073229</v>
      </c>
      <c r="AE84" s="95">
        <f t="shared" si="803"/>
        <v>0.19676022901829354</v>
      </c>
      <c r="AF84" s="94">
        <f t="shared" si="803"/>
        <v>0.18916833821941056</v>
      </c>
      <c r="AG84" s="94">
        <f t="shared" si="803"/>
        <v>0.18619215563708974</v>
      </c>
      <c r="AH84" s="94">
        <f t="shared" si="803"/>
        <v>0.2008283725656124</v>
      </c>
      <c r="AI84" s="94">
        <f>AI80/(AI$122)</f>
        <v>0.2049372341588917</v>
      </c>
      <c r="AJ84" s="153">
        <f>AJ80/(AJ$122)</f>
        <v>0.20087312379648115</v>
      </c>
      <c r="AK84" s="94">
        <f>AK80/(AK$122)</f>
        <v>0.18794235874099355</v>
      </c>
      <c r="AL84" s="94">
        <f>AL80/AL122</f>
        <v>0.20681220816052875</v>
      </c>
      <c r="AM84" s="95">
        <f>AM80/(AM$122)</f>
        <v>0.20593600370428808</v>
      </c>
      <c r="AN84" s="153">
        <f>AN80/(AN$122)</f>
        <v>0.22220400548836586</v>
      </c>
      <c r="AO84" s="94">
        <f>AO80/(AO$122)</f>
        <v>0.22290133268829837</v>
      </c>
      <c r="AP84" s="94">
        <f>AP80/AP122</f>
        <v>0.22844595411623742</v>
      </c>
      <c r="AQ84" s="95">
        <f>AQ80/(AQ$122)</f>
        <v>0.2679580029155772</v>
      </c>
      <c r="AR84" s="153">
        <f>AR80/(AR$122)</f>
        <v>0.26387784234429118</v>
      </c>
      <c r="AS84" s="94">
        <f>AS80/(AS$122)</f>
        <v>0.22114957144718941</v>
      </c>
      <c r="AT84" s="94">
        <f>AT80/AT122</f>
        <v>0.16480978496927717</v>
      </c>
      <c r="AU84" s="95">
        <f>AU80/(AU$122)</f>
        <v>0.16324451682908936</v>
      </c>
      <c r="AV84" s="94">
        <f>AV80/AV122</f>
        <v>0.21829434554715249</v>
      </c>
      <c r="AW84" s="94">
        <f>AW80/AW122</f>
        <v>0.22524095813119732</v>
      </c>
      <c r="AX84" s="94">
        <f>AX80/AX122</f>
        <v>0.20025276250559171</v>
      </c>
      <c r="AY84" s="95">
        <f>AY80/(AY$122)</f>
        <v>0.17107718735023011</v>
      </c>
      <c r="AZ84" s="1211">
        <f>AZ80/AZ122</f>
        <v>0.17672322283835931</v>
      </c>
      <c r="BA84" s="1321">
        <f>BA80/BA122</f>
        <v>0.17887259942143399</v>
      </c>
      <c r="BB84" s="1321">
        <f>BB80/BB122</f>
        <v>0.17695002866304671</v>
      </c>
      <c r="BC84" s="1389">
        <f>BC80/BC122</f>
        <v>0.17671509307863506</v>
      </c>
      <c r="BD84" s="1323">
        <f>BD80/BD122</f>
        <v>0.18722540931790882</v>
      </c>
      <c r="BE84" s="94">
        <f t="shared" ref="BE84:BK84" si="804">BE80/(BE$122)</f>
        <v>0.18370060844859745</v>
      </c>
      <c r="BF84" s="94">
        <f t="shared" si="804"/>
        <v>0.18739089004564383</v>
      </c>
      <c r="BG84" s="95">
        <f t="shared" si="804"/>
        <v>0.18865873345715498</v>
      </c>
      <c r="BH84" s="1211">
        <f t="shared" si="804"/>
        <v>0.19503562601757193</v>
      </c>
      <c r="BI84" s="1211">
        <f t="shared" si="804"/>
        <v>0.18464358660955196</v>
      </c>
      <c r="BJ84" s="1211">
        <f t="shared" si="804"/>
        <v>0.18879883035683484</v>
      </c>
      <c r="BK84" s="1212">
        <f t="shared" si="804"/>
        <v>0.18668114625859888</v>
      </c>
      <c r="BL84" s="1389">
        <f t="shared" ref="BL84:BO84" si="805">BL80/(BL$122)</f>
        <v>0.19297613700274877</v>
      </c>
      <c r="BM84" s="1389">
        <f t="shared" si="805"/>
        <v>0.18329010696267045</v>
      </c>
      <c r="BN84" s="1389">
        <f t="shared" si="805"/>
        <v>0.18656772608510053</v>
      </c>
      <c r="BO84" s="1322">
        <f t="shared" si="805"/>
        <v>0.18557595990586606</v>
      </c>
      <c r="BP84" s="23"/>
      <c r="BQ84" s="823"/>
      <c r="BR84" s="413">
        <f t="shared" ref="BR84:CE84" si="806">BR80/BR122</f>
        <v>0.28617765768963604</v>
      </c>
      <c r="BS84" s="413">
        <f t="shared" si="806"/>
        <v>0.17959233519737122</v>
      </c>
      <c r="BT84" s="413">
        <f t="shared" si="806"/>
        <v>0.21642312551128928</v>
      </c>
      <c r="BU84" s="413">
        <f t="shared" si="806"/>
        <v>0.24487917066188628</v>
      </c>
      <c r="BV84" s="413">
        <f t="shared" si="806"/>
        <v>0.19587180879956545</v>
      </c>
      <c r="BW84" s="413">
        <f t="shared" si="806"/>
        <v>0.20271940667490729</v>
      </c>
      <c r="BX84" s="413">
        <f t="shared" si="806"/>
        <v>0.19542988132307174</v>
      </c>
      <c r="BY84" s="413">
        <f t="shared" si="806"/>
        <v>0.20046026694875516</v>
      </c>
      <c r="BZ84" s="413">
        <f t="shared" si="806"/>
        <v>0.23696327771868839</v>
      </c>
      <c r="CA84" s="413">
        <f t="shared" si="806"/>
        <v>0.20009362194666111</v>
      </c>
      <c r="CB84" s="413">
        <f t="shared" si="806"/>
        <v>0.20143952389205733</v>
      </c>
      <c r="CC84" s="413">
        <f t="shared" si="806"/>
        <v>0.17722498768582221</v>
      </c>
      <c r="CD84" s="413">
        <f t="shared" si="806"/>
        <v>0.18678172004194224</v>
      </c>
      <c r="CE84" s="413">
        <f t="shared" si="806"/>
        <v>0.1886814741126645</v>
      </c>
      <c r="CF84" s="412">
        <f t="shared" ref="CF84" si="807">CF80/CF122</f>
        <v>0.18701393814068054</v>
      </c>
      <c r="CG84" s="25"/>
      <c r="CH84" s="8"/>
      <c r="CI84" s="8"/>
      <c r="CJ84" s="8"/>
      <c r="CK84" s="8"/>
    </row>
    <row r="85" spans="1:89" ht="14.25" customHeight="1">
      <c r="A85" s="634"/>
      <c r="B85" s="38" t="s">
        <v>333</v>
      </c>
      <c r="C85" s="261"/>
      <c r="D85" s="94"/>
      <c r="E85" s="94"/>
      <c r="F85" s="94"/>
      <c r="G85" s="95"/>
      <c r="H85" s="94"/>
      <c r="I85" s="94"/>
      <c r="J85" s="94"/>
      <c r="K85" s="95"/>
      <c r="L85" s="94"/>
      <c r="M85" s="94"/>
      <c r="N85" s="94"/>
      <c r="O85" s="95"/>
      <c r="P85" s="94"/>
      <c r="Q85" s="94"/>
      <c r="R85" s="94"/>
      <c r="S85" s="95"/>
      <c r="T85" s="94"/>
      <c r="U85" s="94"/>
      <c r="V85" s="94"/>
      <c r="W85" s="95"/>
      <c r="X85" s="94">
        <f t="shared" ref="X85:BD85" si="808">+X80/MAX(T80,P80,L80,H80,D80)-1</f>
        <v>-0.37075493793426495</v>
      </c>
      <c r="Y85" s="94">
        <f t="shared" si="808"/>
        <v>-0.36943736830518603</v>
      </c>
      <c r="Z85" s="94">
        <f t="shared" si="808"/>
        <v>-0.30448456258126944</v>
      </c>
      <c r="AA85" s="95">
        <f t="shared" si="808"/>
        <v>-3.0837004405286361E-2</v>
      </c>
      <c r="AB85" s="94">
        <f t="shared" si="808"/>
        <v>-0.22502407161631133</v>
      </c>
      <c r="AC85" s="94">
        <f t="shared" si="808"/>
        <v>-0.1487666551351805</v>
      </c>
      <c r="AD85" s="94">
        <f t="shared" si="808"/>
        <v>-0.22082111141350913</v>
      </c>
      <c r="AE85" s="95">
        <f t="shared" si="808"/>
        <v>-0.15550361113608435</v>
      </c>
      <c r="AF85" s="94">
        <f t="shared" si="808"/>
        <v>-0.17662860980523853</v>
      </c>
      <c r="AG85" s="94">
        <f t="shared" si="808"/>
        <v>-0.22598522167487689</v>
      </c>
      <c r="AH85" s="94">
        <f t="shared" si="808"/>
        <v>-0.11273609314359645</v>
      </c>
      <c r="AI85" s="94">
        <f t="shared" si="808"/>
        <v>-0.11920841063698195</v>
      </c>
      <c r="AJ85" s="153">
        <f t="shared" si="808"/>
        <v>-0.1607118871725991</v>
      </c>
      <c r="AK85" s="94">
        <f t="shared" si="808"/>
        <v>-0.23706280788177347</v>
      </c>
      <c r="AL85" s="94">
        <f t="shared" si="808"/>
        <v>-9.8143596377749054E-2</v>
      </c>
      <c r="AM85" s="95">
        <f t="shared" si="808"/>
        <v>-0.13635126777983919</v>
      </c>
      <c r="AN85" s="153">
        <f t="shared" si="808"/>
        <v>-6.2478173270651416E-2</v>
      </c>
      <c r="AO85" s="94">
        <f t="shared" si="808"/>
        <v>-4.6717980295566619E-2</v>
      </c>
      <c r="AP85" s="94">
        <f t="shared" si="808"/>
        <v>7.5368693402328768E-2</v>
      </c>
      <c r="AQ85" s="95">
        <f t="shared" si="808"/>
        <v>0.34931354359925804</v>
      </c>
      <c r="AR85" s="153">
        <f t="shared" si="808"/>
        <v>0.36809939556749494</v>
      </c>
      <c r="AS85" s="94">
        <f t="shared" si="808"/>
        <v>0.11802955665024628</v>
      </c>
      <c r="AT85" s="94">
        <f t="shared" si="808"/>
        <v>-0.14412458195991629</v>
      </c>
      <c r="AU85" s="95">
        <f t="shared" si="808"/>
        <v>-0.26772357276427239</v>
      </c>
      <c r="AV85" s="94">
        <f t="shared" si="808"/>
        <v>-0.17548475774385164</v>
      </c>
      <c r="AW85" s="94">
        <f t="shared" si="808"/>
        <v>-3.3915667959111828E-2</v>
      </c>
      <c r="AX85" s="94">
        <f t="shared" si="808"/>
        <v>4.7434015831388399E-2</v>
      </c>
      <c r="AY85" s="95">
        <f t="shared" si="808"/>
        <v>-0.21306328603380631</v>
      </c>
      <c r="AZ85" s="1211">
        <f t="shared" si="808"/>
        <v>-0.14596730646507294</v>
      </c>
      <c r="BA85" s="1321">
        <f t="shared" si="808"/>
        <v>9.693338033132104E-4</v>
      </c>
      <c r="BB85" s="1321">
        <f t="shared" si="808"/>
        <v>0.45705704671008052</v>
      </c>
      <c r="BC85" s="1389">
        <f t="shared" si="808"/>
        <v>0.24824918417482489</v>
      </c>
      <c r="BD85" s="1323">
        <f t="shared" si="808"/>
        <v>0.39573413185410611</v>
      </c>
      <c r="BE85" s="94"/>
      <c r="BF85" s="94"/>
      <c r="BG85" s="95"/>
      <c r="BH85" s="1211"/>
      <c r="BI85" s="1211"/>
      <c r="BJ85" s="1211"/>
      <c r="BK85" s="1212"/>
      <c r="BL85" s="1389"/>
      <c r="BM85" s="1389"/>
      <c r="BN85" s="1389"/>
      <c r="BO85" s="1322"/>
      <c r="BP85" s="23"/>
      <c r="BQ85" s="823"/>
      <c r="BR85" s="413"/>
      <c r="BS85" s="413"/>
      <c r="BT85" s="413"/>
      <c r="BU85" s="413"/>
      <c r="BV85" s="413"/>
      <c r="BW85" s="413"/>
      <c r="BX85" s="413"/>
      <c r="BY85" s="413"/>
      <c r="BZ85" s="413"/>
      <c r="CA85" s="413"/>
      <c r="CB85" s="413"/>
      <c r="CC85" s="1271"/>
      <c r="CD85" s="1271"/>
      <c r="CE85" s="1425"/>
      <c r="CF85" s="1426"/>
      <c r="CG85" s="25"/>
      <c r="CH85" s="8"/>
      <c r="CI85" s="8"/>
      <c r="CJ85" s="8"/>
      <c r="CK85" s="8"/>
    </row>
    <row r="86" spans="1:89" ht="14.25" hidden="1" customHeight="1" outlineLevel="1">
      <c r="A86" s="634"/>
      <c r="B86" s="260"/>
      <c r="C86" s="261"/>
      <c r="D86" s="94"/>
      <c r="E86" s="94"/>
      <c r="F86" s="94"/>
      <c r="G86" s="95"/>
      <c r="H86" s="94"/>
      <c r="I86" s="94"/>
      <c r="J86" s="94"/>
      <c r="K86" s="95"/>
      <c r="L86" s="94"/>
      <c r="M86" s="94"/>
      <c r="N86" s="94"/>
      <c r="O86" s="95"/>
      <c r="P86" s="94"/>
      <c r="Q86" s="94"/>
      <c r="R86" s="94"/>
      <c r="S86" s="95"/>
      <c r="T86" s="94"/>
      <c r="U86" s="94"/>
      <c r="V86" s="94"/>
      <c r="W86" s="95"/>
      <c r="X86" s="94"/>
      <c r="Y86" s="94"/>
      <c r="Z86" s="94"/>
      <c r="AA86" s="95"/>
      <c r="AB86" s="94"/>
      <c r="AC86" s="94"/>
      <c r="AD86" s="94"/>
      <c r="AE86" s="95"/>
      <c r="AF86" s="96"/>
      <c r="AG86" s="94"/>
      <c r="AH86" s="94"/>
      <c r="AI86" s="96"/>
      <c r="AJ86" s="26"/>
      <c r="AK86" s="70"/>
      <c r="AL86" s="94"/>
      <c r="AM86" s="97"/>
      <c r="AN86" s="98"/>
      <c r="AO86" s="70"/>
      <c r="AP86" s="94"/>
      <c r="AQ86" s="97"/>
      <c r="AR86" s="98"/>
      <c r="AS86" s="70"/>
      <c r="AT86" s="94"/>
      <c r="AU86" s="97"/>
      <c r="AV86" s="94"/>
      <c r="AW86" s="94"/>
      <c r="AX86" s="94"/>
      <c r="AY86" s="97"/>
      <c r="AZ86" s="1211"/>
      <c r="BA86" s="1389"/>
      <c r="BB86" s="1389"/>
      <c r="BC86" s="1389"/>
      <c r="BD86" s="1323"/>
      <c r="BE86" s="70">
        <v>249.92306500000001</v>
      </c>
      <c r="BF86" s="70">
        <v>262.41921824999997</v>
      </c>
      <c r="BG86" s="27"/>
      <c r="BH86" s="70"/>
      <c r="BI86" s="70"/>
      <c r="BJ86" s="70"/>
      <c r="BK86" s="27"/>
      <c r="BL86" s="70"/>
      <c r="BM86" s="70"/>
      <c r="BN86" s="70"/>
      <c r="BO86" s="27"/>
      <c r="BP86" s="23"/>
      <c r="BQ86" s="25"/>
      <c r="BR86" s="17"/>
      <c r="BS86" s="17"/>
      <c r="BT86" s="17"/>
      <c r="BU86" s="17"/>
      <c r="BV86" s="17"/>
      <c r="BW86" s="17"/>
      <c r="BX86" s="17"/>
      <c r="BY86" s="17"/>
      <c r="BZ86" s="17"/>
      <c r="CA86" s="17"/>
      <c r="CB86" s="17"/>
      <c r="CC86" s="1271"/>
      <c r="CD86" s="1271"/>
      <c r="CE86" s="1425"/>
      <c r="CF86" s="1426"/>
      <c r="CG86" s="25"/>
      <c r="CH86" s="8"/>
      <c r="CI86" s="8"/>
      <c r="CJ86" s="8"/>
      <c r="CK86" s="8"/>
    </row>
    <row r="87" spans="1:89" ht="14.25" hidden="1" customHeight="1" outlineLevel="1">
      <c r="A87" s="634"/>
      <c r="B87" s="1232" t="s">
        <v>577</v>
      </c>
      <c r="C87" s="261"/>
      <c r="D87" s="477"/>
      <c r="E87" s="416"/>
      <c r="F87" s="416"/>
      <c r="G87" s="417"/>
      <c r="H87" s="477">
        <f t="shared" ref="H87:BA87" si="809">H$243</f>
        <v>192.13499999999999</v>
      </c>
      <c r="I87" s="416">
        <f t="shared" si="809"/>
        <v>190.78200000000001</v>
      </c>
      <c r="J87" s="416">
        <f t="shared" si="809"/>
        <v>198.41399999999999</v>
      </c>
      <c r="K87" s="417">
        <f t="shared" si="809"/>
        <v>166.845</v>
      </c>
      <c r="L87" s="477">
        <f t="shared" si="809"/>
        <v>123.105</v>
      </c>
      <c r="M87" s="416">
        <f t="shared" si="809"/>
        <v>134.50399999999999</v>
      </c>
      <c r="N87" s="416">
        <f t="shared" si="809"/>
        <v>148.011</v>
      </c>
      <c r="O87" s="417">
        <f t="shared" si="809"/>
        <v>37.024999999999999</v>
      </c>
      <c r="P87" s="477">
        <f t="shared" si="809"/>
        <v>131.012</v>
      </c>
      <c r="Q87" s="416">
        <f t="shared" si="809"/>
        <v>146.953</v>
      </c>
      <c r="R87" s="416">
        <f t="shared" si="809"/>
        <v>147.89400000000001</v>
      </c>
      <c r="S87" s="417">
        <f t="shared" si="809"/>
        <v>133.14699999999993</v>
      </c>
      <c r="T87" s="477">
        <f t="shared" si="809"/>
        <v>125.708</v>
      </c>
      <c r="U87" s="416">
        <f t="shared" si="809"/>
        <v>134.625</v>
      </c>
      <c r="V87" s="416">
        <f t="shared" si="809"/>
        <v>123.55</v>
      </c>
      <c r="W87" s="417">
        <f t="shared" si="809"/>
        <v>109.52600000000001</v>
      </c>
      <c r="X87" s="477">
        <f t="shared" si="809"/>
        <v>120.9</v>
      </c>
      <c r="Y87" s="416">
        <f t="shared" si="809"/>
        <v>120.3</v>
      </c>
      <c r="Z87" s="416">
        <f t="shared" si="809"/>
        <v>138</v>
      </c>
      <c r="AA87" s="417">
        <f t="shared" si="809"/>
        <v>161.69999999999999</v>
      </c>
      <c r="AB87" s="477">
        <f t="shared" si="809"/>
        <v>148.9</v>
      </c>
      <c r="AC87" s="416">
        <f t="shared" si="809"/>
        <v>162.4</v>
      </c>
      <c r="AD87" s="416">
        <f t="shared" si="809"/>
        <v>154.6</v>
      </c>
      <c r="AE87" s="417">
        <f t="shared" si="809"/>
        <v>140.9</v>
      </c>
      <c r="AF87" s="477">
        <f t="shared" si="809"/>
        <v>122.6</v>
      </c>
      <c r="AG87" s="416">
        <f t="shared" si="809"/>
        <v>125.7</v>
      </c>
      <c r="AH87" s="416">
        <f t="shared" si="809"/>
        <v>137.17099999999999</v>
      </c>
      <c r="AI87" s="416">
        <f t="shared" si="809"/>
        <v>142.42400000000001</v>
      </c>
      <c r="AJ87" s="477">
        <f t="shared" si="809"/>
        <v>124.97</v>
      </c>
      <c r="AK87" s="416">
        <f t="shared" si="809"/>
        <v>123.901</v>
      </c>
      <c r="AL87" s="416">
        <f t="shared" si="809"/>
        <v>139.42699999999999</v>
      </c>
      <c r="AM87" s="417">
        <f t="shared" si="809"/>
        <v>139.65199999999999</v>
      </c>
      <c r="AN87" s="477">
        <f t="shared" si="809"/>
        <v>139.59700000000001</v>
      </c>
      <c r="AO87" s="416">
        <f t="shared" si="809"/>
        <v>154.81299999999999</v>
      </c>
      <c r="AP87" s="416">
        <f t="shared" si="809"/>
        <v>166.25200000000001</v>
      </c>
      <c r="AQ87" s="417">
        <f t="shared" si="809"/>
        <v>218.184</v>
      </c>
      <c r="AR87" s="477">
        <f t="shared" si="809"/>
        <v>203.71</v>
      </c>
      <c r="AS87" s="416">
        <f t="shared" si="809"/>
        <v>181.56800000000001</v>
      </c>
      <c r="AT87" s="416">
        <f t="shared" si="809"/>
        <v>142.291</v>
      </c>
      <c r="AU87" s="417">
        <f t="shared" si="809"/>
        <v>159.77099999999999</v>
      </c>
      <c r="AV87" s="416">
        <f t="shared" si="809"/>
        <v>167.96199999999999</v>
      </c>
      <c r="AW87" s="416">
        <f t="shared" si="809"/>
        <v>175.41</v>
      </c>
      <c r="AX87" s="416">
        <f t="shared" si="809"/>
        <v>174.13800000000001</v>
      </c>
      <c r="AY87" s="417">
        <f t="shared" si="809"/>
        <v>171.697</v>
      </c>
      <c r="AZ87" s="416">
        <f t="shared" si="809"/>
        <v>173.97499999999999</v>
      </c>
      <c r="BA87" s="416">
        <f t="shared" si="809"/>
        <v>181.744</v>
      </c>
      <c r="BB87" s="416">
        <f>BB80-BB93</f>
        <v>185.09767527700001</v>
      </c>
      <c r="BC87" s="416">
        <f>BC80-BC93</f>
        <v>201.65773553531</v>
      </c>
      <c r="BD87" s="477">
        <f>BD80-BD93</f>
        <v>211.51402760136926</v>
      </c>
      <c r="BE87" s="416"/>
      <c r="BF87" s="416"/>
      <c r="BG87" s="417"/>
      <c r="BH87" s="416"/>
      <c r="BI87" s="416"/>
      <c r="BJ87" s="416"/>
      <c r="BK87" s="417"/>
      <c r="BL87" s="416"/>
      <c r="BM87" s="416"/>
      <c r="BN87" s="416"/>
      <c r="BO87" s="417"/>
      <c r="BP87" s="1470"/>
      <c r="BQ87" s="410"/>
      <c r="BR87" s="404"/>
      <c r="BS87" s="404"/>
      <c r="BT87" s="404"/>
      <c r="BU87" s="404"/>
      <c r="BV87" s="404"/>
      <c r="BW87" s="404"/>
      <c r="BX87" s="404"/>
      <c r="BY87" s="404"/>
      <c r="BZ87" s="404"/>
      <c r="CA87" s="404"/>
      <c r="CB87" s="404"/>
      <c r="CC87" s="404">
        <f>SUM(AZ87:BC87)</f>
        <v>742.47441081231</v>
      </c>
      <c r="CD87" s="404"/>
      <c r="CE87" s="404"/>
      <c r="CF87" s="405"/>
      <c r="CG87" s="1031"/>
    </row>
    <row r="88" spans="1:89" ht="14.25" hidden="1" customHeight="1" outlineLevel="1">
      <c r="A88" s="634"/>
      <c r="B88" s="1233" t="s">
        <v>152</v>
      </c>
      <c r="C88" s="261"/>
      <c r="D88" s="1257"/>
      <c r="E88" s="1253"/>
      <c r="F88" s="1253"/>
      <c r="G88" s="1254"/>
      <c r="H88" s="1257"/>
      <c r="I88" s="1253">
        <f t="shared" ref="I88" si="810">I87/H87-1</f>
        <v>-7.0419236474352775E-3</v>
      </c>
      <c r="J88" s="1253">
        <f t="shared" ref="J88" si="811">J87/I87-1</f>
        <v>4.0003773940937792E-2</v>
      </c>
      <c r="K88" s="1254">
        <f t="shared" ref="K88" si="812">K87/J87-1</f>
        <v>-0.15910671625994133</v>
      </c>
      <c r="L88" s="1257">
        <f t="shared" ref="L88" si="813">L87/K87-1</f>
        <v>-0.26215948934639932</v>
      </c>
      <c r="M88" s="1253">
        <f t="shared" ref="M88" si="814">M87/L87-1</f>
        <v>9.2595751594167552E-2</v>
      </c>
      <c r="N88" s="1253">
        <f t="shared" ref="N88" si="815">N87/M87-1</f>
        <v>0.10042080532920949</v>
      </c>
      <c r="O88" s="1254">
        <f t="shared" ref="O88" si="816">O87/N87-1</f>
        <v>-0.74984967333508989</v>
      </c>
      <c r="P88" s="1257">
        <f t="shared" ref="P88" si="817">P87/O87-1</f>
        <v>2.538474004051317</v>
      </c>
      <c r="Q88" s="1253">
        <f t="shared" ref="Q88" si="818">Q87/P87-1</f>
        <v>0.12167587701889904</v>
      </c>
      <c r="R88" s="1253">
        <f t="shared" ref="R88" si="819">R87/Q87-1</f>
        <v>6.4034078923194127E-3</v>
      </c>
      <c r="S88" s="1254">
        <f t="shared" ref="S88" si="820">S87/R87-1</f>
        <v>-9.9713308180183535E-2</v>
      </c>
      <c r="T88" s="1257">
        <f t="shared" ref="T88" si="821">T87/S87-1</f>
        <v>-5.5870579134339793E-2</v>
      </c>
      <c r="U88" s="1253">
        <f t="shared" ref="U88" si="822">U87/T87-1</f>
        <v>7.0934228529608401E-2</v>
      </c>
      <c r="V88" s="1253">
        <f t="shared" ref="V88" si="823">V87/U87-1</f>
        <v>-8.2265552460538571E-2</v>
      </c>
      <c r="W88" s="1254">
        <f t="shared" ref="W88" si="824">W87/V87-1</f>
        <v>-0.11350870093079712</v>
      </c>
      <c r="X88" s="1257">
        <f t="shared" ref="X88" si="825">X87/W87-1</f>
        <v>0.10384748826762591</v>
      </c>
      <c r="Y88" s="1253">
        <f t="shared" ref="Y88" si="826">Y87/X87-1</f>
        <v>-4.9627791563275903E-3</v>
      </c>
      <c r="Z88" s="1253">
        <f t="shared" ref="Z88" si="827">Z87/Y87-1</f>
        <v>0.1471321695760599</v>
      </c>
      <c r="AA88" s="1254">
        <f t="shared" ref="AA88" si="828">AA87/Z87-1</f>
        <v>0.17173913043478262</v>
      </c>
      <c r="AB88" s="1257">
        <f t="shared" ref="AB88" si="829">AB87/AA87-1</f>
        <v>-7.9158936301793381E-2</v>
      </c>
      <c r="AC88" s="1253">
        <f t="shared" ref="AC88" si="830">AC87/AB87-1</f>
        <v>9.0664875755540608E-2</v>
      </c>
      <c r="AD88" s="1253">
        <f t="shared" ref="AD88" si="831">AD87/AC87-1</f>
        <v>-4.802955665024633E-2</v>
      </c>
      <c r="AE88" s="1254">
        <f t="shared" ref="AE88" si="832">AE87/AD87-1</f>
        <v>-8.8615782664941745E-2</v>
      </c>
      <c r="AF88" s="1257">
        <f t="shared" ref="AF88" si="833">AF87/AE87-1</f>
        <v>-0.12987934705464876</v>
      </c>
      <c r="AG88" s="1253">
        <f t="shared" ref="AG88" si="834">AG87/AF87-1</f>
        <v>2.5285481239804231E-2</v>
      </c>
      <c r="AH88" s="1253">
        <f t="shared" ref="AH88" si="835">AH87/AG87-1</f>
        <v>9.1256961018297389E-2</v>
      </c>
      <c r="AI88" s="1253">
        <f t="shared" ref="AI88" si="836">AI87/AH87-1</f>
        <v>3.8295266492188729E-2</v>
      </c>
      <c r="AJ88" s="1257">
        <f t="shared" ref="AJ88" si="837">AJ87/AI87-1</f>
        <v>-0.12254957029714098</v>
      </c>
      <c r="AK88" s="1253">
        <f t="shared" ref="AK88" si="838">AK87/AJ87-1</f>
        <v>-8.5540529727134995E-3</v>
      </c>
      <c r="AL88" s="1253">
        <f t="shared" ref="AL88" si="839">AL87/AK87-1</f>
        <v>0.12530972308536659</v>
      </c>
      <c r="AM88" s="1254">
        <f t="shared" ref="AM88" si="840">AM87/AL87-1</f>
        <v>1.6137476959268149E-3</v>
      </c>
      <c r="AN88" s="1257">
        <f t="shared" ref="AN88" si="841">AN87/AM87-1</f>
        <v>-3.9383610689414095E-4</v>
      </c>
      <c r="AO88" s="1253">
        <f t="shared" ref="AO88" si="842">AO87/AN87-1</f>
        <v>0.108999477066126</v>
      </c>
      <c r="AP88" s="1253">
        <f t="shared" ref="AP88" si="843">AP87/AO87-1</f>
        <v>7.3889143676564739E-2</v>
      </c>
      <c r="AQ88" s="1254">
        <f t="shared" ref="AQ88" si="844">AQ87/AP87-1</f>
        <v>0.31236917450617119</v>
      </c>
      <c r="AR88" s="1257">
        <f t="shared" ref="AR88" si="845">AR87/AQ87-1</f>
        <v>-6.633850328163382E-2</v>
      </c>
      <c r="AS88" s="1253">
        <f t="shared" ref="AS88" si="846">AS87/AR87-1</f>
        <v>-0.1086937312846693</v>
      </c>
      <c r="AT88" s="1253">
        <f t="shared" ref="AT88" si="847">AT87/AS87-1</f>
        <v>-0.21632115791328876</v>
      </c>
      <c r="AU88" s="1254">
        <f t="shared" ref="AU88" si="848">AU87/AT87-1</f>
        <v>0.12284684203498464</v>
      </c>
      <c r="AV88" s="1253">
        <f t="shared" ref="AV88" si="849">AV87/AU87-1</f>
        <v>5.1267126074193703E-2</v>
      </c>
      <c r="AW88" s="1253">
        <f t="shared" ref="AW88" si="850">AW87/AV87-1</f>
        <v>4.434336337981204E-2</v>
      </c>
      <c r="AX88" s="1253">
        <f t="shared" ref="AX88" si="851">AX87/AW87-1</f>
        <v>-7.2515820078672411E-3</v>
      </c>
      <c r="AY88" s="1254">
        <f t="shared" ref="AY88" si="852">AY87/AX87-1</f>
        <v>-1.401761821084424E-2</v>
      </c>
      <c r="AZ88" s="1253">
        <f t="shared" ref="AZ88:BD88" si="853">AZ87/AY87-1</f>
        <v>1.3267558547906955E-2</v>
      </c>
      <c r="BA88" s="1321">
        <f t="shared" si="853"/>
        <v>4.465584135651679E-2</v>
      </c>
      <c r="BB88" s="1321">
        <f t="shared" si="853"/>
        <v>1.8452742742538941E-2</v>
      </c>
      <c r="BC88" s="1389">
        <f t="shared" si="853"/>
        <v>8.9466603151702184E-2</v>
      </c>
      <c r="BD88" s="1323">
        <f t="shared" si="853"/>
        <v>4.8876340101188243E-2</v>
      </c>
      <c r="BE88" s="1255"/>
      <c r="BF88" s="1255"/>
      <c r="BG88" s="1256"/>
      <c r="BH88" s="1255"/>
      <c r="BI88" s="1255"/>
      <c r="BJ88" s="1255"/>
      <c r="BK88" s="1256"/>
      <c r="BL88" s="1331"/>
      <c r="BM88" s="1331"/>
      <c r="BN88" s="1331"/>
      <c r="BO88" s="1332"/>
      <c r="BP88" s="23"/>
      <c r="BQ88" s="1277"/>
      <c r="BR88" s="1271"/>
      <c r="BS88" s="1271"/>
      <c r="BT88" s="1271"/>
      <c r="BU88" s="1425"/>
      <c r="BV88" s="1425"/>
      <c r="BW88" s="1425"/>
      <c r="BX88" s="1425"/>
      <c r="BY88" s="1425"/>
      <c r="BZ88" s="1425"/>
      <c r="CA88" s="1425"/>
      <c r="CB88" s="1271"/>
      <c r="CC88" s="1271"/>
      <c r="CD88" s="1271"/>
      <c r="CE88" s="1425"/>
      <c r="CF88" s="1426"/>
      <c r="CG88" s="1031"/>
    </row>
    <row r="89" spans="1:89" ht="14.25" hidden="1" customHeight="1" outlineLevel="1">
      <c r="A89" s="634"/>
      <c r="B89" s="1233" t="s">
        <v>313</v>
      </c>
      <c r="C89" s="261"/>
      <c r="D89" s="1257"/>
      <c r="E89" s="1253"/>
      <c r="F89" s="1253"/>
      <c r="G89" s="1254"/>
      <c r="H89" s="1257"/>
      <c r="I89" s="1253"/>
      <c r="J89" s="1253"/>
      <c r="K89" s="1254"/>
      <c r="L89" s="1257"/>
      <c r="M89" s="1253"/>
      <c r="N89" s="1253"/>
      <c r="O89" s="1254"/>
      <c r="P89" s="1257"/>
      <c r="Q89" s="1253"/>
      <c r="R89" s="1253"/>
      <c r="S89" s="1254"/>
      <c r="T89" s="1257"/>
      <c r="U89" s="1253"/>
      <c r="V89" s="1253"/>
      <c r="W89" s="1254"/>
      <c r="X89" s="1257"/>
      <c r="Y89" s="1253"/>
      <c r="Z89" s="1253"/>
      <c r="AA89" s="1254"/>
      <c r="AB89" s="1257"/>
      <c r="AC89" s="1253"/>
      <c r="AD89" s="1253"/>
      <c r="AE89" s="1254"/>
      <c r="AF89" s="1253"/>
      <c r="AG89" s="1258">
        <f t="shared" ref="AG89" si="854">AVERAGE(AC88,Y88,U88,U88,Q88,M88,I88)</f>
        <v>6.211432266058016E-2</v>
      </c>
      <c r="AH89" s="1258">
        <f t="shared" ref="AH89" si="855">AVERAGE(AD88,Z88,V88,V88,R88,N88,J88)</f>
        <v>1.1628499309600446E-2</v>
      </c>
      <c r="AI89" s="1253">
        <f t="shared" ref="AI89" si="856">AVERAGE(AE88,AA88,W88,W88,S88,O88,K88)</f>
        <v>-0.16465196455242401</v>
      </c>
      <c r="AJ89" s="1257">
        <f t="shared" ref="AJ89" si="857">AVERAGE(AF88,AB88,X88,X88,T88,P88,L88)</f>
        <v>0.31701437553562678</v>
      </c>
      <c r="AK89" s="1253">
        <f t="shared" ref="AK89" si="858">AVERAGE(AG88,AC88,Y88,Y88,U88,Q88,M88)</f>
        <v>5.5890093689337804E-2</v>
      </c>
      <c r="AL89" s="1258">
        <f t="shared" ref="AL89" si="859">AVERAGE(AH88,AD88,Z88,Z88,V88,R88,N88)</f>
        <v>5.1721486325880174E-2</v>
      </c>
      <c r="AM89" s="1254">
        <f t="shared" ref="AM89" si="860">AVERAGE(AI88,AE88,AA88,AA88,W88,S88,O88)</f>
        <v>-9.5701991107036907E-2</v>
      </c>
      <c r="AN89" s="1257">
        <f t="shared" ref="AN89" si="861">AVERAGE(AJ88,AF88,AB88,AB88,X88,T88,P88)</f>
        <v>0.31081487474703234</v>
      </c>
      <c r="AO89" s="1253">
        <f t="shared" ref="AO89" si="862">AVERAGE(AK88,AG88,AC88,AC88,Y88,U88,Q88)</f>
        <v>5.5101215167193116E-2</v>
      </c>
      <c r="AP89" s="1258">
        <f t="shared" ref="AP89" si="863">AVERAGE(AL88,AH88,AD88,AD88,Z88,V88,R88)</f>
        <v>2.7396799401573153E-2</v>
      </c>
      <c r="AQ89" s="1254">
        <f t="shared" ref="AQ89" si="864">AVERAGE(AM88,AI88,AE88,AE88,AA88,W88,S88)</f>
        <v>-2.5543632831137999E-2</v>
      </c>
      <c r="AR89" s="1257">
        <f t="shared" ref="AR89" si="865">AVERAGE(AN88,AJ88,AF88,AF88,AB88,X88,T88)</f>
        <v>-5.9126303954548556E-2</v>
      </c>
      <c r="AS89" s="1253">
        <f t="shared" ref="AS89" si="866">AVERAGE(AO88,AK88,AG88,AG88,AC88,Y88,U88)</f>
        <v>4.3950387385977487E-2</v>
      </c>
      <c r="AT89" s="1258">
        <f t="shared" ref="AT89" si="867">AVERAGE(AP88,AL88,AH88,AH88,AD88,Z88,V88)</f>
        <v>5.6935692751971585E-2</v>
      </c>
      <c r="AU89" s="1254">
        <f t="shared" ref="AU89" si="868">AVERAGE(AQ88,AM88,AI88,AI88,AE88,AA88,W88)</f>
        <v>5.1455443146502744E-2</v>
      </c>
      <c r="AV89" s="1258">
        <f t="shared" ref="AV89" si="869">AVERAGE(AR88,AN88,AJ88,AJ88,AF88,AB88,X88)</f>
        <v>-5.9574610724518022E-2</v>
      </c>
      <c r="AW89" s="1258">
        <f t="shared" ref="AW89" si="870">AVERAGE(AS88,AO88,AK88,AK88,AG88,AC88,Y88)</f>
        <v>1.3455031096435279E-2</v>
      </c>
      <c r="AX89" s="1258">
        <f t="shared" ref="AX89" si="871">AVERAGE(AT88,AP88,AL88,AL88,AH88,AD88,Z88)</f>
        <v>4.264957226830287E-2</v>
      </c>
      <c r="AY89" s="1254">
        <f t="shared" ref="AY89" si="872">AVERAGE(AU88,AQ88,AM88,AM88,AI88,AE88,AA88)</f>
        <v>7.9980303742148443E-2</v>
      </c>
      <c r="AZ89" s="1258">
        <f t="shared" ref="AZ89:BD89" si="873">AVERAGE(AV88,AR88,AN88,AN88,AJ88,AF88,AB88)</f>
        <v>-4.9635271867830219E-2</v>
      </c>
      <c r="BA89" s="1324">
        <f t="shared" si="873"/>
        <v>3.7292127178575156E-2</v>
      </c>
      <c r="BB89" s="1321">
        <f t="shared" si="873"/>
        <v>1.3248953555055874E-2</v>
      </c>
      <c r="BC89" s="1389">
        <f t="shared" si="873"/>
        <v>9.7837257765665223E-2</v>
      </c>
      <c r="BD89" s="1323">
        <f t="shared" si="873"/>
        <v>-4.5852153628550121E-2</v>
      </c>
      <c r="BE89" s="1253"/>
      <c r="BF89" s="1253"/>
      <c r="BG89" s="1254"/>
      <c r="BH89" s="1253"/>
      <c r="BI89" s="1253"/>
      <c r="BJ89" s="1253"/>
      <c r="BK89" s="1254"/>
      <c r="BL89" s="1389"/>
      <c r="BM89" s="1389"/>
      <c r="BN89" s="1389"/>
      <c r="BO89" s="1322"/>
      <c r="BP89" s="23"/>
      <c r="BQ89" s="462"/>
      <c r="BR89" s="473"/>
      <c r="BS89" s="473"/>
      <c r="BT89" s="473"/>
      <c r="BU89" s="473"/>
      <c r="BV89" s="473"/>
      <c r="BW89" s="473"/>
      <c r="BX89" s="473"/>
      <c r="BY89" s="473"/>
      <c r="BZ89" s="473"/>
      <c r="CA89" s="473"/>
      <c r="CB89" s="413"/>
      <c r="CC89" s="1271"/>
      <c r="CD89" s="1271"/>
      <c r="CE89" s="1425"/>
      <c r="CF89" s="1426"/>
      <c r="CG89" s="1031"/>
    </row>
    <row r="90" spans="1:89" ht="14.25" hidden="1" customHeight="1" outlineLevel="1">
      <c r="A90" s="634"/>
      <c r="B90" s="1233" t="s">
        <v>153</v>
      </c>
      <c r="C90" s="39"/>
      <c r="D90" s="1257"/>
      <c r="E90" s="1253"/>
      <c r="F90" s="1253"/>
      <c r="G90" s="1254"/>
      <c r="H90" s="1257"/>
      <c r="I90" s="1253"/>
      <c r="J90" s="1253"/>
      <c r="K90" s="1254"/>
      <c r="L90" s="1257">
        <f t="shared" ref="L90" si="874">L87/H87-1</f>
        <v>-0.35927863221172607</v>
      </c>
      <c r="M90" s="1253">
        <f t="shared" ref="M90" si="875">M87/I87-1</f>
        <v>-0.29498590013732962</v>
      </c>
      <c r="N90" s="1253">
        <f t="shared" ref="N90" si="876">N87/J87-1</f>
        <v>-0.25402945356678452</v>
      </c>
      <c r="O90" s="1254">
        <f t="shared" ref="O90" si="877">O87/K87-1</f>
        <v>-0.77808744643231742</v>
      </c>
      <c r="P90" s="1257">
        <f t="shared" ref="P90" si="878">P87/L87-1</f>
        <v>6.422972259453319E-2</v>
      </c>
      <c r="Q90" s="1253">
        <f t="shared" ref="Q90" si="879">Q87/M87-1</f>
        <v>9.2554868256706113E-2</v>
      </c>
      <c r="R90" s="1253">
        <f t="shared" ref="R90" si="880">R87/N87-1</f>
        <v>-7.9048178851570672E-4</v>
      </c>
      <c r="S90" s="1254">
        <f t="shared" ref="S90" si="881">S87/O87-1</f>
        <v>2.5961377447670477</v>
      </c>
      <c r="T90" s="1257">
        <f t="shared" ref="T90" si="882">T87/P87-1</f>
        <v>-4.048484108325956E-2</v>
      </c>
      <c r="U90" s="1253">
        <f t="shared" ref="U90" si="883">U87/Q87-1</f>
        <v>-8.3890767796506394E-2</v>
      </c>
      <c r="V90" s="1253">
        <f t="shared" ref="V90" si="884">V87/R87-1</f>
        <v>-0.16460437881185175</v>
      </c>
      <c r="W90" s="1254">
        <f t="shared" ref="W90" si="885">W87/S87-1</f>
        <v>-0.17740542408015147</v>
      </c>
      <c r="X90" s="1257">
        <f t="shared" ref="X90" si="886">X87/T87-1</f>
        <v>-3.8247366913800152E-2</v>
      </c>
      <c r="Y90" s="1253">
        <f t="shared" ref="Y90" si="887">Y87/U87-1</f>
        <v>-0.10640668523676877</v>
      </c>
      <c r="Z90" s="1253">
        <f t="shared" ref="Z90" si="888">Z87/V87-1</f>
        <v>0.11695669769324168</v>
      </c>
      <c r="AA90" s="1254">
        <f t="shared" ref="AA90" si="889">AA87/W87-1</f>
        <v>0.47636177711228367</v>
      </c>
      <c r="AB90" s="1257">
        <f t="shared" ref="AB90" si="890">AB87/X87-1</f>
        <v>0.23159636062861866</v>
      </c>
      <c r="AC90" s="1253">
        <f t="shared" ref="AC90" si="891">AC87/Y87-1</f>
        <v>0.3499584372402329</v>
      </c>
      <c r="AD90" s="1253">
        <f t="shared" ref="AD90" si="892">AD87/Z87-1</f>
        <v>0.12028985507246381</v>
      </c>
      <c r="AE90" s="1254">
        <f t="shared" ref="AE90" si="893">AE87/AA87-1</f>
        <v>-0.12863327149041426</v>
      </c>
      <c r="AF90" s="1258">
        <f t="shared" ref="AF90" si="894">AF87/AB87-1</f>
        <v>-0.17662860980523853</v>
      </c>
      <c r="AG90" s="1258">
        <f t="shared" ref="AG90" si="895">AG87/AC87-1</f>
        <v>-0.22598522167487689</v>
      </c>
      <c r="AH90" s="1253">
        <f t="shared" ref="AH90" si="896">AH87/AD87-1</f>
        <v>-0.11273609314359645</v>
      </c>
      <c r="AI90" s="1253">
        <f t="shared" ref="AI90" si="897">AI87/AE87-1</f>
        <v>1.0816181689141224E-2</v>
      </c>
      <c r="AJ90" s="1257">
        <f t="shared" ref="AJ90" si="898">AJ87/AF87-1</f>
        <v>1.9331158238172996E-2</v>
      </c>
      <c r="AK90" s="1253">
        <f t="shared" ref="AK90" si="899">AK87/AG87-1</f>
        <v>-1.4311853619729531E-2</v>
      </c>
      <c r="AL90" s="1253">
        <f t="shared" ref="AL90" si="900">AL87/AH87-1</f>
        <v>1.6446625015491545E-2</v>
      </c>
      <c r="AM90" s="1254">
        <f t="shared" ref="AM90" si="901">AM87/AI87-1</f>
        <v>-1.9463011851935219E-2</v>
      </c>
      <c r="AN90" s="1257">
        <f t="shared" ref="AN90" si="902">AN87/AJ87-1</f>
        <v>0.11704409058173959</v>
      </c>
      <c r="AO90" s="1253">
        <f t="shared" ref="AO90" si="903">AO87/AK87-1</f>
        <v>0.24948951178763679</v>
      </c>
      <c r="AP90" s="1253">
        <f t="shared" ref="AP90" si="904">AP87/AL87-1</f>
        <v>0.19239458641439611</v>
      </c>
      <c r="AQ90" s="1254">
        <f t="shared" ref="AQ90" si="905">AQ87/AM87-1</f>
        <v>0.56234067539312016</v>
      </c>
      <c r="AR90" s="1257">
        <f t="shared" ref="AR90" si="906">AR87/AN87-1</f>
        <v>0.45927204739356853</v>
      </c>
      <c r="AS90" s="1253">
        <f>AS87/AO87-1</f>
        <v>0.17282140388727063</v>
      </c>
      <c r="AT90" s="1253">
        <f>AT87/AP87-1</f>
        <v>-0.14412458195991629</v>
      </c>
      <c r="AU90" s="1254">
        <f t="shared" ref="AU90" si="907">AU87/AQ87-1</f>
        <v>-0.26772357276427239</v>
      </c>
      <c r="AV90" s="1253">
        <f>AV87/AR87-1</f>
        <v>-0.17548475774385164</v>
      </c>
      <c r="AW90" s="1253">
        <f>AW87/AS87-1</f>
        <v>-3.3915667959111828E-2</v>
      </c>
      <c r="AX90" s="1253">
        <f>AX87/AT87-1</f>
        <v>0.22381598273959713</v>
      </c>
      <c r="AY90" s="1254">
        <f t="shared" ref="AY90" si="908">AY87/AU87-1</f>
        <v>7.4644334704045301E-2</v>
      </c>
      <c r="AZ90" s="1253">
        <f>AZ87/AV87-1</f>
        <v>3.5799764232385956E-2</v>
      </c>
      <c r="BA90" s="1321">
        <f>BA87/AW87-1</f>
        <v>3.610968587879837E-2</v>
      </c>
      <c r="BB90" s="1321">
        <f>BB87/AX87-1</f>
        <v>6.2936724190010285E-2</v>
      </c>
      <c r="BC90" s="1389">
        <f>BC87/AY87-1</f>
        <v>0.17449772293814103</v>
      </c>
      <c r="BD90" s="1323">
        <f>BD87/AZ87-1</f>
        <v>0.21577253974059074</v>
      </c>
      <c r="BE90" s="1253"/>
      <c r="BF90" s="1253"/>
      <c r="BG90" s="1254"/>
      <c r="BH90" s="1253"/>
      <c r="BI90" s="1253"/>
      <c r="BJ90" s="1253"/>
      <c r="BK90" s="1254"/>
      <c r="BL90" s="1389"/>
      <c r="BM90" s="1389"/>
      <c r="BN90" s="1389"/>
      <c r="BO90" s="1322"/>
      <c r="BP90" s="23"/>
      <c r="BQ90" s="823"/>
      <c r="BR90" s="413"/>
      <c r="BS90" s="413"/>
      <c r="BT90" s="413"/>
      <c r="BU90" s="413"/>
      <c r="BV90" s="413"/>
      <c r="BW90" s="413"/>
      <c r="BX90" s="413"/>
      <c r="BY90" s="413"/>
      <c r="BZ90" s="413"/>
      <c r="CA90" s="413"/>
      <c r="CB90" s="413"/>
      <c r="CC90" s="413">
        <f>CC87/CB80-1</f>
        <v>7.728797126597664E-2</v>
      </c>
      <c r="CD90" s="413"/>
      <c r="CE90" s="413"/>
      <c r="CF90" s="412"/>
      <c r="CG90" s="1031"/>
    </row>
    <row r="91" spans="1:89" ht="14.25" hidden="1" customHeight="1" outlineLevel="1">
      <c r="A91" s="634"/>
      <c r="B91" s="1233" t="s">
        <v>601</v>
      </c>
      <c r="C91" s="39"/>
      <c r="D91" s="1323"/>
      <c r="E91" s="1321"/>
      <c r="F91" s="1321"/>
      <c r="G91" s="1322"/>
      <c r="H91" s="1323"/>
      <c r="I91" s="1321"/>
      <c r="J91" s="1321"/>
      <c r="K91" s="1322"/>
      <c r="L91" s="1323"/>
      <c r="M91" s="1321"/>
      <c r="N91" s="1321"/>
      <c r="O91" s="1322"/>
      <c r="P91" s="1323"/>
      <c r="Q91" s="1321"/>
      <c r="R91" s="1321"/>
      <c r="S91" s="1322"/>
      <c r="T91" s="1323"/>
      <c r="U91" s="1321"/>
      <c r="V91" s="1321"/>
      <c r="W91" s="1322"/>
      <c r="X91" s="1321"/>
      <c r="Y91" s="1321"/>
      <c r="Z91" s="1321"/>
      <c r="AA91" s="1322"/>
      <c r="AB91" s="1321"/>
      <c r="AC91" s="1321"/>
      <c r="AD91" s="1321"/>
      <c r="AE91" s="1322"/>
      <c r="AF91" s="1324"/>
      <c r="AG91" s="1324"/>
      <c r="AH91" s="1321"/>
      <c r="AI91" s="1321"/>
      <c r="AJ91" s="1323"/>
      <c r="AK91" s="1321"/>
      <c r="AL91" s="1321"/>
      <c r="AM91" s="1322"/>
      <c r="AN91" s="1323"/>
      <c r="AO91" s="1321"/>
      <c r="AP91" s="1321"/>
      <c r="AQ91" s="1322"/>
      <c r="AR91" s="1323"/>
      <c r="AS91" s="1321"/>
      <c r="AT91" s="1321"/>
      <c r="AU91" s="1322"/>
      <c r="AV91" s="1321"/>
      <c r="AW91" s="1321"/>
      <c r="AX91" s="1321"/>
      <c r="AY91" s="1322"/>
      <c r="AZ91" s="1321"/>
      <c r="BA91" s="1321">
        <f>BA87/BA$127</f>
        <v>0.18164972379335126</v>
      </c>
      <c r="BB91" s="1321">
        <f>BB87/BB$127</f>
        <v>0.17729643944211512</v>
      </c>
      <c r="BC91" s="1389">
        <f>BC87/BC$127</f>
        <v>0.17761406734382437</v>
      </c>
      <c r="BD91" s="1323">
        <f>BD87/BD$127</f>
        <v>0.19300274939740172</v>
      </c>
      <c r="BE91" s="1321"/>
      <c r="BF91" s="1321"/>
      <c r="BG91" s="1322"/>
      <c r="BH91" s="1321"/>
      <c r="BI91" s="1321"/>
      <c r="BJ91" s="1321"/>
      <c r="BK91" s="1322"/>
      <c r="BL91" s="1389"/>
      <c r="BM91" s="1389"/>
      <c r="BN91" s="1389"/>
      <c r="BO91" s="1322"/>
      <c r="BP91" s="23"/>
      <c r="BQ91" s="823"/>
      <c r="BR91" s="413"/>
      <c r="BS91" s="413"/>
      <c r="BT91" s="413"/>
      <c r="BU91" s="413"/>
      <c r="BV91" s="413"/>
      <c r="BW91" s="413"/>
      <c r="BX91" s="413"/>
      <c r="BY91" s="413"/>
      <c r="BZ91" s="413"/>
      <c r="CA91" s="413"/>
      <c r="CB91" s="413"/>
      <c r="CC91" s="413">
        <f t="shared" ref="CC91" si="909">CC87/CC$127</f>
        <v>0.17959003384695058</v>
      </c>
      <c r="CD91" s="413"/>
      <c r="CE91" s="413"/>
      <c r="CF91" s="412"/>
      <c r="CG91" s="1031"/>
    </row>
    <row r="92" spans="1:89" ht="14.25" hidden="1" customHeight="1" outlineLevel="1">
      <c r="A92" s="634"/>
      <c r="B92" s="38"/>
      <c r="C92" s="261"/>
      <c r="D92" s="1257"/>
      <c r="E92" s="1253"/>
      <c r="F92" s="1253"/>
      <c r="G92" s="1254"/>
      <c r="H92" s="1257"/>
      <c r="I92" s="1253"/>
      <c r="J92" s="1253"/>
      <c r="K92" s="1254"/>
      <c r="L92" s="1257"/>
      <c r="M92" s="1253"/>
      <c r="N92" s="1253"/>
      <c r="O92" s="1254"/>
      <c r="P92" s="1257"/>
      <c r="Q92" s="1253"/>
      <c r="R92" s="1253"/>
      <c r="S92" s="1254"/>
      <c r="T92" s="1257"/>
      <c r="U92" s="1253"/>
      <c r="V92" s="1253"/>
      <c r="W92" s="1254"/>
      <c r="X92" s="1253"/>
      <c r="Y92" s="1253"/>
      <c r="Z92" s="1253"/>
      <c r="AA92" s="1254"/>
      <c r="AB92" s="1253"/>
      <c r="AC92" s="1253"/>
      <c r="AD92" s="1253"/>
      <c r="AE92" s="1254"/>
      <c r="AF92" s="1253"/>
      <c r="AG92" s="1253"/>
      <c r="AH92" s="1253"/>
      <c r="AI92" s="1253"/>
      <c r="AJ92" s="1257"/>
      <c r="AK92" s="1255"/>
      <c r="AL92" s="1253"/>
      <c r="AM92" s="1254"/>
      <c r="AN92" s="1257"/>
      <c r="AO92" s="1253"/>
      <c r="AP92" s="1253"/>
      <c r="AQ92" s="1254"/>
      <c r="AR92" s="1257"/>
      <c r="AS92" s="1253"/>
      <c r="AT92" s="1253"/>
      <c r="AU92" s="1254"/>
      <c r="AV92" s="1253"/>
      <c r="AW92" s="1253"/>
      <c r="AX92" s="1253"/>
      <c r="AY92" s="1254"/>
      <c r="AZ92" s="1253"/>
      <c r="BA92" s="1255"/>
      <c r="BB92" s="1255"/>
      <c r="BC92" s="1331"/>
      <c r="BD92" s="98"/>
      <c r="BE92" s="1255"/>
      <c r="BF92" s="1255"/>
      <c r="BG92" s="1256"/>
      <c r="BH92" s="1255"/>
      <c r="BI92" s="1255"/>
      <c r="BJ92" s="1255"/>
      <c r="BK92" s="1256"/>
      <c r="BL92" s="1331"/>
      <c r="BM92" s="1331"/>
      <c r="BN92" s="1331"/>
      <c r="BO92" s="1332"/>
      <c r="BP92" s="23"/>
      <c r="BQ92" s="1277"/>
      <c r="BR92" s="1271"/>
      <c r="BS92" s="1271"/>
      <c r="BT92" s="1271"/>
      <c r="BU92" s="1425"/>
      <c r="BV92" s="1425"/>
      <c r="BW92" s="1425"/>
      <c r="BX92" s="1425"/>
      <c r="BY92" s="1425"/>
      <c r="BZ92" s="1425"/>
      <c r="CA92" s="1425"/>
      <c r="CB92" s="1271"/>
      <c r="CC92" s="1271"/>
      <c r="CD92" s="1271"/>
      <c r="CE92" s="1425"/>
      <c r="CF92" s="1426"/>
      <c r="CG92" s="1031"/>
    </row>
    <row r="93" spans="1:89" ht="14.25" hidden="1" customHeight="1" outlineLevel="1">
      <c r="A93" s="634"/>
      <c r="B93" s="1232" t="s">
        <v>578</v>
      </c>
      <c r="C93" s="261"/>
      <c r="D93" s="477"/>
      <c r="E93" s="416"/>
      <c r="F93" s="416"/>
      <c r="G93" s="417"/>
      <c r="H93" s="477"/>
      <c r="I93" s="416"/>
      <c r="J93" s="416"/>
      <c r="K93" s="417">
        <v>99.31944</v>
      </c>
      <c r="L93" s="477">
        <v>88.391819999999996</v>
      </c>
      <c r="M93" s="416">
        <v>79.047519999999992</v>
      </c>
      <c r="N93" s="416">
        <v>88.478279999999998</v>
      </c>
      <c r="O93" s="417">
        <v>88.668720000000008</v>
      </c>
      <c r="P93" s="477">
        <v>92.390400000000014</v>
      </c>
      <c r="Q93" s="416">
        <v>104.25274999999999</v>
      </c>
      <c r="R93" s="416">
        <v>92.123999999999995</v>
      </c>
      <c r="S93" s="417">
        <v>90.00179</v>
      </c>
      <c r="T93" s="477">
        <v>62.298999999999999</v>
      </c>
      <c r="U93" s="416">
        <v>68.317220000000006</v>
      </c>
      <c r="V93" s="416">
        <v>60.325220000000002</v>
      </c>
      <c r="W93" s="417">
        <v>56.672399999999996</v>
      </c>
      <c r="X93" s="477">
        <v>66.654640000000001</v>
      </c>
      <c r="Y93" s="416">
        <v>74.717759999999998</v>
      </c>
      <c r="Z93" s="416">
        <v>84.217950000000002</v>
      </c>
      <c r="AA93" s="417">
        <v>93.262079999999997</v>
      </c>
      <c r="AB93" s="477">
        <v>88.232829999999993</v>
      </c>
      <c r="AC93" s="416">
        <v>81.234160000000003</v>
      </c>
      <c r="AD93" s="416">
        <v>82.46811000000001</v>
      </c>
      <c r="AE93" s="417">
        <v>72.582400000000007</v>
      </c>
      <c r="AF93" s="477">
        <v>64.753260000000012</v>
      </c>
      <c r="AG93" s="416">
        <v>68.718540000000004</v>
      </c>
      <c r="AH93" s="416">
        <v>69.302310000000006</v>
      </c>
      <c r="AI93" s="416">
        <v>73.732560000000007</v>
      </c>
      <c r="AJ93" s="477">
        <v>64.109009999999998</v>
      </c>
      <c r="AK93" s="416">
        <v>62.9084</v>
      </c>
      <c r="AL93" s="416">
        <v>65.453000000000003</v>
      </c>
      <c r="AM93" s="417">
        <v>68.071400000000011</v>
      </c>
      <c r="AN93" s="477">
        <v>67.050015766613441</v>
      </c>
      <c r="AO93" s="416">
        <v>69.736424945834059</v>
      </c>
      <c r="AP93" s="416">
        <v>69.431319999999999</v>
      </c>
      <c r="AQ93" s="417">
        <v>74.212000000000003</v>
      </c>
      <c r="AR93" s="477">
        <v>66.989249999999998</v>
      </c>
      <c r="AS93" s="416">
        <v>67.707822000000007</v>
      </c>
      <c r="AT93" s="416">
        <v>68.306939999999997</v>
      </c>
      <c r="AU93" s="417">
        <v>61.545059999999992</v>
      </c>
      <c r="AV93" s="416">
        <v>62.483039999999995</v>
      </c>
      <c r="AW93" s="416">
        <v>65.002499999999998</v>
      </c>
      <c r="AX93" s="416">
        <v>63.540220000000005</v>
      </c>
      <c r="AY93" s="417">
        <v>67.301099999999991</v>
      </c>
      <c r="AZ93" s="416">
        <v>67.647059999999996</v>
      </c>
      <c r="BA93" s="416">
        <f t="shared" ref="BA93" si="910">AZ93*(1+BA94)</f>
        <v>66.632354100000001</v>
      </c>
      <c r="BB93" s="416">
        <f t="shared" ref="BB93:BD93" si="911">BA93*(1+BB94)</f>
        <v>68.631324723000006</v>
      </c>
      <c r="BC93" s="416">
        <f t="shared" si="911"/>
        <v>70.690264464690003</v>
      </c>
      <c r="BD93" s="477">
        <f t="shared" si="911"/>
        <v>72.81097239863071</v>
      </c>
      <c r="BE93" s="416"/>
      <c r="BF93" s="416"/>
      <c r="BG93" s="417"/>
      <c r="BH93" s="416"/>
      <c r="BI93" s="416"/>
      <c r="BJ93" s="416"/>
      <c r="BK93" s="417"/>
      <c r="BL93" s="416"/>
      <c r="BM93" s="416"/>
      <c r="BN93" s="416"/>
      <c r="BO93" s="417"/>
      <c r="BP93" s="1470"/>
      <c r="BQ93" s="410"/>
      <c r="BR93" s="404"/>
      <c r="BS93" s="404"/>
      <c r="BT93" s="404"/>
      <c r="BU93" s="404"/>
      <c r="BV93" s="404"/>
      <c r="BW93" s="404"/>
      <c r="BX93" s="404"/>
      <c r="BY93" s="404"/>
      <c r="BZ93" s="404"/>
      <c r="CA93" s="404"/>
      <c r="CB93" s="404"/>
      <c r="CC93" s="404">
        <f>SUM(AZ93:BC93)</f>
        <v>273.60100328768999</v>
      </c>
      <c r="CD93" s="404"/>
      <c r="CE93" s="404"/>
      <c r="CF93" s="405"/>
      <c r="CG93" s="1031"/>
    </row>
    <row r="94" spans="1:89" ht="14.25" hidden="1" customHeight="1" outlineLevel="1">
      <c r="A94" s="634"/>
      <c r="B94" s="1233" t="s">
        <v>152</v>
      </c>
      <c r="C94" s="261"/>
      <c r="D94" s="1257"/>
      <c r="E94" s="1253"/>
      <c r="F94" s="1253"/>
      <c r="G94" s="1254"/>
      <c r="H94" s="1257"/>
      <c r="I94" s="1253"/>
      <c r="J94" s="1253"/>
      <c r="K94" s="1254"/>
      <c r="L94" s="1257">
        <f t="shared" ref="L94" si="912">L93/K93-1</f>
        <v>-0.11002498604502808</v>
      </c>
      <c r="M94" s="1253">
        <f t="shared" ref="M94" si="913">M93/L93-1</f>
        <v>-0.1057145333131505</v>
      </c>
      <c r="N94" s="1253">
        <f t="shared" ref="N94" si="914">N93/M93-1</f>
        <v>0.11930494467125596</v>
      </c>
      <c r="O94" s="1254">
        <f t="shared" ref="O94" si="915">O93/N93-1</f>
        <v>2.1523926550111039E-3</v>
      </c>
      <c r="P94" s="1257">
        <f t="shared" ref="P94" si="916">P93/O93-1</f>
        <v>4.197286258333266E-2</v>
      </c>
      <c r="Q94" s="1253">
        <f t="shared" ref="Q94" si="917">Q93/P93-1</f>
        <v>0.12839375086589055</v>
      </c>
      <c r="R94" s="1253">
        <f t="shared" ref="R94" si="918">R93/Q93-1</f>
        <v>-0.11633985674238811</v>
      </c>
      <c r="S94" s="1254">
        <f t="shared" ref="S94" si="919">S93/R93-1</f>
        <v>-2.3036450870565717E-2</v>
      </c>
      <c r="T94" s="1257">
        <f t="shared" ref="T94" si="920">T93/S93-1</f>
        <v>-0.30780265592495437</v>
      </c>
      <c r="U94" s="1253">
        <f t="shared" ref="U94" si="921">U93/T93-1</f>
        <v>9.6602192651567442E-2</v>
      </c>
      <c r="V94" s="1253">
        <f t="shared" ref="V94" si="922">V93/U93-1</f>
        <v>-0.11698368288405181</v>
      </c>
      <c r="W94" s="1254">
        <f t="shared" ref="W94" si="923">W93/V93-1</f>
        <v>-6.0552120655341213E-2</v>
      </c>
      <c r="X94" s="1257">
        <f t="shared" ref="X94" si="924">X93/W93-1</f>
        <v>0.17613935531228608</v>
      </c>
      <c r="Y94" s="1253">
        <f t="shared" ref="Y94" si="925">Y93/X93-1</f>
        <v>0.12096862273954212</v>
      </c>
      <c r="Z94" s="1253">
        <f t="shared" ref="Z94" si="926">Z93/Y93-1</f>
        <v>0.12714768215749506</v>
      </c>
      <c r="AA94" s="1254">
        <f t="shared" ref="AA94" si="927">AA93/Z93-1</f>
        <v>0.10738957668763005</v>
      </c>
      <c r="AB94" s="1257">
        <f t="shared" ref="AB94" si="928">AB93/AA93-1</f>
        <v>-5.3925990070133545E-2</v>
      </c>
      <c r="AC94" s="1253">
        <f t="shared" ref="AC94" si="929">AC93/AB93-1</f>
        <v>-7.932047515646945E-2</v>
      </c>
      <c r="AD94" s="1253">
        <f t="shared" ref="AD94" si="930">AD93/AC93-1</f>
        <v>1.5190038279462748E-2</v>
      </c>
      <c r="AE94" s="1254">
        <f t="shared" ref="AE94" si="931">AE93/AD93-1</f>
        <v>-0.11987312429010444</v>
      </c>
      <c r="AF94" s="1257">
        <f t="shared" ref="AF94" si="932">AF93/AE93-1</f>
        <v>-0.10786554316197861</v>
      </c>
      <c r="AG94" s="1253">
        <f t="shared" ref="AG94" si="933">AG93/AF93-1</f>
        <v>6.1236762442539394E-2</v>
      </c>
      <c r="AH94" s="1253">
        <f t="shared" ref="AH94" si="934">AH93/AG93-1</f>
        <v>8.4950873519722414E-3</v>
      </c>
      <c r="AI94" s="1253">
        <f t="shared" ref="AI94" si="935">AI93/AH93-1</f>
        <v>6.3926440547219965E-2</v>
      </c>
      <c r="AJ94" s="1257">
        <f t="shared" ref="AJ94" si="936">AJ93/AI93-1</f>
        <v>-0.1305196781449065</v>
      </c>
      <c r="AK94" s="1253">
        <f t="shared" ref="AK94" si="937">AK93/AJ93-1</f>
        <v>-1.8727632824153684E-2</v>
      </c>
      <c r="AL94" s="1253">
        <f t="shared" ref="AL94" si="938">AL93/AK93-1</f>
        <v>4.0449288171372944E-2</v>
      </c>
      <c r="AM94" s="1254">
        <f t="shared" ref="AM94" si="939">AM93/AL93-1</f>
        <v>4.0004277878783467E-2</v>
      </c>
      <c r="AN94" s="1257">
        <f t="shared" ref="AN94" si="940">AN93/AM93-1</f>
        <v>-1.5004601541713125E-2</v>
      </c>
      <c r="AO94" s="1253">
        <f t="shared" ref="AO94" si="941">AO93/AN93-1</f>
        <v>4.0065750149432144E-2</v>
      </c>
      <c r="AP94" s="1253">
        <f t="shared" ref="AP94" si="942">AP93/AO93-1</f>
        <v>-4.3751159608632628E-3</v>
      </c>
      <c r="AQ94" s="1254">
        <f t="shared" ref="AQ94" si="943">AQ93/AP93-1</f>
        <v>6.8854805007307895E-2</v>
      </c>
      <c r="AR94" s="1257">
        <f t="shared" ref="AR94" si="944">AR93/AQ93-1</f>
        <v>-9.7325904166442156E-2</v>
      </c>
      <c r="AS94" s="1253">
        <f t="shared" ref="AS94" si="945">AS93/AR93-1</f>
        <v>1.0726676295077286E-2</v>
      </c>
      <c r="AT94" s="1253">
        <f t="shared" ref="AT94" si="946">AT93/AS93-1</f>
        <v>8.8485788244672126E-3</v>
      </c>
      <c r="AU94" s="1254">
        <f t="shared" ref="AU94" si="947">AU93/AT93-1</f>
        <v>-9.8992576742568228E-2</v>
      </c>
      <c r="AV94" s="1253">
        <f t="shared" ref="AV94" si="948">AV93/AU93-1</f>
        <v>1.5240540833009186E-2</v>
      </c>
      <c r="AW94" s="1253">
        <f t="shared" ref="AW94" si="949">AW93/AV93-1</f>
        <v>4.0322301859832654E-2</v>
      </c>
      <c r="AX94" s="1253">
        <f t="shared" ref="AX94" si="950">AX93/AW93-1</f>
        <v>-2.2495750163455175E-2</v>
      </c>
      <c r="AY94" s="1254">
        <f t="shared" ref="AY94" si="951">AY93/AX93-1</f>
        <v>5.9188967239962142E-2</v>
      </c>
      <c r="AZ94" s="1321">
        <f t="shared" ref="AZ94" si="952">AZ93/AY93-1</f>
        <v>5.1404806162158589E-3</v>
      </c>
      <c r="BA94" s="1331">
        <v>-1.4999999999999999E-2</v>
      </c>
      <c r="BB94" s="1331">
        <v>0.03</v>
      </c>
      <c r="BC94" s="1331">
        <v>0.03</v>
      </c>
      <c r="BD94" s="98">
        <v>0.03</v>
      </c>
      <c r="BE94" s="1331"/>
      <c r="BF94" s="1331"/>
      <c r="BG94" s="1332"/>
      <c r="BH94" s="1255"/>
      <c r="BI94" s="1255"/>
      <c r="BJ94" s="1255"/>
      <c r="BK94" s="1256"/>
      <c r="BL94" s="1331"/>
      <c r="BM94" s="1331"/>
      <c r="BN94" s="1331"/>
      <c r="BO94" s="1332"/>
      <c r="BP94" s="23"/>
      <c r="BQ94" s="1277"/>
      <c r="BR94" s="1271"/>
      <c r="BS94" s="1271"/>
      <c r="BT94" s="1271"/>
      <c r="BU94" s="1425"/>
      <c r="BV94" s="1425"/>
      <c r="BW94" s="1425"/>
      <c r="BX94" s="1425"/>
      <c r="BY94" s="1425"/>
      <c r="BZ94" s="1425"/>
      <c r="CA94" s="1425"/>
      <c r="CB94" s="1271"/>
      <c r="CC94" s="1324"/>
      <c r="CD94" s="1324"/>
      <c r="CE94" s="1425"/>
      <c r="CF94" s="1426"/>
      <c r="CG94" s="1031"/>
    </row>
    <row r="95" spans="1:89" ht="14.25" hidden="1" customHeight="1" outlineLevel="1">
      <c r="A95" s="634"/>
      <c r="B95" s="1233" t="s">
        <v>313</v>
      </c>
      <c r="C95" s="261"/>
      <c r="D95" s="1257"/>
      <c r="E95" s="1253"/>
      <c r="F95" s="1253"/>
      <c r="G95" s="1254"/>
      <c r="H95" s="1257"/>
      <c r="I95" s="1253"/>
      <c r="J95" s="1253"/>
      <c r="K95" s="1254"/>
      <c r="L95" s="1257"/>
      <c r="M95" s="1253"/>
      <c r="N95" s="1253"/>
      <c r="O95" s="1254"/>
      <c r="P95" s="1257"/>
      <c r="Q95" s="1253"/>
      <c r="R95" s="1253"/>
      <c r="S95" s="1254"/>
      <c r="T95" s="1257"/>
      <c r="U95" s="1253"/>
      <c r="V95" s="1253"/>
      <c r="W95" s="1254"/>
      <c r="X95" s="1257"/>
      <c r="Y95" s="1253"/>
      <c r="Z95" s="1253"/>
      <c r="AA95" s="1254"/>
      <c r="AB95" s="1257"/>
      <c r="AC95" s="1253"/>
      <c r="AD95" s="1253"/>
      <c r="AE95" s="1254"/>
      <c r="AF95" s="1253"/>
      <c r="AG95" s="1258">
        <f t="shared" ref="AG95" si="953">AVERAGE(AC94,Y94,U94,U94,Q94,M94,I94)</f>
        <v>4.2921958406491267E-2</v>
      </c>
      <c r="AH95" s="1258">
        <f t="shared" ref="AH95" si="954">AVERAGE(AD94,Z94,V94,V94,R94,N94,J94)</f>
        <v>-1.4777426233712995E-2</v>
      </c>
      <c r="AI95" s="1253">
        <f t="shared" ref="AI95" si="955">AVERAGE(AE94,AA94,W94,W94,S94,O94,K94)</f>
        <v>-2.5745307854785238E-2</v>
      </c>
      <c r="AJ95" s="1257">
        <f t="shared" ref="AJ95" si="956">AVERAGE(AF94,AB94,X94,X94,T94,P94,L94)</f>
        <v>-2.6481085999169967E-2</v>
      </c>
      <c r="AK95" s="1253">
        <f t="shared" ref="AK95" si="957">AVERAGE(AG94,AC94,Y94,Y94,U94,Q94,M94)</f>
        <v>4.9019277567065957E-2</v>
      </c>
      <c r="AL95" s="1258">
        <f t="shared" ref="AL95" si="958">AVERAGE(AH94,AD94,Z94,Z94,V94,R94,N94)</f>
        <v>2.3423127855891592E-2</v>
      </c>
      <c r="AM95" s="1254">
        <f t="shared" ref="AM95" si="959">AVERAGE(AI94,AE94,AA94,AA94,W94,S94,O94)</f>
        <v>1.1056612965925685E-2</v>
      </c>
      <c r="AN95" s="1257">
        <f t="shared" ref="AN95" si="960">AVERAGE(AJ94,AF94,AB94,AB94,X94,T94,P94)</f>
        <v>-6.2275377068069689E-2</v>
      </c>
      <c r="AO95" s="1253">
        <f t="shared" ref="AO95" si="961">AVERAGE(AK94,AG94,AC94,AC94,Y94,U94,Q94)</f>
        <v>3.2833249366063848E-2</v>
      </c>
      <c r="AP95" s="1258">
        <f t="shared" ref="AP95" si="962">AVERAGE(AL94,AH94,AD94,AD94,Z94,V94,R94)</f>
        <v>-3.8359150552391696E-3</v>
      </c>
      <c r="AQ95" s="1254">
        <f t="shared" ref="AQ95" si="963">AVERAGE(AM94,AI94,AE94,AE94,AA94,W94,S94)</f>
        <v>-1.6002074998926048E-2</v>
      </c>
      <c r="AR95" s="1257">
        <f t="shared" ref="AR95" si="964">AVERAGE(AN94,AJ94,AF94,AF94,AB94,X94,T94)</f>
        <v>-7.8120665241911233E-2</v>
      </c>
      <c r="AS95" s="1253">
        <f t="shared" ref="AS95" si="965">AVERAGE(AO94,AK94,AG94,AG94,AC94,Y94,U94)</f>
        <v>4.0294568920713911E-2</v>
      </c>
      <c r="AT95" s="1258">
        <f t="shared" ref="AT95" si="966">AVERAGE(AP94,AL94,AH94,AH94,AD94,Z94,V94)</f>
        <v>1.1202626352480023E-2</v>
      </c>
      <c r="AU95" s="1254">
        <f t="shared" ref="AU95" si="967">AVERAGE(AQ94,AM94,AI94,AI94,AE94,AA94,W94)</f>
        <v>2.3382327960387955E-2</v>
      </c>
      <c r="AV95" s="1258">
        <f t="shared" ref="AV95" si="968">AVERAGE(AR94,AN94,AJ94,AJ94,AF94,AB94,X94)</f>
        <v>-5.1288862845399193E-2</v>
      </c>
      <c r="AW95" s="1258">
        <f t="shared" ref="AW95" si="969">AVERAGE(AS94,AO94,AK94,AK94,AG94,AC94,Y94)</f>
        <v>1.6603152974544875E-2</v>
      </c>
      <c r="AX95" s="1258">
        <f t="shared" ref="AX95" si="970">AVERAGE(AT94,AP94,AL94,AL94,AH94,AD94,Z94)</f>
        <v>3.3743549570754268E-2</v>
      </c>
      <c r="AY95" s="1254">
        <f t="shared" ref="AY95" si="971">AVERAGE(AU94,AQ94,AM94,AM94,AI94,AE94,AA94)</f>
        <v>1.4473382423864598E-2</v>
      </c>
      <c r="AZ95" s="1321">
        <f t="shared" ref="AZ95" si="972">AVERAGE(AV94,AR94,AN94,AN94,AJ94,AF94,AB94)</f>
        <v>-5.777225397055398E-2</v>
      </c>
      <c r="BA95" s="1321">
        <f t="shared" ref="BA95" si="973">AW95</f>
        <v>1.6603152974544875E-2</v>
      </c>
      <c r="BB95" s="1321">
        <f t="shared" ref="BB95:BD95" si="974">AX95</f>
        <v>3.3743549570754268E-2</v>
      </c>
      <c r="BC95" s="1389">
        <f t="shared" si="974"/>
        <v>1.4473382423864598E-2</v>
      </c>
      <c r="BD95" s="1323">
        <f t="shared" si="974"/>
        <v>-5.777225397055398E-2</v>
      </c>
      <c r="BE95" s="1253"/>
      <c r="BF95" s="1253"/>
      <c r="BG95" s="1254"/>
      <c r="BH95" s="1253"/>
      <c r="BI95" s="1253"/>
      <c r="BJ95" s="1253"/>
      <c r="BK95" s="1254"/>
      <c r="BL95" s="1389"/>
      <c r="BM95" s="1389"/>
      <c r="BN95" s="1389"/>
      <c r="BO95" s="1322"/>
      <c r="BP95" s="23"/>
      <c r="BQ95" s="462"/>
      <c r="BR95" s="473"/>
      <c r="BS95" s="473"/>
      <c r="BT95" s="473"/>
      <c r="BU95" s="473"/>
      <c r="BV95" s="473"/>
      <c r="BW95" s="473"/>
      <c r="BX95" s="473"/>
      <c r="BY95" s="473"/>
      <c r="BZ95" s="473"/>
      <c r="CA95" s="473"/>
      <c r="CB95" s="413"/>
      <c r="CC95" s="1324"/>
      <c r="CD95" s="413"/>
      <c r="CE95" s="413"/>
      <c r="CF95" s="412"/>
      <c r="CG95" s="1031"/>
    </row>
    <row r="96" spans="1:89" ht="14.25" hidden="1" customHeight="1" outlineLevel="1">
      <c r="A96" s="634"/>
      <c r="B96" s="1233" t="s">
        <v>153</v>
      </c>
      <c r="C96" s="39"/>
      <c r="D96" s="1257"/>
      <c r="E96" s="1253"/>
      <c r="F96" s="1253"/>
      <c r="G96" s="1254"/>
      <c r="H96" s="1257"/>
      <c r="I96" s="1253"/>
      <c r="J96" s="1253"/>
      <c r="K96" s="1254"/>
      <c r="L96" s="1257"/>
      <c r="M96" s="1253"/>
      <c r="N96" s="1253"/>
      <c r="O96" s="1254">
        <f t="shared" ref="O96" si="975">O93/K93-1</f>
        <v>-0.10723701221029835</v>
      </c>
      <c r="P96" s="1257">
        <f t="shared" ref="P96" si="976">P93/L93-1</f>
        <v>4.5236991386759851E-2</v>
      </c>
      <c r="Q96" s="1253">
        <f t="shared" ref="Q96" si="977">Q93/M93-1</f>
        <v>0.31886174291109959</v>
      </c>
      <c r="R96" s="1253">
        <f t="shared" ref="R96" si="978">R93/N93-1</f>
        <v>4.1204688879575846E-2</v>
      </c>
      <c r="S96" s="1254">
        <f t="shared" ref="S96" si="979">S93/O93-1</f>
        <v>1.5034275897971572E-2</v>
      </c>
      <c r="T96" s="1257">
        <f t="shared" ref="T96" si="980">T93/P93-1</f>
        <v>-0.32569834095317274</v>
      </c>
      <c r="U96" s="1253">
        <f t="shared" ref="U96" si="981">U93/Q93-1</f>
        <v>-0.34469623103467284</v>
      </c>
      <c r="V96" s="1253">
        <f t="shared" ref="V96" si="982">V93/R93-1</f>
        <v>-0.34517367895445261</v>
      </c>
      <c r="W96" s="1254">
        <f t="shared" ref="W96" si="983">W93/S93-1</f>
        <v>-0.37031919031832594</v>
      </c>
      <c r="X96" s="1257">
        <f t="shared" ref="X96" si="984">X93/T93-1</f>
        <v>6.9915086919533298E-2</v>
      </c>
      <c r="Y96" s="1253">
        <f t="shared" ref="Y96" si="985">Y93/U93-1</f>
        <v>9.3688531237072992E-2</v>
      </c>
      <c r="Z96" s="1253">
        <f t="shared" ref="Z96" si="986">Z93/V93-1</f>
        <v>0.3960653603915576</v>
      </c>
      <c r="AA96" s="1254">
        <f t="shared" ref="AA96" si="987">AA93/W93-1</f>
        <v>0.64563491223240943</v>
      </c>
      <c r="AB96" s="1257">
        <f t="shared" ref="AB96" si="988">AB93/X93-1</f>
        <v>0.32373125111770151</v>
      </c>
      <c r="AC96" s="1253">
        <f t="shared" ref="AC96" si="989">AC93/Y93-1</f>
        <v>8.7213535309409673E-2</v>
      </c>
      <c r="AD96" s="1253">
        <f t="shared" ref="AD96" si="990">AD93/Z93-1</f>
        <v>-2.0777518331899447E-2</v>
      </c>
      <c r="AE96" s="1254">
        <f t="shared" ref="AE96" si="991">AE93/AA93-1</f>
        <v>-0.22173728057534203</v>
      </c>
      <c r="AF96" s="1258">
        <f t="shared" ref="AF96" si="992">AF93/AB93-1</f>
        <v>-0.26610922487695321</v>
      </c>
      <c r="AG96" s="1258">
        <f t="shared" ref="AG96" si="993">AG93/AC93-1</f>
        <v>-0.15406843623421473</v>
      </c>
      <c r="AH96" s="1253">
        <f t="shared" ref="AH96" si="994">AH93/AD93-1</f>
        <v>-0.15964716543158319</v>
      </c>
      <c r="AI96" s="1253">
        <f t="shared" ref="AI96" si="995">AI93/AE93-1</f>
        <v>1.5846265761396694E-2</v>
      </c>
      <c r="AJ96" s="1257">
        <f t="shared" ref="AJ96" si="996">AJ93/AF93-1</f>
        <v>-9.9493060272179967E-3</v>
      </c>
      <c r="AK96" s="1253">
        <f t="shared" ref="AK96" si="997">AK93/AG93-1</f>
        <v>-8.4549817269109706E-2</v>
      </c>
      <c r="AL96" s="1253">
        <f t="shared" ref="AL96" si="998">AL93/AH93-1</f>
        <v>-5.5543747387352682E-2</v>
      </c>
      <c r="AM96" s="1254">
        <f t="shared" ref="AM96" si="999">AM93/AI93-1</f>
        <v>-7.6779647960141251E-2</v>
      </c>
      <c r="AN96" s="1257">
        <f t="shared" ref="AN96" si="1000">AN93/AJ93-1</f>
        <v>4.5875076944932536E-2</v>
      </c>
      <c r="AO96" s="1253">
        <f t="shared" ref="AO96" si="1001">AO93/AK93-1</f>
        <v>0.10853916084074711</v>
      </c>
      <c r="AP96" s="1253">
        <f t="shared" ref="AP96" si="1002">AP93/AL93-1</f>
        <v>6.078132400348335E-2</v>
      </c>
      <c r="AQ96" s="1254">
        <f t="shared" ref="AQ96" si="1003">AQ93/AM93-1</f>
        <v>9.0208222542800476E-2</v>
      </c>
      <c r="AR96" s="1257">
        <f t="shared" ref="AR96" si="1004">AR93/AN93-1</f>
        <v>-9.0627520245412097E-4</v>
      </c>
      <c r="AS96" s="1253">
        <f>AS93/AO93-1</f>
        <v>-2.9089574743897728E-2</v>
      </c>
      <c r="AT96" s="1253">
        <f>AT93/AP93-1</f>
        <v>-1.619413256150104E-2</v>
      </c>
      <c r="AU96" s="1254">
        <f t="shared" ref="AU96" si="1005">AU93/AQ93-1</f>
        <v>-0.17068587290465165</v>
      </c>
      <c r="AV96" s="1253">
        <f>AV93/AR93-1</f>
        <v>-6.7267658616867676E-2</v>
      </c>
      <c r="AW96" s="1253">
        <f>AW93/AS93-1</f>
        <v>-3.9955826669480055E-2</v>
      </c>
      <c r="AX96" s="1253">
        <f>AX93/AT93-1</f>
        <v>-6.9783831628235649E-2</v>
      </c>
      <c r="AY96" s="1254">
        <f t="shared" ref="AY96" si="1006">AY93/AU93-1</f>
        <v>9.3525621715211615E-2</v>
      </c>
      <c r="AZ96" s="1321">
        <f>AZ93/AV93-1</f>
        <v>8.2646747021271727E-2</v>
      </c>
      <c r="BA96" s="1321">
        <f t="shared" ref="BA96" si="1007">BA93/AW93-1</f>
        <v>2.5073714087919807E-2</v>
      </c>
      <c r="BB96" s="1321">
        <f t="shared" ref="BB96:BD96" si="1008">BB93/AX93-1</f>
        <v>8.0124128040475862E-2</v>
      </c>
      <c r="BC96" s="1389">
        <f t="shared" si="1008"/>
        <v>5.035823284745744E-2</v>
      </c>
      <c r="BD96" s="1323">
        <f t="shared" si="1008"/>
        <v>7.633609500000027E-2</v>
      </c>
      <c r="BE96" s="1253"/>
      <c r="BF96" s="1253"/>
      <c r="BG96" s="1254"/>
      <c r="BH96" s="1253"/>
      <c r="BI96" s="1253"/>
      <c r="BJ96" s="1253"/>
      <c r="BK96" s="1254"/>
      <c r="BL96" s="1389"/>
      <c r="BM96" s="1389"/>
      <c r="BN96" s="1389"/>
      <c r="BO96" s="1322"/>
      <c r="BP96" s="23"/>
      <c r="BQ96" s="823"/>
      <c r="BR96" s="413"/>
      <c r="BS96" s="413"/>
      <c r="BT96" s="413"/>
      <c r="BU96" s="413"/>
      <c r="BV96" s="413"/>
      <c r="BW96" s="413"/>
      <c r="BX96" s="413"/>
      <c r="BY96" s="413"/>
      <c r="BZ96" s="413"/>
      <c r="CA96" s="413"/>
      <c r="CB96" s="413"/>
      <c r="CC96" s="413"/>
      <c r="CD96" s="413"/>
      <c r="CE96" s="413"/>
      <c r="CF96" s="412"/>
      <c r="CG96" s="1031"/>
    </row>
    <row r="97" spans="1:89" ht="14.25" hidden="1" customHeight="1" outlineLevel="1">
      <c r="A97" s="634"/>
      <c r="B97" s="1233" t="s">
        <v>602</v>
      </c>
      <c r="C97" s="813"/>
      <c r="D97" s="1321"/>
      <c r="E97" s="1321"/>
      <c r="F97" s="1321"/>
      <c r="G97" s="1322"/>
      <c r="H97" s="1321"/>
      <c r="I97" s="1321"/>
      <c r="J97" s="1321"/>
      <c r="K97" s="1322"/>
      <c r="L97" s="1321"/>
      <c r="M97" s="1321"/>
      <c r="N97" s="1321"/>
      <c r="O97" s="1322"/>
      <c r="P97" s="1321"/>
      <c r="Q97" s="1321"/>
      <c r="R97" s="1321"/>
      <c r="S97" s="1322"/>
      <c r="T97" s="1321"/>
      <c r="U97" s="1321"/>
      <c r="V97" s="1321"/>
      <c r="W97" s="1322"/>
      <c r="X97" s="1321"/>
      <c r="Y97" s="1321"/>
      <c r="Z97" s="1321"/>
      <c r="AA97" s="1322"/>
      <c r="AB97" s="1321"/>
      <c r="AC97" s="1321"/>
      <c r="AD97" s="1321"/>
      <c r="AE97" s="1322"/>
      <c r="AF97" s="1324"/>
      <c r="AG97" s="1324"/>
      <c r="AH97" s="1321"/>
      <c r="AI97" s="1321"/>
      <c r="AJ97" s="1323"/>
      <c r="AK97" s="1321"/>
      <c r="AL97" s="1321"/>
      <c r="AM97" s="1322"/>
      <c r="AN97" s="1321"/>
      <c r="AO97" s="1321"/>
      <c r="AP97" s="1321"/>
      <c r="AQ97" s="1322"/>
      <c r="AR97" s="1321"/>
      <c r="AS97" s="1321"/>
      <c r="AT97" s="1321"/>
      <c r="AU97" s="1322"/>
      <c r="AV97" s="1321"/>
      <c r="AW97" s="1321"/>
      <c r="AX97" s="1321"/>
      <c r="AY97" s="1322"/>
      <c r="AZ97" s="1321"/>
      <c r="BA97" s="1321">
        <f>BA93/BA$136</f>
        <v>0.17770865273060388</v>
      </c>
      <c r="BB97" s="1321">
        <f t="shared" ref="BB97:BC97" si="1009">BB93/BB$136</f>
        <v>0.17602247703071136</v>
      </c>
      <c r="BC97" s="1389">
        <f t="shared" si="1009"/>
        <v>0.17419989000071509</v>
      </c>
      <c r="BD97" s="1323">
        <f t="shared" ref="BD97" si="1010">BD93/BD$136</f>
        <v>0.17224722994213532</v>
      </c>
      <c r="BE97" s="1321"/>
      <c r="BF97" s="1321"/>
      <c r="BG97" s="1322"/>
      <c r="BH97" s="1321"/>
      <c r="BI97" s="1321"/>
      <c r="BJ97" s="1321"/>
      <c r="BK97" s="1321"/>
      <c r="BL97" s="1389"/>
      <c r="BM97" s="1389"/>
      <c r="BN97" s="1389"/>
      <c r="BO97" s="1389"/>
      <c r="BP97" s="23"/>
      <c r="BQ97" s="823"/>
      <c r="BR97" s="413"/>
      <c r="BS97" s="413"/>
      <c r="BT97" s="413"/>
      <c r="BU97" s="413"/>
      <c r="BV97" s="413"/>
      <c r="BW97" s="413"/>
      <c r="BX97" s="413"/>
      <c r="BY97" s="413"/>
      <c r="BZ97" s="413"/>
      <c r="CA97" s="413"/>
      <c r="CB97" s="413"/>
      <c r="CC97" s="413"/>
      <c r="CD97" s="413"/>
      <c r="CE97" s="413"/>
      <c r="CF97" s="412"/>
      <c r="CG97" s="1031"/>
    </row>
    <row r="98" spans="1:89" ht="14.25" hidden="1" customHeight="1" outlineLevel="1">
      <c r="A98" s="634"/>
      <c r="B98" s="1333" t="s">
        <v>593</v>
      </c>
      <c r="C98" s="813"/>
      <c r="D98" s="1321"/>
      <c r="E98" s="1321"/>
      <c r="F98" s="1321"/>
      <c r="G98" s="1322"/>
      <c r="H98" s="1321"/>
      <c r="I98" s="1321"/>
      <c r="J98" s="1321"/>
      <c r="K98" s="1322"/>
      <c r="L98" s="1321"/>
      <c r="M98" s="1321"/>
      <c r="N98" s="1321"/>
      <c r="O98" s="1322"/>
      <c r="P98" s="1321"/>
      <c r="Q98" s="1321"/>
      <c r="R98" s="1321"/>
      <c r="S98" s="1322"/>
      <c r="T98" s="1321"/>
      <c r="U98" s="1321"/>
      <c r="V98" s="1321"/>
      <c r="W98" s="1322"/>
      <c r="X98" s="1321"/>
      <c r="Y98" s="1321"/>
      <c r="Z98" s="1321"/>
      <c r="AA98" s="1322"/>
      <c r="AB98" s="1321"/>
      <c r="AC98" s="1321"/>
      <c r="AD98" s="1321"/>
      <c r="AE98" s="1322"/>
      <c r="AF98" s="1324"/>
      <c r="AG98" s="1324"/>
      <c r="AH98" s="1321"/>
      <c r="AI98" s="1321"/>
      <c r="AJ98" s="1323"/>
      <c r="AK98" s="1321"/>
      <c r="AL98" s="1321"/>
      <c r="AM98" s="1322"/>
      <c r="AN98" s="1321"/>
      <c r="AO98" s="1321"/>
      <c r="AP98" s="1321"/>
      <c r="AQ98" s="1322"/>
      <c r="AR98" s="1321"/>
      <c r="AS98" s="1321"/>
      <c r="AT98" s="1321"/>
      <c r="AU98" s="1322"/>
      <c r="AV98" s="1321"/>
      <c r="AW98" s="1321"/>
      <c r="AX98" s="1321"/>
      <c r="AY98" s="1322"/>
      <c r="AZ98" s="1317"/>
      <c r="BA98" s="1317">
        <f>5/9*BA93</f>
        <v>37.017974500000001</v>
      </c>
      <c r="BB98" s="1317">
        <f>BB93</f>
        <v>68.631324723000006</v>
      </c>
      <c r="BC98" s="1317">
        <f>BC93</f>
        <v>70.690264464690003</v>
      </c>
      <c r="BD98" s="1479">
        <f>BD93</f>
        <v>72.81097239863071</v>
      </c>
      <c r="BE98" s="1317"/>
      <c r="BF98" s="1317"/>
      <c r="BG98" s="1316"/>
      <c r="BH98" s="1317"/>
      <c r="BI98" s="1317"/>
      <c r="BJ98" s="1317"/>
      <c r="BK98" s="1317"/>
      <c r="BL98" s="1317"/>
      <c r="BM98" s="1317"/>
      <c r="BN98" s="1317"/>
      <c r="BO98" s="1317"/>
      <c r="BP98" s="1471"/>
      <c r="BQ98" s="1325"/>
      <c r="BR98" s="1321"/>
      <c r="BS98" s="1321"/>
      <c r="BT98" s="1321"/>
      <c r="BU98" s="1389"/>
      <c r="BV98" s="1389"/>
      <c r="BW98" s="1389"/>
      <c r="BX98" s="1389"/>
      <c r="BY98" s="1389"/>
      <c r="BZ98" s="1389"/>
      <c r="CA98" s="1389"/>
      <c r="CB98" s="1324"/>
      <c r="CC98" s="404">
        <f>CC80-CC87</f>
        <v>139.32158918769005</v>
      </c>
      <c r="CD98" s="404"/>
      <c r="CE98" s="404"/>
      <c r="CF98" s="405"/>
      <c r="CG98" s="1031"/>
    </row>
    <row r="99" spans="1:89" ht="14.25" hidden="1" customHeight="1" outlineLevel="1">
      <c r="A99" s="634"/>
      <c r="B99" s="1333" t="s">
        <v>153</v>
      </c>
      <c r="C99" s="813"/>
      <c r="D99" s="1321"/>
      <c r="E99" s="1321"/>
      <c r="F99" s="1321"/>
      <c r="G99" s="1322"/>
      <c r="H99" s="1321"/>
      <c r="I99" s="1321"/>
      <c r="J99" s="1321"/>
      <c r="K99" s="1322"/>
      <c r="L99" s="1321"/>
      <c r="M99" s="1321"/>
      <c r="N99" s="1321"/>
      <c r="O99" s="1322"/>
      <c r="P99" s="1321"/>
      <c r="Q99" s="1321"/>
      <c r="R99" s="1321"/>
      <c r="S99" s="1322"/>
      <c r="T99" s="1321"/>
      <c r="U99" s="1321"/>
      <c r="V99" s="1321"/>
      <c r="W99" s="1322"/>
      <c r="X99" s="1321"/>
      <c r="Y99" s="1321"/>
      <c r="Z99" s="1321"/>
      <c r="AA99" s="1322"/>
      <c r="AB99" s="1321"/>
      <c r="AC99" s="1321"/>
      <c r="AD99" s="1321"/>
      <c r="AE99" s="1322"/>
      <c r="AF99" s="1324"/>
      <c r="AG99" s="1324"/>
      <c r="AH99" s="1321"/>
      <c r="AI99" s="1321"/>
      <c r="AJ99" s="1323"/>
      <c r="AK99" s="1321"/>
      <c r="AL99" s="1321"/>
      <c r="AM99" s="1322"/>
      <c r="AN99" s="1321"/>
      <c r="AO99" s="1321"/>
      <c r="AP99" s="1321"/>
      <c r="AQ99" s="1322"/>
      <c r="AR99" s="1321"/>
      <c r="AS99" s="1321"/>
      <c r="AT99" s="1321"/>
      <c r="AU99" s="1322"/>
      <c r="AV99" s="1321"/>
      <c r="AW99" s="1321"/>
      <c r="AX99" s="1321"/>
      <c r="AY99" s="1322"/>
      <c r="AZ99" s="1317"/>
      <c r="BA99" s="1321"/>
      <c r="BB99" s="1321"/>
      <c r="BC99" s="1389"/>
      <c r="BD99" s="1323"/>
      <c r="BE99" s="1321"/>
      <c r="BF99" s="1321"/>
      <c r="BG99" s="1322"/>
      <c r="BH99" s="1321"/>
      <c r="BI99" s="1321"/>
      <c r="BJ99" s="1321"/>
      <c r="BK99" s="1322"/>
      <c r="BL99" s="1389"/>
      <c r="BM99" s="1389"/>
      <c r="BN99" s="1389"/>
      <c r="BO99" s="1322"/>
      <c r="BP99" s="1471"/>
      <c r="BQ99" s="1325"/>
      <c r="BR99" s="1321"/>
      <c r="BS99" s="1321"/>
      <c r="BT99" s="1321"/>
      <c r="BU99" s="1389"/>
      <c r="BV99" s="1389"/>
      <c r="BW99" s="1389"/>
      <c r="BX99" s="1389"/>
      <c r="BY99" s="1389"/>
      <c r="BZ99" s="1389"/>
      <c r="CA99" s="1389"/>
      <c r="CB99" s="1324"/>
      <c r="CC99" s="1315"/>
      <c r="CD99" s="413"/>
      <c r="CE99" s="413"/>
      <c r="CF99" s="412"/>
      <c r="CG99" s="1031"/>
    </row>
    <row r="100" spans="1:89" ht="14.25" customHeight="1" collapsed="1">
      <c r="A100" s="634"/>
      <c r="B100" s="1234"/>
      <c r="C100" s="284"/>
      <c r="D100" s="1276"/>
      <c r="E100" s="1272"/>
      <c r="F100" s="1272"/>
      <c r="G100" s="1273"/>
      <c r="H100" s="1276"/>
      <c r="I100" s="1272"/>
      <c r="J100" s="1272"/>
      <c r="K100" s="1273"/>
      <c r="L100" s="1276"/>
      <c r="M100" s="1272"/>
      <c r="N100" s="1272"/>
      <c r="O100" s="1273"/>
      <c r="P100" s="1276"/>
      <c r="Q100" s="1272"/>
      <c r="R100" s="1272"/>
      <c r="S100" s="1273"/>
      <c r="T100" s="1276"/>
      <c r="U100" s="1272"/>
      <c r="V100" s="1272"/>
      <c r="W100" s="1273"/>
      <c r="X100" s="1276"/>
      <c r="Y100" s="1272"/>
      <c r="Z100" s="1272"/>
      <c r="AA100" s="1273"/>
      <c r="AB100" s="1276"/>
      <c r="AC100" s="1272"/>
      <c r="AD100" s="1272"/>
      <c r="AE100" s="1273"/>
      <c r="AF100" s="244"/>
      <c r="AG100" s="342"/>
      <c r="AH100" s="1272"/>
      <c r="AI100" s="1274"/>
      <c r="AJ100" s="67"/>
      <c r="AK100" s="74"/>
      <c r="AL100" s="1272"/>
      <c r="AM100" s="1275"/>
      <c r="AN100" s="67"/>
      <c r="AO100" s="74"/>
      <c r="AP100" s="1272"/>
      <c r="AQ100" s="1275"/>
      <c r="AR100" s="67"/>
      <c r="AS100" s="74"/>
      <c r="AT100" s="1272"/>
      <c r="AU100" s="1275"/>
      <c r="AV100" s="1272"/>
      <c r="AW100" s="74"/>
      <c r="AX100" s="74"/>
      <c r="AY100" s="68"/>
      <c r="AZ100" s="74"/>
      <c r="BA100" s="74"/>
      <c r="BB100" s="74"/>
      <c r="BC100" s="74"/>
      <c r="BD100" s="26"/>
      <c r="BE100" s="74"/>
      <c r="BF100" s="74"/>
      <c r="BG100" s="68"/>
      <c r="BH100" s="74"/>
      <c r="BI100" s="74"/>
      <c r="BJ100" s="74"/>
      <c r="BK100" s="68"/>
      <c r="BL100" s="74"/>
      <c r="BM100" s="74"/>
      <c r="BN100" s="74"/>
      <c r="BO100" s="68"/>
      <c r="BP100" s="23"/>
      <c r="BQ100" s="18"/>
      <c r="BR100" s="244"/>
      <c r="BS100" s="244"/>
      <c r="BT100" s="244"/>
      <c r="BU100" s="244"/>
      <c r="BV100" s="244"/>
      <c r="BW100" s="244"/>
      <c r="BX100" s="244"/>
      <c r="BY100" s="244"/>
      <c r="BZ100" s="244"/>
      <c r="CA100" s="244"/>
      <c r="CB100" s="244"/>
      <c r="CC100" s="244"/>
      <c r="CD100" s="244"/>
      <c r="CE100" s="244"/>
      <c r="CF100" s="19"/>
      <c r="CG100" s="1031"/>
    </row>
    <row r="101" spans="1:89" ht="14.25" hidden="1" customHeight="1" outlineLevel="1">
      <c r="A101" s="634"/>
      <c r="B101" s="282" t="s">
        <v>286</v>
      </c>
      <c r="C101" s="341"/>
      <c r="D101" s="416"/>
      <c r="E101" s="416"/>
      <c r="F101" s="416"/>
      <c r="G101" s="415"/>
      <c r="H101" s="416">
        <f t="shared" ref="H101:W101" si="1011">H$244</f>
        <v>77.516999999999996</v>
      </c>
      <c r="I101" s="416">
        <f t="shared" si="1011"/>
        <v>71.611000000000004</v>
      </c>
      <c r="J101" s="416">
        <f t="shared" si="1011"/>
        <v>69.641999999999996</v>
      </c>
      <c r="K101" s="417">
        <f t="shared" si="1011"/>
        <v>80.074000000000012</v>
      </c>
      <c r="L101" s="416">
        <f t="shared" si="1011"/>
        <v>40.103999999999999</v>
      </c>
      <c r="M101" s="562">
        <f t="shared" si="1011"/>
        <v>34.582999999999998</v>
      </c>
      <c r="N101" s="416">
        <f t="shared" si="1011"/>
        <v>35.225999999999999</v>
      </c>
      <c r="O101" s="417">
        <f t="shared" si="1011"/>
        <v>30.118000000000009</v>
      </c>
      <c r="P101" s="416">
        <f t="shared" si="1011"/>
        <v>24.884</v>
      </c>
      <c r="Q101" s="416">
        <f t="shared" si="1011"/>
        <v>23.523</v>
      </c>
      <c r="R101" s="416">
        <f t="shared" si="1011"/>
        <v>25.027999999999999</v>
      </c>
      <c r="S101" s="417">
        <f t="shared" si="1011"/>
        <v>13.783000000000001</v>
      </c>
      <c r="T101" s="416">
        <f t="shared" si="1011"/>
        <v>14.250999999999999</v>
      </c>
      <c r="U101" s="416">
        <f t="shared" si="1011"/>
        <v>11.871</v>
      </c>
      <c r="V101" s="416">
        <f t="shared" si="1011"/>
        <v>10.612</v>
      </c>
      <c r="W101" s="417">
        <f t="shared" si="1011"/>
        <v>8.1739999999999995</v>
      </c>
      <c r="X101" s="416"/>
      <c r="Y101" s="416"/>
      <c r="Z101" s="416"/>
      <c r="AA101" s="417"/>
      <c r="AB101" s="416"/>
      <c r="AC101" s="416"/>
      <c r="AD101" s="416"/>
      <c r="AE101" s="417"/>
      <c r="AF101" s="416"/>
      <c r="AG101" s="416"/>
      <c r="AH101" s="416"/>
      <c r="AI101" s="475"/>
      <c r="AJ101" s="816"/>
      <c r="AK101" s="475"/>
      <c r="AL101" s="416"/>
      <c r="AM101" s="474"/>
      <c r="AN101" s="475"/>
      <c r="AO101" s="475"/>
      <c r="AP101" s="416"/>
      <c r="AQ101" s="474"/>
      <c r="AR101" s="475"/>
      <c r="AS101" s="475"/>
      <c r="AT101" s="416"/>
      <c r="AU101" s="474"/>
      <c r="AV101" s="416"/>
      <c r="AW101" s="475"/>
      <c r="AX101" s="416"/>
      <c r="AY101" s="474"/>
      <c r="AZ101" s="416"/>
      <c r="BA101" s="475"/>
      <c r="BB101" s="475"/>
      <c r="BC101" s="475"/>
      <c r="BD101" s="1062"/>
      <c r="BE101" s="475"/>
      <c r="BF101" s="475"/>
      <c r="BG101" s="474"/>
      <c r="BH101" s="475"/>
      <c r="BI101" s="475"/>
      <c r="BJ101" s="475"/>
      <c r="BK101" s="474"/>
      <c r="BL101" s="475"/>
      <c r="BM101" s="475"/>
      <c r="BN101" s="475"/>
      <c r="BO101" s="474"/>
      <c r="BP101" s="343"/>
      <c r="BQ101" s="410">
        <f>SUM(D101:G101)</f>
        <v>0</v>
      </c>
      <c r="BR101" s="404">
        <f>SUM(H101:K101)</f>
        <v>298.84399999999999</v>
      </c>
      <c r="BS101" s="404">
        <f>SUM(L101:O101)</f>
        <v>140.03100000000001</v>
      </c>
      <c r="BT101" s="404">
        <f>SUM(P101:S101)</f>
        <v>87.218000000000004</v>
      </c>
      <c r="BU101" s="404">
        <f>SUM(T101:W101)</f>
        <v>44.908000000000001</v>
      </c>
      <c r="BV101" s="404">
        <f>SUM(X101:AA101)</f>
        <v>0</v>
      </c>
      <c r="BW101" s="404">
        <f>SUM(AB101:AE101)</f>
        <v>0</v>
      </c>
      <c r="BX101" s="404">
        <f>SUM(AF101:AI101)</f>
        <v>0</v>
      </c>
      <c r="BY101" s="404">
        <f>SUM(AJ101:AM101)</f>
        <v>0</v>
      </c>
      <c r="BZ101" s="404">
        <f>SUM(AN101:AQ101)</f>
        <v>0</v>
      </c>
      <c r="CA101" s="404">
        <f>SUM(AR101:AU101)</f>
        <v>0</v>
      </c>
      <c r="CB101" s="404">
        <f>SUM(AV101:AY101)</f>
        <v>0</v>
      </c>
      <c r="CC101" s="404">
        <f>SUM(AZ101:BC101)</f>
        <v>0</v>
      </c>
      <c r="CD101" s="404">
        <f>SUM(BD101:BG101)</f>
        <v>0</v>
      </c>
      <c r="CE101" s="404">
        <f>CD101*(1+CE104)</f>
        <v>0</v>
      </c>
      <c r="CF101" s="405">
        <f>CE101*(1+CF104)</f>
        <v>0</v>
      </c>
      <c r="CG101" s="25"/>
      <c r="CH101" s="8"/>
      <c r="CI101" s="8"/>
      <c r="CJ101" s="8"/>
      <c r="CK101" s="8"/>
    </row>
    <row r="102" spans="1:89" ht="14.25" hidden="1" customHeight="1" outlineLevel="1">
      <c r="A102" s="634"/>
      <c r="B102" s="260" t="s">
        <v>152</v>
      </c>
      <c r="C102" s="261"/>
      <c r="D102" s="94"/>
      <c r="E102" s="94"/>
      <c r="F102" s="94"/>
      <c r="G102" s="95"/>
      <c r="H102" s="94"/>
      <c r="I102" s="94">
        <f t="shared" ref="I102:W102" si="1012">I101/H101-1</f>
        <v>-7.6189739024987935E-2</v>
      </c>
      <c r="J102" s="94">
        <f t="shared" si="1012"/>
        <v>-2.7495775788635934E-2</v>
      </c>
      <c r="K102" s="95">
        <f t="shared" si="1012"/>
        <v>0.1497946641394563</v>
      </c>
      <c r="L102" s="94">
        <f t="shared" si="1012"/>
        <v>-0.49916327397157634</v>
      </c>
      <c r="M102" s="94">
        <f t="shared" si="1012"/>
        <v>-0.13766706562936371</v>
      </c>
      <c r="N102" s="94">
        <f t="shared" si="1012"/>
        <v>1.8592950293496724E-2</v>
      </c>
      <c r="O102" s="95">
        <f t="shared" si="1012"/>
        <v>-0.14500652926815394</v>
      </c>
      <c r="P102" s="94">
        <f t="shared" si="1012"/>
        <v>-0.1737831197290659</v>
      </c>
      <c r="Q102" s="94">
        <f t="shared" si="1012"/>
        <v>-5.4693779135187248E-2</v>
      </c>
      <c r="R102" s="94">
        <f t="shared" si="1012"/>
        <v>6.3979934532159888E-2</v>
      </c>
      <c r="S102" s="95">
        <f t="shared" si="1012"/>
        <v>-0.44929678759789027</v>
      </c>
      <c r="T102" s="94">
        <f t="shared" si="1012"/>
        <v>3.3954871943698617E-2</v>
      </c>
      <c r="U102" s="94">
        <f t="shared" si="1012"/>
        <v>-0.16700582415269094</v>
      </c>
      <c r="V102" s="94">
        <f t="shared" si="1012"/>
        <v>-0.10605677701962768</v>
      </c>
      <c r="W102" s="95">
        <f t="shared" si="1012"/>
        <v>-0.22973991707500951</v>
      </c>
      <c r="X102" s="94"/>
      <c r="Y102" s="94"/>
      <c r="Z102" s="94"/>
      <c r="AA102" s="95"/>
      <c r="AB102" s="94"/>
      <c r="AC102" s="94"/>
      <c r="AD102" s="94"/>
      <c r="AE102" s="95"/>
      <c r="AF102" s="94"/>
      <c r="AG102" s="94"/>
      <c r="AH102" s="94"/>
      <c r="AI102" s="96"/>
      <c r="AJ102" s="98"/>
      <c r="AK102" s="96"/>
      <c r="AL102" s="96"/>
      <c r="AM102" s="97"/>
      <c r="AN102" s="96"/>
      <c r="AO102" s="96"/>
      <c r="AP102" s="96"/>
      <c r="AQ102" s="97"/>
      <c r="AR102" s="96"/>
      <c r="AS102" s="96"/>
      <c r="AT102" s="96"/>
      <c r="AU102" s="97"/>
      <c r="AV102" s="96"/>
      <c r="AW102" s="96"/>
      <c r="AX102" s="96"/>
      <c r="AY102" s="97"/>
      <c r="AZ102" s="96"/>
      <c r="BA102" s="96"/>
      <c r="BB102" s="96"/>
      <c r="BC102" s="1331"/>
      <c r="BD102" s="98"/>
      <c r="BE102" s="96"/>
      <c r="BF102" s="96"/>
      <c r="BG102" s="97"/>
      <c r="BH102" s="96"/>
      <c r="BI102" s="96"/>
      <c r="BJ102" s="96"/>
      <c r="BK102" s="97"/>
      <c r="BL102" s="1331"/>
      <c r="BM102" s="1331"/>
      <c r="BN102" s="1331"/>
      <c r="BO102" s="1332"/>
      <c r="BP102" s="23"/>
      <c r="BQ102" s="262"/>
      <c r="BR102" s="263"/>
      <c r="BS102" s="263"/>
      <c r="BT102" s="263"/>
      <c r="BU102" s="1425"/>
      <c r="BV102" s="1425"/>
      <c r="BW102" s="1425"/>
      <c r="BX102" s="1425"/>
      <c r="BY102" s="1425"/>
      <c r="BZ102" s="1425"/>
      <c r="CA102" s="1425"/>
      <c r="CB102" s="263"/>
      <c r="CC102" s="263"/>
      <c r="CD102" s="263"/>
      <c r="CE102" s="1425"/>
      <c r="CF102" s="1426"/>
      <c r="CG102" s="25"/>
      <c r="CH102" s="8"/>
      <c r="CI102" s="8"/>
      <c r="CJ102" s="8"/>
      <c r="CK102" s="8"/>
    </row>
    <row r="103" spans="1:89" ht="14.25" hidden="1" customHeight="1" outlineLevel="1">
      <c r="A103" s="634"/>
      <c r="B103" s="38" t="s">
        <v>313</v>
      </c>
      <c r="C103" s="261"/>
      <c r="D103" s="94"/>
      <c r="E103" s="94"/>
      <c r="F103" s="94"/>
      <c r="G103" s="95"/>
      <c r="H103" s="94"/>
      <c r="I103" s="94"/>
      <c r="J103" s="94"/>
      <c r="K103" s="95"/>
      <c r="L103" s="94"/>
      <c r="M103" s="94"/>
      <c r="N103" s="94"/>
      <c r="O103" s="95"/>
      <c r="P103" s="94"/>
      <c r="Q103" s="94"/>
      <c r="R103" s="94"/>
      <c r="S103" s="95"/>
      <c r="T103" s="94"/>
      <c r="U103" s="94"/>
      <c r="V103" s="94"/>
      <c r="W103" s="95"/>
      <c r="X103" s="94"/>
      <c r="Y103" s="94"/>
      <c r="Z103" s="94"/>
      <c r="AA103" s="95"/>
      <c r="AB103" s="94"/>
      <c r="AC103" s="94"/>
      <c r="AD103" s="94"/>
      <c r="AE103" s="95"/>
      <c r="AF103" s="94"/>
      <c r="AG103" s="94"/>
      <c r="AH103" s="94"/>
      <c r="AI103" s="96"/>
      <c r="AJ103" s="98"/>
      <c r="AK103" s="96"/>
      <c r="AL103" s="94"/>
      <c r="AM103" s="97"/>
      <c r="AN103" s="96"/>
      <c r="AO103" s="96"/>
      <c r="AP103" s="94"/>
      <c r="AQ103" s="97"/>
      <c r="AR103" s="96"/>
      <c r="AS103" s="96"/>
      <c r="AT103" s="94"/>
      <c r="AU103" s="97"/>
      <c r="AV103" s="94"/>
      <c r="AW103" s="96"/>
      <c r="AX103" s="94"/>
      <c r="AY103" s="97"/>
      <c r="AZ103" s="1211"/>
      <c r="BA103" s="96"/>
      <c r="BB103" s="96"/>
      <c r="BC103" s="1331"/>
      <c r="BD103" s="98"/>
      <c r="BE103" s="96"/>
      <c r="BF103" s="96"/>
      <c r="BG103" s="97"/>
      <c r="BH103" s="96"/>
      <c r="BI103" s="96"/>
      <c r="BJ103" s="96"/>
      <c r="BK103" s="97"/>
      <c r="BL103" s="1331"/>
      <c r="BM103" s="1331"/>
      <c r="BN103" s="1331"/>
      <c r="BO103" s="1332"/>
      <c r="BP103" s="23"/>
      <c r="BQ103" s="262"/>
      <c r="BR103" s="263"/>
      <c r="BS103" s="263"/>
      <c r="BT103" s="263"/>
      <c r="BU103" s="1425"/>
      <c r="BV103" s="1425"/>
      <c r="BW103" s="1425"/>
      <c r="BX103" s="1425"/>
      <c r="BY103" s="1425"/>
      <c r="BZ103" s="1425"/>
      <c r="CA103" s="1425"/>
      <c r="CB103" s="263"/>
      <c r="CC103" s="263"/>
      <c r="CD103" s="263"/>
      <c r="CE103" s="1425"/>
      <c r="CF103" s="1426"/>
      <c r="CG103" s="25"/>
      <c r="CH103" s="8"/>
      <c r="CI103" s="8"/>
      <c r="CJ103" s="8"/>
      <c r="CK103" s="8"/>
    </row>
    <row r="104" spans="1:89" ht="14.25" hidden="1" customHeight="1" outlineLevel="1">
      <c r="A104" s="634"/>
      <c r="B104" s="38" t="s">
        <v>153</v>
      </c>
      <c r="C104" s="39"/>
      <c r="D104" s="94"/>
      <c r="E104" s="94"/>
      <c r="F104" s="94"/>
      <c r="G104" s="95"/>
      <c r="H104" s="94"/>
      <c r="I104" s="94"/>
      <c r="J104" s="94"/>
      <c r="K104" s="95"/>
      <c r="L104" s="94">
        <f t="shared" ref="L104:W104" si="1013">L101/H101-1</f>
        <v>-0.48264251712527573</v>
      </c>
      <c r="M104" s="94">
        <f t="shared" si="1013"/>
        <v>-0.51707139964530602</v>
      </c>
      <c r="N104" s="94">
        <f t="shared" si="1013"/>
        <v>-0.49418454380976995</v>
      </c>
      <c r="O104" s="95">
        <f t="shared" si="1013"/>
        <v>-0.62387291755126495</v>
      </c>
      <c r="P104" s="94">
        <f t="shared" si="1013"/>
        <v>-0.37951326550967479</v>
      </c>
      <c r="Q104" s="94">
        <f t="shared" si="1013"/>
        <v>-0.31981031142468841</v>
      </c>
      <c r="R104" s="94">
        <f t="shared" si="1013"/>
        <v>-0.2895020723329359</v>
      </c>
      <c r="S104" s="95">
        <f t="shared" si="1013"/>
        <v>-0.54236669101533974</v>
      </c>
      <c r="T104" s="94">
        <f t="shared" si="1013"/>
        <v>-0.42730268445587527</v>
      </c>
      <c r="U104" s="94">
        <f t="shared" si="1013"/>
        <v>-0.49534498150746076</v>
      </c>
      <c r="V104" s="94">
        <f t="shared" si="1013"/>
        <v>-0.57599488572798463</v>
      </c>
      <c r="W104" s="95">
        <f t="shared" si="1013"/>
        <v>-0.40695059130813327</v>
      </c>
      <c r="X104" s="94"/>
      <c r="Y104" s="94"/>
      <c r="Z104" s="94"/>
      <c r="AA104" s="95"/>
      <c r="AB104" s="94"/>
      <c r="AC104" s="94"/>
      <c r="AD104" s="94"/>
      <c r="AE104" s="95"/>
      <c r="AF104" s="263"/>
      <c r="AG104" s="94"/>
      <c r="AH104" s="94"/>
      <c r="AI104" s="94"/>
      <c r="AJ104" s="153"/>
      <c r="AK104" s="94"/>
      <c r="AL104" s="94"/>
      <c r="AM104" s="95"/>
      <c r="AN104" s="94"/>
      <c r="AO104" s="94"/>
      <c r="AP104" s="94"/>
      <c r="AQ104" s="95"/>
      <c r="AR104" s="94"/>
      <c r="AS104" s="94"/>
      <c r="AT104" s="94"/>
      <c r="AU104" s="95"/>
      <c r="AV104" s="94"/>
      <c r="AW104" s="94"/>
      <c r="AX104" s="94"/>
      <c r="AY104" s="95"/>
      <c r="AZ104" s="1211"/>
      <c r="BA104" s="94"/>
      <c r="BB104" s="94"/>
      <c r="BC104" s="1389"/>
      <c r="BD104" s="1323"/>
      <c r="BE104" s="94"/>
      <c r="BF104" s="94"/>
      <c r="BG104" s="95"/>
      <c r="BH104" s="1211"/>
      <c r="BI104" s="1211"/>
      <c r="BJ104" s="1211"/>
      <c r="BK104" s="1212"/>
      <c r="BL104" s="1389"/>
      <c r="BM104" s="1389"/>
      <c r="BN104" s="1389"/>
      <c r="BO104" s="1322"/>
      <c r="BP104" s="23"/>
      <c r="BQ104" s="462"/>
      <c r="BR104" s="473"/>
      <c r="BS104" s="413">
        <f>BS101/BR101-1</f>
        <v>-0.53142442210651708</v>
      </c>
      <c r="BT104" s="413">
        <f>BT101/BS101-1</f>
        <v>-0.37715220201241151</v>
      </c>
      <c r="BU104" s="413">
        <f>BU101/BT101-1</f>
        <v>-0.48510628539980283</v>
      </c>
      <c r="BV104" s="413">
        <f>BV101/BU101-1</f>
        <v>-1</v>
      </c>
      <c r="BW104" s="413"/>
      <c r="BX104" s="413"/>
      <c r="BY104" s="413"/>
      <c r="BZ104" s="413"/>
      <c r="CA104" s="413"/>
      <c r="CB104" s="413"/>
      <c r="CC104" s="413"/>
      <c r="CD104" s="413"/>
      <c r="CE104" s="413">
        <v>0</v>
      </c>
      <c r="CF104" s="412">
        <v>0</v>
      </c>
      <c r="CG104" s="25"/>
      <c r="CH104" s="8"/>
      <c r="CI104" s="8"/>
      <c r="CJ104" s="8"/>
      <c r="CK104" s="8"/>
    </row>
    <row r="105" spans="1:89" ht="14.25" hidden="1" customHeight="1" outlineLevel="1">
      <c r="A105" s="634"/>
      <c r="B105" s="260" t="s">
        <v>154</v>
      </c>
      <c r="C105" s="261"/>
      <c r="D105" s="94"/>
      <c r="E105" s="94"/>
      <c r="F105" s="94"/>
      <c r="G105" s="95"/>
      <c r="H105" s="94">
        <f t="shared" ref="H105:W105" si="1014">H101/H122</f>
        <v>0.12476541198966043</v>
      </c>
      <c r="I105" s="94">
        <f t="shared" si="1014"/>
        <v>0.11121931067044381</v>
      </c>
      <c r="J105" s="94">
        <f t="shared" si="1014"/>
        <v>0.10493626254407377</v>
      </c>
      <c r="K105" s="95">
        <f t="shared" si="1014"/>
        <v>0.11680393032082644</v>
      </c>
      <c r="L105" s="94">
        <f t="shared" si="1014"/>
        <v>6.4036789537975133E-2</v>
      </c>
      <c r="M105" s="94">
        <f t="shared" si="1014"/>
        <v>5.7881144735498755E-2</v>
      </c>
      <c r="N105" s="94">
        <f t="shared" si="1014"/>
        <v>5.7052528946554347E-2</v>
      </c>
      <c r="O105" s="95">
        <f t="shared" si="1014"/>
        <v>4.830147768714859E-2</v>
      </c>
      <c r="P105" s="94">
        <f t="shared" si="1014"/>
        <v>4.0533694733258512E-2</v>
      </c>
      <c r="Q105" s="94">
        <f t="shared" si="1014"/>
        <v>3.6226014106631343E-2</v>
      </c>
      <c r="R105" s="94">
        <f t="shared" si="1014"/>
        <v>3.7979562540023611E-2</v>
      </c>
      <c r="S105" s="95">
        <f t="shared" si="1014"/>
        <v>2.0861334108273701E-2</v>
      </c>
      <c r="T105" s="94">
        <f t="shared" si="1014"/>
        <v>2.9903329843107715E-2</v>
      </c>
      <c r="U105" s="94">
        <f t="shared" si="1014"/>
        <v>2.5004844675490998E-2</v>
      </c>
      <c r="V105" s="94">
        <f t="shared" si="1014"/>
        <v>2.1569500255085968E-2</v>
      </c>
      <c r="W105" s="95">
        <f t="shared" si="1014"/>
        <v>1.4300209937018891E-2</v>
      </c>
      <c r="X105" s="94"/>
      <c r="Y105" s="94"/>
      <c r="Z105" s="94"/>
      <c r="AA105" s="95"/>
      <c r="AB105" s="94"/>
      <c r="AC105" s="94"/>
      <c r="AD105" s="94"/>
      <c r="AE105" s="95"/>
      <c r="AF105" s="94"/>
      <c r="AG105" s="94"/>
      <c r="AH105" s="94"/>
      <c r="AI105" s="94"/>
      <c r="AJ105" s="153"/>
      <c r="AK105" s="94"/>
      <c r="AL105" s="94"/>
      <c r="AM105" s="95"/>
      <c r="AN105" s="94"/>
      <c r="AO105" s="94"/>
      <c r="AP105" s="94"/>
      <c r="AQ105" s="95"/>
      <c r="AR105" s="94"/>
      <c r="AS105" s="94"/>
      <c r="AT105" s="94"/>
      <c r="AU105" s="95"/>
      <c r="AV105" s="94"/>
      <c r="AW105" s="94"/>
      <c r="AX105" s="94"/>
      <c r="AY105" s="95"/>
      <c r="AZ105" s="1211"/>
      <c r="BA105" s="94"/>
      <c r="BB105" s="94"/>
      <c r="BC105" s="1389"/>
      <c r="BD105" s="1323"/>
      <c r="BE105" s="94"/>
      <c r="BF105" s="94"/>
      <c r="BG105" s="95"/>
      <c r="BH105" s="1211"/>
      <c r="BI105" s="1211"/>
      <c r="BJ105" s="1211"/>
      <c r="BK105" s="1212"/>
      <c r="BL105" s="1389"/>
      <c r="BM105" s="1389"/>
      <c r="BN105" s="1389"/>
      <c r="BO105" s="1322"/>
      <c r="BP105" s="23"/>
      <c r="BQ105" s="823"/>
      <c r="BR105" s="413">
        <f>BR101/BR122</f>
        <v>0.11430796488339855</v>
      </c>
      <c r="BS105" s="413">
        <f t="shared" ref="BS105:CE105" si="1015">BS101/BS122</f>
        <v>5.681413839538025E-2</v>
      </c>
      <c r="BT105" s="413">
        <f t="shared" si="1015"/>
        <v>3.376706539973387E-2</v>
      </c>
      <c r="BU105" s="413">
        <f t="shared" si="1015"/>
        <v>2.2287866245009696E-2</v>
      </c>
      <c r="BV105" s="413">
        <f t="shared" si="1015"/>
        <v>0</v>
      </c>
      <c r="BW105" s="413">
        <f t="shared" si="1015"/>
        <v>0</v>
      </c>
      <c r="BX105" s="413">
        <f t="shared" si="1015"/>
        <v>0</v>
      </c>
      <c r="BY105" s="413">
        <f t="shared" si="1015"/>
        <v>0</v>
      </c>
      <c r="BZ105" s="413">
        <f t="shared" si="1015"/>
        <v>0</v>
      </c>
      <c r="CA105" s="413">
        <f>CA101/CA122</f>
        <v>0</v>
      </c>
      <c r="CB105" s="413">
        <f>CB101/CB122</f>
        <v>0</v>
      </c>
      <c r="CC105" s="413">
        <f>CC101/CC122</f>
        <v>0</v>
      </c>
      <c r="CD105" s="413">
        <f>CD101/CD122</f>
        <v>0</v>
      </c>
      <c r="CE105" s="413">
        <f t="shared" si="1015"/>
        <v>0</v>
      </c>
      <c r="CF105" s="412">
        <f t="shared" ref="CF105" si="1016">CF101/CF122</f>
        <v>0</v>
      </c>
      <c r="CG105" s="25"/>
      <c r="CH105" s="8"/>
      <c r="CI105" s="8"/>
      <c r="CJ105" s="8"/>
      <c r="CK105" s="8"/>
    </row>
    <row r="106" spans="1:89" ht="14.25" hidden="1" customHeight="1" outlineLevel="1">
      <c r="A106" s="634"/>
      <c r="B106" s="260"/>
      <c r="C106" s="261"/>
      <c r="D106" s="94"/>
      <c r="E106" s="94"/>
      <c r="F106" s="94"/>
      <c r="G106" s="95"/>
      <c r="H106" s="94"/>
      <c r="I106" s="94"/>
      <c r="J106" s="94"/>
      <c r="K106" s="95"/>
      <c r="L106" s="94"/>
      <c r="M106" s="94"/>
      <c r="N106" s="94"/>
      <c r="O106" s="95"/>
      <c r="P106" s="94"/>
      <c r="Q106" s="94"/>
      <c r="R106" s="94"/>
      <c r="S106" s="95"/>
      <c r="T106" s="94"/>
      <c r="U106" s="94"/>
      <c r="V106" s="94"/>
      <c r="W106" s="95"/>
      <c r="X106" s="94"/>
      <c r="Y106" s="94"/>
      <c r="Z106" s="94"/>
      <c r="AA106" s="95"/>
      <c r="AB106" s="94"/>
      <c r="AC106" s="94"/>
      <c r="AD106" s="94"/>
      <c r="AE106" s="95"/>
      <c r="AF106" s="96"/>
      <c r="AG106" s="94"/>
      <c r="AH106" s="94"/>
      <c r="AI106" s="96"/>
      <c r="AJ106" s="26"/>
      <c r="AK106" s="70"/>
      <c r="AL106" s="94"/>
      <c r="AM106" s="97"/>
      <c r="AN106" s="70"/>
      <c r="AO106" s="70"/>
      <c r="AP106" s="94"/>
      <c r="AQ106" s="97"/>
      <c r="AR106" s="70"/>
      <c r="AS106" s="70"/>
      <c r="AT106" s="94"/>
      <c r="AU106" s="97"/>
      <c r="AV106" s="94"/>
      <c r="AW106" s="70"/>
      <c r="AX106" s="94"/>
      <c r="AY106" s="97"/>
      <c r="AZ106" s="1211"/>
      <c r="BA106" s="70"/>
      <c r="BB106" s="70"/>
      <c r="BC106" s="70"/>
      <c r="BD106" s="26"/>
      <c r="BE106" s="70"/>
      <c r="BF106" s="70"/>
      <c r="BG106" s="27"/>
      <c r="BH106" s="70"/>
      <c r="BI106" s="70"/>
      <c r="BJ106" s="70"/>
      <c r="BK106" s="27"/>
      <c r="BL106" s="70"/>
      <c r="BM106" s="70"/>
      <c r="BN106" s="70"/>
      <c r="BO106" s="27"/>
      <c r="BP106" s="23"/>
      <c r="BQ106" s="25"/>
      <c r="BR106" s="17"/>
      <c r="BS106" s="17"/>
      <c r="BT106" s="17"/>
      <c r="BU106" s="17"/>
      <c r="BV106" s="17"/>
      <c r="BW106" s="17"/>
      <c r="BX106" s="17"/>
      <c r="BY106" s="17"/>
      <c r="BZ106" s="17"/>
      <c r="CA106" s="17"/>
      <c r="CB106" s="17"/>
      <c r="CC106" s="17"/>
      <c r="CD106" s="17"/>
      <c r="CE106" s="17"/>
      <c r="CF106" s="253"/>
      <c r="CG106" s="25"/>
      <c r="CH106" s="8"/>
      <c r="CI106" s="8"/>
      <c r="CJ106" s="8"/>
      <c r="CK106" s="8"/>
    </row>
    <row r="107" spans="1:89" ht="14.25" hidden="1" customHeight="1" outlineLevel="1">
      <c r="A107" s="634"/>
      <c r="B107" s="282" t="s">
        <v>287</v>
      </c>
      <c r="C107" s="261"/>
      <c r="D107" s="416"/>
      <c r="E107" s="416"/>
      <c r="F107" s="416"/>
      <c r="G107" s="417"/>
      <c r="H107" s="477">
        <f t="shared" ref="H107:W107" si="1017">H191*H105</f>
        <v>41.084875871959206</v>
      </c>
      <c r="I107" s="416">
        <f t="shared" si="1017"/>
        <v>39.017958569405096</v>
      </c>
      <c r="J107" s="416">
        <f t="shared" si="1017"/>
        <v>38.065839110387842</v>
      </c>
      <c r="K107" s="417">
        <f t="shared" si="1017"/>
        <v>42.084105682802807</v>
      </c>
      <c r="L107" s="477">
        <f t="shared" si="1017"/>
        <v>25.593199453905292</v>
      </c>
      <c r="M107" s="416">
        <f t="shared" si="1017"/>
        <v>20.908290150514741</v>
      </c>
      <c r="N107" s="416">
        <f t="shared" si="1017"/>
        <v>21.308663141306482</v>
      </c>
      <c r="O107" s="417">
        <f t="shared" si="1017"/>
        <v>18.059536095403363</v>
      </c>
      <c r="P107" s="477">
        <f t="shared" si="1017"/>
        <v>15.232684081842748</v>
      </c>
      <c r="Q107" s="416">
        <f t="shared" si="1017"/>
        <v>14.346262332522254</v>
      </c>
      <c r="R107" s="416">
        <f t="shared" si="1017"/>
        <v>15.259960351206246</v>
      </c>
      <c r="S107" s="417">
        <f t="shared" si="1017"/>
        <v>8.4208235421434381</v>
      </c>
      <c r="T107" s="477">
        <f t="shared" si="1017"/>
        <v>8.0440555344556621</v>
      </c>
      <c r="U107" s="416">
        <f t="shared" si="1017"/>
        <v>6.5400671345640218</v>
      </c>
      <c r="V107" s="416">
        <f t="shared" si="1017"/>
        <v>5.7424264834112817</v>
      </c>
      <c r="W107" s="417">
        <f t="shared" si="1017"/>
        <v>4.6025797690692789</v>
      </c>
      <c r="X107" s="477"/>
      <c r="Y107" s="416"/>
      <c r="Z107" s="416"/>
      <c r="AA107" s="417"/>
      <c r="AB107" s="477"/>
      <c r="AC107" s="416"/>
      <c r="AD107" s="416"/>
      <c r="AE107" s="417"/>
      <c r="AF107" s="477"/>
      <c r="AG107" s="416"/>
      <c r="AH107" s="416"/>
      <c r="AI107" s="416"/>
      <c r="AJ107" s="477"/>
      <c r="AK107" s="416"/>
      <c r="AL107" s="416"/>
      <c r="AM107" s="417"/>
      <c r="AN107" s="416"/>
      <c r="AO107" s="416"/>
      <c r="AP107" s="416"/>
      <c r="AQ107" s="417"/>
      <c r="AR107" s="416"/>
      <c r="AS107" s="416"/>
      <c r="AT107" s="416"/>
      <c r="AU107" s="417"/>
      <c r="AV107" s="416"/>
      <c r="AW107" s="416"/>
      <c r="AX107" s="416"/>
      <c r="AY107" s="417"/>
      <c r="AZ107" s="416"/>
      <c r="BA107" s="416"/>
      <c r="BB107" s="416"/>
      <c r="BC107" s="416"/>
      <c r="BD107" s="477"/>
      <c r="BE107" s="416"/>
      <c r="BF107" s="416"/>
      <c r="BG107" s="417"/>
      <c r="BH107" s="416"/>
      <c r="BI107" s="416"/>
      <c r="BJ107" s="416"/>
      <c r="BK107" s="417"/>
      <c r="BL107" s="416"/>
      <c r="BM107" s="416"/>
      <c r="BN107" s="416"/>
      <c r="BO107" s="417"/>
      <c r="BP107" s="1470"/>
      <c r="BQ107" s="410">
        <f>SUM(D107:G107)</f>
        <v>0</v>
      </c>
      <c r="BR107" s="404">
        <f>SUM(H107:K107)</f>
        <v>160.25277923455496</v>
      </c>
      <c r="BS107" s="404">
        <f>SUM(L107:O107)</f>
        <v>85.869688841129872</v>
      </c>
      <c r="BT107" s="404">
        <f>SUM(P107:S107)</f>
        <v>53.25973030771469</v>
      </c>
      <c r="BU107" s="404">
        <f>SUM(T107:W107)</f>
        <v>24.929128921500247</v>
      </c>
      <c r="BV107" s="404">
        <f>SUM(X107:AA107)</f>
        <v>0</v>
      </c>
      <c r="BW107" s="404">
        <f>SUM(AB107:AE107)</f>
        <v>0</v>
      </c>
      <c r="BX107" s="404">
        <f>SUM(AF107:AI107)</f>
        <v>0</v>
      </c>
      <c r="BY107" s="404">
        <f>SUM(AJ107:AM107)</f>
        <v>0</v>
      </c>
      <c r="BZ107" s="404">
        <f>SUM(AN107:AQ107)</f>
        <v>0</v>
      </c>
      <c r="CA107" s="404">
        <f>SUM(AR107:AU107)</f>
        <v>0</v>
      </c>
      <c r="CB107" s="404">
        <f>SUM(AV107:AY107)</f>
        <v>0</v>
      </c>
      <c r="CC107" s="404">
        <f>SUM(AZ107:BC107)</f>
        <v>0</v>
      </c>
      <c r="CD107" s="404">
        <f>SUM(BD107:BG107)</f>
        <v>0</v>
      </c>
      <c r="CE107" s="404">
        <f>CE110*CE101</f>
        <v>0</v>
      </c>
      <c r="CF107" s="405">
        <f>CF110*CF101</f>
        <v>0</v>
      </c>
      <c r="CG107" s="25"/>
      <c r="CH107" s="8"/>
      <c r="CI107" s="8"/>
      <c r="CJ107" s="8"/>
      <c r="CK107" s="8"/>
    </row>
    <row r="108" spans="1:89" ht="14.25" hidden="1" customHeight="1" outlineLevel="1">
      <c r="A108" s="634"/>
      <c r="B108" s="260" t="s">
        <v>152</v>
      </c>
      <c r="C108" s="261"/>
      <c r="D108" s="94"/>
      <c r="E108" s="94"/>
      <c r="F108" s="94"/>
      <c r="G108" s="95"/>
      <c r="H108" s="153"/>
      <c r="I108" s="94">
        <f t="shared" ref="I108:W108" si="1018">I107/H107-1</f>
        <v>-5.0308471394574616E-2</v>
      </c>
      <c r="J108" s="94">
        <f t="shared" si="1018"/>
        <v>-2.4402082885080389E-2</v>
      </c>
      <c r="K108" s="95">
        <f t="shared" si="1018"/>
        <v>0.10556096138488691</v>
      </c>
      <c r="L108" s="153">
        <f t="shared" si="1018"/>
        <v>-0.39185592663399138</v>
      </c>
      <c r="M108" s="94">
        <f t="shared" si="1018"/>
        <v>-0.18305289699430982</v>
      </c>
      <c r="N108" s="94">
        <f t="shared" si="1018"/>
        <v>1.9149006825021742E-2</v>
      </c>
      <c r="O108" s="95">
        <f t="shared" si="1018"/>
        <v>-0.15247915950225621</v>
      </c>
      <c r="P108" s="153">
        <f t="shared" si="1018"/>
        <v>-0.15652960289938589</v>
      </c>
      <c r="Q108" s="94">
        <f t="shared" si="1018"/>
        <v>-5.8192091725784767E-2</v>
      </c>
      <c r="R108" s="94">
        <f t="shared" si="1018"/>
        <v>6.3688924509116562E-2</v>
      </c>
      <c r="S108" s="95">
        <f t="shared" si="1018"/>
        <v>-0.44817526727860724</v>
      </c>
      <c r="T108" s="153">
        <f t="shared" si="1018"/>
        <v>-4.4742418102240999E-2</v>
      </c>
      <c r="U108" s="94">
        <f t="shared" si="1018"/>
        <v>-0.18696892300774182</v>
      </c>
      <c r="V108" s="94">
        <f t="shared" si="1018"/>
        <v>-0.12196215034815738</v>
      </c>
      <c r="W108" s="95">
        <f t="shared" si="1018"/>
        <v>-0.19849565643283229</v>
      </c>
      <c r="X108" s="153"/>
      <c r="Y108" s="94"/>
      <c r="Z108" s="94"/>
      <c r="AA108" s="95"/>
      <c r="AB108" s="153"/>
      <c r="AC108" s="94"/>
      <c r="AD108" s="94"/>
      <c r="AE108" s="95"/>
      <c r="AF108" s="153"/>
      <c r="AG108" s="94"/>
      <c r="AH108" s="94"/>
      <c r="AI108" s="94"/>
      <c r="AJ108" s="153"/>
      <c r="AK108" s="94"/>
      <c r="AL108" s="94"/>
      <c r="AM108" s="95"/>
      <c r="AN108" s="94"/>
      <c r="AO108" s="94"/>
      <c r="AP108" s="94"/>
      <c r="AQ108" s="95"/>
      <c r="AR108" s="94"/>
      <c r="AS108" s="94"/>
      <c r="AT108" s="94"/>
      <c r="AU108" s="95"/>
      <c r="AV108" s="94"/>
      <c r="AW108" s="94"/>
      <c r="AX108" s="94"/>
      <c r="AY108" s="95"/>
      <c r="AZ108" s="1211"/>
      <c r="BA108" s="94"/>
      <c r="BB108" s="94"/>
      <c r="BC108" s="1389"/>
      <c r="BD108" s="1323"/>
      <c r="BE108" s="94"/>
      <c r="BF108" s="94"/>
      <c r="BG108" s="95"/>
      <c r="BH108" s="1211"/>
      <c r="BI108" s="1211"/>
      <c r="BJ108" s="1211"/>
      <c r="BK108" s="1212"/>
      <c r="BL108" s="1389"/>
      <c r="BM108" s="1389"/>
      <c r="BN108" s="1389"/>
      <c r="BO108" s="1322"/>
      <c r="BP108" s="23"/>
      <c r="BQ108" s="262"/>
      <c r="BR108" s="263"/>
      <c r="BS108" s="263"/>
      <c r="BT108" s="263"/>
      <c r="BU108" s="1425"/>
      <c r="BV108" s="1425"/>
      <c r="BW108" s="1425"/>
      <c r="BX108" s="1425"/>
      <c r="BY108" s="1425"/>
      <c r="BZ108" s="1425"/>
      <c r="CA108" s="1425"/>
      <c r="CB108" s="263"/>
      <c r="CC108" s="263"/>
      <c r="CD108" s="263"/>
      <c r="CE108" s="1425"/>
      <c r="CF108" s="1426"/>
      <c r="CG108" s="25"/>
      <c r="CH108" s="8"/>
      <c r="CI108" s="8"/>
      <c r="CJ108" s="8"/>
      <c r="CK108" s="8"/>
    </row>
    <row r="109" spans="1:89" ht="14.25" hidden="1" customHeight="1" outlineLevel="1">
      <c r="A109" s="634"/>
      <c r="B109" s="38" t="s">
        <v>153</v>
      </c>
      <c r="C109" s="261"/>
      <c r="D109" s="94"/>
      <c r="E109" s="94"/>
      <c r="F109" s="94"/>
      <c r="G109" s="95"/>
      <c r="H109" s="153"/>
      <c r="I109" s="94"/>
      <c r="J109" s="94"/>
      <c r="K109" s="95"/>
      <c r="L109" s="153">
        <f t="shared" ref="L109:W109" si="1019">L107/H107-1</f>
        <v>-0.37706518735345917</v>
      </c>
      <c r="M109" s="94">
        <f t="shared" si="1019"/>
        <v>-0.46413674838156638</v>
      </c>
      <c r="N109" s="94">
        <f t="shared" si="1019"/>
        <v>-0.44021559384220876</v>
      </c>
      <c r="O109" s="95">
        <f t="shared" si="1019"/>
        <v>-0.57087038437926962</v>
      </c>
      <c r="P109" s="153">
        <f t="shared" si="1019"/>
        <v>-0.40481516938600748</v>
      </c>
      <c r="Q109" s="94">
        <f t="shared" si="1019"/>
        <v>-0.31384813252321042</v>
      </c>
      <c r="R109" s="94">
        <f t="shared" si="1019"/>
        <v>-0.28386120471231857</v>
      </c>
      <c r="S109" s="95">
        <f t="shared" si="1019"/>
        <v>-0.53371872357857719</v>
      </c>
      <c r="T109" s="153">
        <f t="shared" si="1019"/>
        <v>-0.47192133105129386</v>
      </c>
      <c r="U109" s="94">
        <f t="shared" si="1019"/>
        <v>-0.54412745403811424</v>
      </c>
      <c r="V109" s="94">
        <f t="shared" si="1019"/>
        <v>-0.62369322388459791</v>
      </c>
      <c r="W109" s="95">
        <f t="shared" si="1019"/>
        <v>-0.45342878329715752</v>
      </c>
      <c r="X109" s="153"/>
      <c r="Y109" s="94"/>
      <c r="Z109" s="94"/>
      <c r="AA109" s="95"/>
      <c r="AB109" s="153"/>
      <c r="AC109" s="94"/>
      <c r="AD109" s="94"/>
      <c r="AE109" s="95"/>
      <c r="AF109" s="153"/>
      <c r="AG109" s="94"/>
      <c r="AH109" s="94"/>
      <c r="AI109" s="94"/>
      <c r="AJ109" s="153"/>
      <c r="AK109" s="94"/>
      <c r="AL109" s="94"/>
      <c r="AM109" s="95"/>
      <c r="AN109" s="94"/>
      <c r="AO109" s="94"/>
      <c r="AP109" s="94"/>
      <c r="AQ109" s="95"/>
      <c r="AR109" s="94"/>
      <c r="AS109" s="94"/>
      <c r="AT109" s="94"/>
      <c r="AU109" s="95"/>
      <c r="AV109" s="94"/>
      <c r="AW109" s="94"/>
      <c r="AX109" s="94"/>
      <c r="AY109" s="95"/>
      <c r="AZ109" s="1211"/>
      <c r="BA109" s="94"/>
      <c r="BB109" s="94"/>
      <c r="BC109" s="1389"/>
      <c r="BD109" s="1323"/>
      <c r="BE109" s="94"/>
      <c r="BF109" s="94"/>
      <c r="BG109" s="95"/>
      <c r="BH109" s="1211"/>
      <c r="BI109" s="1211"/>
      <c r="BJ109" s="1211"/>
      <c r="BK109" s="1212"/>
      <c r="BL109" s="1389"/>
      <c r="BM109" s="1389"/>
      <c r="BN109" s="1389"/>
      <c r="BO109" s="1322"/>
      <c r="BP109" s="23"/>
      <c r="BQ109" s="462"/>
      <c r="BR109" s="473"/>
      <c r="BS109" s="473"/>
      <c r="BT109" s="473"/>
      <c r="BU109" s="473"/>
      <c r="BV109" s="473"/>
      <c r="BW109" s="473"/>
      <c r="BX109" s="473"/>
      <c r="BY109" s="473"/>
      <c r="BZ109" s="473"/>
      <c r="CA109" s="473"/>
      <c r="CB109" s="413"/>
      <c r="CC109" s="413"/>
      <c r="CD109" s="413"/>
      <c r="CE109" s="413"/>
      <c r="CF109" s="412"/>
      <c r="CG109" s="25"/>
      <c r="CH109" s="8"/>
      <c r="CI109" s="8"/>
      <c r="CJ109" s="8"/>
      <c r="CK109" s="8"/>
    </row>
    <row r="110" spans="1:89" ht="14.25" hidden="1" customHeight="1" outlineLevel="1">
      <c r="A110" s="634"/>
      <c r="B110" s="260" t="s">
        <v>178</v>
      </c>
      <c r="C110" s="261"/>
      <c r="D110" s="94"/>
      <c r="E110" s="94"/>
      <c r="F110" s="94"/>
      <c r="G110" s="95"/>
      <c r="H110" s="153">
        <f t="shared" ref="H110:W110" si="1020">H107/H101</f>
        <v>0.53001117009119558</v>
      </c>
      <c r="I110" s="94">
        <f t="shared" si="1020"/>
        <v>0.54485984792008346</v>
      </c>
      <c r="J110" s="94">
        <f t="shared" si="1020"/>
        <v>0.54659313503902596</v>
      </c>
      <c r="K110" s="95">
        <f t="shared" si="1020"/>
        <v>0.52556517324977892</v>
      </c>
      <c r="L110" s="153">
        <f t="shared" si="1020"/>
        <v>0.63817074241734717</v>
      </c>
      <c r="M110" s="94">
        <f t="shared" si="1020"/>
        <v>0.60458289189817949</v>
      </c>
      <c r="N110" s="94">
        <f t="shared" si="1020"/>
        <v>0.60491293763999554</v>
      </c>
      <c r="O110" s="95">
        <f t="shared" si="1020"/>
        <v>0.59962600755041362</v>
      </c>
      <c r="P110" s="153">
        <f t="shared" si="1020"/>
        <v>0.61214772873504053</v>
      </c>
      <c r="Q110" s="94">
        <f t="shared" si="1020"/>
        <v>0.60988234207041003</v>
      </c>
      <c r="R110" s="94">
        <f t="shared" si="1020"/>
        <v>0.60971553265167999</v>
      </c>
      <c r="S110" s="95">
        <f t="shared" si="1020"/>
        <v>0.61095723297855598</v>
      </c>
      <c r="T110" s="153">
        <f t="shared" si="1020"/>
        <v>0.56445551431167373</v>
      </c>
      <c r="U110" s="94">
        <f t="shared" si="1020"/>
        <v>0.5509280713136232</v>
      </c>
      <c r="V110" s="94">
        <f t="shared" si="1020"/>
        <v>0.54112575230034698</v>
      </c>
      <c r="W110" s="95">
        <f t="shared" si="1020"/>
        <v>0.56307557732680191</v>
      </c>
      <c r="X110" s="153"/>
      <c r="Y110" s="94"/>
      <c r="Z110" s="94"/>
      <c r="AA110" s="95"/>
      <c r="AB110" s="153"/>
      <c r="AC110" s="94"/>
      <c r="AD110" s="94"/>
      <c r="AE110" s="95"/>
      <c r="AF110" s="153"/>
      <c r="AG110" s="94"/>
      <c r="AH110" s="94"/>
      <c r="AI110" s="96"/>
      <c r="AJ110" s="98"/>
      <c r="AK110" s="96"/>
      <c r="AL110" s="96"/>
      <c r="AM110" s="97"/>
      <c r="AN110" s="96"/>
      <c r="AO110" s="96"/>
      <c r="AP110" s="96"/>
      <c r="AQ110" s="97"/>
      <c r="AR110" s="96"/>
      <c r="AS110" s="96"/>
      <c r="AT110" s="96"/>
      <c r="AU110" s="97"/>
      <c r="AV110" s="96"/>
      <c r="AW110" s="96"/>
      <c r="AX110" s="96"/>
      <c r="AY110" s="97"/>
      <c r="AZ110" s="96"/>
      <c r="BA110" s="96"/>
      <c r="BB110" s="96"/>
      <c r="BC110" s="1331"/>
      <c r="BD110" s="98"/>
      <c r="BE110" s="96"/>
      <c r="BF110" s="96"/>
      <c r="BG110" s="97"/>
      <c r="BH110" s="96"/>
      <c r="BI110" s="96"/>
      <c r="BJ110" s="96"/>
      <c r="BK110" s="97"/>
      <c r="BL110" s="1331"/>
      <c r="BM110" s="1331"/>
      <c r="BN110" s="1331"/>
      <c r="BO110" s="1332"/>
      <c r="BP110" s="23"/>
      <c r="BQ110" s="823"/>
      <c r="BR110" s="413">
        <f>BR107/BR101</f>
        <v>0.53624225092206956</v>
      </c>
      <c r="BS110" s="413">
        <f>BS107/BS101</f>
        <v>0.61321913605651512</v>
      </c>
      <c r="BT110" s="413">
        <f>BT107/BT101</f>
        <v>0.61065067196811085</v>
      </c>
      <c r="BU110" s="413">
        <f>BU107/BU101</f>
        <v>0.5551155455932183</v>
      </c>
      <c r="BV110" s="413"/>
      <c r="BW110" s="413"/>
      <c r="BX110" s="413"/>
      <c r="BY110" s="413"/>
      <c r="BZ110" s="413"/>
      <c r="CA110" s="413"/>
      <c r="CB110" s="413"/>
      <c r="CC110" s="413"/>
      <c r="CD110" s="413"/>
      <c r="CE110" s="413">
        <v>0.65</v>
      </c>
      <c r="CF110" s="412">
        <v>0.65</v>
      </c>
      <c r="CG110" s="25"/>
      <c r="CH110" s="8"/>
      <c r="CI110" s="8"/>
      <c r="CJ110" s="8"/>
      <c r="CK110" s="8"/>
    </row>
    <row r="111" spans="1:89" ht="14.25" hidden="1" customHeight="1" outlineLevel="1">
      <c r="A111" s="634"/>
      <c r="B111" s="283"/>
      <c r="C111" s="284"/>
      <c r="D111" s="264"/>
      <c r="E111" s="264"/>
      <c r="F111" s="264"/>
      <c r="G111" s="265"/>
      <c r="H111" s="264"/>
      <c r="I111" s="264"/>
      <c r="J111" s="264"/>
      <c r="K111" s="265"/>
      <c r="L111" s="264"/>
      <c r="M111" s="264"/>
      <c r="N111" s="264"/>
      <c r="O111" s="265"/>
      <c r="P111" s="264"/>
      <c r="Q111" s="264"/>
      <c r="R111" s="264"/>
      <c r="S111" s="265"/>
      <c r="T111" s="264"/>
      <c r="U111" s="264"/>
      <c r="V111" s="264"/>
      <c r="W111" s="265"/>
      <c r="X111" s="264"/>
      <c r="Y111" s="264"/>
      <c r="Z111" s="264"/>
      <c r="AA111" s="265"/>
      <c r="AB111" s="264"/>
      <c r="AC111" s="264"/>
      <c r="AD111" s="264"/>
      <c r="AE111" s="265"/>
      <c r="AF111" s="244"/>
      <c r="AG111" s="264"/>
      <c r="AH111" s="264"/>
      <c r="AI111" s="354"/>
      <c r="AJ111" s="67"/>
      <c r="AK111" s="74"/>
      <c r="AL111" s="264"/>
      <c r="AM111" s="355"/>
      <c r="AN111" s="74"/>
      <c r="AO111" s="74"/>
      <c r="AP111" s="264"/>
      <c r="AQ111" s="355"/>
      <c r="AR111" s="74"/>
      <c r="AS111" s="74"/>
      <c r="AT111" s="264"/>
      <c r="AU111" s="355"/>
      <c r="AV111" s="264"/>
      <c r="AW111" s="74"/>
      <c r="AX111" s="264"/>
      <c r="AY111" s="355"/>
      <c r="AZ111" s="264"/>
      <c r="BA111" s="74"/>
      <c r="BB111" s="74"/>
      <c r="BC111" s="74"/>
      <c r="BD111" s="26"/>
      <c r="BE111" s="74"/>
      <c r="BF111" s="74"/>
      <c r="BG111" s="68"/>
      <c r="BH111" s="74"/>
      <c r="BI111" s="74"/>
      <c r="BJ111" s="74"/>
      <c r="BK111" s="68"/>
      <c r="BL111" s="74"/>
      <c r="BM111" s="74"/>
      <c r="BN111" s="74"/>
      <c r="BO111" s="68"/>
      <c r="BP111" s="23"/>
      <c r="BQ111" s="18"/>
      <c r="BR111" s="244"/>
      <c r="BS111" s="244"/>
      <c r="BT111" s="244"/>
      <c r="BU111" s="244"/>
      <c r="BV111" s="244"/>
      <c r="BW111" s="244"/>
      <c r="BX111" s="244"/>
      <c r="BY111" s="244"/>
      <c r="BZ111" s="244"/>
      <c r="CA111" s="244"/>
      <c r="CB111" s="244"/>
      <c r="CC111" s="244"/>
      <c r="CD111" s="244"/>
      <c r="CE111" s="244"/>
      <c r="CF111" s="19"/>
      <c r="CG111" s="25"/>
      <c r="CH111" s="8"/>
      <c r="CI111" s="8"/>
      <c r="CJ111" s="8"/>
      <c r="CK111" s="8"/>
    </row>
    <row r="112" spans="1:89" ht="14.25" hidden="1" customHeight="1" outlineLevel="1">
      <c r="A112" s="634"/>
      <c r="B112" s="282" t="s">
        <v>300</v>
      </c>
      <c r="C112" s="261"/>
      <c r="D112" s="94"/>
      <c r="E112" s="94"/>
      <c r="F112" s="94"/>
      <c r="G112" s="95"/>
      <c r="H112" s="477">
        <f t="shared" ref="H112:W112" si="1021">H$245</f>
        <v>0</v>
      </c>
      <c r="I112" s="416">
        <f t="shared" si="1021"/>
        <v>0</v>
      </c>
      <c r="J112" s="416">
        <f t="shared" si="1021"/>
        <v>0</v>
      </c>
      <c r="K112" s="417">
        <f t="shared" si="1021"/>
        <v>0</v>
      </c>
      <c r="L112" s="477">
        <f t="shared" si="1021"/>
        <v>35</v>
      </c>
      <c r="M112" s="416">
        <f t="shared" si="1021"/>
        <v>0</v>
      </c>
      <c r="N112" s="416">
        <f t="shared" si="1021"/>
        <v>0</v>
      </c>
      <c r="O112" s="417">
        <f t="shared" si="1021"/>
        <v>0</v>
      </c>
      <c r="P112" s="477">
        <f t="shared" si="1021"/>
        <v>0</v>
      </c>
      <c r="Q112" s="416">
        <f t="shared" si="1021"/>
        <v>0</v>
      </c>
      <c r="R112" s="416">
        <f t="shared" si="1021"/>
        <v>0</v>
      </c>
      <c r="S112" s="417">
        <f t="shared" si="1021"/>
        <v>0</v>
      </c>
      <c r="T112" s="477">
        <f t="shared" si="1021"/>
        <v>0</v>
      </c>
      <c r="U112" s="416">
        <f t="shared" si="1021"/>
        <v>0</v>
      </c>
      <c r="V112" s="416">
        <f t="shared" si="1021"/>
        <v>0</v>
      </c>
      <c r="W112" s="417">
        <f t="shared" si="1021"/>
        <v>0</v>
      </c>
      <c r="X112" s="477"/>
      <c r="Y112" s="416"/>
      <c r="Z112" s="416"/>
      <c r="AA112" s="417"/>
      <c r="AB112" s="477"/>
      <c r="AC112" s="416"/>
      <c r="AD112" s="416"/>
      <c r="AE112" s="417"/>
      <c r="AF112" s="477"/>
      <c r="AG112" s="416"/>
      <c r="AH112" s="416"/>
      <c r="AI112" s="416"/>
      <c r="AJ112" s="477"/>
      <c r="AK112" s="416"/>
      <c r="AL112" s="416"/>
      <c r="AM112" s="417"/>
      <c r="AN112" s="416"/>
      <c r="AO112" s="416"/>
      <c r="AP112" s="416"/>
      <c r="AQ112" s="417"/>
      <c r="AR112" s="416"/>
      <c r="AS112" s="416"/>
      <c r="AT112" s="416"/>
      <c r="AU112" s="417"/>
      <c r="AV112" s="416"/>
      <c r="AW112" s="416"/>
      <c r="AX112" s="416"/>
      <c r="AY112" s="417"/>
      <c r="AZ112" s="416"/>
      <c r="BA112" s="416"/>
      <c r="BB112" s="416"/>
      <c r="BC112" s="416"/>
      <c r="BD112" s="1033"/>
      <c r="BE112" s="416"/>
      <c r="BF112" s="416"/>
      <c r="BG112" s="417"/>
      <c r="BH112" s="416"/>
      <c r="BI112" s="416"/>
      <c r="BJ112" s="416"/>
      <c r="BK112" s="417"/>
      <c r="BL112" s="416"/>
      <c r="BM112" s="416"/>
      <c r="BN112" s="416"/>
      <c r="BO112" s="417"/>
      <c r="BP112" s="1470"/>
      <c r="BQ112" s="410">
        <f>SUM(D112:G112)</f>
        <v>0</v>
      </c>
      <c r="BR112" s="404">
        <f>SUM(H112:K112)</f>
        <v>0</v>
      </c>
      <c r="BS112" s="404">
        <f>SUM(L112:O112)</f>
        <v>35</v>
      </c>
      <c r="BT112" s="404">
        <f>SUM(P112:S112)</f>
        <v>0</v>
      </c>
      <c r="BU112" s="404">
        <f>SUM(T112:W112)</f>
        <v>0</v>
      </c>
      <c r="BV112" s="404">
        <f>SUM(X112:AA112)</f>
        <v>0</v>
      </c>
      <c r="BW112" s="404">
        <f>SUM(AB112:AE112)</f>
        <v>0</v>
      </c>
      <c r="BX112" s="404">
        <f>SUM(AF112:AI112)</f>
        <v>0</v>
      </c>
      <c r="BY112" s="404">
        <f>SUM(AJ112:AM112)</f>
        <v>0</v>
      </c>
      <c r="BZ112" s="404">
        <f>SUM(AN112:AQ112)</f>
        <v>0</v>
      </c>
      <c r="CA112" s="404">
        <f>SUM(AR112:AU112)</f>
        <v>0</v>
      </c>
      <c r="CB112" s="404">
        <f>SUM(AV112:AY112)</f>
        <v>0</v>
      </c>
      <c r="CC112" s="404">
        <f>SUM(AZ112:BC112)</f>
        <v>0</v>
      </c>
      <c r="CD112" s="404">
        <f>SUM(BD112:BG112)</f>
        <v>0</v>
      </c>
      <c r="CE112" s="404">
        <f>CD112*(1+CE114)</f>
        <v>0</v>
      </c>
      <c r="CF112" s="405">
        <f>CE112*(1+CF114)</f>
        <v>0</v>
      </c>
      <c r="CG112" s="25"/>
      <c r="CH112" s="8"/>
      <c r="CI112" s="8"/>
      <c r="CJ112" s="8"/>
      <c r="CK112" s="8"/>
    </row>
    <row r="113" spans="1:89" ht="14.25" hidden="1" customHeight="1" outlineLevel="1">
      <c r="A113" s="634"/>
      <c r="B113" s="260" t="s">
        <v>152</v>
      </c>
      <c r="C113" s="261"/>
      <c r="D113" s="94"/>
      <c r="E113" s="94"/>
      <c r="F113" s="94"/>
      <c r="G113" s="95"/>
      <c r="H113" s="94"/>
      <c r="I113" s="94"/>
      <c r="J113" s="94"/>
      <c r="K113" s="95"/>
      <c r="L113" s="94"/>
      <c r="M113" s="94"/>
      <c r="N113" s="94"/>
      <c r="O113" s="95"/>
      <c r="P113" s="94"/>
      <c r="Q113" s="94"/>
      <c r="R113" s="94"/>
      <c r="S113" s="95"/>
      <c r="T113" s="94"/>
      <c r="U113" s="94"/>
      <c r="V113" s="94"/>
      <c r="W113" s="95"/>
      <c r="X113" s="94"/>
      <c r="Y113" s="94"/>
      <c r="Z113" s="94"/>
      <c r="AA113" s="95"/>
      <c r="AB113" s="94"/>
      <c r="AC113" s="94"/>
      <c r="AD113" s="94"/>
      <c r="AE113" s="95"/>
      <c r="AF113" s="94"/>
      <c r="AG113" s="94"/>
      <c r="AH113" s="94"/>
      <c r="AI113" s="96"/>
      <c r="AJ113" s="98"/>
      <c r="AK113" s="96"/>
      <c r="AL113" s="96"/>
      <c r="AM113" s="97"/>
      <c r="AN113" s="96"/>
      <c r="AO113" s="96"/>
      <c r="AP113" s="96"/>
      <c r="AQ113" s="97"/>
      <c r="AR113" s="96"/>
      <c r="AS113" s="96"/>
      <c r="AT113" s="96"/>
      <c r="AU113" s="97"/>
      <c r="AV113" s="96"/>
      <c r="AW113" s="96"/>
      <c r="AX113" s="96"/>
      <c r="AY113" s="97"/>
      <c r="AZ113" s="96"/>
      <c r="BA113" s="96"/>
      <c r="BB113" s="96"/>
      <c r="BC113" s="1331"/>
      <c r="BD113" s="98"/>
      <c r="BE113" s="96"/>
      <c r="BF113" s="96"/>
      <c r="BG113" s="97"/>
      <c r="BH113" s="96"/>
      <c r="BI113" s="96"/>
      <c r="BJ113" s="96"/>
      <c r="BK113" s="97"/>
      <c r="BL113" s="1331"/>
      <c r="BM113" s="1331"/>
      <c r="BN113" s="1331"/>
      <c r="BO113" s="1332"/>
      <c r="BP113" s="23"/>
      <c r="BQ113" s="262"/>
      <c r="BR113" s="263"/>
      <c r="BS113" s="263"/>
      <c r="BT113" s="263"/>
      <c r="BU113" s="1425"/>
      <c r="BV113" s="1425"/>
      <c r="BW113" s="1425"/>
      <c r="BX113" s="1425"/>
      <c r="BY113" s="1425"/>
      <c r="BZ113" s="1425"/>
      <c r="CA113" s="1425"/>
      <c r="CB113" s="263"/>
      <c r="CC113" s="263"/>
      <c r="CD113" s="263"/>
      <c r="CE113" s="1425"/>
      <c r="CF113" s="1426"/>
      <c r="CG113" s="25"/>
      <c r="CH113" s="8"/>
      <c r="CI113" s="8"/>
      <c r="CJ113" s="8"/>
      <c r="CK113" s="8"/>
    </row>
    <row r="114" spans="1:89" ht="14.25" hidden="1" customHeight="1" outlineLevel="1">
      <c r="A114" s="634"/>
      <c r="B114" s="38" t="s">
        <v>153</v>
      </c>
      <c r="C114" s="39"/>
      <c r="D114" s="94"/>
      <c r="E114" s="94"/>
      <c r="F114" s="94"/>
      <c r="G114" s="95"/>
      <c r="H114" s="94"/>
      <c r="I114" s="94"/>
      <c r="J114" s="94"/>
      <c r="K114" s="95"/>
      <c r="L114" s="94"/>
      <c r="M114" s="94"/>
      <c r="N114" s="94"/>
      <c r="O114" s="95"/>
      <c r="P114" s="94"/>
      <c r="Q114" s="94"/>
      <c r="R114" s="94"/>
      <c r="S114" s="95"/>
      <c r="T114" s="94"/>
      <c r="U114" s="94"/>
      <c r="V114" s="94"/>
      <c r="W114" s="95"/>
      <c r="X114" s="94"/>
      <c r="Y114" s="94"/>
      <c r="Z114" s="94"/>
      <c r="AA114" s="95"/>
      <c r="AB114" s="94"/>
      <c r="AC114" s="94"/>
      <c r="AD114" s="94"/>
      <c r="AE114" s="95"/>
      <c r="AF114" s="263"/>
      <c r="AG114" s="94"/>
      <c r="AH114" s="94"/>
      <c r="AI114" s="94"/>
      <c r="AJ114" s="153"/>
      <c r="AK114" s="94"/>
      <c r="AL114" s="94"/>
      <c r="AM114" s="95"/>
      <c r="AN114" s="94"/>
      <c r="AO114" s="94"/>
      <c r="AP114" s="94"/>
      <c r="AQ114" s="95"/>
      <c r="AR114" s="94"/>
      <c r="AS114" s="94"/>
      <c r="AT114" s="94"/>
      <c r="AU114" s="95"/>
      <c r="AV114" s="94"/>
      <c r="AW114" s="94"/>
      <c r="AX114" s="94"/>
      <c r="AY114" s="95"/>
      <c r="AZ114" s="1211"/>
      <c r="BA114" s="94"/>
      <c r="BB114" s="94"/>
      <c r="BC114" s="1389"/>
      <c r="BD114" s="1323"/>
      <c r="BE114" s="94"/>
      <c r="BF114" s="94"/>
      <c r="BG114" s="95"/>
      <c r="BH114" s="1211"/>
      <c r="BI114" s="1211"/>
      <c r="BJ114" s="1211"/>
      <c r="BK114" s="1212"/>
      <c r="BL114" s="1389"/>
      <c r="BM114" s="1389"/>
      <c r="BN114" s="1389"/>
      <c r="BO114" s="1322"/>
      <c r="BP114" s="23"/>
      <c r="BQ114" s="462"/>
      <c r="BR114" s="473"/>
      <c r="BS114" s="413"/>
      <c r="BT114" s="413"/>
      <c r="BU114" s="413"/>
      <c r="BV114" s="413"/>
      <c r="BW114" s="413"/>
      <c r="BX114" s="413"/>
      <c r="BY114" s="413"/>
      <c r="BZ114" s="413"/>
      <c r="CA114" s="413"/>
      <c r="CB114" s="413"/>
      <c r="CC114" s="413"/>
      <c r="CD114" s="413"/>
      <c r="CE114" s="413">
        <v>0</v>
      </c>
      <c r="CF114" s="412">
        <v>0</v>
      </c>
      <c r="CG114" s="25"/>
      <c r="CH114" s="8"/>
      <c r="CI114" s="8"/>
      <c r="CJ114" s="8"/>
      <c r="CK114" s="8"/>
    </row>
    <row r="115" spans="1:89" ht="14.25" hidden="1" customHeight="1" outlineLevel="1">
      <c r="A115" s="634"/>
      <c r="B115" s="260" t="s">
        <v>154</v>
      </c>
      <c r="C115" s="261"/>
      <c r="D115" s="94"/>
      <c r="E115" s="94"/>
      <c r="F115" s="94"/>
      <c r="G115" s="95"/>
      <c r="H115" s="94">
        <f t="shared" ref="H115:W115" si="1022">H112/(H122)</f>
        <v>0</v>
      </c>
      <c r="I115" s="94">
        <f t="shared" si="1022"/>
        <v>0</v>
      </c>
      <c r="J115" s="94">
        <f t="shared" si="1022"/>
        <v>0</v>
      </c>
      <c r="K115" s="95">
        <f t="shared" si="1022"/>
        <v>0</v>
      </c>
      <c r="L115" s="94">
        <f t="shared" si="1022"/>
        <v>5.5886884944871582E-2</v>
      </c>
      <c r="M115" s="94">
        <f t="shared" si="1022"/>
        <v>0</v>
      </c>
      <c r="N115" s="94">
        <f t="shared" si="1022"/>
        <v>0</v>
      </c>
      <c r="O115" s="95">
        <f t="shared" si="1022"/>
        <v>0</v>
      </c>
      <c r="P115" s="94">
        <f t="shared" si="1022"/>
        <v>0</v>
      </c>
      <c r="Q115" s="94">
        <f t="shared" si="1022"/>
        <v>0</v>
      </c>
      <c r="R115" s="94">
        <f t="shared" si="1022"/>
        <v>0</v>
      </c>
      <c r="S115" s="95">
        <f t="shared" si="1022"/>
        <v>0</v>
      </c>
      <c r="T115" s="94">
        <f t="shared" si="1022"/>
        <v>0</v>
      </c>
      <c r="U115" s="94">
        <f t="shared" si="1022"/>
        <v>0</v>
      </c>
      <c r="V115" s="94">
        <f t="shared" si="1022"/>
        <v>0</v>
      </c>
      <c r="W115" s="95">
        <f t="shared" si="1022"/>
        <v>0</v>
      </c>
      <c r="X115" s="94"/>
      <c r="Y115" s="94"/>
      <c r="Z115" s="94"/>
      <c r="AA115" s="95"/>
      <c r="AB115" s="94"/>
      <c r="AC115" s="94"/>
      <c r="AD115" s="94"/>
      <c r="AE115" s="95"/>
      <c r="AF115" s="94"/>
      <c r="AG115" s="94"/>
      <c r="AH115" s="94"/>
      <c r="AI115" s="94"/>
      <c r="AJ115" s="153"/>
      <c r="AK115" s="94"/>
      <c r="AL115" s="94"/>
      <c r="AM115" s="95"/>
      <c r="AN115" s="94"/>
      <c r="AO115" s="94"/>
      <c r="AP115" s="94"/>
      <c r="AQ115" s="95"/>
      <c r="AR115" s="94"/>
      <c r="AS115" s="94"/>
      <c r="AT115" s="94"/>
      <c r="AU115" s="95"/>
      <c r="AV115" s="94"/>
      <c r="AW115" s="94"/>
      <c r="AX115" s="94"/>
      <c r="AY115" s="95"/>
      <c r="AZ115" s="1211"/>
      <c r="BA115" s="94"/>
      <c r="BB115" s="94"/>
      <c r="BC115" s="1389"/>
      <c r="BD115" s="1323"/>
      <c r="BE115" s="94"/>
      <c r="BF115" s="94"/>
      <c r="BG115" s="95"/>
      <c r="BH115" s="1211"/>
      <c r="BI115" s="1211"/>
      <c r="BJ115" s="1211"/>
      <c r="BK115" s="1212"/>
      <c r="BL115" s="1389"/>
      <c r="BM115" s="1389"/>
      <c r="BN115" s="1389"/>
      <c r="BO115" s="1322"/>
      <c r="BP115" s="23"/>
      <c r="BQ115" s="823"/>
      <c r="BR115" s="413">
        <f t="shared" ref="BR115:CE115" si="1023">BR112/(BR122)</f>
        <v>0</v>
      </c>
      <c r="BS115" s="413">
        <f t="shared" si="1023"/>
        <v>1.420039022672343E-2</v>
      </c>
      <c r="BT115" s="413">
        <f t="shared" si="1023"/>
        <v>0</v>
      </c>
      <c r="BU115" s="413">
        <f t="shared" si="1023"/>
        <v>0</v>
      </c>
      <c r="BV115" s="413">
        <f t="shared" si="1023"/>
        <v>0</v>
      </c>
      <c r="BW115" s="413">
        <f t="shared" si="1023"/>
        <v>0</v>
      </c>
      <c r="BX115" s="413">
        <f t="shared" si="1023"/>
        <v>0</v>
      </c>
      <c r="BY115" s="413">
        <f t="shared" si="1023"/>
        <v>0</v>
      </c>
      <c r="BZ115" s="413">
        <f>BZ112/(BZ122)</f>
        <v>0</v>
      </c>
      <c r="CA115" s="413">
        <f>CA112/(CA122)</f>
        <v>0</v>
      </c>
      <c r="CB115" s="413">
        <f>CB112/(CB122)</f>
        <v>0</v>
      </c>
      <c r="CC115" s="413">
        <f>CC112/(CC122)</f>
        <v>0</v>
      </c>
      <c r="CD115" s="413">
        <f>CD112/(CD122)</f>
        <v>0</v>
      </c>
      <c r="CE115" s="413">
        <f t="shared" si="1023"/>
        <v>0</v>
      </c>
      <c r="CF115" s="412">
        <f t="shared" ref="CF115" si="1024">CF112/(CF122)</f>
        <v>0</v>
      </c>
      <c r="CG115" s="25"/>
      <c r="CH115" s="8"/>
      <c r="CI115" s="8"/>
      <c r="CJ115" s="8"/>
      <c r="CK115" s="8"/>
    </row>
    <row r="116" spans="1:89" ht="14.25" hidden="1" customHeight="1" outlineLevel="1">
      <c r="A116" s="634"/>
      <c r="B116" s="260"/>
      <c r="C116" s="261"/>
      <c r="D116" s="94"/>
      <c r="E116" s="94"/>
      <c r="F116" s="94"/>
      <c r="G116" s="95"/>
      <c r="H116" s="94"/>
      <c r="I116" s="94"/>
      <c r="J116" s="94"/>
      <c r="K116" s="95"/>
      <c r="L116" s="94"/>
      <c r="M116" s="94"/>
      <c r="N116" s="94"/>
      <c r="O116" s="95"/>
      <c r="P116" s="94"/>
      <c r="Q116" s="94"/>
      <c r="R116" s="94"/>
      <c r="S116" s="95"/>
      <c r="T116" s="94"/>
      <c r="U116" s="94"/>
      <c r="V116" s="94"/>
      <c r="W116" s="95"/>
      <c r="X116" s="94"/>
      <c r="Y116" s="94"/>
      <c r="Z116" s="94"/>
      <c r="AA116" s="95"/>
      <c r="AB116" s="94"/>
      <c r="AC116" s="94"/>
      <c r="AD116" s="94"/>
      <c r="AE116" s="95"/>
      <c r="AF116" s="96"/>
      <c r="AG116" s="94"/>
      <c r="AH116" s="94"/>
      <c r="AI116" s="96"/>
      <c r="AJ116" s="26"/>
      <c r="AK116" s="70"/>
      <c r="AL116" s="94"/>
      <c r="AM116" s="97"/>
      <c r="AN116" s="70"/>
      <c r="AO116" s="70"/>
      <c r="AP116" s="94"/>
      <c r="AQ116" s="97"/>
      <c r="AR116" s="70"/>
      <c r="AS116" s="70"/>
      <c r="AT116" s="94"/>
      <c r="AU116" s="97"/>
      <c r="AV116" s="94"/>
      <c r="AW116" s="70"/>
      <c r="AX116" s="94"/>
      <c r="AY116" s="97"/>
      <c r="AZ116" s="1211"/>
      <c r="BA116" s="70"/>
      <c r="BB116" s="70"/>
      <c r="BC116" s="70"/>
      <c r="BD116" s="26"/>
      <c r="BE116" s="70"/>
      <c r="BF116" s="70"/>
      <c r="BG116" s="27"/>
      <c r="BH116" s="70"/>
      <c r="BI116" s="70"/>
      <c r="BJ116" s="70"/>
      <c r="BK116" s="27"/>
      <c r="BL116" s="70"/>
      <c r="BM116" s="70"/>
      <c r="BN116" s="70"/>
      <c r="BO116" s="27"/>
      <c r="BP116" s="23"/>
      <c r="BQ116" s="25"/>
      <c r="BR116" s="17"/>
      <c r="BS116" s="17"/>
      <c r="BT116" s="17"/>
      <c r="BU116" s="17"/>
      <c r="BV116" s="17"/>
      <c r="BW116" s="17"/>
      <c r="BX116" s="17"/>
      <c r="BY116" s="17"/>
      <c r="BZ116" s="17"/>
      <c r="CA116" s="17"/>
      <c r="CB116" s="17"/>
      <c r="CC116" s="17"/>
      <c r="CD116" s="17"/>
      <c r="CE116" s="17"/>
      <c r="CF116" s="253"/>
      <c r="CG116" s="25"/>
      <c r="CH116" s="8"/>
      <c r="CI116" s="8"/>
      <c r="CJ116" s="8"/>
      <c r="CK116" s="8"/>
    </row>
    <row r="117" spans="1:89" ht="14.25" hidden="1" customHeight="1" outlineLevel="1">
      <c r="A117" s="634"/>
      <c r="B117" s="282" t="s">
        <v>301</v>
      </c>
      <c r="C117" s="261"/>
      <c r="D117" s="416"/>
      <c r="E117" s="416"/>
      <c r="F117" s="416"/>
      <c r="G117" s="417"/>
      <c r="H117" s="477">
        <f>H120*H112</f>
        <v>0</v>
      </c>
      <c r="I117" s="416">
        <f>I120*I112</f>
        <v>0</v>
      </c>
      <c r="J117" s="416">
        <f>J120*J112</f>
        <v>0</v>
      </c>
      <c r="K117" s="417">
        <f>K120*K112</f>
        <v>0</v>
      </c>
      <c r="L117" s="477">
        <f>L120*L112</f>
        <v>35</v>
      </c>
      <c r="M117" s="416">
        <f t="shared" ref="M117:W117" si="1025">M120*M112</f>
        <v>0</v>
      </c>
      <c r="N117" s="416">
        <f t="shared" si="1025"/>
        <v>0</v>
      </c>
      <c r="O117" s="417">
        <f t="shared" si="1025"/>
        <v>0</v>
      </c>
      <c r="P117" s="477">
        <f t="shared" si="1025"/>
        <v>0</v>
      </c>
      <c r="Q117" s="416">
        <f t="shared" si="1025"/>
        <v>0</v>
      </c>
      <c r="R117" s="416">
        <f t="shared" si="1025"/>
        <v>0</v>
      </c>
      <c r="S117" s="417">
        <f t="shared" si="1025"/>
        <v>0</v>
      </c>
      <c r="T117" s="477">
        <f t="shared" si="1025"/>
        <v>0</v>
      </c>
      <c r="U117" s="416">
        <f t="shared" si="1025"/>
        <v>0</v>
      </c>
      <c r="V117" s="416">
        <f t="shared" si="1025"/>
        <v>0</v>
      </c>
      <c r="W117" s="417">
        <f t="shared" si="1025"/>
        <v>0</v>
      </c>
      <c r="X117" s="477"/>
      <c r="Y117" s="416"/>
      <c r="Z117" s="416"/>
      <c r="AA117" s="417"/>
      <c r="AB117" s="477"/>
      <c r="AC117" s="416"/>
      <c r="AD117" s="416"/>
      <c r="AE117" s="417"/>
      <c r="AF117" s="477"/>
      <c r="AG117" s="416"/>
      <c r="AH117" s="416"/>
      <c r="AI117" s="416"/>
      <c r="AJ117" s="477"/>
      <c r="AK117" s="416"/>
      <c r="AL117" s="416"/>
      <c r="AM117" s="417"/>
      <c r="AN117" s="416"/>
      <c r="AO117" s="416"/>
      <c r="AP117" s="416"/>
      <c r="AQ117" s="417"/>
      <c r="AR117" s="416"/>
      <c r="AS117" s="416"/>
      <c r="AT117" s="416"/>
      <c r="AU117" s="417"/>
      <c r="AV117" s="416"/>
      <c r="AW117" s="416"/>
      <c r="AX117" s="416"/>
      <c r="AY117" s="417"/>
      <c r="AZ117" s="416"/>
      <c r="BA117" s="416"/>
      <c r="BB117" s="416"/>
      <c r="BC117" s="416"/>
      <c r="BD117" s="477"/>
      <c r="BE117" s="416"/>
      <c r="BF117" s="416"/>
      <c r="BG117" s="417"/>
      <c r="BH117" s="416"/>
      <c r="BI117" s="416"/>
      <c r="BJ117" s="416"/>
      <c r="BK117" s="417"/>
      <c r="BL117" s="416"/>
      <c r="BM117" s="416"/>
      <c r="BN117" s="416"/>
      <c r="BO117" s="417"/>
      <c r="BP117" s="1470"/>
      <c r="BQ117" s="410">
        <f>SUM(D117:G117)</f>
        <v>0</v>
      </c>
      <c r="BR117" s="404">
        <f>SUM(H117:K117)</f>
        <v>0</v>
      </c>
      <c r="BS117" s="404">
        <f>SUM(L117:O117)</f>
        <v>35</v>
      </c>
      <c r="BT117" s="404">
        <f>SUM(P117:S117)</f>
        <v>0</v>
      </c>
      <c r="BU117" s="404">
        <f>SUM(T117:W117)</f>
        <v>0</v>
      </c>
      <c r="BV117" s="404">
        <f>SUM(X117:AA117)</f>
        <v>0</v>
      </c>
      <c r="BW117" s="404">
        <f>SUM(AB117:AE117)</f>
        <v>0</v>
      </c>
      <c r="BX117" s="404">
        <f>SUM(AF117:AI117)</f>
        <v>0</v>
      </c>
      <c r="BY117" s="404">
        <f>SUM(AJ117:AM117)</f>
        <v>0</v>
      </c>
      <c r="BZ117" s="404">
        <f>SUM(AN117:AQ117)</f>
        <v>0</v>
      </c>
      <c r="CA117" s="404">
        <f>SUM(AR117:AU117)</f>
        <v>0</v>
      </c>
      <c r="CB117" s="404">
        <f>SUM(AV117:AY117)</f>
        <v>0</v>
      </c>
      <c r="CC117" s="404">
        <f>SUM(AZ117:BC117)</f>
        <v>0</v>
      </c>
      <c r="CD117" s="404">
        <f>SUM(BD117:BG117)</f>
        <v>0</v>
      </c>
      <c r="CE117" s="404">
        <f>CE120*CE112</f>
        <v>0</v>
      </c>
      <c r="CF117" s="405">
        <f>CF120*CF112</f>
        <v>0</v>
      </c>
      <c r="CG117" s="25"/>
      <c r="CH117" s="8"/>
      <c r="CI117" s="8"/>
      <c r="CJ117" s="8"/>
      <c r="CK117" s="8"/>
    </row>
    <row r="118" spans="1:89" ht="14.25" hidden="1" customHeight="1" outlineLevel="1">
      <c r="A118" s="634"/>
      <c r="B118" s="260" t="s">
        <v>152</v>
      </c>
      <c r="C118" s="261"/>
      <c r="D118" s="94"/>
      <c r="E118" s="94"/>
      <c r="F118" s="94"/>
      <c r="G118" s="95"/>
      <c r="H118" s="153"/>
      <c r="I118" s="94"/>
      <c r="J118" s="94"/>
      <c r="K118" s="95"/>
      <c r="L118" s="153"/>
      <c r="M118" s="94"/>
      <c r="N118" s="94"/>
      <c r="O118" s="95"/>
      <c r="P118" s="153"/>
      <c r="Q118" s="94"/>
      <c r="R118" s="94"/>
      <c r="S118" s="95"/>
      <c r="T118" s="153"/>
      <c r="U118" s="94"/>
      <c r="V118" s="94"/>
      <c r="W118" s="95"/>
      <c r="X118" s="153"/>
      <c r="Y118" s="94"/>
      <c r="Z118" s="94"/>
      <c r="AA118" s="95"/>
      <c r="AB118" s="153"/>
      <c r="AC118" s="94"/>
      <c r="AD118" s="94"/>
      <c r="AE118" s="95"/>
      <c r="AF118" s="153"/>
      <c r="AG118" s="94"/>
      <c r="AH118" s="94"/>
      <c r="AI118" s="94"/>
      <c r="AJ118" s="153"/>
      <c r="AK118" s="94"/>
      <c r="AL118" s="94"/>
      <c r="AM118" s="95"/>
      <c r="AN118" s="94"/>
      <c r="AO118" s="94"/>
      <c r="AP118" s="94"/>
      <c r="AQ118" s="95"/>
      <c r="AR118" s="94"/>
      <c r="AS118" s="94"/>
      <c r="AT118" s="94"/>
      <c r="AU118" s="95"/>
      <c r="AV118" s="94"/>
      <c r="AW118" s="94"/>
      <c r="AX118" s="94"/>
      <c r="AY118" s="95"/>
      <c r="AZ118" s="1211"/>
      <c r="BA118" s="94"/>
      <c r="BB118" s="94"/>
      <c r="BC118" s="1389"/>
      <c r="BD118" s="1323"/>
      <c r="BE118" s="94"/>
      <c r="BF118" s="94"/>
      <c r="BG118" s="95"/>
      <c r="BH118" s="1211"/>
      <c r="BI118" s="1211"/>
      <c r="BJ118" s="1211"/>
      <c r="BK118" s="1212"/>
      <c r="BL118" s="1389"/>
      <c r="BM118" s="1389"/>
      <c r="BN118" s="1389"/>
      <c r="BO118" s="1322"/>
      <c r="BP118" s="23"/>
      <c r="BQ118" s="262"/>
      <c r="BR118" s="263"/>
      <c r="BS118" s="263"/>
      <c r="BT118" s="263"/>
      <c r="BU118" s="1425"/>
      <c r="BV118" s="1425"/>
      <c r="BW118" s="1425"/>
      <c r="BX118" s="1425"/>
      <c r="BY118" s="1425"/>
      <c r="BZ118" s="1425"/>
      <c r="CA118" s="1425"/>
      <c r="CB118" s="263"/>
      <c r="CC118" s="263"/>
      <c r="CD118" s="263"/>
      <c r="CE118" s="1425"/>
      <c r="CF118" s="1426"/>
      <c r="CG118" s="25"/>
      <c r="CH118" s="8"/>
      <c r="CI118" s="8"/>
      <c r="CJ118" s="8"/>
      <c r="CK118" s="8"/>
    </row>
    <row r="119" spans="1:89" ht="14.25" hidden="1" customHeight="1" outlineLevel="1">
      <c r="A119" s="634"/>
      <c r="B119" s="38" t="s">
        <v>153</v>
      </c>
      <c r="C119" s="261"/>
      <c r="D119" s="94"/>
      <c r="E119" s="94"/>
      <c r="F119" s="94"/>
      <c r="G119" s="95"/>
      <c r="H119" s="153"/>
      <c r="I119" s="94"/>
      <c r="J119" s="94"/>
      <c r="K119" s="95"/>
      <c r="L119" s="153"/>
      <c r="M119" s="94"/>
      <c r="N119" s="94"/>
      <c r="O119" s="95"/>
      <c r="P119" s="153"/>
      <c r="Q119" s="94"/>
      <c r="R119" s="94"/>
      <c r="S119" s="95"/>
      <c r="T119" s="153"/>
      <c r="U119" s="94"/>
      <c r="V119" s="94"/>
      <c r="W119" s="95"/>
      <c r="X119" s="153"/>
      <c r="Y119" s="94"/>
      <c r="Z119" s="94"/>
      <c r="AA119" s="95"/>
      <c r="AB119" s="153"/>
      <c r="AC119" s="94"/>
      <c r="AD119" s="94"/>
      <c r="AE119" s="95"/>
      <c r="AF119" s="153"/>
      <c r="AG119" s="94"/>
      <c r="AH119" s="94"/>
      <c r="AI119" s="94"/>
      <c r="AJ119" s="153"/>
      <c r="AK119" s="94"/>
      <c r="AL119" s="94"/>
      <c r="AM119" s="95"/>
      <c r="AN119" s="94"/>
      <c r="AO119" s="94"/>
      <c r="AP119" s="94"/>
      <c r="AQ119" s="95"/>
      <c r="AR119" s="94"/>
      <c r="AS119" s="94"/>
      <c r="AT119" s="94"/>
      <c r="AU119" s="95"/>
      <c r="AV119" s="94"/>
      <c r="AW119" s="94"/>
      <c r="AX119" s="94"/>
      <c r="AY119" s="95"/>
      <c r="AZ119" s="1211"/>
      <c r="BA119" s="94"/>
      <c r="BB119" s="94"/>
      <c r="BC119" s="1389"/>
      <c r="BD119" s="1323"/>
      <c r="BE119" s="94"/>
      <c r="BF119" s="94"/>
      <c r="BG119" s="95"/>
      <c r="BH119" s="1211"/>
      <c r="BI119" s="1211"/>
      <c r="BJ119" s="1211"/>
      <c r="BK119" s="1212"/>
      <c r="BL119" s="1389"/>
      <c r="BM119" s="1389"/>
      <c r="BN119" s="1389"/>
      <c r="BO119" s="1322"/>
      <c r="BP119" s="23"/>
      <c r="BQ119" s="462"/>
      <c r="BR119" s="473"/>
      <c r="BS119" s="473"/>
      <c r="BT119" s="473"/>
      <c r="BU119" s="473"/>
      <c r="BV119" s="473"/>
      <c r="BW119" s="473"/>
      <c r="BX119" s="473"/>
      <c r="BY119" s="473"/>
      <c r="BZ119" s="473"/>
      <c r="CA119" s="473"/>
      <c r="CB119" s="413"/>
      <c r="CC119" s="413"/>
      <c r="CD119" s="413"/>
      <c r="CE119" s="413"/>
      <c r="CF119" s="412"/>
      <c r="CG119" s="25"/>
      <c r="CH119" s="8"/>
      <c r="CI119" s="8"/>
      <c r="CJ119" s="8"/>
      <c r="CK119" s="8"/>
    </row>
    <row r="120" spans="1:89" ht="14.25" hidden="1" customHeight="1" outlineLevel="1">
      <c r="A120" s="634"/>
      <c r="B120" s="260" t="s">
        <v>178</v>
      </c>
      <c r="C120" s="261"/>
      <c r="D120" s="94"/>
      <c r="E120" s="94"/>
      <c r="F120" s="94"/>
      <c r="G120" s="95"/>
      <c r="H120" s="153"/>
      <c r="I120" s="94"/>
      <c r="J120" s="94"/>
      <c r="K120" s="95"/>
      <c r="L120" s="154">
        <v>1</v>
      </c>
      <c r="M120" s="94"/>
      <c r="N120" s="94"/>
      <c r="O120" s="95"/>
      <c r="P120" s="153"/>
      <c r="Q120" s="94"/>
      <c r="R120" s="94"/>
      <c r="S120" s="95"/>
      <c r="T120" s="153"/>
      <c r="U120" s="94"/>
      <c r="V120" s="94"/>
      <c r="W120" s="95"/>
      <c r="X120" s="153"/>
      <c r="Y120" s="94"/>
      <c r="Z120" s="94"/>
      <c r="AA120" s="95"/>
      <c r="AB120" s="153"/>
      <c r="AC120" s="94"/>
      <c r="AD120" s="94"/>
      <c r="AE120" s="95"/>
      <c r="AF120" s="153"/>
      <c r="AG120" s="94"/>
      <c r="AH120" s="94"/>
      <c r="AI120" s="96"/>
      <c r="AJ120" s="98"/>
      <c r="AK120" s="96"/>
      <c r="AL120" s="96"/>
      <c r="AM120" s="97"/>
      <c r="AN120" s="96"/>
      <c r="AO120" s="96"/>
      <c r="AP120" s="96"/>
      <c r="AQ120" s="97"/>
      <c r="AR120" s="96"/>
      <c r="AS120" s="96"/>
      <c r="AT120" s="96"/>
      <c r="AU120" s="97"/>
      <c r="AV120" s="96"/>
      <c r="AW120" s="96"/>
      <c r="AX120" s="96"/>
      <c r="AY120" s="97"/>
      <c r="AZ120" s="96"/>
      <c r="BA120" s="96"/>
      <c r="BB120" s="96"/>
      <c r="BC120" s="1331"/>
      <c r="BD120" s="98"/>
      <c r="BE120" s="96"/>
      <c r="BF120" s="96"/>
      <c r="BG120" s="97"/>
      <c r="BH120" s="96"/>
      <c r="BI120" s="96"/>
      <c r="BJ120" s="96"/>
      <c r="BK120" s="97"/>
      <c r="BL120" s="1331"/>
      <c r="BM120" s="1331"/>
      <c r="BN120" s="1331"/>
      <c r="BO120" s="1332"/>
      <c r="BP120" s="23"/>
      <c r="BQ120" s="823"/>
      <c r="BR120" s="413"/>
      <c r="BS120" s="413">
        <f>BS117/BS112</f>
        <v>1</v>
      </c>
      <c r="BT120" s="413"/>
      <c r="BU120" s="413"/>
      <c r="BV120" s="413"/>
      <c r="BW120" s="413"/>
      <c r="BX120" s="413"/>
      <c r="BY120" s="413"/>
      <c r="BZ120" s="413"/>
      <c r="CA120" s="413"/>
      <c r="CB120" s="413"/>
      <c r="CC120" s="413"/>
      <c r="CD120" s="413"/>
      <c r="CE120" s="413">
        <v>1</v>
      </c>
      <c r="CF120" s="412">
        <v>1</v>
      </c>
      <c r="CG120" s="25"/>
      <c r="CH120" s="8"/>
      <c r="CI120" s="8"/>
      <c r="CJ120" s="8"/>
      <c r="CK120" s="8"/>
    </row>
    <row r="121" spans="1:89" ht="14.25" hidden="1" customHeight="1" outlineLevel="1">
      <c r="A121" s="634"/>
      <c r="B121" s="283"/>
      <c r="C121" s="284"/>
      <c r="D121" s="264"/>
      <c r="E121" s="264"/>
      <c r="F121" s="264"/>
      <c r="G121" s="265"/>
      <c r="H121" s="264"/>
      <c r="I121" s="264"/>
      <c r="J121" s="264"/>
      <c r="K121" s="265"/>
      <c r="L121" s="264"/>
      <c r="M121" s="264"/>
      <c r="N121" s="264"/>
      <c r="O121" s="265"/>
      <c r="P121" s="264"/>
      <c r="Q121" s="264"/>
      <c r="R121" s="264"/>
      <c r="S121" s="265"/>
      <c r="T121" s="264"/>
      <c r="U121" s="264"/>
      <c r="V121" s="264"/>
      <c r="W121" s="265"/>
      <c r="X121" s="264"/>
      <c r="Y121" s="264"/>
      <c r="Z121" s="264"/>
      <c r="AA121" s="265"/>
      <c r="AB121" s="264"/>
      <c r="AC121" s="264"/>
      <c r="AD121" s="264"/>
      <c r="AE121" s="265"/>
      <c r="AF121" s="244"/>
      <c r="AG121" s="342"/>
      <c r="AH121" s="264"/>
      <c r="AI121" s="342"/>
      <c r="AJ121" s="18"/>
      <c r="AK121" s="244"/>
      <c r="AL121" s="264"/>
      <c r="AM121" s="1021"/>
      <c r="AN121" s="244"/>
      <c r="AO121" s="244"/>
      <c r="AP121" s="264"/>
      <c r="AQ121" s="1021"/>
      <c r="AR121" s="244"/>
      <c r="AS121" s="244"/>
      <c r="AT121" s="264"/>
      <c r="AU121" s="1021"/>
      <c r="AV121" s="264"/>
      <c r="AW121" s="244"/>
      <c r="AX121" s="264"/>
      <c r="AY121" s="1021"/>
      <c r="AZ121" s="264"/>
      <c r="BA121" s="244"/>
      <c r="BB121" s="244"/>
      <c r="BC121" s="244"/>
      <c r="BD121" s="25"/>
      <c r="BE121" s="244"/>
      <c r="BF121" s="244"/>
      <c r="BG121" s="19"/>
      <c r="BH121" s="244"/>
      <c r="BI121" s="244"/>
      <c r="BJ121" s="244"/>
      <c r="BK121" s="19"/>
      <c r="BL121" s="244"/>
      <c r="BM121" s="244"/>
      <c r="BN121" s="244"/>
      <c r="BO121" s="19"/>
      <c r="BP121" s="23"/>
      <c r="BQ121" s="18"/>
      <c r="BR121" s="244"/>
      <c r="BS121" s="244"/>
      <c r="BT121" s="244"/>
      <c r="BU121" s="244"/>
      <c r="BV121" s="244"/>
      <c r="BW121" s="244"/>
      <c r="BX121" s="244"/>
      <c r="BY121" s="244"/>
      <c r="BZ121" s="244"/>
      <c r="CA121" s="244"/>
      <c r="CB121" s="244"/>
      <c r="CC121" s="244"/>
      <c r="CD121" s="244"/>
      <c r="CE121" s="244"/>
      <c r="CF121" s="19"/>
      <c r="CG121" s="25"/>
      <c r="CH121" s="8"/>
      <c r="CI121" s="8"/>
      <c r="CJ121" s="8"/>
      <c r="CK121" s="8"/>
    </row>
    <row r="122" spans="1:89" ht="14.25" customHeight="1" collapsed="1">
      <c r="A122" s="634"/>
      <c r="B122" s="282" t="s">
        <v>155</v>
      </c>
      <c r="C122" s="341"/>
      <c r="D122" s="477"/>
      <c r="E122" s="416"/>
      <c r="F122" s="416"/>
      <c r="G122" s="417"/>
      <c r="H122" s="477">
        <f t="shared" ref="H122:BA122" si="1026">H101+H80+H54+H33+H12+H112</f>
        <v>621.30199999999991</v>
      </c>
      <c r="I122" s="416">
        <f t="shared" si="1026"/>
        <v>643.87200000000007</v>
      </c>
      <c r="J122" s="416">
        <f t="shared" si="1026"/>
        <v>663.66</v>
      </c>
      <c r="K122" s="417">
        <f t="shared" si="1026"/>
        <v>685.54200000000014</v>
      </c>
      <c r="L122" s="477">
        <f t="shared" si="1026"/>
        <v>626.26499999999999</v>
      </c>
      <c r="M122" s="416">
        <f t="shared" si="1026"/>
        <v>597.48299999999995</v>
      </c>
      <c r="N122" s="416">
        <f t="shared" si="1026"/>
        <v>617.43100000000004</v>
      </c>
      <c r="O122" s="417">
        <f t="shared" si="1026"/>
        <v>623.54200000000003</v>
      </c>
      <c r="P122" s="477">
        <f t="shared" si="1026"/>
        <v>613.90899999999999</v>
      </c>
      <c r="Q122" s="416">
        <f t="shared" si="1026"/>
        <v>649.34</v>
      </c>
      <c r="R122" s="416">
        <f t="shared" si="1026"/>
        <v>658.98599999999999</v>
      </c>
      <c r="S122" s="417">
        <f t="shared" si="1026"/>
        <v>660.69600000000003</v>
      </c>
      <c r="T122" s="477">
        <f t="shared" si="1026"/>
        <v>476.56899999999996</v>
      </c>
      <c r="U122" s="416">
        <f t="shared" si="1026"/>
        <v>474.74799999999999</v>
      </c>
      <c r="V122" s="416">
        <f t="shared" si="1026"/>
        <v>491.99099999999999</v>
      </c>
      <c r="W122" s="417">
        <f t="shared" si="1026"/>
        <v>571.60000000000014</v>
      </c>
      <c r="X122" s="477">
        <f t="shared" si="1026"/>
        <v>603</v>
      </c>
      <c r="Y122" s="416">
        <f t="shared" si="1026"/>
        <v>668.2</v>
      </c>
      <c r="Z122" s="416">
        <f t="shared" si="1026"/>
        <v>720.3</v>
      </c>
      <c r="AA122" s="417">
        <f t="shared" si="1026"/>
        <v>770</v>
      </c>
      <c r="AB122" s="477">
        <f t="shared" si="1026"/>
        <v>728.5</v>
      </c>
      <c r="AC122" s="416">
        <f t="shared" si="1026"/>
        <v>790.8</v>
      </c>
      <c r="AD122" s="416">
        <f t="shared" si="1026"/>
        <v>757.9</v>
      </c>
      <c r="AE122" s="417">
        <f t="shared" si="1026"/>
        <v>716.1</v>
      </c>
      <c r="AF122" s="409">
        <f t="shared" si="1026"/>
        <v>648.1</v>
      </c>
      <c r="AG122" s="407">
        <f t="shared" si="1026"/>
        <v>675.10899999999992</v>
      </c>
      <c r="AH122" s="416">
        <f t="shared" si="1026"/>
        <v>683.02600000000007</v>
      </c>
      <c r="AI122" s="407">
        <f t="shared" si="1026"/>
        <v>694.96399999999994</v>
      </c>
      <c r="AJ122" s="409">
        <f t="shared" si="1026"/>
        <v>622.13400000000001</v>
      </c>
      <c r="AK122" s="407">
        <f t="shared" si="1026"/>
        <v>659.25</v>
      </c>
      <c r="AL122" s="416">
        <f t="shared" si="1026"/>
        <v>674.17200000000003</v>
      </c>
      <c r="AM122" s="408">
        <f t="shared" si="1026"/>
        <v>678.13300000000004</v>
      </c>
      <c r="AN122" s="407">
        <f t="shared" si="1026"/>
        <v>628.23800000000006</v>
      </c>
      <c r="AO122" s="407">
        <f t="shared" si="1026"/>
        <v>694.53599999999994</v>
      </c>
      <c r="AP122" s="416">
        <f t="shared" si="1026"/>
        <v>727.75199999999995</v>
      </c>
      <c r="AQ122" s="408">
        <f t="shared" si="1026"/>
        <v>814.24699999999996</v>
      </c>
      <c r="AR122" s="407">
        <f t="shared" si="1026"/>
        <v>771.9860000000001</v>
      </c>
      <c r="AS122" s="407">
        <f t="shared" si="1026"/>
        <v>821.01900000000001</v>
      </c>
      <c r="AT122" s="416">
        <f t="shared" si="1026"/>
        <v>863.36500000000001</v>
      </c>
      <c r="AU122" s="408">
        <f t="shared" si="1026"/>
        <v>978.72199999999998</v>
      </c>
      <c r="AV122" s="416">
        <f t="shared" si="1026"/>
        <v>769.42899999999997</v>
      </c>
      <c r="AW122" s="407">
        <f t="shared" si="1026"/>
        <v>778.76599999999996</v>
      </c>
      <c r="AX122" s="416">
        <f t="shared" si="1026"/>
        <v>869.59100000000001</v>
      </c>
      <c r="AY122" s="408">
        <f t="shared" si="1026"/>
        <v>1003.623</v>
      </c>
      <c r="AZ122" s="416">
        <f t="shared" si="1026"/>
        <v>984.44900000000007</v>
      </c>
      <c r="BA122" s="407">
        <f t="shared" si="1026"/>
        <v>1016.0527693333333</v>
      </c>
      <c r="BB122" s="407">
        <f>BB80+BB54+BB33+BB12</f>
        <v>1433.902</v>
      </c>
      <c r="BC122" s="407">
        <f>BC80+BC54+BC33+BC12</f>
        <v>1541.17</v>
      </c>
      <c r="BD122" s="1029">
        <f>BD80+BD54+BD33+BD12</f>
        <v>1518.624</v>
      </c>
      <c r="BE122" s="407">
        <f t="shared" ref="BE122:BK122" si="1027">BE80+BE54+BE33+BE12</f>
        <v>1470.3748249999999</v>
      </c>
      <c r="BF122" s="407">
        <f t="shared" si="1027"/>
        <v>1513.489729575</v>
      </c>
      <c r="BG122" s="408">
        <f t="shared" si="1027"/>
        <v>1563.45136848375</v>
      </c>
      <c r="BH122" s="407">
        <f t="shared" si="1027"/>
        <v>1482.0860465459623</v>
      </c>
      <c r="BI122" s="407">
        <f t="shared" si="1027"/>
        <v>1549.845241612069</v>
      </c>
      <c r="BJ122" s="407">
        <f t="shared" si="1027"/>
        <v>1606.6790380731754</v>
      </c>
      <c r="BK122" s="408">
        <f t="shared" si="1027"/>
        <v>1673.6521234376141</v>
      </c>
      <c r="BL122" s="407">
        <f t="shared" ref="BL122:BO122" si="1028">BL80+BL54+BL33+BL12</f>
        <v>1586.6755115959286</v>
      </c>
      <c r="BM122" s="407">
        <f t="shared" si="1028"/>
        <v>1653.8186965940952</v>
      </c>
      <c r="BN122" s="407">
        <f t="shared" si="1028"/>
        <v>1706.0026552512841</v>
      </c>
      <c r="BO122" s="408">
        <f t="shared" si="1028"/>
        <v>1766.5735763092998</v>
      </c>
      <c r="BP122" s="23"/>
      <c r="BQ122" s="478">
        <f>SUM(D122:G122)</f>
        <v>0</v>
      </c>
      <c r="BR122" s="495">
        <f>SUM(H122:K122)</f>
        <v>2614.3760000000002</v>
      </c>
      <c r="BS122" s="495">
        <f>SUM(L122:O122)</f>
        <v>2464.721</v>
      </c>
      <c r="BT122" s="479">
        <f>SUM(P122:S122)</f>
        <v>2582.931</v>
      </c>
      <c r="BU122" s="479">
        <f>SUM(T122:W122)</f>
        <v>2014.9080000000001</v>
      </c>
      <c r="BV122" s="479">
        <f>SUM(X122:AA122)</f>
        <v>2761.5</v>
      </c>
      <c r="BW122" s="479">
        <f>SUM(AB122:AE122)</f>
        <v>2993.2999999999997</v>
      </c>
      <c r="BX122" s="479">
        <f>SUM(AF122:AI122)</f>
        <v>2701.1989999999996</v>
      </c>
      <c r="BY122" s="479">
        <f>SUM(AJ122:AM122)</f>
        <v>2633.6890000000003</v>
      </c>
      <c r="BZ122" s="479">
        <f>SUM(AN122:AQ122)</f>
        <v>2864.7729999999997</v>
      </c>
      <c r="CA122" s="479">
        <f>SUM(AR122:AU122)</f>
        <v>3435.0919999999996</v>
      </c>
      <c r="CB122" s="479">
        <f>SUM(AV122:AY122)</f>
        <v>3421.4090000000001</v>
      </c>
      <c r="CC122" s="479">
        <f>SUM(AZ122:BC122)</f>
        <v>4975.573769333334</v>
      </c>
      <c r="CD122" s="479">
        <f>SUM(BD122:BG122)</f>
        <v>6065.9399230587496</v>
      </c>
      <c r="CE122" s="479">
        <f>SUM(BH122:BK122)</f>
        <v>6312.2624496688204</v>
      </c>
      <c r="CF122" s="405">
        <f>SUM(BL122:BO122)</f>
        <v>6713.070439750607</v>
      </c>
      <c r="CG122" s="25"/>
      <c r="CH122" s="8"/>
      <c r="CI122" s="8"/>
      <c r="CJ122" s="8"/>
      <c r="CK122" s="8"/>
    </row>
    <row r="123" spans="1:89" ht="14.25" customHeight="1">
      <c r="A123" s="634"/>
      <c r="B123" s="260" t="s">
        <v>152</v>
      </c>
      <c r="C123" s="261"/>
      <c r="D123" s="94"/>
      <c r="E123" s="94"/>
      <c r="F123" s="94"/>
      <c r="G123" s="95"/>
      <c r="H123" s="94"/>
      <c r="I123" s="94">
        <f>I122/H122-1</f>
        <v>3.6326939234060385E-2</v>
      </c>
      <c r="J123" s="94">
        <f>J122/I122-1</f>
        <v>3.0732816460414369E-2</v>
      </c>
      <c r="K123" s="95">
        <f>K122/J122-1</f>
        <v>3.2971702377723844E-2</v>
      </c>
      <c r="L123" s="94">
        <f t="shared" ref="L123:W123" si="1029">L122/K122-1</f>
        <v>-8.6467349921668046E-2</v>
      </c>
      <c r="M123" s="94">
        <f t="shared" si="1029"/>
        <v>-4.5958180642379887E-2</v>
      </c>
      <c r="N123" s="94">
        <f t="shared" si="1029"/>
        <v>3.3386723973736654E-2</v>
      </c>
      <c r="O123" s="95">
        <f t="shared" si="1029"/>
        <v>9.8974622265484147E-3</v>
      </c>
      <c r="P123" s="94">
        <f t="shared" si="1029"/>
        <v>-1.5448839051739993E-2</v>
      </c>
      <c r="Q123" s="94">
        <f t="shared" si="1029"/>
        <v>5.7713765395197125E-2</v>
      </c>
      <c r="R123" s="94">
        <f t="shared" si="1029"/>
        <v>1.4855083623371401E-2</v>
      </c>
      <c r="S123" s="95">
        <f t="shared" si="1029"/>
        <v>2.5948957944479378E-3</v>
      </c>
      <c r="T123" s="94">
        <f t="shared" si="1029"/>
        <v>-0.27868641553755447</v>
      </c>
      <c r="U123" s="94">
        <f t="shared" si="1029"/>
        <v>-3.8210626373095247E-3</v>
      </c>
      <c r="V123" s="94">
        <f t="shared" si="1029"/>
        <v>3.6320321517942178E-2</v>
      </c>
      <c r="W123" s="95">
        <f t="shared" si="1029"/>
        <v>0.16180987050576157</v>
      </c>
      <c r="X123" s="94">
        <f t="shared" ref="X123:AZ123" si="1030">X122/W122-1</f>
        <v>5.4933519944016629E-2</v>
      </c>
      <c r="Y123" s="94">
        <f t="shared" si="1030"/>
        <v>0.10812603648424557</v>
      </c>
      <c r="Z123" s="94">
        <f t="shared" si="1030"/>
        <v>7.7970667464830834E-2</v>
      </c>
      <c r="AA123" s="95">
        <f t="shared" si="1030"/>
        <v>6.899902818270176E-2</v>
      </c>
      <c r="AB123" s="94">
        <f t="shared" si="1030"/>
        <v>-5.3896103896103886E-2</v>
      </c>
      <c r="AC123" s="94">
        <f t="shared" si="1030"/>
        <v>8.5518188057652544E-2</v>
      </c>
      <c r="AD123" s="94">
        <f t="shared" si="1030"/>
        <v>-4.1603439554881105E-2</v>
      </c>
      <c r="AE123" s="95">
        <f t="shared" si="1030"/>
        <v>-5.5152394775036195E-2</v>
      </c>
      <c r="AF123" s="263">
        <f t="shared" si="1030"/>
        <v>-9.495880463622397E-2</v>
      </c>
      <c r="AG123" s="263">
        <f t="shared" si="1030"/>
        <v>4.1674124363523912E-2</v>
      </c>
      <c r="AH123" s="94">
        <f t="shared" si="1030"/>
        <v>1.1726995196331469E-2</v>
      </c>
      <c r="AI123" s="263">
        <f t="shared" si="1030"/>
        <v>1.7478104786640358E-2</v>
      </c>
      <c r="AJ123" s="262">
        <f t="shared" si="1030"/>
        <v>-0.10479679522968088</v>
      </c>
      <c r="AK123" s="263">
        <f t="shared" si="1030"/>
        <v>5.9659173104186447E-2</v>
      </c>
      <c r="AL123" s="94">
        <f t="shared" si="1030"/>
        <v>2.263481228668951E-2</v>
      </c>
      <c r="AM123" s="307">
        <f t="shared" si="1030"/>
        <v>5.8753552505887985E-3</v>
      </c>
      <c r="AN123" s="263">
        <f t="shared" si="1030"/>
        <v>-7.3577012179026791E-2</v>
      </c>
      <c r="AO123" s="263">
        <f t="shared" si="1030"/>
        <v>0.10553006981430579</v>
      </c>
      <c r="AP123" s="94">
        <f t="shared" si="1030"/>
        <v>4.7824734786965806E-2</v>
      </c>
      <c r="AQ123" s="307">
        <f t="shared" si="1030"/>
        <v>0.11885230133342128</v>
      </c>
      <c r="AR123" s="263">
        <f t="shared" ref="AR123:AY123" si="1031">AR122/AQ122-1</f>
        <v>-5.1901941302823218E-2</v>
      </c>
      <c r="AS123" s="263">
        <f t="shared" si="1030"/>
        <v>6.3515400538351585E-2</v>
      </c>
      <c r="AT123" s="94">
        <f t="shared" si="1030"/>
        <v>5.1577369098644521E-2</v>
      </c>
      <c r="AU123" s="307">
        <f t="shared" si="1031"/>
        <v>0.13361324584619472</v>
      </c>
      <c r="AV123" s="94">
        <f t="shared" si="1030"/>
        <v>-0.21384315464452619</v>
      </c>
      <c r="AW123" s="263">
        <f t="shared" si="1031"/>
        <v>1.2134972817504863E-2</v>
      </c>
      <c r="AX123" s="94">
        <f t="shared" si="1030"/>
        <v>0.11662681729813573</v>
      </c>
      <c r="AY123" s="307">
        <f t="shared" si="1031"/>
        <v>0.15413222997938125</v>
      </c>
      <c r="AZ123" s="1211">
        <f t="shared" si="1030"/>
        <v>-1.9104783369850997E-2</v>
      </c>
      <c r="BA123" s="263">
        <f t="shared" ref="BA123:BG123" si="1032">BA122/AZ122-1</f>
        <v>3.2103003135087071E-2</v>
      </c>
      <c r="BB123" s="263">
        <f t="shared" si="1032"/>
        <v>0.41124756831363363</v>
      </c>
      <c r="BC123" s="1425">
        <f t="shared" si="1032"/>
        <v>7.4808459713425313E-2</v>
      </c>
      <c r="BD123" s="1424">
        <f t="shared" si="1032"/>
        <v>-1.4629145389541742E-2</v>
      </c>
      <c r="BE123" s="263">
        <f t="shared" si="1032"/>
        <v>-3.1771639984617739E-2</v>
      </c>
      <c r="BF123" s="263">
        <f t="shared" si="1032"/>
        <v>2.9322390346964822E-2</v>
      </c>
      <c r="BG123" s="307">
        <f t="shared" si="1032"/>
        <v>3.3010887310599424E-2</v>
      </c>
      <c r="BH123" s="263">
        <f t="shared" ref="BH123" si="1033">BH122/BG122-1</f>
        <v>-5.2042118851894026E-2</v>
      </c>
      <c r="BI123" s="263">
        <f t="shared" ref="BI123" si="1034">BI122/BH122-1</f>
        <v>4.5718799676996547E-2</v>
      </c>
      <c r="BJ123" s="263">
        <f t="shared" ref="BJ123" si="1035">BJ122/BI122-1</f>
        <v>3.667062680528721E-2</v>
      </c>
      <c r="BK123" s="307">
        <f t="shared" ref="BK123" si="1036">BK122/BJ122-1</f>
        <v>4.1684171995395314E-2</v>
      </c>
      <c r="BL123" s="1425">
        <f t="shared" ref="BL123" si="1037">BL122/BK122-1</f>
        <v>-5.196815432769808E-2</v>
      </c>
      <c r="BM123" s="1425">
        <f t="shared" ref="BM123" si="1038">BM122/BL122-1</f>
        <v>4.2316897505169093E-2</v>
      </c>
      <c r="BN123" s="1425">
        <f t="shared" ref="BN123" si="1039">BN122/BM122-1</f>
        <v>3.1553615136083346E-2</v>
      </c>
      <c r="BO123" s="1426">
        <f t="shared" ref="BO123" si="1040">BO122/BN122-1</f>
        <v>3.5504587798601106E-2</v>
      </c>
      <c r="BP123" s="23"/>
      <c r="BQ123" s="25"/>
      <c r="BR123" s="17"/>
      <c r="BS123" s="17"/>
      <c r="BT123" s="17"/>
      <c r="BU123" s="17"/>
      <c r="BV123" s="17"/>
      <c r="BW123" s="17"/>
      <c r="BX123" s="17"/>
      <c r="BY123" s="17"/>
      <c r="BZ123" s="17"/>
      <c r="CA123" s="17"/>
      <c r="CB123" s="263"/>
      <c r="CC123" s="263"/>
      <c r="CD123" s="263"/>
      <c r="CE123" s="1425"/>
      <c r="CF123" s="1426"/>
      <c r="CG123" s="25"/>
      <c r="CH123" s="8"/>
      <c r="CI123" s="8"/>
      <c r="CJ123" s="8"/>
      <c r="CK123" s="8"/>
    </row>
    <row r="124" spans="1:89" ht="14.25" customHeight="1">
      <c r="A124" s="634"/>
      <c r="B124" s="38" t="s">
        <v>313</v>
      </c>
      <c r="C124" s="261"/>
      <c r="D124" s="1257"/>
      <c r="E124" s="1253"/>
      <c r="F124" s="1253"/>
      <c r="G124" s="1254"/>
      <c r="H124" s="1257"/>
      <c r="I124" s="1253"/>
      <c r="J124" s="1253"/>
      <c r="K124" s="1254"/>
      <c r="L124" s="1257"/>
      <c r="M124" s="1253"/>
      <c r="N124" s="1253"/>
      <c r="O124" s="1254"/>
      <c r="P124" s="1257"/>
      <c r="Q124" s="1253"/>
      <c r="R124" s="1253"/>
      <c r="S124" s="1254"/>
      <c r="T124" s="1257"/>
      <c r="U124" s="1253"/>
      <c r="V124" s="1253"/>
      <c r="W124" s="1254"/>
      <c r="X124" s="1257"/>
      <c r="Y124" s="1253"/>
      <c r="Z124" s="1253"/>
      <c r="AA124" s="1254"/>
      <c r="AB124" s="1257"/>
      <c r="AC124" s="1253"/>
      <c r="AD124" s="1253"/>
      <c r="AE124" s="1254"/>
      <c r="AF124" s="1253"/>
      <c r="AG124" s="1258">
        <f t="shared" ref="AG124" si="1041">AVERAGE(AC123,Y123,U123,U123,Q123,M123,I123)</f>
        <v>3.3440660464879528E-2</v>
      </c>
      <c r="AH124" s="1258">
        <f t="shared" ref="AH124" si="1042">AVERAGE(AD123,Z123,V123,V123,R123,N123,J123)</f>
        <v>2.6854642143336643E-2</v>
      </c>
      <c r="AI124" s="1253">
        <f t="shared" ref="AI124" si="1043">AVERAGE(AE123,AA123,W123,W123,S123,O123,K123)</f>
        <v>5.4704347831129839E-2</v>
      </c>
      <c r="AJ124" s="1257">
        <f t="shared" ref="AJ124" si="1044">AVERAGE(AF123,AB123,X123,X123,T123,P123,L123)</f>
        <v>-5.9941496165036731E-2</v>
      </c>
      <c r="AK124" s="1253">
        <f t="shared" ref="AK124" si="1045">AVERAGE(AG123,AC123,Y123,Y123,U123,Q123,M123)</f>
        <v>5.0196986786453617E-2</v>
      </c>
      <c r="AL124" s="1258">
        <f t="shared" ref="AL124" si="1046">AVERAGE(AH123,AD123,Z123,Z123,V123,R123,N123)</f>
        <v>3.0089574240880324E-2</v>
      </c>
      <c r="AM124" s="1254">
        <f t="shared" ref="AM124" si="1047">AVERAGE(AI123,AE123,AA123,AA123,W123,S123,O123)</f>
        <v>3.9232284986252232E-2</v>
      </c>
      <c r="AN124" s="1257">
        <f t="shared" ref="AN124" si="1048">AVERAGE(AJ123,AF123,AB123,AB123,X123,T123,P123)</f>
        <v>-7.8107077471912922E-2</v>
      </c>
      <c r="AO124" s="1253">
        <f t="shared" ref="AO124" si="1049">AVERAGE(AK123,AG123,AC123,AC123,Y123,U123,Q123)</f>
        <v>6.2055487546449802E-2</v>
      </c>
      <c r="AP124" s="1258">
        <f t="shared" ref="AP124" si="1050">AVERAGE(AL123,AH123,AD123,AD123,Z123,V123,R123)</f>
        <v>1.1471571568486169E-2</v>
      </c>
      <c r="AQ124" s="1254">
        <f t="shared" ref="AQ124" si="1051">AVERAGE(AM123,AI123,AE123,AE123,AA123,W123,S123)</f>
        <v>2.0921780710009719E-2</v>
      </c>
      <c r="AR124" s="1257">
        <f t="shared" ref="AR124" si="1052">AVERAGE(AN123,AJ123,AF123,AF123,AB123,X123,T123)</f>
        <v>-9.2277202310113909E-2</v>
      </c>
      <c r="AS124" s="1253">
        <f t="shared" ref="AS124" si="1053">AVERAGE(AO123,AK123,AG123,AG123,AC123,Y123,U123)</f>
        <v>6.262295050716124E-2</v>
      </c>
      <c r="AT124" s="1258">
        <f t="shared" ref="AT124" si="1054">AVERAGE(AP123,AL123,AH123,AH123,AD123,Z123,V123)</f>
        <v>2.3800155270601451E-2</v>
      </c>
      <c r="AU124" s="1254">
        <f t="shared" ref="AU124" si="1055">AVERAGE(AQ123,AM123,AI123,AI123,AE123,AA123,W123)</f>
        <v>4.7905767152959702E-2</v>
      </c>
      <c r="AV124" s="1258">
        <f t="shared" ref="AV124" si="1056">AVERAGE(AR123,AN123,AJ123,AJ123,AF123,AB123,X123)</f>
        <v>-6.1284847504217574E-2</v>
      </c>
      <c r="AW124" s="1258">
        <f t="shared" ref="AW124" si="1057">AVERAGE(AS123,AO123,AK123,AK123,AG123,AC123,Y123)</f>
        <v>7.4811737923778904E-2</v>
      </c>
      <c r="AX124" s="1258">
        <f t="shared" ref="AX124" si="1058">AVERAGE(AT123,AP123,AL123,AL123,AH123,AD123,Z123)</f>
        <v>2.7537993080752936E-2</v>
      </c>
      <c r="AY124" s="1254">
        <f t="shared" ref="AY124" si="1059">AVERAGE(AU123,AQ123,AM123,AM123,AI123,AE123,AA123)</f>
        <v>4.2220142267871359E-2</v>
      </c>
      <c r="AZ124" s="1258">
        <f t="shared" ref="AZ124" si="1060">AVERAGE(AV123,AR123,AN123,AN123,AJ123,AF123,AB123)</f>
        <v>-9.5221546295344531E-2</v>
      </c>
      <c r="BA124" s="1253">
        <f t="shared" ref="BA124" si="1061">AW124</f>
        <v>7.4811737923778904E-2</v>
      </c>
      <c r="BB124" s="1253">
        <f t="shared" ref="BB124:BD124" si="1062">AX124</f>
        <v>2.7537993080752936E-2</v>
      </c>
      <c r="BC124" s="1389">
        <f t="shared" si="1062"/>
        <v>4.2220142267871359E-2</v>
      </c>
      <c r="BD124" s="1323">
        <f t="shared" si="1062"/>
        <v>-9.5221546295344531E-2</v>
      </c>
      <c r="BE124" s="1253">
        <f t="shared" ref="BE124" si="1063">BA124</f>
        <v>7.4811737923778904E-2</v>
      </c>
      <c r="BF124" s="1253">
        <f t="shared" ref="BF124" si="1064">BB124</f>
        <v>2.7537993080752936E-2</v>
      </c>
      <c r="BG124" s="1254">
        <f t="shared" ref="BG124" si="1065">BC124</f>
        <v>4.2220142267871359E-2</v>
      </c>
      <c r="BH124" s="1253">
        <f t="shared" ref="BH124" si="1066">BD124</f>
        <v>-9.5221546295344531E-2</v>
      </c>
      <c r="BI124" s="1253">
        <f t="shared" ref="BI124" si="1067">BE124</f>
        <v>7.4811737923778904E-2</v>
      </c>
      <c r="BJ124" s="1253">
        <f t="shared" ref="BJ124" si="1068">BF124</f>
        <v>2.7537993080752936E-2</v>
      </c>
      <c r="BK124" s="1254">
        <f t="shared" ref="BK124" si="1069">BG124</f>
        <v>4.2220142267871359E-2</v>
      </c>
      <c r="BL124" s="1389">
        <f t="shared" ref="BL124" si="1070">BH124</f>
        <v>-9.5221546295344531E-2</v>
      </c>
      <c r="BM124" s="1389">
        <f t="shared" ref="BM124" si="1071">BI124</f>
        <v>7.4811737923778904E-2</v>
      </c>
      <c r="BN124" s="1389">
        <f t="shared" ref="BN124" si="1072">BJ124</f>
        <v>2.7537993080752936E-2</v>
      </c>
      <c r="BO124" s="1322">
        <f t="shared" ref="BO124" si="1073">BK124</f>
        <v>4.2220142267871359E-2</v>
      </c>
      <c r="BP124" s="23"/>
      <c r="BQ124" s="1260"/>
      <c r="BR124" s="1258"/>
      <c r="BS124" s="1258"/>
      <c r="BT124" s="1258"/>
      <c r="BU124" s="1425"/>
      <c r="BV124" s="1425"/>
      <c r="BW124" s="1425"/>
      <c r="BX124" s="1425"/>
      <c r="BY124" s="1425"/>
      <c r="BZ124" s="1425"/>
      <c r="CA124" s="1425"/>
      <c r="CB124" s="1258"/>
      <c r="CC124" s="1258"/>
      <c r="CD124" s="1258"/>
      <c r="CE124" s="1425"/>
      <c r="CF124" s="1426"/>
      <c r="CG124" s="1031"/>
    </row>
    <row r="125" spans="1:89" ht="14.25" customHeight="1">
      <c r="A125" s="634"/>
      <c r="B125" s="38" t="s">
        <v>153</v>
      </c>
      <c r="C125" s="39"/>
      <c r="D125" s="94"/>
      <c r="E125" s="94"/>
      <c r="F125" s="94"/>
      <c r="G125" s="95"/>
      <c r="H125" s="94"/>
      <c r="I125" s="94"/>
      <c r="J125" s="94"/>
      <c r="K125" s="95"/>
      <c r="L125" s="94">
        <f t="shared" ref="L125:W125" si="1074">L122/H122-1</f>
        <v>7.9880637757485662E-3</v>
      </c>
      <c r="M125" s="94">
        <f t="shared" si="1074"/>
        <v>-7.2046928582078618E-2</v>
      </c>
      <c r="N125" s="94">
        <f t="shared" si="1074"/>
        <v>-6.965765602868923E-2</v>
      </c>
      <c r="O125" s="95">
        <f t="shared" si="1074"/>
        <v>-9.0439389563294559E-2</v>
      </c>
      <c r="P125" s="94">
        <f t="shared" si="1074"/>
        <v>-1.9729667153680963E-2</v>
      </c>
      <c r="Q125" s="94">
        <f t="shared" si="1074"/>
        <v>8.6792427566976915E-2</v>
      </c>
      <c r="R125" s="94">
        <f t="shared" si="1074"/>
        <v>6.7303067063364086E-2</v>
      </c>
      <c r="S125" s="95">
        <f t="shared" si="1074"/>
        <v>5.9585400823039869E-2</v>
      </c>
      <c r="T125" s="94">
        <f t="shared" si="1074"/>
        <v>-0.22371393805922379</v>
      </c>
      <c r="U125" s="94">
        <f t="shared" si="1074"/>
        <v>-0.26887608956786901</v>
      </c>
      <c r="V125" s="94">
        <f t="shared" si="1074"/>
        <v>-0.25341206034726083</v>
      </c>
      <c r="W125" s="95">
        <f t="shared" si="1074"/>
        <v>-0.1348517321128021</v>
      </c>
      <c r="X125" s="94">
        <f t="shared" ref="X125:AZ125" si="1075">X122/T122-1</f>
        <v>0.26529421762640881</v>
      </c>
      <c r="Y125" s="94">
        <f t="shared" si="1075"/>
        <v>0.40748354916713714</v>
      </c>
      <c r="Z125" s="94">
        <f t="shared" si="1075"/>
        <v>0.46405117166777443</v>
      </c>
      <c r="AA125" s="95">
        <f t="shared" si="1075"/>
        <v>0.34709587123862806</v>
      </c>
      <c r="AB125" s="94">
        <f t="shared" si="1075"/>
        <v>0.20812603648424544</v>
      </c>
      <c r="AC125" s="94">
        <f t="shared" si="1075"/>
        <v>0.18347800059862296</v>
      </c>
      <c r="AD125" s="94">
        <f t="shared" si="1075"/>
        <v>5.2200472025544897E-2</v>
      </c>
      <c r="AE125" s="95">
        <f t="shared" si="1075"/>
        <v>-6.9999999999999951E-2</v>
      </c>
      <c r="AF125" s="263">
        <f t="shared" si="1075"/>
        <v>-0.11036376115305424</v>
      </c>
      <c r="AG125" s="263">
        <f t="shared" si="1075"/>
        <v>-0.14629615579160349</v>
      </c>
      <c r="AH125" s="94">
        <f t="shared" si="1075"/>
        <v>-9.8791397281963178E-2</v>
      </c>
      <c r="AI125" s="263">
        <f t="shared" si="1075"/>
        <v>-2.9515430805753473E-2</v>
      </c>
      <c r="AJ125" s="262">
        <f t="shared" si="1075"/>
        <v>-4.006480481407193E-2</v>
      </c>
      <c r="AK125" s="263">
        <f t="shared" si="1075"/>
        <v>-2.3491021449869476E-2</v>
      </c>
      <c r="AL125" s="94">
        <f t="shared" si="1075"/>
        <v>-1.2962903315540064E-2</v>
      </c>
      <c r="AM125" s="307">
        <f t="shared" si="1075"/>
        <v>-2.4218520671574262E-2</v>
      </c>
      <c r="AN125" s="263">
        <f t="shared" si="1075"/>
        <v>9.8113911150974342E-3</v>
      </c>
      <c r="AO125" s="263">
        <f t="shared" si="1075"/>
        <v>5.352445961319674E-2</v>
      </c>
      <c r="AP125" s="94">
        <f t="shared" si="1075"/>
        <v>7.9475267439169661E-2</v>
      </c>
      <c r="AQ125" s="307">
        <f t="shared" si="1075"/>
        <v>0.2007187380646569</v>
      </c>
      <c r="AR125" s="263">
        <f t="shared" ref="AR125:AY125" si="1076">AR122/AN122-1</f>
        <v>0.22881137403340768</v>
      </c>
      <c r="AS125" s="263">
        <f t="shared" si="1075"/>
        <v>0.18211151041846652</v>
      </c>
      <c r="AT125" s="94">
        <f t="shared" si="1075"/>
        <v>0.18634507359649999</v>
      </c>
      <c r="AU125" s="307">
        <f t="shared" si="1076"/>
        <v>0.20199644579593179</v>
      </c>
      <c r="AV125" s="94">
        <f t="shared" si="1075"/>
        <v>-3.3122362322633991E-3</v>
      </c>
      <c r="AW125" s="263">
        <f t="shared" si="1076"/>
        <v>-5.1464095228003326E-2</v>
      </c>
      <c r="AX125" s="94">
        <f t="shared" si="1075"/>
        <v>7.2113185037614436E-3</v>
      </c>
      <c r="AY125" s="307">
        <f t="shared" si="1076"/>
        <v>2.5442362591215906E-2</v>
      </c>
      <c r="AZ125" s="1211">
        <f t="shared" si="1075"/>
        <v>0.27945398470814076</v>
      </c>
      <c r="BA125" s="263">
        <f t="shared" ref="BA125:BG125" si="1077">BA122/AW122-1</f>
        <v>0.30469585129979149</v>
      </c>
      <c r="BB125" s="263">
        <f t="shared" si="1077"/>
        <v>0.64893840897617383</v>
      </c>
      <c r="BC125" s="1425">
        <f t="shared" si="1077"/>
        <v>0.53560649765898161</v>
      </c>
      <c r="BD125" s="1424">
        <f t="shared" si="1077"/>
        <v>0.54261317752367044</v>
      </c>
      <c r="BE125" s="263">
        <f t="shared" si="1077"/>
        <v>0.44714415370843641</v>
      </c>
      <c r="BF125" s="263">
        <f t="shared" si="1077"/>
        <v>5.5504301950202839E-2</v>
      </c>
      <c r="BG125" s="307">
        <f t="shared" si="1077"/>
        <v>1.4457437196253364E-2</v>
      </c>
      <c r="BH125" s="263">
        <f t="shared" ref="BH125" si="1078">BH122/BD122-1</f>
        <v>-2.4059907820525472E-2</v>
      </c>
      <c r="BI125" s="263">
        <f t="shared" ref="BI125" si="1079">BI122/BE122-1</f>
        <v>5.4047726648250416E-2</v>
      </c>
      <c r="BJ125" s="263">
        <f t="shared" ref="BJ125" si="1080">BJ122/BF122-1</f>
        <v>6.1572474974338709E-2</v>
      </c>
      <c r="BK125" s="307">
        <f t="shared" ref="BK125" si="1081">BK122/BG122-1</f>
        <v>7.0485566212870276E-2</v>
      </c>
      <c r="BL125" s="1425">
        <f t="shared" ref="BL125" si="1082">BL122/BH122-1</f>
        <v>7.0569090973978676E-2</v>
      </c>
      <c r="BM125" s="1425">
        <f t="shared" ref="BM125" si="1083">BM122/BI122-1</f>
        <v>6.7086346552819975E-2</v>
      </c>
      <c r="BN125" s="1425">
        <f t="shared" ref="BN125" si="1084">BN122/BJ122-1</f>
        <v>6.1819202730884815E-2</v>
      </c>
      <c r="BO125" s="1426">
        <f t="shared" ref="BO125" si="1085">BO122/BK122-1</f>
        <v>5.5520171468386614E-2</v>
      </c>
      <c r="BP125" s="23"/>
      <c r="BQ125" s="25"/>
      <c r="BR125" s="413"/>
      <c r="BS125" s="413">
        <f t="shared" ref="BS125:CD125" si="1086">BS122/BR122-1</f>
        <v>-5.7243105046864029E-2</v>
      </c>
      <c r="BT125" s="413">
        <f t="shared" si="1086"/>
        <v>4.7960803677170816E-2</v>
      </c>
      <c r="BU125" s="413">
        <f t="shared" si="1086"/>
        <v>-0.21991412081855843</v>
      </c>
      <c r="BV125" s="413">
        <f t="shared" si="1086"/>
        <v>0.37053403927127193</v>
      </c>
      <c r="BW125" s="413">
        <f t="shared" si="1086"/>
        <v>8.3939887742169095E-2</v>
      </c>
      <c r="BX125" s="413">
        <f t="shared" si="1086"/>
        <v>-9.7584939698660333E-2</v>
      </c>
      <c r="BY125" s="413">
        <f t="shared" si="1086"/>
        <v>-2.4992605135719104E-2</v>
      </c>
      <c r="BZ125" s="413">
        <f t="shared" si="1086"/>
        <v>8.774156705670233E-2</v>
      </c>
      <c r="CA125" s="413">
        <f t="shared" si="1086"/>
        <v>0.19907999691424072</v>
      </c>
      <c r="CB125" s="413">
        <f t="shared" si="1086"/>
        <v>-3.9832994283703904E-3</v>
      </c>
      <c r="CC125" s="413">
        <f t="shared" si="1086"/>
        <v>0.45424699862931739</v>
      </c>
      <c r="CD125" s="413">
        <f t="shared" si="1086"/>
        <v>0.21914380215721563</v>
      </c>
      <c r="CE125" s="413">
        <f>CE122/CD122-1</f>
        <v>4.0607478764125737E-2</v>
      </c>
      <c r="CF125" s="412">
        <f>CF122/CE122-1</f>
        <v>6.3496724554413131E-2</v>
      </c>
      <c r="CG125" s="25"/>
      <c r="CH125" s="8"/>
      <c r="CI125" s="8"/>
      <c r="CJ125" s="8"/>
      <c r="CK125" s="8"/>
    </row>
    <row r="126" spans="1:89" ht="14.25" hidden="1" customHeight="1" outlineLevel="1">
      <c r="A126" s="634"/>
      <c r="B126" s="38"/>
      <c r="C126" s="39"/>
      <c r="D126" s="1253"/>
      <c r="E126" s="1253"/>
      <c r="F126" s="1253"/>
      <c r="G126" s="1254"/>
      <c r="H126" s="1253"/>
      <c r="I126" s="1253"/>
      <c r="J126" s="1253"/>
      <c r="K126" s="1254"/>
      <c r="L126" s="1253"/>
      <c r="M126" s="1253"/>
      <c r="N126" s="1253"/>
      <c r="O126" s="1254"/>
      <c r="P126" s="1253"/>
      <c r="Q126" s="1253"/>
      <c r="R126" s="1253"/>
      <c r="S126" s="1254"/>
      <c r="T126" s="1253"/>
      <c r="U126" s="1253"/>
      <c r="V126" s="1253"/>
      <c r="W126" s="1254"/>
      <c r="X126" s="1253"/>
      <c r="Y126" s="1253"/>
      <c r="Z126" s="1253"/>
      <c r="AA126" s="1254"/>
      <c r="AB126" s="1253"/>
      <c r="AC126" s="1253"/>
      <c r="AD126" s="1253"/>
      <c r="AE126" s="1254"/>
      <c r="AF126" s="1258"/>
      <c r="AG126" s="1258"/>
      <c r="AH126" s="1253"/>
      <c r="AI126" s="1258"/>
      <c r="AJ126" s="1260"/>
      <c r="AK126" s="1258"/>
      <c r="AL126" s="1253"/>
      <c r="AM126" s="1259"/>
      <c r="AN126" s="1258"/>
      <c r="AO126" s="1258"/>
      <c r="AP126" s="1253"/>
      <c r="AQ126" s="1259"/>
      <c r="AR126" s="1258"/>
      <c r="AS126" s="1258"/>
      <c r="AT126" s="1253"/>
      <c r="AU126" s="1259"/>
      <c r="AV126" s="1253"/>
      <c r="AW126" s="1258"/>
      <c r="AX126" s="1253"/>
      <c r="AY126" s="1259"/>
      <c r="AZ126" s="1321"/>
      <c r="BA126" s="1321"/>
      <c r="BB126" s="1321"/>
      <c r="BC126" s="1389"/>
      <c r="BD126" s="1323"/>
      <c r="BE126" s="1258"/>
      <c r="BF126" s="1258"/>
      <c r="BG126" s="1259"/>
      <c r="BH126" s="1258"/>
      <c r="BI126" s="1258"/>
      <c r="BJ126" s="1258"/>
      <c r="BK126" s="1259"/>
      <c r="BL126" s="1425"/>
      <c r="BM126" s="1425"/>
      <c r="BN126" s="1425"/>
      <c r="BO126" s="1426"/>
      <c r="BP126" s="23"/>
      <c r="BQ126" s="25"/>
      <c r="BR126" s="413"/>
      <c r="BS126" s="413"/>
      <c r="BT126" s="413"/>
      <c r="BU126" s="413"/>
      <c r="BV126" s="413"/>
      <c r="BW126" s="413"/>
      <c r="BX126" s="413"/>
      <c r="BY126" s="413"/>
      <c r="BZ126" s="413"/>
      <c r="CA126" s="413"/>
      <c r="CB126" s="413"/>
      <c r="CC126" s="413"/>
      <c r="CD126" s="413"/>
      <c r="CE126" s="413"/>
      <c r="CF126" s="412"/>
      <c r="CG126" s="25"/>
      <c r="CH126" s="8"/>
      <c r="CI126" s="8"/>
      <c r="CJ126" s="8"/>
      <c r="CK126" s="8"/>
    </row>
    <row r="127" spans="1:89" ht="14.25" hidden="1" customHeight="1" outlineLevel="1">
      <c r="A127" s="634"/>
      <c r="B127" s="1232" t="s">
        <v>579</v>
      </c>
      <c r="C127" s="17"/>
      <c r="D127" s="1253"/>
      <c r="E127" s="1253"/>
      <c r="F127" s="1253"/>
      <c r="G127" s="1254"/>
      <c r="H127" s="416">
        <f t="shared" ref="H127:W127" si="1087">H101+H80+H54+H33+H12+H112</f>
        <v>621.30199999999991</v>
      </c>
      <c r="I127" s="416">
        <f t="shared" si="1087"/>
        <v>643.87200000000007</v>
      </c>
      <c r="J127" s="416">
        <f t="shared" si="1087"/>
        <v>663.66</v>
      </c>
      <c r="K127" s="417">
        <f t="shared" si="1087"/>
        <v>685.54200000000014</v>
      </c>
      <c r="L127" s="416">
        <f t="shared" si="1087"/>
        <v>626.26499999999999</v>
      </c>
      <c r="M127" s="416">
        <f t="shared" si="1087"/>
        <v>597.48299999999995</v>
      </c>
      <c r="N127" s="416">
        <f t="shared" si="1087"/>
        <v>617.43100000000004</v>
      </c>
      <c r="O127" s="417">
        <f t="shared" si="1087"/>
        <v>623.54200000000003</v>
      </c>
      <c r="P127" s="416">
        <f t="shared" si="1087"/>
        <v>613.90899999999999</v>
      </c>
      <c r="Q127" s="416">
        <f t="shared" si="1087"/>
        <v>649.34</v>
      </c>
      <c r="R127" s="416">
        <f t="shared" si="1087"/>
        <v>658.98599999999999</v>
      </c>
      <c r="S127" s="417">
        <f t="shared" si="1087"/>
        <v>660.69600000000003</v>
      </c>
      <c r="T127" s="416">
        <f t="shared" si="1087"/>
        <v>476.56899999999996</v>
      </c>
      <c r="U127" s="416">
        <f t="shared" si="1087"/>
        <v>474.74799999999999</v>
      </c>
      <c r="V127" s="416">
        <f t="shared" si="1087"/>
        <v>491.99099999999999</v>
      </c>
      <c r="W127" s="417">
        <f t="shared" si="1087"/>
        <v>571.60000000000014</v>
      </c>
      <c r="X127" s="416">
        <f t="shared" ref="X127:BB127" si="1088">X108+X87+X61+X40+X19+X119</f>
        <v>603</v>
      </c>
      <c r="Y127" s="416">
        <f t="shared" si="1088"/>
        <v>668.2</v>
      </c>
      <c r="Z127" s="416">
        <f t="shared" si="1088"/>
        <v>720.3</v>
      </c>
      <c r="AA127" s="417">
        <f t="shared" si="1088"/>
        <v>770</v>
      </c>
      <c r="AB127" s="416">
        <f t="shared" si="1088"/>
        <v>728.5</v>
      </c>
      <c r="AC127" s="416">
        <f t="shared" si="1088"/>
        <v>790.8</v>
      </c>
      <c r="AD127" s="416">
        <f t="shared" si="1088"/>
        <v>757.9</v>
      </c>
      <c r="AE127" s="417">
        <f t="shared" si="1088"/>
        <v>716.1</v>
      </c>
      <c r="AF127" s="416">
        <f t="shared" si="1088"/>
        <v>648.1</v>
      </c>
      <c r="AG127" s="416">
        <f t="shared" si="1088"/>
        <v>675.10899999999992</v>
      </c>
      <c r="AH127" s="416">
        <f t="shared" si="1088"/>
        <v>683.02600000000007</v>
      </c>
      <c r="AI127" s="417">
        <f t="shared" si="1088"/>
        <v>694.96399999999994</v>
      </c>
      <c r="AJ127" s="416">
        <f t="shared" si="1088"/>
        <v>622.13400000000001</v>
      </c>
      <c r="AK127" s="416">
        <f t="shared" si="1088"/>
        <v>659.25</v>
      </c>
      <c r="AL127" s="416">
        <f t="shared" si="1088"/>
        <v>674.17200000000003</v>
      </c>
      <c r="AM127" s="417">
        <f t="shared" si="1088"/>
        <v>678.13300000000004</v>
      </c>
      <c r="AN127" s="416">
        <f t="shared" si="1088"/>
        <v>628.23800000000006</v>
      </c>
      <c r="AO127" s="416">
        <f t="shared" si="1088"/>
        <v>694.53599999999994</v>
      </c>
      <c r="AP127" s="416">
        <f t="shared" si="1088"/>
        <v>727.75199999999995</v>
      </c>
      <c r="AQ127" s="417">
        <f t="shared" si="1088"/>
        <v>814.24699999999996</v>
      </c>
      <c r="AR127" s="416">
        <f t="shared" si="1088"/>
        <v>771.9860000000001</v>
      </c>
      <c r="AS127" s="416">
        <f t="shared" si="1088"/>
        <v>821.01900000000001</v>
      </c>
      <c r="AT127" s="416">
        <f t="shared" si="1088"/>
        <v>863.36500000000001</v>
      </c>
      <c r="AU127" s="417">
        <f t="shared" si="1088"/>
        <v>978.72199999999998</v>
      </c>
      <c r="AV127" s="416">
        <f t="shared" si="1088"/>
        <v>769.42899999999997</v>
      </c>
      <c r="AW127" s="416">
        <f t="shared" si="1088"/>
        <v>778.76599999999996</v>
      </c>
      <c r="AX127" s="416">
        <f t="shared" si="1088"/>
        <v>869.59100000000001</v>
      </c>
      <c r="AY127" s="417">
        <f t="shared" si="1088"/>
        <v>1003.623</v>
      </c>
      <c r="AZ127" s="416">
        <f t="shared" si="1088"/>
        <v>954.38364000000001</v>
      </c>
      <c r="BA127" s="416">
        <f t="shared" si="1088"/>
        <v>1000.519</v>
      </c>
      <c r="BB127" s="416">
        <f t="shared" si="1088"/>
        <v>1044.0010857489999</v>
      </c>
      <c r="BC127" s="416">
        <f t="shared" ref="BC127" si="1089">BC108+BC87+BC61+BC40+BC19+BC119</f>
        <v>1135.3702921792901</v>
      </c>
      <c r="BD127" s="477">
        <f t="shared" ref="BD127" si="1090">BD108+BD87+BD61+BD40+BD19+BD119</f>
        <v>1095.911992247592</v>
      </c>
      <c r="BE127" s="416"/>
      <c r="BF127" s="416"/>
      <c r="BG127" s="417"/>
      <c r="BH127" s="416"/>
      <c r="BI127" s="416"/>
      <c r="BJ127" s="416"/>
      <c r="BK127" s="417"/>
      <c r="BL127" s="416"/>
      <c r="BM127" s="416"/>
      <c r="BN127" s="416"/>
      <c r="BO127" s="417"/>
      <c r="BP127" s="23"/>
      <c r="BQ127" s="410"/>
      <c r="BR127" s="404"/>
      <c r="BS127" s="404"/>
      <c r="BT127" s="404"/>
      <c r="BU127" s="404"/>
      <c r="BV127" s="404"/>
      <c r="BW127" s="404"/>
      <c r="BX127" s="404"/>
      <c r="BY127" s="404"/>
      <c r="BZ127" s="404"/>
      <c r="CA127" s="404"/>
      <c r="CB127" s="404"/>
      <c r="CC127" s="404">
        <f>SUM(AZ127:BC127)</f>
        <v>4134.27401792829</v>
      </c>
      <c r="CD127" s="404"/>
      <c r="CE127" s="404"/>
      <c r="CF127" s="405"/>
      <c r="CG127" s="25"/>
      <c r="CH127" s="8"/>
      <c r="CI127" s="8"/>
      <c r="CJ127" s="8"/>
      <c r="CK127" s="8"/>
    </row>
    <row r="128" spans="1:89" ht="14.25" hidden="1" customHeight="1" outlineLevel="1">
      <c r="A128" s="634"/>
      <c r="B128" s="1233" t="s">
        <v>152</v>
      </c>
      <c r="C128" s="261"/>
      <c r="D128" s="1257"/>
      <c r="E128" s="1253"/>
      <c r="F128" s="1253"/>
      <c r="G128" s="1254"/>
      <c r="H128" s="1253"/>
      <c r="I128" s="1253">
        <f t="shared" ref="I128" si="1091">I127/H127-1</f>
        <v>3.6326939234060385E-2</v>
      </c>
      <c r="J128" s="1253">
        <f t="shared" ref="J128" si="1092">J127/I127-1</f>
        <v>3.0732816460414369E-2</v>
      </c>
      <c r="K128" s="1254">
        <f t="shared" ref="K128" si="1093">K127/J127-1</f>
        <v>3.2971702377723844E-2</v>
      </c>
      <c r="L128" s="1253">
        <f t="shared" ref="L128" si="1094">L127/K127-1</f>
        <v>-8.6467349921668046E-2</v>
      </c>
      <c r="M128" s="1253">
        <f t="shared" ref="M128" si="1095">M127/L127-1</f>
        <v>-4.5958180642379887E-2</v>
      </c>
      <c r="N128" s="1253">
        <f t="shared" ref="N128" si="1096">N127/M127-1</f>
        <v>3.3386723973736654E-2</v>
      </c>
      <c r="O128" s="1254">
        <f t="shared" ref="O128" si="1097">O127/N127-1</f>
        <v>9.8974622265484147E-3</v>
      </c>
      <c r="P128" s="1253">
        <f t="shared" ref="P128" si="1098">P127/O127-1</f>
        <v>-1.5448839051739993E-2</v>
      </c>
      <c r="Q128" s="1253">
        <f t="shared" ref="Q128" si="1099">Q127/P127-1</f>
        <v>5.7713765395197125E-2</v>
      </c>
      <c r="R128" s="1253">
        <f t="shared" ref="R128" si="1100">R127/Q127-1</f>
        <v>1.4855083623371401E-2</v>
      </c>
      <c r="S128" s="1254">
        <f t="shared" ref="S128" si="1101">S127/R127-1</f>
        <v>2.5948957944479378E-3</v>
      </c>
      <c r="T128" s="1253">
        <f t="shared" ref="T128" si="1102">T127/S127-1</f>
        <v>-0.27868641553755447</v>
      </c>
      <c r="U128" s="1253">
        <f t="shared" ref="U128" si="1103">U127/T127-1</f>
        <v>-3.8210626373095247E-3</v>
      </c>
      <c r="V128" s="1253">
        <f t="shared" ref="V128" si="1104">V127/U127-1</f>
        <v>3.6320321517942178E-2</v>
      </c>
      <c r="W128" s="1254">
        <f t="shared" ref="W128" si="1105">W127/V127-1</f>
        <v>0.16180987050576157</v>
      </c>
      <c r="X128" s="1253">
        <f t="shared" ref="X128" si="1106">X127/W127-1</f>
        <v>5.4933519944016629E-2</v>
      </c>
      <c r="Y128" s="1253">
        <f t="shared" ref="Y128" si="1107">Y127/X127-1</f>
        <v>0.10812603648424557</v>
      </c>
      <c r="Z128" s="1253">
        <f t="shared" ref="Z128" si="1108">Z127/Y127-1</f>
        <v>7.7970667464830834E-2</v>
      </c>
      <c r="AA128" s="1254">
        <f t="shared" ref="AA128" si="1109">AA127/Z127-1</f>
        <v>6.899902818270176E-2</v>
      </c>
      <c r="AB128" s="1253">
        <f t="shared" ref="AB128" si="1110">AB127/AA127-1</f>
        <v>-5.3896103896103886E-2</v>
      </c>
      <c r="AC128" s="1253">
        <f t="shared" ref="AC128" si="1111">AC127/AB127-1</f>
        <v>8.5518188057652544E-2</v>
      </c>
      <c r="AD128" s="1253">
        <f t="shared" ref="AD128" si="1112">AD127/AC127-1</f>
        <v>-4.1603439554881105E-2</v>
      </c>
      <c r="AE128" s="1254">
        <f t="shared" ref="AE128" si="1113">AE127/AD127-1</f>
        <v>-5.5152394775036195E-2</v>
      </c>
      <c r="AF128" s="1253">
        <f t="shared" ref="AF128" si="1114">AF127/AE127-1</f>
        <v>-9.495880463622397E-2</v>
      </c>
      <c r="AG128" s="1253">
        <f t="shared" ref="AG128" si="1115">AG127/AF127-1</f>
        <v>4.1674124363523912E-2</v>
      </c>
      <c r="AH128" s="1253">
        <f t="shared" ref="AH128" si="1116">AH127/AG127-1</f>
        <v>1.1726995196331469E-2</v>
      </c>
      <c r="AI128" s="1254">
        <f t="shared" ref="AI128" si="1117">AI127/AH127-1</f>
        <v>1.7478104786640358E-2</v>
      </c>
      <c r="AJ128" s="1253">
        <f t="shared" ref="AJ128" si="1118">AJ127/AI127-1</f>
        <v>-0.10479679522968088</v>
      </c>
      <c r="AK128" s="1253">
        <f t="shared" ref="AK128" si="1119">AK127/AJ127-1</f>
        <v>5.9659173104186447E-2</v>
      </c>
      <c r="AL128" s="1253">
        <f t="shared" ref="AL128" si="1120">AL127/AK127-1</f>
        <v>2.263481228668951E-2</v>
      </c>
      <c r="AM128" s="1254">
        <f t="shared" ref="AM128" si="1121">AM127/AL127-1</f>
        <v>5.8753552505887985E-3</v>
      </c>
      <c r="AN128" s="1253">
        <f t="shared" ref="AN128" si="1122">AN127/AM127-1</f>
        <v>-7.3577012179026791E-2</v>
      </c>
      <c r="AO128" s="1253">
        <f t="shared" ref="AO128" si="1123">AO127/AN127-1</f>
        <v>0.10553006981430579</v>
      </c>
      <c r="AP128" s="1253">
        <f t="shared" ref="AP128" si="1124">AP127/AO127-1</f>
        <v>4.7824734786965806E-2</v>
      </c>
      <c r="AQ128" s="1254">
        <f t="shared" ref="AQ128" si="1125">AQ127/AP127-1</f>
        <v>0.11885230133342128</v>
      </c>
      <c r="AR128" s="1253">
        <f t="shared" ref="AR128" si="1126">AR127/AQ127-1</f>
        <v>-5.1901941302823218E-2</v>
      </c>
      <c r="AS128" s="1253">
        <f t="shared" ref="AS128" si="1127">AS127/AR127-1</f>
        <v>6.3515400538351585E-2</v>
      </c>
      <c r="AT128" s="1253">
        <f t="shared" ref="AT128" si="1128">AT127/AS127-1</f>
        <v>5.1577369098644521E-2</v>
      </c>
      <c r="AU128" s="1254">
        <f t="shared" ref="AU128" si="1129">AU127/AT127-1</f>
        <v>0.13361324584619472</v>
      </c>
      <c r="AV128" s="1253">
        <f t="shared" ref="AV128" si="1130">AV127/AU127-1</f>
        <v>-0.21384315464452619</v>
      </c>
      <c r="AW128" s="1253">
        <f t="shared" ref="AW128" si="1131">AW127/AV127-1</f>
        <v>1.2134972817504863E-2</v>
      </c>
      <c r="AX128" s="1253">
        <f t="shared" ref="AX128" si="1132">AX127/AW127-1</f>
        <v>0.11662681729813573</v>
      </c>
      <c r="AY128" s="1254">
        <f t="shared" ref="AY128" si="1133">AY127/AX127-1</f>
        <v>0.15413222997938125</v>
      </c>
      <c r="AZ128" s="1321">
        <f t="shared" ref="AZ128" si="1134">AZ127/AY127-1</f>
        <v>-4.9061609787739102E-2</v>
      </c>
      <c r="BA128" s="1321">
        <f t="shared" ref="BA128" si="1135">BA127/AZ127-1</f>
        <v>4.8340476582352077E-2</v>
      </c>
      <c r="BB128" s="1321">
        <f t="shared" ref="BB128:BD128" si="1136">BB127/BA127-1</f>
        <v>4.3459530252798695E-2</v>
      </c>
      <c r="BC128" s="1389">
        <f t="shared" si="1136"/>
        <v>8.7518305945763375E-2</v>
      </c>
      <c r="BD128" s="1323">
        <f t="shared" si="1136"/>
        <v>-3.4753683625066256E-2</v>
      </c>
      <c r="BE128" s="1253"/>
      <c r="BF128" s="1253"/>
      <c r="BG128" s="1254"/>
      <c r="BH128" s="1253"/>
      <c r="BI128" s="1253"/>
      <c r="BJ128" s="1253"/>
      <c r="BK128" s="1254"/>
      <c r="BL128" s="1389"/>
      <c r="BM128" s="1389"/>
      <c r="BN128" s="1389"/>
      <c r="BO128" s="1322"/>
      <c r="BP128" s="23"/>
      <c r="BQ128" s="1277"/>
      <c r="BR128" s="1271"/>
      <c r="BS128" s="1271"/>
      <c r="BT128" s="1271"/>
      <c r="BU128" s="1425"/>
      <c r="BV128" s="1425"/>
      <c r="BW128" s="1425"/>
      <c r="BX128" s="1425"/>
      <c r="BY128" s="1425"/>
      <c r="BZ128" s="1425"/>
      <c r="CA128" s="1425"/>
      <c r="CB128" s="1271"/>
      <c r="CC128" s="1258"/>
      <c r="CD128" s="1258"/>
      <c r="CE128" s="1425"/>
      <c r="CF128" s="1426"/>
      <c r="CG128" s="1031"/>
    </row>
    <row r="129" spans="1:89" ht="14.25" hidden="1" customHeight="1" outlineLevel="1">
      <c r="A129" s="634"/>
      <c r="B129" s="1233" t="s">
        <v>313</v>
      </c>
      <c r="C129" s="261"/>
      <c r="D129" s="1257"/>
      <c r="E129" s="1253"/>
      <c r="F129" s="1253"/>
      <c r="G129" s="1254"/>
      <c r="H129" s="1257"/>
      <c r="I129" s="1253"/>
      <c r="J129" s="1253"/>
      <c r="K129" s="1254"/>
      <c r="L129" s="1257"/>
      <c r="M129" s="1253"/>
      <c r="N129" s="1253"/>
      <c r="O129" s="1254"/>
      <c r="P129" s="1257"/>
      <c r="Q129" s="1253"/>
      <c r="R129" s="1253"/>
      <c r="S129" s="1254"/>
      <c r="T129" s="1257"/>
      <c r="U129" s="1253"/>
      <c r="V129" s="1253"/>
      <c r="W129" s="1254"/>
      <c r="X129" s="1257"/>
      <c r="Y129" s="1253"/>
      <c r="Z129" s="1253"/>
      <c r="AA129" s="1254"/>
      <c r="AB129" s="1257"/>
      <c r="AC129" s="1253"/>
      <c r="AD129" s="1253"/>
      <c r="AE129" s="1254"/>
      <c r="AF129" s="1253"/>
      <c r="AG129" s="1258">
        <f t="shared" ref="AG129" si="1137">AVERAGE(AC128,Y128,U128,U128,Q128,M128,I128)</f>
        <v>3.3440660464879528E-2</v>
      </c>
      <c r="AH129" s="1258">
        <f t="shared" ref="AH129" si="1138">AVERAGE(AD128,Z128,V128,V128,R128,N128,J128)</f>
        <v>2.6854642143336643E-2</v>
      </c>
      <c r="AI129" s="1253">
        <f t="shared" ref="AI129" si="1139">AVERAGE(AE128,AA128,W128,W128,S128,O128,K128)</f>
        <v>5.4704347831129839E-2</v>
      </c>
      <c r="AJ129" s="1257">
        <f t="shared" ref="AJ129" si="1140">AVERAGE(AF128,AB128,X128,X128,T128,P128,L128)</f>
        <v>-5.9941496165036731E-2</v>
      </c>
      <c r="AK129" s="1253">
        <f t="shared" ref="AK129" si="1141">AVERAGE(AG128,AC128,Y128,Y128,U128,Q128,M128)</f>
        <v>5.0196986786453617E-2</v>
      </c>
      <c r="AL129" s="1258">
        <f t="shared" ref="AL129" si="1142">AVERAGE(AH128,AD128,Z128,Z128,V128,R128,N128)</f>
        <v>3.0089574240880324E-2</v>
      </c>
      <c r="AM129" s="1254">
        <f t="shared" ref="AM129" si="1143">AVERAGE(AI128,AE128,AA128,AA128,W128,S128,O128)</f>
        <v>3.9232284986252232E-2</v>
      </c>
      <c r="AN129" s="1257">
        <f t="shared" ref="AN129" si="1144">AVERAGE(AJ128,AF128,AB128,AB128,X128,T128,P128)</f>
        <v>-7.8107077471912922E-2</v>
      </c>
      <c r="AO129" s="1253">
        <f t="shared" ref="AO129" si="1145">AVERAGE(AK128,AG128,AC128,AC128,Y128,U128,Q128)</f>
        <v>6.2055487546449802E-2</v>
      </c>
      <c r="AP129" s="1258">
        <f t="shared" ref="AP129" si="1146">AVERAGE(AL128,AH128,AD128,AD128,Z128,V128,R128)</f>
        <v>1.1471571568486169E-2</v>
      </c>
      <c r="AQ129" s="1254">
        <f t="shared" ref="AQ129" si="1147">AVERAGE(AM128,AI128,AE128,AE128,AA128,W128,S128)</f>
        <v>2.0921780710009719E-2</v>
      </c>
      <c r="AR129" s="1257">
        <f t="shared" ref="AR129" si="1148">AVERAGE(AN128,AJ128,AF128,AF128,AB128,X128,T128)</f>
        <v>-9.2277202310113909E-2</v>
      </c>
      <c r="AS129" s="1253">
        <f t="shared" ref="AS129" si="1149">AVERAGE(AO128,AK128,AG128,AG128,AC128,Y128,U128)</f>
        <v>6.262295050716124E-2</v>
      </c>
      <c r="AT129" s="1258">
        <f t="shared" ref="AT129" si="1150">AVERAGE(AP128,AL128,AH128,AH128,AD128,Z128,V128)</f>
        <v>2.3800155270601451E-2</v>
      </c>
      <c r="AU129" s="1254">
        <f t="shared" ref="AU129" si="1151">AVERAGE(AQ128,AM128,AI128,AI128,AE128,AA128,W128)</f>
        <v>4.7905767152959702E-2</v>
      </c>
      <c r="AV129" s="1258">
        <f t="shared" ref="AV129" si="1152">AVERAGE(AR128,AN128,AJ128,AJ128,AF128,AB128,X128)</f>
        <v>-6.1284847504217574E-2</v>
      </c>
      <c r="AW129" s="1258">
        <f t="shared" ref="AW129" si="1153">AVERAGE(AS128,AO128,AK128,AK128,AG128,AC128,Y128)</f>
        <v>7.4811737923778904E-2</v>
      </c>
      <c r="AX129" s="1258">
        <f t="shared" ref="AX129" si="1154">AVERAGE(AT128,AP128,AL128,AL128,AH128,AD128,Z128)</f>
        <v>2.7537993080752936E-2</v>
      </c>
      <c r="AY129" s="1254">
        <f t="shared" ref="AY129" si="1155">AVERAGE(AU128,AQ128,AM128,AM128,AI128,AE128,AA128)</f>
        <v>4.2220142267871359E-2</v>
      </c>
      <c r="AZ129" s="1321">
        <f t="shared" ref="AZ129" si="1156">AVERAGE(AV128,AR128,AN128,AN128,AJ128,AF128,AB128)</f>
        <v>-9.5221546295344531E-2</v>
      </c>
      <c r="BA129" s="1321">
        <f t="shared" ref="BA129" si="1157">AW129</f>
        <v>7.4811737923778904E-2</v>
      </c>
      <c r="BB129" s="1321">
        <f t="shared" ref="BB129:BD129" si="1158">AX129</f>
        <v>2.7537993080752936E-2</v>
      </c>
      <c r="BC129" s="1389">
        <f t="shared" si="1158"/>
        <v>4.2220142267871359E-2</v>
      </c>
      <c r="BD129" s="1323">
        <f t="shared" si="1158"/>
        <v>-9.5221546295344531E-2</v>
      </c>
      <c r="BE129" s="1253"/>
      <c r="BF129" s="1253"/>
      <c r="BG129" s="1254"/>
      <c r="BH129" s="1253"/>
      <c r="BI129" s="1253"/>
      <c r="BJ129" s="1253"/>
      <c r="BK129" s="1254"/>
      <c r="BL129" s="1389"/>
      <c r="BM129" s="1389"/>
      <c r="BN129" s="1389"/>
      <c r="BO129" s="1322"/>
      <c r="BP129" s="23"/>
      <c r="BQ129" s="462"/>
      <c r="BR129" s="473"/>
      <c r="BS129" s="473"/>
      <c r="BT129" s="473"/>
      <c r="BU129" s="473"/>
      <c r="BV129" s="473"/>
      <c r="BW129" s="473"/>
      <c r="BX129" s="473"/>
      <c r="BY129" s="473"/>
      <c r="BZ129" s="473"/>
      <c r="CA129" s="473"/>
      <c r="CB129" s="413"/>
      <c r="CC129" s="1271"/>
      <c r="CD129" s="1271"/>
      <c r="CE129" s="1425"/>
      <c r="CF129" s="1426"/>
      <c r="CG129" s="1031"/>
    </row>
    <row r="130" spans="1:89" ht="14.25" hidden="1" customHeight="1" outlineLevel="1">
      <c r="A130" s="634"/>
      <c r="B130" s="1233" t="s">
        <v>153</v>
      </c>
      <c r="C130" s="39"/>
      <c r="D130" s="1257"/>
      <c r="E130" s="1253"/>
      <c r="F130" s="1253"/>
      <c r="G130" s="1254"/>
      <c r="H130" s="1253"/>
      <c r="I130" s="1253"/>
      <c r="J130" s="1253"/>
      <c r="K130" s="1254"/>
      <c r="L130" s="1253">
        <f t="shared" ref="L130" si="1159">L127/H127-1</f>
        <v>7.9880637757485662E-3</v>
      </c>
      <c r="M130" s="1253">
        <f t="shared" ref="M130" si="1160">M127/I127-1</f>
        <v>-7.2046928582078618E-2</v>
      </c>
      <c r="N130" s="1253">
        <f t="shared" ref="N130" si="1161">N127/J127-1</f>
        <v>-6.965765602868923E-2</v>
      </c>
      <c r="O130" s="1254">
        <f t="shared" ref="O130" si="1162">O127/K127-1</f>
        <v>-9.0439389563294559E-2</v>
      </c>
      <c r="P130" s="1253">
        <f t="shared" ref="P130" si="1163">P127/L127-1</f>
        <v>-1.9729667153680963E-2</v>
      </c>
      <c r="Q130" s="1253">
        <f t="shared" ref="Q130" si="1164">Q127/M127-1</f>
        <v>8.6792427566976915E-2</v>
      </c>
      <c r="R130" s="1253">
        <f t="shared" ref="R130" si="1165">R127/N127-1</f>
        <v>6.7303067063364086E-2</v>
      </c>
      <c r="S130" s="1254">
        <f t="shared" ref="S130" si="1166">S127/O127-1</f>
        <v>5.9585400823039869E-2</v>
      </c>
      <c r="T130" s="1253">
        <f t="shared" ref="T130" si="1167">T127/P127-1</f>
        <v>-0.22371393805922379</v>
      </c>
      <c r="U130" s="1253">
        <f t="shared" ref="U130" si="1168">U127/Q127-1</f>
        <v>-0.26887608956786901</v>
      </c>
      <c r="V130" s="1253">
        <f t="shared" ref="V130" si="1169">V127/R127-1</f>
        <v>-0.25341206034726083</v>
      </c>
      <c r="W130" s="1254">
        <f t="shared" ref="W130" si="1170">W127/S127-1</f>
        <v>-0.1348517321128021</v>
      </c>
      <c r="X130" s="1253">
        <f t="shared" ref="X130" si="1171">X127/T127-1</f>
        <v>0.26529421762640881</v>
      </c>
      <c r="Y130" s="1253">
        <f t="shared" ref="Y130" si="1172">Y127/U127-1</f>
        <v>0.40748354916713714</v>
      </c>
      <c r="Z130" s="1253">
        <f t="shared" ref="Z130" si="1173">Z127/V127-1</f>
        <v>0.46405117166777443</v>
      </c>
      <c r="AA130" s="1254">
        <f t="shared" ref="AA130" si="1174">AA127/W127-1</f>
        <v>0.34709587123862806</v>
      </c>
      <c r="AB130" s="1253">
        <f t="shared" ref="AB130" si="1175">AB127/X127-1</f>
        <v>0.20812603648424544</v>
      </c>
      <c r="AC130" s="1253">
        <f t="shared" ref="AC130" si="1176">AC127/Y127-1</f>
        <v>0.18347800059862296</v>
      </c>
      <c r="AD130" s="1253">
        <f t="shared" ref="AD130" si="1177">AD127/Z127-1</f>
        <v>5.2200472025544897E-2</v>
      </c>
      <c r="AE130" s="1254">
        <f t="shared" ref="AE130" si="1178">AE127/AA127-1</f>
        <v>-6.9999999999999951E-2</v>
      </c>
      <c r="AF130" s="1253">
        <f t="shared" ref="AF130" si="1179">AF127/AB127-1</f>
        <v>-0.11036376115305424</v>
      </c>
      <c r="AG130" s="1253">
        <f t="shared" ref="AG130" si="1180">AG127/AC127-1</f>
        <v>-0.14629615579160349</v>
      </c>
      <c r="AH130" s="1253">
        <f t="shared" ref="AH130" si="1181">AH127/AD127-1</f>
        <v>-9.8791397281963178E-2</v>
      </c>
      <c r="AI130" s="1254">
        <f t="shared" ref="AI130" si="1182">AI127/AE127-1</f>
        <v>-2.9515430805753473E-2</v>
      </c>
      <c r="AJ130" s="1253">
        <f t="shared" ref="AJ130" si="1183">AJ127/AF127-1</f>
        <v>-4.006480481407193E-2</v>
      </c>
      <c r="AK130" s="1253">
        <f t="shared" ref="AK130" si="1184">AK127/AG127-1</f>
        <v>-2.3491021449869476E-2</v>
      </c>
      <c r="AL130" s="1253">
        <f t="shared" ref="AL130" si="1185">AL127/AH127-1</f>
        <v>-1.2962903315540064E-2</v>
      </c>
      <c r="AM130" s="1254">
        <f t="shared" ref="AM130" si="1186">AM127/AI127-1</f>
        <v>-2.4218520671574262E-2</v>
      </c>
      <c r="AN130" s="1253">
        <f t="shared" ref="AN130" si="1187">AN127/AJ127-1</f>
        <v>9.8113911150974342E-3</v>
      </c>
      <c r="AO130" s="1253">
        <f t="shared" ref="AO130" si="1188">AO127/AK127-1</f>
        <v>5.352445961319674E-2</v>
      </c>
      <c r="AP130" s="1253">
        <f t="shared" ref="AP130" si="1189">AP127/AL127-1</f>
        <v>7.9475267439169661E-2</v>
      </c>
      <c r="AQ130" s="1254">
        <f t="shared" ref="AQ130" si="1190">AQ127/AM127-1</f>
        <v>0.2007187380646569</v>
      </c>
      <c r="AR130" s="1253">
        <f t="shared" ref="AR130" si="1191">AR127/AN127-1</f>
        <v>0.22881137403340768</v>
      </c>
      <c r="AS130" s="1253">
        <f t="shared" ref="AS130" si="1192">AS127/AO127-1</f>
        <v>0.18211151041846652</v>
      </c>
      <c r="AT130" s="1253">
        <f t="shared" ref="AT130" si="1193">AT127/AP127-1</f>
        <v>0.18634507359649999</v>
      </c>
      <c r="AU130" s="1254">
        <f t="shared" ref="AU130" si="1194">AU127/AQ127-1</f>
        <v>0.20199644579593179</v>
      </c>
      <c r="AV130" s="1253">
        <f t="shared" ref="AV130" si="1195">AV127/AR127-1</f>
        <v>-3.3122362322633991E-3</v>
      </c>
      <c r="AW130" s="1253">
        <f t="shared" ref="AW130" si="1196">AW127/AS127-1</f>
        <v>-5.1464095228003326E-2</v>
      </c>
      <c r="AX130" s="1253">
        <f t="shared" ref="AX130" si="1197">AX127/AT127-1</f>
        <v>7.2113185037614436E-3</v>
      </c>
      <c r="AY130" s="1254">
        <f t="shared" ref="AY130" si="1198">AY127/AU127-1</f>
        <v>2.5442362591215906E-2</v>
      </c>
      <c r="AZ130" s="1321">
        <f t="shared" ref="AZ130" si="1199">AZ127/AV127-1</f>
        <v>0.24037908630945815</v>
      </c>
      <c r="BA130" s="1321">
        <f t="shared" ref="BA130" si="1200">BA127/AW127-1</f>
        <v>0.28474920579480867</v>
      </c>
      <c r="BB130" s="1321">
        <f t="shared" ref="BB130:BD130" si="1201">BB127/AX127-1</f>
        <v>0.20056565183977293</v>
      </c>
      <c r="BC130" s="1389">
        <f t="shared" si="1201"/>
        <v>0.13127169482892498</v>
      </c>
      <c r="BD130" s="1323">
        <f t="shared" si="1201"/>
        <v>0.14829293621126194</v>
      </c>
      <c r="BE130" s="1253"/>
      <c r="BF130" s="1253"/>
      <c r="BG130" s="1254"/>
      <c r="BH130" s="1253"/>
      <c r="BI130" s="1253"/>
      <c r="BJ130" s="1253"/>
      <c r="BK130" s="1254"/>
      <c r="BL130" s="1389"/>
      <c r="BM130" s="1389"/>
      <c r="BN130" s="1389"/>
      <c r="BO130" s="1322"/>
      <c r="BP130" s="23"/>
      <c r="BQ130" s="823"/>
      <c r="BR130" s="413"/>
      <c r="BS130" s="413"/>
      <c r="BT130" s="413"/>
      <c r="BU130" s="413"/>
      <c r="BV130" s="413"/>
      <c r="BW130" s="413"/>
      <c r="BX130" s="413"/>
      <c r="BY130" s="413"/>
      <c r="BZ130" s="413"/>
      <c r="CA130" s="413"/>
      <c r="CB130" s="413"/>
      <c r="CC130" s="413">
        <f>CC127/CB122-1</f>
        <v>0.20835422421823591</v>
      </c>
      <c r="CD130" s="413"/>
      <c r="CE130" s="413"/>
      <c r="CF130" s="412"/>
      <c r="CG130" s="1031"/>
    </row>
    <row r="131" spans="1:89" ht="14.25" hidden="1" customHeight="1" outlineLevel="1">
      <c r="A131" s="634"/>
      <c r="B131" s="38"/>
      <c r="C131" s="17"/>
      <c r="D131" s="1253"/>
      <c r="E131" s="1253"/>
      <c r="F131" s="1253"/>
      <c r="G131" s="1254"/>
      <c r="H131" s="1253"/>
      <c r="I131" s="1253"/>
      <c r="J131" s="1253"/>
      <c r="K131" s="1254"/>
      <c r="L131" s="1253"/>
      <c r="M131" s="1253"/>
      <c r="N131" s="1253"/>
      <c r="O131" s="1254"/>
      <c r="P131" s="1253"/>
      <c r="Q131" s="1253"/>
      <c r="R131" s="1253"/>
      <c r="S131" s="1254"/>
      <c r="T131" s="1253"/>
      <c r="U131" s="1253"/>
      <c r="V131" s="1253"/>
      <c r="W131" s="1254"/>
      <c r="X131" s="1253"/>
      <c r="Y131" s="1253"/>
      <c r="Z131" s="1253"/>
      <c r="AA131" s="1254"/>
      <c r="AB131" s="1253"/>
      <c r="AC131" s="1253"/>
      <c r="AD131" s="1253"/>
      <c r="AE131" s="1254"/>
      <c r="AF131" s="1258"/>
      <c r="AG131" s="1258"/>
      <c r="AH131" s="1253"/>
      <c r="AI131" s="1258"/>
      <c r="AJ131" s="1260"/>
      <c r="AK131" s="1258"/>
      <c r="AL131" s="1253"/>
      <c r="AM131" s="1259"/>
      <c r="AN131" s="1258"/>
      <c r="AO131" s="1258"/>
      <c r="AP131" s="1253"/>
      <c r="AQ131" s="1259"/>
      <c r="AR131" s="1258"/>
      <c r="AS131" s="1258"/>
      <c r="AT131" s="1253"/>
      <c r="AU131" s="1259"/>
      <c r="AV131" s="1253"/>
      <c r="AW131" s="1258"/>
      <c r="AX131" s="1253"/>
      <c r="AY131" s="1259"/>
      <c r="AZ131" s="1321"/>
      <c r="BA131" s="1321"/>
      <c r="BB131" s="1321"/>
      <c r="BC131" s="1389"/>
      <c r="BD131" s="1323"/>
      <c r="BE131" s="1258"/>
      <c r="BF131" s="1258"/>
      <c r="BG131" s="1259"/>
      <c r="BH131" s="1313"/>
      <c r="BI131" s="1258"/>
      <c r="BJ131" s="1258"/>
      <c r="BK131" s="1259"/>
      <c r="BL131" s="1313"/>
      <c r="BM131" s="1425"/>
      <c r="BN131" s="1425"/>
      <c r="BO131" s="1426"/>
      <c r="BP131" s="23"/>
      <c r="BQ131" s="1277"/>
      <c r="BR131" s="1271"/>
      <c r="BS131" s="1271"/>
      <c r="BT131" s="1271"/>
      <c r="BU131" s="1425"/>
      <c r="BV131" s="1425"/>
      <c r="BW131" s="1425"/>
      <c r="BX131" s="1425"/>
      <c r="BY131" s="1425"/>
      <c r="BZ131" s="1425"/>
      <c r="CA131" s="1425"/>
      <c r="CB131" s="1271"/>
      <c r="CC131" s="17"/>
      <c r="CD131" s="17"/>
      <c r="CE131" s="17"/>
      <c r="CF131" s="253"/>
      <c r="CG131" s="25"/>
      <c r="CH131" s="8"/>
      <c r="CI131" s="8"/>
      <c r="CJ131" s="8"/>
      <c r="CK131" s="8"/>
    </row>
    <row r="132" spans="1:89" ht="14.25" hidden="1" customHeight="1" outlineLevel="1">
      <c r="A132" s="634"/>
      <c r="B132" s="1232" t="s">
        <v>592</v>
      </c>
      <c r="C132" s="17"/>
      <c r="D132" s="1253"/>
      <c r="E132" s="1253"/>
      <c r="F132" s="1253"/>
      <c r="G132" s="1254"/>
      <c r="H132" s="1253"/>
      <c r="I132" s="1253"/>
      <c r="J132" s="1253"/>
      <c r="K132" s="1254"/>
      <c r="L132" s="1253"/>
      <c r="M132" s="1253"/>
      <c r="N132" s="1253"/>
      <c r="O132" s="1254"/>
      <c r="P132" s="1253"/>
      <c r="Q132" s="1253"/>
      <c r="R132" s="1253"/>
      <c r="S132" s="1254"/>
      <c r="T132" s="1253"/>
      <c r="U132" s="1253"/>
      <c r="V132" s="1253"/>
      <c r="W132" s="1254"/>
      <c r="X132" s="1253"/>
      <c r="Y132" s="1253"/>
      <c r="Z132" s="1253"/>
      <c r="AA132" s="1254"/>
      <c r="AB132" s="1253"/>
      <c r="AC132" s="1253"/>
      <c r="AD132" s="1253"/>
      <c r="AE132" s="1254"/>
      <c r="AF132" s="1258"/>
      <c r="AG132" s="1258"/>
      <c r="AH132" s="1253"/>
      <c r="AI132" s="1258"/>
      <c r="AJ132" s="1260"/>
      <c r="AK132" s="1258"/>
      <c r="AL132" s="1253"/>
      <c r="AM132" s="1259"/>
      <c r="AN132" s="1258"/>
      <c r="AO132" s="1258"/>
      <c r="AP132" s="1253"/>
      <c r="AQ132" s="1259"/>
      <c r="AR132" s="1258"/>
      <c r="AS132" s="1258"/>
      <c r="AT132" s="1253"/>
      <c r="AU132" s="1259"/>
      <c r="AV132" s="1253"/>
      <c r="AW132" s="1258"/>
      <c r="AX132" s="1253"/>
      <c r="AY132" s="1259"/>
      <c r="AZ132" s="923"/>
      <c r="BA132" s="416">
        <f>BA136*5/9</f>
        <v>208.30710227777777</v>
      </c>
      <c r="BB132" s="416">
        <f t="shared" ref="BB132:BC132" si="1202">BB93+BB72+BB46+BB25</f>
        <v>389.90091425100002</v>
      </c>
      <c r="BC132" s="416">
        <f t="shared" si="1202"/>
        <v>405.79970782070995</v>
      </c>
      <c r="BD132" s="477">
        <f t="shared" ref="BD132" si="1203">BD93+BD72+BD46+BD25</f>
        <v>422.712007752408</v>
      </c>
      <c r="BE132" s="416"/>
      <c r="BF132" s="416"/>
      <c r="BG132" s="417"/>
      <c r="BH132" s="416"/>
      <c r="BI132" s="416"/>
      <c r="BJ132" s="416"/>
      <c r="BK132" s="417"/>
      <c r="BL132" s="416"/>
      <c r="BM132" s="416"/>
      <c r="BN132" s="416"/>
      <c r="BO132" s="417"/>
      <c r="BP132" s="23"/>
      <c r="BQ132" s="410"/>
      <c r="BR132" s="404"/>
      <c r="BS132" s="404"/>
      <c r="BT132" s="404"/>
      <c r="BU132" s="404"/>
      <c r="BV132" s="404"/>
      <c r="BW132" s="404"/>
      <c r="BX132" s="404"/>
      <c r="BY132" s="404"/>
      <c r="BZ132" s="404"/>
      <c r="CA132" s="404"/>
      <c r="CB132" s="404"/>
      <c r="CC132" s="404">
        <f>CC122-CC127</f>
        <v>841.29975140504393</v>
      </c>
      <c r="CD132" s="404"/>
      <c r="CE132" s="404"/>
      <c r="CF132" s="405"/>
      <c r="CG132" s="25"/>
      <c r="CH132" s="8"/>
      <c r="CI132" s="8"/>
      <c r="CJ132" s="8"/>
      <c r="CK132" s="8"/>
    </row>
    <row r="133" spans="1:89" ht="14.25" hidden="1" customHeight="1" outlineLevel="1">
      <c r="A133" s="634"/>
      <c r="B133" s="1233" t="s">
        <v>152</v>
      </c>
      <c r="C133" s="261"/>
      <c r="D133" s="1257"/>
      <c r="E133" s="1253"/>
      <c r="F133" s="1253"/>
      <c r="G133" s="1254"/>
      <c r="H133" s="1257"/>
      <c r="I133" s="1253"/>
      <c r="J133" s="1253"/>
      <c r="K133" s="1254"/>
      <c r="L133" s="1257"/>
      <c r="M133" s="1253"/>
      <c r="N133" s="1253"/>
      <c r="O133" s="1254"/>
      <c r="P133" s="1257"/>
      <c r="Q133" s="1253"/>
      <c r="R133" s="1253"/>
      <c r="S133" s="1254"/>
      <c r="T133" s="1257"/>
      <c r="U133" s="1253"/>
      <c r="V133" s="1253"/>
      <c r="W133" s="1254"/>
      <c r="X133" s="1257"/>
      <c r="Y133" s="1253"/>
      <c r="Z133" s="1253"/>
      <c r="AA133" s="1254"/>
      <c r="AB133" s="1257"/>
      <c r="AC133" s="1253"/>
      <c r="AD133" s="1253"/>
      <c r="AE133" s="1254"/>
      <c r="AF133" s="1257"/>
      <c r="AG133" s="1253"/>
      <c r="AH133" s="1253"/>
      <c r="AI133" s="1253"/>
      <c r="AJ133" s="1257"/>
      <c r="AK133" s="1253"/>
      <c r="AL133" s="1253"/>
      <c r="AM133" s="1254"/>
      <c r="AN133" s="1257"/>
      <c r="AO133" s="1253"/>
      <c r="AP133" s="1253"/>
      <c r="AQ133" s="1254"/>
      <c r="AR133" s="1257"/>
      <c r="AS133" s="1253"/>
      <c r="AT133" s="1253"/>
      <c r="AU133" s="1254"/>
      <c r="AV133" s="1253"/>
      <c r="AW133" s="1253"/>
      <c r="AX133" s="1253"/>
      <c r="AY133" s="1254"/>
      <c r="AZ133" s="1321"/>
      <c r="BA133" s="1321"/>
      <c r="BB133" s="1321">
        <f t="shared" ref="BB133:BD133" si="1204">BB132/BA132-1</f>
        <v>0.87176005996697459</v>
      </c>
      <c r="BC133" s="1389">
        <f t="shared" si="1204"/>
        <v>4.0776497280729629E-2</v>
      </c>
      <c r="BD133" s="1323">
        <f t="shared" si="1204"/>
        <v>4.1676471435928786E-2</v>
      </c>
      <c r="BE133" s="1253"/>
      <c r="BF133" s="1253"/>
      <c r="BG133" s="1254"/>
      <c r="BH133" s="1253"/>
      <c r="BI133" s="1253"/>
      <c r="BJ133" s="1253"/>
      <c r="BK133" s="1254"/>
      <c r="BL133" s="1389"/>
      <c r="BM133" s="1389"/>
      <c r="BN133" s="1389"/>
      <c r="BO133" s="1322"/>
      <c r="BP133" s="23"/>
      <c r="BQ133" s="1277"/>
      <c r="BR133" s="1271"/>
      <c r="BS133" s="1271"/>
      <c r="BT133" s="1271"/>
      <c r="BU133" s="1425"/>
      <c r="BV133" s="1425"/>
      <c r="BW133" s="1425"/>
      <c r="BX133" s="1425"/>
      <c r="BY133" s="1425"/>
      <c r="BZ133" s="1425"/>
      <c r="CA133" s="1425"/>
      <c r="CB133" s="1271"/>
      <c r="CC133" s="1271"/>
      <c r="CD133" s="1271"/>
      <c r="CE133" s="1425"/>
      <c r="CF133" s="1426"/>
      <c r="CG133" s="1031"/>
    </row>
    <row r="134" spans="1:89" ht="14.25" hidden="1" customHeight="1" outlineLevel="1">
      <c r="A134" s="634"/>
      <c r="B134" s="1233" t="s">
        <v>153</v>
      </c>
      <c r="C134" s="39"/>
      <c r="D134" s="1257"/>
      <c r="E134" s="1253"/>
      <c r="F134" s="1253"/>
      <c r="G134" s="1254"/>
      <c r="H134" s="1257"/>
      <c r="I134" s="1253"/>
      <c r="J134" s="1253"/>
      <c r="K134" s="1254"/>
      <c r="L134" s="1257"/>
      <c r="M134" s="1253"/>
      <c r="N134" s="1253"/>
      <c r="O134" s="1254"/>
      <c r="P134" s="1257"/>
      <c r="Q134" s="1253"/>
      <c r="R134" s="1253"/>
      <c r="S134" s="1254"/>
      <c r="T134" s="1257"/>
      <c r="U134" s="1253"/>
      <c r="V134" s="1253"/>
      <c r="W134" s="1254"/>
      <c r="X134" s="1257"/>
      <c r="Y134" s="1253"/>
      <c r="Z134" s="1253"/>
      <c r="AA134" s="1254"/>
      <c r="AB134" s="1257"/>
      <c r="AC134" s="1253"/>
      <c r="AD134" s="1253"/>
      <c r="AE134" s="1254"/>
      <c r="AF134" s="1258"/>
      <c r="AG134" s="1258"/>
      <c r="AH134" s="1253"/>
      <c r="AI134" s="1253"/>
      <c r="AJ134" s="1257"/>
      <c r="AK134" s="1253"/>
      <c r="AL134" s="1253"/>
      <c r="AM134" s="1254"/>
      <c r="AN134" s="1257"/>
      <c r="AO134" s="1253"/>
      <c r="AP134" s="1253"/>
      <c r="AQ134" s="1254"/>
      <c r="AR134" s="1257"/>
      <c r="AS134" s="1253"/>
      <c r="AT134" s="1253"/>
      <c r="AU134" s="1254"/>
      <c r="AV134" s="1253"/>
      <c r="AW134" s="1253"/>
      <c r="AX134" s="1253"/>
      <c r="AY134" s="1254"/>
      <c r="AZ134" s="1321"/>
      <c r="BA134" s="1321"/>
      <c r="BB134" s="1321"/>
      <c r="BC134" s="1389"/>
      <c r="BD134" s="1323"/>
      <c r="BE134" s="1253"/>
      <c r="BF134" s="1253"/>
      <c r="BG134" s="1254"/>
      <c r="BH134" s="1253"/>
      <c r="BI134" s="1253"/>
      <c r="BJ134" s="1253"/>
      <c r="BK134" s="1254"/>
      <c r="BL134" s="1389"/>
      <c r="BM134" s="1389"/>
      <c r="BN134" s="1389"/>
      <c r="BO134" s="1322"/>
      <c r="BP134" s="23"/>
      <c r="BQ134" s="462"/>
      <c r="BR134" s="473"/>
      <c r="BS134" s="473"/>
      <c r="BT134" s="473"/>
      <c r="BU134" s="473"/>
      <c r="BV134" s="473"/>
      <c r="BW134" s="473"/>
      <c r="BX134" s="473"/>
      <c r="BY134" s="473"/>
      <c r="BZ134" s="473"/>
      <c r="CA134" s="473"/>
      <c r="CB134" s="413"/>
      <c r="CC134" s="413"/>
      <c r="CD134" s="413"/>
      <c r="CE134" s="413"/>
      <c r="CF134" s="412"/>
      <c r="CG134" s="1031"/>
    </row>
    <row r="135" spans="1:89" ht="6" hidden="1" customHeight="1" outlineLevel="1">
      <c r="A135" s="634"/>
      <c r="B135" s="1233"/>
      <c r="C135" s="813"/>
      <c r="D135" s="1321"/>
      <c r="E135" s="1321"/>
      <c r="F135" s="1321"/>
      <c r="G135" s="1322"/>
      <c r="H135" s="1321"/>
      <c r="I135" s="1321"/>
      <c r="J135" s="1321"/>
      <c r="K135" s="1322"/>
      <c r="L135" s="1321"/>
      <c r="M135" s="1321"/>
      <c r="N135" s="1321"/>
      <c r="O135" s="1322"/>
      <c r="P135" s="1321"/>
      <c r="Q135" s="1321"/>
      <c r="R135" s="1321"/>
      <c r="S135" s="1322"/>
      <c r="T135" s="1321"/>
      <c r="U135" s="1321"/>
      <c r="V135" s="1321"/>
      <c r="W135" s="1322"/>
      <c r="X135" s="1321"/>
      <c r="Y135" s="1321"/>
      <c r="Z135" s="1321"/>
      <c r="AA135" s="1322"/>
      <c r="AB135" s="1321"/>
      <c r="AC135" s="1321"/>
      <c r="AD135" s="1321"/>
      <c r="AE135" s="1322"/>
      <c r="AF135" s="1324"/>
      <c r="AG135" s="1324"/>
      <c r="AH135" s="1321"/>
      <c r="AI135" s="1321"/>
      <c r="AJ135" s="1323"/>
      <c r="AK135" s="1321"/>
      <c r="AL135" s="1321"/>
      <c r="AM135" s="1322"/>
      <c r="AN135" s="1321"/>
      <c r="AO135" s="1321"/>
      <c r="AP135" s="1321"/>
      <c r="AQ135" s="1322"/>
      <c r="AR135" s="1321"/>
      <c r="AS135" s="1321"/>
      <c r="AT135" s="1321"/>
      <c r="AU135" s="1322"/>
      <c r="AV135" s="1321"/>
      <c r="AW135" s="1321"/>
      <c r="AX135" s="1321"/>
      <c r="AY135" s="1322"/>
      <c r="AZ135" s="1321"/>
      <c r="BA135" s="1321"/>
      <c r="BB135" s="1321"/>
      <c r="BC135" s="1389"/>
      <c r="BD135" s="1323"/>
      <c r="BE135" s="1321"/>
      <c r="BF135" s="1321"/>
      <c r="BG135" s="1322"/>
      <c r="BH135" s="1321"/>
      <c r="BI135" s="1321"/>
      <c r="BJ135" s="1321"/>
      <c r="BK135" s="1322"/>
      <c r="BL135" s="1389"/>
      <c r="BM135" s="1389"/>
      <c r="BN135" s="1389"/>
      <c r="BO135" s="1389"/>
      <c r="BP135" s="23"/>
      <c r="BQ135" s="462"/>
      <c r="BR135" s="473"/>
      <c r="BS135" s="473"/>
      <c r="BT135" s="473"/>
      <c r="BU135" s="473"/>
      <c r="BV135" s="473"/>
      <c r="BW135" s="473"/>
      <c r="BX135" s="473"/>
      <c r="BY135" s="473"/>
      <c r="BZ135" s="473"/>
      <c r="CA135" s="473"/>
      <c r="CB135" s="413"/>
      <c r="CC135" s="413"/>
      <c r="CD135" s="413"/>
      <c r="CE135" s="413"/>
      <c r="CF135" s="412"/>
      <c r="CG135" s="1031"/>
    </row>
    <row r="136" spans="1:89" s="916" customFormat="1" ht="14.25" hidden="1" customHeight="1" outlineLevel="1">
      <c r="A136" s="1318"/>
      <c r="B136" s="1233" t="s">
        <v>591</v>
      </c>
      <c r="C136" s="813"/>
      <c r="D136" s="1321"/>
      <c r="E136" s="1321"/>
      <c r="F136" s="1321"/>
      <c r="G136" s="1322"/>
      <c r="H136" s="1321"/>
      <c r="I136" s="1321"/>
      <c r="J136" s="1321"/>
      <c r="K136" s="1322"/>
      <c r="L136" s="1321"/>
      <c r="M136" s="1321"/>
      <c r="N136" s="1321"/>
      <c r="O136" s="1322"/>
      <c r="P136" s="1321"/>
      <c r="Q136" s="1321"/>
      <c r="R136" s="1321"/>
      <c r="S136" s="1322"/>
      <c r="T136" s="1321"/>
      <c r="U136" s="1321"/>
      <c r="V136" s="1321"/>
      <c r="W136" s="1322"/>
      <c r="X136" s="1321"/>
      <c r="Y136" s="1321"/>
      <c r="Z136" s="1321"/>
      <c r="AA136" s="1322"/>
      <c r="AB136" s="1321"/>
      <c r="AC136" s="1321"/>
      <c r="AD136" s="1321"/>
      <c r="AE136" s="1322"/>
      <c r="AF136" s="1324"/>
      <c r="AG136" s="1324"/>
      <c r="AH136" s="1321"/>
      <c r="AI136" s="1321"/>
      <c r="AJ136" s="1323"/>
      <c r="AK136" s="1321"/>
      <c r="AL136" s="1321"/>
      <c r="AM136" s="1322"/>
      <c r="AN136" s="1321"/>
      <c r="AO136" s="1321"/>
      <c r="AP136" s="1321"/>
      <c r="AQ136" s="1322"/>
      <c r="AR136" s="1321"/>
      <c r="AS136" s="1321"/>
      <c r="AT136" s="1321"/>
      <c r="AU136" s="1322"/>
      <c r="AV136" s="1321"/>
      <c r="AW136" s="1321"/>
      <c r="AX136" s="1321"/>
      <c r="AY136" s="1322"/>
      <c r="AZ136" s="1317">
        <f>AZ93+AZ72+AZ46+AZ25</f>
        <v>375.81716</v>
      </c>
      <c r="BA136" s="1317">
        <f t="shared" ref="BA136:BB136" si="1205">(BA93+BA72+BA46+BA25)</f>
        <v>374.95278410000003</v>
      </c>
      <c r="BB136" s="1317">
        <f t="shared" si="1205"/>
        <v>389.90091425100002</v>
      </c>
      <c r="BC136" s="1317">
        <f t="shared" ref="BC136" si="1206">(BC93+BC72+BC46+BC25)</f>
        <v>405.79970782070995</v>
      </c>
      <c r="BD136" s="1479">
        <f t="shared" ref="BD136" si="1207">(BD93+BD72+BD46+BD25)</f>
        <v>422.712007752408</v>
      </c>
      <c r="BE136" s="1317"/>
      <c r="BF136" s="1317"/>
      <c r="BG136" s="1316"/>
      <c r="BH136" s="1317"/>
      <c r="BI136" s="1317"/>
      <c r="BJ136" s="1317"/>
      <c r="BK136" s="1316"/>
      <c r="BL136" s="1317"/>
      <c r="BM136" s="1317"/>
      <c r="BN136" s="1317"/>
      <c r="BO136" s="1317"/>
      <c r="BP136" s="1471"/>
      <c r="BQ136" s="1325"/>
      <c r="BR136" s="1321"/>
      <c r="BS136" s="1321"/>
      <c r="BT136" s="1321"/>
      <c r="BU136" s="1389"/>
      <c r="BV136" s="1389"/>
      <c r="BW136" s="1389"/>
      <c r="BX136" s="1389"/>
      <c r="BY136" s="1389"/>
      <c r="BZ136" s="1389"/>
      <c r="CA136" s="1389"/>
      <c r="CB136" s="1324"/>
      <c r="CC136" s="1315">
        <f>SUM(AZ136:BC136)</f>
        <v>1546.4705661717098</v>
      </c>
      <c r="CD136" s="1315"/>
      <c r="CE136" s="1315"/>
      <c r="CF136" s="1314"/>
      <c r="CG136" s="1473"/>
    </row>
    <row r="137" spans="1:89" s="916" customFormat="1" ht="14.25" hidden="1" customHeight="1" outlineLevel="1">
      <c r="A137" s="1318"/>
      <c r="B137" s="1233" t="s">
        <v>152</v>
      </c>
      <c r="C137" s="813"/>
      <c r="D137" s="1321"/>
      <c r="E137" s="1321"/>
      <c r="F137" s="1321"/>
      <c r="G137" s="1322"/>
      <c r="H137" s="1321"/>
      <c r="I137" s="1321"/>
      <c r="J137" s="1321"/>
      <c r="K137" s="1322"/>
      <c r="L137" s="1321"/>
      <c r="M137" s="1321"/>
      <c r="N137" s="1321"/>
      <c r="O137" s="1322"/>
      <c r="P137" s="1321"/>
      <c r="Q137" s="1321"/>
      <c r="R137" s="1321"/>
      <c r="S137" s="1322"/>
      <c r="T137" s="1321"/>
      <c r="U137" s="1321"/>
      <c r="V137" s="1321"/>
      <c r="W137" s="1322"/>
      <c r="X137" s="1321"/>
      <c r="Y137" s="1321"/>
      <c r="Z137" s="1321"/>
      <c r="AA137" s="1322"/>
      <c r="AB137" s="1321"/>
      <c r="AC137" s="1321"/>
      <c r="AD137" s="1321"/>
      <c r="AE137" s="1322"/>
      <c r="AF137" s="1324"/>
      <c r="AG137" s="1324"/>
      <c r="AH137" s="1321"/>
      <c r="AI137" s="1321"/>
      <c r="AJ137" s="1323"/>
      <c r="AK137" s="1321"/>
      <c r="AL137" s="1321"/>
      <c r="AM137" s="1322"/>
      <c r="AN137" s="1321"/>
      <c r="AO137" s="1321"/>
      <c r="AP137" s="1321"/>
      <c r="AQ137" s="1322"/>
      <c r="AR137" s="1321"/>
      <c r="AS137" s="1321"/>
      <c r="AT137" s="1321"/>
      <c r="AU137" s="1322"/>
      <c r="AV137" s="1321"/>
      <c r="AW137" s="1321"/>
      <c r="AX137" s="1321"/>
      <c r="AY137" s="1322"/>
      <c r="AZ137" s="1317"/>
      <c r="BA137" s="1321">
        <f t="shared" ref="BA137" si="1208">BA136/AZ136-1</f>
        <v>-2.2999905060214765E-3</v>
      </c>
      <c r="BB137" s="1321">
        <f t="shared" ref="BB137:BD137" si="1209">BB136/BA136-1</f>
        <v>3.9866699981652376E-2</v>
      </c>
      <c r="BC137" s="1389">
        <f t="shared" si="1209"/>
        <v>4.0776497280729629E-2</v>
      </c>
      <c r="BD137" s="1323">
        <f t="shared" si="1209"/>
        <v>4.1676471435928786E-2</v>
      </c>
      <c r="BE137" s="1321"/>
      <c r="BF137" s="1321"/>
      <c r="BG137" s="1322"/>
      <c r="BH137" s="1321"/>
      <c r="BI137" s="1321"/>
      <c r="BJ137" s="1321"/>
      <c r="BK137" s="1322"/>
      <c r="BL137" s="1389"/>
      <c r="BM137" s="1389"/>
      <c r="BN137" s="1389"/>
      <c r="BO137" s="1322"/>
      <c r="BP137" s="1471"/>
      <c r="BQ137" s="1325"/>
      <c r="BR137" s="1321"/>
      <c r="BS137" s="1321"/>
      <c r="BT137" s="1321"/>
      <c r="BU137" s="1389"/>
      <c r="BV137" s="1389"/>
      <c r="BW137" s="1389"/>
      <c r="BX137" s="1389"/>
      <c r="BY137" s="1389"/>
      <c r="BZ137" s="1389"/>
      <c r="CA137" s="1389"/>
      <c r="CB137" s="1324"/>
      <c r="CC137" s="1315"/>
      <c r="CD137" s="1315"/>
      <c r="CE137" s="1315"/>
      <c r="CF137" s="1314"/>
      <c r="CG137" s="1473"/>
    </row>
    <row r="138" spans="1:89" s="916" customFormat="1" ht="14.25" hidden="1" customHeight="1" outlineLevel="1">
      <c r="A138" s="1318"/>
      <c r="B138" s="1233" t="s">
        <v>153</v>
      </c>
      <c r="C138" s="813"/>
      <c r="D138" s="1321"/>
      <c r="E138" s="1321"/>
      <c r="F138" s="1321"/>
      <c r="G138" s="1322"/>
      <c r="H138" s="1321"/>
      <c r="I138" s="1321"/>
      <c r="J138" s="1321"/>
      <c r="K138" s="1322"/>
      <c r="L138" s="1321"/>
      <c r="M138" s="1321"/>
      <c r="N138" s="1321"/>
      <c r="O138" s="1322"/>
      <c r="P138" s="1321"/>
      <c r="Q138" s="1321"/>
      <c r="R138" s="1321"/>
      <c r="S138" s="1322"/>
      <c r="T138" s="1321"/>
      <c r="U138" s="1321"/>
      <c r="V138" s="1321"/>
      <c r="W138" s="1322"/>
      <c r="X138" s="1321"/>
      <c r="Y138" s="1321"/>
      <c r="Z138" s="1321"/>
      <c r="AA138" s="1322"/>
      <c r="AB138" s="1321"/>
      <c r="AC138" s="1321"/>
      <c r="AD138" s="1321"/>
      <c r="AE138" s="1322"/>
      <c r="AF138" s="1324"/>
      <c r="AG138" s="1324"/>
      <c r="AH138" s="1321"/>
      <c r="AI138" s="1321"/>
      <c r="AJ138" s="1323"/>
      <c r="AK138" s="1321"/>
      <c r="AL138" s="1321"/>
      <c r="AM138" s="1322"/>
      <c r="AN138" s="1321"/>
      <c r="AO138" s="1321"/>
      <c r="AP138" s="1321"/>
      <c r="AQ138" s="1322"/>
      <c r="AR138" s="1321"/>
      <c r="AS138" s="1321"/>
      <c r="AT138" s="1321"/>
      <c r="AU138" s="1322"/>
      <c r="AV138" s="1321"/>
      <c r="AW138" s="1321"/>
      <c r="AX138" s="1321"/>
      <c r="AY138" s="1322"/>
      <c r="AZ138" s="1317"/>
      <c r="BA138" s="1317"/>
      <c r="BB138" s="1317"/>
      <c r="BC138" s="1317"/>
      <c r="BD138" s="1479"/>
      <c r="BE138" s="1321"/>
      <c r="BF138" s="1321"/>
      <c r="BG138" s="1322"/>
      <c r="BH138" s="1321"/>
      <c r="BI138" s="1321"/>
      <c r="BJ138" s="1321"/>
      <c r="BK138" s="1322"/>
      <c r="BL138" s="1389"/>
      <c r="BM138" s="1389"/>
      <c r="BN138" s="1389"/>
      <c r="BO138" s="1322"/>
      <c r="BP138" s="1471"/>
      <c r="BQ138" s="1325"/>
      <c r="BR138" s="1321"/>
      <c r="BS138" s="1321"/>
      <c r="BT138" s="1321"/>
      <c r="BU138" s="1389"/>
      <c r="BV138" s="1389"/>
      <c r="BW138" s="1389"/>
      <c r="BX138" s="1389"/>
      <c r="BY138" s="1389"/>
      <c r="BZ138" s="1389"/>
      <c r="CA138" s="1389"/>
      <c r="CB138" s="1324"/>
      <c r="CC138" s="404"/>
      <c r="CD138" s="413"/>
      <c r="CE138" s="413"/>
      <c r="CF138" s="412"/>
      <c r="CG138" s="1473"/>
    </row>
    <row r="139" spans="1:89" ht="14.25" customHeight="1" collapsed="1">
      <c r="A139" s="634"/>
      <c r="B139" s="25"/>
      <c r="C139" s="17"/>
      <c r="D139" s="1253"/>
      <c r="E139" s="1253"/>
      <c r="F139" s="1253"/>
      <c r="G139" s="1254"/>
      <c r="H139" s="1253"/>
      <c r="I139" s="1253"/>
      <c r="J139" s="1253"/>
      <c r="K139" s="1254"/>
      <c r="L139" s="1253"/>
      <c r="M139" s="1253"/>
      <c r="N139" s="1253"/>
      <c r="O139" s="1254"/>
      <c r="P139" s="1253"/>
      <c r="Q139" s="1253"/>
      <c r="R139" s="1253"/>
      <c r="S139" s="1254"/>
      <c r="T139" s="1253"/>
      <c r="U139" s="1253"/>
      <c r="V139" s="1253"/>
      <c r="W139" s="1254"/>
      <c r="X139" s="1253"/>
      <c r="Y139" s="1253"/>
      <c r="Z139" s="1253"/>
      <c r="AA139" s="1254"/>
      <c r="AB139" s="1253"/>
      <c r="AC139" s="1253"/>
      <c r="AD139" s="1253"/>
      <c r="AE139" s="1254"/>
      <c r="AF139" s="1258"/>
      <c r="AG139" s="1258"/>
      <c r="AH139" s="1253"/>
      <c r="AI139" s="1258"/>
      <c r="AJ139" s="1260"/>
      <c r="AK139" s="1258"/>
      <c r="AL139" s="1253"/>
      <c r="AM139" s="1259"/>
      <c r="AN139" s="1258"/>
      <c r="AO139" s="1258"/>
      <c r="AP139" s="1253"/>
      <c r="AQ139" s="1259"/>
      <c r="AR139" s="1258"/>
      <c r="AS139" s="1258"/>
      <c r="AT139" s="1253"/>
      <c r="AU139" s="1259"/>
      <c r="AV139" s="1253"/>
      <c r="AW139" s="1258"/>
      <c r="AX139" s="1253"/>
      <c r="AY139" s="1259"/>
      <c r="AZ139" s="1253"/>
      <c r="BA139" s="1258"/>
      <c r="BB139" s="1258"/>
      <c r="BC139" s="1425"/>
      <c r="BD139" s="1424"/>
      <c r="BE139" s="1258"/>
      <c r="BF139" s="1258"/>
      <c r="BG139" s="1259"/>
      <c r="BH139" s="1258"/>
      <c r="BI139" s="1258"/>
      <c r="BJ139" s="1258"/>
      <c r="BK139" s="1259"/>
      <c r="BL139" s="1425"/>
      <c r="BM139" s="1425"/>
      <c r="BN139" s="1425"/>
      <c r="BO139" s="1426"/>
      <c r="BP139" s="23"/>
      <c r="BQ139" s="823"/>
      <c r="BR139" s="413"/>
      <c r="BS139" s="413"/>
      <c r="BT139" s="413"/>
      <c r="BU139" s="413"/>
      <c r="BV139" s="413"/>
      <c r="BW139" s="413"/>
      <c r="BX139" s="413"/>
      <c r="BY139" s="413"/>
      <c r="BZ139" s="413"/>
      <c r="CA139" s="413"/>
      <c r="CB139" s="413"/>
      <c r="CC139" s="17"/>
      <c r="CD139" s="17"/>
      <c r="CE139" s="17"/>
      <c r="CF139" s="253"/>
      <c r="CG139" s="25"/>
      <c r="CH139" s="8"/>
      <c r="CI139" s="8"/>
      <c r="CJ139" s="8"/>
      <c r="CK139" s="8"/>
    </row>
    <row r="140" spans="1:89" ht="14.25" customHeight="1">
      <c r="A140" s="634"/>
      <c r="B140" s="272" t="s">
        <v>156</v>
      </c>
      <c r="C140" s="304"/>
      <c r="D140" s="482">
        <f>IS!D$10</f>
        <v>580.53599999999994</v>
      </c>
      <c r="E140" s="482">
        <f>IS!E$10</f>
        <v>603.726</v>
      </c>
      <c r="F140" s="482">
        <f>IS!F$10</f>
        <v>582.41600000000005</v>
      </c>
      <c r="G140" s="492">
        <f>IS!G$10</f>
        <v>622.13</v>
      </c>
      <c r="H140" s="482">
        <f>IS!H$10</f>
        <v>556.62599999999998</v>
      </c>
      <c r="I140" s="482">
        <f>IS!I$10</f>
        <v>577.654</v>
      </c>
      <c r="J140" s="482">
        <f>IS!J$10</f>
        <v>598.91499999999996</v>
      </c>
      <c r="K140" s="492">
        <f>IS!K$10</f>
        <v>609.72400000000005</v>
      </c>
      <c r="L140" s="482">
        <f>IS!L$10</f>
        <v>626.26499999999999</v>
      </c>
      <c r="M140" s="482">
        <f>IS!M$10</f>
        <v>597.48299999999995</v>
      </c>
      <c r="N140" s="482">
        <f>IS!N$10</f>
        <v>617.43100000000004</v>
      </c>
      <c r="O140" s="492">
        <f>IS!O$10</f>
        <v>623.54200000000003</v>
      </c>
      <c r="P140" s="482">
        <f>IS!P$10</f>
        <v>613.90899999999999</v>
      </c>
      <c r="Q140" s="482">
        <f>IS!Q$10</f>
        <v>649.34</v>
      </c>
      <c r="R140" s="482">
        <f>IS!R$10</f>
        <v>658.98599999999999</v>
      </c>
      <c r="S140" s="492">
        <f>IS!S$10</f>
        <v>660.69600000000003</v>
      </c>
      <c r="T140" s="482">
        <f>IS!T$10</f>
        <v>476.56900000000002</v>
      </c>
      <c r="U140" s="482">
        <f>IS!U$10</f>
        <v>474.74799999999999</v>
      </c>
      <c r="V140" s="482">
        <f>IS!V$10</f>
        <v>491.99099999999999</v>
      </c>
      <c r="W140" s="492">
        <f>IS!W$10</f>
        <v>571.6</v>
      </c>
      <c r="X140" s="482">
        <f>IS!X$10</f>
        <v>602.98299999999995</v>
      </c>
      <c r="Y140" s="482">
        <f>IS!Y$10</f>
        <v>668.24</v>
      </c>
      <c r="Z140" s="482">
        <f>IS!Z$10</f>
        <v>720.29</v>
      </c>
      <c r="AA140" s="492">
        <f>IS!AA$10</f>
        <v>769.99</v>
      </c>
      <c r="AB140" s="482">
        <f>IS!AB$10</f>
        <v>728.50400000000002</v>
      </c>
      <c r="AC140" s="482">
        <f>IS!AC$10</f>
        <v>790.78</v>
      </c>
      <c r="AD140" s="482">
        <f>IS!AD$10</f>
        <v>757.90200000000004</v>
      </c>
      <c r="AE140" s="492">
        <f>IS!AE$10</f>
        <v>716.13400000000001</v>
      </c>
      <c r="AF140" s="311">
        <f>IS!AF$10</f>
        <v>648.05799999999999</v>
      </c>
      <c r="AG140" s="311">
        <f>IS!AG$10</f>
        <v>675.09400000000005</v>
      </c>
      <c r="AH140" s="482">
        <f>IS!AH$10</f>
        <v>683.02599999999995</v>
      </c>
      <c r="AI140" s="311">
        <f>IS!AI$10</f>
        <v>694.96400000000006</v>
      </c>
      <c r="AJ140" s="481">
        <f>IS!AJ$10</f>
        <v>622.13400000000001</v>
      </c>
      <c r="AK140" s="311">
        <f>IS!AK$10</f>
        <v>659.25</v>
      </c>
      <c r="AL140" s="482">
        <f>IS!AL$10</f>
        <v>674.17200000000003</v>
      </c>
      <c r="AM140" s="312">
        <f>IS!AM$10</f>
        <v>678.13300000000004</v>
      </c>
      <c r="AN140" s="311">
        <f>IS!AN$10</f>
        <v>628.23800000000006</v>
      </c>
      <c r="AO140" s="311">
        <f>IS!AO$10</f>
        <v>694.53599999999994</v>
      </c>
      <c r="AP140" s="482">
        <f>IS!AP$10</f>
        <v>727.75199999999995</v>
      </c>
      <c r="AQ140" s="312">
        <f>IS!AQ$10</f>
        <v>814.24699999999996</v>
      </c>
      <c r="AR140" s="311">
        <f>IS!AR$10</f>
        <v>771.98599999999999</v>
      </c>
      <c r="AS140" s="311">
        <f>IS!AS$10</f>
        <v>821.01900000000001</v>
      </c>
      <c r="AT140" s="482">
        <f>IS!AT$10</f>
        <v>863.36500000000001</v>
      </c>
      <c r="AU140" s="312">
        <f>IS!AU$10</f>
        <v>978.72199999999998</v>
      </c>
      <c r="AV140" s="482">
        <f>IS!AV$10</f>
        <v>769.42899999999997</v>
      </c>
      <c r="AW140" s="311">
        <f>IS!AW$10</f>
        <v>778.76599999999996</v>
      </c>
      <c r="AX140" s="482">
        <f>IS!AX$10</f>
        <v>869.59100000000001</v>
      </c>
      <c r="AY140" s="312">
        <f>IS!AY$10</f>
        <v>1003.623</v>
      </c>
      <c r="AZ140" s="482">
        <f>IS!AZ$10</f>
        <v>984.44899999999996</v>
      </c>
      <c r="BA140" s="311">
        <f>IS!BA$10</f>
        <v>1147.982</v>
      </c>
      <c r="BB140" s="311">
        <f>IS!BB$10</f>
        <v>1433.902</v>
      </c>
      <c r="BC140" s="311">
        <f>IS!BC$10</f>
        <v>1541.17</v>
      </c>
      <c r="BD140" s="481">
        <f>IS!BD$10</f>
        <v>1518.624</v>
      </c>
      <c r="BE140" s="311">
        <f>IS!BE$10</f>
        <v>1470.3748249999999</v>
      </c>
      <c r="BF140" s="311">
        <f>IS!BF$10</f>
        <v>1513.489729575</v>
      </c>
      <c r="BG140" s="312">
        <f>IS!BG$10</f>
        <v>1563.45136848375</v>
      </c>
      <c r="BH140" s="311">
        <f>IS!BH$10</f>
        <v>1482.0860465459623</v>
      </c>
      <c r="BI140" s="311">
        <f>IS!BI$10</f>
        <v>1549.845241612069</v>
      </c>
      <c r="BJ140" s="311">
        <f>IS!BJ$10</f>
        <v>1606.6790380731754</v>
      </c>
      <c r="BK140" s="312">
        <f>IS!BK$10</f>
        <v>1673.6521234376141</v>
      </c>
      <c r="BL140" s="311">
        <f>IS!BL$10</f>
        <v>1586.6755115959286</v>
      </c>
      <c r="BM140" s="311">
        <f>IS!BM$10</f>
        <v>1653.8186965940952</v>
      </c>
      <c r="BN140" s="311">
        <f>IS!BN$10</f>
        <v>1706.0026552512841</v>
      </c>
      <c r="BO140" s="312">
        <f>IS!BO$10</f>
        <v>1766.5735763092998</v>
      </c>
      <c r="BP140" s="1470"/>
      <c r="BQ140" s="935">
        <f>IS!BQ$10</f>
        <v>2388.808</v>
      </c>
      <c r="BR140" s="936">
        <f>IS!BR$10</f>
        <v>2342.9189999999999</v>
      </c>
      <c r="BS140" s="936">
        <f>IS!BS$10</f>
        <v>2464.721</v>
      </c>
      <c r="BT140" s="936">
        <f>IS!BT$10</f>
        <v>2582.931</v>
      </c>
      <c r="BU140" s="936">
        <f>IS!BU$10</f>
        <v>2014.9079999999999</v>
      </c>
      <c r="BV140" s="936">
        <f>IS!BV$10</f>
        <v>2761.5029999999997</v>
      </c>
      <c r="BW140" s="936">
        <f>IS!BW$10</f>
        <v>2993.32</v>
      </c>
      <c r="BX140" s="936">
        <f>IS!BX$10</f>
        <v>2701.1419999999998</v>
      </c>
      <c r="BY140" s="936">
        <f>IS!BY$10</f>
        <v>2633.6890000000003</v>
      </c>
      <c r="BZ140" s="936">
        <f>IS!BZ$10</f>
        <v>2864.7729999999997</v>
      </c>
      <c r="CA140" s="936">
        <f>IS!CA$10</f>
        <v>3435.0919999999996</v>
      </c>
      <c r="CB140" s="936">
        <f>IS!CB$10</f>
        <v>3421.4090000000001</v>
      </c>
      <c r="CC140" s="936">
        <f>IS!CC$10</f>
        <v>5107.5030000000006</v>
      </c>
      <c r="CD140" s="936">
        <f>IS!CD$10</f>
        <v>6065.9399230587496</v>
      </c>
      <c r="CE140" s="936">
        <f>IS!CE$10</f>
        <v>6312.2624496688204</v>
      </c>
      <c r="CF140" s="1266">
        <f>IS!CF$10</f>
        <v>6713.070439750607</v>
      </c>
      <c r="CG140" s="25"/>
      <c r="CH140" s="8"/>
      <c r="CI140" s="8"/>
      <c r="CJ140" s="8"/>
      <c r="CK140" s="8"/>
    </row>
    <row r="141" spans="1:89" s="923" customFormat="1" ht="14.25" customHeight="1">
      <c r="A141" s="11"/>
      <c r="B141" s="26"/>
      <c r="C141" s="27"/>
      <c r="D141" s="94"/>
      <c r="E141" s="94"/>
      <c r="F141" s="94"/>
      <c r="G141" s="95"/>
      <c r="H141" s="94"/>
      <c r="I141" s="94"/>
      <c r="J141" s="94"/>
      <c r="K141" s="95"/>
      <c r="L141" s="94"/>
      <c r="M141" s="94"/>
      <c r="N141" s="94"/>
      <c r="O141" s="95"/>
      <c r="P141" s="94"/>
      <c r="Q141" s="94"/>
      <c r="R141" s="94"/>
      <c r="S141" s="95"/>
      <c r="T141" s="94"/>
      <c r="U141" s="94"/>
      <c r="V141" s="94"/>
      <c r="W141" s="95"/>
      <c r="X141" s="94"/>
      <c r="Y141" s="94"/>
      <c r="Z141" s="94"/>
      <c r="AA141" s="95"/>
      <c r="AB141" s="94"/>
      <c r="AC141" s="94"/>
      <c r="AD141" s="94"/>
      <c r="AE141" s="95"/>
      <c r="AF141" s="94"/>
      <c r="AG141" s="94"/>
      <c r="AH141" s="94"/>
      <c r="AI141" s="94"/>
      <c r="AJ141" s="153"/>
      <c r="AK141" s="94"/>
      <c r="AL141" s="94"/>
      <c r="AM141" s="95"/>
      <c r="AN141" s="94"/>
      <c r="AO141" s="94"/>
      <c r="AP141" s="94"/>
      <c r="AQ141" s="95"/>
      <c r="AR141" s="94"/>
      <c r="AS141" s="94"/>
      <c r="AT141" s="94"/>
      <c r="AU141" s="95"/>
      <c r="AV141" s="94"/>
      <c r="AW141" s="94"/>
      <c r="AX141" s="94"/>
      <c r="AY141" s="1201"/>
      <c r="AZ141" s="1211"/>
      <c r="BA141" s="94"/>
      <c r="BB141" s="94"/>
      <c r="BC141" s="94"/>
      <c r="BD141" s="1464"/>
      <c r="BE141" s="94"/>
      <c r="BF141" s="94"/>
      <c r="BG141" s="94"/>
      <c r="BH141" s="1211"/>
      <c r="BI141" s="1211"/>
      <c r="BJ141" s="1211"/>
      <c r="BK141" s="1211"/>
      <c r="BL141" s="1389"/>
      <c r="BM141" s="1389"/>
      <c r="BN141" s="1389"/>
      <c r="BO141" s="1389"/>
      <c r="BP141" s="26"/>
      <c r="BQ141" s="26"/>
      <c r="BR141" s="70"/>
      <c r="BS141" s="70"/>
      <c r="BT141" s="70"/>
      <c r="BU141" s="70"/>
      <c r="BV141" s="70"/>
      <c r="BW141" s="70"/>
      <c r="BX141" s="70"/>
      <c r="BY141" s="70"/>
      <c r="BZ141" s="70"/>
      <c r="CA141" s="70"/>
      <c r="CB141" s="70"/>
      <c r="CC141" s="70"/>
      <c r="CD141" s="70"/>
      <c r="CE141" s="70"/>
      <c r="CF141" s="70"/>
      <c r="CG141" s="11"/>
      <c r="CH141" s="11"/>
      <c r="CI141" s="11"/>
      <c r="CJ141" s="11"/>
      <c r="CK141" s="11"/>
    </row>
    <row r="142" spans="1:89" s="923" customFormat="1" ht="14.25" customHeight="1">
      <c r="A142" s="11"/>
      <c r="B142" s="26" t="s">
        <v>551</v>
      </c>
      <c r="C142" s="27"/>
      <c r="D142" s="94"/>
      <c r="E142" s="94"/>
      <c r="F142" s="94"/>
      <c r="G142" s="95"/>
      <c r="H142" s="94"/>
      <c r="I142" s="94"/>
      <c r="J142" s="94"/>
      <c r="K142" s="95"/>
      <c r="L142" s="94"/>
      <c r="M142" s="94"/>
      <c r="N142" s="94"/>
      <c r="O142" s="95"/>
      <c r="P142" s="94"/>
      <c r="Q142" s="94"/>
      <c r="R142" s="94"/>
      <c r="S142" s="95"/>
      <c r="T142" s="94"/>
      <c r="U142" s="94"/>
      <c r="V142" s="94"/>
      <c r="W142" s="95"/>
      <c r="X142" s="94"/>
      <c r="Y142" s="94"/>
      <c r="Z142" s="94"/>
      <c r="AA142" s="95"/>
      <c r="AB142" s="94"/>
      <c r="AC142" s="94"/>
      <c r="AD142" s="94"/>
      <c r="AE142" s="95"/>
      <c r="AF142" s="94"/>
      <c r="AG142" s="94"/>
      <c r="AH142" s="94"/>
      <c r="AI142" s="94"/>
      <c r="AJ142" s="390"/>
      <c r="AK142" s="264"/>
      <c r="AL142" s="94"/>
      <c r="AM142" s="265"/>
      <c r="AN142" s="94"/>
      <c r="AO142" s="264"/>
      <c r="AP142" s="94"/>
      <c r="AQ142" s="265"/>
      <c r="AR142" s="94"/>
      <c r="AS142" s="94"/>
      <c r="AT142" s="94"/>
      <c r="AU142" s="265"/>
      <c r="AV142" s="94"/>
      <c r="AW142" s="94"/>
      <c r="AX142" s="94"/>
      <c r="AY142" s="94"/>
      <c r="AZ142" s="1464">
        <f t="shared" ref="AZ142:BB142" si="1210">AZ80+AZ33+AZ12</f>
        <v>714.04099999999994</v>
      </c>
      <c r="BA142" s="1464">
        <f t="shared" si="1210"/>
        <v>795.07500000000005</v>
      </c>
      <c r="BB142" s="1464">
        <f t="shared" si="1210"/>
        <v>1181.404</v>
      </c>
      <c r="BC142" s="1464">
        <f>BC80+BC33+BC12</f>
        <v>1227.796</v>
      </c>
      <c r="BD142" s="1464">
        <f>BD80+BD33+BD12</f>
        <v>1280.1179999999999</v>
      </c>
      <c r="BE142" s="94"/>
      <c r="BF142" s="94"/>
      <c r="BG142" s="94"/>
      <c r="BH142" s="1211"/>
      <c r="BI142" s="1211"/>
      <c r="BJ142" s="1211"/>
      <c r="BK142" s="1211"/>
      <c r="BL142" s="1389"/>
      <c r="BM142" s="1389"/>
      <c r="BN142" s="1389"/>
      <c r="BO142" s="1389"/>
      <c r="BP142" s="26"/>
      <c r="BQ142" s="26"/>
      <c r="BR142" s="70"/>
      <c r="BS142" s="70"/>
      <c r="BT142" s="70"/>
      <c r="BU142" s="70"/>
      <c r="BV142" s="70"/>
      <c r="BW142" s="70"/>
      <c r="BX142" s="70"/>
      <c r="BY142" s="70"/>
      <c r="BZ142" s="70"/>
      <c r="CA142" s="70"/>
      <c r="CB142" s="70"/>
      <c r="CC142" s="70"/>
      <c r="CD142" s="70"/>
      <c r="CE142" s="70"/>
      <c r="CF142" s="70"/>
      <c r="CG142" s="11"/>
      <c r="CH142" s="11"/>
      <c r="CI142" s="11"/>
      <c r="CJ142" s="11"/>
      <c r="CK142" s="11"/>
    </row>
    <row r="143" spans="1:89" s="923" customFormat="1" ht="14.25" customHeight="1">
      <c r="A143" s="11"/>
      <c r="B143" s="26"/>
      <c r="C143" s="27"/>
      <c r="D143" s="1389"/>
      <c r="E143" s="1389"/>
      <c r="F143" s="1389"/>
      <c r="G143" s="1322"/>
      <c r="H143" s="1389"/>
      <c r="I143" s="1389"/>
      <c r="J143" s="1389"/>
      <c r="K143" s="1322"/>
      <c r="L143" s="1389"/>
      <c r="M143" s="1389"/>
      <c r="N143" s="1389"/>
      <c r="O143" s="1322"/>
      <c r="P143" s="1389"/>
      <c r="Q143" s="1389"/>
      <c r="R143" s="1389"/>
      <c r="S143" s="1322"/>
      <c r="T143" s="1389"/>
      <c r="U143" s="1389"/>
      <c r="V143" s="1389"/>
      <c r="W143" s="1322"/>
      <c r="X143" s="1389"/>
      <c r="Y143" s="1389"/>
      <c r="Z143" s="1389"/>
      <c r="AA143" s="1322"/>
      <c r="AB143" s="1389"/>
      <c r="AC143" s="1389"/>
      <c r="AD143" s="1389"/>
      <c r="AE143" s="1322"/>
      <c r="AF143" s="1389"/>
      <c r="AG143" s="1389"/>
      <c r="AH143" s="1389"/>
      <c r="AI143" s="1389"/>
      <c r="AJ143" s="1291"/>
      <c r="AK143" s="1287"/>
      <c r="AL143" s="1389"/>
      <c r="AM143" s="1288"/>
      <c r="AN143" s="1389"/>
      <c r="AO143" s="1287"/>
      <c r="AP143" s="1389"/>
      <c r="AQ143" s="1288"/>
      <c r="AR143" s="1389"/>
      <c r="AS143" s="1389"/>
      <c r="AT143" s="1389"/>
      <c r="AU143" s="1288"/>
      <c r="AV143" s="1389"/>
      <c r="AW143" s="1389"/>
      <c r="AX143" s="1389"/>
      <c r="AY143" s="1389"/>
      <c r="AZ143" s="1389"/>
      <c r="BA143" s="1389"/>
      <c r="BB143" s="1389"/>
      <c r="BC143" s="1389"/>
      <c r="BD143" s="1389">
        <f>BD142/BC142-1</f>
        <v>4.2614571150256131E-2</v>
      </c>
      <c r="BE143" s="1389"/>
      <c r="BF143" s="1389"/>
      <c r="BG143" s="1389"/>
      <c r="BH143" s="1389"/>
      <c r="BI143" s="1389"/>
      <c r="BJ143" s="1389"/>
      <c r="BK143" s="1389"/>
      <c r="BL143" s="1389"/>
      <c r="BM143" s="1389"/>
      <c r="BN143" s="1389"/>
      <c r="BO143" s="1389"/>
      <c r="BP143" s="26"/>
      <c r="BQ143" s="26"/>
      <c r="BR143" s="70"/>
      <c r="BS143" s="70"/>
      <c r="BT143" s="70"/>
      <c r="BU143" s="70"/>
      <c r="BV143" s="70"/>
      <c r="BW143" s="70"/>
      <c r="BX143" s="70"/>
      <c r="BY143" s="70"/>
      <c r="BZ143" s="70"/>
      <c r="CA143" s="70"/>
      <c r="CB143" s="70"/>
      <c r="CC143" s="70"/>
      <c r="CD143" s="70"/>
      <c r="CE143" s="70"/>
      <c r="CF143" s="70"/>
      <c r="CG143" s="11"/>
      <c r="CH143" s="11"/>
      <c r="CI143" s="11"/>
      <c r="CJ143" s="11"/>
      <c r="CK143" s="11"/>
    </row>
    <row r="144" spans="1:89" s="923" customFormat="1" ht="14.25" customHeight="1">
      <c r="A144" s="11"/>
      <c r="B144" s="26"/>
      <c r="C144" s="27"/>
      <c r="D144" s="1389"/>
      <c r="E144" s="1389"/>
      <c r="F144" s="1389"/>
      <c r="G144" s="1322"/>
      <c r="H144" s="1389"/>
      <c r="I144" s="1389"/>
      <c r="J144" s="1389"/>
      <c r="K144" s="1322"/>
      <c r="L144" s="1389"/>
      <c r="M144" s="1389"/>
      <c r="N144" s="1389"/>
      <c r="O144" s="1322"/>
      <c r="P144" s="1389"/>
      <c r="Q144" s="1389"/>
      <c r="R144" s="1389"/>
      <c r="S144" s="1322"/>
      <c r="T144" s="1389"/>
      <c r="U144" s="1389"/>
      <c r="V144" s="1389"/>
      <c r="W144" s="1322"/>
      <c r="X144" s="1389"/>
      <c r="Y144" s="1389"/>
      <c r="Z144" s="1389"/>
      <c r="AA144" s="1322"/>
      <c r="AB144" s="1389"/>
      <c r="AC144" s="1389"/>
      <c r="AD144" s="1389"/>
      <c r="AE144" s="1322"/>
      <c r="AF144" s="1389"/>
      <c r="AG144" s="1389"/>
      <c r="AH144" s="1389"/>
      <c r="AI144" s="1389"/>
      <c r="AJ144" s="1291"/>
      <c r="AK144" s="1287"/>
      <c r="AL144" s="1389"/>
      <c r="AM144" s="1288"/>
      <c r="AN144" s="1389"/>
      <c r="AO144" s="1287"/>
      <c r="AP144" s="1389"/>
      <c r="AQ144" s="1288"/>
      <c r="AR144" s="1389"/>
      <c r="AS144" s="1389"/>
      <c r="AT144" s="1389"/>
      <c r="AU144" s="1288"/>
      <c r="AV144" s="1389"/>
      <c r="AW144" s="1389"/>
      <c r="AX144" s="1389"/>
      <c r="AY144" s="1389"/>
      <c r="AZ144" s="1389"/>
      <c r="BA144" s="1389"/>
      <c r="BB144" s="1389"/>
      <c r="BC144" s="1389"/>
      <c r="BD144" s="1389"/>
      <c r="BE144" s="1389"/>
      <c r="BF144" s="1389"/>
      <c r="BG144" s="1389"/>
      <c r="BH144" s="1389"/>
      <c r="BI144" s="1389"/>
      <c r="BJ144" s="1389"/>
      <c r="BK144" s="1389"/>
      <c r="BL144" s="1389"/>
      <c r="BM144" s="1389"/>
      <c r="BN144" s="1389"/>
      <c r="BO144" s="1389"/>
      <c r="BP144" s="26"/>
      <c r="BQ144" s="26"/>
      <c r="BR144" s="70"/>
      <c r="BS144" s="70"/>
      <c r="BT144" s="70"/>
      <c r="BU144" s="70"/>
      <c r="BV144" s="70"/>
      <c r="BW144" s="70"/>
      <c r="BX144" s="70"/>
      <c r="BY144" s="70"/>
      <c r="BZ144" s="70"/>
      <c r="CA144" s="70"/>
      <c r="CB144" s="70"/>
      <c r="CC144" s="70"/>
      <c r="CD144" s="70"/>
      <c r="CE144" s="70"/>
      <c r="CF144" s="70"/>
      <c r="CG144" s="11"/>
      <c r="CH144" s="11"/>
      <c r="CI144" s="11"/>
      <c r="CJ144" s="11"/>
      <c r="CK144" s="11"/>
    </row>
    <row r="145" spans="1:89" ht="14.25" customHeight="1">
      <c r="A145" s="634"/>
      <c r="B145" s="844" t="s">
        <v>317</v>
      </c>
      <c r="C145" s="845"/>
      <c r="D145" s="846"/>
      <c r="E145" s="846"/>
      <c r="F145" s="846"/>
      <c r="G145" s="847"/>
      <c r="H145" s="846"/>
      <c r="I145" s="846"/>
      <c r="J145" s="846"/>
      <c r="K145" s="847"/>
      <c r="L145" s="846"/>
      <c r="M145" s="846"/>
      <c r="N145" s="846"/>
      <c r="O145" s="847"/>
      <c r="P145" s="846"/>
      <c r="Q145" s="846"/>
      <c r="R145" s="846"/>
      <c r="S145" s="847"/>
      <c r="T145" s="846"/>
      <c r="U145" s="846"/>
      <c r="V145" s="846"/>
      <c r="W145" s="847"/>
      <c r="X145" s="846"/>
      <c r="Y145" s="846"/>
      <c r="Z145" s="846"/>
      <c r="AA145" s="847"/>
      <c r="AB145" s="846"/>
      <c r="AC145" s="846"/>
      <c r="AD145" s="846"/>
      <c r="AE145" s="847"/>
      <c r="AF145" s="846"/>
      <c r="AG145" s="846"/>
      <c r="AH145" s="846"/>
      <c r="AI145" s="846"/>
      <c r="AJ145" s="848"/>
      <c r="AK145" s="846"/>
      <c r="AL145" s="846"/>
      <c r="AM145" s="847"/>
      <c r="AN145" s="846"/>
      <c r="AO145" s="846"/>
      <c r="AP145" s="846"/>
      <c r="AQ145" s="847"/>
      <c r="AR145" s="846"/>
      <c r="AS145" s="846"/>
      <c r="AT145" s="846"/>
      <c r="AU145" s="847"/>
      <c r="AV145" s="846"/>
      <c r="AW145" s="846"/>
      <c r="AX145" s="846"/>
      <c r="AY145" s="847"/>
      <c r="AZ145" s="848"/>
      <c r="BA145" s="846"/>
      <c r="BB145" s="846"/>
      <c r="BC145" s="847"/>
      <c r="BD145" s="848"/>
      <c r="BE145" s="846"/>
      <c r="BF145" s="846"/>
      <c r="BG145" s="847"/>
      <c r="BH145" s="848"/>
      <c r="BI145" s="846"/>
      <c r="BJ145" s="846"/>
      <c r="BK145" s="847"/>
      <c r="BL145" s="848"/>
      <c r="BM145" s="846"/>
      <c r="BN145" s="846"/>
      <c r="BO145" s="847"/>
      <c r="BP145" s="23"/>
      <c r="BQ145" s="849"/>
      <c r="BR145" s="850"/>
      <c r="BS145" s="850"/>
      <c r="BT145" s="850"/>
      <c r="BU145" s="850"/>
      <c r="BV145" s="850"/>
      <c r="BW145" s="850"/>
      <c r="BX145" s="850"/>
      <c r="BY145" s="850"/>
      <c r="BZ145" s="850"/>
      <c r="CA145" s="850"/>
      <c r="CB145" s="850"/>
      <c r="CC145" s="850"/>
      <c r="CD145" s="850"/>
      <c r="CE145" s="850"/>
      <c r="CF145" s="845"/>
      <c r="CG145" s="25"/>
      <c r="CH145" s="8"/>
      <c r="CI145" s="8"/>
      <c r="CJ145" s="8"/>
      <c r="CK145" s="8"/>
    </row>
    <row r="146" spans="1:89" ht="14.25" hidden="1" customHeight="1" outlineLevel="1">
      <c r="A146" s="634"/>
      <c r="B146" s="1247" t="s">
        <v>581</v>
      </c>
      <c r="C146" s="1246"/>
      <c r="D146" s="1245"/>
      <c r="E146" s="1245"/>
      <c r="F146" s="1245"/>
      <c r="G146" s="1244"/>
      <c r="H146" s="1245"/>
      <c r="I146" s="1245"/>
      <c r="J146" s="1245"/>
      <c r="K146" s="1244"/>
      <c r="L146" s="1245"/>
      <c r="M146" s="1245"/>
      <c r="N146" s="1245"/>
      <c r="O146" s="1244"/>
      <c r="P146" s="1245"/>
      <c r="Q146" s="1245"/>
      <c r="R146" s="1245"/>
      <c r="S146" s="1244"/>
      <c r="T146" s="1245"/>
      <c r="U146" s="1245"/>
      <c r="V146" s="1245"/>
      <c r="W146" s="1244"/>
      <c r="X146" s="1245"/>
      <c r="Y146" s="1245"/>
      <c r="Z146" s="1245"/>
      <c r="AA146" s="1244"/>
      <c r="AB146" s="1243"/>
      <c r="AC146" s="1243"/>
      <c r="AD146" s="1243"/>
      <c r="AE146" s="1242"/>
      <c r="AF146" s="1243"/>
      <c r="AG146" s="1243"/>
      <c r="AH146" s="1243"/>
      <c r="AI146" s="1242"/>
      <c r="AJ146" s="1241"/>
      <c r="AK146" s="1243"/>
      <c r="AL146" s="1243"/>
      <c r="AM146" s="1242"/>
      <c r="AN146" s="1241"/>
      <c r="AO146" s="1243"/>
      <c r="AP146" s="1243"/>
      <c r="AQ146" s="1242"/>
      <c r="AR146" s="1241"/>
      <c r="AS146" s="1243"/>
      <c r="AT146" s="1243"/>
      <c r="AU146" s="1242"/>
      <c r="AV146" s="1243"/>
      <c r="AW146" s="1243"/>
      <c r="AX146" s="1243"/>
      <c r="AY146" s="1242"/>
      <c r="AZ146" s="1240"/>
      <c r="BA146" s="1239">
        <f>BA132*(1-BA147)</f>
        <v>48.5456084203039</v>
      </c>
      <c r="BB146" s="1239">
        <f>BB150+BB152+BB153+BB154</f>
        <v>84.160449665926208</v>
      </c>
      <c r="BC146" s="1239"/>
      <c r="BD146" s="1384"/>
      <c r="BE146" s="1385"/>
      <c r="BF146" s="1385"/>
      <c r="BG146" s="1388"/>
      <c r="BH146" s="1384"/>
      <c r="BI146" s="1385"/>
      <c r="BJ146" s="1385"/>
      <c r="BK146" s="1388"/>
      <c r="BL146" s="1384"/>
      <c r="BM146" s="1385"/>
      <c r="BN146" s="1385"/>
      <c r="BO146" s="1388"/>
      <c r="BP146" s="23"/>
      <c r="BQ146" s="25"/>
      <c r="BR146" s="17"/>
      <c r="BS146" s="17"/>
      <c r="BT146" s="17"/>
      <c r="BU146" s="17"/>
      <c r="BV146" s="17"/>
      <c r="BW146" s="17"/>
      <c r="BX146" s="17"/>
      <c r="BY146" s="17"/>
      <c r="BZ146" s="17"/>
      <c r="CA146" s="17"/>
      <c r="CB146" s="17"/>
      <c r="CC146" s="1265">
        <f>SUM(AZ146:BC146)</f>
        <v>132.70605808623012</v>
      </c>
      <c r="CD146" s="1265"/>
      <c r="CE146" s="1265"/>
      <c r="CF146" s="1459"/>
      <c r="CG146" s="25"/>
      <c r="CH146" s="8"/>
      <c r="CI146" s="8"/>
      <c r="CJ146" s="8"/>
      <c r="CK146" s="8"/>
    </row>
    <row r="147" spans="1:89" ht="14.25" hidden="1" customHeight="1" outlineLevel="1">
      <c r="A147" s="634"/>
      <c r="B147" s="1238" t="s">
        <v>582</v>
      </c>
      <c r="C147" s="1237"/>
      <c r="D147" s="1245"/>
      <c r="E147" s="1245"/>
      <c r="F147" s="1245"/>
      <c r="G147" s="1244"/>
      <c r="H147" s="1245"/>
      <c r="I147" s="1245"/>
      <c r="J147" s="1245"/>
      <c r="K147" s="1244"/>
      <c r="L147" s="1245"/>
      <c r="M147" s="1245"/>
      <c r="N147" s="1245"/>
      <c r="O147" s="1244"/>
      <c r="P147" s="1245"/>
      <c r="Q147" s="1245"/>
      <c r="R147" s="1245"/>
      <c r="S147" s="1244"/>
      <c r="T147" s="1245"/>
      <c r="U147" s="1245"/>
      <c r="V147" s="1245"/>
      <c r="W147" s="1244"/>
      <c r="X147" s="1245"/>
      <c r="Y147" s="1245"/>
      <c r="Z147" s="1245"/>
      <c r="AA147" s="1244"/>
      <c r="AB147" s="1245"/>
      <c r="AC147" s="1245"/>
      <c r="AD147" s="1245"/>
      <c r="AE147" s="1244"/>
      <c r="AF147" s="1245"/>
      <c r="AG147" s="1245"/>
      <c r="AH147" s="1245"/>
      <c r="AI147" s="1245"/>
      <c r="AJ147" s="1236"/>
      <c r="AK147" s="1245"/>
      <c r="AL147" s="1245"/>
      <c r="AM147" s="1244"/>
      <c r="AN147" s="1245"/>
      <c r="AO147" s="1245"/>
      <c r="AP147" s="1245"/>
      <c r="AQ147" s="1244"/>
      <c r="AR147" s="1245"/>
      <c r="AS147" s="1245"/>
      <c r="AT147" s="1245"/>
      <c r="AU147" s="1244"/>
      <c r="AV147" s="1245"/>
      <c r="AW147" s="1245"/>
      <c r="AX147" s="1245"/>
      <c r="AY147" s="1244"/>
      <c r="AZ147" s="1245">
        <v>0.76320922150940484</v>
      </c>
      <c r="BA147" s="1235">
        <f>76.695173669322%</f>
        <v>0.76695173669322003</v>
      </c>
      <c r="BB147" s="1245">
        <f>1-BB146/BB132</f>
        <v>0.78414913484468607</v>
      </c>
      <c r="BC147" s="1413"/>
      <c r="BD147" s="1411"/>
      <c r="BE147" s="1413"/>
      <c r="BF147" s="1413"/>
      <c r="BG147" s="1412"/>
      <c r="BH147" s="1411"/>
      <c r="BI147" s="1413"/>
      <c r="BJ147" s="1413"/>
      <c r="BK147" s="1412"/>
      <c r="BL147" s="1411"/>
      <c r="BM147" s="1413"/>
      <c r="BN147" s="1413"/>
      <c r="BO147" s="1412"/>
      <c r="BP147" s="23"/>
      <c r="BQ147" s="25"/>
      <c r="BR147" s="17"/>
      <c r="BS147" s="17"/>
      <c r="BT147" s="17"/>
      <c r="BU147" s="17"/>
      <c r="BV147" s="17"/>
      <c r="BW147" s="17"/>
      <c r="BX147" s="17"/>
      <c r="BY147" s="17"/>
      <c r="BZ147" s="17"/>
      <c r="CA147" s="17"/>
      <c r="CB147" s="1264"/>
      <c r="CC147" s="1245">
        <f>1-CC146/CC132</f>
        <v>0.84226067122378268</v>
      </c>
      <c r="CD147" s="1245"/>
      <c r="CE147" s="1413"/>
      <c r="CF147" s="1412"/>
      <c r="CG147" s="25"/>
      <c r="CH147" s="8"/>
      <c r="CI147" s="8"/>
      <c r="CJ147" s="8"/>
      <c r="CK147" s="8"/>
    </row>
    <row r="148" spans="1:89" ht="14.25" hidden="1" customHeight="1" outlineLevel="1">
      <c r="A148" s="634"/>
      <c r="B148" s="1238"/>
      <c r="C148" s="1237"/>
      <c r="D148" s="1245"/>
      <c r="E148" s="1245"/>
      <c r="F148" s="1245"/>
      <c r="G148" s="1244"/>
      <c r="H148" s="1245"/>
      <c r="I148" s="1245"/>
      <c r="J148" s="1245"/>
      <c r="K148" s="1244"/>
      <c r="L148" s="1245"/>
      <c r="M148" s="1245"/>
      <c r="N148" s="1245"/>
      <c r="O148" s="1244"/>
      <c r="P148" s="1245"/>
      <c r="Q148" s="1245"/>
      <c r="R148" s="1245"/>
      <c r="S148" s="1244"/>
      <c r="T148" s="1245"/>
      <c r="U148" s="1245"/>
      <c r="V148" s="1245"/>
      <c r="W148" s="1244"/>
      <c r="X148" s="1245"/>
      <c r="Y148" s="1245"/>
      <c r="Z148" s="1245"/>
      <c r="AA148" s="1244"/>
      <c r="AB148" s="1245"/>
      <c r="AC148" s="1245"/>
      <c r="AD148" s="1245"/>
      <c r="AE148" s="1244"/>
      <c r="AF148" s="1245"/>
      <c r="AG148" s="1245"/>
      <c r="AH148" s="1245"/>
      <c r="AI148" s="1245"/>
      <c r="AJ148" s="1236"/>
      <c r="AK148" s="1245"/>
      <c r="AL148" s="1245"/>
      <c r="AM148" s="1244"/>
      <c r="AN148" s="1245"/>
      <c r="AO148" s="1245"/>
      <c r="AP148" s="1245"/>
      <c r="AQ148" s="1244"/>
      <c r="AR148" s="1245"/>
      <c r="AS148" s="1245"/>
      <c r="AT148" s="1245"/>
      <c r="AU148" s="1244"/>
      <c r="AV148" s="1245"/>
      <c r="AW148" s="1245"/>
      <c r="AX148" s="1245"/>
      <c r="AY148" s="1244"/>
      <c r="AZ148" s="1245"/>
      <c r="BA148" s="1245"/>
      <c r="BB148" s="1245"/>
      <c r="BC148" s="1413"/>
      <c r="BD148" s="1411"/>
      <c r="BE148" s="1413"/>
      <c r="BF148" s="1413"/>
      <c r="BG148" s="1410"/>
      <c r="BH148" s="1409"/>
      <c r="BI148" s="1408"/>
      <c r="BJ148" s="1408"/>
      <c r="BK148" s="1410"/>
      <c r="BL148" s="1409"/>
      <c r="BM148" s="1408"/>
      <c r="BN148" s="1408"/>
      <c r="BO148" s="1410"/>
      <c r="BP148" s="23"/>
      <c r="BQ148" s="25"/>
      <c r="BR148" s="17"/>
      <c r="BS148" s="17"/>
      <c r="BT148" s="17"/>
      <c r="BU148" s="17"/>
      <c r="BV148" s="17"/>
      <c r="BW148" s="17"/>
      <c r="BX148" s="17"/>
      <c r="BY148" s="17"/>
      <c r="BZ148" s="17"/>
      <c r="CA148" s="17"/>
      <c r="CB148" s="1292"/>
      <c r="CC148" s="1245"/>
      <c r="CD148" s="1245"/>
      <c r="CE148" s="1413"/>
      <c r="CF148" s="1412"/>
      <c r="CG148" s="25"/>
      <c r="CH148" s="8"/>
      <c r="CI148" s="8"/>
      <c r="CJ148" s="8"/>
      <c r="CK148" s="8"/>
    </row>
    <row r="149" spans="1:89" ht="14.25" hidden="1" customHeight="1" outlineLevel="1">
      <c r="A149" s="634"/>
      <c r="B149" s="1299" t="s">
        <v>585</v>
      </c>
      <c r="C149" s="1237"/>
      <c r="D149" s="1245"/>
      <c r="E149" s="1245"/>
      <c r="F149" s="1245"/>
      <c r="G149" s="1244"/>
      <c r="H149" s="1245"/>
      <c r="I149" s="1245"/>
      <c r="J149" s="1245"/>
      <c r="K149" s="1244"/>
      <c r="L149" s="1245"/>
      <c r="M149" s="1245"/>
      <c r="N149" s="1245"/>
      <c r="O149" s="1244"/>
      <c r="P149" s="1245"/>
      <c r="Q149" s="1245"/>
      <c r="R149" s="1245"/>
      <c r="S149" s="1244"/>
      <c r="T149" s="1245"/>
      <c r="U149" s="1245"/>
      <c r="V149" s="1245"/>
      <c r="W149" s="1244"/>
      <c r="X149" s="1245"/>
      <c r="Y149" s="1245"/>
      <c r="Z149" s="1245"/>
      <c r="AA149" s="1244"/>
      <c r="AB149" s="1245"/>
      <c r="AC149" s="1245"/>
      <c r="AD149" s="1245"/>
      <c r="AE149" s="1244"/>
      <c r="AF149" s="1245"/>
      <c r="AG149" s="1245"/>
      <c r="AH149" s="1245"/>
      <c r="AI149" s="1245"/>
      <c r="AJ149" s="1236"/>
      <c r="AK149" s="1245"/>
      <c r="AL149" s="1245"/>
      <c r="AM149" s="1244"/>
      <c r="AN149" s="1245"/>
      <c r="AO149" s="1245"/>
      <c r="AP149" s="1245"/>
      <c r="AQ149" s="1244"/>
      <c r="AR149" s="1245"/>
      <c r="AS149" s="1245"/>
      <c r="AT149" s="1245"/>
      <c r="AU149" s="1244"/>
      <c r="AV149" s="1245"/>
      <c r="AW149" s="1245"/>
      <c r="AX149" s="1245"/>
      <c r="AY149" s="1244"/>
      <c r="AZ149" s="1245"/>
      <c r="BA149" s="1245"/>
      <c r="BB149" s="1245"/>
      <c r="BC149" s="1413"/>
      <c r="BD149" s="1411"/>
      <c r="BE149" s="1413"/>
      <c r="BF149" s="1413"/>
      <c r="BG149" s="1410"/>
      <c r="BH149" s="1409"/>
      <c r="BI149" s="1408"/>
      <c r="BJ149" s="1408"/>
      <c r="BK149" s="1410"/>
      <c r="BL149" s="1409"/>
      <c r="BM149" s="1408"/>
      <c r="BN149" s="1408"/>
      <c r="BO149" s="1410"/>
      <c r="BP149" s="23"/>
      <c r="BQ149" s="25"/>
      <c r="BR149" s="17"/>
      <c r="BS149" s="17"/>
      <c r="BT149" s="17"/>
      <c r="BU149" s="17"/>
      <c r="BV149" s="17"/>
      <c r="BW149" s="17"/>
      <c r="BX149" s="17"/>
      <c r="BY149" s="17"/>
      <c r="BZ149" s="17"/>
      <c r="CA149" s="17"/>
      <c r="CB149" s="1292"/>
      <c r="CC149" s="1245"/>
      <c r="CD149" s="1245"/>
      <c r="CE149" s="1413"/>
      <c r="CF149" s="1412"/>
      <c r="CG149" s="25"/>
      <c r="CH149" s="8"/>
      <c r="CI149" s="8"/>
      <c r="CJ149" s="8"/>
      <c r="CK149" s="8"/>
    </row>
    <row r="150" spans="1:89" ht="14.25" hidden="1" customHeight="1" outlineLevel="1">
      <c r="A150" s="634"/>
      <c r="B150" s="1298" t="s">
        <v>586</v>
      </c>
      <c r="C150" s="1237"/>
      <c r="D150" s="1245"/>
      <c r="E150" s="1245"/>
      <c r="F150" s="1245"/>
      <c r="G150" s="1244"/>
      <c r="H150" s="1245"/>
      <c r="I150" s="1245"/>
      <c r="J150" s="1245"/>
      <c r="K150" s="1244"/>
      <c r="L150" s="1245"/>
      <c r="M150" s="1245"/>
      <c r="N150" s="1245"/>
      <c r="O150" s="1244"/>
      <c r="P150" s="1245"/>
      <c r="Q150" s="1245"/>
      <c r="R150" s="1245"/>
      <c r="S150" s="1244"/>
      <c r="T150" s="1245"/>
      <c r="U150" s="1245"/>
      <c r="V150" s="1245"/>
      <c r="W150" s="1244"/>
      <c r="X150" s="1245"/>
      <c r="Y150" s="1245"/>
      <c r="Z150" s="1245"/>
      <c r="AA150" s="1244"/>
      <c r="AB150" s="1245"/>
      <c r="AC150" s="1245"/>
      <c r="AD150" s="1245"/>
      <c r="AE150" s="1244"/>
      <c r="AF150" s="1245"/>
      <c r="AG150" s="1245"/>
      <c r="AH150" s="1245"/>
      <c r="AI150" s="1245"/>
      <c r="AJ150" s="1236"/>
      <c r="AK150" s="1245"/>
      <c r="AL150" s="1245"/>
      <c r="AM150" s="1244"/>
      <c r="AN150" s="1245"/>
      <c r="AO150" s="1245"/>
      <c r="AP150" s="1245"/>
      <c r="AQ150" s="1244"/>
      <c r="AR150" s="1245"/>
      <c r="AS150" s="1245"/>
      <c r="AT150" s="1245"/>
      <c r="AU150" s="1244"/>
      <c r="AV150" s="1245"/>
      <c r="AW150" s="1245"/>
      <c r="AX150" s="1245"/>
      <c r="AY150" s="1244"/>
      <c r="AZ150" s="1245"/>
      <c r="BA150" s="1245"/>
      <c r="BB150" s="1297">
        <f>BB132*BB151</f>
        <v>27.293063997570005</v>
      </c>
      <c r="BC150" s="1297"/>
      <c r="BD150" s="1295"/>
      <c r="BE150" s="1297"/>
      <c r="BF150" s="1297"/>
      <c r="BG150" s="1296"/>
      <c r="BH150" s="1295"/>
      <c r="BI150" s="1297"/>
      <c r="BJ150" s="1297"/>
      <c r="BK150" s="1296"/>
      <c r="BL150" s="1295"/>
      <c r="BM150" s="1297"/>
      <c r="BN150" s="1297"/>
      <c r="BO150" s="1296"/>
      <c r="BP150" s="23"/>
      <c r="BQ150" s="25"/>
      <c r="BR150" s="17"/>
      <c r="BS150" s="17"/>
      <c r="BT150" s="17"/>
      <c r="BU150" s="17"/>
      <c r="BV150" s="17"/>
      <c r="BW150" s="17"/>
      <c r="BX150" s="17"/>
      <c r="BY150" s="17"/>
      <c r="BZ150" s="17"/>
      <c r="CA150" s="17"/>
      <c r="CB150" s="1292"/>
      <c r="CC150" s="1245"/>
      <c r="CD150" s="1245"/>
      <c r="CE150" s="1413"/>
      <c r="CF150" s="1412"/>
      <c r="CG150" s="25"/>
      <c r="CH150" s="8"/>
      <c r="CI150" s="8"/>
      <c r="CJ150" s="8"/>
      <c r="CK150" s="8"/>
    </row>
    <row r="151" spans="1:89" ht="14.25" hidden="1" customHeight="1" outlineLevel="1">
      <c r="A151" s="634"/>
      <c r="B151" s="1294" t="s">
        <v>587</v>
      </c>
      <c r="C151" s="1237"/>
      <c r="D151" s="1245"/>
      <c r="E151" s="1245"/>
      <c r="F151" s="1245"/>
      <c r="G151" s="1244"/>
      <c r="H151" s="1245"/>
      <c r="I151" s="1245"/>
      <c r="J151" s="1245"/>
      <c r="K151" s="1244"/>
      <c r="L151" s="1245"/>
      <c r="M151" s="1245"/>
      <c r="N151" s="1245"/>
      <c r="O151" s="1244"/>
      <c r="P151" s="1245"/>
      <c r="Q151" s="1245"/>
      <c r="R151" s="1245"/>
      <c r="S151" s="1244"/>
      <c r="T151" s="1245"/>
      <c r="U151" s="1245"/>
      <c r="V151" s="1245"/>
      <c r="W151" s="1244"/>
      <c r="X151" s="1245"/>
      <c r="Y151" s="1245"/>
      <c r="Z151" s="1245"/>
      <c r="AA151" s="1244"/>
      <c r="AB151" s="1245"/>
      <c r="AC151" s="1245"/>
      <c r="AD151" s="1245"/>
      <c r="AE151" s="1244"/>
      <c r="AF151" s="1245"/>
      <c r="AG151" s="1245"/>
      <c r="AH151" s="1245"/>
      <c r="AI151" s="1245"/>
      <c r="AJ151" s="1236"/>
      <c r="AK151" s="1245"/>
      <c r="AL151" s="1245"/>
      <c r="AM151" s="1244"/>
      <c r="AN151" s="1245"/>
      <c r="AO151" s="1245"/>
      <c r="AP151" s="1245"/>
      <c r="AQ151" s="1244"/>
      <c r="AR151" s="1245"/>
      <c r="AS151" s="1245"/>
      <c r="AT151" s="1245"/>
      <c r="AU151" s="1244"/>
      <c r="AV151" s="1245"/>
      <c r="AW151" s="1245"/>
      <c r="AX151" s="1245"/>
      <c r="AY151" s="1244"/>
      <c r="AZ151" s="1245"/>
      <c r="BA151" s="1286"/>
      <c r="BB151" s="1279">
        <v>7.0000000000000007E-2</v>
      </c>
      <c r="BC151" s="1286"/>
      <c r="BD151" s="1284"/>
      <c r="BE151" s="1286"/>
      <c r="BF151" s="1286"/>
      <c r="BG151" s="1285"/>
      <c r="BH151" s="1284"/>
      <c r="BI151" s="1286"/>
      <c r="BJ151" s="1286"/>
      <c r="BK151" s="1285"/>
      <c r="BL151" s="1284"/>
      <c r="BM151" s="1286"/>
      <c r="BN151" s="1286"/>
      <c r="BO151" s="1285"/>
      <c r="BP151" s="23"/>
      <c r="BQ151" s="25"/>
      <c r="BR151" s="17"/>
      <c r="BS151" s="17"/>
      <c r="BT151" s="17"/>
      <c r="BU151" s="17"/>
      <c r="BV151" s="17"/>
      <c r="BW151" s="17"/>
      <c r="BX151" s="17"/>
      <c r="BY151" s="17"/>
      <c r="BZ151" s="17"/>
      <c r="CA151" s="17"/>
      <c r="CB151" s="1292"/>
      <c r="CC151" s="1245"/>
      <c r="CD151" s="1245"/>
      <c r="CE151" s="1413"/>
      <c r="CF151" s="1412"/>
      <c r="CG151" s="25"/>
      <c r="CH151" s="8"/>
      <c r="CI151" s="8"/>
      <c r="CJ151" s="8"/>
      <c r="CK151" s="8"/>
    </row>
    <row r="152" spans="1:89" ht="14.25" hidden="1" customHeight="1" outlineLevel="1">
      <c r="A152" s="634"/>
      <c r="B152" s="1298" t="s">
        <v>588</v>
      </c>
      <c r="C152" s="1237"/>
      <c r="D152" s="1245"/>
      <c r="E152" s="1245"/>
      <c r="F152" s="1245"/>
      <c r="G152" s="1244"/>
      <c r="H152" s="1245"/>
      <c r="I152" s="1245"/>
      <c r="J152" s="1245"/>
      <c r="K152" s="1244"/>
      <c r="L152" s="1245"/>
      <c r="M152" s="1245"/>
      <c r="N152" s="1245"/>
      <c r="O152" s="1244"/>
      <c r="P152" s="1245"/>
      <c r="Q152" s="1245"/>
      <c r="R152" s="1245"/>
      <c r="S152" s="1244"/>
      <c r="T152" s="1245"/>
      <c r="U152" s="1245"/>
      <c r="V152" s="1245"/>
      <c r="W152" s="1244"/>
      <c r="X152" s="1245"/>
      <c r="Y152" s="1245"/>
      <c r="Z152" s="1245"/>
      <c r="AA152" s="1244"/>
      <c r="AB152" s="1245"/>
      <c r="AC152" s="1245"/>
      <c r="AD152" s="1245"/>
      <c r="AE152" s="1244"/>
      <c r="AF152" s="1245"/>
      <c r="AG152" s="1245"/>
      <c r="AH152" s="1245"/>
      <c r="AI152" s="1245"/>
      <c r="AJ152" s="1236"/>
      <c r="AK152" s="1245"/>
      <c r="AL152" s="1245"/>
      <c r="AM152" s="1244"/>
      <c r="AN152" s="1245"/>
      <c r="AO152" s="1245"/>
      <c r="AP152" s="1245"/>
      <c r="AQ152" s="1244"/>
      <c r="AR152" s="1245"/>
      <c r="AS152" s="1245"/>
      <c r="AT152" s="1245"/>
      <c r="AU152" s="1244"/>
      <c r="AV152" s="1245"/>
      <c r="AW152" s="1245"/>
      <c r="AX152" s="1245"/>
      <c r="AY152" s="1244"/>
      <c r="AZ152" s="1245"/>
      <c r="BA152" s="1297"/>
      <c r="BB152" s="1297">
        <f>0.01*(BB132-BB150-BB153-BB154-BB136*31%)</f>
        <v>1.8673856683562</v>
      </c>
      <c r="BC152" s="1297"/>
      <c r="BD152" s="1295"/>
      <c r="BE152" s="1297"/>
      <c r="BF152" s="1297"/>
      <c r="BG152" s="1296"/>
      <c r="BH152" s="1295"/>
      <c r="BI152" s="1297"/>
      <c r="BJ152" s="1297"/>
      <c r="BK152" s="1296"/>
      <c r="BL152" s="1295"/>
      <c r="BM152" s="1297"/>
      <c r="BN152" s="1297"/>
      <c r="BO152" s="1296"/>
      <c r="BP152" s="23"/>
      <c r="BQ152" s="25"/>
      <c r="BR152" s="17"/>
      <c r="BS152" s="17"/>
      <c r="BT152" s="17"/>
      <c r="BU152" s="17"/>
      <c r="BV152" s="17"/>
      <c r="BW152" s="17"/>
      <c r="BX152" s="17"/>
      <c r="BY152" s="17"/>
      <c r="BZ152" s="17"/>
      <c r="CA152" s="17"/>
      <c r="CB152" s="1292"/>
      <c r="CC152" s="1245"/>
      <c r="CD152" s="1245"/>
      <c r="CE152" s="1413"/>
      <c r="CF152" s="1412"/>
      <c r="CG152" s="25"/>
      <c r="CH152" s="8"/>
      <c r="CI152" s="8"/>
      <c r="CJ152" s="8"/>
      <c r="CK152" s="8"/>
    </row>
    <row r="153" spans="1:89" ht="14.25" hidden="1" customHeight="1" outlineLevel="1">
      <c r="A153" s="634"/>
      <c r="B153" s="1298" t="s">
        <v>252</v>
      </c>
      <c r="C153" s="1237"/>
      <c r="D153" s="1245"/>
      <c r="E153" s="1245"/>
      <c r="F153" s="1245"/>
      <c r="G153" s="1244"/>
      <c r="H153" s="1245"/>
      <c r="I153" s="1245"/>
      <c r="J153" s="1245"/>
      <c r="K153" s="1244"/>
      <c r="L153" s="1245"/>
      <c r="M153" s="1245"/>
      <c r="N153" s="1245"/>
      <c r="O153" s="1244"/>
      <c r="P153" s="1245"/>
      <c r="Q153" s="1245"/>
      <c r="R153" s="1245"/>
      <c r="S153" s="1244"/>
      <c r="T153" s="1245"/>
      <c r="U153" s="1245"/>
      <c r="V153" s="1245"/>
      <c r="W153" s="1244"/>
      <c r="X153" s="1245"/>
      <c r="Y153" s="1245"/>
      <c r="Z153" s="1245"/>
      <c r="AA153" s="1244"/>
      <c r="AB153" s="1245"/>
      <c r="AC153" s="1245"/>
      <c r="AD153" s="1245"/>
      <c r="AE153" s="1244"/>
      <c r="AF153" s="1245"/>
      <c r="AG153" s="1245"/>
      <c r="AH153" s="1245"/>
      <c r="AI153" s="1245"/>
      <c r="AJ153" s="1236"/>
      <c r="AK153" s="1245"/>
      <c r="AL153" s="1245"/>
      <c r="AM153" s="1244"/>
      <c r="AN153" s="1245"/>
      <c r="AO153" s="1245"/>
      <c r="AP153" s="1245"/>
      <c r="AQ153" s="1244"/>
      <c r="AR153" s="1245"/>
      <c r="AS153" s="1245"/>
      <c r="AT153" s="1245"/>
      <c r="AU153" s="1244"/>
      <c r="AV153" s="1245"/>
      <c r="AW153" s="1245"/>
      <c r="AX153" s="1245"/>
      <c r="AY153" s="1244"/>
      <c r="AZ153" s="1245"/>
      <c r="BA153" s="1278">
        <v>15</v>
      </c>
      <c r="BB153" s="1278">
        <v>15</v>
      </c>
      <c r="BC153" s="1416"/>
      <c r="BD153" s="1414"/>
      <c r="BE153" s="1416"/>
      <c r="BF153" s="1416"/>
      <c r="BG153" s="1415"/>
      <c r="BH153" s="1414"/>
      <c r="BI153" s="1416"/>
      <c r="BJ153" s="1416"/>
      <c r="BK153" s="1415"/>
      <c r="BL153" s="1414"/>
      <c r="BM153" s="1416"/>
      <c r="BN153" s="1416"/>
      <c r="BO153" s="1415"/>
      <c r="BP153" s="23"/>
      <c r="BQ153" s="25"/>
      <c r="BR153" s="17"/>
      <c r="BS153" s="17"/>
      <c r="BT153" s="17"/>
      <c r="BU153" s="17"/>
      <c r="BV153" s="17"/>
      <c r="BW153" s="17"/>
      <c r="BX153" s="17"/>
      <c r="BY153" s="17"/>
      <c r="BZ153" s="17"/>
      <c r="CA153" s="17"/>
      <c r="CB153" s="1292"/>
      <c r="CC153" s="1245"/>
      <c r="CD153" s="1245"/>
      <c r="CE153" s="1413"/>
      <c r="CF153" s="1412"/>
      <c r="CG153" s="25"/>
      <c r="CH153" s="8"/>
      <c r="CI153" s="8"/>
      <c r="CJ153" s="8"/>
      <c r="CK153" s="8"/>
    </row>
    <row r="154" spans="1:89" ht="14.25" hidden="1" customHeight="1" outlineLevel="1">
      <c r="A154" s="634"/>
      <c r="B154" s="1298" t="s">
        <v>589</v>
      </c>
      <c r="C154" s="1237"/>
      <c r="D154" s="1245"/>
      <c r="E154" s="1245"/>
      <c r="F154" s="1245"/>
      <c r="G154" s="1244"/>
      <c r="H154" s="1245"/>
      <c r="I154" s="1245"/>
      <c r="J154" s="1245"/>
      <c r="K154" s="1244"/>
      <c r="L154" s="1245"/>
      <c r="M154" s="1245"/>
      <c r="N154" s="1245"/>
      <c r="O154" s="1244"/>
      <c r="P154" s="1245"/>
      <c r="Q154" s="1245"/>
      <c r="R154" s="1245"/>
      <c r="S154" s="1244"/>
      <c r="T154" s="1245"/>
      <c r="U154" s="1245"/>
      <c r="V154" s="1245"/>
      <c r="W154" s="1244"/>
      <c r="X154" s="1245"/>
      <c r="Y154" s="1245"/>
      <c r="Z154" s="1245"/>
      <c r="AA154" s="1244"/>
      <c r="AB154" s="1245"/>
      <c r="AC154" s="1245"/>
      <c r="AD154" s="1245"/>
      <c r="AE154" s="1244"/>
      <c r="AF154" s="1245"/>
      <c r="AG154" s="1245"/>
      <c r="AH154" s="1245"/>
      <c r="AI154" s="1245"/>
      <c r="AJ154" s="1236"/>
      <c r="AK154" s="1245"/>
      <c r="AL154" s="1245"/>
      <c r="AM154" s="1244"/>
      <c r="AN154" s="1245"/>
      <c r="AO154" s="1245"/>
      <c r="AP154" s="1245"/>
      <c r="AQ154" s="1244"/>
      <c r="AR154" s="1245"/>
      <c r="AS154" s="1245"/>
      <c r="AT154" s="1245"/>
      <c r="AU154" s="1244"/>
      <c r="AV154" s="1245"/>
      <c r="AW154" s="1245"/>
      <c r="AX154" s="1245"/>
      <c r="AY154" s="1244"/>
      <c r="AZ154" s="1245"/>
      <c r="BA154" s="1297"/>
      <c r="BB154" s="1278">
        <v>40</v>
      </c>
      <c r="BC154" s="1416"/>
      <c r="BD154" s="1414"/>
      <c r="BE154" s="1416"/>
      <c r="BF154" s="1416"/>
      <c r="BG154" s="1415"/>
      <c r="BH154" s="1414"/>
      <c r="BI154" s="1416"/>
      <c r="BJ154" s="1416"/>
      <c r="BK154" s="1415"/>
      <c r="BL154" s="1414"/>
      <c r="BM154" s="1416"/>
      <c r="BN154" s="1416"/>
      <c r="BO154" s="1415"/>
      <c r="BP154" s="23"/>
      <c r="BQ154" s="25"/>
      <c r="BR154" s="17"/>
      <c r="BS154" s="17"/>
      <c r="BT154" s="17"/>
      <c r="BU154" s="17"/>
      <c r="BV154" s="17"/>
      <c r="BW154" s="17"/>
      <c r="BX154" s="17"/>
      <c r="BY154" s="17"/>
      <c r="BZ154" s="17"/>
      <c r="CA154" s="17"/>
      <c r="CB154" s="1292"/>
      <c r="CC154" s="1245"/>
      <c r="CD154" s="1245"/>
      <c r="CE154" s="1413"/>
      <c r="CF154" s="1412"/>
      <c r="CG154" s="25"/>
      <c r="CH154" s="8"/>
      <c r="CI154" s="8"/>
      <c r="CJ154" s="8"/>
      <c r="CK154" s="8"/>
    </row>
    <row r="155" spans="1:89" ht="14.25" hidden="1" customHeight="1" outlineLevel="1">
      <c r="A155" s="634"/>
      <c r="B155" s="1298"/>
      <c r="C155" s="1237"/>
      <c r="D155" s="1245"/>
      <c r="E155" s="1245"/>
      <c r="F155" s="1245"/>
      <c r="G155" s="1244"/>
      <c r="H155" s="1245"/>
      <c r="I155" s="1245"/>
      <c r="J155" s="1245"/>
      <c r="K155" s="1244"/>
      <c r="L155" s="1245"/>
      <c r="M155" s="1245"/>
      <c r="N155" s="1245"/>
      <c r="O155" s="1244"/>
      <c r="P155" s="1245"/>
      <c r="Q155" s="1245"/>
      <c r="R155" s="1245"/>
      <c r="S155" s="1244"/>
      <c r="T155" s="1245"/>
      <c r="U155" s="1245"/>
      <c r="V155" s="1245"/>
      <c r="W155" s="1244"/>
      <c r="X155" s="1245"/>
      <c r="Y155" s="1245"/>
      <c r="Z155" s="1245"/>
      <c r="AA155" s="1244"/>
      <c r="AB155" s="1245"/>
      <c r="AC155" s="1245"/>
      <c r="AD155" s="1245"/>
      <c r="AE155" s="1244"/>
      <c r="AF155" s="1245"/>
      <c r="AG155" s="1245"/>
      <c r="AH155" s="1245"/>
      <c r="AI155" s="1245"/>
      <c r="AJ155" s="1236"/>
      <c r="AK155" s="1245"/>
      <c r="AL155" s="1245"/>
      <c r="AM155" s="1244"/>
      <c r="AN155" s="1245"/>
      <c r="AO155" s="1245"/>
      <c r="AP155" s="1245"/>
      <c r="AQ155" s="1244"/>
      <c r="AR155" s="1245"/>
      <c r="AS155" s="1245"/>
      <c r="AT155" s="1245"/>
      <c r="AU155" s="1244"/>
      <c r="AV155" s="1245"/>
      <c r="AW155" s="1245"/>
      <c r="AX155" s="1245"/>
      <c r="AY155" s="1244"/>
      <c r="AZ155" s="1245"/>
      <c r="BA155" s="1297"/>
      <c r="BB155" s="1278"/>
      <c r="BC155" s="1416"/>
      <c r="BD155" s="1414"/>
      <c r="BE155" s="1416"/>
      <c r="BF155" s="1416"/>
      <c r="BG155" s="1415"/>
      <c r="BH155" s="1414"/>
      <c r="BI155" s="1416"/>
      <c r="BJ155" s="1416"/>
      <c r="BK155" s="1415"/>
      <c r="BL155" s="1414"/>
      <c r="BM155" s="1416"/>
      <c r="BN155" s="1416"/>
      <c r="BO155" s="1415"/>
      <c r="BP155" s="23"/>
      <c r="BQ155" s="25"/>
      <c r="BR155" s="17"/>
      <c r="BS155" s="17"/>
      <c r="BT155" s="17"/>
      <c r="BU155" s="17"/>
      <c r="BV155" s="17"/>
      <c r="BW155" s="17"/>
      <c r="BX155" s="17"/>
      <c r="BY155" s="17"/>
      <c r="BZ155" s="17"/>
      <c r="CA155" s="17"/>
      <c r="CB155" s="1324"/>
      <c r="CC155" s="1245"/>
      <c r="CD155" s="1245"/>
      <c r="CE155" s="1413"/>
      <c r="CF155" s="1412"/>
      <c r="CG155" s="25"/>
      <c r="CH155" s="8"/>
      <c r="CI155" s="8"/>
      <c r="CJ155" s="8"/>
      <c r="CK155" s="8"/>
    </row>
    <row r="156" spans="1:89" ht="14.25" hidden="1" customHeight="1" outlineLevel="1">
      <c r="A156" s="634"/>
      <c r="B156" s="25"/>
      <c r="C156" s="253"/>
      <c r="D156" s="1253"/>
      <c r="E156" s="1253"/>
      <c r="F156" s="1253"/>
      <c r="G156" s="1254"/>
      <c r="H156" s="1253"/>
      <c r="I156" s="1253"/>
      <c r="J156" s="1253"/>
      <c r="K156" s="1254"/>
      <c r="L156" s="1253"/>
      <c r="M156" s="1253"/>
      <c r="N156" s="1253"/>
      <c r="O156" s="1254"/>
      <c r="P156" s="1253"/>
      <c r="Q156" s="1253"/>
      <c r="R156" s="1253"/>
      <c r="S156" s="1254"/>
      <c r="T156" s="1253"/>
      <c r="U156" s="1253"/>
      <c r="V156" s="1253"/>
      <c r="W156" s="1254"/>
      <c r="X156" s="1253"/>
      <c r="Y156" s="1253"/>
      <c r="Z156" s="1253"/>
      <c r="AA156" s="1254"/>
      <c r="AB156" s="1253"/>
      <c r="AC156" s="1253"/>
      <c r="AD156" s="1253"/>
      <c r="AE156" s="1254"/>
      <c r="AF156" s="1258"/>
      <c r="AG156" s="1258"/>
      <c r="AH156" s="1258"/>
      <c r="AI156" s="1258"/>
      <c r="AJ156" s="1260"/>
      <c r="AK156" s="1258"/>
      <c r="AL156" s="1258"/>
      <c r="AM156" s="1259"/>
      <c r="AN156" s="1260"/>
      <c r="AO156" s="1258"/>
      <c r="AP156" s="1258"/>
      <c r="AQ156" s="1259"/>
      <c r="AR156" s="1260"/>
      <c r="AS156" s="1258"/>
      <c r="AT156" s="1258"/>
      <c r="AU156" s="1259"/>
      <c r="AV156" s="1258"/>
      <c r="AW156" s="1258"/>
      <c r="AX156" s="1258"/>
      <c r="AY156" s="1259"/>
      <c r="AZ156" s="1258"/>
      <c r="BA156" s="1258"/>
      <c r="BB156" s="1258"/>
      <c r="BC156" s="1395"/>
      <c r="BD156" s="1394"/>
      <c r="BE156" s="1395"/>
      <c r="BF156" s="1395"/>
      <c r="BG156" s="1397"/>
      <c r="BH156" s="1394"/>
      <c r="BI156" s="1395"/>
      <c r="BJ156" s="1395"/>
      <c r="BK156" s="1397"/>
      <c r="BL156" s="1424"/>
      <c r="BM156" s="1425"/>
      <c r="BN156" s="1425"/>
      <c r="BO156" s="1426"/>
      <c r="BP156" s="23"/>
      <c r="BQ156" s="25"/>
      <c r="BR156" s="17"/>
      <c r="BS156" s="17"/>
      <c r="BT156" s="17"/>
      <c r="BU156" s="17"/>
      <c r="BV156" s="17"/>
      <c r="BW156" s="17"/>
      <c r="BX156" s="17"/>
      <c r="BY156" s="17"/>
      <c r="BZ156" s="17"/>
      <c r="CA156" s="17"/>
      <c r="CB156" s="17"/>
      <c r="CC156" s="17"/>
      <c r="CD156" s="17"/>
      <c r="CE156" s="17"/>
      <c r="CF156" s="253"/>
      <c r="CG156" s="25"/>
      <c r="CH156" s="8"/>
      <c r="CI156" s="8"/>
      <c r="CJ156" s="8"/>
      <c r="CK156" s="8"/>
    </row>
    <row r="157" spans="1:89" ht="14.25" customHeight="1" collapsed="1">
      <c r="A157" s="634"/>
      <c r="B157" s="1248" t="s">
        <v>580</v>
      </c>
      <c r="C157" s="253"/>
      <c r="D157" s="1253"/>
      <c r="E157" s="1253"/>
      <c r="F157" s="1253"/>
      <c r="G157" s="1254"/>
      <c r="H157" s="1253"/>
      <c r="I157" s="1253"/>
      <c r="J157" s="1253"/>
      <c r="K157" s="1254"/>
      <c r="L157" s="1253"/>
      <c r="M157" s="1253"/>
      <c r="N157" s="1253"/>
      <c r="O157" s="1254"/>
      <c r="P157" s="1253"/>
      <c r="Q157" s="1253"/>
      <c r="R157" s="1253"/>
      <c r="S157" s="1254"/>
      <c r="T157" s="1253"/>
      <c r="U157" s="1253"/>
      <c r="V157" s="1253"/>
      <c r="W157" s="1254"/>
      <c r="X157" s="1253"/>
      <c r="Y157" s="1253"/>
      <c r="Z157" s="1253"/>
      <c r="AA157" s="1254"/>
      <c r="AB157" s="1253"/>
      <c r="AC157" s="1253"/>
      <c r="AD157" s="1253"/>
      <c r="AE157" s="1254"/>
      <c r="AF157" s="1258"/>
      <c r="AG157" s="1258"/>
      <c r="AH157" s="1258"/>
      <c r="AI157" s="1258"/>
      <c r="AJ157" s="1260"/>
      <c r="AK157" s="1258"/>
      <c r="AL157" s="1258"/>
      <c r="AM157" s="1259"/>
      <c r="AN157" s="1260"/>
      <c r="AO157" s="1258"/>
      <c r="AP157" s="1258"/>
      <c r="AQ157" s="1259"/>
      <c r="AR157" s="1260"/>
      <c r="AS157" s="1258"/>
      <c r="AT157" s="1258"/>
      <c r="AU157" s="1259"/>
      <c r="AV157" s="1258"/>
      <c r="AW157" s="1258"/>
      <c r="AX157" s="1258"/>
      <c r="AY157" s="1259"/>
      <c r="AZ157" s="1258"/>
      <c r="BA157" s="1258"/>
      <c r="BB157" s="1258"/>
      <c r="BC157" s="1395"/>
      <c r="BD157" s="1394"/>
      <c r="BE157" s="1395"/>
      <c r="BF157" s="1395"/>
      <c r="BG157" s="1397"/>
      <c r="BH157" s="1394"/>
      <c r="BI157" s="1395"/>
      <c r="BJ157" s="1395"/>
      <c r="BK157" s="1397"/>
      <c r="BL157" s="1424"/>
      <c r="BM157" s="1425"/>
      <c r="BN157" s="1425"/>
      <c r="BO157" s="1426"/>
      <c r="BP157" s="23"/>
      <c r="BQ157" s="25"/>
      <c r="BR157" s="17"/>
      <c r="BS157" s="17"/>
      <c r="BT157" s="17"/>
      <c r="BU157" s="17"/>
      <c r="BV157" s="17"/>
      <c r="BW157" s="17"/>
      <c r="BX157" s="17"/>
      <c r="BY157" s="17"/>
      <c r="BZ157" s="17"/>
      <c r="CA157" s="17"/>
      <c r="CB157" s="17"/>
      <c r="CC157" s="17"/>
      <c r="CD157" s="17"/>
      <c r="CE157" s="17"/>
      <c r="CF157" s="253"/>
      <c r="CG157" s="25"/>
      <c r="CH157" s="8"/>
      <c r="CI157" s="8"/>
      <c r="CJ157" s="8"/>
      <c r="CK157" s="8"/>
    </row>
    <row r="158" spans="1:89" ht="14.25" customHeight="1">
      <c r="A158" s="634"/>
      <c r="B158" s="344" t="s">
        <v>159</v>
      </c>
      <c r="C158" s="253"/>
      <c r="D158" s="94"/>
      <c r="E158" s="94"/>
      <c r="F158" s="94"/>
      <c r="G158" s="95"/>
      <c r="H158" s="94"/>
      <c r="I158" s="94"/>
      <c r="J158" s="94"/>
      <c r="K158" s="95"/>
      <c r="L158" s="94"/>
      <c r="M158" s="94"/>
      <c r="N158" s="94"/>
      <c r="O158" s="95"/>
      <c r="P158" s="94"/>
      <c r="Q158" s="94"/>
      <c r="R158" s="94"/>
      <c r="S158" s="95"/>
      <c r="T158" s="94"/>
      <c r="U158" s="94"/>
      <c r="V158" s="94"/>
      <c r="W158" s="95"/>
      <c r="X158" s="94"/>
      <c r="Y158" s="94"/>
      <c r="Z158" s="94"/>
      <c r="AA158" s="95"/>
      <c r="AB158" s="907">
        <f>+IS!AB23</f>
        <v>246.33099999999999</v>
      </c>
      <c r="AC158" s="907">
        <f>+IS!AC23</f>
        <v>256.56599999999997</v>
      </c>
      <c r="AD158" s="907">
        <f>+IS!AD23</f>
        <v>248.262</v>
      </c>
      <c r="AE158" s="908">
        <f>+IS!AE23</f>
        <v>255.62</v>
      </c>
      <c r="AF158" s="909">
        <f>+IS!AF23</f>
        <v>238.66800000000001</v>
      </c>
      <c r="AG158" s="909">
        <f>+IS!AG23</f>
        <v>234.63900000000001</v>
      </c>
      <c r="AH158" s="909">
        <f>+IS!AH23</f>
        <v>235.15199999999999</v>
      </c>
      <c r="AI158" s="908">
        <f>+IS!AI23</f>
        <v>251.68199999999999</v>
      </c>
      <c r="AJ158" s="920">
        <f>+IS!AJ23</f>
        <v>231.85</v>
      </c>
      <c r="AK158" s="909">
        <f>+IS!AK23</f>
        <v>237.05500000000001</v>
      </c>
      <c r="AL158" s="909">
        <f>+IS!AL23</f>
        <v>239.11</v>
      </c>
      <c r="AM158" s="908">
        <f>+IS!AM23</f>
        <v>233.26300000000001</v>
      </c>
      <c r="AN158" s="920">
        <f>+IS!AN23</f>
        <v>219.12</v>
      </c>
      <c r="AO158" s="909">
        <f>+IS!AO23</f>
        <v>235.79300000000001</v>
      </c>
      <c r="AP158" s="909">
        <f>+IS!AP23</f>
        <v>251.46199999999999</v>
      </c>
      <c r="AQ158" s="908">
        <f>+IS!AQ23</f>
        <v>328.21</v>
      </c>
      <c r="AR158" s="920">
        <f>+IS!AR23</f>
        <v>268.37900000000002</v>
      </c>
      <c r="AS158" s="909">
        <f>+IS!AS23</f>
        <v>276.197</v>
      </c>
      <c r="AT158" s="909">
        <f>+IS!AT23</f>
        <v>294.32799999999997</v>
      </c>
      <c r="AU158" s="908">
        <f>+IS!AU23</f>
        <v>336.92599999999999</v>
      </c>
      <c r="AV158" s="909">
        <f>+IS!AV23</f>
        <v>292.13600000000002</v>
      </c>
      <c r="AW158" s="909">
        <f>+IS!AW23</f>
        <v>267.863</v>
      </c>
      <c r="AX158" s="909">
        <f>+IS!AX23</f>
        <v>297.30099999999999</v>
      </c>
      <c r="AY158" s="908">
        <f>+IS!AY23</f>
        <v>336.93599999999998</v>
      </c>
      <c r="AZ158" s="909">
        <f>+IS!AZ23</f>
        <v>335.94499999999999</v>
      </c>
      <c r="BA158" s="909">
        <f>+IS!BA28-BA146</f>
        <v>261.78139157969611</v>
      </c>
      <c r="BB158" s="909">
        <f>+IS!BB28-BB146</f>
        <v>321.78155033407381</v>
      </c>
      <c r="BC158" s="909">
        <f>+IS!BC28-BC146</f>
        <v>449.17099999999999</v>
      </c>
      <c r="BD158" s="920">
        <f>+IS!BD23</f>
        <v>483.43400000000003</v>
      </c>
      <c r="BE158" s="663">
        <f t="shared" ref="BE158:BG158" si="1211">+BE164+BE171+BE178+BE180</f>
        <v>417.01397088651481</v>
      </c>
      <c r="BF158" s="663">
        <f t="shared" si="1211"/>
        <v>430.53275015972935</v>
      </c>
      <c r="BG158" s="664">
        <f t="shared" si="1211"/>
        <v>438.21034878600244</v>
      </c>
      <c r="BH158" s="724">
        <f t="shared" ref="BH158:BK158" si="1212">+BH164+BH171+BH178+BH180</f>
        <v>431.49293193088778</v>
      </c>
      <c r="BI158" s="663">
        <f t="shared" si="1212"/>
        <v>440.02615879448831</v>
      </c>
      <c r="BJ158" s="663">
        <f t="shared" si="1212"/>
        <v>446.68187506301985</v>
      </c>
      <c r="BK158" s="664">
        <f t="shared" si="1212"/>
        <v>462.74629273470515</v>
      </c>
      <c r="BL158" s="724">
        <f t="shared" ref="BL158:BO158" si="1213">+BL164+BL171+BL178+BL180</f>
        <v>454.77901417431792</v>
      </c>
      <c r="BM158" s="663">
        <f t="shared" si="1213"/>
        <v>463.39211463298369</v>
      </c>
      <c r="BN158" s="663">
        <f t="shared" si="1213"/>
        <v>469.37145566614493</v>
      </c>
      <c r="BO158" s="664">
        <f t="shared" si="1213"/>
        <v>484.57293398686318</v>
      </c>
      <c r="BP158" s="23"/>
      <c r="BQ158" s="25"/>
      <c r="BR158" s="17"/>
      <c r="BS158" s="17"/>
      <c r="BT158" s="17"/>
      <c r="BU158" s="17"/>
      <c r="BV158" s="17"/>
      <c r="BW158" s="17"/>
      <c r="BX158" s="17"/>
      <c r="BY158" s="17"/>
      <c r="BZ158" s="17"/>
      <c r="CA158" s="17"/>
      <c r="CB158" s="17"/>
      <c r="CC158" s="17"/>
      <c r="CD158" s="17"/>
      <c r="CE158" s="17"/>
      <c r="CF158" s="253"/>
      <c r="CG158" s="25"/>
      <c r="CH158" s="8"/>
      <c r="CI158" s="8"/>
      <c r="CJ158" s="8"/>
      <c r="CK158" s="8"/>
    </row>
    <row r="159" spans="1:89" ht="14.25" customHeight="1">
      <c r="A159" s="634"/>
      <c r="B159" s="260" t="s">
        <v>152</v>
      </c>
      <c r="C159" s="658"/>
      <c r="D159" s="473"/>
      <c r="E159" s="473"/>
      <c r="F159" s="473"/>
      <c r="G159" s="411"/>
      <c r="H159" s="473"/>
      <c r="I159" s="473"/>
      <c r="J159" s="473"/>
      <c r="K159" s="411"/>
      <c r="L159" s="473"/>
      <c r="M159" s="473"/>
      <c r="N159" s="473"/>
      <c r="O159" s="411"/>
      <c r="P159" s="473"/>
      <c r="Q159" s="473"/>
      <c r="R159" s="473"/>
      <c r="S159" s="411"/>
      <c r="T159" s="473"/>
      <c r="U159" s="473"/>
      <c r="V159" s="473"/>
      <c r="W159" s="411"/>
      <c r="X159" s="473"/>
      <c r="Y159" s="473"/>
      <c r="Z159" s="473"/>
      <c r="AA159" s="411"/>
      <c r="AB159" s="648"/>
      <c r="AC159" s="659">
        <f>+AC158/AB158-1</f>
        <v>4.1549784639367315E-2</v>
      </c>
      <c r="AD159" s="659">
        <f t="shared" ref="AD159:AV159" si="1214">+AD158/AC158-1</f>
        <v>-3.2365940927480574E-2</v>
      </c>
      <c r="AE159" s="660">
        <f t="shared" si="1214"/>
        <v>2.9638043679661052E-2</v>
      </c>
      <c r="AF159" s="661">
        <f t="shared" si="1214"/>
        <v>-6.6317189578280256E-2</v>
      </c>
      <c r="AG159" s="661">
        <f t="shared" si="1214"/>
        <v>-1.6881190607873631E-2</v>
      </c>
      <c r="AH159" s="661">
        <f t="shared" si="1214"/>
        <v>2.1863373096542293E-3</v>
      </c>
      <c r="AI159" s="661">
        <f t="shared" si="1214"/>
        <v>7.0294958154725418E-2</v>
      </c>
      <c r="AJ159" s="818">
        <f t="shared" si="1214"/>
        <v>-7.8797848078130284E-2</v>
      </c>
      <c r="AK159" s="661">
        <f t="shared" si="1214"/>
        <v>2.24498598231615E-2</v>
      </c>
      <c r="AL159" s="661">
        <f t="shared" si="1214"/>
        <v>8.6688743118685796E-3</v>
      </c>
      <c r="AM159" s="662">
        <f t="shared" si="1214"/>
        <v>-2.4453180544519282E-2</v>
      </c>
      <c r="AN159" s="818">
        <f t="shared" si="1214"/>
        <v>-6.063113309869117E-2</v>
      </c>
      <c r="AO159" s="661">
        <f t="shared" si="1214"/>
        <v>7.6090726542533682E-2</v>
      </c>
      <c r="AP159" s="661">
        <f t="shared" si="1214"/>
        <v>6.6452354395592605E-2</v>
      </c>
      <c r="AQ159" s="662">
        <f t="shared" si="1214"/>
        <v>0.3052071485950163</v>
      </c>
      <c r="AR159" s="818">
        <f t="shared" ref="AR159:AZ159" si="1215">+AR158/AQ158-1</f>
        <v>-0.1822948721854909</v>
      </c>
      <c r="AS159" s="661">
        <f t="shared" si="1214"/>
        <v>2.9130446122833664E-2</v>
      </c>
      <c r="AT159" s="661">
        <f t="shared" si="1214"/>
        <v>6.5645173553658953E-2</v>
      </c>
      <c r="AU159" s="662">
        <f t="shared" si="1215"/>
        <v>0.14472968932619401</v>
      </c>
      <c r="AV159" s="661">
        <f t="shared" si="1214"/>
        <v>-0.13293720282792054</v>
      </c>
      <c r="AW159" s="661">
        <f>+AW158/AV158-1</f>
        <v>-8.3088013801790983E-2</v>
      </c>
      <c r="AX159" s="661">
        <f>+AX158/AW158-1</f>
        <v>0.10989946353173075</v>
      </c>
      <c r="AY159" s="662">
        <f t="shared" si="1215"/>
        <v>0.13331606688171238</v>
      </c>
      <c r="AZ159" s="661">
        <f t="shared" si="1215"/>
        <v>-2.9412113873257262E-3</v>
      </c>
      <c r="BA159" s="661">
        <f t="shared" ref="BA159:BG159" si="1216">+BA158/AZ158-1</f>
        <v>-0.2207611615600884</v>
      </c>
      <c r="BB159" s="661">
        <f t="shared" si="1216"/>
        <v>0.22919947973502697</v>
      </c>
      <c r="BC159" s="661">
        <f t="shared" si="1216"/>
        <v>0.39588798529210378</v>
      </c>
      <c r="BD159" s="818">
        <f t="shared" si="1216"/>
        <v>7.6280525679529809E-2</v>
      </c>
      <c r="BE159" s="661">
        <f t="shared" si="1216"/>
        <v>-0.13739213442473064</v>
      </c>
      <c r="BF159" s="661">
        <f t="shared" si="1216"/>
        <v>3.2418048835331392E-2</v>
      </c>
      <c r="BG159" s="662">
        <f t="shared" si="1216"/>
        <v>1.7832786526517763E-2</v>
      </c>
      <c r="BH159" s="818">
        <f t="shared" ref="BH159" si="1217">+BH158/BG158-1</f>
        <v>-1.5329206336007983E-2</v>
      </c>
      <c r="BI159" s="661">
        <f t="shared" ref="BI159" si="1218">+BI158/BH158-1</f>
        <v>1.9776052473015504E-2</v>
      </c>
      <c r="BJ159" s="661">
        <f t="shared" ref="BJ159" si="1219">+BJ158/BI158-1</f>
        <v>1.5125728631147251E-2</v>
      </c>
      <c r="BK159" s="662">
        <f t="shared" ref="BK159" si="1220">+BK158/BJ158-1</f>
        <v>3.5963889668500393E-2</v>
      </c>
      <c r="BL159" s="818">
        <f t="shared" ref="BL159" si="1221">+BL158/BK158-1</f>
        <v>-1.7217379556522805E-2</v>
      </c>
      <c r="BM159" s="661">
        <f t="shared" ref="BM159" si="1222">+BM158/BL158-1</f>
        <v>1.8939089514285135E-2</v>
      </c>
      <c r="BN159" s="661">
        <f t="shared" ref="BN159" si="1223">+BN158/BM158-1</f>
        <v>1.2903415583359612E-2</v>
      </c>
      <c r="BO159" s="662">
        <f t="shared" ref="BO159" si="1224">+BO158/BN158-1</f>
        <v>3.2386882792316163E-2</v>
      </c>
      <c r="BP159" s="23"/>
      <c r="BQ159" s="25"/>
      <c r="BR159" s="17"/>
      <c r="BS159" s="17"/>
      <c r="BT159" s="17"/>
      <c r="BU159" s="17"/>
      <c r="BV159" s="17"/>
      <c r="BW159" s="17"/>
      <c r="BX159" s="17"/>
      <c r="BY159" s="17"/>
      <c r="BZ159" s="17"/>
      <c r="CA159" s="17"/>
      <c r="CB159" s="17"/>
      <c r="CC159" s="17"/>
      <c r="CD159" s="17"/>
      <c r="CE159" s="17"/>
      <c r="CF159" s="253"/>
      <c r="CG159" s="25"/>
      <c r="CH159" s="8"/>
      <c r="CI159" s="8"/>
      <c r="CJ159" s="8"/>
      <c r="CK159" s="8"/>
    </row>
    <row r="160" spans="1:89" ht="14.25" customHeight="1">
      <c r="A160" s="634"/>
      <c r="B160" s="38" t="s">
        <v>153</v>
      </c>
      <c r="C160" s="658"/>
      <c r="D160" s="473"/>
      <c r="E160" s="473"/>
      <c r="F160" s="473"/>
      <c r="G160" s="411"/>
      <c r="H160" s="473"/>
      <c r="I160" s="473"/>
      <c r="J160" s="473"/>
      <c r="K160" s="411"/>
      <c r="L160" s="473"/>
      <c r="M160" s="473"/>
      <c r="N160" s="473"/>
      <c r="O160" s="411"/>
      <c r="P160" s="473"/>
      <c r="Q160" s="473"/>
      <c r="R160" s="473"/>
      <c r="S160" s="411"/>
      <c r="T160" s="473"/>
      <c r="U160" s="473"/>
      <c r="V160" s="473"/>
      <c r="W160" s="411"/>
      <c r="X160" s="473"/>
      <c r="Y160" s="473"/>
      <c r="Z160" s="473"/>
      <c r="AA160" s="411"/>
      <c r="AB160" s="648"/>
      <c r="AC160" s="659"/>
      <c r="AD160" s="659"/>
      <c r="AE160" s="660"/>
      <c r="AF160" s="661">
        <f>+AF158/AB158-1</f>
        <v>-3.1108549066093949E-2</v>
      </c>
      <c r="AG160" s="661">
        <f t="shared" ref="AG160:AV160" si="1225">+AG158/AC158-1</f>
        <v>-8.5463389537195011E-2</v>
      </c>
      <c r="AH160" s="661">
        <f t="shared" si="1225"/>
        <v>-5.2807115063924437E-2</v>
      </c>
      <c r="AI160" s="661">
        <f t="shared" si="1225"/>
        <v>-1.5405680306705305E-2</v>
      </c>
      <c r="AJ160" s="818">
        <f t="shared" si="1225"/>
        <v>-2.8566879514639654E-2</v>
      </c>
      <c r="AK160" s="661">
        <f t="shared" si="1225"/>
        <v>1.0296668499269135E-2</v>
      </c>
      <c r="AL160" s="661">
        <f t="shared" si="1225"/>
        <v>1.6831666326461381E-2</v>
      </c>
      <c r="AM160" s="662">
        <f t="shared" si="1225"/>
        <v>-7.3183620600599131E-2</v>
      </c>
      <c r="AN160" s="818">
        <f t="shared" si="1225"/>
        <v>-5.4906189346560219E-2</v>
      </c>
      <c r="AO160" s="661">
        <f t="shared" si="1225"/>
        <v>-5.3236590664613725E-3</v>
      </c>
      <c r="AP160" s="661">
        <f t="shared" si="1225"/>
        <v>5.1658232612604937E-2</v>
      </c>
      <c r="AQ160" s="662">
        <f t="shared" si="1225"/>
        <v>0.40703840729134066</v>
      </c>
      <c r="AR160" s="818">
        <f t="shared" ref="AR160:AZ160" si="1226">+AR158/AN158-1</f>
        <v>0.22480376049653161</v>
      </c>
      <c r="AS160" s="661">
        <f t="shared" si="1225"/>
        <v>0.17135368734440792</v>
      </c>
      <c r="AT160" s="661">
        <f t="shared" si="1225"/>
        <v>0.17046710835036705</v>
      </c>
      <c r="AU160" s="662">
        <f t="shared" si="1226"/>
        <v>2.6556168306876682E-2</v>
      </c>
      <c r="AV160" s="661">
        <f t="shared" si="1225"/>
        <v>8.8520338774643381E-2</v>
      </c>
      <c r="AW160" s="661">
        <f>+AW158/AS158-1</f>
        <v>-3.0174114852804301E-2</v>
      </c>
      <c r="AX160" s="661">
        <f>+AX158/AT158-1</f>
        <v>1.0100975782120658E-2</v>
      </c>
      <c r="AY160" s="662">
        <f t="shared" si="1226"/>
        <v>2.968010779813568E-5</v>
      </c>
      <c r="AZ160" s="661">
        <f t="shared" si="1226"/>
        <v>0.14996097707916856</v>
      </c>
      <c r="BA160" s="661">
        <f t="shared" ref="BA160:BG160" si="1227">+BA158/AW158-1</f>
        <v>-2.2704174971175162E-2</v>
      </c>
      <c r="BB160" s="661">
        <f t="shared" si="1227"/>
        <v>8.234264376532141E-2</v>
      </c>
      <c r="BC160" s="661">
        <f t="shared" si="1227"/>
        <v>0.33310480328608416</v>
      </c>
      <c r="BD160" s="818">
        <f t="shared" si="1227"/>
        <v>0.43902722171784081</v>
      </c>
      <c r="BE160" s="661">
        <f t="shared" si="1227"/>
        <v>0.59298553793331821</v>
      </c>
      <c r="BF160" s="661">
        <f t="shared" si="1227"/>
        <v>0.33796592661310121</v>
      </c>
      <c r="BG160" s="662">
        <f t="shared" si="1227"/>
        <v>-2.4401956524347179E-2</v>
      </c>
      <c r="BH160" s="818">
        <f t="shared" ref="BH160" si="1228">+BH158/BD158-1</f>
        <v>-0.10744190120908381</v>
      </c>
      <c r="BI160" s="661">
        <f t="shared" ref="BI160" si="1229">+BI158/BE158-1</f>
        <v>5.518325407432445E-2</v>
      </c>
      <c r="BJ160" s="661">
        <f t="shared" ref="BJ160" si="1230">+BJ158/BF158-1</f>
        <v>3.750963172325239E-2</v>
      </c>
      <c r="BK160" s="662">
        <f t="shared" ref="BK160" si="1231">+BK158/BG158-1</f>
        <v>5.5991247164006941E-2</v>
      </c>
      <c r="BL160" s="818">
        <f t="shared" ref="BL160" si="1232">+BL158/BH158-1</f>
        <v>5.3966312122952331E-2</v>
      </c>
      <c r="BM160" s="661">
        <f t="shared" ref="BM160" si="1233">+BM158/BI158-1</f>
        <v>5.3101288120028123E-2</v>
      </c>
      <c r="BN160" s="661">
        <f t="shared" ref="BN160" si="1234">+BN158/BJ158-1</f>
        <v>5.0795838984789565E-2</v>
      </c>
      <c r="BO160" s="662">
        <f t="shared" ref="BO160" si="1235">+BO158/BK158-1</f>
        <v>4.7167619913643266E-2</v>
      </c>
      <c r="BP160" s="23"/>
      <c r="BQ160" s="25"/>
      <c r="BR160" s="17"/>
      <c r="BS160" s="17"/>
      <c r="BT160" s="17"/>
      <c r="BU160" s="17"/>
      <c r="BV160" s="17"/>
      <c r="BW160" s="17"/>
      <c r="BX160" s="17"/>
      <c r="BY160" s="17"/>
      <c r="BZ160" s="17"/>
      <c r="CA160" s="17"/>
      <c r="CB160" s="17"/>
      <c r="CC160" s="17"/>
      <c r="CD160" s="17"/>
      <c r="CE160" s="17"/>
      <c r="CF160" s="253"/>
      <c r="CG160" s="25"/>
      <c r="CH160" s="8"/>
      <c r="CI160" s="8"/>
      <c r="CJ160" s="8"/>
      <c r="CK160" s="8"/>
    </row>
    <row r="161" spans="1:89" ht="14.25" customHeight="1">
      <c r="A161" s="634"/>
      <c r="B161" s="25"/>
      <c r="C161" s="253"/>
      <c r="D161" s="94"/>
      <c r="E161" s="94"/>
      <c r="F161" s="94"/>
      <c r="G161" s="95"/>
      <c r="H161" s="94"/>
      <c r="I161" s="94"/>
      <c r="J161" s="94"/>
      <c r="K161" s="95"/>
      <c r="L161" s="94"/>
      <c r="M161" s="94"/>
      <c r="N161" s="94"/>
      <c r="O161" s="95"/>
      <c r="P161" s="94"/>
      <c r="Q161" s="94"/>
      <c r="R161" s="94"/>
      <c r="S161" s="95"/>
      <c r="T161" s="94"/>
      <c r="U161" s="94"/>
      <c r="V161" s="94"/>
      <c r="W161" s="95"/>
      <c r="X161" s="94"/>
      <c r="Y161" s="94"/>
      <c r="Z161" s="94"/>
      <c r="AA161" s="95"/>
      <c r="AB161" s="94"/>
      <c r="AC161" s="94"/>
      <c r="AD161" s="94"/>
      <c r="AE161" s="95"/>
      <c r="AF161" s="263"/>
      <c r="AG161" s="263"/>
      <c r="AH161" s="263"/>
      <c r="AI161" s="263"/>
      <c r="AJ161" s="262"/>
      <c r="AK161" s="263"/>
      <c r="AL161" s="263"/>
      <c r="AM161" s="307"/>
      <c r="AN161" s="262"/>
      <c r="AO161" s="263"/>
      <c r="AP161" s="263"/>
      <c r="AQ161" s="307"/>
      <c r="AR161" s="262"/>
      <c r="AS161" s="263"/>
      <c r="AT161" s="263"/>
      <c r="AU161" s="307"/>
      <c r="AV161" s="263"/>
      <c r="AW161" s="263"/>
      <c r="AX161" s="263"/>
      <c r="AY161" s="307"/>
      <c r="AZ161" s="263"/>
      <c r="BA161" s="263"/>
      <c r="BB161" s="1425"/>
      <c r="BC161" s="1425"/>
      <c r="BD161" s="1394"/>
      <c r="BE161" s="1395"/>
      <c r="BF161" s="1395"/>
      <c r="BG161" s="1397"/>
      <c r="BH161" s="1394"/>
      <c r="BI161" s="1395"/>
      <c r="BJ161" s="1395"/>
      <c r="BK161" s="1397"/>
      <c r="BL161" s="1424"/>
      <c r="BM161" s="1425"/>
      <c r="BN161" s="1425"/>
      <c r="BO161" s="1426"/>
      <c r="BP161" s="23"/>
      <c r="BQ161" s="25"/>
      <c r="BR161" s="17"/>
      <c r="BS161" s="17"/>
      <c r="BT161" s="17"/>
      <c r="BU161" s="17"/>
      <c r="BV161" s="17"/>
      <c r="BW161" s="17"/>
      <c r="BX161" s="17"/>
      <c r="BY161" s="17"/>
      <c r="BZ161" s="17"/>
      <c r="CA161" s="17"/>
      <c r="CB161" s="17"/>
      <c r="CC161" s="17"/>
      <c r="CD161" s="17"/>
      <c r="CE161" s="17"/>
      <c r="CF161" s="253"/>
      <c r="CG161" s="25"/>
      <c r="CH161" s="8"/>
      <c r="CI161" s="8"/>
      <c r="CJ161" s="8"/>
      <c r="CK161" s="8"/>
    </row>
    <row r="162" spans="1:89" ht="14.25" customHeight="1">
      <c r="A162" s="634"/>
      <c r="B162" s="665" t="s">
        <v>318</v>
      </c>
      <c r="C162" s="253"/>
      <c r="D162" s="94"/>
      <c r="E162" s="94"/>
      <c r="F162" s="94"/>
      <c r="G162" s="95"/>
      <c r="H162" s="94"/>
      <c r="I162" s="94"/>
      <c r="J162" s="94"/>
      <c r="K162" s="95"/>
      <c r="L162" s="94"/>
      <c r="M162" s="94"/>
      <c r="N162" s="94"/>
      <c r="O162" s="95"/>
      <c r="P162" s="94"/>
      <c r="Q162" s="94"/>
      <c r="R162" s="94"/>
      <c r="S162" s="95"/>
      <c r="T162" s="94"/>
      <c r="U162" s="94"/>
      <c r="V162" s="94"/>
      <c r="W162" s="95"/>
      <c r="X162" s="94"/>
      <c r="Y162" s="94"/>
      <c r="Z162" s="94"/>
      <c r="AA162" s="95"/>
      <c r="AB162" s="94"/>
      <c r="AC162" s="94"/>
      <c r="AD162" s="94"/>
      <c r="AE162" s="95"/>
      <c r="AF162" s="263"/>
      <c r="AG162" s="263"/>
      <c r="AH162" s="263"/>
      <c r="AI162" s="263"/>
      <c r="AJ162" s="262"/>
      <c r="AK162" s="263"/>
      <c r="AL162" s="263"/>
      <c r="AM162" s="307"/>
      <c r="AN162" s="262"/>
      <c r="AO162" s="263"/>
      <c r="AP162" s="263"/>
      <c r="AQ162" s="307"/>
      <c r="AR162" s="262"/>
      <c r="AS162" s="263"/>
      <c r="AT162" s="263"/>
      <c r="AU162" s="307"/>
      <c r="AV162" s="263"/>
      <c r="AW162" s="263"/>
      <c r="AX162" s="263"/>
      <c r="AY162" s="307"/>
      <c r="AZ162" s="263"/>
      <c r="BA162" s="263"/>
      <c r="BB162" s="1425"/>
      <c r="BC162" s="1425"/>
      <c r="BD162" s="1394"/>
      <c r="BE162" s="1395"/>
      <c r="BF162" s="1395"/>
      <c r="BG162" s="1397"/>
      <c r="BH162" s="1394"/>
      <c r="BI162" s="1395"/>
      <c r="BJ162" s="1395"/>
      <c r="BK162" s="1397"/>
      <c r="BL162" s="1424"/>
      <c r="BM162" s="1425"/>
      <c r="BN162" s="1425"/>
      <c r="BO162" s="1426"/>
      <c r="BP162" s="23"/>
      <c r="BQ162" s="25"/>
      <c r="BR162" s="17"/>
      <c r="BS162" s="17"/>
      <c r="BT162" s="17"/>
      <c r="BU162" s="17"/>
      <c r="BV162" s="17"/>
      <c r="BW162" s="17"/>
      <c r="BX162" s="17"/>
      <c r="BY162" s="17"/>
      <c r="BZ162" s="17"/>
      <c r="CA162" s="17"/>
      <c r="CB162" s="17"/>
      <c r="CC162" s="17"/>
      <c r="CD162" s="17"/>
      <c r="CE162" s="17"/>
      <c r="CF162" s="253"/>
      <c r="CG162" s="25"/>
      <c r="CH162" s="8"/>
      <c r="CI162" s="8"/>
      <c r="CJ162" s="8"/>
      <c r="CK162" s="8"/>
    </row>
    <row r="163" spans="1:89" ht="14.25" customHeight="1">
      <c r="A163" s="634"/>
      <c r="B163" s="665"/>
      <c r="C163" s="253"/>
      <c r="D163" s="94"/>
      <c r="E163" s="94"/>
      <c r="F163" s="94"/>
      <c r="G163" s="95"/>
      <c r="H163" s="94"/>
      <c r="I163" s="94"/>
      <c r="J163" s="94"/>
      <c r="K163" s="95"/>
      <c r="L163" s="94"/>
      <c r="M163" s="94"/>
      <c r="N163" s="94"/>
      <c r="O163" s="95"/>
      <c r="P163" s="94"/>
      <c r="Q163" s="94"/>
      <c r="R163" s="94"/>
      <c r="S163" s="95"/>
      <c r="T163" s="94"/>
      <c r="U163" s="94"/>
      <c r="V163" s="94"/>
      <c r="W163" s="95"/>
      <c r="X163" s="94"/>
      <c r="Y163" s="94"/>
      <c r="Z163" s="94"/>
      <c r="AA163" s="95"/>
      <c r="AB163" s="669"/>
      <c r="AC163" s="669"/>
      <c r="AD163" s="669"/>
      <c r="AE163" s="670"/>
      <c r="AF163" s="671"/>
      <c r="AG163" s="671"/>
      <c r="AH163" s="671"/>
      <c r="AI163" s="671"/>
      <c r="AJ163" s="814"/>
      <c r="AK163" s="671"/>
      <c r="AL163" s="671"/>
      <c r="AM163" s="672"/>
      <c r="AN163" s="814"/>
      <c r="AO163" s="671"/>
      <c r="AP163" s="671"/>
      <c r="AQ163" s="672"/>
      <c r="AR163" s="814"/>
      <c r="AS163" s="671"/>
      <c r="AT163" s="671"/>
      <c r="AU163" s="672"/>
      <c r="AV163" s="671"/>
      <c r="AW163" s="671"/>
      <c r="AX163" s="671"/>
      <c r="AY163" s="672"/>
      <c r="AZ163" s="671"/>
      <c r="BA163" s="671"/>
      <c r="BB163" s="1400"/>
      <c r="BC163" s="1400"/>
      <c r="BD163" s="1402"/>
      <c r="BE163" s="1400"/>
      <c r="BF163" s="1400"/>
      <c r="BG163" s="1401"/>
      <c r="BH163" s="1402"/>
      <c r="BI163" s="1400"/>
      <c r="BJ163" s="1400"/>
      <c r="BK163" s="1401"/>
      <c r="BL163" s="1402"/>
      <c r="BM163" s="1400"/>
      <c r="BN163" s="1400"/>
      <c r="BO163" s="1401"/>
      <c r="BP163" s="23"/>
      <c r="BQ163" s="25"/>
      <c r="BR163" s="17"/>
      <c r="BS163" s="17"/>
      <c r="BT163" s="17"/>
      <c r="BU163" s="17"/>
      <c r="BV163" s="17"/>
      <c r="BW163" s="17"/>
      <c r="BX163" s="17"/>
      <c r="BY163" s="17"/>
      <c r="BZ163" s="17"/>
      <c r="CA163" s="17"/>
      <c r="CB163" s="17"/>
      <c r="CC163" s="17"/>
      <c r="CD163" s="17"/>
      <c r="CE163" s="17"/>
      <c r="CF163" s="253"/>
      <c r="CG163" s="25"/>
      <c r="CH163" s="8"/>
      <c r="CI163" s="8"/>
      <c r="CJ163" s="8"/>
      <c r="CK163" s="8"/>
    </row>
    <row r="164" spans="1:89" ht="14.25" customHeight="1">
      <c r="A164" s="634"/>
      <c r="B164" s="673" t="s">
        <v>314</v>
      </c>
      <c r="C164" s="253"/>
      <c r="D164" s="94"/>
      <c r="E164" s="94"/>
      <c r="F164" s="94"/>
      <c r="G164" s="95"/>
      <c r="H164" s="94"/>
      <c r="I164" s="94"/>
      <c r="J164" s="94"/>
      <c r="K164" s="95"/>
      <c r="L164" s="94"/>
      <c r="M164" s="94"/>
      <c r="N164" s="94"/>
      <c r="O164" s="95"/>
      <c r="P164" s="94"/>
      <c r="Q164" s="94"/>
      <c r="R164" s="94"/>
      <c r="S164" s="95"/>
      <c r="T164" s="94"/>
      <c r="U164" s="94"/>
      <c r="V164" s="94"/>
      <c r="W164" s="95"/>
      <c r="X164" s="94"/>
      <c r="Y164" s="94"/>
      <c r="Z164" s="94"/>
      <c r="AA164" s="95"/>
      <c r="AB164" s="666">
        <f t="shared" ref="AB164:AZ164" si="1236">+AB166*AB12+AB167*AB80+AB168*AB33+AB169*AB54</f>
        <v>85.394000000000005</v>
      </c>
      <c r="AC164" s="666">
        <f t="shared" si="1236"/>
        <v>91.492000000000004</v>
      </c>
      <c r="AD164" s="666">
        <f t="shared" si="1236"/>
        <v>87.974000000000004</v>
      </c>
      <c r="AE164" s="667">
        <f t="shared" si="1236"/>
        <v>85.022000000000006</v>
      </c>
      <c r="AF164" s="666">
        <f t="shared" si="1236"/>
        <v>76.587999999999994</v>
      </c>
      <c r="AG164" s="666">
        <f t="shared" si="1236"/>
        <v>78.711259999999996</v>
      </c>
      <c r="AH164" s="666">
        <f t="shared" si="1236"/>
        <v>79.423100000000005</v>
      </c>
      <c r="AI164" s="666">
        <f t="shared" si="1236"/>
        <v>82.162680000000009</v>
      </c>
      <c r="AJ164" s="819">
        <f t="shared" si="1236"/>
        <v>72.932379999999995</v>
      </c>
      <c r="AK164" s="666">
        <f t="shared" si="1236"/>
        <v>76.877099999999999</v>
      </c>
      <c r="AL164" s="666">
        <f t="shared" si="1236"/>
        <v>78.24242000000001</v>
      </c>
      <c r="AM164" s="667">
        <f t="shared" si="1236"/>
        <v>78.723500000000001</v>
      </c>
      <c r="AN164" s="819">
        <f t="shared" si="1236"/>
        <v>72.237220000000008</v>
      </c>
      <c r="AO164" s="666">
        <f t="shared" si="1236"/>
        <v>79.535420000000002</v>
      </c>
      <c r="AP164" s="666">
        <f t="shared" si="1236"/>
        <v>82.829480000000004</v>
      </c>
      <c r="AQ164" s="667">
        <f t="shared" si="1236"/>
        <v>92.344160000000002</v>
      </c>
      <c r="AR164" s="819">
        <f t="shared" si="1236"/>
        <v>87.835700000000003</v>
      </c>
      <c r="AS164" s="666">
        <f t="shared" si="1236"/>
        <v>94.232100000000017</v>
      </c>
      <c r="AT164" s="666">
        <f t="shared" si="1236"/>
        <v>103.94754</v>
      </c>
      <c r="AU164" s="667">
        <f t="shared" si="1236"/>
        <v>122.20228</v>
      </c>
      <c r="AV164" s="666">
        <f t="shared" si="1236"/>
        <v>89.550259999999994</v>
      </c>
      <c r="AW164" s="666">
        <f t="shared" si="1236"/>
        <v>88.200119999999998</v>
      </c>
      <c r="AX164" s="666">
        <f t="shared" si="1236"/>
        <v>103.50984000000001</v>
      </c>
      <c r="AY164" s="667">
        <f t="shared" si="1236"/>
        <v>123.6661</v>
      </c>
      <c r="AZ164" s="666">
        <f t="shared" si="1236"/>
        <v>120.21278000000001</v>
      </c>
      <c r="BA164" s="666">
        <f>+BA166*BA19+BA167*BA87+BA168*BA40+BA169*BA61</f>
        <v>118.39526000000001</v>
      </c>
      <c r="BB164" s="666">
        <f>+BB166*BB19+BB167*BB87+BB168*BB40+BB169*BB61</f>
        <v>123.59442142818</v>
      </c>
      <c r="BC164" s="666">
        <f>+BC166*BC19+BC167*BC87+BC168*BC40+BC169*BC61</f>
        <v>136.54056724502823</v>
      </c>
      <c r="BD164" s="819">
        <f t="shared" ref="BD164:BO164" si="1237">+BD166*BD12+BD167*BD80+BD168*BD33+BD169*BD54</f>
        <v>176.25956000000002</v>
      </c>
      <c r="BE164" s="666">
        <f t="shared" si="1237"/>
        <v>160.75232292499999</v>
      </c>
      <c r="BF164" s="666">
        <f t="shared" si="1237"/>
        <v>174.03727192950001</v>
      </c>
      <c r="BG164" s="667">
        <f t="shared" si="1237"/>
        <v>180.68513511997503</v>
      </c>
      <c r="BH164" s="819">
        <f t="shared" si="1237"/>
        <v>170.39517343563224</v>
      </c>
      <c r="BI164" s="666">
        <f t="shared" si="1237"/>
        <v>176.96452866455436</v>
      </c>
      <c r="BJ164" s="666">
        <f t="shared" si="1237"/>
        <v>183.46074185502982</v>
      </c>
      <c r="BK164" s="667">
        <f t="shared" si="1237"/>
        <v>192.90666657721542</v>
      </c>
      <c r="BL164" s="819">
        <f t="shared" si="1237"/>
        <v>181.96601963241389</v>
      </c>
      <c r="BM164" s="666">
        <f t="shared" si="1237"/>
        <v>188.55225194321639</v>
      </c>
      <c r="BN164" s="666">
        <f t="shared" si="1237"/>
        <v>194.57194764730835</v>
      </c>
      <c r="BO164" s="667">
        <f t="shared" si="1237"/>
        <v>203.44281134793593</v>
      </c>
      <c r="BP164" s="23"/>
      <c r="BQ164" s="25"/>
      <c r="BR164" s="17"/>
      <c r="BS164" s="17"/>
      <c r="BT164" s="17"/>
      <c r="BU164" s="17"/>
      <c r="BV164" s="17"/>
      <c r="BW164" s="17"/>
      <c r="BX164" s="17"/>
      <c r="BY164" s="17"/>
      <c r="BZ164" s="17"/>
      <c r="CA164" s="17"/>
      <c r="CB164" s="17"/>
      <c r="CC164" s="17"/>
      <c r="CD164" s="17"/>
      <c r="CE164" s="17"/>
      <c r="CF164" s="253"/>
      <c r="CG164" s="25"/>
      <c r="CH164" s="8"/>
      <c r="CI164" s="8"/>
      <c r="CJ164" s="8"/>
      <c r="CK164" s="8"/>
    </row>
    <row r="165" spans="1:89" ht="14.25" customHeight="1">
      <c r="A165" s="634"/>
      <c r="B165" s="673" t="s">
        <v>319</v>
      </c>
      <c r="C165" s="253"/>
      <c r="D165" s="94"/>
      <c r="E165" s="94"/>
      <c r="F165" s="94"/>
      <c r="G165" s="95"/>
      <c r="H165" s="94"/>
      <c r="I165" s="94"/>
      <c r="J165" s="94"/>
      <c r="K165" s="95"/>
      <c r="L165" s="94"/>
      <c r="M165" s="94"/>
      <c r="N165" s="94"/>
      <c r="O165" s="95"/>
      <c r="P165" s="94"/>
      <c r="Q165" s="94"/>
      <c r="R165" s="94"/>
      <c r="S165" s="95"/>
      <c r="T165" s="94"/>
      <c r="U165" s="94"/>
      <c r="V165" s="94"/>
      <c r="W165" s="95"/>
      <c r="X165" s="94"/>
      <c r="Y165" s="94"/>
      <c r="Z165" s="94"/>
      <c r="AA165" s="95"/>
      <c r="AB165" s="649"/>
      <c r="AC165" s="649"/>
      <c r="AD165" s="649"/>
      <c r="AE165" s="650"/>
      <c r="AF165" s="651"/>
      <c r="AG165" s="651"/>
      <c r="AH165" s="651"/>
      <c r="AI165" s="651"/>
      <c r="AJ165" s="820"/>
      <c r="AK165" s="651"/>
      <c r="AL165" s="651"/>
      <c r="AM165" s="652"/>
      <c r="AN165" s="820"/>
      <c r="AO165" s="651"/>
      <c r="AP165" s="651"/>
      <c r="AQ165" s="652"/>
      <c r="AR165" s="820"/>
      <c r="AS165" s="651"/>
      <c r="AT165" s="651"/>
      <c r="AU165" s="652"/>
      <c r="AV165" s="651"/>
      <c r="AW165" s="651"/>
      <c r="AX165" s="651"/>
      <c r="AY165" s="652"/>
      <c r="AZ165" s="651"/>
      <c r="BA165" s="651"/>
      <c r="BB165" s="651"/>
      <c r="BC165" s="651"/>
      <c r="BD165" s="820"/>
      <c r="BE165" s="651"/>
      <c r="BF165" s="651"/>
      <c r="BG165" s="652"/>
      <c r="BH165" s="820"/>
      <c r="BI165" s="651"/>
      <c r="BJ165" s="651"/>
      <c r="BK165" s="652"/>
      <c r="BL165" s="820"/>
      <c r="BM165" s="651"/>
      <c r="BN165" s="651"/>
      <c r="BO165" s="652"/>
      <c r="BP165" s="23"/>
      <c r="BQ165" s="25"/>
      <c r="BR165" s="17"/>
      <c r="BS165" s="17"/>
      <c r="BT165" s="17"/>
      <c r="BU165" s="17"/>
      <c r="BV165" s="17"/>
      <c r="BW165" s="17"/>
      <c r="BX165" s="17"/>
      <c r="BY165" s="17"/>
      <c r="BZ165" s="17"/>
      <c r="CA165" s="17"/>
      <c r="CB165" s="17"/>
      <c r="CC165" s="17"/>
      <c r="CD165" s="17"/>
      <c r="CE165" s="17"/>
      <c r="CF165" s="253"/>
      <c r="CG165" s="25"/>
      <c r="CH165" s="8"/>
      <c r="CI165" s="8"/>
      <c r="CJ165" s="8"/>
      <c r="CK165" s="8"/>
    </row>
    <row r="166" spans="1:89" ht="14.25" customHeight="1">
      <c r="A166" s="634"/>
      <c r="B166" s="647" t="s">
        <v>293</v>
      </c>
      <c r="C166" s="253"/>
      <c r="D166" s="94"/>
      <c r="E166" s="94"/>
      <c r="F166" s="94"/>
      <c r="G166" s="95"/>
      <c r="H166" s="94"/>
      <c r="I166" s="94"/>
      <c r="J166" s="94"/>
      <c r="K166" s="95"/>
      <c r="L166" s="94"/>
      <c r="M166" s="94"/>
      <c r="N166" s="94"/>
      <c r="O166" s="95"/>
      <c r="P166" s="94"/>
      <c r="Q166" s="94"/>
      <c r="R166" s="94"/>
      <c r="S166" s="95"/>
      <c r="T166" s="94"/>
      <c r="U166" s="94"/>
      <c r="V166" s="94"/>
      <c r="W166" s="95"/>
      <c r="X166" s="94"/>
      <c r="Y166" s="94"/>
      <c r="Z166" s="94"/>
      <c r="AA166" s="95"/>
      <c r="AB166" s="654">
        <v>0.1</v>
      </c>
      <c r="AC166" s="655">
        <v>0.1</v>
      </c>
      <c r="AD166" s="655">
        <v>0.1</v>
      </c>
      <c r="AE166" s="656">
        <v>0.1</v>
      </c>
      <c r="AF166" s="654">
        <v>0.1</v>
      </c>
      <c r="AG166" s="654">
        <v>0.1</v>
      </c>
      <c r="AH166" s="654">
        <v>0.1</v>
      </c>
      <c r="AI166" s="654">
        <v>0.1</v>
      </c>
      <c r="AJ166" s="821">
        <v>0.1</v>
      </c>
      <c r="AK166" s="654">
        <v>0.1</v>
      </c>
      <c r="AL166" s="654">
        <v>0.1</v>
      </c>
      <c r="AM166" s="657">
        <v>0.1</v>
      </c>
      <c r="AN166" s="821">
        <v>0.1</v>
      </c>
      <c r="AO166" s="654">
        <v>0.1</v>
      </c>
      <c r="AP166" s="654">
        <v>0.1</v>
      </c>
      <c r="AQ166" s="657">
        <v>0.1</v>
      </c>
      <c r="AR166" s="821">
        <v>0.1</v>
      </c>
      <c r="AS166" s="654">
        <v>0.1</v>
      </c>
      <c r="AT166" s="654">
        <v>0.1</v>
      </c>
      <c r="AU166" s="657">
        <v>0.1</v>
      </c>
      <c r="AV166" s="654">
        <v>0.1</v>
      </c>
      <c r="AW166" s="654">
        <v>0.1</v>
      </c>
      <c r="AX166" s="654">
        <v>0.1</v>
      </c>
      <c r="AY166" s="657">
        <v>0.1</v>
      </c>
      <c r="AZ166" s="654">
        <v>0.1</v>
      </c>
      <c r="BA166" s="654">
        <v>0.1</v>
      </c>
      <c r="BB166" s="654">
        <v>0.1</v>
      </c>
      <c r="BC166" s="654">
        <v>0.1</v>
      </c>
      <c r="BD166" s="821">
        <v>0.1</v>
      </c>
      <c r="BE166" s="654">
        <v>9.5000000000000001E-2</v>
      </c>
      <c r="BF166" s="654">
        <v>0.1</v>
      </c>
      <c r="BG166" s="654">
        <v>0.1</v>
      </c>
      <c r="BH166" s="821">
        <v>0.1</v>
      </c>
      <c r="BI166" s="654">
        <v>0.1</v>
      </c>
      <c r="BJ166" s="654">
        <v>0.1</v>
      </c>
      <c r="BK166" s="657">
        <v>0.1</v>
      </c>
      <c r="BL166" s="821">
        <v>0.1</v>
      </c>
      <c r="BM166" s="654">
        <v>0.1</v>
      </c>
      <c r="BN166" s="654">
        <v>0.1</v>
      </c>
      <c r="BO166" s="657">
        <v>0.1</v>
      </c>
      <c r="BP166" s="23"/>
      <c r="BQ166" s="25"/>
      <c r="BR166" s="17"/>
      <c r="BS166" s="17"/>
      <c r="BT166" s="17"/>
      <c r="BU166" s="17"/>
      <c r="BV166" s="17"/>
      <c r="BW166" s="17"/>
      <c r="BX166" s="17"/>
      <c r="BY166" s="17"/>
      <c r="BZ166" s="17"/>
      <c r="CA166" s="17"/>
      <c r="CB166" s="17"/>
      <c r="CC166" s="17"/>
      <c r="CD166" s="17"/>
      <c r="CE166" s="17"/>
      <c r="CF166" s="253"/>
      <c r="CG166" s="25"/>
      <c r="CH166" s="8"/>
      <c r="CI166" s="8"/>
      <c r="CJ166" s="8"/>
      <c r="CK166" s="8"/>
    </row>
    <row r="167" spans="1:89" ht="14.25" customHeight="1">
      <c r="A167" s="634"/>
      <c r="B167" s="647" t="s">
        <v>296</v>
      </c>
      <c r="C167" s="253"/>
      <c r="D167" s="94"/>
      <c r="E167" s="94"/>
      <c r="F167" s="94"/>
      <c r="G167" s="95"/>
      <c r="H167" s="94"/>
      <c r="I167" s="94"/>
      <c r="J167" s="94"/>
      <c r="K167" s="95"/>
      <c r="L167" s="94"/>
      <c r="M167" s="94"/>
      <c r="N167" s="94"/>
      <c r="O167" s="95"/>
      <c r="P167" s="94"/>
      <c r="Q167" s="94"/>
      <c r="R167" s="94"/>
      <c r="S167" s="95"/>
      <c r="T167" s="94"/>
      <c r="U167" s="94"/>
      <c r="V167" s="94"/>
      <c r="W167" s="95"/>
      <c r="X167" s="94"/>
      <c r="Y167" s="94"/>
      <c r="Z167" s="94"/>
      <c r="AA167" s="95"/>
      <c r="AB167" s="654">
        <v>0.1</v>
      </c>
      <c r="AC167" s="655">
        <v>0.1</v>
      </c>
      <c r="AD167" s="655">
        <v>0.1</v>
      </c>
      <c r="AE167" s="656">
        <v>0.1</v>
      </c>
      <c r="AF167" s="654">
        <v>0.1</v>
      </c>
      <c r="AG167" s="654">
        <v>0.1</v>
      </c>
      <c r="AH167" s="654">
        <v>0.1</v>
      </c>
      <c r="AI167" s="654">
        <v>0.1</v>
      </c>
      <c r="AJ167" s="821">
        <v>0.1</v>
      </c>
      <c r="AK167" s="654">
        <v>0.1</v>
      </c>
      <c r="AL167" s="654">
        <v>0.1</v>
      </c>
      <c r="AM167" s="657">
        <v>0.1</v>
      </c>
      <c r="AN167" s="821">
        <v>0.1</v>
      </c>
      <c r="AO167" s="654">
        <v>0.1</v>
      </c>
      <c r="AP167" s="654">
        <v>0.1</v>
      </c>
      <c r="AQ167" s="657">
        <v>0.1</v>
      </c>
      <c r="AR167" s="821">
        <v>0.1</v>
      </c>
      <c r="AS167" s="654">
        <v>0.1</v>
      </c>
      <c r="AT167" s="654">
        <v>0.1</v>
      </c>
      <c r="AU167" s="657">
        <v>0.1</v>
      </c>
      <c r="AV167" s="654">
        <v>0.1</v>
      </c>
      <c r="AW167" s="654">
        <v>0.1</v>
      </c>
      <c r="AX167" s="654">
        <v>0.1</v>
      </c>
      <c r="AY167" s="657">
        <v>0.1</v>
      </c>
      <c r="AZ167" s="654">
        <v>0.1</v>
      </c>
      <c r="BA167" s="654">
        <v>0.1</v>
      </c>
      <c r="BB167" s="654">
        <v>0.1</v>
      </c>
      <c r="BC167" s="654">
        <v>0.1</v>
      </c>
      <c r="BD167" s="821">
        <v>0.1</v>
      </c>
      <c r="BE167" s="654">
        <v>0.1</v>
      </c>
      <c r="BF167" s="654">
        <v>0.1</v>
      </c>
      <c r="BG167" s="654">
        <v>0.1</v>
      </c>
      <c r="BH167" s="821">
        <v>0.1</v>
      </c>
      <c r="BI167" s="654">
        <v>0.1</v>
      </c>
      <c r="BJ167" s="654">
        <v>0.1</v>
      </c>
      <c r="BK167" s="657">
        <v>0.1</v>
      </c>
      <c r="BL167" s="821">
        <v>0.1</v>
      </c>
      <c r="BM167" s="654">
        <v>0.1</v>
      </c>
      <c r="BN167" s="654">
        <v>0.1</v>
      </c>
      <c r="BO167" s="657">
        <v>0.1</v>
      </c>
      <c r="BP167" s="23"/>
      <c r="BQ167" s="25"/>
      <c r="BR167" s="17"/>
      <c r="BS167" s="17"/>
      <c r="BT167" s="17"/>
      <c r="BU167" s="17"/>
      <c r="BV167" s="17"/>
      <c r="BW167" s="17"/>
      <c r="BX167" s="17"/>
      <c r="BY167" s="17"/>
      <c r="BZ167" s="17"/>
      <c r="CA167" s="17"/>
      <c r="CB167" s="17"/>
      <c r="CC167" s="17"/>
      <c r="CD167" s="17"/>
      <c r="CE167" s="17"/>
      <c r="CF167" s="253"/>
      <c r="CG167" s="25"/>
      <c r="CH167" s="8"/>
      <c r="CI167" s="8"/>
      <c r="CJ167" s="8"/>
      <c r="CK167" s="8"/>
    </row>
    <row r="168" spans="1:89" ht="14.25" customHeight="1">
      <c r="A168" s="634"/>
      <c r="B168" s="647" t="s">
        <v>294</v>
      </c>
      <c r="C168" s="253"/>
      <c r="D168" s="94"/>
      <c r="E168" s="94"/>
      <c r="F168" s="94"/>
      <c r="G168" s="95"/>
      <c r="H168" s="94"/>
      <c r="I168" s="94"/>
      <c r="J168" s="94"/>
      <c r="K168" s="95"/>
      <c r="L168" s="94"/>
      <c r="M168" s="94"/>
      <c r="N168" s="94"/>
      <c r="O168" s="95"/>
      <c r="P168" s="94"/>
      <c r="Q168" s="94"/>
      <c r="R168" s="94"/>
      <c r="S168" s="95"/>
      <c r="T168" s="94"/>
      <c r="U168" s="94"/>
      <c r="V168" s="94"/>
      <c r="W168" s="95"/>
      <c r="X168" s="94"/>
      <c r="Y168" s="94"/>
      <c r="Z168" s="94"/>
      <c r="AA168" s="95"/>
      <c r="AB168" s="654">
        <v>0.14000000000000001</v>
      </c>
      <c r="AC168" s="655">
        <v>0.14000000000000001</v>
      </c>
      <c r="AD168" s="655">
        <v>0.14000000000000001</v>
      </c>
      <c r="AE168" s="656">
        <v>0.14000000000000001</v>
      </c>
      <c r="AF168" s="654">
        <v>0.14000000000000001</v>
      </c>
      <c r="AG168" s="654">
        <v>0.14000000000000001</v>
      </c>
      <c r="AH168" s="654">
        <v>0.14000000000000001</v>
      </c>
      <c r="AI168" s="654">
        <v>0.14000000000000001</v>
      </c>
      <c r="AJ168" s="821">
        <v>0.14000000000000001</v>
      </c>
      <c r="AK168" s="654">
        <v>0.14000000000000001</v>
      </c>
      <c r="AL168" s="654">
        <v>0.14000000000000001</v>
      </c>
      <c r="AM168" s="657">
        <v>0.14000000000000001</v>
      </c>
      <c r="AN168" s="821">
        <v>0.14000000000000001</v>
      </c>
      <c r="AO168" s="654">
        <v>0.14000000000000001</v>
      </c>
      <c r="AP168" s="654">
        <v>0.14000000000000001</v>
      </c>
      <c r="AQ168" s="657">
        <v>0.14000000000000001</v>
      </c>
      <c r="AR168" s="821">
        <v>0.14000000000000001</v>
      </c>
      <c r="AS168" s="654">
        <v>0.14000000000000001</v>
      </c>
      <c r="AT168" s="654">
        <v>0.14000000000000001</v>
      </c>
      <c r="AU168" s="657">
        <v>0.14000000000000001</v>
      </c>
      <c r="AV168" s="654">
        <v>0.14000000000000001</v>
      </c>
      <c r="AW168" s="654">
        <v>0.14000000000000001</v>
      </c>
      <c r="AX168" s="654">
        <v>0.14000000000000001</v>
      </c>
      <c r="AY168" s="657">
        <v>0.14000000000000001</v>
      </c>
      <c r="AZ168" s="654">
        <v>0.14000000000000001</v>
      </c>
      <c r="BA168" s="654">
        <v>0.14000000000000001</v>
      </c>
      <c r="BB168" s="654">
        <v>0.14000000000000001</v>
      </c>
      <c r="BC168" s="654">
        <v>0.14000000000000001</v>
      </c>
      <c r="BD168" s="821">
        <v>0.14000000000000001</v>
      </c>
      <c r="BE168" s="654">
        <v>0.13</v>
      </c>
      <c r="BF168" s="654">
        <v>0.14000000000000001</v>
      </c>
      <c r="BG168" s="654">
        <v>0.14000000000000001</v>
      </c>
      <c r="BH168" s="821">
        <v>0.14000000000000001</v>
      </c>
      <c r="BI168" s="654">
        <v>0.14000000000000001</v>
      </c>
      <c r="BJ168" s="654">
        <v>0.14000000000000001</v>
      </c>
      <c r="BK168" s="657">
        <v>0.14000000000000001</v>
      </c>
      <c r="BL168" s="821">
        <v>0.14000000000000001</v>
      </c>
      <c r="BM168" s="654">
        <v>0.14000000000000001</v>
      </c>
      <c r="BN168" s="654">
        <v>0.14000000000000001</v>
      </c>
      <c r="BO168" s="657">
        <v>0.14000000000000001</v>
      </c>
      <c r="BP168" s="23"/>
      <c r="BQ168" s="25"/>
      <c r="BR168" s="17"/>
      <c r="BS168" s="17"/>
      <c r="BT168" s="17"/>
      <c r="BU168" s="17"/>
      <c r="BV168" s="17"/>
      <c r="BW168" s="17"/>
      <c r="BX168" s="17"/>
      <c r="BY168" s="17"/>
      <c r="BZ168" s="17"/>
      <c r="CA168" s="17"/>
      <c r="CB168" s="17"/>
      <c r="CC168" s="17"/>
      <c r="CD168" s="17"/>
      <c r="CE168" s="17"/>
      <c r="CF168" s="253"/>
      <c r="CG168" s="25"/>
      <c r="CH168" s="8"/>
      <c r="CI168" s="8"/>
      <c r="CJ168" s="8"/>
      <c r="CK168" s="8"/>
    </row>
    <row r="169" spans="1:89" ht="14.25" customHeight="1">
      <c r="A169" s="634"/>
      <c r="B169" s="647" t="s">
        <v>295</v>
      </c>
      <c r="C169" s="253"/>
      <c r="D169" s="94"/>
      <c r="E169" s="94"/>
      <c r="F169" s="94"/>
      <c r="G169" s="95"/>
      <c r="H169" s="94"/>
      <c r="I169" s="94"/>
      <c r="J169" s="94"/>
      <c r="K169" s="95"/>
      <c r="L169" s="94"/>
      <c r="M169" s="94"/>
      <c r="N169" s="94"/>
      <c r="O169" s="95"/>
      <c r="P169" s="94"/>
      <c r="Q169" s="94"/>
      <c r="R169" s="94"/>
      <c r="S169" s="95"/>
      <c r="T169" s="94"/>
      <c r="U169" s="94"/>
      <c r="V169" s="94"/>
      <c r="W169" s="95"/>
      <c r="X169" s="94"/>
      <c r="Y169" s="94"/>
      <c r="Z169" s="94"/>
      <c r="AA169" s="95"/>
      <c r="AB169" s="654">
        <v>0.16</v>
      </c>
      <c r="AC169" s="655">
        <v>0.16</v>
      </c>
      <c r="AD169" s="655">
        <v>0.16</v>
      </c>
      <c r="AE169" s="656">
        <v>0.16</v>
      </c>
      <c r="AF169" s="654">
        <v>0.16</v>
      </c>
      <c r="AG169" s="654">
        <v>0.16</v>
      </c>
      <c r="AH169" s="654">
        <v>0.16</v>
      </c>
      <c r="AI169" s="654">
        <v>0.16</v>
      </c>
      <c r="AJ169" s="821">
        <v>0.16</v>
      </c>
      <c r="AK169" s="654">
        <v>0.16</v>
      </c>
      <c r="AL169" s="654">
        <v>0.16</v>
      </c>
      <c r="AM169" s="657">
        <v>0.16</v>
      </c>
      <c r="AN169" s="821">
        <v>0.16</v>
      </c>
      <c r="AO169" s="654">
        <v>0.16</v>
      </c>
      <c r="AP169" s="654">
        <v>0.16</v>
      </c>
      <c r="AQ169" s="657">
        <v>0.16</v>
      </c>
      <c r="AR169" s="821">
        <v>0.16</v>
      </c>
      <c r="AS169" s="654">
        <v>0.16</v>
      </c>
      <c r="AT169" s="654">
        <v>0.16</v>
      </c>
      <c r="AU169" s="657">
        <v>0.16</v>
      </c>
      <c r="AV169" s="654">
        <v>0.16</v>
      </c>
      <c r="AW169" s="654">
        <v>0.16</v>
      </c>
      <c r="AX169" s="654">
        <v>0.16</v>
      </c>
      <c r="AY169" s="657">
        <v>0.16</v>
      </c>
      <c r="AZ169" s="654">
        <v>0.16</v>
      </c>
      <c r="BA169" s="654">
        <v>0.16</v>
      </c>
      <c r="BB169" s="654">
        <v>0.16</v>
      </c>
      <c r="BC169" s="654">
        <v>0.16</v>
      </c>
      <c r="BD169" s="821">
        <v>0.16</v>
      </c>
      <c r="BE169" s="654">
        <v>0.15</v>
      </c>
      <c r="BF169" s="654">
        <v>0.16</v>
      </c>
      <c r="BG169" s="654">
        <v>0.16</v>
      </c>
      <c r="BH169" s="821">
        <v>0.16</v>
      </c>
      <c r="BI169" s="654">
        <v>0.16</v>
      </c>
      <c r="BJ169" s="654">
        <v>0.16</v>
      </c>
      <c r="BK169" s="657">
        <v>0.16</v>
      </c>
      <c r="BL169" s="821">
        <v>0.16</v>
      </c>
      <c r="BM169" s="654">
        <v>0.16</v>
      </c>
      <c r="BN169" s="654">
        <v>0.16</v>
      </c>
      <c r="BO169" s="657">
        <v>0.16</v>
      </c>
      <c r="BP169" s="23"/>
      <c r="BQ169" s="25"/>
      <c r="BR169" s="17"/>
      <c r="BS169" s="17"/>
      <c r="BT169" s="17"/>
      <c r="BU169" s="17"/>
      <c r="BV169" s="17"/>
      <c r="BW169" s="17"/>
      <c r="BX169" s="17"/>
      <c r="BY169" s="17"/>
      <c r="BZ169" s="17"/>
      <c r="CA169" s="17"/>
      <c r="CB169" s="17"/>
      <c r="CC169" s="17"/>
      <c r="CD169" s="17"/>
      <c r="CE169" s="17"/>
      <c r="CF169" s="253"/>
      <c r="CG169" s="25"/>
      <c r="CH169" s="8"/>
      <c r="CI169" s="8"/>
      <c r="CJ169" s="8"/>
      <c r="CK169" s="8"/>
    </row>
    <row r="170" spans="1:89" ht="14.25" customHeight="1">
      <c r="A170" s="634"/>
      <c r="B170" s="647"/>
      <c r="C170" s="253"/>
      <c r="D170" s="94"/>
      <c r="E170" s="94"/>
      <c r="F170" s="94"/>
      <c r="G170" s="95"/>
      <c r="H170" s="94"/>
      <c r="I170" s="94"/>
      <c r="J170" s="94"/>
      <c r="K170" s="95"/>
      <c r="L170" s="94"/>
      <c r="M170" s="94"/>
      <c r="N170" s="94"/>
      <c r="O170" s="95"/>
      <c r="P170" s="94"/>
      <c r="Q170" s="94"/>
      <c r="R170" s="94"/>
      <c r="S170" s="95"/>
      <c r="T170" s="94"/>
      <c r="U170" s="94"/>
      <c r="V170" s="94"/>
      <c r="W170" s="95"/>
      <c r="X170" s="94"/>
      <c r="Y170" s="94"/>
      <c r="Z170" s="94"/>
      <c r="AA170" s="95"/>
      <c r="AB170" s="669"/>
      <c r="AC170" s="669"/>
      <c r="AD170" s="669"/>
      <c r="AE170" s="670"/>
      <c r="AF170" s="671"/>
      <c r="AG170" s="671"/>
      <c r="AH170" s="671"/>
      <c r="AI170" s="671"/>
      <c r="AJ170" s="814"/>
      <c r="AK170" s="671"/>
      <c r="AL170" s="671"/>
      <c r="AM170" s="672"/>
      <c r="AN170" s="814"/>
      <c r="AO170" s="671"/>
      <c r="AP170" s="671"/>
      <c r="AQ170" s="671"/>
      <c r="AR170" s="814"/>
      <c r="AS170" s="671"/>
      <c r="AT170" s="671"/>
      <c r="AU170" s="672"/>
      <c r="AV170" s="671"/>
      <c r="AW170" s="671"/>
      <c r="AX170" s="671"/>
      <c r="AY170" s="672"/>
      <c r="AZ170" s="671"/>
      <c r="BA170" s="671"/>
      <c r="BB170" s="1400"/>
      <c r="BC170" s="1400"/>
      <c r="BD170" s="1402"/>
      <c r="BE170" s="1400"/>
      <c r="BF170" s="1400"/>
      <c r="BG170" s="1401"/>
      <c r="BH170" s="1402"/>
      <c r="BI170" s="1400"/>
      <c r="BJ170" s="1400"/>
      <c r="BK170" s="1401"/>
      <c r="BL170" s="1402"/>
      <c r="BM170" s="1400"/>
      <c r="BN170" s="1400"/>
      <c r="BO170" s="1401"/>
      <c r="BP170" s="23"/>
      <c r="BQ170" s="25"/>
      <c r="BR170" s="17"/>
      <c r="BS170" s="17"/>
      <c r="BT170" s="17"/>
      <c r="BU170" s="17"/>
      <c r="BV170" s="17"/>
      <c r="BW170" s="17"/>
      <c r="BX170" s="17"/>
      <c r="BY170" s="17"/>
      <c r="BZ170" s="17"/>
      <c r="CA170" s="17"/>
      <c r="CB170" s="17"/>
      <c r="CC170" s="17"/>
      <c r="CD170" s="17"/>
      <c r="CE170" s="17"/>
      <c r="CF170" s="253"/>
      <c r="CG170" s="25"/>
      <c r="CH170" s="8"/>
      <c r="CI170" s="8"/>
      <c r="CJ170" s="8"/>
      <c r="CK170" s="8"/>
    </row>
    <row r="171" spans="1:89" ht="14.25" customHeight="1">
      <c r="A171" s="634"/>
      <c r="B171" s="673" t="s">
        <v>315</v>
      </c>
      <c r="C171" s="253"/>
      <c r="D171" s="94"/>
      <c r="E171" s="94"/>
      <c r="F171" s="94"/>
      <c r="G171" s="95"/>
      <c r="H171" s="94"/>
      <c r="I171" s="94"/>
      <c r="J171" s="94"/>
      <c r="K171" s="95"/>
      <c r="L171" s="94"/>
      <c r="M171" s="94"/>
      <c r="N171" s="94"/>
      <c r="O171" s="95"/>
      <c r="P171" s="94"/>
      <c r="Q171" s="94"/>
      <c r="R171" s="94"/>
      <c r="S171" s="95"/>
      <c r="T171" s="94"/>
      <c r="U171" s="94"/>
      <c r="V171" s="94"/>
      <c r="W171" s="95"/>
      <c r="X171" s="94"/>
      <c r="Y171" s="94"/>
      <c r="Z171" s="94"/>
      <c r="AA171" s="95"/>
      <c r="AB171" s="666">
        <f>+AB173*AB12+AB174*AB80+AB175*AB33+AB176*AB54</f>
        <v>49.036000000000001</v>
      </c>
      <c r="AC171" s="668">
        <v>45</v>
      </c>
      <c r="AD171" s="668">
        <v>45</v>
      </c>
      <c r="AE171" s="667">
        <f t="shared" ref="AE171:AZ171" si="1238">+AE173*AE12+AE174*AE80+AE175*AE33+AE176*AE54</f>
        <v>48.548000000000002</v>
      </c>
      <c r="AF171" s="666">
        <f t="shared" si="1238"/>
        <v>43.584000000000003</v>
      </c>
      <c r="AG171" s="666">
        <f t="shared" si="1238"/>
        <v>44.926629999999996</v>
      </c>
      <c r="AH171" s="666">
        <f t="shared" si="1238"/>
        <v>45.395259999999993</v>
      </c>
      <c r="AI171" s="666">
        <f t="shared" si="1238"/>
        <v>46.928709999999995</v>
      </c>
      <c r="AJ171" s="819">
        <f t="shared" si="1238"/>
        <v>41.611719999999998</v>
      </c>
      <c r="AK171" s="666">
        <f t="shared" si="1238"/>
        <v>43.808760000000007</v>
      </c>
      <c r="AL171" s="666">
        <f t="shared" si="1238"/>
        <v>44.65907</v>
      </c>
      <c r="AM171" s="667">
        <f t="shared" si="1238"/>
        <v>44.833269999999992</v>
      </c>
      <c r="AN171" s="819">
        <f t="shared" si="1238"/>
        <v>41.159420000000004</v>
      </c>
      <c r="AO171" s="666">
        <f t="shared" si="1238"/>
        <v>45.358189999999993</v>
      </c>
      <c r="AP171" s="666">
        <f t="shared" si="1238"/>
        <v>47.391739999999999</v>
      </c>
      <c r="AQ171" s="666">
        <f t="shared" si="1238"/>
        <v>52.969619999999992</v>
      </c>
      <c r="AR171" s="819">
        <f t="shared" si="1238"/>
        <v>50.400960000000012</v>
      </c>
      <c r="AS171" s="666">
        <f t="shared" si="1238"/>
        <v>53.929169999999999</v>
      </c>
      <c r="AT171" s="666">
        <f t="shared" si="1238"/>
        <v>59.306330000000003</v>
      </c>
      <c r="AU171" s="667">
        <f t="shared" si="1238"/>
        <v>69.566479999999999</v>
      </c>
      <c r="AV171" s="666">
        <f t="shared" si="1238"/>
        <v>51.203109999999995</v>
      </c>
      <c r="AW171" s="666">
        <f t="shared" si="1238"/>
        <v>50.50741</v>
      </c>
      <c r="AX171" s="666">
        <f t="shared" si="1238"/>
        <v>59.104659999999996</v>
      </c>
      <c r="AY171" s="667">
        <f t="shared" si="1238"/>
        <v>70.45393</v>
      </c>
      <c r="AZ171" s="666">
        <f t="shared" si="1238"/>
        <v>68.565030000000007</v>
      </c>
      <c r="BA171" s="666">
        <f>+BA173*BA19+BA174*BA87+BA175*BA40+BA176*BA61</f>
        <v>67.698639999999997</v>
      </c>
      <c r="BB171" s="666">
        <f>+BB173*BB19+BB174*BB87+BB175*BB40+BB176*BB61</f>
        <v>70.764760409059988</v>
      </c>
      <c r="BC171" s="666">
        <f>+BC173*BC19+BC174*BC87+BC175*BC40+BC176*BC61</f>
        <v>78.066223793412206</v>
      </c>
      <c r="BD171" s="819">
        <f t="shared" ref="BD171:BO171" si="1239">+BD173*BD12+BD174*BD80+BD175*BD33+BD176*BD54</f>
        <v>100.79432000000001</v>
      </c>
      <c r="BE171" s="666">
        <f t="shared" si="1239"/>
        <v>96.615536299999988</v>
      </c>
      <c r="BF171" s="666">
        <f t="shared" si="1239"/>
        <v>99.582155770499995</v>
      </c>
      <c r="BG171" s="667">
        <f t="shared" si="1239"/>
        <v>103.30284865522499</v>
      </c>
      <c r="BH171" s="819">
        <f t="shared" si="1239"/>
        <v>97.370956919571753</v>
      </c>
      <c r="BI171" s="666">
        <f t="shared" si="1239"/>
        <v>101.09495236096051</v>
      </c>
      <c r="BJ171" s="666">
        <f t="shared" si="1239"/>
        <v>104.96911220855804</v>
      </c>
      <c r="BK171" s="667">
        <f t="shared" si="1239"/>
        <v>110.24868345930768</v>
      </c>
      <c r="BL171" s="819">
        <f t="shared" si="1239"/>
        <v>103.95271143444521</v>
      </c>
      <c r="BM171" s="666">
        <f t="shared" si="1239"/>
        <v>107.65652462503324</v>
      </c>
      <c r="BN171" s="666">
        <f t="shared" si="1239"/>
        <v>111.25136782990143</v>
      </c>
      <c r="BO171" s="667">
        <f t="shared" si="1239"/>
        <v>116.16872358894474</v>
      </c>
      <c r="BP171" s="23"/>
      <c r="BQ171" s="25"/>
      <c r="BR171" s="17"/>
      <c r="BS171" s="17"/>
      <c r="BT171" s="17"/>
      <c r="BU171" s="17"/>
      <c r="BV171" s="17"/>
      <c r="BW171" s="17"/>
      <c r="BX171" s="17"/>
      <c r="BY171" s="17"/>
      <c r="BZ171" s="17"/>
      <c r="CA171" s="17"/>
      <c r="CB171" s="17"/>
      <c r="CC171" s="17"/>
      <c r="CD171" s="17"/>
      <c r="CE171" s="17"/>
      <c r="CF171" s="253"/>
      <c r="CG171" s="25"/>
      <c r="CH171" s="8"/>
      <c r="CI171" s="8"/>
      <c r="CJ171" s="8"/>
      <c r="CK171" s="8"/>
    </row>
    <row r="172" spans="1:89" ht="14.25" customHeight="1">
      <c r="A172" s="634"/>
      <c r="B172" s="673" t="s">
        <v>319</v>
      </c>
      <c r="C172" s="253"/>
      <c r="D172" s="94"/>
      <c r="E172" s="94"/>
      <c r="F172" s="94"/>
      <c r="G172" s="95"/>
      <c r="H172" s="94"/>
      <c r="I172" s="94"/>
      <c r="J172" s="94"/>
      <c r="K172" s="95"/>
      <c r="L172" s="94"/>
      <c r="M172" s="94"/>
      <c r="N172" s="94"/>
      <c r="O172" s="95"/>
      <c r="P172" s="94"/>
      <c r="Q172" s="94"/>
      <c r="R172" s="94"/>
      <c r="S172" s="95"/>
      <c r="T172" s="94"/>
      <c r="U172" s="94"/>
      <c r="V172" s="94"/>
      <c r="W172" s="95"/>
      <c r="X172" s="94"/>
      <c r="Y172" s="94"/>
      <c r="Z172" s="94"/>
      <c r="AA172" s="95"/>
      <c r="AB172" s="649"/>
      <c r="AC172" s="653"/>
      <c r="AD172" s="653"/>
      <c r="AE172" s="650"/>
      <c r="AF172" s="651"/>
      <c r="AG172" s="651"/>
      <c r="AH172" s="651"/>
      <c r="AI172" s="651"/>
      <c r="AJ172" s="820"/>
      <c r="AK172" s="651"/>
      <c r="AL172" s="651"/>
      <c r="AM172" s="652"/>
      <c r="AN172" s="820"/>
      <c r="AO172" s="651"/>
      <c r="AP172" s="651"/>
      <c r="AQ172" s="651"/>
      <c r="AR172" s="820"/>
      <c r="AS172" s="651"/>
      <c r="AT172" s="651"/>
      <c r="AU172" s="652"/>
      <c r="AV172" s="651"/>
      <c r="AW172" s="651"/>
      <c r="AX172" s="651"/>
      <c r="AY172" s="652"/>
      <c r="AZ172" s="651"/>
      <c r="BA172" s="651"/>
      <c r="BB172" s="651"/>
      <c r="BC172" s="651"/>
      <c r="BD172" s="820"/>
      <c r="BE172" s="651"/>
      <c r="BF172" s="651"/>
      <c r="BG172" s="652"/>
      <c r="BH172" s="820"/>
      <c r="BI172" s="651"/>
      <c r="BJ172" s="651"/>
      <c r="BK172" s="652"/>
      <c r="BL172" s="820"/>
      <c r="BM172" s="651"/>
      <c r="BN172" s="651"/>
      <c r="BO172" s="652"/>
      <c r="BP172" s="23"/>
      <c r="BQ172" s="25"/>
      <c r="BR172" s="17"/>
      <c r="BS172" s="17"/>
      <c r="BT172" s="17"/>
      <c r="BU172" s="17"/>
      <c r="BV172" s="17"/>
      <c r="BW172" s="17"/>
      <c r="BX172" s="17"/>
      <c r="BY172" s="17"/>
      <c r="BZ172" s="17"/>
      <c r="CA172" s="17"/>
      <c r="CB172" s="17"/>
      <c r="CC172" s="17"/>
      <c r="CD172" s="17"/>
      <c r="CE172" s="17"/>
      <c r="CF172" s="253"/>
      <c r="CG172" s="25"/>
      <c r="CH172" s="8"/>
      <c r="CI172" s="8"/>
      <c r="CJ172" s="8"/>
      <c r="CK172" s="8"/>
    </row>
    <row r="173" spans="1:89" ht="14.25" customHeight="1">
      <c r="A173" s="634"/>
      <c r="B173" s="647" t="s">
        <v>293</v>
      </c>
      <c r="C173" s="253"/>
      <c r="D173" s="94"/>
      <c r="E173" s="94"/>
      <c r="F173" s="94"/>
      <c r="G173" s="95"/>
      <c r="H173" s="94"/>
      <c r="I173" s="94"/>
      <c r="J173" s="94"/>
      <c r="K173" s="95"/>
      <c r="L173" s="94"/>
      <c r="M173" s="94"/>
      <c r="N173" s="94"/>
      <c r="O173" s="95"/>
      <c r="P173" s="94"/>
      <c r="Q173" s="94"/>
      <c r="R173" s="94"/>
      <c r="S173" s="95"/>
      <c r="T173" s="94"/>
      <c r="U173" s="94"/>
      <c r="V173" s="94"/>
      <c r="W173" s="95"/>
      <c r="X173" s="94"/>
      <c r="Y173" s="94"/>
      <c r="Z173" s="94"/>
      <c r="AA173" s="95"/>
      <c r="AB173" s="655">
        <v>0.06</v>
      </c>
      <c r="AC173" s="655">
        <v>0.06</v>
      </c>
      <c r="AD173" s="655">
        <v>0.06</v>
      </c>
      <c r="AE173" s="656">
        <v>0.06</v>
      </c>
      <c r="AF173" s="654">
        <v>0.06</v>
      </c>
      <c r="AG173" s="654">
        <v>0.06</v>
      </c>
      <c r="AH173" s="654">
        <v>0.06</v>
      </c>
      <c r="AI173" s="654">
        <v>0.06</v>
      </c>
      <c r="AJ173" s="821">
        <v>0.06</v>
      </c>
      <c r="AK173" s="654">
        <v>0.06</v>
      </c>
      <c r="AL173" s="654">
        <v>0.06</v>
      </c>
      <c r="AM173" s="657">
        <v>0.06</v>
      </c>
      <c r="AN173" s="821">
        <v>0.06</v>
      </c>
      <c r="AO173" s="654">
        <v>0.06</v>
      </c>
      <c r="AP173" s="654">
        <v>0.06</v>
      </c>
      <c r="AQ173" s="654">
        <v>0.06</v>
      </c>
      <c r="AR173" s="821">
        <v>0.06</v>
      </c>
      <c r="AS173" s="654">
        <v>0.06</v>
      </c>
      <c r="AT173" s="654">
        <v>0.06</v>
      </c>
      <c r="AU173" s="657">
        <v>0.06</v>
      </c>
      <c r="AV173" s="654">
        <v>0.06</v>
      </c>
      <c r="AW173" s="654">
        <v>0.06</v>
      </c>
      <c r="AX173" s="654">
        <v>0.06</v>
      </c>
      <c r="AY173" s="657">
        <v>0.06</v>
      </c>
      <c r="AZ173" s="654">
        <v>0.06</v>
      </c>
      <c r="BA173" s="654">
        <v>0.06</v>
      </c>
      <c r="BB173" s="654">
        <v>0.06</v>
      </c>
      <c r="BC173" s="654">
        <v>0.06</v>
      </c>
      <c r="BD173" s="821">
        <v>0.06</v>
      </c>
      <c r="BE173" s="654">
        <v>0.06</v>
      </c>
      <c r="BF173" s="654">
        <v>0.06</v>
      </c>
      <c r="BG173" s="657">
        <v>0.06</v>
      </c>
      <c r="BH173" s="821">
        <v>0.06</v>
      </c>
      <c r="BI173" s="654">
        <v>0.06</v>
      </c>
      <c r="BJ173" s="654">
        <v>0.06</v>
      </c>
      <c r="BK173" s="657">
        <v>0.06</v>
      </c>
      <c r="BL173" s="821">
        <v>0.06</v>
      </c>
      <c r="BM173" s="654">
        <v>0.06</v>
      </c>
      <c r="BN173" s="654">
        <v>0.06</v>
      </c>
      <c r="BO173" s="657">
        <v>0.06</v>
      </c>
      <c r="BP173" s="23"/>
      <c r="BQ173" s="25"/>
      <c r="BR173" s="17"/>
      <c r="BS173" s="17"/>
      <c r="BT173" s="17"/>
      <c r="BU173" s="17"/>
      <c r="BV173" s="17"/>
      <c r="BW173" s="17"/>
      <c r="BX173" s="17"/>
      <c r="BY173" s="17"/>
      <c r="BZ173" s="17"/>
      <c r="CA173" s="17"/>
      <c r="CB173" s="17"/>
      <c r="CC173" s="17"/>
      <c r="CD173" s="17"/>
      <c r="CE173" s="17"/>
      <c r="CF173" s="253"/>
      <c r="CG173" s="25"/>
      <c r="CH173" s="8"/>
      <c r="CI173" s="8"/>
      <c r="CJ173" s="8"/>
      <c r="CK173" s="8"/>
    </row>
    <row r="174" spans="1:89" ht="14.25" customHeight="1">
      <c r="A174" s="634"/>
      <c r="B174" s="647" t="s">
        <v>296</v>
      </c>
      <c r="C174" s="253"/>
      <c r="D174" s="94"/>
      <c r="E174" s="94"/>
      <c r="F174" s="94"/>
      <c r="G174" s="95"/>
      <c r="H174" s="94"/>
      <c r="I174" s="94"/>
      <c r="J174" s="94"/>
      <c r="K174" s="95"/>
      <c r="L174" s="94"/>
      <c r="M174" s="94"/>
      <c r="N174" s="94"/>
      <c r="O174" s="95"/>
      <c r="P174" s="94"/>
      <c r="Q174" s="94"/>
      <c r="R174" s="94"/>
      <c r="S174" s="95"/>
      <c r="T174" s="94"/>
      <c r="U174" s="94"/>
      <c r="V174" s="94"/>
      <c r="W174" s="95"/>
      <c r="X174" s="94"/>
      <c r="Y174" s="94"/>
      <c r="Z174" s="94"/>
      <c r="AA174" s="95"/>
      <c r="AB174" s="655">
        <v>0.06</v>
      </c>
      <c r="AC174" s="655">
        <v>0.06</v>
      </c>
      <c r="AD174" s="655">
        <v>0.06</v>
      </c>
      <c r="AE174" s="656">
        <v>0.06</v>
      </c>
      <c r="AF174" s="654">
        <v>0.06</v>
      </c>
      <c r="AG174" s="654">
        <v>0.06</v>
      </c>
      <c r="AH174" s="654">
        <v>0.06</v>
      </c>
      <c r="AI174" s="654">
        <v>0.06</v>
      </c>
      <c r="AJ174" s="821">
        <v>0.06</v>
      </c>
      <c r="AK174" s="654">
        <v>0.06</v>
      </c>
      <c r="AL174" s="654">
        <v>0.06</v>
      </c>
      <c r="AM174" s="657">
        <v>0.06</v>
      </c>
      <c r="AN174" s="821">
        <v>0.06</v>
      </c>
      <c r="AO174" s="654">
        <v>0.06</v>
      </c>
      <c r="AP174" s="654">
        <v>0.06</v>
      </c>
      <c r="AQ174" s="654">
        <v>0.06</v>
      </c>
      <c r="AR174" s="821">
        <v>0.06</v>
      </c>
      <c r="AS174" s="654">
        <v>0.06</v>
      </c>
      <c r="AT174" s="654">
        <v>0.06</v>
      </c>
      <c r="AU174" s="657">
        <v>0.06</v>
      </c>
      <c r="AV174" s="654">
        <v>0.06</v>
      </c>
      <c r="AW174" s="654">
        <v>0.06</v>
      </c>
      <c r="AX174" s="654">
        <v>0.06</v>
      </c>
      <c r="AY174" s="657">
        <v>0.06</v>
      </c>
      <c r="AZ174" s="654">
        <v>0.06</v>
      </c>
      <c r="BA174" s="654">
        <v>0.06</v>
      </c>
      <c r="BB174" s="654">
        <v>0.06</v>
      </c>
      <c r="BC174" s="654">
        <v>0.06</v>
      </c>
      <c r="BD174" s="821">
        <v>0.06</v>
      </c>
      <c r="BE174" s="654">
        <v>0.06</v>
      </c>
      <c r="BF174" s="654">
        <v>0.06</v>
      </c>
      <c r="BG174" s="657">
        <v>0.06</v>
      </c>
      <c r="BH174" s="821">
        <v>0.06</v>
      </c>
      <c r="BI174" s="654">
        <v>0.06</v>
      </c>
      <c r="BJ174" s="654">
        <v>0.06</v>
      </c>
      <c r="BK174" s="657">
        <v>0.06</v>
      </c>
      <c r="BL174" s="821">
        <v>0.06</v>
      </c>
      <c r="BM174" s="654">
        <v>0.06</v>
      </c>
      <c r="BN174" s="654">
        <v>0.06</v>
      </c>
      <c r="BO174" s="657">
        <v>0.06</v>
      </c>
      <c r="BP174" s="23"/>
      <c r="BQ174" s="25"/>
      <c r="BR174" s="17"/>
      <c r="BS174" s="17"/>
      <c r="BT174" s="17"/>
      <c r="BU174" s="17"/>
      <c r="BV174" s="17"/>
      <c r="BW174" s="17"/>
      <c r="BX174" s="17"/>
      <c r="BY174" s="17"/>
      <c r="BZ174" s="17"/>
      <c r="CA174" s="17"/>
      <c r="CB174" s="17"/>
      <c r="CC174" s="17"/>
      <c r="CD174" s="17"/>
      <c r="CE174" s="17"/>
      <c r="CF174" s="253"/>
      <c r="CG174" s="25"/>
      <c r="CH174" s="8"/>
      <c r="CI174" s="8"/>
      <c r="CJ174" s="8"/>
      <c r="CK174" s="8"/>
    </row>
    <row r="175" spans="1:89" ht="14.25" customHeight="1">
      <c r="A175" s="634"/>
      <c r="B175" s="647" t="s">
        <v>294</v>
      </c>
      <c r="C175" s="253"/>
      <c r="D175" s="94"/>
      <c r="E175" s="94"/>
      <c r="F175" s="94"/>
      <c r="G175" s="95"/>
      <c r="H175" s="94"/>
      <c r="I175" s="94"/>
      <c r="J175" s="94"/>
      <c r="K175" s="95"/>
      <c r="L175" s="94"/>
      <c r="M175" s="94"/>
      <c r="N175" s="94"/>
      <c r="O175" s="95"/>
      <c r="P175" s="94"/>
      <c r="Q175" s="94"/>
      <c r="R175" s="94"/>
      <c r="S175" s="95"/>
      <c r="T175" s="94"/>
      <c r="U175" s="94"/>
      <c r="V175" s="94"/>
      <c r="W175" s="95"/>
      <c r="X175" s="94"/>
      <c r="Y175" s="94"/>
      <c r="Z175" s="94"/>
      <c r="AA175" s="95"/>
      <c r="AB175" s="655">
        <v>7.0000000000000007E-2</v>
      </c>
      <c r="AC175" s="655">
        <v>7.0000000000000007E-2</v>
      </c>
      <c r="AD175" s="655">
        <v>7.0000000000000007E-2</v>
      </c>
      <c r="AE175" s="656">
        <v>7.0000000000000007E-2</v>
      </c>
      <c r="AF175" s="654">
        <v>7.0000000000000007E-2</v>
      </c>
      <c r="AG175" s="654">
        <v>7.0000000000000007E-2</v>
      </c>
      <c r="AH175" s="654">
        <v>7.0000000000000007E-2</v>
      </c>
      <c r="AI175" s="654">
        <v>7.0000000000000007E-2</v>
      </c>
      <c r="AJ175" s="821">
        <v>7.0000000000000007E-2</v>
      </c>
      <c r="AK175" s="654">
        <v>7.0000000000000007E-2</v>
      </c>
      <c r="AL175" s="654">
        <v>7.0000000000000007E-2</v>
      </c>
      <c r="AM175" s="657">
        <v>7.0000000000000007E-2</v>
      </c>
      <c r="AN175" s="821">
        <v>7.0000000000000007E-2</v>
      </c>
      <c r="AO175" s="654">
        <v>7.0000000000000007E-2</v>
      </c>
      <c r="AP175" s="654">
        <v>7.0000000000000007E-2</v>
      </c>
      <c r="AQ175" s="654">
        <v>7.0000000000000007E-2</v>
      </c>
      <c r="AR175" s="821">
        <v>7.0000000000000007E-2</v>
      </c>
      <c r="AS175" s="654">
        <v>7.0000000000000007E-2</v>
      </c>
      <c r="AT175" s="654">
        <v>7.0000000000000007E-2</v>
      </c>
      <c r="AU175" s="657">
        <v>7.0000000000000007E-2</v>
      </c>
      <c r="AV175" s="654">
        <v>7.0000000000000007E-2</v>
      </c>
      <c r="AW175" s="654">
        <v>7.0000000000000007E-2</v>
      </c>
      <c r="AX175" s="654">
        <v>7.0000000000000007E-2</v>
      </c>
      <c r="AY175" s="657">
        <v>7.0000000000000007E-2</v>
      </c>
      <c r="AZ175" s="654">
        <v>7.0000000000000007E-2</v>
      </c>
      <c r="BA175" s="654">
        <v>7.0000000000000007E-2</v>
      </c>
      <c r="BB175" s="654">
        <v>7.0000000000000007E-2</v>
      </c>
      <c r="BC175" s="654">
        <v>7.0000000000000007E-2</v>
      </c>
      <c r="BD175" s="821">
        <v>7.0000000000000007E-2</v>
      </c>
      <c r="BE175" s="654">
        <v>7.0000000000000007E-2</v>
      </c>
      <c r="BF175" s="654">
        <v>7.0000000000000007E-2</v>
      </c>
      <c r="BG175" s="657">
        <v>7.0000000000000007E-2</v>
      </c>
      <c r="BH175" s="821">
        <v>7.0000000000000007E-2</v>
      </c>
      <c r="BI175" s="654">
        <v>7.0000000000000007E-2</v>
      </c>
      <c r="BJ175" s="654">
        <v>7.0000000000000007E-2</v>
      </c>
      <c r="BK175" s="657">
        <v>7.0000000000000007E-2</v>
      </c>
      <c r="BL175" s="821">
        <v>7.0000000000000007E-2</v>
      </c>
      <c r="BM175" s="654">
        <v>7.0000000000000007E-2</v>
      </c>
      <c r="BN175" s="654">
        <v>7.0000000000000007E-2</v>
      </c>
      <c r="BO175" s="657">
        <v>7.0000000000000007E-2</v>
      </c>
      <c r="BP175" s="23"/>
      <c r="BQ175" s="25"/>
      <c r="BR175" s="17"/>
      <c r="BS175" s="17"/>
      <c r="BT175" s="17"/>
      <c r="BU175" s="17"/>
      <c r="BV175" s="17"/>
      <c r="BW175" s="17"/>
      <c r="BX175" s="17"/>
      <c r="BY175" s="17"/>
      <c r="BZ175" s="17"/>
      <c r="CA175" s="17"/>
      <c r="CB175" s="17"/>
      <c r="CC175" s="17"/>
      <c r="CD175" s="17"/>
      <c r="CE175" s="17"/>
      <c r="CF175" s="253"/>
      <c r="CG175" s="25"/>
      <c r="CH175" s="8"/>
      <c r="CI175" s="8"/>
      <c r="CJ175" s="8"/>
      <c r="CK175" s="8"/>
    </row>
    <row r="176" spans="1:89" ht="14.25" customHeight="1">
      <c r="A176" s="634"/>
      <c r="B176" s="647" t="s">
        <v>295</v>
      </c>
      <c r="C176" s="253"/>
      <c r="D176" s="94"/>
      <c r="E176" s="94"/>
      <c r="F176" s="94"/>
      <c r="G176" s="95"/>
      <c r="H176" s="94"/>
      <c r="I176" s="94"/>
      <c r="J176" s="94"/>
      <c r="K176" s="95"/>
      <c r="L176" s="94"/>
      <c r="M176" s="94"/>
      <c r="N176" s="94"/>
      <c r="O176" s="95"/>
      <c r="P176" s="94"/>
      <c r="Q176" s="94"/>
      <c r="R176" s="94"/>
      <c r="S176" s="95"/>
      <c r="T176" s="94"/>
      <c r="U176" s="94"/>
      <c r="V176" s="94"/>
      <c r="W176" s="95"/>
      <c r="X176" s="94"/>
      <c r="Y176" s="94"/>
      <c r="Z176" s="94"/>
      <c r="AA176" s="95"/>
      <c r="AB176" s="655">
        <v>0.09</v>
      </c>
      <c r="AC176" s="655">
        <v>0.09</v>
      </c>
      <c r="AD176" s="655">
        <v>0.09</v>
      </c>
      <c r="AE176" s="656">
        <v>0.09</v>
      </c>
      <c r="AF176" s="654">
        <v>0.09</v>
      </c>
      <c r="AG176" s="654">
        <v>0.09</v>
      </c>
      <c r="AH176" s="654">
        <v>0.09</v>
      </c>
      <c r="AI176" s="654">
        <v>0.09</v>
      </c>
      <c r="AJ176" s="821">
        <v>0.09</v>
      </c>
      <c r="AK176" s="654">
        <v>0.09</v>
      </c>
      <c r="AL176" s="654">
        <v>0.09</v>
      </c>
      <c r="AM176" s="657">
        <v>0.09</v>
      </c>
      <c r="AN176" s="821">
        <v>0.09</v>
      </c>
      <c r="AO176" s="654">
        <v>0.09</v>
      </c>
      <c r="AP176" s="654">
        <v>0.09</v>
      </c>
      <c r="AQ176" s="654">
        <v>0.09</v>
      </c>
      <c r="AR176" s="821">
        <v>0.09</v>
      </c>
      <c r="AS176" s="654">
        <v>0.09</v>
      </c>
      <c r="AT176" s="654">
        <v>0.09</v>
      </c>
      <c r="AU176" s="657">
        <v>0.09</v>
      </c>
      <c r="AV176" s="654">
        <v>0.09</v>
      </c>
      <c r="AW176" s="654">
        <v>0.09</v>
      </c>
      <c r="AX176" s="654">
        <v>0.09</v>
      </c>
      <c r="AY176" s="657">
        <v>0.09</v>
      </c>
      <c r="AZ176" s="654">
        <v>0.09</v>
      </c>
      <c r="BA176" s="654">
        <v>0.09</v>
      </c>
      <c r="BB176" s="654">
        <v>0.09</v>
      </c>
      <c r="BC176" s="654">
        <v>0.09</v>
      </c>
      <c r="BD176" s="821">
        <v>0.09</v>
      </c>
      <c r="BE176" s="654">
        <v>0.09</v>
      </c>
      <c r="BF176" s="654">
        <v>0.09</v>
      </c>
      <c r="BG176" s="657">
        <v>0.09</v>
      </c>
      <c r="BH176" s="821">
        <v>0.09</v>
      </c>
      <c r="BI176" s="654">
        <v>0.09</v>
      </c>
      <c r="BJ176" s="654">
        <v>0.09</v>
      </c>
      <c r="BK176" s="657">
        <v>0.09</v>
      </c>
      <c r="BL176" s="821">
        <v>0.09</v>
      </c>
      <c r="BM176" s="654">
        <v>0.09</v>
      </c>
      <c r="BN176" s="654">
        <v>0.09</v>
      </c>
      <c r="BO176" s="657">
        <v>0.09</v>
      </c>
      <c r="BP176" s="23"/>
      <c r="BQ176" s="25"/>
      <c r="BR176" s="17"/>
      <c r="BS176" s="17"/>
      <c r="BT176" s="17"/>
      <c r="BU176" s="17"/>
      <c r="BV176" s="17"/>
      <c r="BW176" s="17"/>
      <c r="BX176" s="17"/>
      <c r="BY176" s="17"/>
      <c r="BZ176" s="17"/>
      <c r="CA176" s="17"/>
      <c r="CB176" s="17"/>
      <c r="CC176" s="17"/>
      <c r="CD176" s="17"/>
      <c r="CE176" s="17"/>
      <c r="CF176" s="253"/>
      <c r="CG176" s="25"/>
      <c r="CH176" s="8"/>
      <c r="CI176" s="8"/>
      <c r="CJ176" s="8"/>
      <c r="CK176" s="8"/>
    </row>
    <row r="177" spans="1:89" ht="14.25" customHeight="1">
      <c r="A177" s="634"/>
      <c r="B177" s="647"/>
      <c r="C177" s="253"/>
      <c r="D177" s="94"/>
      <c r="E177" s="94"/>
      <c r="F177" s="94"/>
      <c r="G177" s="95"/>
      <c r="H177" s="94"/>
      <c r="I177" s="94"/>
      <c r="J177" s="94"/>
      <c r="K177" s="95"/>
      <c r="L177" s="94"/>
      <c r="M177" s="94"/>
      <c r="N177" s="94"/>
      <c r="O177" s="95"/>
      <c r="P177" s="94"/>
      <c r="Q177" s="94"/>
      <c r="R177" s="94"/>
      <c r="S177" s="95"/>
      <c r="T177" s="94"/>
      <c r="U177" s="94"/>
      <c r="V177" s="94"/>
      <c r="W177" s="95"/>
      <c r="X177" s="94"/>
      <c r="Y177" s="94"/>
      <c r="Z177" s="94"/>
      <c r="AA177" s="95"/>
      <c r="AB177" s="649"/>
      <c r="AC177" s="649"/>
      <c r="AD177" s="649"/>
      <c r="AE177" s="650"/>
      <c r="AF177" s="651"/>
      <c r="AG177" s="651"/>
      <c r="AH177" s="651"/>
      <c r="AI177" s="651"/>
      <c r="AJ177" s="820"/>
      <c r="AK177" s="651"/>
      <c r="AL177" s="651"/>
      <c r="AM177" s="652"/>
      <c r="AN177" s="820"/>
      <c r="AO177" s="651"/>
      <c r="AP177" s="651"/>
      <c r="AQ177" s="651"/>
      <c r="AR177" s="820"/>
      <c r="AS177" s="651"/>
      <c r="AT177" s="651"/>
      <c r="AU177" s="652"/>
      <c r="AV177" s="651"/>
      <c r="AW177" s="651"/>
      <c r="AX177" s="651"/>
      <c r="AY177" s="652"/>
      <c r="AZ177" s="651"/>
      <c r="BA177" s="651"/>
      <c r="BB177" s="651"/>
      <c r="BC177" s="651"/>
      <c r="BD177" s="820"/>
      <c r="BE177" s="651"/>
      <c r="BF177" s="651"/>
      <c r="BG177" s="652"/>
      <c r="BH177" s="820"/>
      <c r="BI177" s="651"/>
      <c r="BJ177" s="651"/>
      <c r="BK177" s="652"/>
      <c r="BL177" s="820"/>
      <c r="BM177" s="651"/>
      <c r="BN177" s="651"/>
      <c r="BO177" s="652"/>
      <c r="BP177" s="23"/>
      <c r="BQ177" s="25"/>
      <c r="BR177" s="17"/>
      <c r="BS177" s="17"/>
      <c r="BT177" s="17"/>
      <c r="BU177" s="17"/>
      <c r="BV177" s="17"/>
      <c r="BW177" s="17"/>
      <c r="BX177" s="17"/>
      <c r="BY177" s="17"/>
      <c r="BZ177" s="17"/>
      <c r="CA177" s="17"/>
      <c r="CB177" s="17"/>
      <c r="CC177" s="17"/>
      <c r="CD177" s="17"/>
      <c r="CE177" s="17"/>
      <c r="CF177" s="253"/>
      <c r="CG177" s="25"/>
      <c r="CH177" s="8"/>
      <c r="CI177" s="8"/>
      <c r="CJ177" s="8"/>
      <c r="CK177" s="8"/>
    </row>
    <row r="178" spans="1:89" ht="14.25" customHeight="1">
      <c r="A178" s="634"/>
      <c r="B178" s="673" t="s">
        <v>252</v>
      </c>
      <c r="C178" s="253"/>
      <c r="D178" s="94"/>
      <c r="E178" s="94"/>
      <c r="F178" s="94"/>
      <c r="G178" s="95"/>
      <c r="H178" s="94"/>
      <c r="I178" s="94"/>
      <c r="J178" s="94"/>
      <c r="K178" s="95"/>
      <c r="L178" s="94"/>
      <c r="M178" s="94"/>
      <c r="N178" s="94"/>
      <c r="O178" s="95"/>
      <c r="P178" s="94"/>
      <c r="Q178" s="94"/>
      <c r="R178" s="94"/>
      <c r="S178" s="95"/>
      <c r="T178" s="94"/>
      <c r="U178" s="94"/>
      <c r="V178" s="94"/>
      <c r="W178" s="95"/>
      <c r="X178" s="94"/>
      <c r="Y178" s="94"/>
      <c r="Z178" s="94"/>
      <c r="AA178" s="95"/>
      <c r="AB178" s="649">
        <f>+CFS!AB82</f>
        <v>29.492999999999999</v>
      </c>
      <c r="AC178" s="649">
        <f>+CFS!AC82</f>
        <v>29.466000000000005</v>
      </c>
      <c r="AD178" s="649">
        <f>+CFS!AD82</f>
        <v>29.132999999999992</v>
      </c>
      <c r="AE178" s="650">
        <f>+CFS!AE82</f>
        <v>28.781000000000002</v>
      </c>
      <c r="AF178" s="651">
        <f>+CFS!AF82</f>
        <v>28.242999999999999</v>
      </c>
      <c r="AG178" s="651">
        <f>+CFS!AG82</f>
        <v>26.870999999999999</v>
      </c>
      <c r="AH178" s="651">
        <f>+CFS!AH82</f>
        <v>27.10700000000001</v>
      </c>
      <c r="AI178" s="651">
        <f>+CFS!AI82</f>
        <v>27.483999999999991</v>
      </c>
      <c r="AJ178" s="820">
        <f>+CFS!AJ82</f>
        <v>27.754999999999999</v>
      </c>
      <c r="AK178" s="651">
        <f>+CFS!AK82</f>
        <v>27.478000000000005</v>
      </c>
      <c r="AL178" s="651">
        <f>+CFS!AL82</f>
        <v>27.44799999999999</v>
      </c>
      <c r="AM178" s="652">
        <f>+CFS!AM82</f>
        <v>27.514999999999997</v>
      </c>
      <c r="AN178" s="820">
        <f>+CFS!AN82</f>
        <v>27.335000000000001</v>
      </c>
      <c r="AO178" s="651">
        <f>+CFS!AO82</f>
        <v>27.458999999999996</v>
      </c>
      <c r="AP178" s="651">
        <f>+CFS!AP82</f>
        <v>28.353000000000009</v>
      </c>
      <c r="AQ178" s="651">
        <f>+CFS!AQ82</f>
        <v>30.916999999999987</v>
      </c>
      <c r="AR178" s="820">
        <f>+CFS!AR82</f>
        <v>31.773</v>
      </c>
      <c r="AS178" s="651">
        <f>+CFS!AS82</f>
        <v>32.036000000000001</v>
      </c>
      <c r="AT178" s="651">
        <f>+CFS!AT82</f>
        <v>33.650000000000006</v>
      </c>
      <c r="AU178" s="652">
        <f>+CFS!AU82</f>
        <v>32.687999999999988</v>
      </c>
      <c r="AV178" s="651">
        <f>+CFS!AV82</f>
        <v>33.209000000000003</v>
      </c>
      <c r="AW178" s="651">
        <f>+CFS!AW82</f>
        <v>33.48299999999999</v>
      </c>
      <c r="AX178" s="651">
        <f>+CFS!AX82</f>
        <v>33.732000000000014</v>
      </c>
      <c r="AY178" s="652">
        <f>+CFS!AY82</f>
        <v>34.115999999999985</v>
      </c>
      <c r="AZ178" s="651">
        <f>+CFS!AZ82</f>
        <v>34.378999999999998</v>
      </c>
      <c r="BA178" s="651">
        <f>+CFS!BA82-BA153</f>
        <v>33.771999999999998</v>
      </c>
      <c r="BB178" s="651">
        <f>+CFS!BB82-BB153</f>
        <v>40.217000000000006</v>
      </c>
      <c r="BC178" s="651">
        <f>+CFS!BC82-BC153</f>
        <v>56.297999999999995</v>
      </c>
      <c r="BD178" s="820">
        <f>+CFS!BD82-BD153</f>
        <v>56.414999999999999</v>
      </c>
      <c r="BE178" s="651">
        <f>+CFS!BE82-BE153</f>
        <v>57.646111661514844</v>
      </c>
      <c r="BF178" s="651">
        <f>+CFS!BF82-BF153</f>
        <v>58.913322459729336</v>
      </c>
      <c r="BG178" s="652">
        <f>+CFS!BG82-BG153</f>
        <v>60.222365010802449</v>
      </c>
      <c r="BH178" s="820">
        <f>+CFS!BH82-BH153</f>
        <v>58.726801575683773</v>
      </c>
      <c r="BI178" s="651">
        <f>+CFS!BI82-BI153</f>
        <v>59.966677768973426</v>
      </c>
      <c r="BJ178" s="651">
        <f>+CFS!BJ82-BJ153</f>
        <v>61.252020999431963</v>
      </c>
      <c r="BK178" s="652">
        <f>+CFS!BK82-BK153</f>
        <v>62.590942698182054</v>
      </c>
      <c r="BL178" s="820">
        <f>+CFS!BL82-BL153</f>
        <v>63.860283107458798</v>
      </c>
      <c r="BM178" s="651">
        <f>+CFS!BM82-BM153</f>
        <v>65.183338064734073</v>
      </c>
      <c r="BN178" s="651">
        <f>+CFS!BN82-BN153</f>
        <v>66.548140188935093</v>
      </c>
      <c r="BO178" s="652">
        <f>+CFS!BO82-BO153</f>
        <v>67.961399049982532</v>
      </c>
      <c r="BP178" s="23"/>
      <c r="BQ178" s="25"/>
      <c r="BR178" s="17"/>
      <c r="BS178" s="17"/>
      <c r="BT178" s="17"/>
      <c r="BU178" s="17"/>
      <c r="BV178" s="17"/>
      <c r="BW178" s="17"/>
      <c r="BX178" s="17"/>
      <c r="BY178" s="17"/>
      <c r="BZ178" s="17"/>
      <c r="CA178" s="17"/>
      <c r="CB178" s="17"/>
      <c r="CC178" s="17"/>
      <c r="CD178" s="17"/>
      <c r="CE178" s="17"/>
      <c r="CF178" s="253"/>
      <c r="CG178" s="25"/>
      <c r="CH178" s="8"/>
      <c r="CI178" s="8"/>
      <c r="CJ178" s="8"/>
      <c r="CK178" s="8"/>
    </row>
    <row r="179" spans="1:89" ht="14.25" customHeight="1">
      <c r="A179" s="634"/>
      <c r="B179" s="647"/>
      <c r="C179" s="253"/>
      <c r="D179" s="94"/>
      <c r="E179" s="94"/>
      <c r="F179" s="94"/>
      <c r="G179" s="95"/>
      <c r="H179" s="94"/>
      <c r="I179" s="94"/>
      <c r="J179" s="94"/>
      <c r="K179" s="95"/>
      <c r="L179" s="94"/>
      <c r="M179" s="94"/>
      <c r="N179" s="94"/>
      <c r="O179" s="95"/>
      <c r="P179" s="94"/>
      <c r="Q179" s="94"/>
      <c r="R179" s="94"/>
      <c r="S179" s="95"/>
      <c r="T179" s="94"/>
      <c r="U179" s="94"/>
      <c r="V179" s="94"/>
      <c r="W179" s="95"/>
      <c r="X179" s="94"/>
      <c r="Y179" s="94"/>
      <c r="Z179" s="94"/>
      <c r="AA179" s="95"/>
      <c r="AB179" s="649"/>
      <c r="AC179" s="649"/>
      <c r="AD179" s="649"/>
      <c r="AE179" s="650"/>
      <c r="AF179" s="651"/>
      <c r="AG179" s="651"/>
      <c r="AH179" s="651"/>
      <c r="AI179" s="651"/>
      <c r="AJ179" s="820"/>
      <c r="AK179" s="651"/>
      <c r="AL179" s="651"/>
      <c r="AM179" s="652"/>
      <c r="AN179" s="820"/>
      <c r="AO179" s="651"/>
      <c r="AP179" s="651"/>
      <c r="AQ179" s="651"/>
      <c r="AR179" s="820"/>
      <c r="AS179" s="651"/>
      <c r="AT179" s="651"/>
      <c r="AU179" s="652"/>
      <c r="AV179" s="651"/>
      <c r="AW179" s="651"/>
      <c r="AX179" s="651"/>
      <c r="AY179" s="652"/>
      <c r="AZ179" s="651"/>
      <c r="BA179" s="651"/>
      <c r="BB179" s="651"/>
      <c r="BC179" s="651"/>
      <c r="BD179" s="820"/>
      <c r="BE179" s="651"/>
      <c r="BF179" s="651"/>
      <c r="BG179" s="652"/>
      <c r="BH179" s="820"/>
      <c r="BI179" s="651"/>
      <c r="BJ179" s="651"/>
      <c r="BK179" s="652"/>
      <c r="BL179" s="820"/>
      <c r="BM179" s="651"/>
      <c r="BN179" s="651"/>
      <c r="BO179" s="652"/>
      <c r="BP179" s="23"/>
      <c r="BQ179" s="25"/>
      <c r="BR179" s="17"/>
      <c r="BS179" s="17"/>
      <c r="BT179" s="17"/>
      <c r="BU179" s="17"/>
      <c r="BV179" s="17"/>
      <c r="BW179" s="17"/>
      <c r="BX179" s="17"/>
      <c r="BY179" s="17"/>
      <c r="BZ179" s="17"/>
      <c r="CA179" s="17"/>
      <c r="CB179" s="17"/>
      <c r="CC179" s="17"/>
      <c r="CD179" s="17"/>
      <c r="CE179" s="17"/>
      <c r="CF179" s="253"/>
      <c r="CG179" s="25"/>
      <c r="CH179" s="8"/>
      <c r="CI179" s="8"/>
      <c r="CJ179" s="8"/>
      <c r="CK179" s="8"/>
    </row>
    <row r="180" spans="1:89" ht="14.25" customHeight="1">
      <c r="A180" s="634"/>
      <c r="B180" s="673" t="s">
        <v>320</v>
      </c>
      <c r="C180" s="253"/>
      <c r="D180" s="94"/>
      <c r="E180" s="94"/>
      <c r="F180" s="94"/>
      <c r="G180" s="95"/>
      <c r="H180" s="94"/>
      <c r="I180" s="94"/>
      <c r="J180" s="94"/>
      <c r="K180" s="95"/>
      <c r="L180" s="94"/>
      <c r="M180" s="94"/>
      <c r="N180" s="94"/>
      <c r="O180" s="95"/>
      <c r="P180" s="94"/>
      <c r="Q180" s="94"/>
      <c r="R180" s="94"/>
      <c r="S180" s="95"/>
      <c r="T180" s="94"/>
      <c r="U180" s="94"/>
      <c r="V180" s="94"/>
      <c r="W180" s="95"/>
      <c r="X180" s="94"/>
      <c r="Y180" s="94"/>
      <c r="Z180" s="94"/>
      <c r="AA180" s="95"/>
      <c r="AB180" s="940">
        <f t="shared" ref="AB180:AK180" si="1240">+AB158-AB164-AB171-AB178</f>
        <v>82.407999999999987</v>
      </c>
      <c r="AC180" s="940">
        <f t="shared" si="1240"/>
        <v>90.607999999999947</v>
      </c>
      <c r="AD180" s="940">
        <f t="shared" si="1240"/>
        <v>86.155000000000015</v>
      </c>
      <c r="AE180" s="941">
        <f t="shared" si="1240"/>
        <v>93.269000000000005</v>
      </c>
      <c r="AF180" s="942">
        <f t="shared" si="1240"/>
        <v>90.253000000000014</v>
      </c>
      <c r="AG180" s="942">
        <f t="shared" si="1240"/>
        <v>84.130110000000045</v>
      </c>
      <c r="AH180" s="942">
        <f t="shared" si="1240"/>
        <v>83.226639999999975</v>
      </c>
      <c r="AI180" s="942">
        <f t="shared" si="1240"/>
        <v>95.106610000000003</v>
      </c>
      <c r="AJ180" s="943">
        <f t="shared" si="1240"/>
        <v>89.550900000000013</v>
      </c>
      <c r="AK180" s="940">
        <f t="shared" si="1240"/>
        <v>88.891140000000007</v>
      </c>
      <c r="AL180" s="940">
        <f t="shared" ref="AL180:AV180" si="1241">+AL158-AL164-AL171-AL178</f>
        <v>88.760510000000011</v>
      </c>
      <c r="AM180" s="1022">
        <f t="shared" si="1241"/>
        <v>82.191230000000004</v>
      </c>
      <c r="AN180" s="943">
        <f t="shared" si="1241"/>
        <v>78.388359999999977</v>
      </c>
      <c r="AO180" s="940">
        <f t="shared" si="1241"/>
        <v>83.440390000000036</v>
      </c>
      <c r="AP180" s="940">
        <f t="shared" si="1241"/>
        <v>92.887779999999992</v>
      </c>
      <c r="AQ180" s="1022">
        <f t="shared" si="1241"/>
        <v>151.97922</v>
      </c>
      <c r="AR180" s="943">
        <f t="shared" si="1241"/>
        <v>98.369339999999994</v>
      </c>
      <c r="AS180" s="940">
        <f t="shared" si="1241"/>
        <v>95.99973</v>
      </c>
      <c r="AT180" s="940">
        <f t="shared" si="1241"/>
        <v>97.424129999999963</v>
      </c>
      <c r="AU180" s="1022">
        <f t="shared" si="1241"/>
        <v>112.46924000000001</v>
      </c>
      <c r="AV180" s="943">
        <f t="shared" si="1241"/>
        <v>118.17363000000006</v>
      </c>
      <c r="AW180" s="940">
        <f>+AW158-AW164-AW171-AW178</f>
        <v>95.672470000000018</v>
      </c>
      <c r="AX180" s="940">
        <f>+AX158-AX164-AX171-AX178</f>
        <v>100.95449999999998</v>
      </c>
      <c r="AY180" s="1022">
        <f t="shared" ref="AY180:AZ180" si="1242">+AY158-AY164-AY171-AY178</f>
        <v>108.69997000000001</v>
      </c>
      <c r="AZ180" s="943">
        <f t="shared" si="1242"/>
        <v>112.78818999999999</v>
      </c>
      <c r="BA180" s="940">
        <f>+BA158-BA164-BA171-BA178</f>
        <v>41.915491579696102</v>
      </c>
      <c r="BB180" s="940">
        <f>+BB158-BB164-BB171-BB178</f>
        <v>87.205368496833813</v>
      </c>
      <c r="BC180" s="940">
        <f>+BC158-BC164-BC171-BC178</f>
        <v>178.26620896155956</v>
      </c>
      <c r="BD180" s="943">
        <f>+BD158-BD164-BD171-BD178</f>
        <v>149.96511999999998</v>
      </c>
      <c r="BE180" s="668">
        <v>102</v>
      </c>
      <c r="BF180" s="668">
        <v>98</v>
      </c>
      <c r="BG180" s="1064">
        <v>94</v>
      </c>
      <c r="BH180" s="1063">
        <v>105</v>
      </c>
      <c r="BI180" s="668">
        <v>102</v>
      </c>
      <c r="BJ180" s="668">
        <v>97</v>
      </c>
      <c r="BK180" s="1064">
        <v>97</v>
      </c>
      <c r="BL180" s="1063">
        <v>105</v>
      </c>
      <c r="BM180" s="668">
        <v>102</v>
      </c>
      <c r="BN180" s="668">
        <v>97</v>
      </c>
      <c r="BO180" s="1064">
        <v>97</v>
      </c>
      <c r="BP180" s="23"/>
      <c r="BQ180" s="25"/>
      <c r="BR180" s="17"/>
      <c r="BS180" s="17"/>
      <c r="BT180" s="17"/>
      <c r="BU180" s="17"/>
      <c r="BV180" s="17"/>
      <c r="BW180" s="17"/>
      <c r="BX180" s="17"/>
      <c r="BY180" s="17"/>
      <c r="BZ180" s="17"/>
      <c r="CA180" s="17"/>
      <c r="CB180" s="17"/>
      <c r="CC180" s="17"/>
      <c r="CD180" s="17"/>
      <c r="CE180" s="17"/>
      <c r="CF180" s="253"/>
      <c r="CG180" s="25"/>
      <c r="CH180" s="8"/>
      <c r="CI180" s="8"/>
      <c r="CJ180" s="8"/>
      <c r="CK180" s="8"/>
    </row>
    <row r="181" spans="1:89" s="923" customFormat="1" ht="14.25" customHeight="1">
      <c r="A181" s="634"/>
      <c r="B181" s="673"/>
      <c r="C181" s="27"/>
      <c r="D181" s="94"/>
      <c r="E181" s="94"/>
      <c r="F181" s="94"/>
      <c r="G181" s="95"/>
      <c r="H181" s="94"/>
      <c r="I181" s="94"/>
      <c r="J181" s="94"/>
      <c r="K181" s="95"/>
      <c r="L181" s="94"/>
      <c r="M181" s="94"/>
      <c r="N181" s="94"/>
      <c r="O181" s="95"/>
      <c r="P181" s="94"/>
      <c r="Q181" s="94"/>
      <c r="R181" s="94"/>
      <c r="S181" s="95"/>
      <c r="T181" s="94"/>
      <c r="U181" s="94"/>
      <c r="V181" s="94"/>
      <c r="W181" s="95"/>
      <c r="X181" s="94"/>
      <c r="Y181" s="94"/>
      <c r="Z181" s="94"/>
      <c r="AA181" s="95"/>
      <c r="AB181" s="649"/>
      <c r="AC181" s="649"/>
      <c r="AD181" s="649"/>
      <c r="AE181" s="650"/>
      <c r="AF181" s="649"/>
      <c r="AG181" s="649"/>
      <c r="AH181" s="649"/>
      <c r="AI181" s="649"/>
      <c r="AJ181" s="921"/>
      <c r="AK181" s="649"/>
      <c r="AL181" s="653"/>
      <c r="AM181" s="650"/>
      <c r="AN181" s="1065"/>
      <c r="AO181" s="653"/>
      <c r="AP181" s="653"/>
      <c r="AQ181" s="653"/>
      <c r="AR181" s="1065"/>
      <c r="AS181" s="653"/>
      <c r="AT181" s="653"/>
      <c r="AU181" s="922"/>
      <c r="AV181" s="653"/>
      <c r="AW181" s="653"/>
      <c r="AX181" s="653"/>
      <c r="AY181" s="922"/>
      <c r="AZ181" s="653"/>
      <c r="BA181" s="653"/>
      <c r="BB181" s="653"/>
      <c r="BC181" s="653"/>
      <c r="BD181" s="1065"/>
      <c r="BE181" s="653"/>
      <c r="BF181" s="653"/>
      <c r="BG181" s="922"/>
      <c r="BH181" s="1065"/>
      <c r="BI181" s="653"/>
      <c r="BJ181" s="653"/>
      <c r="BK181" s="922"/>
      <c r="BL181" s="1065"/>
      <c r="BM181" s="653"/>
      <c r="BN181" s="653"/>
      <c r="BO181" s="922"/>
      <c r="BP181" s="176"/>
      <c r="BQ181" s="26"/>
      <c r="BR181" s="70"/>
      <c r="BS181" s="70"/>
      <c r="BT181" s="70"/>
      <c r="BU181" s="70"/>
      <c r="BV181" s="70"/>
      <c r="BW181" s="70"/>
      <c r="BX181" s="70"/>
      <c r="BY181" s="70"/>
      <c r="BZ181" s="70"/>
      <c r="CA181" s="70"/>
      <c r="CB181" s="70"/>
      <c r="CC181" s="70"/>
      <c r="CD181" s="70"/>
      <c r="CE181" s="70"/>
      <c r="CF181" s="27"/>
      <c r="CG181" s="26"/>
      <c r="CH181" s="11"/>
      <c r="CI181" s="11"/>
      <c r="CJ181" s="11"/>
      <c r="CK181" s="11"/>
    </row>
    <row r="182" spans="1:89" s="932" customFormat="1" ht="14.25" customHeight="1">
      <c r="A182" s="634"/>
      <c r="B182" s="925" t="s">
        <v>487</v>
      </c>
      <c r="C182" s="926"/>
      <c r="D182" s="927"/>
      <c r="E182" s="927"/>
      <c r="F182" s="927"/>
      <c r="G182" s="928"/>
      <c r="H182" s="927"/>
      <c r="I182" s="927"/>
      <c r="J182" s="927"/>
      <c r="K182" s="928"/>
      <c r="L182" s="927"/>
      <c r="M182" s="927"/>
      <c r="N182" s="927"/>
      <c r="O182" s="928"/>
      <c r="P182" s="927"/>
      <c r="Q182" s="927"/>
      <c r="R182" s="927"/>
      <c r="S182" s="928"/>
      <c r="T182" s="927"/>
      <c r="U182" s="927"/>
      <c r="V182" s="927"/>
      <c r="W182" s="928"/>
      <c r="X182" s="927"/>
      <c r="Y182" s="927"/>
      <c r="Z182" s="927"/>
      <c r="AA182" s="928"/>
      <c r="AB182" s="929"/>
      <c r="AC182" s="929"/>
      <c r="AD182" s="929"/>
      <c r="AE182" s="930"/>
      <c r="AF182" s="929"/>
      <c r="AG182" s="929"/>
      <c r="AH182" s="933" t="s">
        <v>486</v>
      </c>
      <c r="AI182" s="929">
        <v>0.67</v>
      </c>
      <c r="AJ182" s="1078" t="s">
        <v>488</v>
      </c>
      <c r="AK182" s="1079">
        <v>0.6</v>
      </c>
      <c r="AL182" s="1079" t="s">
        <v>505</v>
      </c>
      <c r="AM182" s="1080" t="s">
        <v>488</v>
      </c>
      <c r="AN182" s="1081" t="s">
        <v>518</v>
      </c>
      <c r="AO182" s="1082" t="s">
        <v>520</v>
      </c>
      <c r="AP182" s="1082" t="s">
        <v>520</v>
      </c>
      <c r="AQ182" s="655"/>
      <c r="AR182" s="1081"/>
      <c r="AS182" s="655"/>
      <c r="AT182" s="655"/>
      <c r="AU182" s="656"/>
      <c r="AV182" s="655"/>
      <c r="AW182" s="655"/>
      <c r="AX182" s="655"/>
      <c r="AY182" s="656"/>
      <c r="AZ182" s="655"/>
      <c r="BA182" s="655"/>
      <c r="BB182" s="655"/>
      <c r="BC182" s="655"/>
      <c r="BD182" s="1066"/>
      <c r="BE182" s="655"/>
      <c r="BF182" s="655"/>
      <c r="BG182" s="656"/>
      <c r="BH182" s="1066"/>
      <c r="BI182" s="655"/>
      <c r="BJ182" s="655"/>
      <c r="BK182" s="656"/>
      <c r="BL182" s="1066"/>
      <c r="BM182" s="655"/>
      <c r="BN182" s="655"/>
      <c r="BO182" s="656"/>
      <c r="BP182" s="1472"/>
      <c r="BQ182" s="931"/>
      <c r="BR182" s="711"/>
      <c r="BS182" s="711"/>
      <c r="BT182" s="711"/>
      <c r="BU182" s="711"/>
      <c r="BV182" s="711"/>
      <c r="BW182" s="711"/>
      <c r="BX182" s="711"/>
      <c r="BY182" s="711"/>
      <c r="BZ182" s="711"/>
      <c r="CA182" s="711"/>
      <c r="CB182" s="711"/>
      <c r="CC182" s="711"/>
      <c r="CD182" s="711"/>
      <c r="CE182" s="711"/>
      <c r="CF182" s="926"/>
      <c r="CG182" s="931"/>
      <c r="CH182" s="924"/>
      <c r="CI182" s="924"/>
      <c r="CJ182" s="924"/>
      <c r="CK182" s="924"/>
    </row>
    <row r="183" spans="1:89" ht="14.25" customHeight="1">
      <c r="A183" s="634"/>
      <c r="B183" s="25"/>
      <c r="C183" s="253"/>
      <c r="D183" s="94"/>
      <c r="E183" s="94"/>
      <c r="F183" s="94"/>
      <c r="G183" s="95"/>
      <c r="H183" s="94"/>
      <c r="I183" s="94"/>
      <c r="J183" s="94"/>
      <c r="K183" s="95"/>
      <c r="L183" s="94"/>
      <c r="M183" s="94"/>
      <c r="N183" s="94"/>
      <c r="O183" s="95"/>
      <c r="P183" s="94"/>
      <c r="Q183" s="94"/>
      <c r="R183" s="94"/>
      <c r="S183" s="95"/>
      <c r="T183" s="94"/>
      <c r="U183" s="94"/>
      <c r="V183" s="94"/>
      <c r="W183" s="95"/>
      <c r="X183" s="94"/>
      <c r="Y183" s="94"/>
      <c r="Z183" s="94"/>
      <c r="AA183" s="95"/>
      <c r="AB183" s="94"/>
      <c r="AC183" s="94"/>
      <c r="AD183" s="94"/>
      <c r="AE183" s="95"/>
      <c r="AF183" s="263"/>
      <c r="AG183" s="263"/>
      <c r="AH183" s="263"/>
      <c r="AI183" s="263"/>
      <c r="AJ183" s="262"/>
      <c r="AK183" s="263"/>
      <c r="AL183" s="263"/>
      <c r="AM183" s="307"/>
      <c r="AN183" s="262"/>
      <c r="AO183" s="263"/>
      <c r="AP183" s="1077"/>
      <c r="AQ183" s="1077"/>
      <c r="AR183" s="262"/>
      <c r="AS183" s="263"/>
      <c r="AT183" s="263"/>
      <c r="AU183" s="1169"/>
      <c r="AV183" s="263"/>
      <c r="AW183" s="263"/>
      <c r="AX183" s="263"/>
      <c r="AY183" s="307"/>
      <c r="AZ183" s="263"/>
      <c r="BA183" s="263"/>
      <c r="BB183" s="1425"/>
      <c r="BC183" s="1425"/>
      <c r="BD183" s="1407"/>
      <c r="BE183" s="1395"/>
      <c r="BF183" s="1395"/>
      <c r="BG183" s="1397"/>
      <c r="BH183" s="1407"/>
      <c r="BI183" s="1395"/>
      <c r="BJ183" s="1395"/>
      <c r="BK183" s="1397"/>
      <c r="BL183" s="1407"/>
      <c r="BM183" s="1425"/>
      <c r="BN183" s="1425"/>
      <c r="BO183" s="1426"/>
      <c r="BP183" s="23"/>
      <c r="BQ183" s="25"/>
      <c r="BR183" s="17"/>
      <c r="BS183" s="17"/>
      <c r="BT183" s="17"/>
      <c r="BU183" s="17"/>
      <c r="BV183" s="17"/>
      <c r="BW183" s="17"/>
      <c r="BX183" s="17"/>
      <c r="BY183" s="17"/>
      <c r="BZ183" s="17"/>
      <c r="CA183" s="17"/>
      <c r="CB183" s="17"/>
      <c r="CC183" s="17"/>
      <c r="CD183" s="17"/>
      <c r="CE183" s="17"/>
      <c r="CF183" s="253"/>
      <c r="CG183" s="25"/>
      <c r="CH183" s="8"/>
      <c r="CI183" s="8"/>
      <c r="CJ183" s="8"/>
      <c r="CK183" s="8"/>
    </row>
    <row r="184" spans="1:89" ht="14.25" customHeight="1">
      <c r="A184" s="634"/>
      <c r="B184" s="282" t="s">
        <v>610</v>
      </c>
      <c r="C184" s="341"/>
      <c r="D184" s="477"/>
      <c r="E184" s="416"/>
      <c r="F184" s="416"/>
      <c r="G184" s="417"/>
      <c r="H184" s="416">
        <f>H191</f>
        <v>329.29699999999997</v>
      </c>
      <c r="I184" s="416">
        <f t="shared" ref="I184:AA184" si="1243">I191</f>
        <v>350.82</v>
      </c>
      <c r="J184" s="416">
        <f t="shared" si="1243"/>
        <v>362.75199999999995</v>
      </c>
      <c r="K184" s="417">
        <f t="shared" si="1243"/>
        <v>360.29700000000003</v>
      </c>
      <c r="L184" s="477">
        <f t="shared" si="1243"/>
        <v>399.66399999999999</v>
      </c>
      <c r="M184" s="416">
        <f t="shared" si="1243"/>
        <v>361.22799999999995</v>
      </c>
      <c r="N184" s="416">
        <f t="shared" si="1243"/>
        <v>373.49200000000008</v>
      </c>
      <c r="O184" s="417">
        <f t="shared" si="1243"/>
        <v>373.89200000000005</v>
      </c>
      <c r="P184" s="477">
        <f t="shared" si="1243"/>
        <v>375.803</v>
      </c>
      <c r="Q184" s="416">
        <f t="shared" si="1243"/>
        <v>396.02100000000007</v>
      </c>
      <c r="R184" s="416">
        <f t="shared" si="1243"/>
        <v>401.79399999999998</v>
      </c>
      <c r="S184" s="417">
        <f t="shared" si="1243"/>
        <v>403.65700000000004</v>
      </c>
      <c r="T184" s="477">
        <f t="shared" si="1243"/>
        <v>269.00200000000001</v>
      </c>
      <c r="U184" s="416">
        <f t="shared" si="1243"/>
        <v>261.55200000000002</v>
      </c>
      <c r="V184" s="416">
        <f t="shared" si="1243"/>
        <v>266.22899999999998</v>
      </c>
      <c r="W184" s="417">
        <f t="shared" si="1243"/>
        <v>321.85400000000004</v>
      </c>
      <c r="X184" s="477">
        <f t="shared" si="1243"/>
        <v>368.47599999999994</v>
      </c>
      <c r="Y184" s="416">
        <f t="shared" si="1243"/>
        <v>434.51499999999999</v>
      </c>
      <c r="Z184" s="416">
        <f t="shared" si="1243"/>
        <v>480.202</v>
      </c>
      <c r="AA184" s="417">
        <f t="shared" si="1243"/>
        <v>516.22900000000004</v>
      </c>
      <c r="AB184" s="477">
        <f t="shared" ref="AB184:AZ184" si="1244">AB122-AB158</f>
        <v>482.16899999999998</v>
      </c>
      <c r="AC184" s="416">
        <f t="shared" si="1244"/>
        <v>534.23399999999992</v>
      </c>
      <c r="AD184" s="416">
        <f t="shared" si="1244"/>
        <v>509.63799999999998</v>
      </c>
      <c r="AE184" s="417">
        <f t="shared" si="1244"/>
        <v>460.48</v>
      </c>
      <c r="AF184" s="410">
        <f t="shared" si="1244"/>
        <v>409.43200000000002</v>
      </c>
      <c r="AG184" s="404">
        <f t="shared" si="1244"/>
        <v>440.46999999999991</v>
      </c>
      <c r="AH184" s="404">
        <f t="shared" si="1244"/>
        <v>447.87400000000008</v>
      </c>
      <c r="AI184" s="404">
        <f t="shared" si="1244"/>
        <v>443.28199999999993</v>
      </c>
      <c r="AJ184" s="410">
        <f t="shared" si="1244"/>
        <v>390.28399999999999</v>
      </c>
      <c r="AK184" s="404">
        <f t="shared" si="1244"/>
        <v>422.19499999999999</v>
      </c>
      <c r="AL184" s="404">
        <f t="shared" si="1244"/>
        <v>435.06200000000001</v>
      </c>
      <c r="AM184" s="405">
        <f t="shared" si="1244"/>
        <v>444.87</v>
      </c>
      <c r="AN184" s="410">
        <f t="shared" si="1244"/>
        <v>409.11800000000005</v>
      </c>
      <c r="AO184" s="404">
        <f t="shared" si="1244"/>
        <v>458.74299999999994</v>
      </c>
      <c r="AP184" s="404">
        <f t="shared" si="1244"/>
        <v>476.28999999999996</v>
      </c>
      <c r="AQ184" s="404">
        <f t="shared" si="1244"/>
        <v>486.03699999999998</v>
      </c>
      <c r="AR184" s="410">
        <f t="shared" si="1244"/>
        <v>503.60700000000008</v>
      </c>
      <c r="AS184" s="404">
        <f t="shared" si="1244"/>
        <v>544.822</v>
      </c>
      <c r="AT184" s="404">
        <f t="shared" si="1244"/>
        <v>569.03700000000003</v>
      </c>
      <c r="AU184" s="405">
        <f t="shared" si="1244"/>
        <v>641.79600000000005</v>
      </c>
      <c r="AV184" s="404">
        <f t="shared" si="1244"/>
        <v>477.29299999999995</v>
      </c>
      <c r="AW184" s="404">
        <f t="shared" si="1244"/>
        <v>510.90299999999996</v>
      </c>
      <c r="AX184" s="404">
        <f t="shared" si="1244"/>
        <v>572.29</v>
      </c>
      <c r="AY184" s="405">
        <f t="shared" si="1244"/>
        <v>666.68700000000013</v>
      </c>
      <c r="AZ184" s="404">
        <f t="shared" si="1244"/>
        <v>648.50400000000013</v>
      </c>
      <c r="BA184" s="404">
        <f>BA127-BA158</f>
        <v>738.7376084203039</v>
      </c>
      <c r="BB184" s="404">
        <f>BB127-BB158</f>
        <v>722.2195354149261</v>
      </c>
      <c r="BC184" s="404">
        <f>BC127-BC158</f>
        <v>686.19929217929007</v>
      </c>
      <c r="BD184" s="410">
        <f t="shared" ref="BD184:BO184" si="1245">BD122-BD158</f>
        <v>1035.19</v>
      </c>
      <c r="BE184" s="404">
        <f t="shared" si="1245"/>
        <v>1053.3608541134849</v>
      </c>
      <c r="BF184" s="404">
        <f t="shared" si="1245"/>
        <v>1082.9569794152706</v>
      </c>
      <c r="BG184" s="405">
        <f t="shared" si="1245"/>
        <v>1125.2410196977476</v>
      </c>
      <c r="BH184" s="410">
        <f t="shared" si="1245"/>
        <v>1050.5931146150745</v>
      </c>
      <c r="BI184" s="404">
        <f t="shared" si="1245"/>
        <v>1109.8190828175807</v>
      </c>
      <c r="BJ184" s="404">
        <f t="shared" si="1245"/>
        <v>1159.9971630101556</v>
      </c>
      <c r="BK184" s="405">
        <f t="shared" si="1245"/>
        <v>1210.905830702909</v>
      </c>
      <c r="BL184" s="410">
        <f t="shared" si="1245"/>
        <v>1131.8964974216105</v>
      </c>
      <c r="BM184" s="404">
        <f t="shared" si="1245"/>
        <v>1190.4265819611114</v>
      </c>
      <c r="BN184" s="404">
        <f t="shared" si="1245"/>
        <v>1236.6311995851393</v>
      </c>
      <c r="BO184" s="405">
        <f t="shared" si="1245"/>
        <v>1282.0006423224368</v>
      </c>
      <c r="BP184" s="1470"/>
      <c r="BQ184" s="410">
        <f>SUM(D184:G184)</f>
        <v>0</v>
      </c>
      <c r="BR184" s="475">
        <f>SUM(H184:K184)</f>
        <v>1403.1659999999999</v>
      </c>
      <c r="BS184" s="475">
        <f>SUM(L184:O184)</f>
        <v>1508.2760000000001</v>
      </c>
      <c r="BT184" s="404">
        <f>SUM(P184:S184)</f>
        <v>1577.2750000000001</v>
      </c>
      <c r="BU184" s="404">
        <f>SUM(T184:W184)</f>
        <v>1118.6370000000002</v>
      </c>
      <c r="BV184" s="404">
        <f>SUM(X184:AA184)</f>
        <v>1799.422</v>
      </c>
      <c r="BW184" s="404">
        <f>SUM(AB184:AE184)</f>
        <v>1986.521</v>
      </c>
      <c r="BX184" s="404">
        <f>SUM(AF184:AI184)</f>
        <v>1741.058</v>
      </c>
      <c r="BY184" s="404">
        <f>SUM(AJ184:AM184)</f>
        <v>1692.4110000000001</v>
      </c>
      <c r="BZ184" s="404">
        <f>SUM(AN184:AQ184)</f>
        <v>1830.1879999999999</v>
      </c>
      <c r="CA184" s="404">
        <f>SUM(AR184:AU184)</f>
        <v>2259.2620000000002</v>
      </c>
      <c r="CB184" s="404">
        <f>SUM(AV184:AY184)</f>
        <v>2227.1729999999998</v>
      </c>
      <c r="CC184" s="404">
        <f>SUM(AZ184:BC184)</f>
        <v>2795.6604360145202</v>
      </c>
      <c r="CD184" s="404">
        <f>SUM(BD184:BG184)</f>
        <v>4296.7488532265033</v>
      </c>
      <c r="CE184" s="404">
        <f>SUM(BH184:BK184)</f>
        <v>4531.3151911457198</v>
      </c>
      <c r="CF184" s="405">
        <f>SUM(BL184:BO184)</f>
        <v>4840.9549212902984</v>
      </c>
      <c r="CG184" s="25"/>
      <c r="CH184" s="8"/>
      <c r="CI184" s="8"/>
      <c r="CJ184" s="8"/>
      <c r="CK184" s="8"/>
    </row>
    <row r="185" spans="1:89" ht="14.25" customHeight="1">
      <c r="A185" s="634"/>
      <c r="B185" s="346" t="s">
        <v>179</v>
      </c>
      <c r="C185" s="341"/>
      <c r="D185" s="493"/>
      <c r="E185" s="493"/>
      <c r="F185" s="493"/>
      <c r="G185" s="494"/>
      <c r="H185" s="493">
        <f t="shared" ref="H185:AZ185" si="1246">H184/H122</f>
        <v>0.53001117009119558</v>
      </c>
      <c r="I185" s="493">
        <f t="shared" si="1246"/>
        <v>0.54485984792008346</v>
      </c>
      <c r="J185" s="493">
        <f t="shared" si="1246"/>
        <v>0.54659313503902596</v>
      </c>
      <c r="K185" s="494">
        <f t="shared" si="1246"/>
        <v>0.52556517324977892</v>
      </c>
      <c r="L185" s="493">
        <f t="shared" si="1246"/>
        <v>0.63817074241734728</v>
      </c>
      <c r="M185" s="493">
        <f t="shared" si="1246"/>
        <v>0.60458289189817949</v>
      </c>
      <c r="N185" s="493">
        <f t="shared" si="1246"/>
        <v>0.60491293763999543</v>
      </c>
      <c r="O185" s="494">
        <f t="shared" si="1246"/>
        <v>0.59962600755041362</v>
      </c>
      <c r="P185" s="493">
        <f t="shared" si="1246"/>
        <v>0.61214772873504053</v>
      </c>
      <c r="Q185" s="493">
        <f t="shared" si="1246"/>
        <v>0.60988234207041003</v>
      </c>
      <c r="R185" s="493">
        <f t="shared" si="1246"/>
        <v>0.60971553265167999</v>
      </c>
      <c r="S185" s="494">
        <f t="shared" si="1246"/>
        <v>0.61095723297855598</v>
      </c>
      <c r="T185" s="493">
        <f t="shared" si="1246"/>
        <v>0.56445551431167373</v>
      </c>
      <c r="U185" s="493">
        <f t="shared" si="1246"/>
        <v>0.55092807131362331</v>
      </c>
      <c r="V185" s="493">
        <f t="shared" si="1246"/>
        <v>0.54112575230034698</v>
      </c>
      <c r="W185" s="494">
        <f t="shared" si="1246"/>
        <v>0.56307557732680191</v>
      </c>
      <c r="X185" s="493">
        <f t="shared" si="1246"/>
        <v>0.61107131011608617</v>
      </c>
      <c r="Y185" s="493">
        <f t="shared" si="1246"/>
        <v>0.65027686321460632</v>
      </c>
      <c r="Z185" s="493">
        <f t="shared" si="1246"/>
        <v>0.66666944328751909</v>
      </c>
      <c r="AA185" s="494">
        <f t="shared" si="1246"/>
        <v>0.67042727272727276</v>
      </c>
      <c r="AB185" s="493">
        <f t="shared" si="1246"/>
        <v>0.66186547700754972</v>
      </c>
      <c r="AC185" s="94">
        <f t="shared" si="1246"/>
        <v>0.67556145675265544</v>
      </c>
      <c r="AD185" s="493">
        <f t="shared" si="1246"/>
        <v>0.6724343580947354</v>
      </c>
      <c r="AE185" s="494">
        <f t="shared" si="1246"/>
        <v>0.64303868174835921</v>
      </c>
      <c r="AF185" s="347">
        <f t="shared" si="1246"/>
        <v>0.63174201512112327</v>
      </c>
      <c r="AG185" s="347">
        <f t="shared" si="1246"/>
        <v>0.65244279071972078</v>
      </c>
      <c r="AH185" s="347">
        <f t="shared" si="1246"/>
        <v>0.6557202800479045</v>
      </c>
      <c r="AI185" s="347">
        <f t="shared" si="1246"/>
        <v>0.63784886699167143</v>
      </c>
      <c r="AJ185" s="395">
        <f t="shared" si="1246"/>
        <v>0.62733108944375326</v>
      </c>
      <c r="AK185" s="347">
        <f t="shared" si="1246"/>
        <v>0.64041714069017819</v>
      </c>
      <c r="AL185" s="347">
        <f t="shared" si="1246"/>
        <v>0.64532789851847894</v>
      </c>
      <c r="AM185" s="348">
        <f t="shared" si="1246"/>
        <v>0.65602175384474726</v>
      </c>
      <c r="AN185" s="395">
        <f t="shared" si="1246"/>
        <v>0.65121498540362099</v>
      </c>
      <c r="AO185" s="347">
        <f t="shared" si="1246"/>
        <v>0.66050283930566589</v>
      </c>
      <c r="AP185" s="347">
        <f t="shared" si="1246"/>
        <v>0.65446745594653122</v>
      </c>
      <c r="AQ185" s="347">
        <f t="shared" si="1246"/>
        <v>0.59691592354654055</v>
      </c>
      <c r="AR185" s="395">
        <f t="shared" si="1246"/>
        <v>0.65235250380188248</v>
      </c>
      <c r="AS185" s="347">
        <f t="shared" si="1246"/>
        <v>0.66359243817743563</v>
      </c>
      <c r="AT185" s="347">
        <f t="shared" si="1246"/>
        <v>0.65909204102552221</v>
      </c>
      <c r="AU185" s="348">
        <f t="shared" si="1246"/>
        <v>0.6557490278138226</v>
      </c>
      <c r="AV185" s="347">
        <f t="shared" si="1246"/>
        <v>0.62032104326714999</v>
      </c>
      <c r="AW185" s="347">
        <f t="shared" si="1246"/>
        <v>0.6560417378262533</v>
      </c>
      <c r="AX185" s="347">
        <f t="shared" si="1246"/>
        <v>0.65811398692028777</v>
      </c>
      <c r="AY185" s="348">
        <f t="shared" si="1246"/>
        <v>0.66428031242807317</v>
      </c>
      <c r="AZ185" s="347">
        <f t="shared" si="1246"/>
        <v>0.65874819315170219</v>
      </c>
      <c r="BA185" s="347">
        <f>BA184/BA127</f>
        <v>0.73835440248541395</v>
      </c>
      <c r="BB185" s="347">
        <f>BB184/BB127</f>
        <v>0.69178044474616862</v>
      </c>
      <c r="BC185" s="347">
        <f>BC184/BC127</f>
        <v>0.60438369482273724</v>
      </c>
      <c r="BD185" s="395">
        <f t="shared" ref="BD185:BO185" si="1247">BD184/BD122</f>
        <v>0.68166313715574101</v>
      </c>
      <c r="BE185" s="347">
        <f t="shared" si="1247"/>
        <v>0.71638934250216435</v>
      </c>
      <c r="BF185" s="347">
        <f t="shared" si="1247"/>
        <v>0.71553639133010405</v>
      </c>
      <c r="BG185" s="348">
        <f t="shared" si="1247"/>
        <v>0.71971603490872693</v>
      </c>
      <c r="BH185" s="395">
        <f t="shared" si="1247"/>
        <v>0.70886107933038522</v>
      </c>
      <c r="BI185" s="347">
        <f t="shared" si="1247"/>
        <v>0.71608380825378681</v>
      </c>
      <c r="BJ185" s="347">
        <f t="shared" si="1247"/>
        <v>0.72198437617092015</v>
      </c>
      <c r="BK185" s="348">
        <f t="shared" si="1247"/>
        <v>0.72351106525994013</v>
      </c>
      <c r="BL185" s="395">
        <f t="shared" si="1247"/>
        <v>0.71337616869318987</v>
      </c>
      <c r="BM185" s="347">
        <f t="shared" si="1247"/>
        <v>0.71980476724123266</v>
      </c>
      <c r="BN185" s="347">
        <f t="shared" si="1247"/>
        <v>0.72487061833030431</v>
      </c>
      <c r="BO185" s="348">
        <f t="shared" si="1247"/>
        <v>0.72569897994329458</v>
      </c>
      <c r="BP185" s="1470"/>
      <c r="BQ185" s="462"/>
      <c r="BR185" s="413">
        <f t="shared" ref="BR185:CF185" si="1248">BR184/BR122</f>
        <v>0.5367116283197213</v>
      </c>
      <c r="BS185" s="413">
        <f t="shared" si="1248"/>
        <v>0.61194593627432881</v>
      </c>
      <c r="BT185" s="413">
        <f t="shared" si="1248"/>
        <v>0.61065316882255083</v>
      </c>
      <c r="BU185" s="413">
        <f t="shared" si="1248"/>
        <v>0.55518018688694482</v>
      </c>
      <c r="BV185" s="413">
        <f t="shared" si="1248"/>
        <v>0.65161035669020462</v>
      </c>
      <c r="BW185" s="413">
        <f t="shared" si="1248"/>
        <v>0.6636558313566967</v>
      </c>
      <c r="BX185" s="413">
        <f t="shared" si="1248"/>
        <v>0.64455006832151218</v>
      </c>
      <c r="BY185" s="413">
        <f t="shared" si="1248"/>
        <v>0.6426009297225298</v>
      </c>
      <c r="BZ185" s="413">
        <f t="shared" si="1248"/>
        <v>0.6388596932462014</v>
      </c>
      <c r="CA185" s="413">
        <f t="shared" si="1248"/>
        <v>0.65770057978068719</v>
      </c>
      <c r="CB185" s="413">
        <f t="shared" si="1248"/>
        <v>0.65095199083184729</v>
      </c>
      <c r="CC185" s="413">
        <f t="shared" si="1248"/>
        <v>0.56187699461827179</v>
      </c>
      <c r="CD185" s="413">
        <f t="shared" si="1248"/>
        <v>0.70834015960050389</v>
      </c>
      <c r="CE185" s="413">
        <f t="shared" si="1248"/>
        <v>0.71785912377319805</v>
      </c>
      <c r="CF185" s="412">
        <f t="shared" si="1248"/>
        <v>0.72112380835827217</v>
      </c>
      <c r="CG185" s="25"/>
      <c r="CH185" s="8"/>
      <c r="CI185" s="8"/>
      <c r="CJ185" s="8"/>
      <c r="CK185" s="8"/>
    </row>
    <row r="186" spans="1:89" ht="14.25" customHeight="1">
      <c r="A186" s="634"/>
      <c r="B186" s="260" t="s">
        <v>152</v>
      </c>
      <c r="C186" s="261"/>
      <c r="D186" s="94"/>
      <c r="E186" s="94"/>
      <c r="F186" s="94"/>
      <c r="G186" s="1322"/>
      <c r="H186" s="94"/>
      <c r="I186" s="94"/>
      <c r="J186" s="94"/>
      <c r="K186" s="95"/>
      <c r="L186" s="94"/>
      <c r="M186" s="94"/>
      <c r="N186" s="94"/>
      <c r="O186" s="95"/>
      <c r="P186" s="94"/>
      <c r="Q186" s="94"/>
      <c r="R186" s="94"/>
      <c r="S186" s="95"/>
      <c r="T186" s="94"/>
      <c r="U186" s="94"/>
      <c r="V186" s="94"/>
      <c r="W186" s="95"/>
      <c r="X186" s="94"/>
      <c r="Y186" s="94"/>
      <c r="Z186" s="94"/>
      <c r="AA186" s="95"/>
      <c r="AB186" s="94"/>
      <c r="AC186" s="94"/>
      <c r="AD186" s="94"/>
      <c r="AE186" s="95"/>
      <c r="AF186" s="263"/>
      <c r="AG186" s="263">
        <f t="shared" ref="AG186:AQ186" si="1249">AG185/AF185-1</f>
        <v>3.2767767701232575E-2</v>
      </c>
      <c r="AH186" s="263">
        <f t="shared" si="1249"/>
        <v>5.0234125885095793E-3</v>
      </c>
      <c r="AI186" s="263">
        <f t="shared" si="1249"/>
        <v>-2.7254629146024723E-2</v>
      </c>
      <c r="AJ186" s="262">
        <f t="shared" si="1249"/>
        <v>-1.6489450859298094E-2</v>
      </c>
      <c r="AK186" s="263">
        <f t="shared" si="1249"/>
        <v>2.0859880000572151E-2</v>
      </c>
      <c r="AL186" s="263">
        <f t="shared" si="1249"/>
        <v>7.6680611999366821E-3</v>
      </c>
      <c r="AM186" s="307">
        <f t="shared" si="1249"/>
        <v>1.657119636516402E-2</v>
      </c>
      <c r="AN186" s="262">
        <f t="shared" si="1249"/>
        <v>-7.3271479382432947E-3</v>
      </c>
      <c r="AO186" s="263">
        <f t="shared" si="1249"/>
        <v>1.4262346706116258E-2</v>
      </c>
      <c r="AP186" s="263">
        <f t="shared" si="1249"/>
        <v>-9.1375585387024616E-3</v>
      </c>
      <c r="AQ186" s="263">
        <f t="shared" si="1249"/>
        <v>-8.7936431180914987E-2</v>
      </c>
      <c r="AR186" s="262">
        <f t="shared" ref="AR186:AZ186" si="1250">AR185/AQ185-1</f>
        <v>9.2871672656961168E-2</v>
      </c>
      <c r="AS186" s="263">
        <f t="shared" si="1250"/>
        <v>1.7229847835406931E-2</v>
      </c>
      <c r="AT186" s="263">
        <f t="shared" si="1250"/>
        <v>-6.7818692513642587E-3</v>
      </c>
      <c r="AU186" s="307">
        <f t="shared" si="1250"/>
        <v>-5.0721492653712508E-3</v>
      </c>
      <c r="AV186" s="263">
        <f t="shared" si="1250"/>
        <v>-5.4026743531415788E-2</v>
      </c>
      <c r="AW186" s="263">
        <f>AW185/AV185-1</f>
        <v>5.7584205705753622E-2</v>
      </c>
      <c r="AX186" s="263">
        <f>AX185/AW185-1</f>
        <v>3.1587153294556636E-3</v>
      </c>
      <c r="AY186" s="307">
        <f t="shared" si="1250"/>
        <v>9.3696922270887217E-3</v>
      </c>
      <c r="AZ186" s="263">
        <f t="shared" si="1250"/>
        <v>-8.3279892130929678E-3</v>
      </c>
      <c r="BA186" s="263">
        <f t="shared" ref="BA186:BC186" si="1251">BA185/AZ185-1</f>
        <v>0.12084467200258309</v>
      </c>
      <c r="BB186" s="1425">
        <f t="shared" si="1251"/>
        <v>-6.3078052467040568E-2</v>
      </c>
      <c r="BC186" s="1425">
        <f t="shared" si="1251"/>
        <v>-0.1263359648096144</v>
      </c>
      <c r="BD186" s="1394">
        <f t="shared" ref="BD186" si="1252">BD185/BC185-1</f>
        <v>0.12786486961013965</v>
      </c>
      <c r="BE186" s="1395">
        <f t="shared" ref="BE186" si="1253">BE185/BD185-1</f>
        <v>5.0943352300550471E-2</v>
      </c>
      <c r="BF186" s="1395">
        <f t="shared" ref="BF186" si="1254">BF185/BE185-1</f>
        <v>-1.1906251551442315E-3</v>
      </c>
      <c r="BG186" s="1397">
        <f t="shared" ref="BG186" si="1255">BG185/BF185-1</f>
        <v>5.8412732451711413E-3</v>
      </c>
      <c r="BH186" s="1394">
        <f t="shared" ref="BH186" si="1256">BH185/BG185-1</f>
        <v>-1.5082275580699411E-2</v>
      </c>
      <c r="BI186" s="1395">
        <f t="shared" ref="BI186" si="1257">BI185/BH185-1</f>
        <v>1.0189202276734477E-2</v>
      </c>
      <c r="BJ186" s="1395">
        <f t="shared" ref="BJ186" si="1258">BJ185/BI185-1</f>
        <v>8.240052140715548E-3</v>
      </c>
      <c r="BK186" s="1397">
        <f t="shared" ref="BK186" si="1259">BK185/BJ185-1</f>
        <v>2.1145735827647894E-3</v>
      </c>
      <c r="BL186" s="1424">
        <f t="shared" ref="BL186" si="1260">BL185/BK185-1</f>
        <v>-1.4007935819349226E-2</v>
      </c>
      <c r="BM186" s="1425">
        <f t="shared" ref="BM186" si="1261">BM185/BL185-1</f>
        <v>9.0115129018384366E-3</v>
      </c>
      <c r="BN186" s="1425">
        <f t="shared" ref="BN186" si="1262">BN185/BM185-1</f>
        <v>7.0378126397903085E-3</v>
      </c>
      <c r="BO186" s="1426">
        <f t="shared" ref="BO186" si="1263">BO185/BN185-1</f>
        <v>1.1427716782042019E-3</v>
      </c>
      <c r="BP186" s="23"/>
      <c r="BQ186" s="25"/>
      <c r="BR186" s="17"/>
      <c r="BS186" s="17"/>
      <c r="BT186" s="17"/>
      <c r="BU186" s="17"/>
      <c r="BV186" s="17"/>
      <c r="BW186" s="17"/>
      <c r="BX186" s="17"/>
      <c r="BY186" s="17"/>
      <c r="BZ186" s="17"/>
      <c r="CA186" s="17"/>
      <c r="CB186" s="263"/>
      <c r="CC186" s="263"/>
      <c r="CD186" s="263"/>
      <c r="CE186" s="1425"/>
      <c r="CF186" s="1426"/>
      <c r="CG186" s="25"/>
      <c r="CH186" s="8"/>
      <c r="CI186" s="8"/>
      <c r="CJ186" s="8"/>
      <c r="CK186" s="8"/>
    </row>
    <row r="187" spans="1:89" ht="14.25" customHeight="1">
      <c r="A187" s="634"/>
      <c r="B187" s="38" t="s">
        <v>153</v>
      </c>
      <c r="C187" s="39"/>
      <c r="D187" s="94"/>
      <c r="E187" s="94"/>
      <c r="F187" s="94"/>
      <c r="G187" s="1322"/>
      <c r="H187" s="94"/>
      <c r="I187" s="94"/>
      <c r="J187" s="94"/>
      <c r="K187" s="95"/>
      <c r="L187" s="94"/>
      <c r="M187" s="94"/>
      <c r="N187" s="94"/>
      <c r="O187" s="95"/>
      <c r="P187" s="94"/>
      <c r="Q187" s="94"/>
      <c r="R187" s="94"/>
      <c r="S187" s="95"/>
      <c r="T187" s="94"/>
      <c r="U187" s="94"/>
      <c r="V187" s="94"/>
      <c r="W187" s="95"/>
      <c r="X187" s="94"/>
      <c r="Y187" s="94"/>
      <c r="Z187" s="94"/>
      <c r="AA187" s="95"/>
      <c r="AB187" s="94"/>
      <c r="AC187" s="94"/>
      <c r="AD187" s="94"/>
      <c r="AE187" s="95"/>
      <c r="AF187" s="263"/>
      <c r="AG187" s="263"/>
      <c r="AH187" s="263"/>
      <c r="AI187" s="263"/>
      <c r="AJ187" s="262">
        <f t="shared" ref="AJ187:AQ187" si="1264">AJ185/AF185-1</f>
        <v>-6.9821629269414265E-3</v>
      </c>
      <c r="AK187" s="263">
        <f t="shared" si="1264"/>
        <v>-1.8431731027753195E-2</v>
      </c>
      <c r="AL187" s="263">
        <f t="shared" si="1264"/>
        <v>-1.5848802981457744E-2</v>
      </c>
      <c r="AM187" s="307"/>
      <c r="AN187" s="262">
        <f t="shared" si="1264"/>
        <v>3.8072233883777784E-2</v>
      </c>
      <c r="AO187" s="263">
        <f t="shared" si="1264"/>
        <v>3.1363461936451786E-2</v>
      </c>
      <c r="AP187" s="263">
        <f t="shared" si="1264"/>
        <v>1.4162656610747115E-2</v>
      </c>
      <c r="AQ187" s="263">
        <f t="shared" si="1264"/>
        <v>-9.0097363314257661E-2</v>
      </c>
      <c r="AR187" s="262">
        <f t="shared" ref="AR187:AZ187" si="1265">AR185/AN185-1</f>
        <v>1.7467632406469313E-3</v>
      </c>
      <c r="AS187" s="263">
        <f t="shared" si="1265"/>
        <v>4.6776466169586861E-3</v>
      </c>
      <c r="AT187" s="263">
        <f t="shared" si="1265"/>
        <v>7.0661803531584244E-3</v>
      </c>
      <c r="AU187" s="307">
        <f t="shared" si="1265"/>
        <v>9.8561793958734878E-2</v>
      </c>
      <c r="AV187" s="263">
        <f t="shared" si="1265"/>
        <v>-4.9101460250485007E-2</v>
      </c>
      <c r="AW187" s="263">
        <f>AW185/AS185-1</f>
        <v>-1.1378520785921609E-2</v>
      </c>
      <c r="AX187" s="263">
        <f>AX185/AT185-1</f>
        <v>-1.4839416111179782E-3</v>
      </c>
      <c r="AY187" s="307">
        <f t="shared" si="1265"/>
        <v>1.3009984387918561E-2</v>
      </c>
      <c r="AZ187" s="263">
        <f t="shared" si="1265"/>
        <v>6.1947197022627964E-2</v>
      </c>
      <c r="BA187" s="263">
        <f t="shared" ref="BA187:BC187" si="1266">BA185/AW185-1</f>
        <v>0.12546864004704594</v>
      </c>
      <c r="BB187" s="1425">
        <f t="shared" si="1266"/>
        <v>5.1155967651480116E-2</v>
      </c>
      <c r="BC187" s="1425">
        <f t="shared" si="1266"/>
        <v>-9.0167684462003961E-2</v>
      </c>
      <c r="BD187" s="1394">
        <f t="shared" ref="BD187" si="1267">BD185/AZ185-1</f>
        <v>3.4785589155706065E-2</v>
      </c>
      <c r="BE187" s="1395">
        <f t="shared" ref="BE187" si="1268">BE185/BA185-1</f>
        <v>-2.9748667996441602E-2</v>
      </c>
      <c r="BF187" s="1395">
        <f t="shared" ref="BF187" si="1269">BF185/BB185-1</f>
        <v>3.4340297943304954E-2</v>
      </c>
      <c r="BG187" s="1397">
        <f t="shared" ref="BG187" si="1270">BG185/BC185-1</f>
        <v>0.19082635927135017</v>
      </c>
      <c r="BH187" s="1394">
        <f t="shared" ref="BH187" si="1271">BH185/BD185-1</f>
        <v>3.9899388264016178E-2</v>
      </c>
      <c r="BI187" s="1395">
        <f t="shared" ref="BI187" si="1272">BI185/BE185-1</f>
        <v>-4.2649189518983999E-4</v>
      </c>
      <c r="BJ187" s="1395">
        <f t="shared" ref="BJ187" si="1273">BJ185/BF185-1</f>
        <v>9.0114002850785191E-3</v>
      </c>
      <c r="BK187" s="1397">
        <f t="shared" ref="BK187" si="1274">BK185/BG185-1</f>
        <v>5.2729551199932612E-3</v>
      </c>
      <c r="BL187" s="1424">
        <f t="shared" ref="BL187" si="1275">BL185/BH185-1</f>
        <v>6.3694981914788062E-3</v>
      </c>
      <c r="BM187" s="1425">
        <f t="shared" ref="BM187" si="1276">BM185/BI185-1</f>
        <v>5.1962618684531225E-3</v>
      </c>
      <c r="BN187" s="1425">
        <f t="shared" ref="BN187" si="1277">BN185/BJ185-1</f>
        <v>3.9976518255027127E-3</v>
      </c>
      <c r="BO187" s="1426">
        <f t="shared" ref="BO187" si="1278">BO185/BK185-1</f>
        <v>3.0240238033794054E-3</v>
      </c>
      <c r="BP187" s="23"/>
      <c r="BQ187" s="25"/>
      <c r="BR187" s="413"/>
      <c r="BS187" s="413"/>
      <c r="BT187" s="413"/>
      <c r="BU187" s="413"/>
      <c r="BV187" s="413"/>
      <c r="BW187" s="413"/>
      <c r="BX187" s="413"/>
      <c r="BY187" s="413">
        <f t="shared" ref="BY187:CF187" si="1279">BY184/BX184-1</f>
        <v>-2.7941056529994901E-2</v>
      </c>
      <c r="BZ187" s="413">
        <f t="shared" si="1279"/>
        <v>8.1408712186342269E-2</v>
      </c>
      <c r="CA187" s="413">
        <f t="shared" si="1279"/>
        <v>0.2344425818549789</v>
      </c>
      <c r="CB187" s="413">
        <f t="shared" si="1279"/>
        <v>-1.4203310638606914E-2</v>
      </c>
      <c r="CC187" s="413">
        <f t="shared" si="1279"/>
        <v>0.25525068596580525</v>
      </c>
      <c r="CD187" s="413">
        <f t="shared" si="1279"/>
        <v>0.53693517205255703</v>
      </c>
      <c r="CE187" s="413">
        <f t="shared" si="1279"/>
        <v>5.4591586786152613E-2</v>
      </c>
      <c r="CF187" s="412">
        <f t="shared" si="1279"/>
        <v>6.8333302161284415E-2</v>
      </c>
      <c r="CG187" s="25"/>
      <c r="CH187" s="8"/>
      <c r="CI187" s="8"/>
      <c r="CJ187" s="8"/>
      <c r="CK187" s="8"/>
    </row>
    <row r="188" spans="1:89" ht="14.25" customHeight="1">
      <c r="A188" s="634"/>
      <c r="B188" s="38"/>
      <c r="C188" s="39"/>
      <c r="D188" s="1321"/>
      <c r="E188" s="1321"/>
      <c r="F188" s="1321"/>
      <c r="G188" s="1322"/>
      <c r="H188" s="1321"/>
      <c r="I188" s="1321"/>
      <c r="J188" s="1321"/>
      <c r="K188" s="1322"/>
      <c r="L188" s="1321"/>
      <c r="M188" s="1321"/>
      <c r="N188" s="1321"/>
      <c r="O188" s="1322"/>
      <c r="P188" s="1321"/>
      <c r="Q188" s="1321"/>
      <c r="R188" s="1321"/>
      <c r="S188" s="1322"/>
      <c r="T188" s="1321"/>
      <c r="U188" s="1321"/>
      <c r="V188" s="1321"/>
      <c r="W188" s="1322"/>
      <c r="X188" s="1321"/>
      <c r="Y188" s="1321"/>
      <c r="Z188" s="1321"/>
      <c r="AA188" s="1322"/>
      <c r="AB188" s="1321"/>
      <c r="AC188" s="1321"/>
      <c r="AD188" s="1321"/>
      <c r="AE188" s="1321"/>
      <c r="AF188" s="1324"/>
      <c r="AG188" s="1324"/>
      <c r="AH188" s="1324"/>
      <c r="AI188" s="1324"/>
      <c r="AJ188" s="1325"/>
      <c r="AK188" s="1324"/>
      <c r="AL188" s="1324"/>
      <c r="AM188" s="1293"/>
      <c r="AN188" s="1325"/>
      <c r="AO188" s="1324"/>
      <c r="AP188" s="1324"/>
      <c r="AQ188" s="1324"/>
      <c r="AR188" s="1325"/>
      <c r="AS188" s="1324"/>
      <c r="AT188" s="1324"/>
      <c r="AU188" s="1293"/>
      <c r="AV188" s="1324"/>
      <c r="AW188" s="1324"/>
      <c r="AX188" s="1324"/>
      <c r="AY188" s="1293"/>
      <c r="AZ188" s="1324"/>
      <c r="BA188" s="1324"/>
      <c r="BB188" s="1425"/>
      <c r="BC188" s="1425"/>
      <c r="BD188" s="1394"/>
      <c r="BE188" s="1395"/>
      <c r="BF188" s="1395"/>
      <c r="BG188" s="1397"/>
      <c r="BH188" s="1394"/>
      <c r="BI188" s="1395"/>
      <c r="BJ188" s="1395"/>
      <c r="BK188" s="1397"/>
      <c r="BL188" s="1424"/>
      <c r="BM188" s="1425"/>
      <c r="BN188" s="1425"/>
      <c r="BO188" s="1426"/>
      <c r="BP188" s="23"/>
      <c r="BQ188" s="25"/>
      <c r="BR188" s="413"/>
      <c r="BS188" s="413"/>
      <c r="BT188" s="413"/>
      <c r="BU188" s="413"/>
      <c r="BV188" s="413"/>
      <c r="BW188" s="413"/>
      <c r="BX188" s="413"/>
      <c r="BY188" s="413"/>
      <c r="BZ188" s="413"/>
      <c r="CA188" s="413"/>
      <c r="CB188" s="413"/>
      <c r="CC188" s="413"/>
      <c r="CD188" s="413"/>
      <c r="CE188" s="413"/>
      <c r="CF188" s="412"/>
      <c r="CG188" s="25"/>
      <c r="CH188" s="8"/>
      <c r="CI188" s="8"/>
      <c r="CJ188" s="8"/>
      <c r="CK188" s="8"/>
    </row>
    <row r="189" spans="1:89" ht="14.25" customHeight="1">
      <c r="A189" s="634"/>
      <c r="B189" s="282" t="s">
        <v>604</v>
      </c>
      <c r="C189" s="341"/>
      <c r="D189" s="477"/>
      <c r="E189" s="416"/>
      <c r="F189" s="416"/>
      <c r="G189" s="417"/>
      <c r="H189" s="416"/>
      <c r="I189" s="416"/>
      <c r="J189" s="416"/>
      <c r="K189" s="417"/>
      <c r="L189" s="477"/>
      <c r="M189" s="416"/>
      <c r="N189" s="416"/>
      <c r="O189" s="417"/>
      <c r="P189" s="477"/>
      <c r="Q189" s="416"/>
      <c r="R189" s="416"/>
      <c r="S189" s="417"/>
      <c r="T189" s="477"/>
      <c r="U189" s="416"/>
      <c r="V189" s="416"/>
      <c r="W189" s="417"/>
      <c r="X189" s="477"/>
      <c r="Y189" s="416"/>
      <c r="Z189" s="416"/>
      <c r="AA189" s="417"/>
      <c r="AB189" s="477">
        <f t="shared" ref="AB189:AZ189" si="1280">AB180+AB178+AB171+AB164</f>
        <v>246.33099999999999</v>
      </c>
      <c r="AC189" s="416">
        <f t="shared" si="1280"/>
        <v>256.56599999999997</v>
      </c>
      <c r="AD189" s="416">
        <f t="shared" si="1280"/>
        <v>248.262</v>
      </c>
      <c r="AE189" s="417">
        <f t="shared" si="1280"/>
        <v>255.62</v>
      </c>
      <c r="AF189" s="410">
        <f t="shared" si="1280"/>
        <v>238.66800000000001</v>
      </c>
      <c r="AG189" s="404">
        <f t="shared" si="1280"/>
        <v>234.63900000000001</v>
      </c>
      <c r="AH189" s="404">
        <f t="shared" si="1280"/>
        <v>235.15199999999999</v>
      </c>
      <c r="AI189" s="404">
        <f t="shared" si="1280"/>
        <v>251.68200000000002</v>
      </c>
      <c r="AJ189" s="410">
        <f t="shared" si="1280"/>
        <v>231.85</v>
      </c>
      <c r="AK189" s="404">
        <f t="shared" si="1280"/>
        <v>237.05500000000001</v>
      </c>
      <c r="AL189" s="404">
        <f t="shared" si="1280"/>
        <v>239.11</v>
      </c>
      <c r="AM189" s="405">
        <f t="shared" si="1280"/>
        <v>233.26300000000001</v>
      </c>
      <c r="AN189" s="410">
        <f t="shared" si="1280"/>
        <v>219.12</v>
      </c>
      <c r="AO189" s="404">
        <f t="shared" si="1280"/>
        <v>235.79300000000001</v>
      </c>
      <c r="AP189" s="404">
        <f t="shared" si="1280"/>
        <v>251.46199999999999</v>
      </c>
      <c r="AQ189" s="404">
        <f t="shared" si="1280"/>
        <v>328.21</v>
      </c>
      <c r="AR189" s="410">
        <f t="shared" si="1280"/>
        <v>268.37900000000002</v>
      </c>
      <c r="AS189" s="404">
        <f t="shared" si="1280"/>
        <v>276.197</v>
      </c>
      <c r="AT189" s="404">
        <f t="shared" si="1280"/>
        <v>294.32799999999997</v>
      </c>
      <c r="AU189" s="405">
        <f t="shared" si="1280"/>
        <v>336.92600000000004</v>
      </c>
      <c r="AV189" s="404">
        <f t="shared" si="1280"/>
        <v>292.13600000000002</v>
      </c>
      <c r="AW189" s="404">
        <f t="shared" si="1280"/>
        <v>267.863</v>
      </c>
      <c r="AX189" s="404">
        <f t="shared" si="1280"/>
        <v>297.30099999999999</v>
      </c>
      <c r="AY189" s="405">
        <f t="shared" si="1280"/>
        <v>336.93600000000004</v>
      </c>
      <c r="AZ189" s="404">
        <f t="shared" si="1280"/>
        <v>335.94499999999999</v>
      </c>
      <c r="BA189" s="404">
        <f>BA180+BA178+BA171+BA164+BA146</f>
        <v>310.327</v>
      </c>
      <c r="BB189" s="404">
        <f>BB180+BB178+BB171+BB164+BB146</f>
        <v>405.94200000000001</v>
      </c>
      <c r="BC189" s="404">
        <f>BC180+BC178+BC171+BC164+BC146</f>
        <v>449.17099999999999</v>
      </c>
      <c r="BD189" s="410">
        <f t="shared" ref="BD189:BK189" si="1281">BD180+BD178+BD171+BD164+BD146</f>
        <v>483.43400000000003</v>
      </c>
      <c r="BE189" s="404">
        <f t="shared" si="1281"/>
        <v>417.01397088651481</v>
      </c>
      <c r="BF189" s="404">
        <f t="shared" si="1281"/>
        <v>430.53275015972929</v>
      </c>
      <c r="BG189" s="405">
        <f t="shared" si="1281"/>
        <v>438.21034878600244</v>
      </c>
      <c r="BH189" s="410">
        <f t="shared" si="1281"/>
        <v>431.49293193088772</v>
      </c>
      <c r="BI189" s="404">
        <f t="shared" si="1281"/>
        <v>440.02615879448831</v>
      </c>
      <c r="BJ189" s="404">
        <f t="shared" si="1281"/>
        <v>446.68187506301985</v>
      </c>
      <c r="BK189" s="405">
        <f t="shared" si="1281"/>
        <v>462.74629273470521</v>
      </c>
      <c r="BL189" s="410">
        <f t="shared" ref="BL189:BO189" si="1282">BL180+BL178+BL171+BL164+BL146</f>
        <v>454.77901417431792</v>
      </c>
      <c r="BM189" s="404">
        <f t="shared" si="1282"/>
        <v>463.39211463298369</v>
      </c>
      <c r="BN189" s="404">
        <f t="shared" si="1282"/>
        <v>469.37145566614481</v>
      </c>
      <c r="BO189" s="405">
        <f t="shared" si="1282"/>
        <v>484.57293398686318</v>
      </c>
      <c r="BP189" s="1470"/>
      <c r="BQ189" s="410"/>
      <c r="BR189" s="475"/>
      <c r="BS189" s="475"/>
      <c r="BT189" s="404"/>
      <c r="BU189" s="404"/>
      <c r="BV189" s="404"/>
      <c r="BW189" s="404"/>
      <c r="BX189" s="404"/>
      <c r="BY189" s="404"/>
      <c r="BZ189" s="404"/>
      <c r="CA189" s="404"/>
      <c r="CB189" s="404"/>
      <c r="CC189" s="404"/>
      <c r="CD189" s="404"/>
      <c r="CE189" s="404"/>
      <c r="CF189" s="405"/>
      <c r="CG189" s="25"/>
      <c r="CH189" s="8"/>
      <c r="CI189" s="8"/>
      <c r="CJ189" s="8"/>
      <c r="CK189" s="8"/>
    </row>
    <row r="190" spans="1:89" ht="14.25" customHeight="1">
      <c r="A190" s="634"/>
      <c r="B190" s="25"/>
      <c r="C190" s="8"/>
      <c r="D190" s="8"/>
      <c r="E190" s="8"/>
      <c r="F190" s="8"/>
      <c r="G190" s="253"/>
      <c r="H190" s="8"/>
      <c r="I190" s="8"/>
      <c r="J190" s="8"/>
      <c r="K190" s="253"/>
      <c r="L190" s="8"/>
      <c r="M190" s="8"/>
      <c r="N190" s="8"/>
      <c r="O190" s="253"/>
      <c r="P190" s="8"/>
      <c r="Q190" s="8"/>
      <c r="R190" s="8"/>
      <c r="S190" s="8"/>
      <c r="T190" s="8"/>
      <c r="U190" s="8"/>
      <c r="V190" s="8"/>
      <c r="W190" s="8"/>
      <c r="X190" s="8"/>
      <c r="Y190" s="8"/>
      <c r="Z190" s="8"/>
      <c r="AA190" s="8"/>
      <c r="AB190" s="8"/>
      <c r="AC190" s="8"/>
      <c r="AD190" s="8"/>
      <c r="AE190" s="8"/>
      <c r="AF190" s="25"/>
      <c r="AG190" s="8"/>
      <c r="AH190" s="8"/>
      <c r="AI190" s="8"/>
      <c r="AJ190" s="25"/>
      <c r="AK190" s="17"/>
      <c r="AL190" s="17"/>
      <c r="AM190" s="253"/>
      <c r="AN190" s="25"/>
      <c r="AO190" s="880"/>
      <c r="AP190" s="880"/>
      <c r="AQ190" s="880"/>
      <c r="AR190" s="25"/>
      <c r="AS190" s="880"/>
      <c r="AT190" s="880"/>
      <c r="AU190" s="1014"/>
      <c r="AV190" s="880"/>
      <c r="AW190" s="880"/>
      <c r="AX190" s="880"/>
      <c r="AY190" s="1014"/>
      <c r="AZ190" s="880"/>
      <c r="BA190" s="880"/>
      <c r="BB190" s="1403"/>
      <c r="BC190" s="1403"/>
      <c r="BD190" s="1406"/>
      <c r="BE190" s="1403"/>
      <c r="BF190" s="1403"/>
      <c r="BG190" s="1404"/>
      <c r="BH190" s="1406"/>
      <c r="BI190" s="1403"/>
      <c r="BJ190" s="1403"/>
      <c r="BK190" s="1404"/>
      <c r="BL190" s="1406"/>
      <c r="BM190" s="1403"/>
      <c r="BN190" s="1403"/>
      <c r="BO190" s="1404"/>
      <c r="BP190" s="23"/>
      <c r="BQ190" s="25"/>
      <c r="BR190" s="17"/>
      <c r="BS190" s="17"/>
      <c r="BT190" s="17"/>
      <c r="BU190" s="17"/>
      <c r="BV190" s="17"/>
      <c r="BW190" s="17"/>
      <c r="BX190" s="17"/>
      <c r="BY190" s="17"/>
      <c r="BZ190" s="17"/>
      <c r="CA190" s="17"/>
      <c r="CB190" s="17"/>
      <c r="CC190" s="17"/>
      <c r="CD190" s="17"/>
      <c r="CE190" s="17"/>
      <c r="CF190" s="253"/>
      <c r="CG190" s="25"/>
      <c r="CH190" s="8"/>
      <c r="CI190" s="8"/>
      <c r="CJ190" s="8"/>
      <c r="CK190" s="8"/>
    </row>
    <row r="191" spans="1:89" ht="14.25" customHeight="1">
      <c r="A191" s="634"/>
      <c r="B191" s="282" t="s">
        <v>180</v>
      </c>
      <c r="C191" s="301"/>
      <c r="D191" s="124">
        <f>IS!D$31</f>
        <v>335.52799999999991</v>
      </c>
      <c r="E191" s="124">
        <f>IS!E$31</f>
        <v>346.399</v>
      </c>
      <c r="F191" s="124">
        <f>IS!F$31</f>
        <v>338.23800000000006</v>
      </c>
      <c r="G191" s="125">
        <f>IS!G$31</f>
        <v>362.67500000000001</v>
      </c>
      <c r="H191" s="124">
        <f>IS!H$31</f>
        <v>329.29699999999997</v>
      </c>
      <c r="I191" s="124">
        <f>IS!I$31</f>
        <v>350.82</v>
      </c>
      <c r="J191" s="124">
        <f>IS!J$31</f>
        <v>362.75199999999995</v>
      </c>
      <c r="K191" s="125">
        <f>IS!K$31</f>
        <v>360.29700000000003</v>
      </c>
      <c r="L191" s="124">
        <f>IS!L$31</f>
        <v>399.66399999999999</v>
      </c>
      <c r="M191" s="124">
        <f>IS!M$31</f>
        <v>361.22799999999995</v>
      </c>
      <c r="N191" s="124">
        <f>IS!N$31</f>
        <v>373.49200000000008</v>
      </c>
      <c r="O191" s="125">
        <f>IS!O$31</f>
        <v>373.89200000000005</v>
      </c>
      <c r="P191" s="124">
        <f>IS!P$31</f>
        <v>375.803</v>
      </c>
      <c r="Q191" s="124">
        <f>IS!Q$31</f>
        <v>396.02100000000007</v>
      </c>
      <c r="R191" s="124">
        <f>IS!R$31</f>
        <v>401.79399999999998</v>
      </c>
      <c r="S191" s="125">
        <f>IS!S$31</f>
        <v>403.65700000000004</v>
      </c>
      <c r="T191" s="124">
        <f>IS!T$31</f>
        <v>269.00200000000001</v>
      </c>
      <c r="U191" s="124">
        <f>IS!U$31</f>
        <v>261.55200000000002</v>
      </c>
      <c r="V191" s="124">
        <f>IS!V$31</f>
        <v>266.22899999999998</v>
      </c>
      <c r="W191" s="125">
        <f>IS!W$31</f>
        <v>321.85400000000004</v>
      </c>
      <c r="X191" s="124">
        <f>IS!X$31</f>
        <v>368.47599999999994</v>
      </c>
      <c r="Y191" s="124">
        <f>IS!Y$31</f>
        <v>434.51499999999999</v>
      </c>
      <c r="Z191" s="124">
        <f>IS!Z$31</f>
        <v>480.202</v>
      </c>
      <c r="AA191" s="125">
        <f>IS!AA$31</f>
        <v>516.22900000000004</v>
      </c>
      <c r="AB191" s="124">
        <f>IS!AB$31</f>
        <v>482.173</v>
      </c>
      <c r="AC191" s="124">
        <f>IS!AC$31</f>
        <v>534.21399999999994</v>
      </c>
      <c r="AD191" s="124">
        <f>IS!AD$31</f>
        <v>509.64000000000004</v>
      </c>
      <c r="AE191" s="124">
        <f>IS!AE$31</f>
        <v>460.51400000000001</v>
      </c>
      <c r="AF191" s="308">
        <f>IS!AF$31</f>
        <v>409.39</v>
      </c>
      <c r="AG191" s="309">
        <f>IS!AG$31</f>
        <v>440.45500000000004</v>
      </c>
      <c r="AH191" s="309">
        <f>IS!AH$31</f>
        <v>447.87399999999997</v>
      </c>
      <c r="AI191" s="309">
        <f>IS!AI$31</f>
        <v>443.28200000000004</v>
      </c>
      <c r="AJ191" s="308">
        <f>IS!AJ$31</f>
        <v>390.28399999999999</v>
      </c>
      <c r="AK191" s="309">
        <f>IS!AK$31</f>
        <v>422.19499999999999</v>
      </c>
      <c r="AL191" s="309">
        <f>IS!AL$31</f>
        <v>435.06200000000001</v>
      </c>
      <c r="AM191" s="310">
        <f>IS!AM$31</f>
        <v>444.87</v>
      </c>
      <c r="AN191" s="308">
        <f>IS!AN$31</f>
        <v>409.11800000000005</v>
      </c>
      <c r="AO191" s="309">
        <f>IS!AO$31</f>
        <v>458.74299999999994</v>
      </c>
      <c r="AP191" s="309">
        <f>IS!AP$31</f>
        <v>476.28999999999996</v>
      </c>
      <c r="AQ191" s="309">
        <f>IS!AQ$31</f>
        <v>486.03699999999998</v>
      </c>
      <c r="AR191" s="308">
        <f>IS!AR$31</f>
        <v>503.60699999999997</v>
      </c>
      <c r="AS191" s="309">
        <f>IS!AS$31</f>
        <v>544.822</v>
      </c>
      <c r="AT191" s="309">
        <f>IS!AT$31</f>
        <v>569.03700000000003</v>
      </c>
      <c r="AU191" s="310">
        <f>IS!AU$31</f>
        <v>641.79600000000005</v>
      </c>
      <c r="AV191" s="309">
        <f>IS!AV$31</f>
        <v>477.29299999999995</v>
      </c>
      <c r="AW191" s="309">
        <f>IS!AW$31</f>
        <v>510.90299999999996</v>
      </c>
      <c r="AX191" s="309">
        <f>IS!AX$31</f>
        <v>572.29</v>
      </c>
      <c r="AY191" s="310">
        <f>IS!AY$31</f>
        <v>666.68700000000013</v>
      </c>
      <c r="AZ191" s="309">
        <f>IS!AZ$31</f>
        <v>648.50399999999991</v>
      </c>
      <c r="BA191" s="309">
        <f>IS!BA$31</f>
        <v>640.44299999999998</v>
      </c>
      <c r="BB191" s="309">
        <f>IS!BB$31</f>
        <v>766.62400000000002</v>
      </c>
      <c r="BC191" s="309">
        <f>IS!BC$31</f>
        <v>1006.0250000000001</v>
      </c>
      <c r="BD191" s="308">
        <f>IS!BD$31</f>
        <v>1035.19</v>
      </c>
      <c r="BE191" s="309">
        <f>IS!BE$31</f>
        <v>1009.3608541134851</v>
      </c>
      <c r="BF191" s="309">
        <f>IS!BF$31</f>
        <v>1082.9569794152708</v>
      </c>
      <c r="BG191" s="310">
        <f>IS!BG$31</f>
        <v>1125.2410196977476</v>
      </c>
      <c r="BH191" s="308">
        <f>IS!BH$31</f>
        <v>1050.5931146150747</v>
      </c>
      <c r="BI191" s="309">
        <f>IS!BI$31</f>
        <v>1109.8190828175807</v>
      </c>
      <c r="BJ191" s="309">
        <f>IS!BJ$31</f>
        <v>1159.9971630101556</v>
      </c>
      <c r="BK191" s="310">
        <f>IS!BK$31</f>
        <v>1210.905830702909</v>
      </c>
      <c r="BL191" s="308">
        <f>IS!BL$31</f>
        <v>1131.8964974216105</v>
      </c>
      <c r="BM191" s="309">
        <f>IS!BM$31</f>
        <v>1190.4265819611114</v>
      </c>
      <c r="BN191" s="309">
        <f>IS!BN$31</f>
        <v>1236.6311995851393</v>
      </c>
      <c r="BO191" s="310">
        <f>IS!BO$31</f>
        <v>1282.0006423224368</v>
      </c>
      <c r="BP191" s="1470"/>
      <c r="BQ191" s="410">
        <f>IS!BQ$31</f>
        <v>1382.84</v>
      </c>
      <c r="BR191" s="404">
        <f>IS!BR$31</f>
        <v>1403.1659999999997</v>
      </c>
      <c r="BS191" s="404">
        <f>IS!BS$31</f>
        <v>1508.2760000000001</v>
      </c>
      <c r="BT191" s="404">
        <f>IS!BT$31</f>
        <v>1577.2750000000001</v>
      </c>
      <c r="BU191" s="404">
        <f>IS!BU$31</f>
        <v>1118.6369999999997</v>
      </c>
      <c r="BV191" s="404">
        <f>IS!BV$31</f>
        <v>1799.4219999999998</v>
      </c>
      <c r="BW191" s="404">
        <f>IS!BW$31</f>
        <v>1986.5410000000002</v>
      </c>
      <c r="BX191" s="404">
        <f>IS!BX$31</f>
        <v>1741.0009999999997</v>
      </c>
      <c r="BY191" s="404">
        <f>IS!BY$31</f>
        <v>1692.4110000000003</v>
      </c>
      <c r="BZ191" s="404">
        <f>IS!BZ$31</f>
        <v>1830.1879999999996</v>
      </c>
      <c r="CA191" s="404">
        <f>IS!CA$31</f>
        <v>2259.2619999999997</v>
      </c>
      <c r="CB191" s="404">
        <f>IS!CB$31</f>
        <v>2227.1730000000002</v>
      </c>
      <c r="CC191" s="404">
        <f>IS!CC$31</f>
        <v>3061.5960000000005</v>
      </c>
      <c r="CD191" s="404">
        <f>IS!CD$31</f>
        <v>4252.7488532265033</v>
      </c>
      <c r="CE191" s="404">
        <f>IS!CE$31</f>
        <v>4531.3151911457189</v>
      </c>
      <c r="CF191" s="405">
        <f>IS!CF$31</f>
        <v>4840.9549212902975</v>
      </c>
      <c r="CG191" s="25"/>
      <c r="CH191" s="8"/>
      <c r="CI191" s="8"/>
      <c r="CJ191" s="8"/>
      <c r="CK191" s="8"/>
    </row>
    <row r="192" spans="1:89" ht="14.25" customHeight="1">
      <c r="A192" s="634"/>
      <c r="B192" s="51" t="s">
        <v>205</v>
      </c>
      <c r="C192" s="301"/>
      <c r="D192" s="124">
        <f>IS!D$67</f>
        <v>124.65299999999991</v>
      </c>
      <c r="E192" s="124">
        <f>IS!E$67</f>
        <v>133.94400000000002</v>
      </c>
      <c r="F192" s="124">
        <f>IS!F$67</f>
        <v>134.61400000000006</v>
      </c>
      <c r="G192" s="125">
        <f>IS!G$67</f>
        <v>122.77600000000004</v>
      </c>
      <c r="H192" s="124">
        <f>IS!H$67</f>
        <v>118.53999999999996</v>
      </c>
      <c r="I192" s="124">
        <f>IS!I$67</f>
        <v>139.619</v>
      </c>
      <c r="J192" s="124">
        <f>IS!J$67</f>
        <v>141.03899999999996</v>
      </c>
      <c r="K192" s="125">
        <f>IS!K$67</f>
        <v>123.197</v>
      </c>
      <c r="L192" s="124">
        <f>IS!L$67</f>
        <v>169.41099999999997</v>
      </c>
      <c r="M192" s="124">
        <f>IS!M$67</f>
        <v>134.20599999999996</v>
      </c>
      <c r="N192" s="124">
        <f>IS!N$67</f>
        <v>145.49300000000008</v>
      </c>
      <c r="O192" s="125">
        <f>IS!O$67</f>
        <v>119.61300000000006</v>
      </c>
      <c r="P192" s="124">
        <f>IS!P$67</f>
        <v>145.91300000000001</v>
      </c>
      <c r="Q192" s="124">
        <f>IS!Q$67</f>
        <v>157.18500000000006</v>
      </c>
      <c r="R192" s="124">
        <f>IS!R$67</f>
        <v>161.19</v>
      </c>
      <c r="S192" s="125">
        <f>IS!S$67</f>
        <v>160.73700000000005</v>
      </c>
      <c r="T192" s="124">
        <f>IS!T$67</f>
        <v>19.591000000000008</v>
      </c>
      <c r="U192" s="124">
        <f>IS!U$67</f>
        <v>57.90900000000002</v>
      </c>
      <c r="V192" s="124">
        <f>IS!V$67</f>
        <v>78.944999999999993</v>
      </c>
      <c r="W192" s="125">
        <f>IS!W$67</f>
        <v>128.37200000000004</v>
      </c>
      <c r="X192" s="124">
        <f>IS!X$67</f>
        <v>149.11399999999995</v>
      </c>
      <c r="Y192" s="124">
        <f>IS!Y$67</f>
        <v>214.07499999999999</v>
      </c>
      <c r="Z192" s="124">
        <f>IS!Z$67</f>
        <v>251.14500000000001</v>
      </c>
      <c r="AA192" s="125">
        <f>IS!AA$67</f>
        <v>285.74000000000007</v>
      </c>
      <c r="AB192" s="124">
        <f>IS!AB$67</f>
        <v>259.40600000000001</v>
      </c>
      <c r="AC192" s="124">
        <f>IS!AC$67</f>
        <v>298.48599999999993</v>
      </c>
      <c r="AD192" s="124">
        <f>IS!AD$67</f>
        <v>278.84100000000007</v>
      </c>
      <c r="AE192" s="124">
        <f>IS!AE$67</f>
        <v>235.292</v>
      </c>
      <c r="AF192" s="308">
        <f>IS!AF$67</f>
        <v>183.37199999999999</v>
      </c>
      <c r="AG192" s="309">
        <f>IS!AG$67</f>
        <v>212.92600000000004</v>
      </c>
      <c r="AH192" s="309">
        <f>IS!AH$67</f>
        <v>212.47099999999995</v>
      </c>
      <c r="AI192" s="309">
        <f>IS!AI$67</f>
        <v>215.27900000000005</v>
      </c>
      <c r="AJ192" s="308">
        <f>IS!AJ$67</f>
        <v>153.489</v>
      </c>
      <c r="AK192" s="309">
        <f>IS!AK$67</f>
        <v>191.38199999999998</v>
      </c>
      <c r="AL192" s="309">
        <f>IS!AL$67</f>
        <v>208.34200000000001</v>
      </c>
      <c r="AM192" s="310">
        <f>IS!AM$67</f>
        <v>199.86200000000002</v>
      </c>
      <c r="AN192" s="308">
        <f>IS!AN$67</f>
        <v>179.60900000000007</v>
      </c>
      <c r="AO192" s="309">
        <f>IS!AO$67</f>
        <v>220.39999999999992</v>
      </c>
      <c r="AP192" s="309">
        <f>IS!AP$67</f>
        <v>202.54599999999994</v>
      </c>
      <c r="AQ192" s="309">
        <f>IS!AQ$67</f>
        <v>149.92899999999997</v>
      </c>
      <c r="AR192" s="308">
        <f>IS!AR$67</f>
        <v>207.93399999999997</v>
      </c>
      <c r="AS192" s="309">
        <f>IS!AS$67</f>
        <v>249.00800000000004</v>
      </c>
      <c r="AT192" s="309">
        <f>IS!AT$67</f>
        <v>265.26900000000006</v>
      </c>
      <c r="AU192" s="310">
        <f>IS!AU$67</f>
        <v>108.63000000000011</v>
      </c>
      <c r="AV192" s="309">
        <f>IS!AV$67</f>
        <v>195.04499999999996</v>
      </c>
      <c r="AW192" s="309">
        <f>IS!AW$67</f>
        <v>207.37899999999991</v>
      </c>
      <c r="AX192" s="309">
        <f>IS!AX$67</f>
        <v>268.70699999999994</v>
      </c>
      <c r="AY192" s="310">
        <f>IS!AY$67</f>
        <v>356.98100000000011</v>
      </c>
      <c r="AZ192" s="309">
        <f>IS!AZ$67</f>
        <v>266.26799999999992</v>
      </c>
      <c r="BA192" s="309">
        <f>IS!BA$67</f>
        <v>145.83499999999998</v>
      </c>
      <c r="BB192" s="309">
        <f>IS!BB$67</f>
        <v>194.82100000000003</v>
      </c>
      <c r="BC192" s="309">
        <f>IS!BC$67</f>
        <v>448.21000000000015</v>
      </c>
      <c r="BD192" s="308">
        <f>IS!BD$67</f>
        <v>405.34800000000007</v>
      </c>
      <c r="BE192" s="309">
        <f>IS!BE$67</f>
        <v>452.37002875604321</v>
      </c>
      <c r="BF192" s="309">
        <f>IS!BF$67</f>
        <v>631.9656486466713</v>
      </c>
      <c r="BG192" s="310">
        <f>IS!BG$67</f>
        <v>659.36206493108853</v>
      </c>
      <c r="BH192" s="308">
        <f>IS!BH$67</f>
        <v>596.83682381569702</v>
      </c>
      <c r="BI192" s="309">
        <f>IS!BI$67</f>
        <v>645.69019553758619</v>
      </c>
      <c r="BJ192" s="309">
        <f>IS!BJ$67</f>
        <v>687.35832712266222</v>
      </c>
      <c r="BK192" s="310">
        <f>IS!BK$67</f>
        <v>728.41621555199686</v>
      </c>
      <c r="BL192" s="308">
        <f>IS!BL$67</f>
        <v>656.92911070520063</v>
      </c>
      <c r="BM192" s="309">
        <f>IS!BM$67</f>
        <v>705.40962213371324</v>
      </c>
      <c r="BN192" s="309">
        <f>IS!BN$67</f>
        <v>743.96222051530765</v>
      </c>
      <c r="BO192" s="310">
        <f>IS!BO$67</f>
        <v>780.58565874108911</v>
      </c>
      <c r="BP192" s="1470"/>
      <c r="BQ192" s="410">
        <f>IS!BQ$67</f>
        <v>515.98699999999997</v>
      </c>
      <c r="BR192" s="404">
        <f>IS!BR$67</f>
        <v>522.39499999999975</v>
      </c>
      <c r="BS192" s="404">
        <f>IS!BS$67</f>
        <v>568.72300000000007</v>
      </c>
      <c r="BT192" s="404">
        <f>IS!BT$67</f>
        <v>625.02500000000009</v>
      </c>
      <c r="BU192" s="404">
        <f>IS!BU$67</f>
        <v>284.81699999999978</v>
      </c>
      <c r="BV192" s="404">
        <f>IS!BV$67</f>
        <v>900.07399999999984</v>
      </c>
      <c r="BW192" s="404">
        <f>IS!BW$67</f>
        <v>1072.0250000000001</v>
      </c>
      <c r="BX192" s="404">
        <f>IS!BX$67</f>
        <v>824.04799999999966</v>
      </c>
      <c r="BY192" s="404">
        <f>IS!BY$67</f>
        <v>753.07500000000027</v>
      </c>
      <c r="BZ192" s="404">
        <f>IS!BZ$67</f>
        <v>752.4839999999997</v>
      </c>
      <c r="CA192" s="404">
        <f>IS!CA$67</f>
        <v>830.84099999999967</v>
      </c>
      <c r="CB192" s="404">
        <f>IS!CB$67</f>
        <v>1028.1120000000003</v>
      </c>
      <c r="CC192" s="404">
        <f>IS!CC$67</f>
        <v>1055.1340000000002</v>
      </c>
      <c r="CD192" s="404">
        <f>IS!CD$67</f>
        <v>2149.045742333803</v>
      </c>
      <c r="CE192" s="404">
        <f>IS!CE$67</f>
        <v>2658.3015620279411</v>
      </c>
      <c r="CF192" s="405">
        <f>IS!CF$67</f>
        <v>2886.8866120953098</v>
      </c>
      <c r="CG192" s="25"/>
      <c r="CH192" s="8"/>
      <c r="CI192" s="8"/>
      <c r="CJ192" s="8"/>
      <c r="CK192" s="8"/>
    </row>
    <row r="193" spans="1:89" ht="14.25" customHeight="1">
      <c r="A193" s="634"/>
      <c r="B193" s="51"/>
      <c r="C193" s="301"/>
      <c r="D193" s="124"/>
      <c r="E193" s="124"/>
      <c r="F193" s="124"/>
      <c r="G193" s="125"/>
      <c r="H193" s="124"/>
      <c r="I193" s="124"/>
      <c r="J193" s="124"/>
      <c r="K193" s="125"/>
      <c r="L193" s="124"/>
      <c r="M193" s="124"/>
      <c r="N193" s="124"/>
      <c r="O193" s="125"/>
      <c r="P193" s="124"/>
      <c r="Q193" s="124"/>
      <c r="R193" s="124"/>
      <c r="S193" s="125"/>
      <c r="T193" s="124"/>
      <c r="U193" s="124"/>
      <c r="V193" s="124"/>
      <c r="W193" s="125"/>
      <c r="X193" s="124"/>
      <c r="Y193" s="124"/>
      <c r="Z193" s="124"/>
      <c r="AA193" s="125"/>
      <c r="AB193" s="124"/>
      <c r="AC193" s="124"/>
      <c r="AD193" s="124"/>
      <c r="AE193" s="124"/>
      <c r="AF193" s="308"/>
      <c r="AG193" s="309"/>
      <c r="AH193" s="309"/>
      <c r="AI193" s="309"/>
      <c r="AJ193" s="308"/>
      <c r="AK193" s="309"/>
      <c r="AL193" s="309"/>
      <c r="AM193" s="310"/>
      <c r="AN193" s="308"/>
      <c r="AO193" s="309"/>
      <c r="AP193" s="309"/>
      <c r="AQ193" s="309"/>
      <c r="AR193" s="308"/>
      <c r="AS193" s="309"/>
      <c r="AT193" s="309"/>
      <c r="AU193" s="310"/>
      <c r="AV193" s="309"/>
      <c r="AW193" s="309"/>
      <c r="AX193" s="309"/>
      <c r="AY193" s="310"/>
      <c r="AZ193" s="309"/>
      <c r="BA193" s="309"/>
      <c r="BB193" s="309"/>
      <c r="BC193" s="309"/>
      <c r="BD193" s="308"/>
      <c r="BE193" s="309"/>
      <c r="BF193" s="309"/>
      <c r="BG193" s="310"/>
      <c r="BH193" s="308"/>
      <c r="BI193" s="309"/>
      <c r="BJ193" s="309"/>
      <c r="BK193" s="310"/>
      <c r="BL193" s="308"/>
      <c r="BM193" s="309"/>
      <c r="BN193" s="309"/>
      <c r="BO193" s="310"/>
      <c r="BP193" s="1470"/>
      <c r="BQ193" s="410"/>
      <c r="BR193" s="404"/>
      <c r="BS193" s="404"/>
      <c r="BT193" s="404"/>
      <c r="BU193" s="404"/>
      <c r="BV193" s="404"/>
      <c r="BW193" s="404"/>
      <c r="BX193" s="404"/>
      <c r="BY193" s="404"/>
      <c r="BZ193" s="404"/>
      <c r="CA193" s="404"/>
      <c r="CB193" s="404"/>
      <c r="CC193" s="404"/>
      <c r="CD193" s="404"/>
      <c r="CE193" s="404"/>
      <c r="CF193" s="405"/>
      <c r="CG193" s="25"/>
      <c r="CH193" s="8"/>
      <c r="CI193" s="8"/>
      <c r="CJ193" s="8"/>
      <c r="CK193" s="8"/>
    </row>
    <row r="194" spans="1:89" ht="14.25" customHeight="1">
      <c r="A194" s="634"/>
      <c r="B194" s="518" t="s">
        <v>288</v>
      </c>
      <c r="C194" s="519"/>
      <c r="D194" s="520"/>
      <c r="E194" s="520"/>
      <c r="F194" s="520"/>
      <c r="G194" s="521"/>
      <c r="H194" s="522"/>
      <c r="I194" s="522"/>
      <c r="J194" s="522"/>
      <c r="K194" s="523"/>
      <c r="L194" s="522"/>
      <c r="M194" s="522"/>
      <c r="N194" s="522"/>
      <c r="O194" s="523"/>
      <c r="P194" s="522"/>
      <c r="Q194" s="522"/>
      <c r="R194" s="522"/>
      <c r="S194" s="523"/>
      <c r="T194" s="522"/>
      <c r="U194" s="522"/>
      <c r="V194" s="522"/>
      <c r="W194" s="523"/>
      <c r="X194" s="522"/>
      <c r="Y194" s="522"/>
      <c r="Z194" s="522"/>
      <c r="AA194" s="523"/>
      <c r="AB194" s="522"/>
      <c r="AC194" s="522"/>
      <c r="AD194" s="522"/>
      <c r="AE194" s="522"/>
      <c r="AF194" s="674"/>
      <c r="AG194" s="522"/>
      <c r="AH194" s="522"/>
      <c r="AI194" s="522"/>
      <c r="AJ194" s="674"/>
      <c r="AK194" s="522"/>
      <c r="AL194" s="522"/>
      <c r="AM194" s="523"/>
      <c r="AN194" s="674"/>
      <c r="AO194" s="522"/>
      <c r="AP194" s="522"/>
      <c r="AQ194" s="522"/>
      <c r="AR194" s="674"/>
      <c r="AS194" s="522"/>
      <c r="AT194" s="522"/>
      <c r="AU194" s="523"/>
      <c r="AV194" s="522"/>
      <c r="AW194" s="522"/>
      <c r="AX194" s="522"/>
      <c r="AY194" s="523"/>
      <c r="AZ194" s="522"/>
      <c r="BA194" s="522"/>
      <c r="BB194" s="522"/>
      <c r="BC194" s="522"/>
      <c r="BD194" s="674"/>
      <c r="BE194" s="522"/>
      <c r="BF194" s="522"/>
      <c r="BG194" s="523"/>
      <c r="BH194" s="674"/>
      <c r="BI194" s="522"/>
      <c r="BJ194" s="522"/>
      <c r="BK194" s="523"/>
      <c r="BL194" s="674"/>
      <c r="BM194" s="522"/>
      <c r="BN194" s="522"/>
      <c r="BO194" s="523"/>
      <c r="BP194" s="1470"/>
      <c r="BQ194" s="674"/>
      <c r="BR194" s="522"/>
      <c r="BS194" s="522"/>
      <c r="BT194" s="522"/>
      <c r="BU194" s="522"/>
      <c r="BV194" s="522"/>
      <c r="BW194" s="522"/>
      <c r="BX194" s="522"/>
      <c r="BY194" s="522"/>
      <c r="BZ194" s="522"/>
      <c r="CA194" s="522"/>
      <c r="CB194" s="522"/>
      <c r="CC194" s="522"/>
      <c r="CD194" s="522"/>
      <c r="CE194" s="522"/>
      <c r="CF194" s="523"/>
      <c r="CG194" s="25"/>
      <c r="CH194" s="8"/>
      <c r="CI194" s="8"/>
      <c r="CJ194" s="8"/>
      <c r="CK194" s="8"/>
    </row>
    <row r="195" spans="1:89" ht="14.25" customHeight="1">
      <c r="A195" s="634"/>
      <c r="B195" s="518" t="s">
        <v>289</v>
      </c>
      <c r="C195" s="519"/>
      <c r="D195" s="520"/>
      <c r="E195" s="520"/>
      <c r="F195" s="520"/>
      <c r="G195" s="521"/>
      <c r="H195" s="522">
        <f t="shared" ref="H195:AM195" si="1283">H140-H122</f>
        <v>-64.675999999999931</v>
      </c>
      <c r="I195" s="522">
        <f t="shared" si="1283"/>
        <v>-66.218000000000075</v>
      </c>
      <c r="J195" s="522">
        <f t="shared" si="1283"/>
        <v>-64.745000000000005</v>
      </c>
      <c r="K195" s="523">
        <f t="shared" si="1283"/>
        <v>-75.818000000000097</v>
      </c>
      <c r="L195" s="522">
        <f t="shared" si="1283"/>
        <v>0</v>
      </c>
      <c r="M195" s="522">
        <f t="shared" si="1283"/>
        <v>0</v>
      </c>
      <c r="N195" s="522">
        <f t="shared" si="1283"/>
        <v>0</v>
      </c>
      <c r="O195" s="523">
        <f t="shared" si="1283"/>
        <v>0</v>
      </c>
      <c r="P195" s="522">
        <f t="shared" si="1283"/>
        <v>0</v>
      </c>
      <c r="Q195" s="522">
        <f t="shared" si="1283"/>
        <v>0</v>
      </c>
      <c r="R195" s="522">
        <f t="shared" si="1283"/>
        <v>0</v>
      </c>
      <c r="S195" s="523">
        <f t="shared" si="1283"/>
        <v>0</v>
      </c>
      <c r="T195" s="522">
        <f t="shared" si="1283"/>
        <v>0</v>
      </c>
      <c r="U195" s="522">
        <f t="shared" si="1283"/>
        <v>0</v>
      </c>
      <c r="V195" s="522">
        <f t="shared" si="1283"/>
        <v>0</v>
      </c>
      <c r="W195" s="523">
        <f t="shared" si="1283"/>
        <v>0</v>
      </c>
      <c r="X195" s="522">
        <f t="shared" si="1283"/>
        <v>-1.7000000000052751E-2</v>
      </c>
      <c r="Y195" s="522">
        <f t="shared" si="1283"/>
        <v>3.999999999996362E-2</v>
      </c>
      <c r="Z195" s="522">
        <f t="shared" si="1283"/>
        <v>-9.9999999999909051E-3</v>
      </c>
      <c r="AA195" s="523">
        <f t="shared" si="1283"/>
        <v>-9.9999999999909051E-3</v>
      </c>
      <c r="AB195" s="522">
        <f t="shared" si="1283"/>
        <v>4.0000000000190994E-3</v>
      </c>
      <c r="AC195" s="522">
        <f t="shared" si="1283"/>
        <v>-1.999999999998181E-2</v>
      </c>
      <c r="AD195" s="522">
        <f t="shared" si="1283"/>
        <v>2.0000000000663931E-3</v>
      </c>
      <c r="AE195" s="523">
        <f t="shared" si="1283"/>
        <v>3.3999999999991815E-2</v>
      </c>
      <c r="AF195" s="522">
        <f t="shared" si="1283"/>
        <v>-4.2000000000030013E-2</v>
      </c>
      <c r="AG195" s="522">
        <f t="shared" si="1283"/>
        <v>-1.4999999999872671E-2</v>
      </c>
      <c r="AH195" s="522">
        <f t="shared" si="1283"/>
        <v>0</v>
      </c>
      <c r="AI195" s="522">
        <f t="shared" si="1283"/>
        <v>0</v>
      </c>
      <c r="AJ195" s="674">
        <f t="shared" si="1283"/>
        <v>0</v>
      </c>
      <c r="AK195" s="522">
        <f t="shared" si="1283"/>
        <v>0</v>
      </c>
      <c r="AL195" s="522">
        <f t="shared" si="1283"/>
        <v>0</v>
      </c>
      <c r="AM195" s="523">
        <f t="shared" si="1283"/>
        <v>0</v>
      </c>
      <c r="AN195" s="674">
        <f t="shared" ref="AN195:BO195" si="1284">AN140-AN122</f>
        <v>0</v>
      </c>
      <c r="AO195" s="522">
        <f t="shared" si="1284"/>
        <v>0</v>
      </c>
      <c r="AP195" s="522">
        <f t="shared" si="1284"/>
        <v>0</v>
      </c>
      <c r="AQ195" s="522">
        <f t="shared" si="1284"/>
        <v>0</v>
      </c>
      <c r="AR195" s="1111">
        <f t="shared" si="1284"/>
        <v>0</v>
      </c>
      <c r="AS195" s="522">
        <f t="shared" si="1284"/>
        <v>0</v>
      </c>
      <c r="AT195" s="522">
        <f t="shared" si="1284"/>
        <v>0</v>
      </c>
      <c r="AU195" s="523">
        <f t="shared" si="1284"/>
        <v>0</v>
      </c>
      <c r="AV195" s="522">
        <f t="shared" si="1284"/>
        <v>0</v>
      </c>
      <c r="AW195" s="522">
        <f t="shared" si="1284"/>
        <v>0</v>
      </c>
      <c r="AX195" s="522">
        <f t="shared" si="1284"/>
        <v>0</v>
      </c>
      <c r="AY195" s="523">
        <f t="shared" si="1284"/>
        <v>0</v>
      </c>
      <c r="AZ195" s="522">
        <f t="shared" si="1284"/>
        <v>0</v>
      </c>
      <c r="BA195" s="522">
        <f t="shared" si="1284"/>
        <v>131.92923066666663</v>
      </c>
      <c r="BB195" s="522">
        <f t="shared" si="1284"/>
        <v>0</v>
      </c>
      <c r="BC195" s="522">
        <f t="shared" si="1284"/>
        <v>0</v>
      </c>
      <c r="BD195" s="674">
        <f t="shared" si="1284"/>
        <v>0</v>
      </c>
      <c r="BE195" s="522">
        <f t="shared" si="1284"/>
        <v>0</v>
      </c>
      <c r="BF195" s="522">
        <f t="shared" si="1284"/>
        <v>0</v>
      </c>
      <c r="BG195" s="523">
        <f t="shared" si="1284"/>
        <v>0</v>
      </c>
      <c r="BH195" s="674">
        <f t="shared" si="1284"/>
        <v>0</v>
      </c>
      <c r="BI195" s="522">
        <f t="shared" si="1284"/>
        <v>0</v>
      </c>
      <c r="BJ195" s="522">
        <f t="shared" si="1284"/>
        <v>0</v>
      </c>
      <c r="BK195" s="523">
        <f t="shared" si="1284"/>
        <v>0</v>
      </c>
      <c r="BL195" s="674">
        <f t="shared" si="1284"/>
        <v>0</v>
      </c>
      <c r="BM195" s="522">
        <f t="shared" si="1284"/>
        <v>0</v>
      </c>
      <c r="BN195" s="522">
        <f t="shared" si="1284"/>
        <v>0</v>
      </c>
      <c r="BO195" s="523">
        <f t="shared" si="1284"/>
        <v>0</v>
      </c>
      <c r="BP195" s="1470"/>
      <c r="BQ195" s="674"/>
      <c r="BR195" s="522">
        <f t="shared" ref="BR195:CF195" si="1285">BR140-BR122</f>
        <v>-271.45700000000033</v>
      </c>
      <c r="BS195" s="522">
        <f t="shared" si="1285"/>
        <v>0</v>
      </c>
      <c r="BT195" s="522">
        <f t="shared" si="1285"/>
        <v>0</v>
      </c>
      <c r="BU195" s="522">
        <f t="shared" si="1285"/>
        <v>0</v>
      </c>
      <c r="BV195" s="522">
        <f t="shared" si="1285"/>
        <v>2.9999999997016857E-3</v>
      </c>
      <c r="BW195" s="522">
        <f t="shared" si="1285"/>
        <v>2.0000000000436557E-2</v>
      </c>
      <c r="BX195" s="522">
        <f t="shared" si="1285"/>
        <v>-5.6999999999788997E-2</v>
      </c>
      <c r="BY195" s="522">
        <f t="shared" si="1285"/>
        <v>0</v>
      </c>
      <c r="BZ195" s="522">
        <f t="shared" si="1285"/>
        <v>0</v>
      </c>
      <c r="CA195" s="522">
        <f t="shared" si="1285"/>
        <v>0</v>
      </c>
      <c r="CB195" s="522">
        <f t="shared" si="1285"/>
        <v>0</v>
      </c>
      <c r="CC195" s="522">
        <f t="shared" si="1285"/>
        <v>131.92923066666663</v>
      </c>
      <c r="CD195" s="522">
        <f t="shared" si="1285"/>
        <v>0</v>
      </c>
      <c r="CE195" s="522">
        <f t="shared" si="1285"/>
        <v>0</v>
      </c>
      <c r="CF195" s="523">
        <f t="shared" si="1285"/>
        <v>0</v>
      </c>
      <c r="CG195" s="25"/>
      <c r="CH195" s="8"/>
      <c r="CI195" s="8"/>
      <c r="CJ195" s="8"/>
      <c r="CK195" s="8"/>
    </row>
    <row r="196" spans="1:89" ht="14.25" hidden="1" customHeight="1">
      <c r="A196" s="634"/>
      <c r="B196" s="518" t="s">
        <v>290</v>
      </c>
      <c r="C196" s="519"/>
      <c r="D196" s="520"/>
      <c r="E196" s="520"/>
      <c r="F196" s="520"/>
      <c r="G196" s="521"/>
      <c r="H196" s="522">
        <f t="shared" ref="H196:AM196" si="1286">H191-H184</f>
        <v>0</v>
      </c>
      <c r="I196" s="522">
        <f t="shared" si="1286"/>
        <v>0</v>
      </c>
      <c r="J196" s="522">
        <f t="shared" si="1286"/>
        <v>0</v>
      </c>
      <c r="K196" s="523">
        <f t="shared" si="1286"/>
        <v>0</v>
      </c>
      <c r="L196" s="522">
        <f t="shared" si="1286"/>
        <v>0</v>
      </c>
      <c r="M196" s="522">
        <f t="shared" si="1286"/>
        <v>0</v>
      </c>
      <c r="N196" s="522">
        <f t="shared" si="1286"/>
        <v>0</v>
      </c>
      <c r="O196" s="523">
        <f t="shared" si="1286"/>
        <v>0</v>
      </c>
      <c r="P196" s="522">
        <f t="shared" si="1286"/>
        <v>0</v>
      </c>
      <c r="Q196" s="522">
        <f t="shared" si="1286"/>
        <v>0</v>
      </c>
      <c r="R196" s="522">
        <f t="shared" si="1286"/>
        <v>0</v>
      </c>
      <c r="S196" s="523">
        <f t="shared" si="1286"/>
        <v>0</v>
      </c>
      <c r="T196" s="522">
        <f t="shared" si="1286"/>
        <v>0</v>
      </c>
      <c r="U196" s="522">
        <f t="shared" si="1286"/>
        <v>0</v>
      </c>
      <c r="V196" s="522">
        <f t="shared" si="1286"/>
        <v>0</v>
      </c>
      <c r="W196" s="523">
        <f t="shared" si="1286"/>
        <v>0</v>
      </c>
      <c r="X196" s="522">
        <f t="shared" si="1286"/>
        <v>0</v>
      </c>
      <c r="Y196" s="522">
        <f t="shared" si="1286"/>
        <v>0</v>
      </c>
      <c r="Z196" s="522">
        <f t="shared" si="1286"/>
        <v>0</v>
      </c>
      <c r="AA196" s="523">
        <f t="shared" si="1286"/>
        <v>0</v>
      </c>
      <c r="AB196" s="522">
        <f t="shared" si="1286"/>
        <v>4.0000000000190994E-3</v>
      </c>
      <c r="AC196" s="522">
        <f t="shared" si="1286"/>
        <v>-1.999999999998181E-2</v>
      </c>
      <c r="AD196" s="522">
        <f t="shared" si="1286"/>
        <v>2.0000000000663931E-3</v>
      </c>
      <c r="AE196" s="523">
        <f t="shared" si="1286"/>
        <v>3.3999999999991815E-2</v>
      </c>
      <c r="AF196" s="522">
        <f t="shared" si="1286"/>
        <v>-4.2000000000030013E-2</v>
      </c>
      <c r="AG196" s="522">
        <f t="shared" si="1286"/>
        <v>-1.4999999999872671E-2</v>
      </c>
      <c r="AH196" s="522">
        <f t="shared" si="1286"/>
        <v>0</v>
      </c>
      <c r="AI196" s="522">
        <f t="shared" si="1286"/>
        <v>0</v>
      </c>
      <c r="AJ196" s="674">
        <f t="shared" si="1286"/>
        <v>0</v>
      </c>
      <c r="AK196" s="522">
        <f t="shared" si="1286"/>
        <v>0</v>
      </c>
      <c r="AL196" s="522">
        <f t="shared" si="1286"/>
        <v>0</v>
      </c>
      <c r="AM196" s="523">
        <f t="shared" si="1286"/>
        <v>0</v>
      </c>
      <c r="AN196" s="674">
        <f t="shared" ref="AN196:BK196" si="1287">AN191-AN184</f>
        <v>0</v>
      </c>
      <c r="AO196" s="522">
        <f t="shared" si="1287"/>
        <v>0</v>
      </c>
      <c r="AP196" s="522">
        <f t="shared" si="1287"/>
        <v>0</v>
      </c>
      <c r="AQ196" s="522">
        <f t="shared" si="1287"/>
        <v>0</v>
      </c>
      <c r="AR196" s="674">
        <f t="shared" si="1287"/>
        <v>0</v>
      </c>
      <c r="AS196" s="522">
        <f t="shared" si="1287"/>
        <v>0</v>
      </c>
      <c r="AT196" s="522">
        <f t="shared" si="1287"/>
        <v>0</v>
      </c>
      <c r="AU196" s="523">
        <f t="shared" si="1287"/>
        <v>0</v>
      </c>
      <c r="AV196" s="522">
        <f t="shared" si="1287"/>
        <v>0</v>
      </c>
      <c r="AW196" s="522">
        <f t="shared" si="1287"/>
        <v>0</v>
      </c>
      <c r="AX196" s="522">
        <f t="shared" si="1287"/>
        <v>0</v>
      </c>
      <c r="AY196" s="523">
        <f t="shared" si="1287"/>
        <v>0</v>
      </c>
      <c r="AZ196" s="522">
        <f t="shared" si="1287"/>
        <v>0</v>
      </c>
      <c r="BA196" s="522">
        <f t="shared" si="1287"/>
        <v>-98.294608420303916</v>
      </c>
      <c r="BB196" s="522">
        <f t="shared" si="1287"/>
        <v>44.404464585073924</v>
      </c>
      <c r="BC196" s="522">
        <f t="shared" si="1287"/>
        <v>319.82570782071002</v>
      </c>
      <c r="BD196" s="674">
        <f t="shared" si="1287"/>
        <v>0</v>
      </c>
      <c r="BE196" s="522">
        <f t="shared" si="1287"/>
        <v>-43.999999999999886</v>
      </c>
      <c r="BF196" s="522">
        <f t="shared" si="1287"/>
        <v>0</v>
      </c>
      <c r="BG196" s="523">
        <f t="shared" si="1287"/>
        <v>0</v>
      </c>
      <c r="BH196" s="674">
        <f t="shared" si="1287"/>
        <v>0</v>
      </c>
      <c r="BI196" s="522">
        <f t="shared" si="1287"/>
        <v>0</v>
      </c>
      <c r="BJ196" s="522">
        <f t="shared" si="1287"/>
        <v>0</v>
      </c>
      <c r="BK196" s="523">
        <f t="shared" si="1287"/>
        <v>0</v>
      </c>
      <c r="BL196" s="674">
        <f t="shared" ref="BL196:BO196" si="1288">BL191-BL184</f>
        <v>0</v>
      </c>
      <c r="BM196" s="522">
        <f t="shared" si="1288"/>
        <v>0</v>
      </c>
      <c r="BN196" s="522">
        <f t="shared" si="1288"/>
        <v>0</v>
      </c>
      <c r="BO196" s="523">
        <f t="shared" si="1288"/>
        <v>0</v>
      </c>
      <c r="BP196" s="1470"/>
      <c r="BQ196" s="674"/>
      <c r="BR196" s="522">
        <f t="shared" ref="BR196:CE196" si="1289">BR191-BR184</f>
        <v>0</v>
      </c>
      <c r="BS196" s="522">
        <f t="shared" si="1289"/>
        <v>0</v>
      </c>
      <c r="BT196" s="522">
        <f t="shared" si="1289"/>
        <v>0</v>
      </c>
      <c r="BU196" s="522">
        <f t="shared" si="1289"/>
        <v>0</v>
      </c>
      <c r="BV196" s="522">
        <f t="shared" si="1289"/>
        <v>0</v>
      </c>
      <c r="BW196" s="522">
        <f t="shared" si="1289"/>
        <v>2.0000000000209184E-2</v>
      </c>
      <c r="BX196" s="522">
        <f t="shared" si="1289"/>
        <v>-5.7000000000243745E-2</v>
      </c>
      <c r="BY196" s="522">
        <f t="shared" si="1289"/>
        <v>0</v>
      </c>
      <c r="BZ196" s="522">
        <f t="shared" si="1289"/>
        <v>0</v>
      </c>
      <c r="CA196" s="522">
        <f t="shared" si="1289"/>
        <v>0</v>
      </c>
      <c r="CB196" s="522">
        <f t="shared" si="1289"/>
        <v>0</v>
      </c>
      <c r="CC196" s="522">
        <f t="shared" si="1289"/>
        <v>265.93556398548026</v>
      </c>
      <c r="CD196" s="522">
        <f t="shared" si="1289"/>
        <v>-44</v>
      </c>
      <c r="CE196" s="522">
        <f t="shared" si="1289"/>
        <v>0</v>
      </c>
      <c r="CF196" s="523">
        <f t="shared" ref="CF196" si="1290">CF191-CF184</f>
        <v>0</v>
      </c>
      <c r="CG196" s="25"/>
      <c r="CH196" s="8"/>
      <c r="CI196" s="8"/>
      <c r="CJ196" s="8"/>
      <c r="CK196" s="8"/>
    </row>
    <row r="197" spans="1:89" ht="14.25" customHeight="1">
      <c r="A197" s="634"/>
      <c r="B197" s="272"/>
      <c r="C197" s="304"/>
      <c r="D197" s="482"/>
      <c r="E197" s="482"/>
      <c r="F197" s="482"/>
      <c r="G197" s="492"/>
      <c r="H197" s="482"/>
      <c r="I197" s="482"/>
      <c r="J197" s="482"/>
      <c r="K197" s="492"/>
      <c r="L197" s="482"/>
      <c r="M197" s="482"/>
      <c r="N197" s="482"/>
      <c r="O197" s="492"/>
      <c r="P197" s="482"/>
      <c r="Q197" s="482"/>
      <c r="R197" s="482"/>
      <c r="S197" s="492"/>
      <c r="T197" s="482"/>
      <c r="U197" s="482"/>
      <c r="V197" s="482"/>
      <c r="W197" s="492"/>
      <c r="X197" s="482"/>
      <c r="Y197" s="482"/>
      <c r="Z197" s="482"/>
      <c r="AA197" s="492"/>
      <c r="AB197" s="482"/>
      <c r="AC197" s="482"/>
      <c r="AD197" s="482"/>
      <c r="AE197" s="492"/>
      <c r="AF197" s="311"/>
      <c r="AG197" s="311"/>
      <c r="AH197" s="311"/>
      <c r="AI197" s="311"/>
      <c r="AJ197" s="481"/>
      <c r="AK197" s="311"/>
      <c r="AL197" s="311"/>
      <c r="AM197" s="312"/>
      <c r="AN197" s="481"/>
      <c r="AO197" s="311"/>
      <c r="AP197" s="311"/>
      <c r="AQ197" s="311"/>
      <c r="AR197" s="481"/>
      <c r="AS197" s="311"/>
      <c r="AT197" s="311"/>
      <c r="AU197" s="312"/>
      <c r="AV197" s="311"/>
      <c r="AW197" s="311"/>
      <c r="AX197" s="311"/>
      <c r="AY197" s="312"/>
      <c r="AZ197" s="311"/>
      <c r="BA197" s="311"/>
      <c r="BB197" s="311"/>
      <c r="BC197" s="311"/>
      <c r="BD197" s="481"/>
      <c r="BE197" s="311"/>
      <c r="BF197" s="311"/>
      <c r="BG197" s="312"/>
      <c r="BH197" s="481"/>
      <c r="BI197" s="311"/>
      <c r="BJ197" s="311"/>
      <c r="BK197" s="312"/>
      <c r="BL197" s="481"/>
      <c r="BM197" s="311"/>
      <c r="BN197" s="311"/>
      <c r="BO197" s="312"/>
      <c r="BP197" s="1470"/>
      <c r="BQ197" s="481"/>
      <c r="BR197" s="311"/>
      <c r="BS197" s="311"/>
      <c r="BT197" s="311"/>
      <c r="BU197" s="311"/>
      <c r="BV197" s="311"/>
      <c r="BW197" s="311"/>
      <c r="BX197" s="311"/>
      <c r="BY197" s="311"/>
      <c r="BZ197" s="311"/>
      <c r="CA197" s="311"/>
      <c r="CB197" s="311"/>
      <c r="CC197" s="311"/>
      <c r="CD197" s="311"/>
      <c r="CE197" s="311"/>
      <c r="CF197" s="312"/>
      <c r="CG197" s="25"/>
      <c r="CH197" s="8"/>
      <c r="CI197" s="8"/>
      <c r="CJ197" s="8"/>
      <c r="CK197" s="8"/>
    </row>
    <row r="198" spans="1:89" ht="14.25" hidden="1" customHeight="1" outlineLevel="1">
      <c r="AU198" s="1032"/>
      <c r="CC198" s="1005"/>
      <c r="CD198" s="1005"/>
      <c r="CE198" s="1005"/>
    </row>
    <row r="199" spans="1:89" ht="14.25" hidden="1" customHeight="1" outlineLevel="1">
      <c r="A199" s="1"/>
      <c r="B199" s="150" t="s">
        <v>262</v>
      </c>
      <c r="C199" s="151"/>
      <c r="D199" s="699" t="str">
        <f t="shared" ref="D199:AI199" si="1291">D9</f>
        <v>F1Q05A</v>
      </c>
      <c r="E199" s="698" t="str">
        <f t="shared" si="1291"/>
        <v>F2Q05A</v>
      </c>
      <c r="F199" s="698" t="str">
        <f t="shared" si="1291"/>
        <v>F3Q05A</v>
      </c>
      <c r="G199" s="698" t="str">
        <f t="shared" si="1291"/>
        <v>F4Q05A</v>
      </c>
      <c r="H199" s="699" t="str">
        <f t="shared" si="1291"/>
        <v>F1Q06A</v>
      </c>
      <c r="I199" s="698" t="str">
        <f t="shared" si="1291"/>
        <v>F2Q06A</v>
      </c>
      <c r="J199" s="698" t="str">
        <f t="shared" si="1291"/>
        <v>F3Q06A</v>
      </c>
      <c r="K199" s="698" t="str">
        <f t="shared" si="1291"/>
        <v>F4Q06A</v>
      </c>
      <c r="L199" s="699" t="str">
        <f t="shared" si="1291"/>
        <v>F1Q07A</v>
      </c>
      <c r="M199" s="698" t="str">
        <f t="shared" si="1291"/>
        <v>F2Q07A</v>
      </c>
      <c r="N199" s="698" t="str">
        <f t="shared" si="1291"/>
        <v>F3Q07A</v>
      </c>
      <c r="O199" s="698" t="str">
        <f t="shared" si="1291"/>
        <v>F4Q07A</v>
      </c>
      <c r="P199" s="699" t="str">
        <f t="shared" si="1291"/>
        <v>F1Q08A</v>
      </c>
      <c r="Q199" s="698" t="str">
        <f t="shared" si="1291"/>
        <v>F2Q08A</v>
      </c>
      <c r="R199" s="698" t="str">
        <f t="shared" si="1291"/>
        <v>F3Q08A</v>
      </c>
      <c r="S199" s="698" t="str">
        <f t="shared" si="1291"/>
        <v>F4Q08A</v>
      </c>
      <c r="T199" s="699" t="str">
        <f t="shared" si="1291"/>
        <v>F1Q09A</v>
      </c>
      <c r="U199" s="698" t="str">
        <f t="shared" si="1291"/>
        <v>F2Q09A</v>
      </c>
      <c r="V199" s="698" t="str">
        <f t="shared" si="1291"/>
        <v>F3Q09A</v>
      </c>
      <c r="W199" s="698" t="str">
        <f t="shared" si="1291"/>
        <v>F4Q09A</v>
      </c>
      <c r="X199" s="699" t="str">
        <f t="shared" si="1291"/>
        <v>F1Q10A</v>
      </c>
      <c r="Y199" s="698" t="str">
        <f t="shared" si="1291"/>
        <v>F2Q10A</v>
      </c>
      <c r="Z199" s="698" t="str">
        <f t="shared" si="1291"/>
        <v>F3Q10A</v>
      </c>
      <c r="AA199" s="698" t="str">
        <f t="shared" si="1291"/>
        <v>F4Q10A</v>
      </c>
      <c r="AB199" s="699" t="str">
        <f t="shared" si="1291"/>
        <v>F1Q11A</v>
      </c>
      <c r="AC199" s="698" t="str">
        <f t="shared" si="1291"/>
        <v>F2Q11A</v>
      </c>
      <c r="AD199" s="698" t="str">
        <f t="shared" si="1291"/>
        <v>F3Q11A</v>
      </c>
      <c r="AE199" s="698" t="str">
        <f t="shared" si="1291"/>
        <v>F4Q11A</v>
      </c>
      <c r="AF199" s="699" t="str">
        <f t="shared" si="1291"/>
        <v>F1Q12A</v>
      </c>
      <c r="AG199" s="698" t="str">
        <f t="shared" si="1291"/>
        <v>F2Q12A</v>
      </c>
      <c r="AH199" s="698" t="str">
        <f t="shared" si="1291"/>
        <v>F3Q12A</v>
      </c>
      <c r="AI199" s="698" t="str">
        <f t="shared" si="1291"/>
        <v>F4Q12A</v>
      </c>
      <c r="AJ199" s="699" t="str">
        <f t="shared" ref="AJ199:BO199" si="1292">AJ9</f>
        <v>F1Q13A</v>
      </c>
      <c r="AK199" s="698" t="str">
        <f t="shared" si="1292"/>
        <v>F2Q13A</v>
      </c>
      <c r="AL199" s="698" t="str">
        <f t="shared" si="1292"/>
        <v>F3Q13A</v>
      </c>
      <c r="AM199" s="698" t="str">
        <f t="shared" si="1292"/>
        <v>F4Q13A</v>
      </c>
      <c r="AN199" s="699" t="str">
        <f t="shared" si="1292"/>
        <v>F1Q14A</v>
      </c>
      <c r="AO199" s="698" t="str">
        <f t="shared" si="1292"/>
        <v>F2Q14A</v>
      </c>
      <c r="AP199" s="698" t="str">
        <f t="shared" si="1292"/>
        <v>F3Q14A</v>
      </c>
      <c r="AQ199" s="700" t="str">
        <f t="shared" si="1292"/>
        <v>F4Q14A</v>
      </c>
      <c r="AR199" s="699" t="str">
        <f t="shared" si="1292"/>
        <v>F1Q15A</v>
      </c>
      <c r="AS199" s="698" t="str">
        <f t="shared" si="1292"/>
        <v>F2Q15A</v>
      </c>
      <c r="AT199" s="698" t="str">
        <f t="shared" si="1292"/>
        <v>F3Q15A</v>
      </c>
      <c r="AU199" s="700" t="str">
        <f t="shared" si="1292"/>
        <v>F4Q15A</v>
      </c>
      <c r="AV199" s="698" t="str">
        <f t="shared" si="1292"/>
        <v>F1Q16A</v>
      </c>
      <c r="AW199" s="698" t="str">
        <f t="shared" si="1292"/>
        <v>F2Q16A</v>
      </c>
      <c r="AX199" s="698" t="str">
        <f t="shared" si="1292"/>
        <v>F3Q16A</v>
      </c>
      <c r="AY199" s="700" t="str">
        <f t="shared" si="1292"/>
        <v>F4Q16A</v>
      </c>
      <c r="AZ199" s="699" t="str">
        <f t="shared" si="1292"/>
        <v>F1Q17A</v>
      </c>
      <c r="BA199" s="698" t="str">
        <f t="shared" si="1292"/>
        <v>F2Q17A</v>
      </c>
      <c r="BB199" s="698" t="str">
        <f t="shared" si="1292"/>
        <v>F3Q17A</v>
      </c>
      <c r="BC199" s="700" t="str">
        <f t="shared" si="1292"/>
        <v>F4Q17A</v>
      </c>
      <c r="BD199" s="699" t="str">
        <f t="shared" si="1292"/>
        <v>F1Q18A</v>
      </c>
      <c r="BE199" s="698" t="str">
        <f t="shared" si="1292"/>
        <v>F2Q18E</v>
      </c>
      <c r="BF199" s="698" t="str">
        <f t="shared" si="1292"/>
        <v>F3Q18E</v>
      </c>
      <c r="BG199" s="700" t="str">
        <f t="shared" si="1292"/>
        <v>F4Q18E</v>
      </c>
      <c r="BH199" s="699" t="str">
        <f t="shared" si="1292"/>
        <v>F1Q19E</v>
      </c>
      <c r="BI199" s="698" t="str">
        <f t="shared" si="1292"/>
        <v>F2Q19E</v>
      </c>
      <c r="BJ199" s="698" t="str">
        <f t="shared" si="1292"/>
        <v>F3Q19E</v>
      </c>
      <c r="BK199" s="700" t="str">
        <f t="shared" si="1292"/>
        <v>F4Q19E</v>
      </c>
      <c r="BL199" s="699" t="str">
        <f t="shared" si="1292"/>
        <v>F1Q20E</v>
      </c>
      <c r="BM199" s="698" t="str">
        <f t="shared" si="1292"/>
        <v>F2Q20E</v>
      </c>
      <c r="BN199" s="698" t="str">
        <f t="shared" si="1292"/>
        <v>F3Q20E</v>
      </c>
      <c r="BO199" s="700" t="str">
        <f t="shared" si="1292"/>
        <v>F4Q20E</v>
      </c>
      <c r="BP199" s="504"/>
      <c r="BQ199" s="701" t="str">
        <f t="shared" ref="BQ199:CF199" si="1293">BQ9</f>
        <v>FY2005A</v>
      </c>
      <c r="BR199" s="698" t="str">
        <f t="shared" si="1293"/>
        <v>FY2006A</v>
      </c>
      <c r="BS199" s="698" t="str">
        <f t="shared" si="1293"/>
        <v>FY2007A</v>
      </c>
      <c r="BT199" s="698" t="str">
        <f t="shared" si="1293"/>
        <v>FY2008A</v>
      </c>
      <c r="BU199" s="698" t="str">
        <f t="shared" si="1293"/>
        <v>FY2009A</v>
      </c>
      <c r="BV199" s="698" t="str">
        <f t="shared" si="1293"/>
        <v>FY2010A</v>
      </c>
      <c r="BW199" s="698" t="str">
        <f t="shared" si="1293"/>
        <v>FY2011A</v>
      </c>
      <c r="BX199" s="698" t="str">
        <f t="shared" si="1293"/>
        <v>FY2012A</v>
      </c>
      <c r="BY199" s="698" t="str">
        <f t="shared" si="1293"/>
        <v>FY2013A</v>
      </c>
      <c r="BZ199" s="698" t="str">
        <f t="shared" si="1293"/>
        <v>FY2014A</v>
      </c>
      <c r="CA199" s="698" t="str">
        <f t="shared" si="1293"/>
        <v>FY2015A</v>
      </c>
      <c r="CB199" s="698" t="str">
        <f t="shared" si="1293"/>
        <v>FY2016A</v>
      </c>
      <c r="CC199" s="698" t="str">
        <f t="shared" si="1293"/>
        <v>FY2017A</v>
      </c>
      <c r="CD199" s="698" t="str">
        <f t="shared" si="1293"/>
        <v>FY2018E</v>
      </c>
      <c r="CE199" s="698" t="str">
        <f t="shared" si="1293"/>
        <v>FY2019E</v>
      </c>
      <c r="CF199" s="700" t="str">
        <f t="shared" si="1293"/>
        <v>FY2020E</v>
      </c>
    </row>
    <row r="200" spans="1:89" ht="14.25" hidden="1" customHeight="1" outlineLevel="1">
      <c r="B200" s="503" t="s">
        <v>264</v>
      </c>
      <c r="C200" s="418"/>
      <c r="D200" s="541"/>
      <c r="E200" s="542"/>
      <c r="F200" s="542"/>
      <c r="G200" s="543"/>
      <c r="H200" s="419">
        <v>233.00899999999999</v>
      </c>
      <c r="I200" s="420">
        <v>256.471</v>
      </c>
      <c r="J200" s="420">
        <v>268.94900000000001</v>
      </c>
      <c r="K200" s="527">
        <v>264.57099999999991</v>
      </c>
      <c r="L200" s="419">
        <v>263.64800000000002</v>
      </c>
      <c r="M200" s="420">
        <v>274.23599999999999</v>
      </c>
      <c r="N200" s="420">
        <v>281.00099999999998</v>
      </c>
      <c r="O200" s="527">
        <v>286.04700000000003</v>
      </c>
      <c r="P200" s="419">
        <v>281.08100000000002</v>
      </c>
      <c r="Q200" s="420">
        <v>297.64600000000002</v>
      </c>
      <c r="R200" s="420">
        <v>302.81200000000001</v>
      </c>
      <c r="S200" s="527">
        <v>353.83899999999983</v>
      </c>
      <c r="T200" s="419">
        <v>252.92500000000001</v>
      </c>
      <c r="U200" s="420">
        <v>239.10300000000001</v>
      </c>
      <c r="V200" s="420">
        <v>249.16200000000001</v>
      </c>
      <c r="W200" s="527">
        <v>258.03699999999992</v>
      </c>
      <c r="X200" s="419">
        <v>293</v>
      </c>
      <c r="Y200" s="420">
        <v>307.7</v>
      </c>
      <c r="Z200" s="420">
        <v>337.3</v>
      </c>
      <c r="AA200" s="527">
        <v>357.8</v>
      </c>
      <c r="AB200" s="419">
        <v>332.8</v>
      </c>
      <c r="AC200" s="420">
        <v>350.3</v>
      </c>
      <c r="AD200" s="420">
        <v>337.2</v>
      </c>
      <c r="AE200" s="527">
        <v>323.3</v>
      </c>
      <c r="AF200" s="419">
        <v>285.10000000000002</v>
      </c>
      <c r="AG200" s="420">
        <v>300.04000000000002</v>
      </c>
      <c r="AH200" s="420">
        <v>299.59399999999999</v>
      </c>
      <c r="AI200" s="527">
        <v>307.25200000000001</v>
      </c>
      <c r="AJ200" s="419">
        <v>277.637</v>
      </c>
      <c r="AK200" s="420">
        <v>301.887</v>
      </c>
      <c r="AL200" s="420">
        <v>306.34699999999998</v>
      </c>
      <c r="AM200" s="527">
        <v>306.18700000000001</v>
      </c>
      <c r="AN200" s="419">
        <v>290.55099999999999</v>
      </c>
      <c r="AO200" s="420">
        <v>317.91500000000002</v>
      </c>
      <c r="AP200" s="420">
        <v>327.53800000000001</v>
      </c>
      <c r="AQ200" s="420">
        <f>1285.368-SUM(AN200:AP200)</f>
        <v>349.36399999999992</v>
      </c>
      <c r="AR200" s="419"/>
      <c r="AS200" s="421"/>
      <c r="AT200" s="421"/>
      <c r="AU200" s="527"/>
      <c r="AV200" s="421"/>
      <c r="AW200" s="421"/>
      <c r="AX200" s="421"/>
      <c r="AY200" s="422"/>
      <c r="AZ200" s="423"/>
      <c r="BA200" s="421"/>
      <c r="BB200" s="421"/>
      <c r="BC200" s="422"/>
      <c r="BD200" s="423"/>
      <c r="BE200" s="421"/>
      <c r="BF200" s="421"/>
      <c r="BG200" s="422"/>
      <c r="BH200" s="423"/>
      <c r="BI200" s="421"/>
      <c r="BJ200" s="421"/>
      <c r="BK200" s="422"/>
      <c r="BL200" s="423"/>
      <c r="BM200" s="421"/>
      <c r="BN200" s="421"/>
      <c r="BO200" s="422"/>
      <c r="BP200" s="424"/>
      <c r="BQ200" s="529"/>
      <c r="BR200" s="406">
        <f t="shared" ref="BR200:BR207" si="1294">SUM(H200:K200)</f>
        <v>1023</v>
      </c>
      <c r="BS200" s="406">
        <f t="shared" ref="BS200:BS207" si="1295">SUM(L200:O200)</f>
        <v>1104.932</v>
      </c>
      <c r="BT200" s="406">
        <f t="shared" ref="BT200:BT207" si="1296">SUM(P200:S200)</f>
        <v>1235.3779999999999</v>
      </c>
      <c r="BU200" s="406">
        <f t="shared" ref="BU200:BU207" si="1297">SUM(T200:W200)</f>
        <v>999.22699999999998</v>
      </c>
      <c r="BV200" s="406">
        <f t="shared" ref="BV200:BV207" si="1298">SUM(X200:AA200)</f>
        <v>1295.8</v>
      </c>
      <c r="BW200" s="406">
        <f t="shared" ref="BW200:BW207" si="1299">SUM(AB200:AE200)</f>
        <v>1343.6</v>
      </c>
      <c r="BX200" s="406">
        <f t="shared" ref="BX200:BX207" si="1300">SUM(AF200:AI200)</f>
        <v>1191.9860000000001</v>
      </c>
      <c r="BY200" s="406"/>
      <c r="BZ200" s="406"/>
      <c r="CA200" s="406"/>
      <c r="CB200" s="406"/>
      <c r="CC200" s="406"/>
      <c r="CD200" s="406"/>
      <c r="CE200" s="406"/>
      <c r="CF200" s="1453"/>
    </row>
    <row r="201" spans="1:89" ht="14.25" hidden="1" customHeight="1" outlineLevel="1">
      <c r="B201" s="372" t="s">
        <v>265</v>
      </c>
      <c r="C201" s="367"/>
      <c r="D201" s="544"/>
      <c r="E201" s="545"/>
      <c r="F201" s="545"/>
      <c r="G201" s="546"/>
      <c r="H201" s="426">
        <v>120.90900000000001</v>
      </c>
      <c r="I201" s="427">
        <v>131.44900000000001</v>
      </c>
      <c r="J201" s="427">
        <v>138.63399999999999</v>
      </c>
      <c r="K201" s="528">
        <v>141.00800000000004</v>
      </c>
      <c r="L201" s="426">
        <v>137.72800000000001</v>
      </c>
      <c r="M201" s="427">
        <v>137.185</v>
      </c>
      <c r="N201" s="427">
        <v>144.10300000000001</v>
      </c>
      <c r="O201" s="528">
        <v>199.25100000000003</v>
      </c>
      <c r="P201" s="426">
        <v>155.71899999999999</v>
      </c>
      <c r="Q201" s="427">
        <v>170.56100000000001</v>
      </c>
      <c r="R201" s="427">
        <v>170.52600000000001</v>
      </c>
      <c r="S201" s="528">
        <v>170.08700000000005</v>
      </c>
      <c r="T201" s="426">
        <v>130.71600000000001</v>
      </c>
      <c r="U201" s="427">
        <v>124.458</v>
      </c>
      <c r="V201" s="427">
        <v>120.288</v>
      </c>
      <c r="W201" s="528">
        <v>127.51</v>
      </c>
      <c r="X201" s="426">
        <v>147.4</v>
      </c>
      <c r="Y201" s="427">
        <v>170.1</v>
      </c>
      <c r="Z201" s="427">
        <v>183.9</v>
      </c>
      <c r="AA201" s="528">
        <v>200.1</v>
      </c>
      <c r="AB201" s="426">
        <v>195</v>
      </c>
      <c r="AC201" s="427">
        <v>213.1</v>
      </c>
      <c r="AD201" s="427">
        <v>197.4</v>
      </c>
      <c r="AE201" s="528">
        <v>182.7</v>
      </c>
      <c r="AF201" s="426">
        <v>164.5</v>
      </c>
      <c r="AG201" s="427">
        <v>177.81299999999999</v>
      </c>
      <c r="AH201" s="427">
        <v>180.93899999999999</v>
      </c>
      <c r="AI201" s="528">
        <v>174.52099999999999</v>
      </c>
      <c r="AJ201" s="426">
        <v>157.85300000000001</v>
      </c>
      <c r="AK201" s="427">
        <v>164.79300000000001</v>
      </c>
      <c r="AL201" s="427">
        <v>171.58799999999999</v>
      </c>
      <c r="AM201" s="528">
        <v>176.53800000000001</v>
      </c>
      <c r="AN201" s="426">
        <v>164.714</v>
      </c>
      <c r="AO201" s="427">
        <v>186.28700000000001</v>
      </c>
      <c r="AP201" s="427">
        <v>194.017</v>
      </c>
      <c r="AQ201" s="427">
        <f>806.975-SUM(AN201:AP201)</f>
        <v>261.95699999999999</v>
      </c>
      <c r="AR201" s="426"/>
      <c r="AS201" s="428"/>
      <c r="AT201" s="428"/>
      <c r="AU201" s="528"/>
      <c r="AV201" s="428"/>
      <c r="AW201" s="428"/>
      <c r="AX201" s="428"/>
      <c r="AY201" s="429"/>
      <c r="AZ201" s="430"/>
      <c r="BA201" s="428"/>
      <c r="BB201" s="428"/>
      <c r="BC201" s="429"/>
      <c r="BD201" s="430"/>
      <c r="BE201" s="428"/>
      <c r="BF201" s="428"/>
      <c r="BG201" s="429"/>
      <c r="BH201" s="430"/>
      <c r="BI201" s="428"/>
      <c r="BJ201" s="428"/>
      <c r="BK201" s="429"/>
      <c r="BL201" s="430"/>
      <c r="BM201" s="428"/>
      <c r="BN201" s="428"/>
      <c r="BO201" s="429"/>
      <c r="BP201" s="424"/>
      <c r="BQ201" s="530"/>
      <c r="BR201" s="406">
        <f t="shared" si="1294"/>
        <v>532</v>
      </c>
      <c r="BS201" s="406">
        <f t="shared" si="1295"/>
        <v>618.26700000000005</v>
      </c>
      <c r="BT201" s="406">
        <f t="shared" si="1296"/>
        <v>666.89300000000003</v>
      </c>
      <c r="BU201" s="406">
        <f t="shared" si="1297"/>
        <v>502.97199999999998</v>
      </c>
      <c r="BV201" s="406">
        <f t="shared" si="1298"/>
        <v>701.5</v>
      </c>
      <c r="BW201" s="406">
        <f t="shared" si="1299"/>
        <v>788.2</v>
      </c>
      <c r="BX201" s="406">
        <f t="shared" si="1300"/>
        <v>697.77299999999991</v>
      </c>
      <c r="BY201" s="406"/>
      <c r="BZ201" s="406"/>
      <c r="CA201" s="406"/>
      <c r="CB201" s="406"/>
      <c r="CC201" s="406"/>
      <c r="CD201" s="406"/>
      <c r="CE201" s="406"/>
      <c r="CF201" s="1453"/>
    </row>
    <row r="202" spans="1:89" ht="14.25" hidden="1" customHeight="1" outlineLevel="1">
      <c r="B202" s="372" t="s">
        <v>266</v>
      </c>
      <c r="C202" s="367"/>
      <c r="D202" s="544"/>
      <c r="E202" s="545"/>
      <c r="F202" s="545"/>
      <c r="G202" s="546"/>
      <c r="H202" s="426">
        <v>75.236999999999995</v>
      </c>
      <c r="I202" s="427">
        <v>71.591999999999999</v>
      </c>
      <c r="J202" s="427">
        <v>73.102000000000004</v>
      </c>
      <c r="K202" s="528">
        <v>82.068999999999988</v>
      </c>
      <c r="L202" s="426">
        <v>93.778000000000006</v>
      </c>
      <c r="M202" s="427">
        <v>99.543000000000006</v>
      </c>
      <c r="N202" s="427">
        <v>100.279</v>
      </c>
      <c r="O202" s="528">
        <v>41.052</v>
      </c>
      <c r="P202" s="426">
        <v>80.843000000000004</v>
      </c>
      <c r="Q202" s="427">
        <v>81.817999999999998</v>
      </c>
      <c r="R202" s="427">
        <v>80.352000000000004</v>
      </c>
      <c r="S202" s="528">
        <v>29.936999999999983</v>
      </c>
      <c r="T202" s="426">
        <v>23.754000000000001</v>
      </c>
      <c r="U202" s="427">
        <v>44.055</v>
      </c>
      <c r="V202" s="427">
        <v>54.756999999999998</v>
      </c>
      <c r="W202" s="528">
        <v>98.544000000000011</v>
      </c>
      <c r="X202" s="426">
        <v>70.900000000000006</v>
      </c>
      <c r="Y202" s="427">
        <v>85.7</v>
      </c>
      <c r="Z202" s="427">
        <v>85.2</v>
      </c>
      <c r="AA202" s="528">
        <v>92.8</v>
      </c>
      <c r="AB202" s="426">
        <v>91.4</v>
      </c>
      <c r="AC202" s="427">
        <v>111</v>
      </c>
      <c r="AD202" s="427">
        <v>106.7</v>
      </c>
      <c r="AE202" s="528">
        <v>101.2</v>
      </c>
      <c r="AF202" s="426">
        <v>96.2</v>
      </c>
      <c r="AG202" s="427">
        <v>90.79</v>
      </c>
      <c r="AH202" s="427">
        <v>98.269000000000005</v>
      </c>
      <c r="AI202" s="528">
        <v>112.083</v>
      </c>
      <c r="AJ202" s="426">
        <v>95.692999999999998</v>
      </c>
      <c r="AK202" s="427">
        <v>91.906000000000006</v>
      </c>
      <c r="AL202" s="427">
        <v>92.278000000000006</v>
      </c>
      <c r="AM202" s="528">
        <v>92.405000000000001</v>
      </c>
      <c r="AN202" s="426">
        <v>79.418999999999997</v>
      </c>
      <c r="AO202" s="427">
        <v>88.102999999999994</v>
      </c>
      <c r="AP202" s="427">
        <v>95.963999999999999</v>
      </c>
      <c r="AQ202" s="427">
        <f>356.406-SUM(AN202:AP202)</f>
        <v>92.920000000000016</v>
      </c>
      <c r="AR202" s="426"/>
      <c r="AS202" s="428"/>
      <c r="AT202" s="428"/>
      <c r="AU202" s="528"/>
      <c r="AV202" s="428"/>
      <c r="AW202" s="428"/>
      <c r="AX202" s="428"/>
      <c r="AY202" s="429"/>
      <c r="AZ202" s="430"/>
      <c r="BA202" s="428"/>
      <c r="BB202" s="428"/>
      <c r="BC202" s="429"/>
      <c r="BD202" s="430"/>
      <c r="BE202" s="428"/>
      <c r="BF202" s="428"/>
      <c r="BG202" s="429"/>
      <c r="BH202" s="430"/>
      <c r="BI202" s="428"/>
      <c r="BJ202" s="428"/>
      <c r="BK202" s="429"/>
      <c r="BL202" s="430"/>
      <c r="BM202" s="428"/>
      <c r="BN202" s="428"/>
      <c r="BO202" s="429"/>
      <c r="BP202" s="424"/>
      <c r="BQ202" s="530"/>
      <c r="BR202" s="406">
        <f t="shared" si="1294"/>
        <v>302</v>
      </c>
      <c r="BS202" s="406">
        <f t="shared" si="1295"/>
        <v>334.65200000000004</v>
      </c>
      <c r="BT202" s="406">
        <f t="shared" si="1296"/>
        <v>272.95</v>
      </c>
      <c r="BU202" s="406">
        <f t="shared" si="1297"/>
        <v>221.11</v>
      </c>
      <c r="BV202" s="406">
        <f t="shared" si="1298"/>
        <v>334.6</v>
      </c>
      <c r="BW202" s="406">
        <f t="shared" si="1299"/>
        <v>410.3</v>
      </c>
      <c r="BX202" s="406">
        <f t="shared" si="1300"/>
        <v>397.34199999999998</v>
      </c>
      <c r="BY202" s="406"/>
      <c r="BZ202" s="406"/>
      <c r="CA202" s="406"/>
      <c r="CB202" s="406"/>
      <c r="CC202" s="406"/>
      <c r="CD202" s="406"/>
      <c r="CE202" s="406"/>
      <c r="CF202" s="1453"/>
    </row>
    <row r="203" spans="1:89" ht="14.25" hidden="1" customHeight="1" outlineLevel="1">
      <c r="B203" s="360" t="s">
        <v>267</v>
      </c>
      <c r="C203" s="367"/>
      <c r="D203" s="547"/>
      <c r="E203" s="548"/>
      <c r="F203" s="548"/>
      <c r="G203" s="549"/>
      <c r="H203" s="524">
        <f>SUM(H200:H202)</f>
        <v>429.15499999999997</v>
      </c>
      <c r="I203" s="525">
        <f>SUM(I200:I202)</f>
        <v>459.512</v>
      </c>
      <c r="J203" s="525">
        <f>SUM(J200:J202)</f>
        <v>480.68499999999995</v>
      </c>
      <c r="K203" s="526">
        <f>SUM(K200:K202)</f>
        <v>487.64799999999991</v>
      </c>
      <c r="L203" s="524">
        <f>SUM(L200:L202)</f>
        <v>495.15400000000005</v>
      </c>
      <c r="M203" s="525">
        <f t="shared" ref="M203:AJ203" si="1301">SUM(M200:M202)</f>
        <v>510.964</v>
      </c>
      <c r="N203" s="525">
        <f t="shared" si="1301"/>
        <v>525.38300000000004</v>
      </c>
      <c r="O203" s="526">
        <f t="shared" si="1301"/>
        <v>526.35</v>
      </c>
      <c r="P203" s="524">
        <f t="shared" si="1301"/>
        <v>517.64300000000003</v>
      </c>
      <c r="Q203" s="525">
        <f t="shared" si="1301"/>
        <v>550.02499999999998</v>
      </c>
      <c r="R203" s="525">
        <f t="shared" si="1301"/>
        <v>553.69000000000005</v>
      </c>
      <c r="S203" s="526">
        <f t="shared" si="1301"/>
        <v>553.86299999999994</v>
      </c>
      <c r="T203" s="524">
        <f t="shared" si="1301"/>
        <v>407.39500000000004</v>
      </c>
      <c r="U203" s="525">
        <f t="shared" si="1301"/>
        <v>407.61600000000004</v>
      </c>
      <c r="V203" s="525">
        <f t="shared" si="1301"/>
        <v>424.20699999999999</v>
      </c>
      <c r="W203" s="526">
        <f t="shared" si="1301"/>
        <v>484.09099999999989</v>
      </c>
      <c r="X203" s="524">
        <f t="shared" si="1301"/>
        <v>511.29999999999995</v>
      </c>
      <c r="Y203" s="525">
        <f t="shared" si="1301"/>
        <v>563.5</v>
      </c>
      <c r="Z203" s="525">
        <f t="shared" si="1301"/>
        <v>606.40000000000009</v>
      </c>
      <c r="AA203" s="526">
        <f t="shared" si="1301"/>
        <v>650.69999999999993</v>
      </c>
      <c r="AB203" s="524">
        <f t="shared" si="1301"/>
        <v>619.19999999999993</v>
      </c>
      <c r="AC203" s="525">
        <f t="shared" si="1301"/>
        <v>674.4</v>
      </c>
      <c r="AD203" s="525">
        <f t="shared" si="1301"/>
        <v>641.30000000000007</v>
      </c>
      <c r="AE203" s="526">
        <f t="shared" si="1301"/>
        <v>607.20000000000005</v>
      </c>
      <c r="AF203" s="524">
        <f t="shared" si="1301"/>
        <v>545.80000000000007</v>
      </c>
      <c r="AG203" s="525">
        <f t="shared" si="1301"/>
        <v>568.64300000000003</v>
      </c>
      <c r="AH203" s="525">
        <f t="shared" si="1301"/>
        <v>578.80200000000002</v>
      </c>
      <c r="AI203" s="526">
        <f t="shared" si="1301"/>
        <v>593.85599999999999</v>
      </c>
      <c r="AJ203" s="524">
        <f t="shared" si="1301"/>
        <v>531.18299999999999</v>
      </c>
      <c r="AK203" s="525">
        <f t="shared" ref="AK203:AP203" si="1302">SUM(AK200:AK202)</f>
        <v>558.58600000000001</v>
      </c>
      <c r="AL203" s="525">
        <f t="shared" si="1302"/>
        <v>570.21299999999997</v>
      </c>
      <c r="AM203" s="526">
        <f t="shared" si="1302"/>
        <v>575.13</v>
      </c>
      <c r="AN203" s="524">
        <f t="shared" si="1302"/>
        <v>534.68399999999997</v>
      </c>
      <c r="AO203" s="525">
        <f t="shared" si="1302"/>
        <v>592.30499999999995</v>
      </c>
      <c r="AP203" s="525">
        <f t="shared" si="1302"/>
        <v>617.51900000000001</v>
      </c>
      <c r="AQ203" s="525">
        <f>SUM(AQ200:AQ202)</f>
        <v>704.24099999999999</v>
      </c>
      <c r="AR203" s="524"/>
      <c r="AS203" s="428"/>
      <c r="AT203" s="428"/>
      <c r="AU203" s="526"/>
      <c r="AV203" s="428"/>
      <c r="AW203" s="428"/>
      <c r="AX203" s="428"/>
      <c r="AY203" s="429"/>
      <c r="AZ203" s="430"/>
      <c r="BA203" s="428"/>
      <c r="BB203" s="428"/>
      <c r="BC203" s="429"/>
      <c r="BD203" s="430"/>
      <c r="BE203" s="428"/>
      <c r="BF203" s="428"/>
      <c r="BG203" s="429"/>
      <c r="BH203" s="430"/>
      <c r="BI203" s="428"/>
      <c r="BJ203" s="428"/>
      <c r="BK203" s="429"/>
      <c r="BL203" s="430"/>
      <c r="BM203" s="428"/>
      <c r="BN203" s="428"/>
      <c r="BO203" s="429"/>
      <c r="BP203" s="424"/>
      <c r="BQ203" s="530"/>
      <c r="BR203" s="406">
        <f t="shared" si="1294"/>
        <v>1856.9999999999998</v>
      </c>
      <c r="BS203" s="406">
        <f t="shared" si="1295"/>
        <v>2057.8510000000001</v>
      </c>
      <c r="BT203" s="406">
        <f t="shared" si="1296"/>
        <v>2175.221</v>
      </c>
      <c r="BU203" s="406">
        <f t="shared" si="1297"/>
        <v>1723.309</v>
      </c>
      <c r="BV203" s="406">
        <f t="shared" si="1298"/>
        <v>2331.9</v>
      </c>
      <c r="BW203" s="406">
        <f t="shared" si="1299"/>
        <v>2542.1000000000004</v>
      </c>
      <c r="BX203" s="406">
        <f t="shared" si="1300"/>
        <v>2287.1010000000006</v>
      </c>
      <c r="BY203" s="406"/>
      <c r="BZ203" s="406"/>
      <c r="CA203" s="406"/>
      <c r="CB203" s="406"/>
      <c r="CC203" s="406"/>
      <c r="CD203" s="406"/>
      <c r="CE203" s="406"/>
      <c r="CF203" s="1453"/>
    </row>
    <row r="204" spans="1:89" ht="14.25" hidden="1" customHeight="1" outlineLevel="1">
      <c r="B204" s="372" t="s">
        <v>268</v>
      </c>
      <c r="C204" s="367"/>
      <c r="D204" s="544"/>
      <c r="E204" s="545"/>
      <c r="F204" s="545"/>
      <c r="G204" s="546"/>
      <c r="H204" s="426">
        <v>54.302</v>
      </c>
      <c r="I204" s="427">
        <v>54.993000000000002</v>
      </c>
      <c r="J204" s="427">
        <v>54.661000000000001</v>
      </c>
      <c r="K204" s="528">
        <v>56.043999999999983</v>
      </c>
      <c r="L204" s="426">
        <v>51.186999999999998</v>
      </c>
      <c r="M204" s="427">
        <v>29.853000000000002</v>
      </c>
      <c r="N204" s="427">
        <v>30.439</v>
      </c>
      <c r="O204" s="528">
        <v>12.622000000000014</v>
      </c>
      <c r="P204" s="426">
        <v>33.414999999999999</v>
      </c>
      <c r="Q204" s="427">
        <v>34.701000000000001</v>
      </c>
      <c r="R204" s="427">
        <v>36.673999999999999</v>
      </c>
      <c r="S204" s="528">
        <v>38.782000000000011</v>
      </c>
      <c r="T204" s="426">
        <v>25.738</v>
      </c>
      <c r="U204" s="427">
        <v>28.177</v>
      </c>
      <c r="V204" s="427">
        <v>27.986999999999998</v>
      </c>
      <c r="W204" s="528">
        <v>36.355999999999995</v>
      </c>
      <c r="X204" s="426">
        <v>39.200000000000003</v>
      </c>
      <c r="Y204" s="427">
        <v>46.5</v>
      </c>
      <c r="Z204" s="427">
        <v>53.4</v>
      </c>
      <c r="AA204" s="528">
        <v>55.7</v>
      </c>
      <c r="AB204" s="426">
        <v>53.4</v>
      </c>
      <c r="AC204" s="427">
        <v>56.1</v>
      </c>
      <c r="AD204" s="427">
        <v>55</v>
      </c>
      <c r="AE204" s="528">
        <v>53.1</v>
      </c>
      <c r="AF204" s="426">
        <v>44.9</v>
      </c>
      <c r="AG204" s="427">
        <v>46.06</v>
      </c>
      <c r="AH204" s="427">
        <v>45.401000000000003</v>
      </c>
      <c r="AI204" s="528">
        <v>45.808</v>
      </c>
      <c r="AJ204" s="426">
        <v>39.46</v>
      </c>
      <c r="AK204" s="427">
        <v>43.622999999999998</v>
      </c>
      <c r="AL204" s="427">
        <v>45.610999999999997</v>
      </c>
      <c r="AM204" s="528">
        <v>44.225999999999999</v>
      </c>
      <c r="AN204" s="426">
        <v>38.71</v>
      </c>
      <c r="AO204" s="427">
        <v>43.137999999999998</v>
      </c>
      <c r="AP204" s="427">
        <v>45.912999999999997</v>
      </c>
      <c r="AQ204" s="427">
        <f>174.483-SUM(AN204:AP204)</f>
        <v>46.722000000000008</v>
      </c>
      <c r="AR204" s="426"/>
      <c r="AS204" s="428"/>
      <c r="AT204" s="428"/>
      <c r="AU204" s="528"/>
      <c r="AV204" s="428"/>
      <c r="AW204" s="428"/>
      <c r="AX204" s="428"/>
      <c r="AY204" s="429"/>
      <c r="AZ204" s="430"/>
      <c r="BA204" s="428"/>
      <c r="BB204" s="428"/>
      <c r="BC204" s="429"/>
      <c r="BD204" s="430"/>
      <c r="BE204" s="428"/>
      <c r="BF204" s="428"/>
      <c r="BG204" s="429"/>
      <c r="BH204" s="430"/>
      <c r="BI204" s="428"/>
      <c r="BJ204" s="428"/>
      <c r="BK204" s="429"/>
      <c r="BL204" s="430"/>
      <c r="BM204" s="428"/>
      <c r="BN204" s="428"/>
      <c r="BO204" s="429"/>
      <c r="BP204" s="424"/>
      <c r="BQ204" s="530"/>
      <c r="BR204" s="406">
        <f t="shared" si="1294"/>
        <v>220</v>
      </c>
      <c r="BS204" s="406">
        <f t="shared" si="1295"/>
        <v>124.101</v>
      </c>
      <c r="BT204" s="406">
        <f t="shared" si="1296"/>
        <v>143.572</v>
      </c>
      <c r="BU204" s="406">
        <f t="shared" si="1297"/>
        <v>118.258</v>
      </c>
      <c r="BV204" s="406">
        <f t="shared" si="1298"/>
        <v>194.8</v>
      </c>
      <c r="BW204" s="406">
        <f t="shared" si="1299"/>
        <v>217.6</v>
      </c>
      <c r="BX204" s="406">
        <f t="shared" si="1300"/>
        <v>182.16900000000001</v>
      </c>
      <c r="BY204" s="406"/>
      <c r="BZ204" s="406"/>
      <c r="CA204" s="406"/>
      <c r="CB204" s="406"/>
      <c r="CC204" s="406"/>
      <c r="CD204" s="406"/>
      <c r="CE204" s="406"/>
      <c r="CF204" s="1453"/>
    </row>
    <row r="205" spans="1:89" ht="14.25" hidden="1" customHeight="1" outlineLevel="1">
      <c r="B205" s="360" t="s">
        <v>269</v>
      </c>
      <c r="C205" s="367"/>
      <c r="D205" s="547"/>
      <c r="E205" s="548"/>
      <c r="F205" s="548"/>
      <c r="G205" s="549"/>
      <c r="H205" s="524">
        <f>SUM(H203:H204)</f>
        <v>483.45699999999999</v>
      </c>
      <c r="I205" s="525">
        <f>SUM(I203:I204)</f>
        <v>514.505</v>
      </c>
      <c r="J205" s="525">
        <f>SUM(J203:J204)</f>
        <v>535.346</v>
      </c>
      <c r="K205" s="526">
        <f>SUM(K203:K204)</f>
        <v>543.69199999999989</v>
      </c>
      <c r="L205" s="524">
        <f>SUM(L203:L204)</f>
        <v>546.34100000000001</v>
      </c>
      <c r="M205" s="525">
        <f t="shared" ref="M205:AN205" si="1303">SUM(M203:M204)</f>
        <v>540.81700000000001</v>
      </c>
      <c r="N205" s="525">
        <f t="shared" si="1303"/>
        <v>555.822</v>
      </c>
      <c r="O205" s="526">
        <f t="shared" si="1303"/>
        <v>538.97199999999998</v>
      </c>
      <c r="P205" s="524">
        <f t="shared" si="1303"/>
        <v>551.05799999999999</v>
      </c>
      <c r="Q205" s="525">
        <f t="shared" si="1303"/>
        <v>584.726</v>
      </c>
      <c r="R205" s="525">
        <f t="shared" si="1303"/>
        <v>590.36400000000003</v>
      </c>
      <c r="S205" s="526">
        <f t="shared" si="1303"/>
        <v>592.64499999999998</v>
      </c>
      <c r="T205" s="524">
        <f t="shared" si="1303"/>
        <v>433.13300000000004</v>
      </c>
      <c r="U205" s="525">
        <f t="shared" si="1303"/>
        <v>435.79300000000006</v>
      </c>
      <c r="V205" s="525">
        <f t="shared" si="1303"/>
        <v>452.19400000000002</v>
      </c>
      <c r="W205" s="526">
        <f t="shared" si="1303"/>
        <v>520.44699999999989</v>
      </c>
      <c r="X205" s="524">
        <f t="shared" si="1303"/>
        <v>550.5</v>
      </c>
      <c r="Y205" s="525">
        <f t="shared" si="1303"/>
        <v>610</v>
      </c>
      <c r="Z205" s="525">
        <f t="shared" si="1303"/>
        <v>659.80000000000007</v>
      </c>
      <c r="AA205" s="526">
        <f t="shared" si="1303"/>
        <v>706.4</v>
      </c>
      <c r="AB205" s="524">
        <f t="shared" si="1303"/>
        <v>672.59999999999991</v>
      </c>
      <c r="AC205" s="525">
        <f t="shared" si="1303"/>
        <v>730.5</v>
      </c>
      <c r="AD205" s="525">
        <f t="shared" si="1303"/>
        <v>696.30000000000007</v>
      </c>
      <c r="AE205" s="526">
        <f t="shared" si="1303"/>
        <v>660.30000000000007</v>
      </c>
      <c r="AF205" s="524">
        <f t="shared" si="1303"/>
        <v>590.70000000000005</v>
      </c>
      <c r="AG205" s="525">
        <v>614.70299999999997</v>
      </c>
      <c r="AH205" s="525">
        <f t="shared" si="1303"/>
        <v>624.20299999999997</v>
      </c>
      <c r="AI205" s="526">
        <f t="shared" si="1303"/>
        <v>639.66399999999999</v>
      </c>
      <c r="AJ205" s="524">
        <f t="shared" si="1303"/>
        <v>570.64300000000003</v>
      </c>
      <c r="AK205" s="525">
        <f t="shared" si="1303"/>
        <v>602.20900000000006</v>
      </c>
      <c r="AL205" s="525">
        <f t="shared" si="1303"/>
        <v>615.82399999999996</v>
      </c>
      <c r="AM205" s="526">
        <f t="shared" si="1303"/>
        <v>619.35599999999999</v>
      </c>
      <c r="AN205" s="524">
        <f t="shared" si="1303"/>
        <v>573.39400000000001</v>
      </c>
      <c r="AO205" s="525">
        <f>SUM(AO203:AO204)</f>
        <v>635.44299999999998</v>
      </c>
      <c r="AP205" s="525">
        <f>SUM(AP203:AP204)</f>
        <v>663.43200000000002</v>
      </c>
      <c r="AQ205" s="525">
        <f>SUM(AQ203:AQ204)</f>
        <v>750.96299999999997</v>
      </c>
      <c r="AR205" s="524"/>
      <c r="AS205" s="428"/>
      <c r="AT205" s="428"/>
      <c r="AU205" s="526"/>
      <c r="AV205" s="428"/>
      <c r="AW205" s="428"/>
      <c r="AX205" s="428"/>
      <c r="AY205" s="429"/>
      <c r="AZ205" s="430"/>
      <c r="BA205" s="428"/>
      <c r="BB205" s="428"/>
      <c r="BC205" s="429"/>
      <c r="BD205" s="430"/>
      <c r="BE205" s="428"/>
      <c r="BF205" s="428"/>
      <c r="BG205" s="429"/>
      <c r="BH205" s="430"/>
      <c r="BI205" s="428"/>
      <c r="BJ205" s="428"/>
      <c r="BK205" s="429"/>
      <c r="BL205" s="430"/>
      <c r="BM205" s="428"/>
      <c r="BN205" s="428"/>
      <c r="BO205" s="429"/>
      <c r="BP205" s="424"/>
      <c r="BQ205" s="530"/>
      <c r="BR205" s="406">
        <f t="shared" si="1294"/>
        <v>2077</v>
      </c>
      <c r="BS205" s="406">
        <f t="shared" si="1295"/>
        <v>2181.9520000000002</v>
      </c>
      <c r="BT205" s="406">
        <f t="shared" si="1296"/>
        <v>2318.7930000000001</v>
      </c>
      <c r="BU205" s="406">
        <f t="shared" si="1297"/>
        <v>1841.567</v>
      </c>
      <c r="BV205" s="406">
        <f t="shared" si="1298"/>
        <v>2526.7000000000003</v>
      </c>
      <c r="BW205" s="406">
        <f t="shared" si="1299"/>
        <v>2759.7000000000003</v>
      </c>
      <c r="BX205" s="406">
        <f t="shared" si="1300"/>
        <v>2469.27</v>
      </c>
      <c r="BY205" s="406"/>
      <c r="BZ205" s="406"/>
      <c r="CA205" s="406"/>
      <c r="CB205" s="406"/>
      <c r="CC205" s="406"/>
      <c r="CD205" s="406"/>
      <c r="CE205" s="406"/>
      <c r="CF205" s="1453"/>
    </row>
    <row r="206" spans="1:89" ht="14.25" hidden="1" customHeight="1" outlineLevel="1">
      <c r="B206" s="372" t="s">
        <v>270</v>
      </c>
      <c r="C206" s="367"/>
      <c r="D206" s="544"/>
      <c r="E206" s="545"/>
      <c r="F206" s="545"/>
      <c r="G206" s="546"/>
      <c r="H206" s="426">
        <v>137.845</v>
      </c>
      <c r="I206" s="427">
        <v>129.36699999999999</v>
      </c>
      <c r="J206" s="427">
        <v>128.31399999999999</v>
      </c>
      <c r="K206" s="528">
        <v>100.47400000000005</v>
      </c>
      <c r="L206" s="426">
        <f>81.968-35</f>
        <v>46.968000000000004</v>
      </c>
      <c r="M206" s="427">
        <v>56.665999999999997</v>
      </c>
      <c r="N206" s="427">
        <v>61.609000000000002</v>
      </c>
      <c r="O206" s="528">
        <v>82.52600000000001</v>
      </c>
      <c r="P206" s="426">
        <v>62.850999999999999</v>
      </c>
      <c r="Q206" s="427">
        <v>64.614000000000004</v>
      </c>
      <c r="R206" s="427">
        <v>68.622</v>
      </c>
      <c r="S206" s="528">
        <v>68.050999999999988</v>
      </c>
      <c r="T206" s="426">
        <v>43.436</v>
      </c>
      <c r="U206" s="427">
        <v>38.954999999999998</v>
      </c>
      <c r="V206" s="427">
        <v>39.796999999999997</v>
      </c>
      <c r="W206" s="528">
        <v>51.15300000000002</v>
      </c>
      <c r="X206" s="426">
        <v>52.5</v>
      </c>
      <c r="Y206" s="427">
        <v>58.2</v>
      </c>
      <c r="Z206" s="427">
        <v>60.5</v>
      </c>
      <c r="AA206" s="528">
        <v>63.6</v>
      </c>
      <c r="AB206" s="426">
        <v>55.9</v>
      </c>
      <c r="AC206" s="427">
        <v>60.3</v>
      </c>
      <c r="AD206" s="427">
        <v>61.6</v>
      </c>
      <c r="AE206" s="528">
        <v>55.8</v>
      </c>
      <c r="AF206" s="426">
        <v>57.4</v>
      </c>
      <c r="AG206" s="427">
        <v>60.390999999999998</v>
      </c>
      <c r="AH206" s="427">
        <v>58.823</v>
      </c>
      <c r="AI206" s="528">
        <v>55.3</v>
      </c>
      <c r="AJ206" s="426">
        <v>51.491</v>
      </c>
      <c r="AK206" s="427">
        <v>57.040999999999997</v>
      </c>
      <c r="AL206" s="427">
        <v>58.347999999999999</v>
      </c>
      <c r="AM206" s="528">
        <v>58.777000000000001</v>
      </c>
      <c r="AN206" s="426">
        <v>54.844000000000001</v>
      </c>
      <c r="AO206" s="427">
        <v>59.093000000000004</v>
      </c>
      <c r="AP206" s="427">
        <v>64.319999999999993</v>
      </c>
      <c r="AQ206" s="427">
        <f>241.541-SUM(AN206:AP206)</f>
        <v>63.283999999999992</v>
      </c>
      <c r="AR206" s="426"/>
      <c r="AS206" s="428"/>
      <c r="AT206" s="428"/>
      <c r="AU206" s="528"/>
      <c r="AV206" s="428"/>
      <c r="AW206" s="428"/>
      <c r="AX206" s="428"/>
      <c r="AY206" s="429"/>
      <c r="AZ206" s="430"/>
      <c r="BA206" s="428"/>
      <c r="BB206" s="428"/>
      <c r="BC206" s="429"/>
      <c r="BD206" s="430"/>
      <c r="BE206" s="428"/>
      <c r="BF206" s="428"/>
      <c r="BG206" s="429"/>
      <c r="BH206" s="430"/>
      <c r="BI206" s="428"/>
      <c r="BJ206" s="428"/>
      <c r="BK206" s="429"/>
      <c r="BL206" s="430"/>
      <c r="BM206" s="428"/>
      <c r="BN206" s="428"/>
      <c r="BO206" s="429"/>
      <c r="BP206" s="424"/>
      <c r="BQ206" s="530"/>
      <c r="BR206" s="406">
        <f t="shared" si="1294"/>
        <v>496</v>
      </c>
      <c r="BS206" s="406">
        <f t="shared" si="1295"/>
        <v>247.76900000000001</v>
      </c>
      <c r="BT206" s="406">
        <f t="shared" si="1296"/>
        <v>264.13799999999998</v>
      </c>
      <c r="BU206" s="406">
        <f t="shared" si="1297"/>
        <v>173.34100000000001</v>
      </c>
      <c r="BV206" s="406">
        <f t="shared" si="1298"/>
        <v>234.79999999999998</v>
      </c>
      <c r="BW206" s="406">
        <f t="shared" si="1299"/>
        <v>233.59999999999997</v>
      </c>
      <c r="BX206" s="406">
        <f t="shared" si="1300"/>
        <v>231.91399999999999</v>
      </c>
      <c r="BY206" s="406"/>
      <c r="BZ206" s="406"/>
      <c r="CA206" s="406"/>
      <c r="CB206" s="406"/>
      <c r="CC206" s="406"/>
      <c r="CD206" s="406"/>
      <c r="CE206" s="406"/>
      <c r="CF206" s="1453"/>
    </row>
    <row r="207" spans="1:89" ht="14.25" hidden="1" customHeight="1" outlineLevel="1">
      <c r="B207" s="372" t="s">
        <v>300</v>
      </c>
      <c r="C207" s="368"/>
      <c r="D207" s="544"/>
      <c r="E207" s="545"/>
      <c r="F207" s="545"/>
      <c r="G207" s="546"/>
      <c r="H207" s="426">
        <v>0</v>
      </c>
      <c r="I207" s="427">
        <v>0</v>
      </c>
      <c r="J207" s="427">
        <v>0</v>
      </c>
      <c r="K207" s="528">
        <v>0</v>
      </c>
      <c r="L207" s="426">
        <v>35</v>
      </c>
      <c r="M207" s="427">
        <v>0</v>
      </c>
      <c r="N207" s="427">
        <v>0</v>
      </c>
      <c r="O207" s="528">
        <v>0</v>
      </c>
      <c r="P207" s="426">
        <v>0</v>
      </c>
      <c r="Q207" s="427">
        <v>0</v>
      </c>
      <c r="R207" s="427">
        <v>0</v>
      </c>
      <c r="S207" s="528">
        <v>0</v>
      </c>
      <c r="T207" s="426">
        <v>0</v>
      </c>
      <c r="U207" s="427">
        <v>0</v>
      </c>
      <c r="V207" s="427">
        <v>0</v>
      </c>
      <c r="W207" s="528">
        <v>0</v>
      </c>
      <c r="X207" s="426">
        <v>0</v>
      </c>
      <c r="Y207" s="427">
        <v>0</v>
      </c>
      <c r="Z207" s="427">
        <v>0</v>
      </c>
      <c r="AA207" s="528">
        <v>0</v>
      </c>
      <c r="AB207" s="426">
        <v>0</v>
      </c>
      <c r="AC207" s="427">
        <v>0</v>
      </c>
      <c r="AD207" s="427">
        <v>0</v>
      </c>
      <c r="AE207" s="528">
        <v>0</v>
      </c>
      <c r="AF207" s="426">
        <v>0</v>
      </c>
      <c r="AG207" s="427">
        <v>0</v>
      </c>
      <c r="AH207" s="427">
        <v>0</v>
      </c>
      <c r="AI207" s="528">
        <v>0</v>
      </c>
      <c r="AJ207" s="426">
        <v>0</v>
      </c>
      <c r="AK207" s="427">
        <v>0</v>
      </c>
      <c r="AL207" s="427">
        <v>0</v>
      </c>
      <c r="AM207" s="528">
        <v>0</v>
      </c>
      <c r="AN207" s="426">
        <v>0</v>
      </c>
      <c r="AO207" s="427">
        <v>0</v>
      </c>
      <c r="AP207" s="427"/>
      <c r="AQ207" s="427"/>
      <c r="AR207" s="426"/>
      <c r="AS207" s="428"/>
      <c r="AT207" s="428"/>
      <c r="AU207" s="528"/>
      <c r="AV207" s="428"/>
      <c r="AW207" s="428"/>
      <c r="AX207" s="428"/>
      <c r="AY207" s="429"/>
      <c r="AZ207" s="430"/>
      <c r="BA207" s="428"/>
      <c r="BB207" s="428"/>
      <c r="BC207" s="429"/>
      <c r="BD207" s="430"/>
      <c r="BE207" s="428"/>
      <c r="BF207" s="428"/>
      <c r="BG207" s="429"/>
      <c r="BH207" s="430"/>
      <c r="BI207" s="428"/>
      <c r="BJ207" s="428"/>
      <c r="BK207" s="429"/>
      <c r="BL207" s="430"/>
      <c r="BM207" s="428"/>
      <c r="BN207" s="428"/>
      <c r="BO207" s="429"/>
      <c r="BP207" s="424"/>
      <c r="BQ207" s="573"/>
      <c r="BR207" s="406">
        <f t="shared" si="1294"/>
        <v>0</v>
      </c>
      <c r="BS207" s="406">
        <f t="shared" si="1295"/>
        <v>35</v>
      </c>
      <c r="BT207" s="406">
        <f t="shared" si="1296"/>
        <v>0</v>
      </c>
      <c r="BU207" s="406">
        <f t="shared" si="1297"/>
        <v>0</v>
      </c>
      <c r="BV207" s="406">
        <f t="shared" si="1298"/>
        <v>0</v>
      </c>
      <c r="BW207" s="406">
        <f t="shared" si="1299"/>
        <v>0</v>
      </c>
      <c r="BX207" s="406">
        <f t="shared" si="1300"/>
        <v>0</v>
      </c>
      <c r="BY207" s="406"/>
      <c r="BZ207" s="406"/>
      <c r="CA207" s="406"/>
      <c r="CB207" s="431"/>
      <c r="CC207" s="431"/>
      <c r="CD207" s="431"/>
      <c r="CE207" s="431"/>
      <c r="CF207" s="1458"/>
    </row>
    <row r="208" spans="1:89" ht="14.25" hidden="1" customHeight="1" outlineLevel="1">
      <c r="A208" s="106"/>
      <c r="B208" s="432" t="s">
        <v>207</v>
      </c>
      <c r="C208" s="433"/>
      <c r="D208" s="550"/>
      <c r="E208" s="551"/>
      <c r="F208" s="551"/>
      <c r="G208" s="552"/>
      <c r="H208" s="434">
        <f>SUM(H205:H207)</f>
        <v>621.30200000000002</v>
      </c>
      <c r="I208" s="435">
        <f t="shared" ref="I208:AM208" si="1304">SUM(I205:I207)</f>
        <v>643.87199999999996</v>
      </c>
      <c r="J208" s="435">
        <f t="shared" si="1304"/>
        <v>663.66</v>
      </c>
      <c r="K208" s="436">
        <f t="shared" si="1304"/>
        <v>644.16599999999994</v>
      </c>
      <c r="L208" s="434">
        <f t="shared" si="1304"/>
        <v>628.30899999999997</v>
      </c>
      <c r="M208" s="435">
        <f t="shared" si="1304"/>
        <v>597.48299999999995</v>
      </c>
      <c r="N208" s="435">
        <f t="shared" si="1304"/>
        <v>617.43100000000004</v>
      </c>
      <c r="O208" s="436">
        <f t="shared" si="1304"/>
        <v>621.49800000000005</v>
      </c>
      <c r="P208" s="434">
        <f t="shared" si="1304"/>
        <v>613.90899999999999</v>
      </c>
      <c r="Q208" s="435">
        <f t="shared" si="1304"/>
        <v>649.34</v>
      </c>
      <c r="R208" s="435">
        <f t="shared" si="1304"/>
        <v>658.98599999999999</v>
      </c>
      <c r="S208" s="436">
        <f t="shared" si="1304"/>
        <v>660.69599999999991</v>
      </c>
      <c r="T208" s="434">
        <f t="shared" si="1304"/>
        <v>476.56900000000002</v>
      </c>
      <c r="U208" s="435">
        <f t="shared" si="1304"/>
        <v>474.74800000000005</v>
      </c>
      <c r="V208" s="435">
        <f t="shared" si="1304"/>
        <v>491.99099999999999</v>
      </c>
      <c r="W208" s="436">
        <f t="shared" si="1304"/>
        <v>571.59999999999991</v>
      </c>
      <c r="X208" s="434">
        <f t="shared" si="1304"/>
        <v>603</v>
      </c>
      <c r="Y208" s="435">
        <f t="shared" si="1304"/>
        <v>668.2</v>
      </c>
      <c r="Z208" s="435">
        <f t="shared" si="1304"/>
        <v>720.30000000000007</v>
      </c>
      <c r="AA208" s="436">
        <f t="shared" si="1304"/>
        <v>770</v>
      </c>
      <c r="AB208" s="434">
        <f t="shared" si="1304"/>
        <v>728.49999999999989</v>
      </c>
      <c r="AC208" s="435">
        <f t="shared" si="1304"/>
        <v>790.8</v>
      </c>
      <c r="AD208" s="435">
        <f t="shared" si="1304"/>
        <v>757.90000000000009</v>
      </c>
      <c r="AE208" s="436">
        <f t="shared" si="1304"/>
        <v>716.1</v>
      </c>
      <c r="AF208" s="434">
        <f t="shared" si="1304"/>
        <v>648.1</v>
      </c>
      <c r="AG208" s="435">
        <f t="shared" si="1304"/>
        <v>675.09399999999994</v>
      </c>
      <c r="AH208" s="435">
        <f t="shared" si="1304"/>
        <v>683.02599999999995</v>
      </c>
      <c r="AI208" s="436">
        <f t="shared" si="1304"/>
        <v>694.96399999999994</v>
      </c>
      <c r="AJ208" s="434">
        <f t="shared" si="1304"/>
        <v>622.13400000000001</v>
      </c>
      <c r="AK208" s="435">
        <f t="shared" si="1304"/>
        <v>659.25</v>
      </c>
      <c r="AL208" s="435">
        <f t="shared" si="1304"/>
        <v>674.17199999999991</v>
      </c>
      <c r="AM208" s="436">
        <f t="shared" si="1304"/>
        <v>678.13300000000004</v>
      </c>
      <c r="AN208" s="434">
        <f>SUM(AN205:AN207)</f>
        <v>628.23800000000006</v>
      </c>
      <c r="AO208" s="435">
        <f>SUM(AO205:AO207)</f>
        <v>694.53599999999994</v>
      </c>
      <c r="AP208" s="435">
        <f>SUM(AP205:AP207)</f>
        <v>727.75199999999995</v>
      </c>
      <c r="AQ208" s="435">
        <f>SUM(AQ205:AQ207)</f>
        <v>814.24699999999996</v>
      </c>
      <c r="AR208" s="434"/>
      <c r="AS208" s="437"/>
      <c r="AT208" s="437"/>
      <c r="AU208" s="436"/>
      <c r="AV208" s="437"/>
      <c r="AW208" s="437"/>
      <c r="AX208" s="437"/>
      <c r="AY208" s="438"/>
      <c r="AZ208" s="439"/>
      <c r="BA208" s="437"/>
      <c r="BB208" s="437"/>
      <c r="BC208" s="438"/>
      <c r="BD208" s="439"/>
      <c r="BE208" s="437"/>
      <c r="BF208" s="437"/>
      <c r="BG208" s="438"/>
      <c r="BH208" s="439"/>
      <c r="BI208" s="437"/>
      <c r="BJ208" s="437"/>
      <c r="BK208" s="438"/>
      <c r="BL208" s="439"/>
      <c r="BM208" s="437"/>
      <c r="BN208" s="437"/>
      <c r="BO208" s="438"/>
      <c r="BP208" s="440"/>
      <c r="BQ208" s="533"/>
      <c r="BR208" s="442">
        <f t="shared" ref="BR208:BX208" si="1305">SUM(BR205:BR207)</f>
        <v>2573</v>
      </c>
      <c r="BS208" s="442">
        <f t="shared" si="1305"/>
        <v>2464.7210000000005</v>
      </c>
      <c r="BT208" s="442">
        <f t="shared" si="1305"/>
        <v>2582.931</v>
      </c>
      <c r="BU208" s="442">
        <f t="shared" si="1305"/>
        <v>2014.9079999999999</v>
      </c>
      <c r="BV208" s="442">
        <f t="shared" si="1305"/>
        <v>2761.5000000000005</v>
      </c>
      <c r="BW208" s="442">
        <f t="shared" si="1305"/>
        <v>2993.3</v>
      </c>
      <c r="BX208" s="442">
        <f t="shared" si="1305"/>
        <v>2701.1840000000002</v>
      </c>
      <c r="BY208" s="442"/>
      <c r="BZ208" s="442"/>
      <c r="CA208" s="442"/>
      <c r="CB208" s="442"/>
      <c r="CC208" s="442"/>
      <c r="CD208" s="442"/>
      <c r="CE208" s="442"/>
      <c r="CF208" s="1454"/>
      <c r="CG208" s="106"/>
      <c r="CH208" s="106"/>
      <c r="CI208" s="106"/>
      <c r="CJ208" s="106"/>
      <c r="CK208" s="106"/>
    </row>
    <row r="209" spans="1:89" ht="14.25" hidden="1" customHeight="1" outlineLevel="1">
      <c r="B209" s="70"/>
      <c r="AB209" s="8"/>
      <c r="AC209" s="8"/>
      <c r="AD209" s="8"/>
      <c r="AF209" s="8"/>
      <c r="AG209" s="366"/>
      <c r="AH209" s="8"/>
      <c r="AJ209" s="8"/>
      <c r="AK209" s="366"/>
      <c r="AL209" s="366"/>
      <c r="AN209" s="8"/>
      <c r="AO209" s="366"/>
      <c r="AP209" s="366"/>
      <c r="AQ209" s="366"/>
      <c r="AR209" s="8"/>
      <c r="AU209" s="367"/>
      <c r="BP209" s="366"/>
      <c r="BQ209" s="366"/>
      <c r="BR209" s="366"/>
      <c r="BS209" s="366"/>
      <c r="BT209" s="366"/>
      <c r="BU209" s="366"/>
      <c r="BV209" s="366"/>
      <c r="BW209" s="366"/>
      <c r="BX209" s="366"/>
      <c r="BY209" s="366"/>
      <c r="BZ209" s="366"/>
      <c r="CA209" s="366"/>
      <c r="CB209" s="366"/>
      <c r="CC209" s="366"/>
      <c r="CD209" s="366"/>
      <c r="CE209" s="366"/>
      <c r="CF209" s="366"/>
    </row>
    <row r="210" spans="1:89" ht="14.25" hidden="1" customHeight="1" outlineLevel="1">
      <c r="A210" s="8"/>
      <c r="B210" s="313" t="s">
        <v>157</v>
      </c>
      <c r="C210" s="314"/>
      <c r="D210" s="553"/>
      <c r="E210" s="554"/>
      <c r="F210" s="554"/>
      <c r="G210" s="554"/>
      <c r="H210" s="443">
        <f t="shared" ref="H210:AQ210" si="1306">IF(ABS(H140-H208)&lt;1,"OK",H140-H208)</f>
        <v>-64.676000000000045</v>
      </c>
      <c r="I210" s="444">
        <f t="shared" si="1306"/>
        <v>-66.217999999999961</v>
      </c>
      <c r="J210" s="444">
        <f t="shared" si="1306"/>
        <v>-64.745000000000005</v>
      </c>
      <c r="K210" s="444">
        <f t="shared" si="1306"/>
        <v>-34.441999999999894</v>
      </c>
      <c r="L210" s="443">
        <f t="shared" si="1306"/>
        <v>-2.0439999999999827</v>
      </c>
      <c r="M210" s="444" t="str">
        <f t="shared" si="1306"/>
        <v>OK</v>
      </c>
      <c r="N210" s="444" t="str">
        <f t="shared" si="1306"/>
        <v>OK</v>
      </c>
      <c r="O210" s="444">
        <f t="shared" si="1306"/>
        <v>2.0439999999999827</v>
      </c>
      <c r="P210" s="443" t="str">
        <f t="shared" si="1306"/>
        <v>OK</v>
      </c>
      <c r="Q210" s="444" t="str">
        <f t="shared" si="1306"/>
        <v>OK</v>
      </c>
      <c r="R210" s="444" t="str">
        <f t="shared" si="1306"/>
        <v>OK</v>
      </c>
      <c r="S210" s="444" t="str">
        <f t="shared" si="1306"/>
        <v>OK</v>
      </c>
      <c r="T210" s="443" t="str">
        <f t="shared" si="1306"/>
        <v>OK</v>
      </c>
      <c r="U210" s="444" t="str">
        <f t="shared" si="1306"/>
        <v>OK</v>
      </c>
      <c r="V210" s="444" t="str">
        <f t="shared" si="1306"/>
        <v>OK</v>
      </c>
      <c r="W210" s="444" t="str">
        <f t="shared" si="1306"/>
        <v>OK</v>
      </c>
      <c r="X210" s="443" t="str">
        <f t="shared" si="1306"/>
        <v>OK</v>
      </c>
      <c r="Y210" s="444" t="str">
        <f t="shared" si="1306"/>
        <v>OK</v>
      </c>
      <c r="Z210" s="444" t="str">
        <f t="shared" si="1306"/>
        <v>OK</v>
      </c>
      <c r="AA210" s="444" t="str">
        <f t="shared" si="1306"/>
        <v>OK</v>
      </c>
      <c r="AB210" s="443" t="str">
        <f t="shared" si="1306"/>
        <v>OK</v>
      </c>
      <c r="AC210" s="444" t="str">
        <f t="shared" si="1306"/>
        <v>OK</v>
      </c>
      <c r="AD210" s="444" t="str">
        <f t="shared" si="1306"/>
        <v>OK</v>
      </c>
      <c r="AE210" s="444" t="str">
        <f t="shared" si="1306"/>
        <v>OK</v>
      </c>
      <c r="AF210" s="443" t="str">
        <f t="shared" si="1306"/>
        <v>OK</v>
      </c>
      <c r="AG210" s="444" t="str">
        <f t="shared" si="1306"/>
        <v>OK</v>
      </c>
      <c r="AH210" s="444" t="str">
        <f t="shared" si="1306"/>
        <v>OK</v>
      </c>
      <c r="AI210" s="444" t="str">
        <f t="shared" si="1306"/>
        <v>OK</v>
      </c>
      <c r="AJ210" s="443" t="str">
        <f t="shared" si="1306"/>
        <v>OK</v>
      </c>
      <c r="AK210" s="444" t="str">
        <f t="shared" si="1306"/>
        <v>OK</v>
      </c>
      <c r="AL210" s="444" t="str">
        <f t="shared" si="1306"/>
        <v>OK</v>
      </c>
      <c r="AM210" s="444" t="str">
        <f t="shared" si="1306"/>
        <v>OK</v>
      </c>
      <c r="AN210" s="443" t="str">
        <f t="shared" si="1306"/>
        <v>OK</v>
      </c>
      <c r="AO210" s="444" t="str">
        <f t="shared" si="1306"/>
        <v>OK</v>
      </c>
      <c r="AP210" s="444" t="str">
        <f t="shared" si="1306"/>
        <v>OK</v>
      </c>
      <c r="AQ210" s="444" t="str">
        <f t="shared" si="1306"/>
        <v>OK</v>
      </c>
      <c r="AR210" s="443"/>
      <c r="AS210" s="316"/>
      <c r="AT210" s="316"/>
      <c r="AU210" s="1170"/>
      <c r="AV210" s="316"/>
      <c r="AW210" s="316"/>
      <c r="AX210" s="316"/>
      <c r="AY210" s="316"/>
      <c r="AZ210" s="315"/>
      <c r="BA210" s="316"/>
      <c r="BB210" s="316"/>
      <c r="BC210" s="316"/>
      <c r="BD210" s="315"/>
      <c r="BE210" s="316"/>
      <c r="BF210" s="316"/>
      <c r="BG210" s="316"/>
      <c r="BH210" s="315"/>
      <c r="BI210" s="316"/>
      <c r="BJ210" s="316"/>
      <c r="BK210" s="316"/>
      <c r="BL210" s="315"/>
      <c r="BM210" s="316"/>
      <c r="BN210" s="316"/>
      <c r="BO210" s="316"/>
      <c r="BP210" s="23"/>
      <c r="BQ210" s="534"/>
      <c r="BR210" s="316">
        <f t="shared" ref="BR210:BX210" si="1307">IF(ABS(BR140-BR208)&lt;1,"OK",BR140-BR208)</f>
        <v>-230.08100000000013</v>
      </c>
      <c r="BS210" s="316" t="str">
        <f t="shared" si="1307"/>
        <v>OK</v>
      </c>
      <c r="BT210" s="316" t="str">
        <f t="shared" si="1307"/>
        <v>OK</v>
      </c>
      <c r="BU210" s="316" t="str">
        <f t="shared" si="1307"/>
        <v>OK</v>
      </c>
      <c r="BV210" s="316" t="str">
        <f t="shared" si="1307"/>
        <v>OK</v>
      </c>
      <c r="BW210" s="316" t="str">
        <f t="shared" si="1307"/>
        <v>OK</v>
      </c>
      <c r="BX210" s="316" t="str">
        <f t="shared" si="1307"/>
        <v>OK</v>
      </c>
      <c r="BY210" s="316"/>
      <c r="BZ210" s="316"/>
      <c r="CA210" s="316"/>
      <c r="CB210" s="316"/>
      <c r="CC210" s="316"/>
      <c r="CD210" s="316"/>
      <c r="CE210" s="316"/>
      <c r="CF210" s="1171"/>
      <c r="CG210" s="17"/>
      <c r="CH210" s="8"/>
      <c r="CI210" s="8"/>
      <c r="CJ210" s="8"/>
      <c r="CK210" s="8"/>
    </row>
    <row r="211" spans="1:89" ht="14.25" hidden="1" customHeight="1" outlineLevel="1">
      <c r="B211" s="70"/>
      <c r="AB211" s="8"/>
      <c r="AC211" s="8"/>
      <c r="AD211" s="8"/>
      <c r="AF211" s="8"/>
      <c r="AG211" s="366"/>
      <c r="AH211" s="8"/>
      <c r="AJ211" s="8"/>
      <c r="AU211" s="1032"/>
      <c r="CC211" s="1005"/>
      <c r="CD211" s="1005"/>
      <c r="CE211" s="1005"/>
    </row>
    <row r="212" spans="1:89" ht="14.25" hidden="1" customHeight="1" outlineLevel="1">
      <c r="A212" s="1"/>
      <c r="B212" s="150" t="s">
        <v>263</v>
      </c>
      <c r="C212" s="151"/>
      <c r="D212" s="699" t="str">
        <f t="shared" ref="D212:AI212" si="1308">D9</f>
        <v>F1Q05A</v>
      </c>
      <c r="E212" s="698" t="str">
        <f t="shared" si="1308"/>
        <v>F2Q05A</v>
      </c>
      <c r="F212" s="698" t="str">
        <f t="shared" si="1308"/>
        <v>F3Q05A</v>
      </c>
      <c r="G212" s="698" t="str">
        <f t="shared" si="1308"/>
        <v>F4Q05A</v>
      </c>
      <c r="H212" s="699" t="str">
        <f t="shared" si="1308"/>
        <v>F1Q06A</v>
      </c>
      <c r="I212" s="698" t="str">
        <f t="shared" si="1308"/>
        <v>F2Q06A</v>
      </c>
      <c r="J212" s="698" t="str">
        <f t="shared" si="1308"/>
        <v>F3Q06A</v>
      </c>
      <c r="K212" s="698" t="str">
        <f t="shared" si="1308"/>
        <v>F4Q06A</v>
      </c>
      <c r="L212" s="699" t="str">
        <f t="shared" si="1308"/>
        <v>F1Q07A</v>
      </c>
      <c r="M212" s="698" t="str">
        <f t="shared" si="1308"/>
        <v>F2Q07A</v>
      </c>
      <c r="N212" s="698" t="str">
        <f t="shared" si="1308"/>
        <v>F3Q07A</v>
      </c>
      <c r="O212" s="698" t="str">
        <f t="shared" si="1308"/>
        <v>F4Q07A</v>
      </c>
      <c r="P212" s="699" t="str">
        <f t="shared" si="1308"/>
        <v>F1Q08A</v>
      </c>
      <c r="Q212" s="698" t="str">
        <f t="shared" si="1308"/>
        <v>F2Q08A</v>
      </c>
      <c r="R212" s="698" t="str">
        <f t="shared" si="1308"/>
        <v>F3Q08A</v>
      </c>
      <c r="S212" s="698" t="str">
        <f t="shared" si="1308"/>
        <v>F4Q08A</v>
      </c>
      <c r="T212" s="699" t="str">
        <f t="shared" si="1308"/>
        <v>F1Q09A</v>
      </c>
      <c r="U212" s="698" t="str">
        <f t="shared" si="1308"/>
        <v>F2Q09A</v>
      </c>
      <c r="V212" s="698" t="str">
        <f t="shared" si="1308"/>
        <v>F3Q09A</v>
      </c>
      <c r="W212" s="698" t="str">
        <f t="shared" si="1308"/>
        <v>F4Q09A</v>
      </c>
      <c r="X212" s="699" t="str">
        <f t="shared" si="1308"/>
        <v>F1Q10A</v>
      </c>
      <c r="Y212" s="698" t="str">
        <f t="shared" si="1308"/>
        <v>F2Q10A</v>
      </c>
      <c r="Z212" s="698" t="str">
        <f t="shared" si="1308"/>
        <v>F3Q10A</v>
      </c>
      <c r="AA212" s="698" t="str">
        <f t="shared" si="1308"/>
        <v>F4Q10A</v>
      </c>
      <c r="AB212" s="699" t="str">
        <f t="shared" si="1308"/>
        <v>F1Q11A</v>
      </c>
      <c r="AC212" s="698" t="str">
        <f t="shared" si="1308"/>
        <v>F2Q11A</v>
      </c>
      <c r="AD212" s="698" t="str">
        <f t="shared" si="1308"/>
        <v>F3Q11A</v>
      </c>
      <c r="AE212" s="698" t="str">
        <f t="shared" si="1308"/>
        <v>F4Q11A</v>
      </c>
      <c r="AF212" s="699" t="str">
        <f t="shared" si="1308"/>
        <v>F1Q12A</v>
      </c>
      <c r="AG212" s="698" t="str">
        <f t="shared" si="1308"/>
        <v>F2Q12A</v>
      </c>
      <c r="AH212" s="698" t="str">
        <f t="shared" si="1308"/>
        <v>F3Q12A</v>
      </c>
      <c r="AI212" s="698" t="str">
        <f t="shared" si="1308"/>
        <v>F4Q12A</v>
      </c>
      <c r="AJ212" s="699" t="str">
        <f t="shared" ref="AJ212:BO212" si="1309">AJ9</f>
        <v>F1Q13A</v>
      </c>
      <c r="AK212" s="698" t="str">
        <f t="shared" si="1309"/>
        <v>F2Q13A</v>
      </c>
      <c r="AL212" s="698" t="str">
        <f t="shared" si="1309"/>
        <v>F3Q13A</v>
      </c>
      <c r="AM212" s="698" t="str">
        <f t="shared" si="1309"/>
        <v>F4Q13A</v>
      </c>
      <c r="AN212" s="699" t="str">
        <f t="shared" si="1309"/>
        <v>F1Q14A</v>
      </c>
      <c r="AO212" s="698" t="str">
        <f t="shared" si="1309"/>
        <v>F2Q14A</v>
      </c>
      <c r="AP212" s="698" t="str">
        <f t="shared" si="1309"/>
        <v>F3Q14A</v>
      </c>
      <c r="AQ212" s="698" t="str">
        <f t="shared" si="1309"/>
        <v>F4Q14A</v>
      </c>
      <c r="AR212" s="699" t="str">
        <f t="shared" si="1309"/>
        <v>F1Q15A</v>
      </c>
      <c r="AS212" s="698" t="str">
        <f t="shared" si="1309"/>
        <v>F2Q15A</v>
      </c>
      <c r="AT212" s="698" t="str">
        <f t="shared" si="1309"/>
        <v>F3Q15A</v>
      </c>
      <c r="AU212" s="700" t="str">
        <f t="shared" si="1309"/>
        <v>F4Q15A</v>
      </c>
      <c r="AV212" s="698" t="str">
        <f t="shared" si="1309"/>
        <v>F1Q16A</v>
      </c>
      <c r="AW212" s="698" t="str">
        <f t="shared" si="1309"/>
        <v>F2Q16A</v>
      </c>
      <c r="AX212" s="698" t="str">
        <f t="shared" si="1309"/>
        <v>F3Q16A</v>
      </c>
      <c r="AY212" s="700" t="str">
        <f t="shared" si="1309"/>
        <v>F4Q16A</v>
      </c>
      <c r="AZ212" s="699" t="str">
        <f t="shared" si="1309"/>
        <v>F1Q17A</v>
      </c>
      <c r="BA212" s="698" t="str">
        <f t="shared" si="1309"/>
        <v>F2Q17A</v>
      </c>
      <c r="BB212" s="698" t="str">
        <f t="shared" si="1309"/>
        <v>F3Q17A</v>
      </c>
      <c r="BC212" s="700" t="str">
        <f t="shared" si="1309"/>
        <v>F4Q17A</v>
      </c>
      <c r="BD212" s="699" t="str">
        <f t="shared" si="1309"/>
        <v>F1Q18A</v>
      </c>
      <c r="BE212" s="698" t="str">
        <f t="shared" si="1309"/>
        <v>F2Q18E</v>
      </c>
      <c r="BF212" s="698" t="str">
        <f t="shared" si="1309"/>
        <v>F3Q18E</v>
      </c>
      <c r="BG212" s="700" t="str">
        <f t="shared" si="1309"/>
        <v>F4Q18E</v>
      </c>
      <c r="BH212" s="699" t="str">
        <f t="shared" si="1309"/>
        <v>F1Q19E</v>
      </c>
      <c r="BI212" s="698" t="str">
        <f t="shared" si="1309"/>
        <v>F2Q19E</v>
      </c>
      <c r="BJ212" s="698" t="str">
        <f t="shared" si="1309"/>
        <v>F3Q19E</v>
      </c>
      <c r="BK212" s="700" t="str">
        <f t="shared" si="1309"/>
        <v>F4Q19E</v>
      </c>
      <c r="BL212" s="699" t="str">
        <f t="shared" si="1309"/>
        <v>F1Q20E</v>
      </c>
      <c r="BM212" s="698" t="str">
        <f t="shared" si="1309"/>
        <v>F2Q20E</v>
      </c>
      <c r="BN212" s="698" t="str">
        <f t="shared" si="1309"/>
        <v>F3Q20E</v>
      </c>
      <c r="BO212" s="700" t="str">
        <f t="shared" si="1309"/>
        <v>F4Q20E</v>
      </c>
      <c r="BP212" s="504"/>
      <c r="BQ212" s="701" t="str">
        <f t="shared" ref="BQ212:CF212" si="1310">BQ9</f>
        <v>FY2005A</v>
      </c>
      <c r="BR212" s="698" t="str">
        <f t="shared" si="1310"/>
        <v>FY2006A</v>
      </c>
      <c r="BS212" s="698" t="str">
        <f t="shared" si="1310"/>
        <v>FY2007A</v>
      </c>
      <c r="BT212" s="698" t="str">
        <f t="shared" si="1310"/>
        <v>FY2008A</v>
      </c>
      <c r="BU212" s="698" t="str">
        <f t="shared" si="1310"/>
        <v>FY2009A</v>
      </c>
      <c r="BV212" s="698" t="str">
        <f t="shared" si="1310"/>
        <v>FY2010A</v>
      </c>
      <c r="BW212" s="698" t="str">
        <f t="shared" si="1310"/>
        <v>FY2011A</v>
      </c>
      <c r="BX212" s="698" t="str">
        <f t="shared" si="1310"/>
        <v>FY2012A</v>
      </c>
      <c r="BY212" s="698" t="str">
        <f t="shared" si="1310"/>
        <v>FY2013A</v>
      </c>
      <c r="BZ212" s="698" t="str">
        <f t="shared" si="1310"/>
        <v>FY2014A</v>
      </c>
      <c r="CA212" s="698" t="str">
        <f t="shared" si="1310"/>
        <v>FY2015A</v>
      </c>
      <c r="CB212" s="698" t="str">
        <f t="shared" si="1310"/>
        <v>FY2016A</v>
      </c>
      <c r="CC212" s="698" t="str">
        <f t="shared" si="1310"/>
        <v>FY2017A</v>
      </c>
      <c r="CD212" s="698" t="str">
        <f t="shared" si="1310"/>
        <v>FY2018E</v>
      </c>
      <c r="CE212" s="698" t="str">
        <f t="shared" si="1310"/>
        <v>FY2019E</v>
      </c>
      <c r="CF212" s="700" t="str">
        <f t="shared" si="1310"/>
        <v>FY2020E</v>
      </c>
    </row>
    <row r="213" spans="1:89" ht="14.25" hidden="1" customHeight="1" outlineLevel="1">
      <c r="B213" s="446" t="str">
        <f t="shared" ref="B213:B219" si="1311">B200</f>
        <v>Converters</v>
      </c>
      <c r="C213" s="418"/>
      <c r="D213" s="538"/>
      <c r="E213" s="555"/>
      <c r="F213" s="555"/>
      <c r="G213" s="556"/>
      <c r="H213" s="447">
        <f t="shared" ref="H213:AG213" si="1312">H200/H$140</f>
        <v>0.41860962297844512</v>
      </c>
      <c r="I213" s="448">
        <f t="shared" si="1312"/>
        <v>0.44398723111066485</v>
      </c>
      <c r="J213" s="448">
        <f t="shared" si="1312"/>
        <v>0.44906038419475225</v>
      </c>
      <c r="K213" s="449">
        <f t="shared" si="1312"/>
        <v>0.43391928151097858</v>
      </c>
      <c r="L213" s="447">
        <f t="shared" si="1312"/>
        <v>0.4209847269127287</v>
      </c>
      <c r="M213" s="448">
        <f t="shared" si="1312"/>
        <v>0.45898544393731705</v>
      </c>
      <c r="N213" s="448">
        <f t="shared" si="1312"/>
        <v>0.45511320293279728</v>
      </c>
      <c r="O213" s="449">
        <f t="shared" si="1312"/>
        <v>0.45874536117855735</v>
      </c>
      <c r="P213" s="447">
        <f t="shared" si="1312"/>
        <v>0.45785450286606</v>
      </c>
      <c r="Q213" s="448">
        <f t="shared" si="1312"/>
        <v>0.45838235747066253</v>
      </c>
      <c r="R213" s="448">
        <f t="shared" si="1312"/>
        <v>0.4595120381920102</v>
      </c>
      <c r="S213" s="449">
        <f t="shared" si="1312"/>
        <v>0.53555492995265574</v>
      </c>
      <c r="T213" s="447">
        <f t="shared" si="1312"/>
        <v>0.53072063017107707</v>
      </c>
      <c r="U213" s="448">
        <f t="shared" si="1312"/>
        <v>0.50364193214084108</v>
      </c>
      <c r="V213" s="448">
        <f t="shared" si="1312"/>
        <v>0.50643609334317097</v>
      </c>
      <c r="W213" s="449">
        <f t="shared" si="1312"/>
        <v>0.45142932120363877</v>
      </c>
      <c r="X213" s="447">
        <f t="shared" si="1312"/>
        <v>0.48591751342906853</v>
      </c>
      <c r="Y213" s="448">
        <f t="shared" si="1312"/>
        <v>0.46046330659643242</v>
      </c>
      <c r="Z213" s="448">
        <f t="shared" si="1312"/>
        <v>0.46828360799122581</v>
      </c>
      <c r="AA213" s="449">
        <f t="shared" si="1312"/>
        <v>0.46468135949817529</v>
      </c>
      <c r="AB213" s="447">
        <f t="shared" si="1312"/>
        <v>0.45682659257876418</v>
      </c>
      <c r="AC213" s="448">
        <f t="shared" si="1312"/>
        <v>0.44298034851665447</v>
      </c>
      <c r="AD213" s="448">
        <f t="shared" si="1312"/>
        <v>0.44491240292280526</v>
      </c>
      <c r="AE213" s="449">
        <f t="shared" si="1312"/>
        <v>0.45145182326212691</v>
      </c>
      <c r="AF213" s="447">
        <f t="shared" si="1312"/>
        <v>0.43992975937338946</v>
      </c>
      <c r="AG213" s="448">
        <f t="shared" si="1312"/>
        <v>0.44444181106631075</v>
      </c>
      <c r="AH213" s="448">
        <f t="shared" ref="AH213:AK220" si="1313">AH200/AH$140</f>
        <v>0.438627519303804</v>
      </c>
      <c r="AI213" s="449">
        <f t="shared" si="1313"/>
        <v>0.44211210940422813</v>
      </c>
      <c r="AJ213" s="447">
        <f t="shared" si="1313"/>
        <v>0.44626559551479261</v>
      </c>
      <c r="AK213" s="448">
        <f t="shared" ref="AK213:AP213" si="1314">AK200/AK$140</f>
        <v>0.4579249146757679</v>
      </c>
      <c r="AL213" s="448">
        <f t="shared" si="1314"/>
        <v>0.45440481064179461</v>
      </c>
      <c r="AM213" s="449">
        <f t="shared" si="1314"/>
        <v>0.45151467337528184</v>
      </c>
      <c r="AN213" s="447">
        <f t="shared" si="1314"/>
        <v>0.46248555483749781</v>
      </c>
      <c r="AO213" s="448">
        <f t="shared" si="1314"/>
        <v>0.45773725192070686</v>
      </c>
      <c r="AP213" s="448">
        <f t="shared" si="1314"/>
        <v>0.4500681550857985</v>
      </c>
      <c r="AQ213" s="448">
        <f>AQ200/AQ$140</f>
        <v>0.42906390812615819</v>
      </c>
      <c r="AR213" s="447"/>
      <c r="AS213" s="450"/>
      <c r="AT213" s="450"/>
      <c r="AU213" s="449"/>
      <c r="AV213" s="450"/>
      <c r="AW213" s="450"/>
      <c r="AX213" s="450"/>
      <c r="AY213" s="451"/>
      <c r="AZ213" s="452"/>
      <c r="BA213" s="450"/>
      <c r="BB213" s="450"/>
      <c r="BC213" s="451"/>
      <c r="BD213" s="452"/>
      <c r="BE213" s="450"/>
      <c r="BF213" s="450"/>
      <c r="BG213" s="451"/>
      <c r="BH213" s="452"/>
      <c r="BI213" s="450"/>
      <c r="BJ213" s="450"/>
      <c r="BK213" s="451"/>
      <c r="BL213" s="452"/>
      <c r="BM213" s="450"/>
      <c r="BN213" s="450"/>
      <c r="BO213" s="451"/>
      <c r="BP213" s="424"/>
      <c r="BQ213" s="535"/>
      <c r="BR213" s="413">
        <f t="shared" ref="BR213:BW220" si="1315">BR200/BR$140</f>
        <v>0.43663481323938219</v>
      </c>
      <c r="BS213" s="263">
        <f t="shared" si="1315"/>
        <v>0.44829901639982783</v>
      </c>
      <c r="BT213" s="263">
        <f t="shared" si="1315"/>
        <v>0.47828532779234129</v>
      </c>
      <c r="BU213" s="1425">
        <f t="shared" si="1315"/>
        <v>0.49591693516527802</v>
      </c>
      <c r="BV213" s="1425">
        <f t="shared" si="1315"/>
        <v>0.46923722335264534</v>
      </c>
      <c r="BW213" s="1425">
        <f t="shared" si="1315"/>
        <v>0.44886614194272573</v>
      </c>
      <c r="BX213" s="1425">
        <f t="shared" ref="BX213:BX220" si="1316">BX200/BX$140</f>
        <v>0.44128964711962576</v>
      </c>
      <c r="BY213" s="1425"/>
      <c r="BZ213" s="1425"/>
      <c r="CA213" s="1425"/>
      <c r="CB213" s="413"/>
      <c r="CC213" s="413"/>
      <c r="CD213" s="413"/>
      <c r="CE213" s="413"/>
      <c r="CF213" s="412"/>
    </row>
    <row r="214" spans="1:89" ht="14.25" hidden="1" customHeight="1" outlineLevel="1">
      <c r="B214" s="455" t="str">
        <f t="shared" si="1311"/>
        <v>Amplifiers/Radio frequency</v>
      </c>
      <c r="C214" s="367"/>
      <c r="D214" s="539"/>
      <c r="E214" s="557"/>
      <c r="F214" s="557"/>
      <c r="G214" s="558"/>
      <c r="H214" s="456">
        <f t="shared" ref="H214:AG214" si="1317">H201/H$140</f>
        <v>0.2172176650030721</v>
      </c>
      <c r="I214" s="457">
        <f t="shared" si="1317"/>
        <v>0.2275566342481832</v>
      </c>
      <c r="J214" s="457">
        <f t="shared" si="1317"/>
        <v>0.23147525107903458</v>
      </c>
      <c r="K214" s="458">
        <f t="shared" si="1317"/>
        <v>0.23126529380506594</v>
      </c>
      <c r="L214" s="456">
        <f t="shared" si="1317"/>
        <v>0.21991968256249353</v>
      </c>
      <c r="M214" s="457">
        <f t="shared" si="1317"/>
        <v>0.22960485905038305</v>
      </c>
      <c r="N214" s="457">
        <f t="shared" si="1317"/>
        <v>0.23339126153367745</v>
      </c>
      <c r="O214" s="458">
        <f t="shared" si="1317"/>
        <v>0.31954703933335687</v>
      </c>
      <c r="P214" s="456">
        <f t="shared" si="1317"/>
        <v>0.25365159982994223</v>
      </c>
      <c r="Q214" s="457">
        <f t="shared" si="1317"/>
        <v>0.26266824775926323</v>
      </c>
      <c r="R214" s="457">
        <f t="shared" si="1317"/>
        <v>0.25877029254035749</v>
      </c>
      <c r="S214" s="458">
        <f t="shared" si="1317"/>
        <v>0.25743609769091996</v>
      </c>
      <c r="T214" s="456">
        <f t="shared" si="1317"/>
        <v>0.274285570400089</v>
      </c>
      <c r="U214" s="457">
        <f t="shared" si="1317"/>
        <v>0.26215592272110677</v>
      </c>
      <c r="V214" s="457">
        <f t="shared" si="1317"/>
        <v>0.24449227729775544</v>
      </c>
      <c r="W214" s="458">
        <f t="shared" si="1317"/>
        <v>0.22307557732680197</v>
      </c>
      <c r="X214" s="456">
        <f t="shared" si="1317"/>
        <v>0.24445133610731981</v>
      </c>
      <c r="Y214" s="457">
        <f t="shared" si="1317"/>
        <v>0.2545492637375793</v>
      </c>
      <c r="Z214" s="457">
        <f t="shared" si="1317"/>
        <v>0.25531383192880647</v>
      </c>
      <c r="AA214" s="458">
        <f t="shared" si="1317"/>
        <v>0.25987350485071231</v>
      </c>
      <c r="AB214" s="456">
        <f t="shared" si="1317"/>
        <v>0.26767183158911961</v>
      </c>
      <c r="AC214" s="457">
        <f t="shared" si="1317"/>
        <v>0.26948076582614633</v>
      </c>
      <c r="AD214" s="457">
        <f t="shared" si="1317"/>
        <v>0.26045583729822591</v>
      </c>
      <c r="AE214" s="458">
        <f t="shared" si="1317"/>
        <v>0.25511985187129782</v>
      </c>
      <c r="AF214" s="456">
        <f t="shared" si="1317"/>
        <v>0.25383530486468803</v>
      </c>
      <c r="AG214" s="457">
        <f t="shared" si="1317"/>
        <v>0.26338998717215673</v>
      </c>
      <c r="AH214" s="457">
        <f t="shared" si="1313"/>
        <v>0.26490792444211497</v>
      </c>
      <c r="AI214" s="458">
        <f t="shared" si="1313"/>
        <v>0.25112236029492169</v>
      </c>
      <c r="AJ214" s="456">
        <f t="shared" si="1313"/>
        <v>0.25372829647632184</v>
      </c>
      <c r="AK214" s="457">
        <f t="shared" si="1313"/>
        <v>0.24997042093287827</v>
      </c>
      <c r="AL214" s="457">
        <f t="shared" ref="AL214:AO220" si="1318">AL201/AL$140</f>
        <v>0.25451665153699649</v>
      </c>
      <c r="AM214" s="458">
        <f t="shared" si="1318"/>
        <v>0.26032946339434887</v>
      </c>
      <c r="AN214" s="456">
        <f t="shared" si="1318"/>
        <v>0.26218407673525002</v>
      </c>
      <c r="AO214" s="457">
        <f t="shared" si="1318"/>
        <v>0.26821791814967116</v>
      </c>
      <c r="AP214" s="457">
        <f t="shared" ref="AP214:AQ220" si="1319">AP201/AP$140</f>
        <v>0.26659768712418519</v>
      </c>
      <c r="AQ214" s="457">
        <f t="shared" si="1319"/>
        <v>0.3217168746093016</v>
      </c>
      <c r="AR214" s="456"/>
      <c r="AS214" s="459"/>
      <c r="AT214" s="459"/>
      <c r="AU214" s="458"/>
      <c r="AV214" s="459"/>
      <c r="AW214" s="459"/>
      <c r="AX214" s="459"/>
      <c r="AY214" s="460"/>
      <c r="AZ214" s="461"/>
      <c r="BA214" s="459"/>
      <c r="BB214" s="459"/>
      <c r="BC214" s="460"/>
      <c r="BD214" s="461"/>
      <c r="BE214" s="459"/>
      <c r="BF214" s="459"/>
      <c r="BG214" s="460"/>
      <c r="BH214" s="461"/>
      <c r="BI214" s="459"/>
      <c r="BJ214" s="459"/>
      <c r="BK214" s="460"/>
      <c r="BL214" s="461"/>
      <c r="BM214" s="459"/>
      <c r="BN214" s="459"/>
      <c r="BO214" s="460"/>
      <c r="BP214" s="424"/>
      <c r="BQ214" s="536"/>
      <c r="BR214" s="413">
        <f t="shared" si="1315"/>
        <v>0.227067175604449</v>
      </c>
      <c r="BS214" s="263">
        <f t="shared" si="1315"/>
        <v>0.25084664755158903</v>
      </c>
      <c r="BT214" s="263">
        <f t="shared" si="1315"/>
        <v>0.25819234040708017</v>
      </c>
      <c r="BU214" s="1425">
        <f t="shared" si="1315"/>
        <v>0.24962529306548983</v>
      </c>
      <c r="BV214" s="1425">
        <f t="shared" si="1315"/>
        <v>0.25402833167300565</v>
      </c>
      <c r="BW214" s="1425">
        <f t="shared" si="1315"/>
        <v>0.26331965843945854</v>
      </c>
      <c r="BX214" s="1425">
        <f t="shared" si="1316"/>
        <v>0.25832518245986325</v>
      </c>
      <c r="BY214" s="1425"/>
      <c r="BZ214" s="1425"/>
      <c r="CA214" s="1425"/>
      <c r="CB214" s="413"/>
      <c r="CC214" s="413"/>
      <c r="CD214" s="413"/>
      <c r="CE214" s="413"/>
      <c r="CF214" s="412"/>
    </row>
    <row r="215" spans="1:89" ht="14.25" hidden="1" customHeight="1" outlineLevel="1">
      <c r="B215" s="455" t="str">
        <f t="shared" si="1311"/>
        <v>Other analog</v>
      </c>
      <c r="C215" s="367"/>
      <c r="D215" s="539"/>
      <c r="E215" s="557"/>
      <c r="F215" s="557"/>
      <c r="G215" s="558"/>
      <c r="H215" s="456">
        <f t="shared" ref="H215:AG215" si="1320">H202/H$140</f>
        <v>0.13516616183936792</v>
      </c>
      <c r="I215" s="457">
        <f t="shared" si="1320"/>
        <v>0.12393578162706395</v>
      </c>
      <c r="J215" s="457">
        <f t="shared" si="1320"/>
        <v>0.12205738710835429</v>
      </c>
      <c r="K215" s="458">
        <f t="shared" si="1320"/>
        <v>0.13460024535691556</v>
      </c>
      <c r="L215" s="456">
        <f t="shared" si="1320"/>
        <v>0.14974172275314765</v>
      </c>
      <c r="M215" s="457">
        <f t="shared" si="1320"/>
        <v>0.16660390337465672</v>
      </c>
      <c r="N215" s="457">
        <f t="shared" si="1320"/>
        <v>0.16241328990607856</v>
      </c>
      <c r="O215" s="458">
        <f t="shared" si="1320"/>
        <v>6.583678404983144E-2</v>
      </c>
      <c r="P215" s="456">
        <f t="shared" si="1320"/>
        <v>0.13168564070570721</v>
      </c>
      <c r="Q215" s="457">
        <f t="shared" si="1320"/>
        <v>0.12600178642929744</v>
      </c>
      <c r="R215" s="457">
        <f t="shared" si="1320"/>
        <v>0.12193278764647504</v>
      </c>
      <c r="S215" s="458">
        <f t="shared" si="1320"/>
        <v>4.5311308075120751E-2</v>
      </c>
      <c r="T215" s="456">
        <f t="shared" si="1320"/>
        <v>4.9843779179929874E-2</v>
      </c>
      <c r="U215" s="457">
        <f t="shared" si="1320"/>
        <v>9.2796599459081447E-2</v>
      </c>
      <c r="V215" s="457">
        <f t="shared" si="1320"/>
        <v>0.11129675136333794</v>
      </c>
      <c r="W215" s="458">
        <f t="shared" si="1320"/>
        <v>0.17240027991602522</v>
      </c>
      <c r="X215" s="456">
        <f t="shared" si="1320"/>
        <v>0.11758208772054936</v>
      </c>
      <c r="Y215" s="457">
        <f t="shared" si="1320"/>
        <v>0.12824733628636417</v>
      </c>
      <c r="Z215" s="457">
        <f t="shared" si="1320"/>
        <v>0.11828569048577657</v>
      </c>
      <c r="AA215" s="458">
        <f t="shared" si="1320"/>
        <v>0.12052104572786659</v>
      </c>
      <c r="AB215" s="456">
        <f t="shared" si="1320"/>
        <v>0.12546259183202838</v>
      </c>
      <c r="AC215" s="457">
        <f t="shared" si="1320"/>
        <v>0.14036773818255394</v>
      </c>
      <c r="AD215" s="457">
        <f t="shared" si="1320"/>
        <v>0.14078337304823049</v>
      </c>
      <c r="AE215" s="458">
        <f t="shared" si="1320"/>
        <v>0.14131433502668495</v>
      </c>
      <c r="AF215" s="456">
        <f t="shared" si="1320"/>
        <v>0.14844350351357441</v>
      </c>
      <c r="AG215" s="457">
        <f t="shared" si="1320"/>
        <v>0.13448497542564442</v>
      </c>
      <c r="AH215" s="457">
        <f t="shared" si="1313"/>
        <v>0.1438730004421501</v>
      </c>
      <c r="AI215" s="458">
        <f t="shared" si="1313"/>
        <v>0.16127885760989058</v>
      </c>
      <c r="AJ215" s="456">
        <f t="shared" si="1313"/>
        <v>0.15381413007487132</v>
      </c>
      <c r="AK215" s="457">
        <f t="shared" si="1313"/>
        <v>0.13940993553280243</v>
      </c>
      <c r="AL215" s="457">
        <f t="shared" si="1318"/>
        <v>0.13687604943545564</v>
      </c>
      <c r="AM215" s="458">
        <f t="shared" si="1318"/>
        <v>0.13626383025158781</v>
      </c>
      <c r="AN215" s="456">
        <f t="shared" si="1318"/>
        <v>0.12641546674986229</v>
      </c>
      <c r="AO215" s="457">
        <f t="shared" si="1318"/>
        <v>0.12685159588559844</v>
      </c>
      <c r="AP215" s="457">
        <f t="shared" si="1319"/>
        <v>0.1318636018863569</v>
      </c>
      <c r="AQ215" s="457">
        <f t="shared" si="1319"/>
        <v>0.11411770629796612</v>
      </c>
      <c r="AR215" s="456"/>
      <c r="AS215" s="459"/>
      <c r="AT215" s="459"/>
      <c r="AU215" s="458"/>
      <c r="AV215" s="459"/>
      <c r="AW215" s="459"/>
      <c r="AX215" s="459"/>
      <c r="AY215" s="460"/>
      <c r="AZ215" s="461"/>
      <c r="BA215" s="459"/>
      <c r="BB215" s="459"/>
      <c r="BC215" s="460"/>
      <c r="BD215" s="461"/>
      <c r="BE215" s="459"/>
      <c r="BF215" s="459"/>
      <c r="BG215" s="460"/>
      <c r="BH215" s="461"/>
      <c r="BI215" s="459"/>
      <c r="BJ215" s="459"/>
      <c r="BK215" s="460"/>
      <c r="BL215" s="461"/>
      <c r="BM215" s="459"/>
      <c r="BN215" s="459"/>
      <c r="BO215" s="460"/>
      <c r="BP215" s="424"/>
      <c r="BQ215" s="536"/>
      <c r="BR215" s="413">
        <f t="shared" si="1315"/>
        <v>0.12889903577545789</v>
      </c>
      <c r="BS215" s="263">
        <f t="shared" si="1315"/>
        <v>0.13577682829009857</v>
      </c>
      <c r="BT215" s="263">
        <f t="shared" si="1315"/>
        <v>0.10567452247078996</v>
      </c>
      <c r="BU215" s="1425">
        <f t="shared" si="1315"/>
        <v>0.1097370202510487</v>
      </c>
      <c r="BV215" s="1425">
        <f t="shared" si="1315"/>
        <v>0.12116590132257689</v>
      </c>
      <c r="BW215" s="1425">
        <f t="shared" si="1315"/>
        <v>0.13707188005291782</v>
      </c>
      <c r="BX215" s="1425">
        <f t="shared" si="1316"/>
        <v>0.14710148522365726</v>
      </c>
      <c r="BY215" s="1425"/>
      <c r="BZ215" s="1425"/>
      <c r="CA215" s="1425"/>
      <c r="CB215" s="413"/>
      <c r="CC215" s="413"/>
      <c r="CD215" s="413"/>
      <c r="CE215" s="413"/>
      <c r="CF215" s="412"/>
    </row>
    <row r="216" spans="1:89" ht="14.25" hidden="1" customHeight="1" outlineLevel="1">
      <c r="B216" s="455" t="str">
        <f t="shared" si="1311"/>
        <v>Subtotal analog signal processing</v>
      </c>
      <c r="C216" s="367"/>
      <c r="D216" s="539"/>
      <c r="E216" s="557"/>
      <c r="F216" s="557"/>
      <c r="G216" s="558"/>
      <c r="H216" s="456">
        <f t="shared" ref="H216:AG216" si="1321">H203/H$140</f>
        <v>0.77099344982088514</v>
      </c>
      <c r="I216" s="457">
        <f t="shared" si="1321"/>
        <v>0.795479646985912</v>
      </c>
      <c r="J216" s="457">
        <f t="shared" si="1321"/>
        <v>0.80259302238214103</v>
      </c>
      <c r="K216" s="458">
        <f t="shared" si="1321"/>
        <v>0.79978482067295997</v>
      </c>
      <c r="L216" s="456">
        <f t="shared" si="1321"/>
        <v>0.79064613222836988</v>
      </c>
      <c r="M216" s="457">
        <f t="shared" si="1321"/>
        <v>0.85519420636235688</v>
      </c>
      <c r="N216" s="457">
        <f t="shared" si="1321"/>
        <v>0.85091775437255335</v>
      </c>
      <c r="O216" s="458">
        <f t="shared" si="1321"/>
        <v>0.84412918456174568</v>
      </c>
      <c r="P216" s="456">
        <f t="shared" si="1321"/>
        <v>0.84319174340170944</v>
      </c>
      <c r="Q216" s="457">
        <f t="shared" si="1321"/>
        <v>0.84705239165922308</v>
      </c>
      <c r="R216" s="457">
        <f t="shared" si="1321"/>
        <v>0.84021511837884277</v>
      </c>
      <c r="S216" s="458">
        <f t="shared" si="1321"/>
        <v>0.8383023357186965</v>
      </c>
      <c r="T216" s="456">
        <f t="shared" si="1321"/>
        <v>0.85484997975109589</v>
      </c>
      <c r="U216" s="457">
        <f t="shared" si="1321"/>
        <v>0.85859445432102932</v>
      </c>
      <c r="V216" s="457">
        <f t="shared" si="1321"/>
        <v>0.86222512200426427</v>
      </c>
      <c r="W216" s="458">
        <f t="shared" si="1321"/>
        <v>0.84690517844646584</v>
      </c>
      <c r="X216" s="456">
        <f t="shared" si="1321"/>
        <v>0.8479509372569376</v>
      </c>
      <c r="Y216" s="457">
        <f t="shared" si="1321"/>
        <v>0.84325990662037587</v>
      </c>
      <c r="Z216" s="457">
        <f t="shared" si="1321"/>
        <v>0.84188313040580898</v>
      </c>
      <c r="AA216" s="458">
        <f t="shared" si="1321"/>
        <v>0.8450759100767542</v>
      </c>
      <c r="AB216" s="456">
        <f t="shared" si="1321"/>
        <v>0.84996101599991203</v>
      </c>
      <c r="AC216" s="457">
        <f t="shared" si="1321"/>
        <v>0.85282885252535467</v>
      </c>
      <c r="AD216" s="457">
        <f t="shared" si="1321"/>
        <v>0.8461516132692618</v>
      </c>
      <c r="AE216" s="458">
        <f t="shared" si="1321"/>
        <v>0.84788601016010978</v>
      </c>
      <c r="AF216" s="456">
        <f t="shared" si="1321"/>
        <v>0.84220856775165198</v>
      </c>
      <c r="AG216" s="457">
        <f t="shared" si="1321"/>
        <v>0.84231677366411195</v>
      </c>
      <c r="AH216" s="457">
        <f t="shared" si="1313"/>
        <v>0.84740844418806904</v>
      </c>
      <c r="AI216" s="458">
        <f t="shared" si="1313"/>
        <v>0.85451332730904039</v>
      </c>
      <c r="AJ216" s="456">
        <f t="shared" si="1313"/>
        <v>0.85380802206598572</v>
      </c>
      <c r="AK216" s="457">
        <f t="shared" si="1313"/>
        <v>0.8473052711414486</v>
      </c>
      <c r="AL216" s="457">
        <f t="shared" si="1318"/>
        <v>0.84579751161424677</v>
      </c>
      <c r="AM216" s="458">
        <f t="shared" si="1318"/>
        <v>0.84810796702121849</v>
      </c>
      <c r="AN216" s="456">
        <f t="shared" si="1318"/>
        <v>0.85108509832261015</v>
      </c>
      <c r="AO216" s="457">
        <f t="shared" si="1318"/>
        <v>0.85280676595597638</v>
      </c>
      <c r="AP216" s="457">
        <f t="shared" si="1319"/>
        <v>0.84852944409634057</v>
      </c>
      <c r="AQ216" s="457">
        <f t="shared" si="1319"/>
        <v>0.86489848903342603</v>
      </c>
      <c r="AR216" s="456"/>
      <c r="AS216" s="459"/>
      <c r="AT216" s="459"/>
      <c r="AU216" s="458"/>
      <c r="AV216" s="459"/>
      <c r="AW216" s="459"/>
      <c r="AX216" s="459"/>
      <c r="AY216" s="460"/>
      <c r="AZ216" s="461"/>
      <c r="BA216" s="459"/>
      <c r="BB216" s="459"/>
      <c r="BC216" s="460"/>
      <c r="BD216" s="461"/>
      <c r="BE216" s="459"/>
      <c r="BF216" s="459"/>
      <c r="BG216" s="460"/>
      <c r="BH216" s="461"/>
      <c r="BI216" s="459"/>
      <c r="BJ216" s="459"/>
      <c r="BK216" s="460"/>
      <c r="BL216" s="461"/>
      <c r="BM216" s="459"/>
      <c r="BN216" s="459"/>
      <c r="BO216" s="460"/>
      <c r="BP216" s="424"/>
      <c r="BQ216" s="536"/>
      <c r="BR216" s="413">
        <f t="shared" si="1315"/>
        <v>0.79260102461928894</v>
      </c>
      <c r="BS216" s="263">
        <f t="shared" si="1315"/>
        <v>0.83492249224151538</v>
      </c>
      <c r="BT216" s="263">
        <f t="shared" si="1315"/>
        <v>0.84215219067021152</v>
      </c>
      <c r="BU216" s="1425">
        <f t="shared" si="1315"/>
        <v>0.85527924848181658</v>
      </c>
      <c r="BV216" s="1425">
        <f t="shared" si="1315"/>
        <v>0.84443145634822792</v>
      </c>
      <c r="BW216" s="1425">
        <f t="shared" si="1315"/>
        <v>0.84925768043510219</v>
      </c>
      <c r="BX216" s="1425">
        <f t="shared" si="1316"/>
        <v>0.84671631480314646</v>
      </c>
      <c r="BY216" s="1425"/>
      <c r="BZ216" s="1425"/>
      <c r="CA216" s="1425"/>
      <c r="CB216" s="413"/>
      <c r="CC216" s="413"/>
      <c r="CD216" s="413"/>
      <c r="CE216" s="413"/>
      <c r="CF216" s="412"/>
    </row>
    <row r="217" spans="1:89" ht="14.25" hidden="1" customHeight="1" outlineLevel="1">
      <c r="B217" s="455" t="str">
        <f t="shared" si="1311"/>
        <v>Power management &amp; reference</v>
      </c>
      <c r="C217" s="367"/>
      <c r="D217" s="539"/>
      <c r="E217" s="557"/>
      <c r="F217" s="557"/>
      <c r="G217" s="558"/>
      <c r="H217" s="456">
        <f t="shared" ref="H217:AG217" si="1322">H204/H$140</f>
        <v>9.7555629812477326E-2</v>
      </c>
      <c r="I217" s="457">
        <f t="shared" si="1322"/>
        <v>9.5200587202719969E-2</v>
      </c>
      <c r="J217" s="457">
        <f t="shared" si="1322"/>
        <v>9.1266707295693056E-2</v>
      </c>
      <c r="K217" s="458">
        <f t="shared" si="1322"/>
        <v>9.1916998510801567E-2</v>
      </c>
      <c r="L217" s="456">
        <f t="shared" si="1322"/>
        <v>8.1733770847804046E-2</v>
      </c>
      <c r="M217" s="457">
        <f t="shared" si="1322"/>
        <v>4.996460150330638E-2</v>
      </c>
      <c r="N217" s="457">
        <f t="shared" si="1322"/>
        <v>4.9299435888382669E-2</v>
      </c>
      <c r="O217" s="458">
        <f t="shared" si="1322"/>
        <v>2.0242421520924033E-2</v>
      </c>
      <c r="P217" s="456">
        <f t="shared" si="1322"/>
        <v>5.4429891075061611E-2</v>
      </c>
      <c r="Q217" s="457">
        <f t="shared" si="1322"/>
        <v>5.3440416422829332E-2</v>
      </c>
      <c r="R217" s="457">
        <f t="shared" si="1322"/>
        <v>5.5652168634842014E-2</v>
      </c>
      <c r="S217" s="458">
        <f t="shared" si="1322"/>
        <v>5.8698705607420069E-2</v>
      </c>
      <c r="T217" s="456">
        <f t="shared" si="1322"/>
        <v>5.400686993908542E-2</v>
      </c>
      <c r="U217" s="457">
        <f t="shared" si="1322"/>
        <v>5.9351487526013803E-2</v>
      </c>
      <c r="V217" s="457">
        <f t="shared" si="1322"/>
        <v>5.6885186924151052E-2</v>
      </c>
      <c r="W217" s="458">
        <f t="shared" si="1322"/>
        <v>6.3603918824352679E-2</v>
      </c>
      <c r="X217" s="456">
        <f t="shared" si="1322"/>
        <v>6.5010124663547733E-2</v>
      </c>
      <c r="Y217" s="457">
        <f t="shared" si="1322"/>
        <v>6.958577756494673E-2</v>
      </c>
      <c r="Z217" s="457">
        <f t="shared" si="1322"/>
        <v>7.413680600869095E-2</v>
      </c>
      <c r="AA217" s="458">
        <f t="shared" si="1322"/>
        <v>7.2338601800023383E-2</v>
      </c>
      <c r="AB217" s="456">
        <f t="shared" si="1322"/>
        <v>7.3300901573635835E-2</v>
      </c>
      <c r="AC217" s="457">
        <f t="shared" si="1322"/>
        <v>7.0942613621993472E-2</v>
      </c>
      <c r="AD217" s="457">
        <f t="shared" si="1322"/>
        <v>7.2568748993933244E-2</v>
      </c>
      <c r="AE217" s="458">
        <f t="shared" si="1322"/>
        <v>7.4148134287717105E-2</v>
      </c>
      <c r="AF217" s="456">
        <f t="shared" si="1322"/>
        <v>6.9283922118082028E-2</v>
      </c>
      <c r="AG217" s="457">
        <f t="shared" si="1322"/>
        <v>6.8227535720951457E-2</v>
      </c>
      <c r="AH217" s="457">
        <f t="shared" si="1313"/>
        <v>6.6470383265058733E-2</v>
      </c>
      <c r="AI217" s="458">
        <f t="shared" si="1313"/>
        <v>6.5914205627917416E-2</v>
      </c>
      <c r="AJ217" s="456">
        <f t="shared" si="1313"/>
        <v>6.342685016411255E-2</v>
      </c>
      <c r="AK217" s="457">
        <f t="shared" si="1313"/>
        <v>6.6170648464163817E-2</v>
      </c>
      <c r="AL217" s="457">
        <f t="shared" si="1318"/>
        <v>6.7654841791115611E-2</v>
      </c>
      <c r="AM217" s="458">
        <f t="shared" si="1318"/>
        <v>6.5217295132370789E-2</v>
      </c>
      <c r="AN217" s="456">
        <f t="shared" si="1318"/>
        <v>6.1616775807894458E-2</v>
      </c>
      <c r="AO217" s="457">
        <f t="shared" si="1318"/>
        <v>6.211053134754714E-2</v>
      </c>
      <c r="AP217" s="457">
        <f t="shared" si="1319"/>
        <v>6.3088799481141933E-2</v>
      </c>
      <c r="AQ217" s="457">
        <f t="shared" si="1319"/>
        <v>5.7380622833120676E-2</v>
      </c>
      <c r="AR217" s="456"/>
      <c r="AS217" s="459"/>
      <c r="AT217" s="459"/>
      <c r="AU217" s="458"/>
      <c r="AV217" s="459"/>
      <c r="AW217" s="459"/>
      <c r="AX217" s="459"/>
      <c r="AY217" s="460"/>
      <c r="AZ217" s="461"/>
      <c r="BA217" s="459"/>
      <c r="BB217" s="459"/>
      <c r="BC217" s="460"/>
      <c r="BD217" s="461"/>
      <c r="BE217" s="459"/>
      <c r="BF217" s="459"/>
      <c r="BG217" s="460"/>
      <c r="BH217" s="461"/>
      <c r="BI217" s="459"/>
      <c r="BJ217" s="459"/>
      <c r="BK217" s="460"/>
      <c r="BL217" s="461"/>
      <c r="BM217" s="459"/>
      <c r="BN217" s="459"/>
      <c r="BO217" s="460"/>
      <c r="BP217" s="424"/>
      <c r="BQ217" s="536"/>
      <c r="BR217" s="413">
        <f t="shared" si="1315"/>
        <v>9.3899959836426281E-2</v>
      </c>
      <c r="BS217" s="263">
        <f t="shared" si="1315"/>
        <v>5.0350932215045843E-2</v>
      </c>
      <c r="BT217" s="263">
        <f t="shared" si="1315"/>
        <v>5.5584914966756757E-2</v>
      </c>
      <c r="BU217" s="1425">
        <f t="shared" si="1315"/>
        <v>5.8691513458679005E-2</v>
      </c>
      <c r="BV217" s="1425">
        <f t="shared" si="1315"/>
        <v>7.0541295808840346E-2</v>
      </c>
      <c r="BW217" s="1425">
        <f t="shared" si="1315"/>
        <v>7.2695201314927904E-2</v>
      </c>
      <c r="BX217" s="1425">
        <f t="shared" si="1316"/>
        <v>6.7441474754011466E-2</v>
      </c>
      <c r="BY217" s="1425"/>
      <c r="BZ217" s="1425"/>
      <c r="CA217" s="1425"/>
      <c r="CB217" s="413"/>
      <c r="CC217" s="413"/>
      <c r="CD217" s="413"/>
      <c r="CE217" s="413"/>
      <c r="CF217" s="412"/>
    </row>
    <row r="218" spans="1:89" ht="14.25" hidden="1" customHeight="1" outlineLevel="1">
      <c r="B218" s="455" t="str">
        <f t="shared" si="1311"/>
        <v>Total analog products</v>
      </c>
      <c r="C218" s="367"/>
      <c r="D218" s="539"/>
      <c r="E218" s="557"/>
      <c r="F218" s="557"/>
      <c r="G218" s="558"/>
      <c r="H218" s="456">
        <f t="shared" ref="H218:AG218" si="1323">H205/H$140</f>
        <v>0.86854907963336248</v>
      </c>
      <c r="I218" s="457">
        <f t="shared" si="1323"/>
        <v>0.89068023418863196</v>
      </c>
      <c r="J218" s="457">
        <f t="shared" si="1323"/>
        <v>0.89385972967783411</v>
      </c>
      <c r="K218" s="458">
        <f t="shared" si="1323"/>
        <v>0.89170181918376157</v>
      </c>
      <c r="L218" s="456">
        <f t="shared" si="1323"/>
        <v>0.87237990307617386</v>
      </c>
      <c r="M218" s="457">
        <f t="shared" si="1323"/>
        <v>0.90515880786566316</v>
      </c>
      <c r="N218" s="457">
        <f t="shared" si="1323"/>
        <v>0.90021719026093594</v>
      </c>
      <c r="O218" s="458">
        <f t="shared" si="1323"/>
        <v>0.86437160608266961</v>
      </c>
      <c r="P218" s="456">
        <f t="shared" si="1323"/>
        <v>0.89762163447677101</v>
      </c>
      <c r="Q218" s="457">
        <f t="shared" si="1323"/>
        <v>0.90049280808205245</v>
      </c>
      <c r="R218" s="457">
        <f t="shared" si="1323"/>
        <v>0.89586728701368468</v>
      </c>
      <c r="S218" s="458">
        <f t="shared" si="1323"/>
        <v>0.89700104132611669</v>
      </c>
      <c r="T218" s="456">
        <f t="shared" si="1323"/>
        <v>0.90885684969018132</v>
      </c>
      <c r="U218" s="457">
        <f t="shared" si="1323"/>
        <v>0.91794594184704326</v>
      </c>
      <c r="V218" s="457">
        <f t="shared" si="1323"/>
        <v>0.91911030892841539</v>
      </c>
      <c r="W218" s="458">
        <f t="shared" si="1323"/>
        <v>0.91050909727081852</v>
      </c>
      <c r="X218" s="456">
        <f t="shared" si="1323"/>
        <v>0.91296106192048543</v>
      </c>
      <c r="Y218" s="457">
        <f t="shared" si="1323"/>
        <v>0.91284568418532264</v>
      </c>
      <c r="Z218" s="457">
        <f t="shared" si="1323"/>
        <v>0.91601993641449986</v>
      </c>
      <c r="AA218" s="458">
        <f t="shared" si="1323"/>
        <v>0.91741451187677758</v>
      </c>
      <c r="AB218" s="456">
        <f t="shared" si="1323"/>
        <v>0.92326191757354781</v>
      </c>
      <c r="AC218" s="457">
        <f t="shared" si="1323"/>
        <v>0.92377146614734817</v>
      </c>
      <c r="AD218" s="457">
        <f t="shared" si="1323"/>
        <v>0.91872036226319498</v>
      </c>
      <c r="AE218" s="458">
        <f t="shared" si="1323"/>
        <v>0.92203414444782683</v>
      </c>
      <c r="AF218" s="456">
        <f t="shared" si="1323"/>
        <v>0.91149248986973397</v>
      </c>
      <c r="AG218" s="457">
        <f t="shared" si="1323"/>
        <v>0.91054430938506326</v>
      </c>
      <c r="AH218" s="457">
        <f t="shared" si="1313"/>
        <v>0.91387882745312776</v>
      </c>
      <c r="AI218" s="458">
        <f t="shared" si="1313"/>
        <v>0.92042753293695778</v>
      </c>
      <c r="AJ218" s="456">
        <f t="shared" si="1313"/>
        <v>0.91723487223009836</v>
      </c>
      <c r="AK218" s="457">
        <f t="shared" si="1313"/>
        <v>0.91347591960561247</v>
      </c>
      <c r="AL218" s="457">
        <f t="shared" si="1318"/>
        <v>0.91345235340536235</v>
      </c>
      <c r="AM218" s="458">
        <f t="shared" si="1318"/>
        <v>0.91332526215358933</v>
      </c>
      <c r="AN218" s="456">
        <f t="shared" si="1318"/>
        <v>0.91270187413050463</v>
      </c>
      <c r="AO218" s="457">
        <f t="shared" si="1318"/>
        <v>0.91491729730352356</v>
      </c>
      <c r="AP218" s="457">
        <f t="shared" si="1319"/>
        <v>0.91161824357748256</v>
      </c>
      <c r="AQ218" s="457">
        <f t="shared" si="1319"/>
        <v>0.92227911186654665</v>
      </c>
      <c r="AR218" s="456"/>
      <c r="AS218" s="459"/>
      <c r="AT218" s="459"/>
      <c r="AU218" s="458"/>
      <c r="AV218" s="459"/>
      <c r="AW218" s="459"/>
      <c r="AX218" s="459"/>
      <c r="AY218" s="460"/>
      <c r="AZ218" s="461"/>
      <c r="BA218" s="459"/>
      <c r="BB218" s="459"/>
      <c r="BC218" s="460"/>
      <c r="BD218" s="461"/>
      <c r="BE218" s="459"/>
      <c r="BF218" s="459"/>
      <c r="BG218" s="460"/>
      <c r="BH218" s="461"/>
      <c r="BI218" s="459"/>
      <c r="BJ218" s="459"/>
      <c r="BK218" s="460"/>
      <c r="BL218" s="461"/>
      <c r="BM218" s="459"/>
      <c r="BN218" s="459"/>
      <c r="BO218" s="460"/>
      <c r="BP218" s="424"/>
      <c r="BQ218" s="536"/>
      <c r="BR218" s="413">
        <f t="shared" si="1315"/>
        <v>0.88650098445571535</v>
      </c>
      <c r="BS218" s="263">
        <f t="shared" si="1315"/>
        <v>0.88527342445656132</v>
      </c>
      <c r="BT218" s="263">
        <f t="shared" si="1315"/>
        <v>0.89773710563696829</v>
      </c>
      <c r="BU218" s="1425">
        <f t="shared" si="1315"/>
        <v>0.91397076194049565</v>
      </c>
      <c r="BV218" s="1425">
        <f t="shared" si="1315"/>
        <v>0.9149727521570683</v>
      </c>
      <c r="BW218" s="1425">
        <f t="shared" si="1315"/>
        <v>0.9219528817500301</v>
      </c>
      <c r="BX218" s="1425">
        <f t="shared" si="1316"/>
        <v>0.91415778955715776</v>
      </c>
      <c r="BY218" s="1425"/>
      <c r="BZ218" s="1425"/>
      <c r="CA218" s="1425"/>
      <c r="CB218" s="413"/>
      <c r="CC218" s="413"/>
      <c r="CD218" s="413"/>
      <c r="CE218" s="413"/>
      <c r="CF218" s="412"/>
    </row>
    <row r="219" spans="1:89" ht="14.25" hidden="1" customHeight="1" outlineLevel="1">
      <c r="B219" s="455" t="str">
        <f t="shared" si="1311"/>
        <v>Digital signal processing</v>
      </c>
      <c r="C219" s="367"/>
      <c r="D219" s="539"/>
      <c r="E219" s="557"/>
      <c r="F219" s="557"/>
      <c r="G219" s="558"/>
      <c r="H219" s="456">
        <f t="shared" ref="H219:AG219" si="1324">H206/H$140</f>
        <v>0.24764383984937824</v>
      </c>
      <c r="I219" s="457">
        <f t="shared" si="1324"/>
        <v>0.22395240057196866</v>
      </c>
      <c r="J219" s="457">
        <f t="shared" si="1324"/>
        <v>0.2142440913986125</v>
      </c>
      <c r="K219" s="458">
        <f t="shared" si="1324"/>
        <v>0.16478603433684755</v>
      </c>
      <c r="L219" s="456">
        <f t="shared" si="1324"/>
        <v>7.4997006059735097E-2</v>
      </c>
      <c r="M219" s="457">
        <f t="shared" si="1324"/>
        <v>9.484119213433688E-2</v>
      </c>
      <c r="N219" s="457">
        <f t="shared" si="1324"/>
        <v>9.9782809739063963E-2</v>
      </c>
      <c r="O219" s="458">
        <f t="shared" si="1324"/>
        <v>0.1323503468892232</v>
      </c>
      <c r="P219" s="456">
        <f t="shared" si="1324"/>
        <v>0.10237836552322901</v>
      </c>
      <c r="Q219" s="457">
        <f t="shared" si="1324"/>
        <v>9.9507191917947463E-2</v>
      </c>
      <c r="R219" s="457">
        <f t="shared" si="1324"/>
        <v>0.10413271298631534</v>
      </c>
      <c r="S219" s="458">
        <f t="shared" si="1324"/>
        <v>0.10299895867388327</v>
      </c>
      <c r="T219" s="456">
        <f t="shared" si="1324"/>
        <v>9.1143150309818718E-2</v>
      </c>
      <c r="U219" s="457">
        <f t="shared" si="1324"/>
        <v>8.2054058152956938E-2</v>
      </c>
      <c r="V219" s="457">
        <f t="shared" si="1324"/>
        <v>8.0889691071584641E-2</v>
      </c>
      <c r="W219" s="458">
        <f t="shared" si="1324"/>
        <v>8.9490902729181282E-2</v>
      </c>
      <c r="X219" s="456">
        <f t="shared" si="1324"/>
        <v>8.7067131245822854E-2</v>
      </c>
      <c r="Y219" s="457">
        <f t="shared" si="1324"/>
        <v>8.7094457081288157E-2</v>
      </c>
      <c r="Z219" s="457">
        <f t="shared" si="1324"/>
        <v>8.3993946882505666E-2</v>
      </c>
      <c r="AA219" s="458">
        <f t="shared" si="1324"/>
        <v>8.2598475304874089E-2</v>
      </c>
      <c r="AB219" s="456">
        <f t="shared" si="1324"/>
        <v>7.6732591722214291E-2</v>
      </c>
      <c r="AC219" s="457">
        <f t="shared" si="1324"/>
        <v>7.6253825337009029E-2</v>
      </c>
      <c r="AD219" s="457">
        <f t="shared" si="1324"/>
        <v>8.1276998873205233E-2</v>
      </c>
      <c r="AE219" s="458">
        <f t="shared" si="1324"/>
        <v>7.7918378404041699E-2</v>
      </c>
      <c r="AF219" s="456">
        <f t="shared" si="1324"/>
        <v>8.8572319144274117E-2</v>
      </c>
      <c r="AG219" s="457">
        <f t="shared" si="1324"/>
        <v>8.9455690614936578E-2</v>
      </c>
      <c r="AH219" s="457">
        <f t="shared" si="1313"/>
        <v>8.6121172546872307E-2</v>
      </c>
      <c r="AI219" s="458">
        <f t="shared" si="1313"/>
        <v>7.9572467063042107E-2</v>
      </c>
      <c r="AJ219" s="456">
        <f t="shared" si="1313"/>
        <v>8.2765127769901664E-2</v>
      </c>
      <c r="AK219" s="457">
        <f t="shared" si="1313"/>
        <v>8.6524080394387554E-2</v>
      </c>
      <c r="AL219" s="457">
        <f t="shared" si="1318"/>
        <v>8.6547646594637567E-2</v>
      </c>
      <c r="AM219" s="458">
        <f t="shared" si="1318"/>
        <v>8.6674737846410652E-2</v>
      </c>
      <c r="AN219" s="456">
        <f t="shared" si="1318"/>
        <v>8.7298125869495313E-2</v>
      </c>
      <c r="AO219" s="457">
        <f t="shared" si="1318"/>
        <v>8.5082702696476512E-2</v>
      </c>
      <c r="AP219" s="457">
        <f t="shared" si="1319"/>
        <v>8.8381756422517554E-2</v>
      </c>
      <c r="AQ219" s="457">
        <f t="shared" si="1319"/>
        <v>7.7720888133453361E-2</v>
      </c>
      <c r="AR219" s="456"/>
      <c r="AS219" s="459"/>
      <c r="AT219" s="459"/>
      <c r="AU219" s="458"/>
      <c r="AV219" s="459"/>
      <c r="AW219" s="459"/>
      <c r="AX219" s="459"/>
      <c r="AY219" s="460"/>
      <c r="AZ219" s="461"/>
      <c r="BA219" s="459"/>
      <c r="BB219" s="459"/>
      <c r="BC219" s="460"/>
      <c r="BD219" s="461"/>
      <c r="BE219" s="459"/>
      <c r="BF219" s="459"/>
      <c r="BG219" s="460"/>
      <c r="BH219" s="461"/>
      <c r="BI219" s="459"/>
      <c r="BJ219" s="459"/>
      <c r="BK219" s="460"/>
      <c r="BL219" s="461"/>
      <c r="BM219" s="459"/>
      <c r="BN219" s="459"/>
      <c r="BO219" s="460"/>
      <c r="BP219" s="424"/>
      <c r="BQ219" s="536"/>
      <c r="BR219" s="413">
        <f t="shared" si="1315"/>
        <v>0.21170172763121561</v>
      </c>
      <c r="BS219" s="263">
        <f t="shared" si="1315"/>
        <v>0.10052618531671537</v>
      </c>
      <c r="BT219" s="263">
        <f t="shared" si="1315"/>
        <v>0.10226289436303175</v>
      </c>
      <c r="BU219" s="1425">
        <f t="shared" si="1315"/>
        <v>8.6029238059504465E-2</v>
      </c>
      <c r="BV219" s="1425">
        <f t="shared" si="1315"/>
        <v>8.502616147800672E-2</v>
      </c>
      <c r="BW219" s="1425">
        <f t="shared" si="1315"/>
        <v>7.8040436705731409E-2</v>
      </c>
      <c r="BX219" s="1425">
        <f t="shared" si="1316"/>
        <v>8.5857759421755692E-2</v>
      </c>
      <c r="BY219" s="1425"/>
      <c r="BZ219" s="1425"/>
      <c r="CA219" s="1425"/>
      <c r="CB219" s="413"/>
      <c r="CC219" s="413"/>
      <c r="CD219" s="413"/>
      <c r="CE219" s="413"/>
      <c r="CF219" s="412"/>
    </row>
    <row r="220" spans="1:89" ht="14.25" hidden="1" customHeight="1" outlineLevel="1">
      <c r="B220" s="455" t="s">
        <v>300</v>
      </c>
      <c r="C220" s="367"/>
      <c r="D220" s="539"/>
      <c r="E220" s="557"/>
      <c r="F220" s="557"/>
      <c r="G220" s="558"/>
      <c r="H220" s="456">
        <f t="shared" ref="H220:AG220" si="1325">H207/H$140</f>
        <v>0</v>
      </c>
      <c r="I220" s="457">
        <f t="shared" si="1325"/>
        <v>0</v>
      </c>
      <c r="J220" s="457">
        <f t="shared" si="1325"/>
        <v>0</v>
      </c>
      <c r="K220" s="458">
        <f t="shared" si="1325"/>
        <v>0</v>
      </c>
      <c r="L220" s="456">
        <f t="shared" si="1325"/>
        <v>5.5886884944871582E-2</v>
      </c>
      <c r="M220" s="457">
        <f t="shared" si="1325"/>
        <v>0</v>
      </c>
      <c r="N220" s="457">
        <f t="shared" si="1325"/>
        <v>0</v>
      </c>
      <c r="O220" s="458">
        <f t="shared" si="1325"/>
        <v>0</v>
      </c>
      <c r="P220" s="456">
        <f t="shared" si="1325"/>
        <v>0</v>
      </c>
      <c r="Q220" s="457">
        <f t="shared" si="1325"/>
        <v>0</v>
      </c>
      <c r="R220" s="457">
        <f t="shared" si="1325"/>
        <v>0</v>
      </c>
      <c r="S220" s="458">
        <f t="shared" si="1325"/>
        <v>0</v>
      </c>
      <c r="T220" s="456">
        <f t="shared" si="1325"/>
        <v>0</v>
      </c>
      <c r="U220" s="457">
        <f t="shared" si="1325"/>
        <v>0</v>
      </c>
      <c r="V220" s="457">
        <f t="shared" si="1325"/>
        <v>0</v>
      </c>
      <c r="W220" s="458">
        <f t="shared" si="1325"/>
        <v>0</v>
      </c>
      <c r="X220" s="456">
        <f t="shared" si="1325"/>
        <v>0</v>
      </c>
      <c r="Y220" s="457">
        <f t="shared" si="1325"/>
        <v>0</v>
      </c>
      <c r="Z220" s="457">
        <f t="shared" si="1325"/>
        <v>0</v>
      </c>
      <c r="AA220" s="458">
        <f t="shared" si="1325"/>
        <v>0</v>
      </c>
      <c r="AB220" s="456">
        <f t="shared" si="1325"/>
        <v>0</v>
      </c>
      <c r="AC220" s="457">
        <f t="shared" si="1325"/>
        <v>0</v>
      </c>
      <c r="AD220" s="457">
        <f t="shared" si="1325"/>
        <v>0</v>
      </c>
      <c r="AE220" s="458">
        <f t="shared" si="1325"/>
        <v>0</v>
      </c>
      <c r="AF220" s="456">
        <f t="shared" si="1325"/>
        <v>0</v>
      </c>
      <c r="AG220" s="457">
        <f t="shared" si="1325"/>
        <v>0</v>
      </c>
      <c r="AH220" s="457">
        <f t="shared" si="1313"/>
        <v>0</v>
      </c>
      <c r="AI220" s="458">
        <f t="shared" si="1313"/>
        <v>0</v>
      </c>
      <c r="AJ220" s="456">
        <f t="shared" si="1313"/>
        <v>0</v>
      </c>
      <c r="AK220" s="457">
        <f t="shared" si="1313"/>
        <v>0</v>
      </c>
      <c r="AL220" s="457">
        <f t="shared" si="1318"/>
        <v>0</v>
      </c>
      <c r="AM220" s="458">
        <f t="shared" si="1318"/>
        <v>0</v>
      </c>
      <c r="AN220" s="456">
        <f t="shared" si="1318"/>
        <v>0</v>
      </c>
      <c r="AO220" s="457">
        <f t="shared" si="1318"/>
        <v>0</v>
      </c>
      <c r="AP220" s="457">
        <f t="shared" si="1319"/>
        <v>0</v>
      </c>
      <c r="AQ220" s="457">
        <f t="shared" si="1319"/>
        <v>0</v>
      </c>
      <c r="AR220" s="456"/>
      <c r="AS220" s="459"/>
      <c r="AT220" s="459"/>
      <c r="AU220" s="458"/>
      <c r="AV220" s="459"/>
      <c r="AW220" s="459"/>
      <c r="AX220" s="459"/>
      <c r="AY220" s="460"/>
      <c r="AZ220" s="461"/>
      <c r="BA220" s="459"/>
      <c r="BB220" s="459"/>
      <c r="BC220" s="460"/>
      <c r="BD220" s="461"/>
      <c r="BE220" s="459"/>
      <c r="BF220" s="459"/>
      <c r="BG220" s="460"/>
      <c r="BH220" s="461"/>
      <c r="BI220" s="459"/>
      <c r="BJ220" s="459"/>
      <c r="BK220" s="460"/>
      <c r="BL220" s="461"/>
      <c r="BM220" s="459"/>
      <c r="BN220" s="459"/>
      <c r="BO220" s="460"/>
      <c r="BP220" s="424"/>
      <c r="BQ220" s="536"/>
      <c r="BR220" s="413">
        <f t="shared" si="1315"/>
        <v>0</v>
      </c>
      <c r="BS220" s="263">
        <f t="shared" si="1315"/>
        <v>1.420039022672343E-2</v>
      </c>
      <c r="BT220" s="263">
        <f t="shared" si="1315"/>
        <v>0</v>
      </c>
      <c r="BU220" s="1425">
        <f t="shared" si="1315"/>
        <v>0</v>
      </c>
      <c r="BV220" s="1425">
        <f t="shared" si="1315"/>
        <v>0</v>
      </c>
      <c r="BW220" s="1425">
        <f t="shared" si="1315"/>
        <v>0</v>
      </c>
      <c r="BX220" s="1425">
        <f t="shared" si="1316"/>
        <v>0</v>
      </c>
      <c r="BY220" s="1425"/>
      <c r="BZ220" s="1425"/>
      <c r="CA220" s="1425"/>
      <c r="CB220" s="413"/>
      <c r="CC220" s="413"/>
      <c r="CD220" s="413"/>
      <c r="CE220" s="413"/>
      <c r="CF220" s="412"/>
    </row>
    <row r="221" spans="1:89" ht="14.25" hidden="1" customHeight="1" outlineLevel="1">
      <c r="A221" s="106"/>
      <c r="B221" s="463" t="s">
        <v>207</v>
      </c>
      <c r="C221" s="433"/>
      <c r="D221" s="540"/>
      <c r="E221" s="559"/>
      <c r="F221" s="559"/>
      <c r="G221" s="560"/>
      <c r="H221" s="464">
        <f>SUM(H218:H220)</f>
        <v>1.1161929194827407</v>
      </c>
      <c r="I221" s="465">
        <f t="shared" ref="I221:AO221" si="1326">SUM(I218:I220)</f>
        <v>1.1146326347606006</v>
      </c>
      <c r="J221" s="465">
        <f t="shared" si="1326"/>
        <v>1.1081038210764467</v>
      </c>
      <c r="K221" s="466">
        <f t="shared" si="1326"/>
        <v>1.056487853520609</v>
      </c>
      <c r="L221" s="464">
        <f>SUM(L218:L220)</f>
        <v>1.0032637940807805</v>
      </c>
      <c r="M221" s="465">
        <f>SUM(M218:M220)</f>
        <v>1</v>
      </c>
      <c r="N221" s="465">
        <f t="shared" si="1326"/>
        <v>0.99999999999999989</v>
      </c>
      <c r="O221" s="466">
        <f t="shared" si="1326"/>
        <v>0.99672195297189281</v>
      </c>
      <c r="P221" s="464">
        <f t="shared" si="1326"/>
        <v>1</v>
      </c>
      <c r="Q221" s="465">
        <f t="shared" si="1326"/>
        <v>0.99999999999999989</v>
      </c>
      <c r="R221" s="465">
        <f t="shared" si="1326"/>
        <v>1</v>
      </c>
      <c r="S221" s="466">
        <f t="shared" si="1326"/>
        <v>1</v>
      </c>
      <c r="T221" s="464">
        <f t="shared" si="1326"/>
        <v>1</v>
      </c>
      <c r="U221" s="465">
        <f t="shared" si="1326"/>
        <v>1.0000000000000002</v>
      </c>
      <c r="V221" s="465">
        <f t="shared" si="1326"/>
        <v>1</v>
      </c>
      <c r="W221" s="466">
        <f t="shared" si="1326"/>
        <v>0.99999999999999978</v>
      </c>
      <c r="X221" s="464">
        <f t="shared" si="1326"/>
        <v>1.0000281931663082</v>
      </c>
      <c r="Y221" s="465">
        <f t="shared" si="1326"/>
        <v>0.99994014126661079</v>
      </c>
      <c r="Z221" s="465">
        <f t="shared" si="1326"/>
        <v>1.0000138832970056</v>
      </c>
      <c r="AA221" s="466">
        <f t="shared" si="1326"/>
        <v>1.0000129871816517</v>
      </c>
      <c r="AB221" s="464">
        <f t="shared" si="1326"/>
        <v>0.99999450929576206</v>
      </c>
      <c r="AC221" s="465">
        <f t="shared" si="1326"/>
        <v>1.0000252914843573</v>
      </c>
      <c r="AD221" s="465">
        <f t="shared" si="1326"/>
        <v>0.99999736113640025</v>
      </c>
      <c r="AE221" s="466">
        <f t="shared" si="1326"/>
        <v>0.99995252285186853</v>
      </c>
      <c r="AF221" s="464">
        <f t="shared" si="1326"/>
        <v>1.0000648090140081</v>
      </c>
      <c r="AG221" s="465">
        <f t="shared" si="1326"/>
        <v>0.99999999999999978</v>
      </c>
      <c r="AH221" s="465">
        <f t="shared" si="1326"/>
        <v>1</v>
      </c>
      <c r="AI221" s="466">
        <f t="shared" si="1326"/>
        <v>0.99999999999999989</v>
      </c>
      <c r="AJ221" s="464">
        <f t="shared" si="1326"/>
        <v>1</v>
      </c>
      <c r="AK221" s="465">
        <f t="shared" si="1326"/>
        <v>1</v>
      </c>
      <c r="AL221" s="465">
        <f t="shared" si="1326"/>
        <v>0.99999999999999989</v>
      </c>
      <c r="AM221" s="466">
        <f t="shared" si="1326"/>
        <v>1</v>
      </c>
      <c r="AN221" s="464">
        <f>SUM(AN218:AN220)</f>
        <v>1</v>
      </c>
      <c r="AO221" s="465">
        <f t="shared" si="1326"/>
        <v>1</v>
      </c>
      <c r="AP221" s="465">
        <f>SUM(AP218:AP220)</f>
        <v>1</v>
      </c>
      <c r="AQ221" s="465">
        <f>SUM(AQ218:AQ220)</f>
        <v>1</v>
      </c>
      <c r="AR221" s="464"/>
      <c r="AS221" s="467"/>
      <c r="AT221" s="467"/>
      <c r="AU221" s="466"/>
      <c r="AV221" s="467"/>
      <c r="AW221" s="467"/>
      <c r="AX221" s="467"/>
      <c r="AY221" s="468"/>
      <c r="AZ221" s="469"/>
      <c r="BA221" s="467"/>
      <c r="BB221" s="467"/>
      <c r="BC221" s="468"/>
      <c r="BD221" s="469"/>
      <c r="BE221" s="467"/>
      <c r="BF221" s="467"/>
      <c r="BG221" s="468"/>
      <c r="BH221" s="469"/>
      <c r="BI221" s="467"/>
      <c r="BJ221" s="467"/>
      <c r="BK221" s="468"/>
      <c r="BL221" s="469"/>
      <c r="BM221" s="467"/>
      <c r="BN221" s="467"/>
      <c r="BO221" s="468"/>
      <c r="BP221" s="440"/>
      <c r="BQ221" s="537"/>
      <c r="BR221" s="470">
        <f t="shared" ref="BR221:BX221" si="1327">SUM(BR218:BR220)</f>
        <v>1.0982027120869309</v>
      </c>
      <c r="BS221" s="471">
        <f t="shared" si="1327"/>
        <v>1</v>
      </c>
      <c r="BT221" s="471">
        <f t="shared" si="1327"/>
        <v>1</v>
      </c>
      <c r="BU221" s="471">
        <f t="shared" si="1327"/>
        <v>1</v>
      </c>
      <c r="BV221" s="471">
        <f t="shared" si="1327"/>
        <v>0.99999891363507498</v>
      </c>
      <c r="BW221" s="471">
        <f t="shared" si="1327"/>
        <v>0.99999331845576145</v>
      </c>
      <c r="BX221" s="471">
        <f t="shared" si="1327"/>
        <v>1.0000155489789135</v>
      </c>
      <c r="BY221" s="471"/>
      <c r="BZ221" s="471"/>
      <c r="CA221" s="471"/>
      <c r="CB221" s="470"/>
      <c r="CC221" s="470"/>
      <c r="CD221" s="470"/>
      <c r="CE221" s="470"/>
      <c r="CF221" s="1456"/>
      <c r="CG221" s="106"/>
      <c r="CH221" s="106"/>
      <c r="CI221" s="106"/>
      <c r="CJ221" s="106"/>
      <c r="CK221" s="106"/>
    </row>
    <row r="222" spans="1:89" ht="14.25" hidden="1" customHeight="1" outlineLevel="1">
      <c r="B222" s="366"/>
      <c r="AU222" s="1032"/>
      <c r="BQ222" s="8"/>
      <c r="BR222" s="8"/>
      <c r="BS222" s="8"/>
      <c r="BT222" s="8"/>
      <c r="BU222" s="8"/>
      <c r="BV222" s="8"/>
      <c r="BW222" s="8"/>
      <c r="BX222" s="8"/>
      <c r="BY222" s="8"/>
      <c r="BZ222" s="8"/>
      <c r="CA222" s="8"/>
      <c r="CB222" s="8"/>
      <c r="CC222" s="17"/>
      <c r="CD222" s="17"/>
      <c r="CE222" s="17"/>
      <c r="CF222" s="8"/>
    </row>
    <row r="223" spans="1:89" ht="14.25" hidden="1" customHeight="1" outlineLevel="2">
      <c r="A223" s="8"/>
      <c r="B223" s="313" t="s">
        <v>206</v>
      </c>
      <c r="C223" s="314"/>
      <c r="D223" s="553"/>
      <c r="E223" s="554"/>
      <c r="F223" s="554"/>
      <c r="G223" s="554"/>
      <c r="H223" s="443">
        <f>IF(ROUND(H221,1)=1,"OK",H221)</f>
        <v>1.1161929194827407</v>
      </c>
      <c r="I223" s="444">
        <f>IF(ROUND(I221,1)=1,"OK",I221)</f>
        <v>1.1146326347606006</v>
      </c>
      <c r="J223" s="444">
        <f>IF(ROUND(J221,1)=1,"OK",J221)</f>
        <v>1.1081038210764467</v>
      </c>
      <c r="K223" s="444">
        <f>IF(ROUND(K221,1)=1,"OK",K221)</f>
        <v>1.056487853520609</v>
      </c>
      <c r="L223" s="443" t="str">
        <f>IF(ROUND(L221,1)=1,"OK",L221)</f>
        <v>OK</v>
      </c>
      <c r="M223" s="444" t="str">
        <f t="shared" ref="M223:AC223" si="1328">IF(ROUND(M221,1)=1,"OK",M221)</f>
        <v>OK</v>
      </c>
      <c r="N223" s="444" t="str">
        <f t="shared" si="1328"/>
        <v>OK</v>
      </c>
      <c r="O223" s="444" t="str">
        <f t="shared" si="1328"/>
        <v>OK</v>
      </c>
      <c r="P223" s="443" t="str">
        <f t="shared" si="1328"/>
        <v>OK</v>
      </c>
      <c r="Q223" s="444" t="str">
        <f t="shared" si="1328"/>
        <v>OK</v>
      </c>
      <c r="R223" s="444" t="str">
        <f t="shared" si="1328"/>
        <v>OK</v>
      </c>
      <c r="S223" s="444" t="str">
        <f t="shared" si="1328"/>
        <v>OK</v>
      </c>
      <c r="T223" s="443" t="str">
        <f t="shared" si="1328"/>
        <v>OK</v>
      </c>
      <c r="U223" s="444" t="str">
        <f t="shared" si="1328"/>
        <v>OK</v>
      </c>
      <c r="V223" s="444" t="str">
        <f t="shared" si="1328"/>
        <v>OK</v>
      </c>
      <c r="W223" s="444" t="str">
        <f t="shared" si="1328"/>
        <v>OK</v>
      </c>
      <c r="X223" s="443" t="str">
        <f t="shared" si="1328"/>
        <v>OK</v>
      </c>
      <c r="Y223" s="444" t="str">
        <f t="shared" si="1328"/>
        <v>OK</v>
      </c>
      <c r="Z223" s="444" t="str">
        <f t="shared" si="1328"/>
        <v>OK</v>
      </c>
      <c r="AA223" s="444" t="str">
        <f t="shared" si="1328"/>
        <v>OK</v>
      </c>
      <c r="AB223" s="443" t="str">
        <f t="shared" si="1328"/>
        <v>OK</v>
      </c>
      <c r="AC223" s="444" t="str">
        <f t="shared" si="1328"/>
        <v>OK</v>
      </c>
      <c r="AD223" s="444" t="str">
        <f>IF(ROUND(AD221,1)=1,"OK",AD221)</f>
        <v>OK</v>
      </c>
      <c r="AE223" s="444" t="str">
        <f>IF(ROUND(AE221,1)=1,"OK",AE221)</f>
        <v>OK</v>
      </c>
      <c r="AF223" s="443" t="str">
        <f t="shared" ref="AF223:AM223" si="1329">IF(ROUND(AF221,1)=1,"OK",AF221)</f>
        <v>OK</v>
      </c>
      <c r="AG223" s="444" t="str">
        <f t="shared" si="1329"/>
        <v>OK</v>
      </c>
      <c r="AH223" s="444" t="str">
        <f t="shared" si="1329"/>
        <v>OK</v>
      </c>
      <c r="AI223" s="444" t="str">
        <f t="shared" si="1329"/>
        <v>OK</v>
      </c>
      <c r="AJ223" s="443" t="str">
        <f t="shared" si="1329"/>
        <v>OK</v>
      </c>
      <c r="AK223" s="444" t="str">
        <f t="shared" si="1329"/>
        <v>OK</v>
      </c>
      <c r="AL223" s="444" t="str">
        <f t="shared" si="1329"/>
        <v>OK</v>
      </c>
      <c r="AM223" s="444" t="str">
        <f t="shared" si="1329"/>
        <v>OK</v>
      </c>
      <c r="AN223" s="443" t="str">
        <f>IF(ROUND(AN221,1)=1,"OK",AN221)</f>
        <v>OK</v>
      </c>
      <c r="AO223" s="316" t="str">
        <f>IF(ROUND(AO221,1)=1,"OK",AO221)</f>
        <v>OK</v>
      </c>
      <c r="AP223" s="316" t="str">
        <f>IF(ROUND(AP221,1)=1,"OK",AP221)</f>
        <v>OK</v>
      </c>
      <c r="AQ223" s="316" t="str">
        <f>IF(ROUND(AQ221,1)=1,"OK",AQ221)</f>
        <v>OK</v>
      </c>
      <c r="AR223" s="443"/>
      <c r="AS223" s="316"/>
      <c r="AT223" s="316"/>
      <c r="AU223" s="1171"/>
      <c r="AV223" s="316"/>
      <c r="AW223" s="316"/>
      <c r="AX223" s="316"/>
      <c r="AY223" s="316"/>
      <c r="AZ223" s="315"/>
      <c r="BA223" s="316"/>
      <c r="BB223" s="316"/>
      <c r="BC223" s="316"/>
      <c r="BD223" s="315"/>
      <c r="BE223" s="316"/>
      <c r="BF223" s="316"/>
      <c r="BG223" s="316"/>
      <c r="BH223" s="315"/>
      <c r="BI223" s="316"/>
      <c r="BJ223" s="316"/>
      <c r="BK223" s="316"/>
      <c r="BL223" s="315"/>
      <c r="BM223" s="316"/>
      <c r="BN223" s="316"/>
      <c r="BO223" s="316"/>
      <c r="BP223" s="23"/>
      <c r="BQ223" s="534"/>
      <c r="BR223" s="316">
        <f t="shared" ref="BR223:BW223" si="1330">IF(ROUND(BR221,1)=1,"OK",BR221)</f>
        <v>1.0982027120869309</v>
      </c>
      <c r="BS223" s="316" t="str">
        <f t="shared" si="1330"/>
        <v>OK</v>
      </c>
      <c r="BT223" s="316" t="str">
        <f t="shared" si="1330"/>
        <v>OK</v>
      </c>
      <c r="BU223" s="316" t="str">
        <f t="shared" si="1330"/>
        <v>OK</v>
      </c>
      <c r="BV223" s="316" t="str">
        <f t="shared" si="1330"/>
        <v>OK</v>
      </c>
      <c r="BW223" s="316" t="str">
        <f t="shared" si="1330"/>
        <v>OK</v>
      </c>
      <c r="BX223" s="316" t="str">
        <f>IF(ROUND(BX221,1)=1,"OK",BX221)</f>
        <v>OK</v>
      </c>
      <c r="BY223" s="316"/>
      <c r="BZ223" s="316"/>
      <c r="CA223" s="316"/>
      <c r="CB223" s="316"/>
      <c r="CC223" s="316"/>
      <c r="CD223" s="316"/>
      <c r="CE223" s="316"/>
      <c r="CF223" s="1171"/>
      <c r="CG223" s="17"/>
      <c r="CH223" s="8"/>
      <c r="CI223" s="8"/>
      <c r="CJ223" s="8"/>
      <c r="CK223" s="8"/>
    </row>
    <row r="224" spans="1:89" ht="14.25" hidden="1" customHeight="1" outlineLevel="1">
      <c r="B224" s="366"/>
      <c r="AU224" s="1032"/>
      <c r="BQ224" s="8"/>
      <c r="BR224" s="8"/>
      <c r="BS224" s="8"/>
      <c r="BT224" s="8"/>
      <c r="BU224" s="8"/>
      <c r="BV224" s="8"/>
      <c r="BW224" s="8"/>
      <c r="BX224" s="8"/>
      <c r="BY224" s="8"/>
      <c r="BZ224" s="8"/>
      <c r="CA224" s="8"/>
      <c r="CB224" s="8"/>
      <c r="CC224" s="17"/>
      <c r="CD224" s="17"/>
      <c r="CE224" s="17"/>
      <c r="CF224" s="8"/>
    </row>
    <row r="225" spans="1:89" ht="14.25" hidden="1" customHeight="1" outlineLevel="1">
      <c r="A225" s="1"/>
      <c r="B225" s="150" t="s">
        <v>306</v>
      </c>
      <c r="C225" s="151"/>
      <c r="D225" s="699" t="str">
        <f t="shared" ref="D225:AI225" si="1331">D$9</f>
        <v>F1Q05A</v>
      </c>
      <c r="E225" s="698" t="str">
        <f t="shared" si="1331"/>
        <v>F2Q05A</v>
      </c>
      <c r="F225" s="698" t="str">
        <f t="shared" si="1331"/>
        <v>F3Q05A</v>
      </c>
      <c r="G225" s="698" t="str">
        <f t="shared" si="1331"/>
        <v>F4Q05A</v>
      </c>
      <c r="H225" s="699" t="str">
        <f t="shared" si="1331"/>
        <v>F1Q06A</v>
      </c>
      <c r="I225" s="698" t="str">
        <f t="shared" si="1331"/>
        <v>F2Q06A</v>
      </c>
      <c r="J225" s="698" t="str">
        <f t="shared" si="1331"/>
        <v>F3Q06A</v>
      </c>
      <c r="K225" s="698" t="str">
        <f t="shared" si="1331"/>
        <v>F4Q06A</v>
      </c>
      <c r="L225" s="699" t="str">
        <f t="shared" si="1331"/>
        <v>F1Q07A</v>
      </c>
      <c r="M225" s="698" t="str">
        <f t="shared" si="1331"/>
        <v>F2Q07A</v>
      </c>
      <c r="N225" s="698" t="str">
        <f t="shared" si="1331"/>
        <v>F3Q07A</v>
      </c>
      <c r="O225" s="698" t="str">
        <f t="shared" si="1331"/>
        <v>F4Q07A</v>
      </c>
      <c r="P225" s="699" t="str">
        <f t="shared" si="1331"/>
        <v>F1Q08A</v>
      </c>
      <c r="Q225" s="698" t="str">
        <f t="shared" si="1331"/>
        <v>F2Q08A</v>
      </c>
      <c r="R225" s="698" t="str">
        <f t="shared" si="1331"/>
        <v>F3Q08A</v>
      </c>
      <c r="S225" s="698" t="str">
        <f t="shared" si="1331"/>
        <v>F4Q08A</v>
      </c>
      <c r="T225" s="699" t="str">
        <f t="shared" si="1331"/>
        <v>F1Q09A</v>
      </c>
      <c r="U225" s="698" t="str">
        <f t="shared" si="1331"/>
        <v>F2Q09A</v>
      </c>
      <c r="V225" s="698" t="str">
        <f t="shared" si="1331"/>
        <v>F3Q09A</v>
      </c>
      <c r="W225" s="698" t="str">
        <f t="shared" si="1331"/>
        <v>F4Q09A</v>
      </c>
      <c r="X225" s="699" t="str">
        <f t="shared" si="1331"/>
        <v>F1Q10A</v>
      </c>
      <c r="Y225" s="698" t="str">
        <f t="shared" si="1331"/>
        <v>F2Q10A</v>
      </c>
      <c r="Z225" s="698" t="str">
        <f t="shared" si="1331"/>
        <v>F3Q10A</v>
      </c>
      <c r="AA225" s="698" t="str">
        <f t="shared" si="1331"/>
        <v>F4Q10A</v>
      </c>
      <c r="AB225" s="699" t="str">
        <f t="shared" si="1331"/>
        <v>F1Q11A</v>
      </c>
      <c r="AC225" s="698" t="str">
        <f t="shared" si="1331"/>
        <v>F2Q11A</v>
      </c>
      <c r="AD225" s="698" t="str">
        <f t="shared" si="1331"/>
        <v>F3Q11A</v>
      </c>
      <c r="AE225" s="698" t="str">
        <f t="shared" si="1331"/>
        <v>F4Q11A</v>
      </c>
      <c r="AF225" s="699" t="str">
        <f t="shared" si="1331"/>
        <v>F1Q12A</v>
      </c>
      <c r="AG225" s="698" t="str">
        <f t="shared" si="1331"/>
        <v>F2Q12A</v>
      </c>
      <c r="AH225" s="698" t="str">
        <f t="shared" si="1331"/>
        <v>F3Q12A</v>
      </c>
      <c r="AI225" s="698" t="str">
        <f t="shared" si="1331"/>
        <v>F4Q12A</v>
      </c>
      <c r="AJ225" s="699" t="str">
        <f t="shared" ref="AJ225:BO225" si="1332">AJ$9</f>
        <v>F1Q13A</v>
      </c>
      <c r="AK225" s="698" t="str">
        <f t="shared" si="1332"/>
        <v>F2Q13A</v>
      </c>
      <c r="AL225" s="698" t="str">
        <f t="shared" si="1332"/>
        <v>F3Q13A</v>
      </c>
      <c r="AM225" s="698" t="str">
        <f t="shared" si="1332"/>
        <v>F4Q13A</v>
      </c>
      <c r="AN225" s="699" t="str">
        <f t="shared" si="1332"/>
        <v>F1Q14A</v>
      </c>
      <c r="AO225" s="698" t="str">
        <f t="shared" si="1332"/>
        <v>F2Q14A</v>
      </c>
      <c r="AP225" s="698" t="str">
        <f t="shared" si="1332"/>
        <v>F3Q14A</v>
      </c>
      <c r="AQ225" s="700" t="str">
        <f t="shared" si="1332"/>
        <v>F4Q14A</v>
      </c>
      <c r="AR225" s="699" t="str">
        <f t="shared" si="1332"/>
        <v>F1Q15A</v>
      </c>
      <c r="AS225" s="698" t="str">
        <f t="shared" si="1332"/>
        <v>F2Q15A</v>
      </c>
      <c r="AT225" s="698" t="str">
        <f t="shared" si="1332"/>
        <v>F3Q15A</v>
      </c>
      <c r="AU225" s="700" t="str">
        <f t="shared" si="1332"/>
        <v>F4Q15A</v>
      </c>
      <c r="AV225" s="698" t="str">
        <f t="shared" si="1332"/>
        <v>F1Q16A</v>
      </c>
      <c r="AW225" s="698" t="str">
        <f t="shared" si="1332"/>
        <v>F2Q16A</v>
      </c>
      <c r="AX225" s="698" t="str">
        <f t="shared" si="1332"/>
        <v>F3Q16A</v>
      </c>
      <c r="AY225" s="700" t="str">
        <f t="shared" si="1332"/>
        <v>F4Q16A</v>
      </c>
      <c r="AZ225" s="699" t="str">
        <f t="shared" si="1332"/>
        <v>F1Q17A</v>
      </c>
      <c r="BA225" s="698" t="str">
        <f t="shared" si="1332"/>
        <v>F2Q17A</v>
      </c>
      <c r="BB225" s="698" t="str">
        <f t="shared" si="1332"/>
        <v>F3Q17A</v>
      </c>
      <c r="BC225" s="700" t="str">
        <f t="shared" si="1332"/>
        <v>F4Q17A</v>
      </c>
      <c r="BD225" s="699" t="str">
        <f t="shared" si="1332"/>
        <v>F1Q18A</v>
      </c>
      <c r="BE225" s="698" t="str">
        <f t="shared" si="1332"/>
        <v>F2Q18E</v>
      </c>
      <c r="BF225" s="698" t="str">
        <f t="shared" si="1332"/>
        <v>F3Q18E</v>
      </c>
      <c r="BG225" s="700" t="str">
        <f t="shared" si="1332"/>
        <v>F4Q18E</v>
      </c>
      <c r="BH225" s="699" t="str">
        <f t="shared" si="1332"/>
        <v>F1Q19E</v>
      </c>
      <c r="BI225" s="698" t="str">
        <f t="shared" si="1332"/>
        <v>F2Q19E</v>
      </c>
      <c r="BJ225" s="698" t="str">
        <f t="shared" si="1332"/>
        <v>F3Q19E</v>
      </c>
      <c r="BK225" s="700" t="str">
        <f t="shared" si="1332"/>
        <v>F4Q19E</v>
      </c>
      <c r="BL225" s="699" t="str">
        <f t="shared" si="1332"/>
        <v>F1Q20E</v>
      </c>
      <c r="BM225" s="698" t="str">
        <f t="shared" si="1332"/>
        <v>F2Q20E</v>
      </c>
      <c r="BN225" s="698" t="str">
        <f t="shared" si="1332"/>
        <v>F3Q20E</v>
      </c>
      <c r="BO225" s="700" t="str">
        <f t="shared" si="1332"/>
        <v>F4Q20E</v>
      </c>
      <c r="BP225" s="504"/>
      <c r="BQ225" s="699" t="str">
        <f t="shared" ref="BQ225:CF225" si="1333">BQ$9</f>
        <v>FY2005A</v>
      </c>
      <c r="BR225" s="698" t="str">
        <f t="shared" si="1333"/>
        <v>FY2006A</v>
      </c>
      <c r="BS225" s="698" t="str">
        <f t="shared" si="1333"/>
        <v>FY2007A</v>
      </c>
      <c r="BT225" s="698" t="str">
        <f t="shared" si="1333"/>
        <v>FY2008A</v>
      </c>
      <c r="BU225" s="698" t="str">
        <f t="shared" si="1333"/>
        <v>FY2009A</v>
      </c>
      <c r="BV225" s="698" t="str">
        <f t="shared" si="1333"/>
        <v>FY2010A</v>
      </c>
      <c r="BW225" s="698" t="str">
        <f t="shared" si="1333"/>
        <v>FY2011A</v>
      </c>
      <c r="BX225" s="698" t="str">
        <f t="shared" si="1333"/>
        <v>FY2012A</v>
      </c>
      <c r="BY225" s="698" t="str">
        <f t="shared" si="1333"/>
        <v>FY2013A</v>
      </c>
      <c r="BZ225" s="698" t="str">
        <f t="shared" si="1333"/>
        <v>FY2014A</v>
      </c>
      <c r="CA225" s="698" t="str">
        <f t="shared" si="1333"/>
        <v>FY2015A</v>
      </c>
      <c r="CB225" s="698" t="str">
        <f t="shared" si="1333"/>
        <v>FY2016A</v>
      </c>
      <c r="CC225" s="698" t="str">
        <f t="shared" si="1333"/>
        <v>FY2017A</v>
      </c>
      <c r="CD225" s="698" t="str">
        <f t="shared" si="1333"/>
        <v>FY2018E</v>
      </c>
      <c r="CE225" s="698" t="str">
        <f t="shared" si="1333"/>
        <v>FY2019E</v>
      </c>
      <c r="CF225" s="700" t="str">
        <f t="shared" si="1333"/>
        <v>FY2020E</v>
      </c>
    </row>
    <row r="226" spans="1:89" ht="14.25" hidden="1" customHeight="1" outlineLevel="1">
      <c r="B226" s="364" t="s">
        <v>307</v>
      </c>
      <c r="C226" s="367"/>
      <c r="D226" s="544"/>
      <c r="E226" s="545"/>
      <c r="F226" s="545"/>
      <c r="G226" s="546"/>
      <c r="H226" s="544"/>
      <c r="I226" s="545"/>
      <c r="J226" s="545"/>
      <c r="K226" s="614"/>
      <c r="L226" s="544"/>
      <c r="M226" s="545"/>
      <c r="N226" s="545"/>
      <c r="O226" s="614"/>
      <c r="P226" s="544"/>
      <c r="Q226" s="545"/>
      <c r="R226" s="545"/>
      <c r="S226" s="614"/>
      <c r="T226" s="544"/>
      <c r="U226" s="545"/>
      <c r="V226" s="545"/>
      <c r="W226" s="614"/>
      <c r="X226" s="544"/>
      <c r="Y226" s="545"/>
      <c r="Z226" s="545"/>
      <c r="AA226" s="614"/>
      <c r="AB226" s="544"/>
      <c r="AC226" s="545"/>
      <c r="AD226" s="545"/>
      <c r="AE226" s="614"/>
      <c r="AF226" s="544"/>
      <c r="AG226" s="545"/>
      <c r="AH226" s="545"/>
      <c r="AI226" s="826"/>
      <c r="AJ226" s="544"/>
      <c r="AK226" s="428"/>
      <c r="AL226" s="428"/>
      <c r="AM226" s="429"/>
      <c r="AN226" s="430"/>
      <c r="AO226" s="428"/>
      <c r="AP226" s="428"/>
      <c r="AQ226" s="429"/>
      <c r="AR226" s="430"/>
      <c r="AS226" s="428"/>
      <c r="AT226" s="428"/>
      <c r="AU226" s="429"/>
      <c r="AV226" s="428"/>
      <c r="AW226" s="428"/>
      <c r="AX226" s="428"/>
      <c r="AY226" s="429"/>
      <c r="AZ226" s="430"/>
      <c r="BA226" s="428"/>
      <c r="BB226" s="428"/>
      <c r="BC226" s="429"/>
      <c r="BD226" s="430"/>
      <c r="BE226" s="428"/>
      <c r="BF226" s="428"/>
      <c r="BG226" s="429"/>
      <c r="BH226" s="430"/>
      <c r="BI226" s="428"/>
      <c r="BJ226" s="428"/>
      <c r="BK226" s="429"/>
      <c r="BL226" s="430"/>
      <c r="BM226" s="428"/>
      <c r="BN226" s="428"/>
      <c r="BO226" s="429"/>
      <c r="BP226" s="424"/>
      <c r="BQ226" s="406">
        <f>BQ233*IS!BQ$10</f>
        <v>1170.5159200000001</v>
      </c>
      <c r="BR226" s="406">
        <f>BR233*IS!BR$10</f>
        <v>1194.88869</v>
      </c>
      <c r="BS226" s="406">
        <f>BS233*IS!BS$10</f>
        <v>1306.30213</v>
      </c>
      <c r="BT226" s="406">
        <f>BT233*IS!BT$10</f>
        <v>1368.95343</v>
      </c>
      <c r="BU226" s="406">
        <f>BU233*IS!BU$10</f>
        <v>1088.0503200000001</v>
      </c>
      <c r="BV226" s="406">
        <f>BV233*IS!BV$10</f>
        <v>1546.4416799999999</v>
      </c>
      <c r="BW226" s="406">
        <f>BW233*IS!BW$10</f>
        <v>1646.3260000000002</v>
      </c>
      <c r="BX226" s="406"/>
      <c r="BY226" s="406"/>
      <c r="BZ226" s="406"/>
      <c r="CA226" s="406"/>
      <c r="CB226" s="406"/>
      <c r="CC226" s="406"/>
      <c r="CD226" s="406"/>
      <c r="CE226" s="406"/>
      <c r="CF226" s="1453"/>
    </row>
    <row r="227" spans="1:89" ht="14.25" hidden="1" customHeight="1" outlineLevel="1">
      <c r="B227" s="364" t="s">
        <v>311</v>
      </c>
      <c r="C227" s="367"/>
      <c r="D227" s="544"/>
      <c r="E227" s="545"/>
      <c r="F227" s="545"/>
      <c r="G227" s="546"/>
      <c r="H227" s="544"/>
      <c r="I227" s="545"/>
      <c r="J227" s="545"/>
      <c r="K227" s="614"/>
      <c r="L227" s="544"/>
      <c r="M227" s="545"/>
      <c r="N227" s="545"/>
      <c r="O227" s="614"/>
      <c r="P227" s="544"/>
      <c r="Q227" s="545"/>
      <c r="R227" s="545"/>
      <c r="S227" s="614"/>
      <c r="T227" s="544"/>
      <c r="U227" s="545"/>
      <c r="V227" s="545"/>
      <c r="W227" s="614"/>
      <c r="X227" s="544"/>
      <c r="Y227" s="545"/>
      <c r="Z227" s="545"/>
      <c r="AA227" s="614"/>
      <c r="AB227" s="544"/>
      <c r="AC227" s="545"/>
      <c r="AD227" s="545"/>
      <c r="AE227" s="614"/>
      <c r="AF227" s="544"/>
      <c r="AG227" s="545"/>
      <c r="AH227" s="545"/>
      <c r="AI227" s="826"/>
      <c r="AJ227" s="544"/>
      <c r="AK227" s="428"/>
      <c r="AL227" s="428"/>
      <c r="AM227" s="429"/>
      <c r="AN227" s="430"/>
      <c r="AO227" s="428"/>
      <c r="AP227" s="428"/>
      <c r="AQ227" s="429"/>
      <c r="AR227" s="430"/>
      <c r="AS227" s="428"/>
      <c r="AT227" s="428"/>
      <c r="AU227" s="429"/>
      <c r="AV227" s="428"/>
      <c r="AW227" s="428"/>
      <c r="AX227" s="428"/>
      <c r="AY227" s="429"/>
      <c r="AZ227" s="430"/>
      <c r="BA227" s="428"/>
      <c r="BB227" s="428"/>
      <c r="BC227" s="429"/>
      <c r="BD227" s="430"/>
      <c r="BE227" s="428"/>
      <c r="BF227" s="428"/>
      <c r="BG227" s="429"/>
      <c r="BH227" s="430"/>
      <c r="BI227" s="428"/>
      <c r="BJ227" s="428"/>
      <c r="BK227" s="429"/>
      <c r="BL227" s="430"/>
      <c r="BM227" s="428"/>
      <c r="BN227" s="428"/>
      <c r="BO227" s="429"/>
      <c r="BP227" s="424"/>
      <c r="BQ227" s="406">
        <f>BQ234*IS!BQ$10</f>
        <v>71.664239999999992</v>
      </c>
      <c r="BR227" s="406">
        <f>BR234*IS!BR$10</f>
        <v>70.287569999999988</v>
      </c>
      <c r="BS227" s="406">
        <f>BS234*IS!BS$10</f>
        <v>73.941630000000004</v>
      </c>
      <c r="BT227" s="406">
        <f>BT234*IS!BT$10</f>
        <v>77.487929999999992</v>
      </c>
      <c r="BU227" s="406">
        <f>BU234*IS!BU$10</f>
        <v>100.7454</v>
      </c>
      <c r="BV227" s="406">
        <f>BV234*IS!BV$10</f>
        <v>110.46011999999999</v>
      </c>
      <c r="BW227" s="406">
        <f>BW234*IS!BW$10</f>
        <v>89.799599999999998</v>
      </c>
      <c r="BX227" s="406"/>
      <c r="BY227" s="406"/>
      <c r="BZ227" s="406"/>
      <c r="CA227" s="406"/>
      <c r="CB227" s="406"/>
      <c r="CC227" s="406"/>
      <c r="CD227" s="406"/>
      <c r="CE227" s="406"/>
      <c r="CF227" s="1453"/>
    </row>
    <row r="228" spans="1:89" ht="14.25" hidden="1" customHeight="1" outlineLevel="1">
      <c r="A228" s="106"/>
      <c r="B228" s="432" t="s">
        <v>207</v>
      </c>
      <c r="C228" s="433"/>
      <c r="D228" s="550"/>
      <c r="E228" s="551"/>
      <c r="F228" s="551"/>
      <c r="G228" s="552"/>
      <c r="H228" s="550"/>
      <c r="I228" s="551"/>
      <c r="J228" s="551"/>
      <c r="K228" s="552"/>
      <c r="L228" s="550"/>
      <c r="M228" s="551"/>
      <c r="N228" s="551"/>
      <c r="O228" s="552"/>
      <c r="P228" s="550"/>
      <c r="Q228" s="551"/>
      <c r="R228" s="551"/>
      <c r="S228" s="552"/>
      <c r="T228" s="550"/>
      <c r="U228" s="551"/>
      <c r="V228" s="551"/>
      <c r="W228" s="552"/>
      <c r="X228" s="550"/>
      <c r="Y228" s="551"/>
      <c r="Z228" s="551"/>
      <c r="AA228" s="552"/>
      <c r="AB228" s="550"/>
      <c r="AC228" s="551"/>
      <c r="AD228" s="551"/>
      <c r="AE228" s="552"/>
      <c r="AF228" s="550"/>
      <c r="AG228" s="551"/>
      <c r="AH228" s="551"/>
      <c r="AI228" s="827"/>
      <c r="AJ228" s="550"/>
      <c r="AK228" s="437"/>
      <c r="AL228" s="437"/>
      <c r="AM228" s="438"/>
      <c r="AN228" s="439"/>
      <c r="AO228" s="437"/>
      <c r="AP228" s="437"/>
      <c r="AQ228" s="438"/>
      <c r="AR228" s="439"/>
      <c r="AS228" s="437"/>
      <c r="AT228" s="437"/>
      <c r="AU228" s="438"/>
      <c r="AV228" s="437"/>
      <c r="AW228" s="437"/>
      <c r="AX228" s="437"/>
      <c r="AY228" s="438"/>
      <c r="AZ228" s="439"/>
      <c r="BA228" s="437"/>
      <c r="BB228" s="437"/>
      <c r="BC228" s="438"/>
      <c r="BD228" s="439"/>
      <c r="BE228" s="437"/>
      <c r="BF228" s="437"/>
      <c r="BG228" s="438"/>
      <c r="BH228" s="439"/>
      <c r="BI228" s="437"/>
      <c r="BJ228" s="437"/>
      <c r="BK228" s="438"/>
      <c r="BL228" s="439"/>
      <c r="BM228" s="437"/>
      <c r="BN228" s="437"/>
      <c r="BO228" s="438"/>
      <c r="BP228" s="440"/>
      <c r="BQ228" s="442">
        <f t="shared" ref="BQ228:BW228" si="1334">SUM(BQ226:BQ227)</f>
        <v>1242.1801600000001</v>
      </c>
      <c r="BR228" s="442">
        <f t="shared" si="1334"/>
        <v>1265.17626</v>
      </c>
      <c r="BS228" s="442">
        <f t="shared" si="1334"/>
        <v>1380.2437600000001</v>
      </c>
      <c r="BT228" s="442">
        <f t="shared" si="1334"/>
        <v>1446.44136</v>
      </c>
      <c r="BU228" s="442">
        <f t="shared" si="1334"/>
        <v>1188.7957200000001</v>
      </c>
      <c r="BV228" s="442">
        <f t="shared" si="1334"/>
        <v>1656.9017999999999</v>
      </c>
      <c r="BW228" s="442">
        <f t="shared" si="1334"/>
        <v>1736.1256000000003</v>
      </c>
      <c r="BX228" s="442"/>
      <c r="BY228" s="442"/>
      <c r="BZ228" s="442"/>
      <c r="CA228" s="442"/>
      <c r="CB228" s="442"/>
      <c r="CC228" s="442"/>
      <c r="CD228" s="442"/>
      <c r="CE228" s="442"/>
      <c r="CF228" s="1454"/>
      <c r="CG228" s="106"/>
      <c r="CH228" s="106"/>
      <c r="CI228" s="106"/>
      <c r="CJ228" s="106"/>
      <c r="CK228" s="106"/>
    </row>
    <row r="229" spans="1:89" ht="14.25" hidden="1" customHeight="1" outlineLevel="1">
      <c r="B229" s="70"/>
      <c r="AB229" s="8"/>
      <c r="AC229" s="8"/>
      <c r="AD229" s="8"/>
      <c r="AF229" s="8"/>
      <c r="AJ229" s="8"/>
      <c r="AU229" s="1032"/>
      <c r="BP229" s="366"/>
      <c r="BQ229" s="366"/>
      <c r="BR229" s="366"/>
      <c r="BS229" s="366"/>
      <c r="BT229" s="366"/>
      <c r="BU229" s="366"/>
      <c r="BV229" s="366"/>
      <c r="BW229" s="366"/>
      <c r="BX229" s="366"/>
      <c r="BY229" s="366"/>
      <c r="BZ229" s="366"/>
      <c r="CA229" s="366"/>
      <c r="CB229" s="366"/>
      <c r="CC229" s="366"/>
      <c r="CD229" s="366"/>
      <c r="CE229" s="366"/>
      <c r="CF229" s="366"/>
    </row>
    <row r="230" spans="1:89" ht="14.25" hidden="1" customHeight="1" outlineLevel="1">
      <c r="A230" s="8"/>
      <c r="B230" s="313" t="s">
        <v>157</v>
      </c>
      <c r="C230" s="314"/>
      <c r="D230" s="550"/>
      <c r="E230" s="551"/>
      <c r="F230" s="551"/>
      <c r="G230" s="552"/>
      <c r="H230" s="550"/>
      <c r="I230" s="551"/>
      <c r="J230" s="551"/>
      <c r="K230" s="552"/>
      <c r="L230" s="550"/>
      <c r="M230" s="551"/>
      <c r="N230" s="551"/>
      <c r="O230" s="552"/>
      <c r="P230" s="550"/>
      <c r="Q230" s="551"/>
      <c r="R230" s="551"/>
      <c r="S230" s="552"/>
      <c r="T230" s="550"/>
      <c r="U230" s="551"/>
      <c r="V230" s="551"/>
      <c r="W230" s="552"/>
      <c r="X230" s="550"/>
      <c r="Y230" s="551"/>
      <c r="Z230" s="551"/>
      <c r="AA230" s="552"/>
      <c r="AB230" s="550"/>
      <c r="AC230" s="551"/>
      <c r="AD230" s="551"/>
      <c r="AE230" s="552"/>
      <c r="AF230" s="550"/>
      <c r="AG230" s="551"/>
      <c r="AH230" s="551"/>
      <c r="AI230" s="552"/>
      <c r="AJ230" s="550"/>
      <c r="AK230" s="316"/>
      <c r="AL230" s="316"/>
      <c r="AM230" s="316"/>
      <c r="AN230" s="315"/>
      <c r="AO230" s="316"/>
      <c r="AP230" s="316"/>
      <c r="AQ230" s="316"/>
      <c r="AR230" s="315"/>
      <c r="AS230" s="316"/>
      <c r="AT230" s="316"/>
      <c r="AU230" s="1171"/>
      <c r="AV230" s="316"/>
      <c r="AW230" s="316"/>
      <c r="AX230" s="316"/>
      <c r="AY230" s="316"/>
      <c r="AZ230" s="315"/>
      <c r="BA230" s="316"/>
      <c r="BB230" s="316"/>
      <c r="BC230" s="316"/>
      <c r="BD230" s="315"/>
      <c r="BE230" s="316"/>
      <c r="BF230" s="316"/>
      <c r="BG230" s="316"/>
      <c r="BH230" s="315"/>
      <c r="BI230" s="316"/>
      <c r="BJ230" s="316"/>
      <c r="BK230" s="316"/>
      <c r="BL230" s="315"/>
      <c r="BM230" s="316"/>
      <c r="BN230" s="316"/>
      <c r="BO230" s="316"/>
      <c r="BP230" s="23"/>
      <c r="BQ230" s="316">
        <f>IF(ABS(BQ228-IS!BQ$10)&lt;1,"OK",BQ228-IS!BQ$10)</f>
        <v>-1146.6278399999999</v>
      </c>
      <c r="BR230" s="316">
        <f>IF(ABS(BR228-IS!BR$10)&lt;1,"OK",BR228-IS!BR$10)</f>
        <v>-1077.7427399999999</v>
      </c>
      <c r="BS230" s="316">
        <f>IF(ABS(BS228-IS!BS$10)&lt;1,"OK",BS228-IS!BS$10)</f>
        <v>-1084.4772399999999</v>
      </c>
      <c r="BT230" s="316">
        <f>IF(ABS(BT228-IS!BT$10)&lt;1,"OK",BT228-IS!BT$10)</f>
        <v>-1136.48964</v>
      </c>
      <c r="BU230" s="316">
        <f>IF(ABS(BU228-IS!BU$10)&lt;1,"OK",BU228-IS!BU$10)</f>
        <v>-826.11227999999983</v>
      </c>
      <c r="BV230" s="316"/>
      <c r="BW230" s="316"/>
      <c r="BX230" s="316"/>
      <c r="BY230" s="316"/>
      <c r="BZ230" s="316"/>
      <c r="CA230" s="316"/>
      <c r="CB230" s="316"/>
      <c r="CC230" s="316"/>
      <c r="CD230" s="316"/>
      <c r="CE230" s="316"/>
      <c r="CF230" s="1171"/>
      <c r="CG230" s="17"/>
      <c r="CH230" s="8"/>
      <c r="CI230" s="8"/>
      <c r="CJ230" s="8"/>
      <c r="CK230" s="8"/>
    </row>
    <row r="231" spans="1:89" ht="14.25" hidden="1" customHeight="1" outlineLevel="1">
      <c r="B231" s="70"/>
      <c r="AB231" s="8"/>
      <c r="AC231" s="8"/>
      <c r="AD231" s="8"/>
      <c r="AF231" s="8"/>
      <c r="AJ231" s="8"/>
      <c r="AU231" s="1032"/>
      <c r="CC231" s="1005"/>
      <c r="CD231" s="1005"/>
      <c r="CE231" s="1005"/>
    </row>
    <row r="232" spans="1:89" ht="14.25" hidden="1" customHeight="1" outlineLevel="1">
      <c r="A232" s="1"/>
      <c r="B232" s="150" t="s">
        <v>308</v>
      </c>
      <c r="C232" s="151"/>
      <c r="D232" s="699" t="str">
        <f t="shared" ref="D232:AI232" si="1335">D$9</f>
        <v>F1Q05A</v>
      </c>
      <c r="E232" s="698" t="str">
        <f t="shared" si="1335"/>
        <v>F2Q05A</v>
      </c>
      <c r="F232" s="698" t="str">
        <f t="shared" si="1335"/>
        <v>F3Q05A</v>
      </c>
      <c r="G232" s="698" t="str">
        <f t="shared" si="1335"/>
        <v>F4Q05A</v>
      </c>
      <c r="H232" s="699" t="str">
        <f t="shared" si="1335"/>
        <v>F1Q06A</v>
      </c>
      <c r="I232" s="698" t="str">
        <f t="shared" si="1335"/>
        <v>F2Q06A</v>
      </c>
      <c r="J232" s="698" t="str">
        <f t="shared" si="1335"/>
        <v>F3Q06A</v>
      </c>
      <c r="K232" s="698" t="str">
        <f t="shared" si="1335"/>
        <v>F4Q06A</v>
      </c>
      <c r="L232" s="699" t="str">
        <f t="shared" si="1335"/>
        <v>F1Q07A</v>
      </c>
      <c r="M232" s="698" t="str">
        <f t="shared" si="1335"/>
        <v>F2Q07A</v>
      </c>
      <c r="N232" s="698" t="str">
        <f t="shared" si="1335"/>
        <v>F3Q07A</v>
      </c>
      <c r="O232" s="698" t="str">
        <f t="shared" si="1335"/>
        <v>F4Q07A</v>
      </c>
      <c r="P232" s="699" t="str">
        <f t="shared" si="1335"/>
        <v>F1Q08A</v>
      </c>
      <c r="Q232" s="698" t="str">
        <f t="shared" si="1335"/>
        <v>F2Q08A</v>
      </c>
      <c r="R232" s="698" t="str">
        <f t="shared" si="1335"/>
        <v>F3Q08A</v>
      </c>
      <c r="S232" s="698" t="str">
        <f t="shared" si="1335"/>
        <v>F4Q08A</v>
      </c>
      <c r="T232" s="699" t="str">
        <f t="shared" si="1335"/>
        <v>F1Q09A</v>
      </c>
      <c r="U232" s="698" t="str">
        <f t="shared" si="1335"/>
        <v>F2Q09A</v>
      </c>
      <c r="V232" s="698" t="str">
        <f t="shared" si="1335"/>
        <v>F3Q09A</v>
      </c>
      <c r="W232" s="698" t="str">
        <f t="shared" si="1335"/>
        <v>F4Q09A</v>
      </c>
      <c r="X232" s="699" t="str">
        <f t="shared" si="1335"/>
        <v>F1Q10A</v>
      </c>
      <c r="Y232" s="698" t="str">
        <f t="shared" si="1335"/>
        <v>F2Q10A</v>
      </c>
      <c r="Z232" s="698" t="str">
        <f t="shared" si="1335"/>
        <v>F3Q10A</v>
      </c>
      <c r="AA232" s="698" t="str">
        <f t="shared" si="1335"/>
        <v>F4Q10A</v>
      </c>
      <c r="AB232" s="699" t="str">
        <f t="shared" si="1335"/>
        <v>F1Q11A</v>
      </c>
      <c r="AC232" s="698" t="str">
        <f t="shared" si="1335"/>
        <v>F2Q11A</v>
      </c>
      <c r="AD232" s="698" t="str">
        <f t="shared" si="1335"/>
        <v>F3Q11A</v>
      </c>
      <c r="AE232" s="698" t="str">
        <f t="shared" si="1335"/>
        <v>F4Q11A</v>
      </c>
      <c r="AF232" s="699" t="str">
        <f t="shared" si="1335"/>
        <v>F1Q12A</v>
      </c>
      <c r="AG232" s="698" t="str">
        <f t="shared" si="1335"/>
        <v>F2Q12A</v>
      </c>
      <c r="AH232" s="698" t="str">
        <f t="shared" si="1335"/>
        <v>F3Q12A</v>
      </c>
      <c r="AI232" s="698" t="str">
        <f t="shared" si="1335"/>
        <v>F4Q12A</v>
      </c>
      <c r="AJ232" s="699" t="str">
        <f t="shared" ref="AJ232:BO232" si="1336">AJ$9</f>
        <v>F1Q13A</v>
      </c>
      <c r="AK232" s="698" t="str">
        <f t="shared" si="1336"/>
        <v>F2Q13A</v>
      </c>
      <c r="AL232" s="698" t="str">
        <f t="shared" si="1336"/>
        <v>F3Q13A</v>
      </c>
      <c r="AM232" s="698" t="str">
        <f t="shared" si="1336"/>
        <v>F4Q13A</v>
      </c>
      <c r="AN232" s="699" t="str">
        <f t="shared" si="1336"/>
        <v>F1Q14A</v>
      </c>
      <c r="AO232" s="698" t="str">
        <f t="shared" si="1336"/>
        <v>F2Q14A</v>
      </c>
      <c r="AP232" s="698" t="str">
        <f t="shared" si="1336"/>
        <v>F3Q14A</v>
      </c>
      <c r="AQ232" s="700" t="str">
        <f t="shared" si="1336"/>
        <v>F4Q14A</v>
      </c>
      <c r="AR232" s="699" t="str">
        <f t="shared" si="1336"/>
        <v>F1Q15A</v>
      </c>
      <c r="AS232" s="698" t="str">
        <f t="shared" si="1336"/>
        <v>F2Q15A</v>
      </c>
      <c r="AT232" s="698" t="str">
        <f t="shared" si="1336"/>
        <v>F3Q15A</v>
      </c>
      <c r="AU232" s="700" t="str">
        <f t="shared" si="1336"/>
        <v>F4Q15A</v>
      </c>
      <c r="AV232" s="698" t="str">
        <f t="shared" si="1336"/>
        <v>F1Q16A</v>
      </c>
      <c r="AW232" s="698" t="str">
        <f t="shared" si="1336"/>
        <v>F2Q16A</v>
      </c>
      <c r="AX232" s="698" t="str">
        <f t="shared" si="1336"/>
        <v>F3Q16A</v>
      </c>
      <c r="AY232" s="700" t="str">
        <f t="shared" si="1336"/>
        <v>F4Q16A</v>
      </c>
      <c r="AZ232" s="699" t="str">
        <f t="shared" si="1336"/>
        <v>F1Q17A</v>
      </c>
      <c r="BA232" s="698" t="str">
        <f t="shared" si="1336"/>
        <v>F2Q17A</v>
      </c>
      <c r="BB232" s="698" t="str">
        <f t="shared" si="1336"/>
        <v>F3Q17A</v>
      </c>
      <c r="BC232" s="700" t="str">
        <f t="shared" si="1336"/>
        <v>F4Q17A</v>
      </c>
      <c r="BD232" s="699" t="str">
        <f t="shared" si="1336"/>
        <v>F1Q18A</v>
      </c>
      <c r="BE232" s="698" t="str">
        <f t="shared" si="1336"/>
        <v>F2Q18E</v>
      </c>
      <c r="BF232" s="698" t="str">
        <f t="shared" si="1336"/>
        <v>F3Q18E</v>
      </c>
      <c r="BG232" s="700" t="str">
        <f t="shared" si="1336"/>
        <v>F4Q18E</v>
      </c>
      <c r="BH232" s="699" t="str">
        <f t="shared" si="1336"/>
        <v>F1Q19E</v>
      </c>
      <c r="BI232" s="698" t="str">
        <f t="shared" si="1336"/>
        <v>F2Q19E</v>
      </c>
      <c r="BJ232" s="698" t="str">
        <f t="shared" si="1336"/>
        <v>F3Q19E</v>
      </c>
      <c r="BK232" s="700" t="str">
        <f t="shared" si="1336"/>
        <v>F4Q19E</v>
      </c>
      <c r="BL232" s="699" t="str">
        <f t="shared" si="1336"/>
        <v>F1Q20E</v>
      </c>
      <c r="BM232" s="698" t="str">
        <f t="shared" si="1336"/>
        <v>F2Q20E</v>
      </c>
      <c r="BN232" s="698" t="str">
        <f t="shared" si="1336"/>
        <v>F3Q20E</v>
      </c>
      <c r="BO232" s="700" t="str">
        <f t="shared" si="1336"/>
        <v>F4Q20E</v>
      </c>
      <c r="BP232" s="504"/>
      <c r="BQ232" s="699" t="str">
        <f t="shared" ref="BQ232:CF232" si="1337">BQ$9</f>
        <v>FY2005A</v>
      </c>
      <c r="BR232" s="698" t="str">
        <f t="shared" si="1337"/>
        <v>FY2006A</v>
      </c>
      <c r="BS232" s="698" t="str">
        <f t="shared" si="1337"/>
        <v>FY2007A</v>
      </c>
      <c r="BT232" s="698" t="str">
        <f t="shared" si="1337"/>
        <v>FY2008A</v>
      </c>
      <c r="BU232" s="698" t="str">
        <f t="shared" si="1337"/>
        <v>FY2009A</v>
      </c>
      <c r="BV232" s="698" t="str">
        <f t="shared" si="1337"/>
        <v>FY2010A</v>
      </c>
      <c r="BW232" s="698" t="str">
        <f t="shared" si="1337"/>
        <v>FY2011A</v>
      </c>
      <c r="BX232" s="698" t="str">
        <f t="shared" si="1337"/>
        <v>FY2012A</v>
      </c>
      <c r="BY232" s="698" t="str">
        <f t="shared" si="1337"/>
        <v>FY2013A</v>
      </c>
      <c r="BZ232" s="698" t="str">
        <f t="shared" si="1337"/>
        <v>FY2014A</v>
      </c>
      <c r="CA232" s="698" t="str">
        <f t="shared" si="1337"/>
        <v>FY2015A</v>
      </c>
      <c r="CB232" s="698" t="str">
        <f t="shared" si="1337"/>
        <v>FY2016A</v>
      </c>
      <c r="CC232" s="698" t="str">
        <f t="shared" si="1337"/>
        <v>FY2017A</v>
      </c>
      <c r="CD232" s="698" t="str">
        <f t="shared" si="1337"/>
        <v>FY2018E</v>
      </c>
      <c r="CE232" s="698" t="str">
        <f t="shared" si="1337"/>
        <v>FY2019E</v>
      </c>
      <c r="CF232" s="700" t="str">
        <f t="shared" si="1337"/>
        <v>FY2020E</v>
      </c>
    </row>
    <row r="233" spans="1:89" ht="14.25" hidden="1" customHeight="1" outlineLevel="1">
      <c r="B233" s="455" t="str">
        <f>B226</f>
        <v>Distributors</v>
      </c>
      <c r="C233" s="367"/>
      <c r="D233" s="539"/>
      <c r="E233" s="557"/>
      <c r="F233" s="557"/>
      <c r="G233" s="558"/>
      <c r="H233" s="539"/>
      <c r="I233" s="557"/>
      <c r="J233" s="557"/>
      <c r="K233" s="558"/>
      <c r="L233" s="539"/>
      <c r="M233" s="557"/>
      <c r="N233" s="557"/>
      <c r="O233" s="558"/>
      <c r="P233" s="539"/>
      <c r="Q233" s="557"/>
      <c r="R233" s="557"/>
      <c r="S233" s="558"/>
      <c r="T233" s="539"/>
      <c r="U233" s="557"/>
      <c r="V233" s="557"/>
      <c r="W233" s="558"/>
      <c r="X233" s="539"/>
      <c r="Y233" s="557"/>
      <c r="Z233" s="557"/>
      <c r="AA233" s="558"/>
      <c r="AB233" s="539"/>
      <c r="AC233" s="557"/>
      <c r="AD233" s="557"/>
      <c r="AE233" s="558"/>
      <c r="AF233" s="539"/>
      <c r="AG233" s="557"/>
      <c r="AH233" s="557"/>
      <c r="AI233" s="828"/>
      <c r="AJ233" s="539"/>
      <c r="AK233" s="459"/>
      <c r="AL233" s="459"/>
      <c r="AM233" s="460"/>
      <c r="AN233" s="461"/>
      <c r="AO233" s="459"/>
      <c r="AP233" s="459"/>
      <c r="AQ233" s="460"/>
      <c r="AR233" s="461"/>
      <c r="AS233" s="459"/>
      <c r="AT233" s="459"/>
      <c r="AU233" s="460"/>
      <c r="AV233" s="459"/>
      <c r="AW233" s="459"/>
      <c r="AX233" s="459"/>
      <c r="AY233" s="460"/>
      <c r="AZ233" s="461"/>
      <c r="BA233" s="459"/>
      <c r="BB233" s="459"/>
      <c r="BC233" s="460"/>
      <c r="BD233" s="461"/>
      <c r="BE233" s="459"/>
      <c r="BF233" s="459"/>
      <c r="BG233" s="460"/>
      <c r="BH233" s="461"/>
      <c r="BI233" s="459"/>
      <c r="BJ233" s="459"/>
      <c r="BK233" s="460"/>
      <c r="BL233" s="461"/>
      <c r="BM233" s="459"/>
      <c r="BN233" s="459"/>
      <c r="BO233" s="460"/>
      <c r="BP233" s="424"/>
      <c r="BQ233" s="617">
        <v>0.49</v>
      </c>
      <c r="BR233" s="618">
        <v>0.51</v>
      </c>
      <c r="BS233" s="618">
        <v>0.53</v>
      </c>
      <c r="BT233" s="618">
        <v>0.53</v>
      </c>
      <c r="BU233" s="618">
        <v>0.54</v>
      </c>
      <c r="BV233" s="618">
        <v>0.56000000000000005</v>
      </c>
      <c r="BW233" s="618">
        <v>0.55000000000000004</v>
      </c>
      <c r="BX233" s="618"/>
      <c r="BY233" s="618"/>
      <c r="BZ233" s="618"/>
      <c r="CA233" s="618"/>
      <c r="CB233" s="413"/>
      <c r="CC233" s="413"/>
      <c r="CD233" s="413"/>
      <c r="CE233" s="413"/>
      <c r="CF233" s="412"/>
    </row>
    <row r="234" spans="1:89" ht="14.25" hidden="1" customHeight="1" outlineLevel="1">
      <c r="B234" s="455" t="str">
        <f>B227</f>
        <v>Government Contracts</v>
      </c>
      <c r="C234" s="367"/>
      <c r="D234" s="539"/>
      <c r="E234" s="557"/>
      <c r="F234" s="557"/>
      <c r="G234" s="558"/>
      <c r="H234" s="539"/>
      <c r="I234" s="557"/>
      <c r="J234" s="557"/>
      <c r="K234" s="558"/>
      <c r="L234" s="539"/>
      <c r="M234" s="557"/>
      <c r="N234" s="557"/>
      <c r="O234" s="558"/>
      <c r="P234" s="539"/>
      <c r="Q234" s="557"/>
      <c r="R234" s="557"/>
      <c r="S234" s="558"/>
      <c r="T234" s="539"/>
      <c r="U234" s="557"/>
      <c r="V234" s="557"/>
      <c r="W234" s="558"/>
      <c r="X234" s="539"/>
      <c r="Y234" s="557"/>
      <c r="Z234" s="557"/>
      <c r="AA234" s="558"/>
      <c r="AB234" s="539"/>
      <c r="AC234" s="557"/>
      <c r="AD234" s="557"/>
      <c r="AE234" s="558"/>
      <c r="AF234" s="539"/>
      <c r="AG234" s="557"/>
      <c r="AH234" s="557"/>
      <c r="AI234" s="828"/>
      <c r="AJ234" s="539"/>
      <c r="AK234" s="459"/>
      <c r="AL234" s="459"/>
      <c r="AM234" s="460"/>
      <c r="AN234" s="461"/>
      <c r="AO234" s="459"/>
      <c r="AP234" s="459"/>
      <c r="AQ234" s="460"/>
      <c r="AR234" s="461"/>
      <c r="AS234" s="459"/>
      <c r="AT234" s="459"/>
      <c r="AU234" s="460"/>
      <c r="AV234" s="459"/>
      <c r="AW234" s="459"/>
      <c r="AX234" s="459"/>
      <c r="AY234" s="460"/>
      <c r="AZ234" s="461"/>
      <c r="BA234" s="459"/>
      <c r="BB234" s="459"/>
      <c r="BC234" s="460"/>
      <c r="BD234" s="461"/>
      <c r="BE234" s="459"/>
      <c r="BF234" s="459"/>
      <c r="BG234" s="460"/>
      <c r="BH234" s="461"/>
      <c r="BI234" s="459"/>
      <c r="BJ234" s="459"/>
      <c r="BK234" s="460"/>
      <c r="BL234" s="461"/>
      <c r="BM234" s="459"/>
      <c r="BN234" s="459"/>
      <c r="BO234" s="460"/>
      <c r="BP234" s="424"/>
      <c r="BQ234" s="617">
        <v>0.03</v>
      </c>
      <c r="BR234" s="618">
        <v>0.03</v>
      </c>
      <c r="BS234" s="618">
        <v>0.03</v>
      </c>
      <c r="BT234" s="618">
        <v>0.03</v>
      </c>
      <c r="BU234" s="618">
        <v>0.05</v>
      </c>
      <c r="BV234" s="618">
        <v>0.04</v>
      </c>
      <c r="BW234" s="618">
        <v>0.03</v>
      </c>
      <c r="BX234" s="618"/>
      <c r="BY234" s="618"/>
      <c r="BZ234" s="618"/>
      <c r="CA234" s="618"/>
      <c r="CB234" s="413"/>
      <c r="CC234" s="413"/>
      <c r="CD234" s="413"/>
      <c r="CE234" s="413"/>
      <c r="CF234" s="412"/>
    </row>
    <row r="235" spans="1:89" ht="14.25" hidden="1" customHeight="1" outlineLevel="1">
      <c r="A235" s="106"/>
      <c r="B235" s="463" t="s">
        <v>207</v>
      </c>
      <c r="C235" s="433"/>
      <c r="D235" s="540"/>
      <c r="E235" s="559"/>
      <c r="F235" s="559"/>
      <c r="G235" s="560"/>
      <c r="H235" s="540"/>
      <c r="I235" s="559"/>
      <c r="J235" s="559"/>
      <c r="K235" s="560"/>
      <c r="L235" s="540"/>
      <c r="M235" s="559"/>
      <c r="N235" s="559"/>
      <c r="O235" s="560"/>
      <c r="P235" s="540"/>
      <c r="Q235" s="559"/>
      <c r="R235" s="559"/>
      <c r="S235" s="560"/>
      <c r="T235" s="540"/>
      <c r="U235" s="559"/>
      <c r="V235" s="559"/>
      <c r="W235" s="560"/>
      <c r="X235" s="540"/>
      <c r="Y235" s="559"/>
      <c r="Z235" s="559"/>
      <c r="AA235" s="560"/>
      <c r="AB235" s="540"/>
      <c r="AC235" s="559"/>
      <c r="AD235" s="559"/>
      <c r="AE235" s="560"/>
      <c r="AF235" s="540"/>
      <c r="AG235" s="559"/>
      <c r="AH235" s="559"/>
      <c r="AI235" s="829"/>
      <c r="AJ235" s="540"/>
      <c r="AK235" s="467"/>
      <c r="AL235" s="467"/>
      <c r="AM235" s="468"/>
      <c r="AN235" s="469"/>
      <c r="AO235" s="467"/>
      <c r="AP235" s="467"/>
      <c r="AQ235" s="468"/>
      <c r="AR235" s="469"/>
      <c r="AS235" s="467"/>
      <c r="AT235" s="467"/>
      <c r="AU235" s="468"/>
      <c r="AV235" s="467"/>
      <c r="AW235" s="467"/>
      <c r="AX235" s="467"/>
      <c r="AY235" s="468"/>
      <c r="AZ235" s="469"/>
      <c r="BA235" s="467"/>
      <c r="BB235" s="467"/>
      <c r="BC235" s="468"/>
      <c r="BD235" s="469"/>
      <c r="BE235" s="467"/>
      <c r="BF235" s="467"/>
      <c r="BG235" s="468"/>
      <c r="BH235" s="469"/>
      <c r="BI235" s="467"/>
      <c r="BJ235" s="467"/>
      <c r="BK235" s="468"/>
      <c r="BL235" s="469"/>
      <c r="BM235" s="467"/>
      <c r="BN235" s="467"/>
      <c r="BO235" s="468"/>
      <c r="BP235" s="440"/>
      <c r="BQ235" s="470">
        <f t="shared" ref="BQ235:BW235" si="1338">SUM(BQ233:BQ234)</f>
        <v>0.52</v>
      </c>
      <c r="BR235" s="470">
        <f t="shared" si="1338"/>
        <v>0.54</v>
      </c>
      <c r="BS235" s="470">
        <f t="shared" si="1338"/>
        <v>0.56000000000000005</v>
      </c>
      <c r="BT235" s="470">
        <f t="shared" si="1338"/>
        <v>0.56000000000000005</v>
      </c>
      <c r="BU235" s="470">
        <f t="shared" si="1338"/>
        <v>0.59000000000000008</v>
      </c>
      <c r="BV235" s="470">
        <f t="shared" si="1338"/>
        <v>0.60000000000000009</v>
      </c>
      <c r="BW235" s="470">
        <f t="shared" si="1338"/>
        <v>0.58000000000000007</v>
      </c>
      <c r="BX235" s="470"/>
      <c r="BY235" s="470"/>
      <c r="BZ235" s="470"/>
      <c r="CA235" s="470"/>
      <c r="CB235" s="470"/>
      <c r="CC235" s="470"/>
      <c r="CD235" s="470"/>
      <c r="CE235" s="470"/>
      <c r="CF235" s="1456"/>
      <c r="CG235" s="106"/>
      <c r="CH235" s="106"/>
      <c r="CI235" s="106"/>
      <c r="CJ235" s="106"/>
      <c r="CK235" s="106"/>
    </row>
    <row r="236" spans="1:89" ht="14.25" hidden="1" customHeight="1" outlineLevel="1">
      <c r="B236" s="366"/>
      <c r="AU236" s="1032"/>
      <c r="BQ236" s="8"/>
      <c r="BR236" s="8"/>
      <c r="BS236" s="8"/>
      <c r="BT236" s="8"/>
      <c r="BU236" s="8"/>
      <c r="BV236" s="8"/>
      <c r="BW236" s="8"/>
      <c r="BX236" s="8"/>
      <c r="BY236" s="8"/>
      <c r="BZ236" s="8"/>
      <c r="CA236" s="8"/>
      <c r="CB236" s="8"/>
      <c r="CC236" s="17"/>
      <c r="CD236" s="17"/>
      <c r="CE236" s="17"/>
      <c r="CF236" s="8"/>
    </row>
    <row r="237" spans="1:89" ht="14.25" hidden="1" customHeight="1" outlineLevel="2">
      <c r="A237" s="8"/>
      <c r="B237" s="313" t="s">
        <v>206</v>
      </c>
      <c r="C237" s="314"/>
      <c r="D237" s="553"/>
      <c r="E237" s="554"/>
      <c r="F237" s="554"/>
      <c r="G237" s="554"/>
      <c r="H237" s="540"/>
      <c r="I237" s="559"/>
      <c r="J237" s="559"/>
      <c r="K237" s="560"/>
      <c r="L237" s="540"/>
      <c r="M237" s="559"/>
      <c r="N237" s="559"/>
      <c r="O237" s="560"/>
      <c r="P237" s="540"/>
      <c r="Q237" s="559"/>
      <c r="R237" s="559"/>
      <c r="S237" s="560"/>
      <c r="T237" s="540"/>
      <c r="U237" s="559"/>
      <c r="V237" s="559"/>
      <c r="W237" s="560"/>
      <c r="X237" s="540"/>
      <c r="Y237" s="559"/>
      <c r="Z237" s="559"/>
      <c r="AA237" s="560"/>
      <c r="AB237" s="540"/>
      <c r="AC237" s="559"/>
      <c r="AD237" s="559"/>
      <c r="AE237" s="560"/>
      <c r="AF237" s="540"/>
      <c r="AG237" s="316"/>
      <c r="AH237" s="316"/>
      <c r="AI237" s="316"/>
      <c r="AJ237" s="315"/>
      <c r="AK237" s="316"/>
      <c r="AL237" s="316"/>
      <c r="AM237" s="316"/>
      <c r="AN237" s="315"/>
      <c r="AO237" s="316"/>
      <c r="AP237" s="316"/>
      <c r="AQ237" s="316"/>
      <c r="AR237" s="315"/>
      <c r="AS237" s="316"/>
      <c r="AT237" s="316"/>
      <c r="AU237" s="1171"/>
      <c r="AV237" s="316"/>
      <c r="AW237" s="316"/>
      <c r="AX237" s="316"/>
      <c r="AY237" s="316"/>
      <c r="AZ237" s="315"/>
      <c r="BA237" s="316"/>
      <c r="BB237" s="316"/>
      <c r="BC237" s="316"/>
      <c r="BD237" s="315"/>
      <c r="BE237" s="316"/>
      <c r="BF237" s="316"/>
      <c r="BG237" s="316"/>
      <c r="BH237" s="315"/>
      <c r="BI237" s="316"/>
      <c r="BJ237" s="316"/>
      <c r="BK237" s="316"/>
      <c r="BL237" s="315"/>
      <c r="BM237" s="316"/>
      <c r="BN237" s="316"/>
      <c r="BO237" s="316"/>
      <c r="BP237" s="23"/>
      <c r="BQ237" s="316">
        <f>IF(ROUND(BQ235,1)=1,"OK",BQ235)</f>
        <v>0.52</v>
      </c>
      <c r="BR237" s="316">
        <f>IF(ROUND(BR235,1)=1,"OK",BR235)</f>
        <v>0.54</v>
      </c>
      <c r="BS237" s="316">
        <f>IF(ROUND(BS235,1)=1,"OK",BS235)</f>
        <v>0.56000000000000005</v>
      </c>
      <c r="BT237" s="316">
        <f>IF(ROUND(BT235,1)=1,"OK",BT235)</f>
        <v>0.56000000000000005</v>
      </c>
      <c r="BU237" s="316">
        <f>IF(ROUND(BU235,1)=1,"OK",BU235)</f>
        <v>0.59000000000000008</v>
      </c>
      <c r="BV237" s="316"/>
      <c r="BW237" s="316"/>
      <c r="BX237" s="316"/>
      <c r="BY237" s="316"/>
      <c r="BZ237" s="316"/>
      <c r="CA237" s="316"/>
      <c r="CB237" s="316"/>
      <c r="CC237" s="316"/>
      <c r="CD237" s="316"/>
      <c r="CE237" s="316"/>
      <c r="CF237" s="1171"/>
      <c r="CG237" s="17"/>
      <c r="CH237" s="8"/>
      <c r="CI237" s="8"/>
      <c r="CJ237" s="8"/>
      <c r="CK237" s="8"/>
    </row>
    <row r="238" spans="1:89" ht="14.25" customHeight="1" collapsed="1">
      <c r="B238" s="366"/>
      <c r="AU238" s="1032"/>
      <c r="BQ238" s="8"/>
      <c r="BR238" s="8"/>
      <c r="BS238" s="8"/>
      <c r="BT238" s="8"/>
      <c r="BU238" s="8"/>
      <c r="BV238" s="8"/>
      <c r="BW238" s="8"/>
      <c r="BX238" s="8"/>
      <c r="BY238" s="8"/>
      <c r="BZ238" s="8"/>
      <c r="CA238" s="8"/>
      <c r="CB238" s="8"/>
      <c r="CC238" s="17"/>
      <c r="CD238" s="17"/>
      <c r="CE238" s="17"/>
      <c r="CF238" s="8"/>
    </row>
    <row r="239" spans="1:89" ht="14.25" customHeight="1">
      <c r="A239" s="1"/>
      <c r="B239" s="150" t="s">
        <v>291</v>
      </c>
      <c r="C239" s="151"/>
      <c r="D239" s="699" t="str">
        <f t="shared" ref="D239:AI239" si="1339">D9</f>
        <v>F1Q05A</v>
      </c>
      <c r="E239" s="698" t="str">
        <f t="shared" si="1339"/>
        <v>F2Q05A</v>
      </c>
      <c r="F239" s="698" t="str">
        <f t="shared" si="1339"/>
        <v>F3Q05A</v>
      </c>
      <c r="G239" s="698" t="str">
        <f t="shared" si="1339"/>
        <v>F4Q05A</v>
      </c>
      <c r="H239" s="699" t="str">
        <f t="shared" si="1339"/>
        <v>F1Q06A</v>
      </c>
      <c r="I239" s="698" t="str">
        <f t="shared" si="1339"/>
        <v>F2Q06A</v>
      </c>
      <c r="J239" s="698" t="str">
        <f t="shared" si="1339"/>
        <v>F3Q06A</v>
      </c>
      <c r="K239" s="698" t="str">
        <f t="shared" si="1339"/>
        <v>F4Q06A</v>
      </c>
      <c r="L239" s="699" t="str">
        <f t="shared" si="1339"/>
        <v>F1Q07A</v>
      </c>
      <c r="M239" s="698" t="str">
        <f t="shared" si="1339"/>
        <v>F2Q07A</v>
      </c>
      <c r="N239" s="698" t="str">
        <f t="shared" si="1339"/>
        <v>F3Q07A</v>
      </c>
      <c r="O239" s="698" t="str">
        <f t="shared" si="1339"/>
        <v>F4Q07A</v>
      </c>
      <c r="P239" s="699" t="str">
        <f t="shared" si="1339"/>
        <v>F1Q08A</v>
      </c>
      <c r="Q239" s="698" t="str">
        <f t="shared" si="1339"/>
        <v>F2Q08A</v>
      </c>
      <c r="R239" s="698" t="str">
        <f t="shared" si="1339"/>
        <v>F3Q08A</v>
      </c>
      <c r="S239" s="698" t="str">
        <f t="shared" si="1339"/>
        <v>F4Q08A</v>
      </c>
      <c r="T239" s="699" t="str">
        <f t="shared" si="1339"/>
        <v>F1Q09A</v>
      </c>
      <c r="U239" s="698" t="str">
        <f t="shared" si="1339"/>
        <v>F2Q09A</v>
      </c>
      <c r="V239" s="698" t="str">
        <f t="shared" si="1339"/>
        <v>F3Q09A</v>
      </c>
      <c r="W239" s="698" t="str">
        <f t="shared" si="1339"/>
        <v>F4Q09A</v>
      </c>
      <c r="X239" s="699" t="str">
        <f t="shared" si="1339"/>
        <v>F1Q10A</v>
      </c>
      <c r="Y239" s="698" t="str">
        <f t="shared" si="1339"/>
        <v>F2Q10A</v>
      </c>
      <c r="Z239" s="698" t="str">
        <f t="shared" si="1339"/>
        <v>F3Q10A</v>
      </c>
      <c r="AA239" s="698" t="str">
        <f t="shared" si="1339"/>
        <v>F4Q10A</v>
      </c>
      <c r="AB239" s="699" t="str">
        <f t="shared" si="1339"/>
        <v>F1Q11A</v>
      </c>
      <c r="AC239" s="698" t="str">
        <f t="shared" si="1339"/>
        <v>F2Q11A</v>
      </c>
      <c r="AD239" s="698" t="str">
        <f t="shared" si="1339"/>
        <v>F3Q11A</v>
      </c>
      <c r="AE239" s="698" t="str">
        <f t="shared" si="1339"/>
        <v>F4Q11A</v>
      </c>
      <c r="AF239" s="699" t="str">
        <f t="shared" si="1339"/>
        <v>F1Q12A</v>
      </c>
      <c r="AG239" s="698" t="str">
        <f t="shared" si="1339"/>
        <v>F2Q12A</v>
      </c>
      <c r="AH239" s="698" t="str">
        <f t="shared" si="1339"/>
        <v>F3Q12A</v>
      </c>
      <c r="AI239" s="698" t="str">
        <f t="shared" si="1339"/>
        <v>F4Q12A</v>
      </c>
      <c r="AJ239" s="699" t="str">
        <f t="shared" ref="AJ239:BO239" si="1340">AJ9</f>
        <v>F1Q13A</v>
      </c>
      <c r="AK239" s="698" t="str">
        <f t="shared" si="1340"/>
        <v>F2Q13A</v>
      </c>
      <c r="AL239" s="698" t="str">
        <f t="shared" si="1340"/>
        <v>F3Q13A</v>
      </c>
      <c r="AM239" s="698" t="str">
        <f t="shared" si="1340"/>
        <v>F4Q13A</v>
      </c>
      <c r="AN239" s="699" t="str">
        <f t="shared" si="1340"/>
        <v>F1Q14A</v>
      </c>
      <c r="AO239" s="698" t="str">
        <f t="shared" si="1340"/>
        <v>F2Q14A</v>
      </c>
      <c r="AP239" s="698" t="str">
        <f t="shared" si="1340"/>
        <v>F3Q14A</v>
      </c>
      <c r="AQ239" s="700" t="str">
        <f t="shared" si="1340"/>
        <v>F4Q14A</v>
      </c>
      <c r="AR239" s="699" t="str">
        <f t="shared" si="1340"/>
        <v>F1Q15A</v>
      </c>
      <c r="AS239" s="698" t="str">
        <f t="shared" si="1340"/>
        <v>F2Q15A</v>
      </c>
      <c r="AT239" s="698" t="str">
        <f t="shared" si="1340"/>
        <v>F3Q15A</v>
      </c>
      <c r="AU239" s="700" t="str">
        <f t="shared" si="1340"/>
        <v>F4Q15A</v>
      </c>
      <c r="AV239" s="698" t="str">
        <f t="shared" si="1340"/>
        <v>F1Q16A</v>
      </c>
      <c r="AW239" s="698" t="str">
        <f t="shared" si="1340"/>
        <v>F2Q16A</v>
      </c>
      <c r="AX239" s="698" t="str">
        <f t="shared" si="1340"/>
        <v>F3Q16A</v>
      </c>
      <c r="AY239" s="700" t="str">
        <f t="shared" si="1340"/>
        <v>F4Q16A</v>
      </c>
      <c r="AZ239" s="699" t="str">
        <f t="shared" si="1340"/>
        <v>F1Q17A</v>
      </c>
      <c r="BA239" s="698" t="str">
        <f t="shared" si="1340"/>
        <v>F2Q17A</v>
      </c>
      <c r="BB239" s="698" t="str">
        <f t="shared" si="1340"/>
        <v>F3Q17A</v>
      </c>
      <c r="BC239" s="700" t="str">
        <f t="shared" si="1340"/>
        <v>F4Q17A</v>
      </c>
      <c r="BD239" s="699" t="str">
        <f t="shared" si="1340"/>
        <v>F1Q18A</v>
      </c>
      <c r="BE239" s="698" t="str">
        <f t="shared" si="1340"/>
        <v>F2Q18E</v>
      </c>
      <c r="BF239" s="698" t="str">
        <f t="shared" si="1340"/>
        <v>F3Q18E</v>
      </c>
      <c r="BG239" s="700" t="str">
        <f t="shared" si="1340"/>
        <v>F4Q18E</v>
      </c>
      <c r="BH239" s="699" t="str">
        <f t="shared" si="1340"/>
        <v>F1Q19E</v>
      </c>
      <c r="BI239" s="698" t="str">
        <f t="shared" si="1340"/>
        <v>F2Q19E</v>
      </c>
      <c r="BJ239" s="698" t="str">
        <f t="shared" si="1340"/>
        <v>F3Q19E</v>
      </c>
      <c r="BK239" s="700" t="str">
        <f t="shared" si="1340"/>
        <v>F4Q19E</v>
      </c>
      <c r="BL239" s="699" t="str">
        <f t="shared" si="1340"/>
        <v>F1Q20E</v>
      </c>
      <c r="BM239" s="698" t="str">
        <f t="shared" si="1340"/>
        <v>F2Q20E</v>
      </c>
      <c r="BN239" s="698" t="str">
        <f t="shared" si="1340"/>
        <v>F3Q20E</v>
      </c>
      <c r="BO239" s="700" t="str">
        <f t="shared" si="1340"/>
        <v>F4Q20E</v>
      </c>
      <c r="BP239" s="23"/>
      <c r="BQ239" s="701" t="str">
        <f t="shared" ref="BQ239:CF239" si="1341">BQ9</f>
        <v>FY2005A</v>
      </c>
      <c r="BR239" s="698" t="str">
        <f t="shared" si="1341"/>
        <v>FY2006A</v>
      </c>
      <c r="BS239" s="698" t="str">
        <f t="shared" si="1341"/>
        <v>FY2007A</v>
      </c>
      <c r="BT239" s="698" t="str">
        <f t="shared" si="1341"/>
        <v>FY2008A</v>
      </c>
      <c r="BU239" s="698" t="str">
        <f t="shared" si="1341"/>
        <v>FY2009A</v>
      </c>
      <c r="BV239" s="698" t="str">
        <f t="shared" si="1341"/>
        <v>FY2010A</v>
      </c>
      <c r="BW239" s="698" t="str">
        <f t="shared" si="1341"/>
        <v>FY2011A</v>
      </c>
      <c r="BX239" s="698" t="str">
        <f t="shared" si="1341"/>
        <v>FY2012A</v>
      </c>
      <c r="BY239" s="698" t="str">
        <f t="shared" si="1341"/>
        <v>FY2013A</v>
      </c>
      <c r="BZ239" s="698" t="str">
        <f t="shared" si="1341"/>
        <v>FY2014A</v>
      </c>
      <c r="CA239" s="698" t="str">
        <f t="shared" si="1341"/>
        <v>FY2015A</v>
      </c>
      <c r="CB239" s="698" t="str">
        <f t="shared" si="1341"/>
        <v>FY2016A</v>
      </c>
      <c r="CC239" s="698" t="str">
        <f t="shared" si="1341"/>
        <v>FY2017A</v>
      </c>
      <c r="CD239" s="698" t="str">
        <f t="shared" si="1341"/>
        <v>FY2018E</v>
      </c>
      <c r="CE239" s="698" t="str">
        <f t="shared" si="1341"/>
        <v>FY2019E</v>
      </c>
      <c r="CF239" s="700" t="str">
        <f t="shared" si="1341"/>
        <v>FY2020E</v>
      </c>
      <c r="CG239" s="1031"/>
    </row>
    <row r="240" spans="1:89" ht="14.25" customHeight="1">
      <c r="B240" s="363" t="s">
        <v>293</v>
      </c>
      <c r="C240" s="418"/>
      <c r="D240" s="541"/>
      <c r="E240" s="542"/>
      <c r="F240" s="542"/>
      <c r="G240" s="543"/>
      <c r="H240" s="419">
        <v>251.95699999999999</v>
      </c>
      <c r="I240" s="420">
        <v>273.065</v>
      </c>
      <c r="J240" s="420">
        <v>285.334</v>
      </c>
      <c r="K240" s="527">
        <v>307.24600000000009</v>
      </c>
      <c r="L240" s="419">
        <v>298.452</v>
      </c>
      <c r="M240" s="420">
        <v>297.21100000000001</v>
      </c>
      <c r="N240" s="420">
        <v>298.04899999999998</v>
      </c>
      <c r="O240" s="527">
        <v>429.54</v>
      </c>
      <c r="P240" s="419">
        <v>331.06099999999998</v>
      </c>
      <c r="Q240" s="420">
        <v>355.90800000000002</v>
      </c>
      <c r="R240" s="420">
        <v>356.28</v>
      </c>
      <c r="S240" s="527">
        <v>100.08400000000006</v>
      </c>
      <c r="T240" s="419">
        <v>218.66200000000001</v>
      </c>
      <c r="U240" s="420">
        <v>205.17599999999999</v>
      </c>
      <c r="V240" s="420">
        <v>201.9</v>
      </c>
      <c r="W240" s="527">
        <v>232.2120000000001</v>
      </c>
      <c r="X240" s="419">
        <v>264.7</v>
      </c>
      <c r="Y240" s="420">
        <v>319</v>
      </c>
      <c r="Z240" s="420">
        <v>342.9</v>
      </c>
      <c r="AA240" s="527">
        <v>350.09999999999997</v>
      </c>
      <c r="AB240" s="419">
        <v>339</v>
      </c>
      <c r="AC240" s="420">
        <v>386.2</v>
      </c>
      <c r="AD240" s="420">
        <v>366.5</v>
      </c>
      <c r="AE240" s="527">
        <v>314.20000000000005</v>
      </c>
      <c r="AF240" s="419">
        <v>289.5</v>
      </c>
      <c r="AG240" s="420">
        <v>323.39999999999998</v>
      </c>
      <c r="AH240" s="420">
        <v>322.29500000000002</v>
      </c>
      <c r="AI240" s="527">
        <v>304.69299999999998</v>
      </c>
      <c r="AJ240" s="419">
        <v>282.654</v>
      </c>
      <c r="AK240" s="420">
        <v>312.07100000000003</v>
      </c>
      <c r="AL240" s="420">
        <v>314.19600000000003</v>
      </c>
      <c r="AM240" s="527">
        <v>312.98399999999998</v>
      </c>
      <c r="AN240" s="419">
        <v>290.36500000000001</v>
      </c>
      <c r="AO240" s="420">
        <v>326.52999999999997</v>
      </c>
      <c r="AP240" s="420">
        <v>350.57799999999997</v>
      </c>
      <c r="AQ240" s="527">
        <v>369.24099999999999</v>
      </c>
      <c r="AR240" s="419">
        <v>349.76600000000002</v>
      </c>
      <c r="AS240" s="420">
        <v>390.71199999999999</v>
      </c>
      <c r="AT240" s="420">
        <v>384.18700000000001</v>
      </c>
      <c r="AU240" s="527">
        <v>369.387</v>
      </c>
      <c r="AV240" s="420">
        <v>349.13400000000001</v>
      </c>
      <c r="AW240" s="420">
        <v>385.28699999999998</v>
      </c>
      <c r="AX240" s="420">
        <v>374.73500000000001</v>
      </c>
      <c r="AY240" s="527">
        <v>396.351</v>
      </c>
      <c r="AZ240" s="420">
        <v>401.48099999999999</v>
      </c>
      <c r="BA240" s="1340">
        <v>462.91300000000001</v>
      </c>
      <c r="BB240" s="1340">
        <v>700.21299999999997</v>
      </c>
      <c r="BC240" s="527">
        <v>720.25800000000004</v>
      </c>
      <c r="BD240" s="420">
        <v>743.62300000000005</v>
      </c>
      <c r="BE240" s="421"/>
      <c r="BF240" s="421"/>
      <c r="BG240" s="422"/>
      <c r="BH240" s="423"/>
      <c r="BI240" s="421"/>
      <c r="BJ240" s="421"/>
      <c r="BK240" s="422"/>
      <c r="BL240" s="423"/>
      <c r="BM240" s="421"/>
      <c r="BN240" s="421"/>
      <c r="BO240" s="422"/>
      <c r="BP240" s="424"/>
      <c r="BQ240" s="529"/>
      <c r="BR240" s="406">
        <f t="shared" ref="BR240:BR245" si="1342">SUM(H240:K240)</f>
        <v>1117.6020000000001</v>
      </c>
      <c r="BS240" s="406">
        <f t="shared" ref="BS240:BS245" si="1343">SUM(L240:O240)</f>
        <v>1323.252</v>
      </c>
      <c r="BT240" s="406">
        <f t="shared" ref="BT240:BT245" si="1344">SUM(P240:S240)</f>
        <v>1143.3330000000001</v>
      </c>
      <c r="BU240" s="406">
        <f t="shared" ref="BU240:BU245" si="1345">SUM(T240:W240)</f>
        <v>857.95</v>
      </c>
      <c r="BV240" s="406">
        <f t="shared" ref="BV240:BV245" si="1346">SUM(X240:AA240)</f>
        <v>1276.7</v>
      </c>
      <c r="BW240" s="406">
        <f t="shared" ref="BW240:BW245" si="1347">SUM(AB240:AE240)</f>
        <v>1405.9</v>
      </c>
      <c r="BX240" s="406">
        <f t="shared" ref="BX240:BX245" si="1348">SUM(AF240:AI240)</f>
        <v>1239.8879999999999</v>
      </c>
      <c r="BY240" s="406"/>
      <c r="BZ240" s="406"/>
      <c r="CA240" s="406"/>
      <c r="CB240" s="406"/>
      <c r="CC240" s="406"/>
      <c r="CD240" s="406"/>
      <c r="CE240" s="406"/>
      <c r="CF240" s="1453"/>
      <c r="CG240" s="1031"/>
    </row>
    <row r="241" spans="1:89" ht="14.25" customHeight="1">
      <c r="B241" s="364" t="s">
        <v>294</v>
      </c>
      <c r="C241" s="367"/>
      <c r="D241" s="544"/>
      <c r="E241" s="545"/>
      <c r="F241" s="545"/>
      <c r="G241" s="546"/>
      <c r="H241" s="426">
        <v>0</v>
      </c>
      <c r="I241" s="427">
        <v>0</v>
      </c>
      <c r="J241" s="427">
        <v>0</v>
      </c>
      <c r="K241" s="528">
        <v>0</v>
      </c>
      <c r="L241" s="426">
        <v>0</v>
      </c>
      <c r="M241" s="427">
        <v>0</v>
      </c>
      <c r="N241" s="427">
        <v>0</v>
      </c>
      <c r="O241" s="528">
        <v>0</v>
      </c>
      <c r="P241" s="426">
        <v>0</v>
      </c>
      <c r="Q241" s="427">
        <v>0</v>
      </c>
      <c r="R241" s="427">
        <v>0</v>
      </c>
      <c r="S241" s="528">
        <v>255.172</v>
      </c>
      <c r="T241" s="426">
        <v>41.246000000000002</v>
      </c>
      <c r="U241" s="427">
        <v>40.707999999999998</v>
      </c>
      <c r="V241" s="427">
        <v>51.497</v>
      </c>
      <c r="W241" s="528">
        <v>67.537999999999982</v>
      </c>
      <c r="X241" s="426">
        <v>72.5</v>
      </c>
      <c r="Y241" s="427">
        <v>83.4</v>
      </c>
      <c r="Z241" s="427">
        <v>83.5</v>
      </c>
      <c r="AA241" s="528">
        <v>93.6</v>
      </c>
      <c r="AB241" s="426">
        <v>94.6</v>
      </c>
      <c r="AC241" s="427">
        <v>106</v>
      </c>
      <c r="AD241" s="427">
        <v>101.2</v>
      </c>
      <c r="AE241" s="528">
        <v>112.4</v>
      </c>
      <c r="AF241" s="426">
        <v>119.1</v>
      </c>
      <c r="AG241" s="427">
        <v>118</v>
      </c>
      <c r="AH241" s="427">
        <v>114.655</v>
      </c>
      <c r="AI241" s="528">
        <v>110.227</v>
      </c>
      <c r="AJ241" s="426">
        <v>107.581</v>
      </c>
      <c r="AK241" s="427">
        <v>122.229</v>
      </c>
      <c r="AL241" s="427">
        <v>120.386</v>
      </c>
      <c r="AM241" s="528">
        <v>130.98099999999999</v>
      </c>
      <c r="AN241" s="426">
        <v>124.157</v>
      </c>
      <c r="AO241" s="427">
        <v>135.488</v>
      </c>
      <c r="AP241" s="427">
        <v>130.05199999999999</v>
      </c>
      <c r="AQ241" s="528">
        <v>134.49299999999999</v>
      </c>
      <c r="AR241" s="426">
        <v>123.675</v>
      </c>
      <c r="AS241" s="427">
        <v>139.70699999999999</v>
      </c>
      <c r="AT241" s="427">
        <v>130.10900000000001</v>
      </c>
      <c r="AU241" s="528">
        <v>132.18799999999999</v>
      </c>
      <c r="AV241" s="427">
        <v>126.631</v>
      </c>
      <c r="AW241" s="427">
        <v>138.03100000000001</v>
      </c>
      <c r="AX241" s="427">
        <v>134.61699999999999</v>
      </c>
      <c r="AY241" s="528">
        <v>141.535</v>
      </c>
      <c r="AZ241" s="427">
        <v>138.58500000000001</v>
      </c>
      <c r="BA241" s="1341">
        <v>150.41800000000001</v>
      </c>
      <c r="BB241" s="1341">
        <v>227.46199999999999</v>
      </c>
      <c r="BC241" s="528">
        <v>235.19</v>
      </c>
      <c r="BD241" s="427">
        <v>252.17</v>
      </c>
      <c r="BE241" s="428"/>
      <c r="BF241" s="428"/>
      <c r="BG241" s="429"/>
      <c r="BH241" s="430"/>
      <c r="BI241" s="428"/>
      <c r="BJ241" s="428"/>
      <c r="BK241" s="429"/>
      <c r="BL241" s="430"/>
      <c r="BM241" s="428"/>
      <c r="BN241" s="428"/>
      <c r="BO241" s="429"/>
      <c r="BP241" s="424"/>
      <c r="BQ241" s="530"/>
      <c r="BR241" s="406">
        <f t="shared" si="1342"/>
        <v>0</v>
      </c>
      <c r="BS241" s="406">
        <f t="shared" si="1343"/>
        <v>0</v>
      </c>
      <c r="BT241" s="406">
        <f t="shared" si="1344"/>
        <v>255.172</v>
      </c>
      <c r="BU241" s="406">
        <f t="shared" si="1345"/>
        <v>200.989</v>
      </c>
      <c r="BV241" s="406">
        <f t="shared" si="1346"/>
        <v>333</v>
      </c>
      <c r="BW241" s="406">
        <f t="shared" si="1347"/>
        <v>414.20000000000005</v>
      </c>
      <c r="BX241" s="406">
        <f t="shared" si="1348"/>
        <v>461.98199999999997</v>
      </c>
      <c r="BY241" s="406"/>
      <c r="BZ241" s="406"/>
      <c r="CA241" s="406"/>
      <c r="CB241" s="406"/>
      <c r="CC241" s="406"/>
      <c r="CD241" s="406"/>
      <c r="CE241" s="406"/>
      <c r="CF241" s="1453"/>
      <c r="CG241" s="1031"/>
    </row>
    <row r="242" spans="1:89" ht="14.25" customHeight="1">
      <c r="B242" s="364" t="s">
        <v>295</v>
      </c>
      <c r="C242" s="367"/>
      <c r="D242" s="544"/>
      <c r="E242" s="545"/>
      <c r="F242" s="545"/>
      <c r="G242" s="546"/>
      <c r="H242" s="426">
        <v>99.692999999999998</v>
      </c>
      <c r="I242" s="427">
        <v>108.414</v>
      </c>
      <c r="J242" s="427">
        <v>110.27</v>
      </c>
      <c r="K242" s="528">
        <v>131.37700000000001</v>
      </c>
      <c r="L242" s="426">
        <v>129.60400000000001</v>
      </c>
      <c r="M242" s="427">
        <v>131.185</v>
      </c>
      <c r="N242" s="427">
        <v>136.14500000000001</v>
      </c>
      <c r="O242" s="528">
        <v>126.85900000000004</v>
      </c>
      <c r="P242" s="426">
        <v>126.952</v>
      </c>
      <c r="Q242" s="427">
        <v>122.956</v>
      </c>
      <c r="R242" s="427">
        <v>129.78399999999999</v>
      </c>
      <c r="S242" s="528">
        <v>158.51</v>
      </c>
      <c r="T242" s="426">
        <v>76.701999999999998</v>
      </c>
      <c r="U242" s="427">
        <v>82.367999999999995</v>
      </c>
      <c r="V242" s="427">
        <v>104.432</v>
      </c>
      <c r="W242" s="528">
        <v>154.15</v>
      </c>
      <c r="X242" s="426">
        <v>144.9</v>
      </c>
      <c r="Y242" s="427">
        <v>145.5</v>
      </c>
      <c r="Z242" s="427">
        <v>155.9</v>
      </c>
      <c r="AA242" s="528">
        <v>164.6</v>
      </c>
      <c r="AB242" s="426">
        <v>146</v>
      </c>
      <c r="AC242" s="427">
        <v>136.19999999999999</v>
      </c>
      <c r="AD242" s="427">
        <v>135.6</v>
      </c>
      <c r="AE242" s="528">
        <v>148.6</v>
      </c>
      <c r="AF242" s="426">
        <v>116.9</v>
      </c>
      <c r="AG242" s="427">
        <v>108</v>
      </c>
      <c r="AH242" s="427">
        <v>108.905</v>
      </c>
      <c r="AI242" s="528">
        <v>137.62</v>
      </c>
      <c r="AJ242" s="426">
        <v>106.929</v>
      </c>
      <c r="AK242" s="427">
        <v>101.04900000000001</v>
      </c>
      <c r="AL242" s="427">
        <v>100.163</v>
      </c>
      <c r="AM242" s="528">
        <v>94.516000000000005</v>
      </c>
      <c r="AN242" s="426">
        <v>74.119</v>
      </c>
      <c r="AO242" s="427">
        <v>77.704999999999998</v>
      </c>
      <c r="AP242" s="427">
        <v>80.87</v>
      </c>
      <c r="AQ242" s="528">
        <v>92.328999999999994</v>
      </c>
      <c r="AR242" s="426">
        <v>94.834999999999994</v>
      </c>
      <c r="AS242" s="427">
        <v>109.032</v>
      </c>
      <c r="AT242" s="427">
        <v>206.77799999999999</v>
      </c>
      <c r="AU242" s="528">
        <v>317.37599999999998</v>
      </c>
      <c r="AV242" s="427">
        <v>125.702</v>
      </c>
      <c r="AW242" s="427">
        <v>80.037999999999997</v>
      </c>
      <c r="AX242" s="427">
        <v>186.101</v>
      </c>
      <c r="AY242" s="528">
        <v>294.04000000000002</v>
      </c>
      <c r="AZ242" s="427">
        <v>270.40800000000002</v>
      </c>
      <c r="BA242" s="1341">
        <v>205.44399999999999</v>
      </c>
      <c r="BB242" s="1341">
        <v>252.49799999999999</v>
      </c>
      <c r="BC242" s="528">
        <v>313.37400000000002</v>
      </c>
      <c r="BD242" s="427">
        <v>238.506</v>
      </c>
      <c r="BE242" s="428"/>
      <c r="BF242" s="428"/>
      <c r="BG242" s="429"/>
      <c r="BH242" s="430"/>
      <c r="BI242" s="428"/>
      <c r="BJ242" s="428"/>
      <c r="BK242" s="429"/>
      <c r="BL242" s="430"/>
      <c r="BM242" s="428"/>
      <c r="BN242" s="428"/>
      <c r="BO242" s="429"/>
      <c r="BP242" s="424"/>
      <c r="BQ242" s="530"/>
      <c r="BR242" s="406">
        <f t="shared" si="1342"/>
        <v>449.75400000000002</v>
      </c>
      <c r="BS242" s="406">
        <f t="shared" si="1343"/>
        <v>523.79300000000001</v>
      </c>
      <c r="BT242" s="406">
        <f t="shared" si="1344"/>
        <v>538.202</v>
      </c>
      <c r="BU242" s="406">
        <f t="shared" si="1345"/>
        <v>417.65200000000004</v>
      </c>
      <c r="BV242" s="406">
        <f t="shared" si="1346"/>
        <v>610.9</v>
      </c>
      <c r="BW242" s="406">
        <f t="shared" si="1347"/>
        <v>566.4</v>
      </c>
      <c r="BX242" s="406">
        <f t="shared" si="1348"/>
        <v>471.42500000000001</v>
      </c>
      <c r="BY242" s="406"/>
      <c r="BZ242" s="406"/>
      <c r="CA242" s="406"/>
      <c r="CB242" s="406"/>
      <c r="CC242" s="406"/>
      <c r="CD242" s="406"/>
      <c r="CE242" s="406"/>
      <c r="CF242" s="1453"/>
      <c r="CG242" s="1031"/>
    </row>
    <row r="243" spans="1:89" ht="14.25" customHeight="1">
      <c r="B243" s="364" t="s">
        <v>296</v>
      </c>
      <c r="C243" s="367"/>
      <c r="D243" s="544"/>
      <c r="E243" s="545"/>
      <c r="F243" s="545"/>
      <c r="G243" s="546"/>
      <c r="H243" s="426">
        <v>192.13499999999999</v>
      </c>
      <c r="I243" s="427">
        <v>190.78200000000001</v>
      </c>
      <c r="J243" s="427">
        <v>198.41399999999999</v>
      </c>
      <c r="K243" s="528">
        <v>166.845</v>
      </c>
      <c r="L243" s="426">
        <v>123.105</v>
      </c>
      <c r="M243" s="427">
        <v>134.50399999999999</v>
      </c>
      <c r="N243" s="427">
        <v>148.011</v>
      </c>
      <c r="O243" s="528">
        <v>37.024999999999999</v>
      </c>
      <c r="P243" s="426">
        <v>131.012</v>
      </c>
      <c r="Q243" s="427">
        <v>146.953</v>
      </c>
      <c r="R243" s="427">
        <v>147.89400000000001</v>
      </c>
      <c r="S243" s="528">
        <v>133.14699999999993</v>
      </c>
      <c r="T243" s="426">
        <v>125.708</v>
      </c>
      <c r="U243" s="427">
        <v>134.625</v>
      </c>
      <c r="V243" s="427">
        <v>123.55</v>
      </c>
      <c r="W243" s="528">
        <v>109.52600000000001</v>
      </c>
      <c r="X243" s="426">
        <v>120.9</v>
      </c>
      <c r="Y243" s="427">
        <v>120.3</v>
      </c>
      <c r="Z243" s="427">
        <v>138</v>
      </c>
      <c r="AA243" s="528">
        <v>161.69999999999999</v>
      </c>
      <c r="AB243" s="426">
        <v>148.9</v>
      </c>
      <c r="AC243" s="427">
        <v>162.4</v>
      </c>
      <c r="AD243" s="427">
        <v>154.6</v>
      </c>
      <c r="AE243" s="528">
        <v>140.9</v>
      </c>
      <c r="AF243" s="426">
        <v>122.6</v>
      </c>
      <c r="AG243" s="427">
        <v>125.7</v>
      </c>
      <c r="AH243" s="427">
        <v>137.17099999999999</v>
      </c>
      <c r="AI243" s="528">
        <v>142.42400000000001</v>
      </c>
      <c r="AJ243" s="426">
        <v>124.97</v>
      </c>
      <c r="AK243" s="427">
        <v>123.901</v>
      </c>
      <c r="AL243" s="427">
        <v>139.42699999999999</v>
      </c>
      <c r="AM243" s="528">
        <v>139.65199999999999</v>
      </c>
      <c r="AN243" s="426">
        <v>139.59700000000001</v>
      </c>
      <c r="AO243" s="427">
        <v>154.81299999999999</v>
      </c>
      <c r="AP243" s="427">
        <v>166.25200000000001</v>
      </c>
      <c r="AQ243" s="528">
        <v>218.184</v>
      </c>
      <c r="AR243" s="426">
        <v>203.71</v>
      </c>
      <c r="AS243" s="427">
        <v>181.56800000000001</v>
      </c>
      <c r="AT243" s="427">
        <v>142.291</v>
      </c>
      <c r="AU243" s="528">
        <v>159.77099999999999</v>
      </c>
      <c r="AV243" s="427">
        <v>167.96199999999999</v>
      </c>
      <c r="AW243" s="427">
        <v>175.41</v>
      </c>
      <c r="AX243" s="427">
        <v>174.13800000000001</v>
      </c>
      <c r="AY243" s="528">
        <v>171.697</v>
      </c>
      <c r="AZ243" s="427">
        <v>173.97499999999999</v>
      </c>
      <c r="BA243" s="1341">
        <v>181.744</v>
      </c>
      <c r="BB243" s="1341">
        <v>253.72900000000001</v>
      </c>
      <c r="BC243" s="528">
        <v>272.34800000000001</v>
      </c>
      <c r="BD243" s="427">
        <v>284.32499999999999</v>
      </c>
      <c r="BE243" s="428"/>
      <c r="BF243" s="428"/>
      <c r="BG243" s="429"/>
      <c r="BH243" s="430"/>
      <c r="BI243" s="428"/>
      <c r="BJ243" s="428"/>
      <c r="BK243" s="429"/>
      <c r="BL243" s="430"/>
      <c r="BM243" s="428"/>
      <c r="BN243" s="428"/>
      <c r="BO243" s="429"/>
      <c r="BP243" s="424"/>
      <c r="BQ243" s="530"/>
      <c r="BR243" s="406">
        <f t="shared" si="1342"/>
        <v>748.17600000000004</v>
      </c>
      <c r="BS243" s="406">
        <f t="shared" si="1343"/>
        <v>442.64499999999998</v>
      </c>
      <c r="BT243" s="406">
        <f t="shared" si="1344"/>
        <v>559.00599999999997</v>
      </c>
      <c r="BU243" s="406">
        <f t="shared" si="1345"/>
        <v>493.40899999999999</v>
      </c>
      <c r="BV243" s="406">
        <f t="shared" si="1346"/>
        <v>540.9</v>
      </c>
      <c r="BW243" s="406">
        <f t="shared" si="1347"/>
        <v>606.79999999999995</v>
      </c>
      <c r="BX243" s="406">
        <f t="shared" si="1348"/>
        <v>527.89499999999998</v>
      </c>
      <c r="BY243" s="406"/>
      <c r="BZ243" s="406"/>
      <c r="CA243" s="406"/>
      <c r="CB243" s="406"/>
      <c r="CC243" s="406"/>
      <c r="CD243" s="406"/>
      <c r="CE243" s="406"/>
      <c r="CF243" s="1453"/>
      <c r="CG243" s="1031"/>
    </row>
    <row r="244" spans="1:89" ht="14.25" hidden="1" customHeight="1">
      <c r="B244" s="364" t="s">
        <v>297</v>
      </c>
      <c r="C244" s="367"/>
      <c r="D244" s="544"/>
      <c r="E244" s="545"/>
      <c r="F244" s="545"/>
      <c r="G244" s="546"/>
      <c r="H244" s="426">
        <v>77.516999999999996</v>
      </c>
      <c r="I244" s="427">
        <v>71.611000000000004</v>
      </c>
      <c r="J244" s="427">
        <v>69.641999999999996</v>
      </c>
      <c r="K244" s="528">
        <v>80.074000000000012</v>
      </c>
      <c r="L244" s="426">
        <v>40.103999999999999</v>
      </c>
      <c r="M244" s="427">
        <v>34.582999999999998</v>
      </c>
      <c r="N244" s="427">
        <v>35.225999999999999</v>
      </c>
      <c r="O244" s="528">
        <v>30.118000000000009</v>
      </c>
      <c r="P244" s="426">
        <v>24.884</v>
      </c>
      <c r="Q244" s="427">
        <v>23.523</v>
      </c>
      <c r="R244" s="427">
        <v>25.027999999999999</v>
      </c>
      <c r="S244" s="528">
        <v>13.783000000000001</v>
      </c>
      <c r="T244" s="426">
        <v>14.250999999999999</v>
      </c>
      <c r="U244" s="427">
        <v>11.871</v>
      </c>
      <c r="V244" s="427">
        <v>10.612</v>
      </c>
      <c r="W244" s="528">
        <v>8.1739999999999995</v>
      </c>
      <c r="X244" s="426">
        <v>0</v>
      </c>
      <c r="Y244" s="427">
        <v>0</v>
      </c>
      <c r="Z244" s="427">
        <v>0</v>
      </c>
      <c r="AA244" s="528">
        <v>0</v>
      </c>
      <c r="AB244" s="426">
        <v>0</v>
      </c>
      <c r="AC244" s="427">
        <v>0</v>
      </c>
      <c r="AD244" s="427">
        <v>0</v>
      </c>
      <c r="AE244" s="528">
        <v>0</v>
      </c>
      <c r="AF244" s="426">
        <v>0</v>
      </c>
      <c r="AG244" s="427">
        <v>0</v>
      </c>
      <c r="AH244" s="427">
        <v>0</v>
      </c>
      <c r="AI244" s="528">
        <v>0</v>
      </c>
      <c r="AJ244" s="426">
        <v>0</v>
      </c>
      <c r="AK244" s="427">
        <v>0</v>
      </c>
      <c r="AL244" s="427">
        <v>0</v>
      </c>
      <c r="AM244" s="528">
        <v>0</v>
      </c>
      <c r="AN244" s="426">
        <v>0</v>
      </c>
      <c r="AO244" s="427">
        <v>0</v>
      </c>
      <c r="AP244" s="427">
        <v>0</v>
      </c>
      <c r="AQ244" s="528">
        <v>0</v>
      </c>
      <c r="AR244" s="426">
        <v>0</v>
      </c>
      <c r="AS244" s="427">
        <v>0</v>
      </c>
      <c r="AT244" s="427">
        <v>0</v>
      </c>
      <c r="AU244" s="528">
        <v>0</v>
      </c>
      <c r="AV244" s="427">
        <v>0</v>
      </c>
      <c r="AW244" s="427">
        <v>0</v>
      </c>
      <c r="AX244" s="427">
        <v>0</v>
      </c>
      <c r="AY244" s="528">
        <v>0</v>
      </c>
      <c r="AZ244" s="427">
        <v>0</v>
      </c>
      <c r="BA244" s="1341">
        <v>0</v>
      </c>
      <c r="BB244" s="1341">
        <v>0</v>
      </c>
      <c r="BC244" s="528"/>
      <c r="BD244" s="427">
        <v>0</v>
      </c>
      <c r="BE244" s="428"/>
      <c r="BF244" s="428"/>
      <c r="BG244" s="429"/>
      <c r="BH244" s="430"/>
      <c r="BI244" s="428"/>
      <c r="BJ244" s="428"/>
      <c r="BK244" s="429"/>
      <c r="BL244" s="430"/>
      <c r="BM244" s="428"/>
      <c r="BN244" s="428"/>
      <c r="BO244" s="429"/>
      <c r="BP244" s="424"/>
      <c r="BQ244" s="530"/>
      <c r="BR244" s="406">
        <f t="shared" si="1342"/>
        <v>298.84399999999999</v>
      </c>
      <c r="BS244" s="406">
        <f t="shared" si="1343"/>
        <v>140.03100000000001</v>
      </c>
      <c r="BT244" s="406">
        <f t="shared" si="1344"/>
        <v>87.218000000000004</v>
      </c>
      <c r="BU244" s="406">
        <f t="shared" si="1345"/>
        <v>44.908000000000001</v>
      </c>
      <c r="BV244" s="406">
        <f t="shared" si="1346"/>
        <v>0</v>
      </c>
      <c r="BW244" s="406">
        <f t="shared" si="1347"/>
        <v>0</v>
      </c>
      <c r="BX244" s="406">
        <f t="shared" si="1348"/>
        <v>0</v>
      </c>
      <c r="BY244" s="406"/>
      <c r="BZ244" s="406"/>
      <c r="CA244" s="406"/>
      <c r="CB244" s="406"/>
      <c r="CC244" s="406"/>
      <c r="CD244" s="406"/>
      <c r="CE244" s="406"/>
      <c r="CF244" s="1453"/>
      <c r="CG244" s="1031"/>
    </row>
    <row r="245" spans="1:89" ht="14.25" hidden="1" customHeight="1">
      <c r="B245" s="364" t="s">
        <v>300</v>
      </c>
      <c r="C245" s="367"/>
      <c r="D245" s="544"/>
      <c r="E245" s="545"/>
      <c r="F245" s="545"/>
      <c r="G245" s="546"/>
      <c r="H245" s="426">
        <v>0</v>
      </c>
      <c r="I245" s="427">
        <v>0</v>
      </c>
      <c r="J245" s="427">
        <v>0</v>
      </c>
      <c r="K245" s="528">
        <v>0</v>
      </c>
      <c r="L245" s="426">
        <v>35</v>
      </c>
      <c r="M245" s="427">
        <v>0</v>
      </c>
      <c r="N245" s="427">
        <v>0</v>
      </c>
      <c r="O245" s="528">
        <v>0</v>
      </c>
      <c r="P245" s="426">
        <v>0</v>
      </c>
      <c r="Q245" s="427">
        <v>0</v>
      </c>
      <c r="R245" s="427">
        <v>0</v>
      </c>
      <c r="S245" s="528">
        <v>0</v>
      </c>
      <c r="T245" s="426">
        <v>0</v>
      </c>
      <c r="U245" s="427">
        <v>0</v>
      </c>
      <c r="V245" s="427">
        <v>0</v>
      </c>
      <c r="W245" s="528">
        <v>0</v>
      </c>
      <c r="X245" s="426">
        <v>0</v>
      </c>
      <c r="Y245" s="427">
        <v>0</v>
      </c>
      <c r="Z245" s="427">
        <v>0</v>
      </c>
      <c r="AA245" s="528">
        <v>0</v>
      </c>
      <c r="AB245" s="426">
        <v>0</v>
      </c>
      <c r="AC245" s="427">
        <v>0</v>
      </c>
      <c r="AD245" s="427">
        <v>0</v>
      </c>
      <c r="AE245" s="528">
        <v>0</v>
      </c>
      <c r="AF245" s="426">
        <v>0</v>
      </c>
      <c r="AG245" s="427">
        <v>0</v>
      </c>
      <c r="AH245" s="427">
        <v>0</v>
      </c>
      <c r="AI245" s="528">
        <v>0</v>
      </c>
      <c r="AJ245" s="426">
        <v>0</v>
      </c>
      <c r="AK245" s="427">
        <v>0</v>
      </c>
      <c r="AL245" s="427">
        <v>0</v>
      </c>
      <c r="AM245" s="528">
        <v>0</v>
      </c>
      <c r="AN245" s="426">
        <v>0</v>
      </c>
      <c r="AO245" s="427">
        <v>0</v>
      </c>
      <c r="AP245" s="427">
        <v>0</v>
      </c>
      <c r="AQ245" s="528">
        <v>0</v>
      </c>
      <c r="AR245" s="426">
        <v>0</v>
      </c>
      <c r="AS245" s="427">
        <v>0</v>
      </c>
      <c r="AT245" s="427">
        <v>0</v>
      </c>
      <c r="AU245" s="528">
        <v>0</v>
      </c>
      <c r="AV245" s="427">
        <v>0</v>
      </c>
      <c r="AW245" s="427">
        <v>0</v>
      </c>
      <c r="AX245" s="427">
        <v>0</v>
      </c>
      <c r="AY245" s="528">
        <v>0</v>
      </c>
      <c r="AZ245" s="427">
        <v>0</v>
      </c>
      <c r="BA245" s="1341">
        <v>0</v>
      </c>
      <c r="BB245" s="1341">
        <v>0</v>
      </c>
      <c r="BC245" s="528"/>
      <c r="BD245" s="427">
        <v>0</v>
      </c>
      <c r="BE245" s="428"/>
      <c r="BF245" s="428"/>
      <c r="BG245" s="429"/>
      <c r="BH245" s="430"/>
      <c r="BI245" s="428"/>
      <c r="BJ245" s="428"/>
      <c r="BK245" s="429"/>
      <c r="BL245" s="430"/>
      <c r="BM245" s="428"/>
      <c r="BN245" s="428"/>
      <c r="BO245" s="429"/>
      <c r="BP245" s="424"/>
      <c r="BQ245" s="530"/>
      <c r="BR245" s="406">
        <f t="shared" si="1342"/>
        <v>0</v>
      </c>
      <c r="BS245" s="406">
        <f t="shared" si="1343"/>
        <v>35</v>
      </c>
      <c r="BT245" s="406">
        <f t="shared" si="1344"/>
        <v>0</v>
      </c>
      <c r="BU245" s="406">
        <f t="shared" si="1345"/>
        <v>0</v>
      </c>
      <c r="BV245" s="406">
        <f t="shared" si="1346"/>
        <v>0</v>
      </c>
      <c r="BW245" s="406">
        <f t="shared" si="1347"/>
        <v>0</v>
      </c>
      <c r="BX245" s="406">
        <f t="shared" si="1348"/>
        <v>0</v>
      </c>
      <c r="BY245" s="406"/>
      <c r="BZ245" s="406"/>
      <c r="CA245" s="406"/>
      <c r="CB245" s="406"/>
      <c r="CC245" s="406"/>
      <c r="CD245" s="406"/>
      <c r="CE245" s="406"/>
      <c r="CF245" s="1453"/>
      <c r="CG245" s="1031"/>
    </row>
    <row r="246" spans="1:89" ht="14.25" customHeight="1">
      <c r="A246" s="106"/>
      <c r="B246" s="432" t="s">
        <v>207</v>
      </c>
      <c r="C246" s="433"/>
      <c r="D246" s="550"/>
      <c r="E246" s="551"/>
      <c r="F246" s="551"/>
      <c r="G246" s="552"/>
      <c r="H246" s="434">
        <f t="shared" ref="H246:AP246" si="1349">SUM(H240:H245)</f>
        <v>621.30199999999991</v>
      </c>
      <c r="I246" s="435">
        <f t="shared" si="1349"/>
        <v>643.87199999999996</v>
      </c>
      <c r="J246" s="435">
        <f t="shared" si="1349"/>
        <v>663.66000000000008</v>
      </c>
      <c r="K246" s="436">
        <f t="shared" si="1349"/>
        <v>685.54200000000014</v>
      </c>
      <c r="L246" s="434">
        <f t="shared" si="1349"/>
        <v>626.2650000000001</v>
      </c>
      <c r="M246" s="435">
        <f t="shared" si="1349"/>
        <v>597.48299999999995</v>
      </c>
      <c r="N246" s="435">
        <f t="shared" si="1349"/>
        <v>617.43099999999993</v>
      </c>
      <c r="O246" s="436">
        <f t="shared" si="1349"/>
        <v>623.54200000000014</v>
      </c>
      <c r="P246" s="434">
        <f t="shared" si="1349"/>
        <v>613.90899999999999</v>
      </c>
      <c r="Q246" s="435">
        <f t="shared" si="1349"/>
        <v>649.34</v>
      </c>
      <c r="R246" s="435">
        <f t="shared" si="1349"/>
        <v>658.98599999999999</v>
      </c>
      <c r="S246" s="436">
        <f t="shared" si="1349"/>
        <v>660.69600000000003</v>
      </c>
      <c r="T246" s="434">
        <f t="shared" si="1349"/>
        <v>476.56899999999996</v>
      </c>
      <c r="U246" s="435">
        <f t="shared" si="1349"/>
        <v>474.74799999999993</v>
      </c>
      <c r="V246" s="435">
        <f t="shared" si="1349"/>
        <v>491.99100000000004</v>
      </c>
      <c r="W246" s="436">
        <f t="shared" si="1349"/>
        <v>571.60000000000014</v>
      </c>
      <c r="X246" s="434">
        <f t="shared" si="1349"/>
        <v>603</v>
      </c>
      <c r="Y246" s="435">
        <f t="shared" si="1349"/>
        <v>668.19999999999993</v>
      </c>
      <c r="Z246" s="435">
        <f t="shared" si="1349"/>
        <v>720.3</v>
      </c>
      <c r="AA246" s="436">
        <f t="shared" si="1349"/>
        <v>770</v>
      </c>
      <c r="AB246" s="434">
        <f t="shared" si="1349"/>
        <v>728.5</v>
      </c>
      <c r="AC246" s="435">
        <f t="shared" si="1349"/>
        <v>790.8</v>
      </c>
      <c r="AD246" s="435">
        <f t="shared" si="1349"/>
        <v>757.9</v>
      </c>
      <c r="AE246" s="436">
        <f t="shared" si="1349"/>
        <v>716.1</v>
      </c>
      <c r="AF246" s="434">
        <f t="shared" si="1349"/>
        <v>648.1</v>
      </c>
      <c r="AG246" s="435">
        <f>SUM(AG240:AG245)</f>
        <v>675.1</v>
      </c>
      <c r="AH246" s="435">
        <f t="shared" si="1349"/>
        <v>683.02600000000007</v>
      </c>
      <c r="AI246" s="436">
        <f t="shared" si="1349"/>
        <v>694.96399999999994</v>
      </c>
      <c r="AJ246" s="434">
        <f t="shared" si="1349"/>
        <v>622.13400000000001</v>
      </c>
      <c r="AK246" s="435">
        <f t="shared" si="1349"/>
        <v>659.25</v>
      </c>
      <c r="AL246" s="435">
        <f t="shared" si="1349"/>
        <v>674.17200000000003</v>
      </c>
      <c r="AM246" s="436">
        <f t="shared" si="1349"/>
        <v>678.13300000000004</v>
      </c>
      <c r="AN246" s="434">
        <f t="shared" si="1349"/>
        <v>628.23799999999994</v>
      </c>
      <c r="AO246" s="435">
        <f>SUM(AO240:AO245)</f>
        <v>694.53599999999994</v>
      </c>
      <c r="AP246" s="435">
        <f t="shared" si="1349"/>
        <v>727.75199999999995</v>
      </c>
      <c r="AQ246" s="436">
        <f t="shared" ref="AQ246:AV246" si="1350">SUM(AQ240:AQ245)</f>
        <v>814.24699999999996</v>
      </c>
      <c r="AR246" s="434">
        <f t="shared" si="1350"/>
        <v>771.9860000000001</v>
      </c>
      <c r="AS246" s="435">
        <f t="shared" si="1350"/>
        <v>821.01900000000001</v>
      </c>
      <c r="AT246" s="435">
        <f t="shared" si="1350"/>
        <v>863.36500000000001</v>
      </c>
      <c r="AU246" s="436">
        <f t="shared" si="1350"/>
        <v>978.72199999999998</v>
      </c>
      <c r="AV246" s="435">
        <f t="shared" si="1350"/>
        <v>769.42899999999997</v>
      </c>
      <c r="AW246" s="435">
        <f>SUM(AW240:AW245)</f>
        <v>778.76599999999996</v>
      </c>
      <c r="AX246" s="435">
        <f>SUM(AX240:AX245)</f>
        <v>869.59100000000001</v>
      </c>
      <c r="AY246" s="436">
        <f t="shared" ref="AY246:AZ246" si="1351">SUM(AY240:AY245)</f>
        <v>1003.6229999999999</v>
      </c>
      <c r="AZ246" s="435">
        <f t="shared" si="1351"/>
        <v>984.44900000000007</v>
      </c>
      <c r="BA246" s="1342">
        <f>SUM(BA240:BA245)</f>
        <v>1000.519</v>
      </c>
      <c r="BB246" s="1342">
        <f>SUM(BB240:BB245)</f>
        <v>1433.902</v>
      </c>
      <c r="BC246" s="436">
        <f t="shared" ref="BC246:BD246" si="1352">SUM(BC240:BC245)</f>
        <v>1541.17</v>
      </c>
      <c r="BD246" s="435">
        <f t="shared" si="1352"/>
        <v>1518.624</v>
      </c>
      <c r="BE246" s="437"/>
      <c r="BF246" s="437"/>
      <c r="BG246" s="438"/>
      <c r="BH246" s="439"/>
      <c r="BI246" s="437"/>
      <c r="BJ246" s="437"/>
      <c r="BK246" s="438"/>
      <c r="BL246" s="439"/>
      <c r="BM246" s="437"/>
      <c r="BN246" s="437"/>
      <c r="BO246" s="438"/>
      <c r="BP246" s="440"/>
      <c r="BQ246" s="531"/>
      <c r="BR246" s="441">
        <f t="shared" ref="BR246:BX246" si="1353">SUM(BR240:BR245)</f>
        <v>2614.3760000000002</v>
      </c>
      <c r="BS246" s="442">
        <f t="shared" si="1353"/>
        <v>2464.721</v>
      </c>
      <c r="BT246" s="442">
        <f t="shared" si="1353"/>
        <v>2582.931</v>
      </c>
      <c r="BU246" s="442">
        <f t="shared" si="1353"/>
        <v>2014.9079999999999</v>
      </c>
      <c r="BV246" s="442">
        <f t="shared" si="1353"/>
        <v>2761.5</v>
      </c>
      <c r="BW246" s="442">
        <f t="shared" si="1353"/>
        <v>2993.3</v>
      </c>
      <c r="BX246" s="442">
        <f t="shared" si="1353"/>
        <v>2701.19</v>
      </c>
      <c r="BY246" s="442"/>
      <c r="BZ246" s="442"/>
      <c r="CA246" s="442"/>
      <c r="CB246" s="442"/>
      <c r="CC246" s="442"/>
      <c r="CD246" s="442"/>
      <c r="CE246" s="442"/>
      <c r="CF246" s="1454"/>
      <c r="CG246" s="1474"/>
      <c r="CH246" s="106"/>
      <c r="CI246" s="106"/>
      <c r="CJ246" s="106"/>
      <c r="CK246" s="106"/>
    </row>
    <row r="247" spans="1:89" ht="14.25" customHeight="1">
      <c r="B247" s="70"/>
      <c r="AB247" s="8"/>
      <c r="AC247" s="8"/>
      <c r="AD247" s="8"/>
      <c r="AF247" s="8"/>
      <c r="AH247" s="8"/>
      <c r="AJ247" s="8"/>
      <c r="AN247" s="8"/>
      <c r="AR247" s="8"/>
      <c r="BP247" s="366"/>
      <c r="BQ247" s="366"/>
      <c r="BR247" s="366"/>
      <c r="BS247" s="366"/>
      <c r="BT247" s="366"/>
      <c r="BU247" s="366"/>
      <c r="BV247" s="366"/>
      <c r="BW247" s="366"/>
      <c r="BX247" s="366"/>
      <c r="BY247" s="366"/>
      <c r="BZ247" s="366"/>
      <c r="CA247" s="366"/>
      <c r="CB247" s="366"/>
      <c r="CC247" s="366"/>
      <c r="CD247" s="366"/>
      <c r="CE247" s="366"/>
      <c r="CF247" s="366"/>
    </row>
    <row r="248" spans="1:89" ht="14.25" customHeight="1">
      <c r="A248" s="8"/>
      <c r="B248" s="313" t="s">
        <v>157</v>
      </c>
      <c r="C248" s="314"/>
      <c r="D248" s="553"/>
      <c r="E248" s="554"/>
      <c r="F248" s="554"/>
      <c r="G248" s="554"/>
      <c r="H248" s="443">
        <f t="shared" ref="H248:AZ248" si="1354">IF(ABS(H246-H140)&lt;1,"OK",H246-H140)</f>
        <v>64.675999999999931</v>
      </c>
      <c r="I248" s="444">
        <f t="shared" si="1354"/>
        <v>66.217999999999961</v>
      </c>
      <c r="J248" s="444">
        <f t="shared" si="1354"/>
        <v>64.745000000000118</v>
      </c>
      <c r="K248" s="444">
        <f t="shared" si="1354"/>
        <v>75.818000000000097</v>
      </c>
      <c r="L248" s="443" t="str">
        <f t="shared" si="1354"/>
        <v>OK</v>
      </c>
      <c r="M248" s="444" t="str">
        <f t="shared" si="1354"/>
        <v>OK</v>
      </c>
      <c r="N248" s="444" t="str">
        <f t="shared" si="1354"/>
        <v>OK</v>
      </c>
      <c r="O248" s="444" t="str">
        <f t="shared" si="1354"/>
        <v>OK</v>
      </c>
      <c r="P248" s="443" t="str">
        <f t="shared" si="1354"/>
        <v>OK</v>
      </c>
      <c r="Q248" s="444" t="str">
        <f t="shared" si="1354"/>
        <v>OK</v>
      </c>
      <c r="R248" s="444" t="str">
        <f t="shared" si="1354"/>
        <v>OK</v>
      </c>
      <c r="S248" s="444" t="str">
        <f t="shared" si="1354"/>
        <v>OK</v>
      </c>
      <c r="T248" s="443" t="str">
        <f t="shared" si="1354"/>
        <v>OK</v>
      </c>
      <c r="U248" s="444" t="str">
        <f t="shared" si="1354"/>
        <v>OK</v>
      </c>
      <c r="V248" s="444" t="str">
        <f t="shared" si="1354"/>
        <v>OK</v>
      </c>
      <c r="W248" s="444" t="str">
        <f t="shared" si="1354"/>
        <v>OK</v>
      </c>
      <c r="X248" s="443" t="str">
        <f t="shared" si="1354"/>
        <v>OK</v>
      </c>
      <c r="Y248" s="444" t="str">
        <f t="shared" si="1354"/>
        <v>OK</v>
      </c>
      <c r="Z248" s="444" t="str">
        <f t="shared" si="1354"/>
        <v>OK</v>
      </c>
      <c r="AA248" s="444" t="str">
        <f t="shared" si="1354"/>
        <v>OK</v>
      </c>
      <c r="AB248" s="443" t="str">
        <f t="shared" si="1354"/>
        <v>OK</v>
      </c>
      <c r="AC248" s="444" t="str">
        <f t="shared" si="1354"/>
        <v>OK</v>
      </c>
      <c r="AD248" s="444" t="str">
        <f t="shared" si="1354"/>
        <v>OK</v>
      </c>
      <c r="AE248" s="444" t="str">
        <f t="shared" si="1354"/>
        <v>OK</v>
      </c>
      <c r="AF248" s="443" t="str">
        <f t="shared" si="1354"/>
        <v>OK</v>
      </c>
      <c r="AG248" s="444" t="str">
        <f t="shared" si="1354"/>
        <v>OK</v>
      </c>
      <c r="AH248" s="444" t="str">
        <f t="shared" si="1354"/>
        <v>OK</v>
      </c>
      <c r="AI248" s="444" t="str">
        <f t="shared" si="1354"/>
        <v>OK</v>
      </c>
      <c r="AJ248" s="443" t="str">
        <f t="shared" si="1354"/>
        <v>OK</v>
      </c>
      <c r="AK248" s="444" t="str">
        <f t="shared" si="1354"/>
        <v>OK</v>
      </c>
      <c r="AL248" s="444" t="str">
        <f t="shared" si="1354"/>
        <v>OK</v>
      </c>
      <c r="AM248" s="444" t="str">
        <f t="shared" si="1354"/>
        <v>OK</v>
      </c>
      <c r="AN248" s="443" t="str">
        <f t="shared" si="1354"/>
        <v>OK</v>
      </c>
      <c r="AO248" s="444" t="str">
        <f t="shared" si="1354"/>
        <v>OK</v>
      </c>
      <c r="AP248" s="444" t="str">
        <f t="shared" si="1354"/>
        <v>OK</v>
      </c>
      <c r="AQ248" s="444" t="str">
        <f t="shared" si="1354"/>
        <v>OK</v>
      </c>
      <c r="AR248" s="443" t="str">
        <f t="shared" si="1354"/>
        <v>OK</v>
      </c>
      <c r="AS248" s="444" t="str">
        <f t="shared" si="1354"/>
        <v>OK</v>
      </c>
      <c r="AT248" s="444" t="str">
        <f t="shared" si="1354"/>
        <v>OK</v>
      </c>
      <c r="AU248" s="444" t="str">
        <f t="shared" si="1354"/>
        <v>OK</v>
      </c>
      <c r="AV248" s="444" t="str">
        <f t="shared" si="1354"/>
        <v>OK</v>
      </c>
      <c r="AW248" s="444" t="str">
        <f t="shared" si="1354"/>
        <v>OK</v>
      </c>
      <c r="AX248" s="444" t="str">
        <f t="shared" si="1354"/>
        <v>OK</v>
      </c>
      <c r="AY248" s="444" t="str">
        <f t="shared" si="1354"/>
        <v>OK</v>
      </c>
      <c r="AZ248" s="444" t="str">
        <f t="shared" si="1354"/>
        <v>OK</v>
      </c>
      <c r="BA248" s="444" t="str">
        <f>IF(ABS(BA246-BA127)&lt;1,"OK",BA246-BA127)</f>
        <v>OK</v>
      </c>
      <c r="BB248" s="444" t="str">
        <f>IF(ABS(BB246-BB140)&lt;1,"OK",BB246-BB140)</f>
        <v>OK</v>
      </c>
      <c r="BC248" s="444" t="str">
        <f>IF(ABS(BC246-BC140)&lt;1,"OK",BC246-BC140)</f>
        <v>OK</v>
      </c>
      <c r="BD248" s="444" t="str">
        <f t="shared" ref="BD248" si="1355">IF(ABS(BD246-BD140)&lt;1,"OK",BD246-BD140)</f>
        <v>OK</v>
      </c>
      <c r="BE248" s="316"/>
      <c r="BF248" s="316"/>
      <c r="BG248" s="316"/>
      <c r="BH248" s="315"/>
      <c r="BI248" s="316"/>
      <c r="BJ248" s="316"/>
      <c r="BK248" s="316"/>
      <c r="BL248" s="315"/>
      <c r="BM248" s="316"/>
      <c r="BN248" s="316"/>
      <c r="BO248" s="316"/>
      <c r="BP248" s="23"/>
      <c r="BQ248" s="534"/>
      <c r="BR248" s="316">
        <f t="shared" ref="BR248:BX248" si="1356">IF(ABS(BR246-BR140)&lt;1,"OK",BR246-BR140)</f>
        <v>271.45700000000033</v>
      </c>
      <c r="BS248" s="316" t="str">
        <f t="shared" si="1356"/>
        <v>OK</v>
      </c>
      <c r="BT248" s="316" t="str">
        <f t="shared" si="1356"/>
        <v>OK</v>
      </c>
      <c r="BU248" s="316" t="str">
        <f t="shared" si="1356"/>
        <v>OK</v>
      </c>
      <c r="BV248" s="316" t="str">
        <f t="shared" si="1356"/>
        <v>OK</v>
      </c>
      <c r="BW248" s="316" t="str">
        <f t="shared" si="1356"/>
        <v>OK</v>
      </c>
      <c r="BX248" s="316" t="str">
        <f t="shared" si="1356"/>
        <v>OK</v>
      </c>
      <c r="BY248" s="316"/>
      <c r="BZ248" s="316"/>
      <c r="CA248" s="316"/>
      <c r="CB248" s="316"/>
      <c r="CC248" s="316"/>
      <c r="CD248" s="316"/>
      <c r="CE248" s="316"/>
      <c r="CF248" s="1171"/>
      <c r="CG248" s="25"/>
      <c r="CH248" s="8"/>
      <c r="CI248" s="8"/>
      <c r="CJ248" s="8"/>
      <c r="CK248" s="8"/>
    </row>
    <row r="249" spans="1:89" ht="14.25" customHeight="1">
      <c r="B249" s="70"/>
      <c r="AB249" s="8"/>
      <c r="AC249" s="8"/>
      <c r="AD249" s="8"/>
      <c r="AF249" s="8"/>
      <c r="AH249" s="8"/>
      <c r="AJ249" s="8"/>
      <c r="AL249" s="8"/>
      <c r="CC249" s="1005"/>
      <c r="CD249" s="1005"/>
      <c r="CE249" s="1005"/>
    </row>
    <row r="250" spans="1:89" ht="14.25" customHeight="1">
      <c r="A250" s="1"/>
      <c r="B250" s="150" t="s">
        <v>292</v>
      </c>
      <c r="C250" s="151"/>
      <c r="D250" s="699" t="str">
        <f t="shared" ref="D250:AI250" si="1357">D9</f>
        <v>F1Q05A</v>
      </c>
      <c r="E250" s="698" t="str">
        <f t="shared" si="1357"/>
        <v>F2Q05A</v>
      </c>
      <c r="F250" s="698" t="str">
        <f t="shared" si="1357"/>
        <v>F3Q05A</v>
      </c>
      <c r="G250" s="698" t="str">
        <f t="shared" si="1357"/>
        <v>F4Q05A</v>
      </c>
      <c r="H250" s="699" t="str">
        <f t="shared" si="1357"/>
        <v>F1Q06A</v>
      </c>
      <c r="I250" s="698" t="str">
        <f t="shared" si="1357"/>
        <v>F2Q06A</v>
      </c>
      <c r="J250" s="698" t="str">
        <f t="shared" si="1357"/>
        <v>F3Q06A</v>
      </c>
      <c r="K250" s="698" t="str">
        <f t="shared" si="1357"/>
        <v>F4Q06A</v>
      </c>
      <c r="L250" s="699" t="str">
        <f t="shared" si="1357"/>
        <v>F1Q07A</v>
      </c>
      <c r="M250" s="698" t="str">
        <f t="shared" si="1357"/>
        <v>F2Q07A</v>
      </c>
      <c r="N250" s="698" t="str">
        <f t="shared" si="1357"/>
        <v>F3Q07A</v>
      </c>
      <c r="O250" s="698" t="str">
        <f t="shared" si="1357"/>
        <v>F4Q07A</v>
      </c>
      <c r="P250" s="699" t="str">
        <f t="shared" si="1357"/>
        <v>F1Q08A</v>
      </c>
      <c r="Q250" s="698" t="str">
        <f t="shared" si="1357"/>
        <v>F2Q08A</v>
      </c>
      <c r="R250" s="698" t="str">
        <f t="shared" si="1357"/>
        <v>F3Q08A</v>
      </c>
      <c r="S250" s="698" t="str">
        <f t="shared" si="1357"/>
        <v>F4Q08A</v>
      </c>
      <c r="T250" s="699" t="str">
        <f t="shared" si="1357"/>
        <v>F1Q09A</v>
      </c>
      <c r="U250" s="698" t="str">
        <f t="shared" si="1357"/>
        <v>F2Q09A</v>
      </c>
      <c r="V250" s="698" t="str">
        <f t="shared" si="1357"/>
        <v>F3Q09A</v>
      </c>
      <c r="W250" s="698" t="str">
        <f t="shared" si="1357"/>
        <v>F4Q09A</v>
      </c>
      <c r="X250" s="699" t="str">
        <f t="shared" si="1357"/>
        <v>F1Q10A</v>
      </c>
      <c r="Y250" s="698" t="str">
        <f t="shared" si="1357"/>
        <v>F2Q10A</v>
      </c>
      <c r="Z250" s="698" t="str">
        <f t="shared" si="1357"/>
        <v>F3Q10A</v>
      </c>
      <c r="AA250" s="698" t="str">
        <f t="shared" si="1357"/>
        <v>F4Q10A</v>
      </c>
      <c r="AB250" s="699" t="str">
        <f t="shared" si="1357"/>
        <v>F1Q11A</v>
      </c>
      <c r="AC250" s="698" t="str">
        <f t="shared" si="1357"/>
        <v>F2Q11A</v>
      </c>
      <c r="AD250" s="698" t="str">
        <f t="shared" si="1357"/>
        <v>F3Q11A</v>
      </c>
      <c r="AE250" s="698" t="str">
        <f t="shared" si="1357"/>
        <v>F4Q11A</v>
      </c>
      <c r="AF250" s="699" t="str">
        <f t="shared" si="1357"/>
        <v>F1Q12A</v>
      </c>
      <c r="AG250" s="698" t="str">
        <f t="shared" si="1357"/>
        <v>F2Q12A</v>
      </c>
      <c r="AH250" s="698" t="str">
        <f t="shared" si="1357"/>
        <v>F3Q12A</v>
      </c>
      <c r="AI250" s="698" t="str">
        <f t="shared" si="1357"/>
        <v>F4Q12A</v>
      </c>
      <c r="AJ250" s="699" t="str">
        <f t="shared" ref="AJ250:BO250" si="1358">AJ9</f>
        <v>F1Q13A</v>
      </c>
      <c r="AK250" s="698" t="str">
        <f t="shared" si="1358"/>
        <v>F2Q13A</v>
      </c>
      <c r="AL250" s="698" t="str">
        <f t="shared" si="1358"/>
        <v>F3Q13A</v>
      </c>
      <c r="AM250" s="698" t="str">
        <f t="shared" si="1358"/>
        <v>F4Q13A</v>
      </c>
      <c r="AN250" s="699" t="str">
        <f t="shared" si="1358"/>
        <v>F1Q14A</v>
      </c>
      <c r="AO250" s="698" t="str">
        <f t="shared" si="1358"/>
        <v>F2Q14A</v>
      </c>
      <c r="AP250" s="698" t="str">
        <f t="shared" si="1358"/>
        <v>F3Q14A</v>
      </c>
      <c r="AQ250" s="700" t="str">
        <f t="shared" si="1358"/>
        <v>F4Q14A</v>
      </c>
      <c r="AR250" s="699" t="str">
        <f t="shared" si="1358"/>
        <v>F1Q15A</v>
      </c>
      <c r="AS250" s="698" t="str">
        <f t="shared" si="1358"/>
        <v>F2Q15A</v>
      </c>
      <c r="AT250" s="698" t="str">
        <f t="shared" si="1358"/>
        <v>F3Q15A</v>
      </c>
      <c r="AU250" s="700" t="str">
        <f t="shared" si="1358"/>
        <v>F4Q15A</v>
      </c>
      <c r="AV250" s="698" t="str">
        <f t="shared" si="1358"/>
        <v>F1Q16A</v>
      </c>
      <c r="AW250" s="698" t="str">
        <f t="shared" si="1358"/>
        <v>F2Q16A</v>
      </c>
      <c r="AX250" s="698" t="str">
        <f t="shared" si="1358"/>
        <v>F3Q16A</v>
      </c>
      <c r="AY250" s="700" t="str">
        <f t="shared" si="1358"/>
        <v>F4Q16A</v>
      </c>
      <c r="AZ250" s="698" t="str">
        <f t="shared" si="1358"/>
        <v>F1Q17A</v>
      </c>
      <c r="BA250" s="698" t="str">
        <f t="shared" si="1358"/>
        <v>F2Q17A</v>
      </c>
      <c r="BB250" s="698" t="str">
        <f t="shared" si="1358"/>
        <v>F3Q17A</v>
      </c>
      <c r="BC250" s="698" t="str">
        <f t="shared" si="1358"/>
        <v>F4Q17A</v>
      </c>
      <c r="BD250" s="699" t="str">
        <f t="shared" si="1358"/>
        <v>F1Q18A</v>
      </c>
      <c r="BE250" s="698" t="str">
        <f t="shared" si="1358"/>
        <v>F2Q18E</v>
      </c>
      <c r="BF250" s="698" t="str">
        <f t="shared" si="1358"/>
        <v>F3Q18E</v>
      </c>
      <c r="BG250" s="700" t="str">
        <f t="shared" si="1358"/>
        <v>F4Q18E</v>
      </c>
      <c r="BH250" s="699" t="str">
        <f t="shared" si="1358"/>
        <v>F1Q19E</v>
      </c>
      <c r="BI250" s="698" t="str">
        <f t="shared" si="1358"/>
        <v>F2Q19E</v>
      </c>
      <c r="BJ250" s="698" t="str">
        <f t="shared" si="1358"/>
        <v>F3Q19E</v>
      </c>
      <c r="BK250" s="700" t="str">
        <f t="shared" si="1358"/>
        <v>F4Q19E</v>
      </c>
      <c r="BL250" s="699" t="str">
        <f t="shared" si="1358"/>
        <v>F1Q20E</v>
      </c>
      <c r="BM250" s="698" t="str">
        <f t="shared" si="1358"/>
        <v>F2Q20E</v>
      </c>
      <c r="BN250" s="698" t="str">
        <f t="shared" si="1358"/>
        <v>F3Q20E</v>
      </c>
      <c r="BO250" s="700" t="str">
        <f t="shared" si="1358"/>
        <v>F4Q20E</v>
      </c>
      <c r="BP250" s="23"/>
      <c r="BQ250" s="701" t="str">
        <f t="shared" ref="BQ250:CF250" si="1359">BQ9</f>
        <v>FY2005A</v>
      </c>
      <c r="BR250" s="698" t="str">
        <f t="shared" si="1359"/>
        <v>FY2006A</v>
      </c>
      <c r="BS250" s="698" t="str">
        <f t="shared" si="1359"/>
        <v>FY2007A</v>
      </c>
      <c r="BT250" s="698" t="str">
        <f t="shared" si="1359"/>
        <v>FY2008A</v>
      </c>
      <c r="BU250" s="698" t="str">
        <f t="shared" si="1359"/>
        <v>FY2009A</v>
      </c>
      <c r="BV250" s="698" t="str">
        <f t="shared" si="1359"/>
        <v>FY2010A</v>
      </c>
      <c r="BW250" s="698" t="str">
        <f t="shared" si="1359"/>
        <v>FY2011A</v>
      </c>
      <c r="BX250" s="698" t="str">
        <f t="shared" si="1359"/>
        <v>FY2012A</v>
      </c>
      <c r="BY250" s="698" t="str">
        <f t="shared" si="1359"/>
        <v>FY2013A</v>
      </c>
      <c r="BZ250" s="698" t="str">
        <f t="shared" si="1359"/>
        <v>FY2014A</v>
      </c>
      <c r="CA250" s="698" t="str">
        <f t="shared" si="1359"/>
        <v>FY2015A</v>
      </c>
      <c r="CB250" s="698" t="str">
        <f t="shared" si="1359"/>
        <v>FY2016A</v>
      </c>
      <c r="CC250" s="698" t="str">
        <f t="shared" si="1359"/>
        <v>FY2017A</v>
      </c>
      <c r="CD250" s="698" t="str">
        <f t="shared" si="1359"/>
        <v>FY2018E</v>
      </c>
      <c r="CE250" s="698" t="str">
        <f t="shared" si="1359"/>
        <v>FY2019E</v>
      </c>
      <c r="CF250" s="700" t="str">
        <f t="shared" si="1359"/>
        <v>FY2020E</v>
      </c>
      <c r="CG250" s="1031"/>
    </row>
    <row r="251" spans="1:89" ht="14.25" customHeight="1">
      <c r="B251" s="446" t="str">
        <f>B240</f>
        <v>Industrial</v>
      </c>
      <c r="C251" s="418"/>
      <c r="D251" s="561"/>
      <c r="E251" s="555"/>
      <c r="F251" s="555"/>
      <c r="G251" s="556"/>
      <c r="H251" s="447">
        <f t="shared" ref="H251:AG251" si="1360">H240/H$140</f>
        <v>0.45265043314541542</v>
      </c>
      <c r="I251" s="448">
        <f t="shared" si="1360"/>
        <v>0.47271376983453761</v>
      </c>
      <c r="J251" s="448">
        <f t="shared" si="1360"/>
        <v>0.47641818955945336</v>
      </c>
      <c r="K251" s="449">
        <f t="shared" si="1360"/>
        <v>0.50390996582060088</v>
      </c>
      <c r="L251" s="447">
        <f t="shared" si="1360"/>
        <v>0.47655864530190895</v>
      </c>
      <c r="M251" s="448">
        <f t="shared" si="1360"/>
        <v>0.49743842084209933</v>
      </c>
      <c r="N251" s="448">
        <f t="shared" si="1360"/>
        <v>0.4827243853969107</v>
      </c>
      <c r="O251" s="449">
        <f t="shared" si="1360"/>
        <v>0.68887099826475207</v>
      </c>
      <c r="P251" s="447">
        <f t="shared" si="1360"/>
        <v>0.53926722038608321</v>
      </c>
      <c r="Q251" s="448">
        <f t="shared" si="1360"/>
        <v>0.54810730895986692</v>
      </c>
      <c r="R251" s="448">
        <f t="shared" si="1360"/>
        <v>0.54064881499758721</v>
      </c>
      <c r="S251" s="449">
        <f t="shared" si="1360"/>
        <v>0.15148267887197753</v>
      </c>
      <c r="T251" s="447">
        <f t="shared" si="1360"/>
        <v>0.45882547962624509</v>
      </c>
      <c r="U251" s="448">
        <f t="shared" si="1360"/>
        <v>0.4321787558873339</v>
      </c>
      <c r="V251" s="448">
        <f t="shared" si="1360"/>
        <v>0.41037336048830164</v>
      </c>
      <c r="W251" s="449">
        <f t="shared" si="1360"/>
        <v>0.40624912526242146</v>
      </c>
      <c r="X251" s="447">
        <f t="shared" si="1360"/>
        <v>0.43898418363370112</v>
      </c>
      <c r="Y251" s="448">
        <f t="shared" si="1360"/>
        <v>0.47737339877888185</v>
      </c>
      <c r="Z251" s="448">
        <f t="shared" si="1360"/>
        <v>0.47605825431423454</v>
      </c>
      <c r="AA251" s="449">
        <f t="shared" si="1360"/>
        <v>0.45468122962635871</v>
      </c>
      <c r="AB251" s="447">
        <f t="shared" si="1360"/>
        <v>0.46533718414723874</v>
      </c>
      <c r="AC251" s="448">
        <f t="shared" si="1360"/>
        <v>0.48837856293785881</v>
      </c>
      <c r="AD251" s="448">
        <f t="shared" si="1360"/>
        <v>0.48357175465957336</v>
      </c>
      <c r="AE251" s="449">
        <f t="shared" si="1360"/>
        <v>0.43874470420340334</v>
      </c>
      <c r="AF251" s="447">
        <f t="shared" si="1360"/>
        <v>0.44671927512660903</v>
      </c>
      <c r="AG251" s="448">
        <f t="shared" si="1360"/>
        <v>0.47904439974285057</v>
      </c>
      <c r="AH251" s="448">
        <f t="shared" ref="AH251:AK256" si="1361">AH240/AH$140</f>
        <v>0.47186344297288835</v>
      </c>
      <c r="AI251" s="449">
        <f t="shared" si="1361"/>
        <v>0.4384299042828117</v>
      </c>
      <c r="AJ251" s="447">
        <f t="shared" si="1361"/>
        <v>0.4543297746144721</v>
      </c>
      <c r="AK251" s="448">
        <f t="shared" si="1361"/>
        <v>0.47337277208949569</v>
      </c>
      <c r="AL251" s="448">
        <f t="shared" ref="AL251:AO256" si="1362">AL240/AL$140</f>
        <v>0.4660472401701643</v>
      </c>
      <c r="AM251" s="449">
        <f t="shared" si="1362"/>
        <v>0.46153778093677783</v>
      </c>
      <c r="AN251" s="447">
        <f t="shared" si="1362"/>
        <v>0.46218948869695875</v>
      </c>
      <c r="AO251" s="448">
        <f t="shared" si="1362"/>
        <v>0.47014121658200581</v>
      </c>
      <c r="AP251" s="448">
        <f t="shared" ref="AP251:AR256" si="1363">AP240/AP$140</f>
        <v>0.48172729171475998</v>
      </c>
      <c r="AQ251" s="449">
        <f t="shared" si="1363"/>
        <v>0.4534754196208276</v>
      </c>
      <c r="AR251" s="447">
        <f t="shared" si="1363"/>
        <v>0.45307298318881434</v>
      </c>
      <c r="AS251" s="448">
        <f t="shared" ref="AS251:AT256" si="1364">AS240/AS$140</f>
        <v>0.47588667253741995</v>
      </c>
      <c r="AT251" s="448">
        <f t="shared" si="1364"/>
        <v>0.44498792515332453</v>
      </c>
      <c r="AU251" s="449">
        <f t="shared" ref="AU251:AX256" si="1365">AU240/AU$140</f>
        <v>0.37741769368625616</v>
      </c>
      <c r="AV251" s="448">
        <f t="shared" si="1365"/>
        <v>0.45375726675235795</v>
      </c>
      <c r="AW251" s="448">
        <f t="shared" si="1365"/>
        <v>0.49474039698702821</v>
      </c>
      <c r="AX251" s="448">
        <f t="shared" si="1365"/>
        <v>0.43093247285217995</v>
      </c>
      <c r="AY251" s="449">
        <f t="shared" ref="AY251:AZ251" si="1366">AY240/AY$140</f>
        <v>0.39492020410054374</v>
      </c>
      <c r="AZ251" s="448">
        <f t="shared" si="1366"/>
        <v>0.40782305634928778</v>
      </c>
      <c r="BA251" s="448">
        <f>BA240/BA$127</f>
        <v>0.46267287277902769</v>
      </c>
      <c r="BB251" s="448">
        <f t="shared" ref="BB251:BD251" si="1367">BB240/BB$140</f>
        <v>0.48832695679342097</v>
      </c>
      <c r="BC251" s="448">
        <f t="shared" si="1367"/>
        <v>0.46734493923447773</v>
      </c>
      <c r="BD251" s="447">
        <f t="shared" si="1367"/>
        <v>0.489668937143098</v>
      </c>
      <c r="BE251" s="450"/>
      <c r="BF251" s="450"/>
      <c r="BG251" s="451"/>
      <c r="BH251" s="452"/>
      <c r="BI251" s="450"/>
      <c r="BJ251" s="450"/>
      <c r="BK251" s="451"/>
      <c r="BL251" s="452"/>
      <c r="BM251" s="450"/>
      <c r="BN251" s="450"/>
      <c r="BO251" s="451"/>
      <c r="BP251" s="424"/>
      <c r="BQ251" s="538"/>
      <c r="BR251" s="453">
        <f t="shared" ref="BR251:BW256" si="1368">BR240/BR$140</f>
        <v>0.47701264960504403</v>
      </c>
      <c r="BS251" s="454">
        <f t="shared" si="1368"/>
        <v>0.53687699337977801</v>
      </c>
      <c r="BT251" s="454">
        <f t="shared" si="1368"/>
        <v>0.44264945521192789</v>
      </c>
      <c r="BU251" s="454">
        <f t="shared" si="1368"/>
        <v>0.42580107875893097</v>
      </c>
      <c r="BV251" s="454">
        <f t="shared" si="1368"/>
        <v>0.46232069999561837</v>
      </c>
      <c r="BW251" s="454">
        <f t="shared" si="1368"/>
        <v>0.46967915224566703</v>
      </c>
      <c r="BX251" s="454">
        <f t="shared" ref="BX251:BX256" si="1369">BX240/BX$140</f>
        <v>0.45902362778410022</v>
      </c>
      <c r="BY251" s="454"/>
      <c r="BZ251" s="454"/>
      <c r="CA251" s="454"/>
      <c r="CB251" s="453"/>
      <c r="CC251" s="453"/>
      <c r="CD251" s="453"/>
      <c r="CE251" s="453"/>
      <c r="CF251" s="1455"/>
      <c r="CG251" s="1031"/>
    </row>
    <row r="252" spans="1:89" ht="14.25" customHeight="1">
      <c r="B252" s="455" t="str">
        <f>B241</f>
        <v>Automotive</v>
      </c>
      <c r="C252" s="367"/>
      <c r="D252" s="539"/>
      <c r="E252" s="557"/>
      <c r="F252" s="557"/>
      <c r="G252" s="558"/>
      <c r="H252" s="456">
        <f t="shared" ref="H252:AG252" si="1370">H241/H$140</f>
        <v>0</v>
      </c>
      <c r="I252" s="457">
        <f t="shared" si="1370"/>
        <v>0</v>
      </c>
      <c r="J252" s="457">
        <f t="shared" si="1370"/>
        <v>0</v>
      </c>
      <c r="K252" s="458">
        <f t="shared" si="1370"/>
        <v>0</v>
      </c>
      <c r="L252" s="456">
        <f t="shared" si="1370"/>
        <v>0</v>
      </c>
      <c r="M252" s="457">
        <f t="shared" si="1370"/>
        <v>0</v>
      </c>
      <c r="N252" s="457">
        <f t="shared" si="1370"/>
        <v>0</v>
      </c>
      <c r="O252" s="458">
        <f t="shared" si="1370"/>
        <v>0</v>
      </c>
      <c r="P252" s="456">
        <f t="shared" si="1370"/>
        <v>0</v>
      </c>
      <c r="Q252" s="457">
        <f t="shared" si="1370"/>
        <v>0</v>
      </c>
      <c r="R252" s="457">
        <f t="shared" si="1370"/>
        <v>0</v>
      </c>
      <c r="S252" s="458">
        <f t="shared" si="1370"/>
        <v>0.38621695908557035</v>
      </c>
      <c r="T252" s="456">
        <f t="shared" si="1370"/>
        <v>8.6547803151275055E-2</v>
      </c>
      <c r="U252" s="457">
        <f t="shared" si="1370"/>
        <v>8.5746543429356198E-2</v>
      </c>
      <c r="V252" s="457">
        <f t="shared" si="1370"/>
        <v>0.10467061389334358</v>
      </c>
      <c r="W252" s="458">
        <f t="shared" si="1370"/>
        <v>0.11815605318404475</v>
      </c>
      <c r="X252" s="456">
        <f t="shared" si="1370"/>
        <v>0.12023556219661252</v>
      </c>
      <c r="Y252" s="457">
        <f t="shared" si="1370"/>
        <v>0.12480545911648511</v>
      </c>
      <c r="Z252" s="457">
        <f t="shared" si="1370"/>
        <v>0.11592552999486319</v>
      </c>
      <c r="AA252" s="458">
        <f t="shared" si="1370"/>
        <v>0.12156002026000337</v>
      </c>
      <c r="AB252" s="456">
        <f t="shared" si="1370"/>
        <v>0.12985515522220878</v>
      </c>
      <c r="AC252" s="457">
        <f t="shared" si="1370"/>
        <v>0.1340448670932497</v>
      </c>
      <c r="AD252" s="457">
        <f t="shared" si="1370"/>
        <v>0.13352649814883719</v>
      </c>
      <c r="AE252" s="458">
        <f t="shared" si="1370"/>
        <v>0.15695386617588328</v>
      </c>
      <c r="AF252" s="456">
        <f t="shared" si="1370"/>
        <v>0.18377984686555832</v>
      </c>
      <c r="AG252" s="457">
        <f t="shared" si="1370"/>
        <v>0.17479047362293249</v>
      </c>
      <c r="AH252" s="457">
        <f t="shared" si="1361"/>
        <v>0.16786330242186975</v>
      </c>
      <c r="AI252" s="458">
        <f t="shared" si="1361"/>
        <v>0.15860821567735883</v>
      </c>
      <c r="AJ252" s="456">
        <f t="shared" si="1361"/>
        <v>0.17292255366207279</v>
      </c>
      <c r="AK252" s="457">
        <f t="shared" si="1361"/>
        <v>0.18540614334470989</v>
      </c>
      <c r="AL252" s="457">
        <f t="shared" si="1362"/>
        <v>0.17856867386957628</v>
      </c>
      <c r="AM252" s="458">
        <f>AM241/AM$140</f>
        <v>0.19314942643994612</v>
      </c>
      <c r="AN252" s="456">
        <f>AN241/AN$140</f>
        <v>0.19762733231673343</v>
      </c>
      <c r="AO252" s="457">
        <f>AO241/AO$140</f>
        <v>0.19507700104818182</v>
      </c>
      <c r="AP252" s="457">
        <f t="shared" si="1363"/>
        <v>0.17870373423913641</v>
      </c>
      <c r="AQ252" s="458">
        <f>AQ241/AQ$140</f>
        <v>0.16517469514778685</v>
      </c>
      <c r="AR252" s="456">
        <f>AR241/AR$140</f>
        <v>0.16020368245019986</v>
      </c>
      <c r="AS252" s="457">
        <f t="shared" si="1364"/>
        <v>0.17016293167393201</v>
      </c>
      <c r="AT252" s="457">
        <f t="shared" si="1364"/>
        <v>0.15069987780370991</v>
      </c>
      <c r="AU252" s="458">
        <f t="shared" si="1365"/>
        <v>0.1350618459583007</v>
      </c>
      <c r="AV252" s="457">
        <f t="shared" si="1365"/>
        <v>0.16457788827819073</v>
      </c>
      <c r="AW252" s="457">
        <f t="shared" si="1365"/>
        <v>0.17724322838952908</v>
      </c>
      <c r="AX252" s="457">
        <f t="shared" si="1365"/>
        <v>0.15480496003293501</v>
      </c>
      <c r="AY252" s="458">
        <f t="shared" ref="AY252:AZ252" si="1371">AY241/AY$140</f>
        <v>0.14102406979513224</v>
      </c>
      <c r="AZ252" s="457">
        <f t="shared" si="1371"/>
        <v>0.14077417926169869</v>
      </c>
      <c r="BA252" s="457">
        <f t="shared" ref="BA252:BA256" si="1372">BA241/BA$127</f>
        <v>0.15033997355372561</v>
      </c>
      <c r="BB252" s="457">
        <f t="shared" ref="BB252:BD252" si="1373">BB241/BB$140</f>
        <v>0.15863148248625078</v>
      </c>
      <c r="BC252" s="457">
        <f t="shared" si="1373"/>
        <v>0.15260483918062251</v>
      </c>
      <c r="BD252" s="456">
        <f t="shared" si="1373"/>
        <v>0.16605163621805002</v>
      </c>
      <c r="BE252" s="459"/>
      <c r="BF252" s="459"/>
      <c r="BG252" s="460"/>
      <c r="BH252" s="461"/>
      <c r="BI252" s="459"/>
      <c r="BJ252" s="459"/>
      <c r="BK252" s="460"/>
      <c r="BL252" s="461"/>
      <c r="BM252" s="459"/>
      <c r="BN252" s="459"/>
      <c r="BO252" s="460"/>
      <c r="BP252" s="424"/>
      <c r="BQ252" s="539"/>
      <c r="BR252" s="413">
        <f t="shared" si="1368"/>
        <v>0</v>
      </c>
      <c r="BS252" s="263">
        <f t="shared" si="1368"/>
        <v>0</v>
      </c>
      <c r="BT252" s="263">
        <f t="shared" si="1368"/>
        <v>9.8791644066372655E-2</v>
      </c>
      <c r="BU252" s="1425">
        <f t="shared" si="1368"/>
        <v>9.975095637120901E-2</v>
      </c>
      <c r="BV252" s="1425">
        <f t="shared" si="1368"/>
        <v>0.12058650669581022</v>
      </c>
      <c r="BW252" s="1425">
        <f t="shared" si="1368"/>
        <v>0.1383747811794262</v>
      </c>
      <c r="BX252" s="1425">
        <f t="shared" si="1369"/>
        <v>0.1710321041988907</v>
      </c>
      <c r="BY252" s="1425"/>
      <c r="BZ252" s="1425"/>
      <c r="CA252" s="1425"/>
      <c r="CB252" s="413"/>
      <c r="CC252" s="413"/>
      <c r="CD252" s="413"/>
      <c r="CE252" s="413"/>
      <c r="CF252" s="412"/>
      <c r="CG252" s="1031"/>
    </row>
    <row r="253" spans="1:89" ht="14.25" customHeight="1">
      <c r="B253" s="455" t="str">
        <f>B242</f>
        <v>Consumer</v>
      </c>
      <c r="C253" s="367"/>
      <c r="D253" s="539"/>
      <c r="E253" s="557"/>
      <c r="F253" s="557"/>
      <c r="G253" s="558"/>
      <c r="H253" s="456">
        <f t="shared" ref="H253:AG253" si="1374">H242/H$140</f>
        <v>0.17910230567742075</v>
      </c>
      <c r="I253" s="457">
        <f t="shared" si="1374"/>
        <v>0.18767982217728951</v>
      </c>
      <c r="J253" s="457">
        <f t="shared" si="1374"/>
        <v>0.18411627693412255</v>
      </c>
      <c r="K253" s="458">
        <f t="shared" si="1374"/>
        <v>0.21546962232091899</v>
      </c>
      <c r="L253" s="456">
        <f t="shared" si="1374"/>
        <v>0.20694753818271822</v>
      </c>
      <c r="M253" s="457">
        <f t="shared" si="1374"/>
        <v>0.21956273232878595</v>
      </c>
      <c r="N253" s="457">
        <f t="shared" si="1374"/>
        <v>0.22050237192496003</v>
      </c>
      <c r="O253" s="458">
        <f t="shared" si="1374"/>
        <v>0.20344900584082554</v>
      </c>
      <c r="P253" s="456">
        <f t="shared" si="1374"/>
        <v>0.20679286343741499</v>
      </c>
      <c r="Q253" s="457">
        <f t="shared" si="1374"/>
        <v>0.18935534542766502</v>
      </c>
      <c r="R253" s="457">
        <f t="shared" si="1374"/>
        <v>0.19694500338398691</v>
      </c>
      <c r="S253" s="458">
        <f t="shared" si="1374"/>
        <v>0.23991366679985951</v>
      </c>
      <c r="T253" s="456">
        <f t="shared" si="1374"/>
        <v>0.16094626381489352</v>
      </c>
      <c r="U253" s="457">
        <f t="shared" si="1374"/>
        <v>0.17349836123585566</v>
      </c>
      <c r="V253" s="457">
        <f t="shared" si="1374"/>
        <v>0.21226404548050676</v>
      </c>
      <c r="W253" s="458">
        <f t="shared" si="1374"/>
        <v>0.26968159552134358</v>
      </c>
      <c r="X253" s="456">
        <f t="shared" si="1374"/>
        <v>0.24030528223847109</v>
      </c>
      <c r="Y253" s="457">
        <f t="shared" si="1374"/>
        <v>0.21773614270322039</v>
      </c>
      <c r="Z253" s="457">
        <f t="shared" si="1374"/>
        <v>0.21644060031376253</v>
      </c>
      <c r="AA253" s="458">
        <f t="shared" si="1374"/>
        <v>0.21376900998714268</v>
      </c>
      <c r="AB253" s="456">
        <f t="shared" si="1374"/>
        <v>0.20041070467698185</v>
      </c>
      <c r="AC253" s="457">
        <f t="shared" si="1374"/>
        <v>0.17223500847264725</v>
      </c>
      <c r="AD253" s="457">
        <f t="shared" si="1374"/>
        <v>0.17891495206504268</v>
      </c>
      <c r="AE253" s="458">
        <f t="shared" si="1374"/>
        <v>0.2075030650688279</v>
      </c>
      <c r="AF253" s="456">
        <f t="shared" si="1374"/>
        <v>0.18038508898894853</v>
      </c>
      <c r="AG253" s="457">
        <f t="shared" si="1374"/>
        <v>0.15997772162098906</v>
      </c>
      <c r="AH253" s="457">
        <f t="shared" si="1361"/>
        <v>0.15944488203962953</v>
      </c>
      <c r="AI253" s="458">
        <f t="shared" si="1361"/>
        <v>0.19802464588093771</v>
      </c>
      <c r="AJ253" s="456">
        <f t="shared" si="1361"/>
        <v>0.17187454792697393</v>
      </c>
      <c r="AK253" s="457">
        <f t="shared" si="1361"/>
        <v>0.15327872582480093</v>
      </c>
      <c r="AL253" s="457">
        <f t="shared" si="1362"/>
        <v>0.14857187779973063</v>
      </c>
      <c r="AM253" s="458">
        <f t="shared" si="1362"/>
        <v>0.13937678891898786</v>
      </c>
      <c r="AN253" s="456">
        <f t="shared" si="1362"/>
        <v>0.11797917349794185</v>
      </c>
      <c r="AO253" s="457">
        <f t="shared" si="1362"/>
        <v>0.11188044968151399</v>
      </c>
      <c r="AP253" s="457">
        <f t="shared" si="1363"/>
        <v>0.11112301992986623</v>
      </c>
      <c r="AQ253" s="458">
        <f t="shared" si="1363"/>
        <v>0.11339188231580835</v>
      </c>
      <c r="AR253" s="456">
        <f t="shared" si="1363"/>
        <v>0.12284549201669459</v>
      </c>
      <c r="AS253" s="457">
        <f t="shared" si="1364"/>
        <v>0.1328008243414586</v>
      </c>
      <c r="AT253" s="457">
        <f t="shared" si="1364"/>
        <v>0.23950241207368841</v>
      </c>
      <c r="AU253" s="458">
        <f t="shared" si="1365"/>
        <v>0.32427594352635375</v>
      </c>
      <c r="AV253" s="457">
        <f t="shared" si="1365"/>
        <v>0.16337049942229886</v>
      </c>
      <c r="AW253" s="457">
        <f t="shared" si="1365"/>
        <v>0.10277541649224542</v>
      </c>
      <c r="AX253" s="457">
        <f t="shared" si="1365"/>
        <v>0.21400980460929334</v>
      </c>
      <c r="AY253" s="458">
        <f t="shared" ref="AY253:AZ253" si="1375">AY242/AY$140</f>
        <v>0.29297853875409391</v>
      </c>
      <c r="AZ253" s="457">
        <f t="shared" si="1375"/>
        <v>0.27467954155065427</v>
      </c>
      <c r="BA253" s="457">
        <f t="shared" si="1372"/>
        <v>0.20533742987389544</v>
      </c>
      <c r="BB253" s="457">
        <f t="shared" ref="BB253:BD253" si="1376">BB242/BB$140</f>
        <v>0.17609153205728145</v>
      </c>
      <c r="BC253" s="457">
        <f t="shared" si="1376"/>
        <v>0.20333512850626473</v>
      </c>
      <c r="BD253" s="456">
        <f t="shared" si="1376"/>
        <v>0.15705401732094318</v>
      </c>
      <c r="BE253" s="459"/>
      <c r="BF253" s="459"/>
      <c r="BG253" s="460"/>
      <c r="BH253" s="461"/>
      <c r="BI253" s="459"/>
      <c r="BJ253" s="459"/>
      <c r="BK253" s="460"/>
      <c r="BL253" s="461"/>
      <c r="BM253" s="459"/>
      <c r="BN253" s="459"/>
      <c r="BO253" s="460"/>
      <c r="BP253" s="424"/>
      <c r="BQ253" s="539"/>
      <c r="BR253" s="413">
        <f t="shared" si="1368"/>
        <v>0.19196310243760029</v>
      </c>
      <c r="BS253" s="263">
        <f t="shared" si="1368"/>
        <v>0.21251614280074702</v>
      </c>
      <c r="BT253" s="263">
        <f t="shared" si="1368"/>
        <v>0.20836870981067632</v>
      </c>
      <c r="BU253" s="1425">
        <f t="shared" si="1368"/>
        <v>0.2072809279629641</v>
      </c>
      <c r="BV253" s="1425">
        <f t="shared" si="1368"/>
        <v>0.22122011093234376</v>
      </c>
      <c r="BW253" s="1425">
        <f t="shared" si="1368"/>
        <v>0.18922133283444467</v>
      </c>
      <c r="BX253" s="1425">
        <f t="shared" si="1369"/>
        <v>0.17452803295791189</v>
      </c>
      <c r="BY253" s="1425"/>
      <c r="BZ253" s="1425"/>
      <c r="CA253" s="1425"/>
      <c r="CB253" s="413"/>
      <c r="CC253" s="413"/>
      <c r="CD253" s="413"/>
      <c r="CE253" s="413"/>
      <c r="CF253" s="412"/>
      <c r="CG253" s="1031"/>
    </row>
    <row r="254" spans="1:89" ht="14.25" customHeight="1">
      <c r="B254" s="455" t="str">
        <f>B243</f>
        <v>Communications</v>
      </c>
      <c r="C254" s="367"/>
      <c r="D254" s="539"/>
      <c r="E254" s="557"/>
      <c r="F254" s="557"/>
      <c r="G254" s="558"/>
      <c r="H254" s="456">
        <f t="shared" ref="H254:AG254" si="1377">H243/H$140</f>
        <v>0.34517791120069852</v>
      </c>
      <c r="I254" s="457">
        <f t="shared" si="1377"/>
        <v>0.33027036945991894</v>
      </c>
      <c r="J254" s="457">
        <f t="shared" si="1377"/>
        <v>0.33128908108830135</v>
      </c>
      <c r="K254" s="458">
        <f t="shared" si="1377"/>
        <v>0.27364020442036069</v>
      </c>
      <c r="L254" s="456">
        <f t="shared" si="1377"/>
        <v>0.19657014203252618</v>
      </c>
      <c r="M254" s="457">
        <f t="shared" si="1377"/>
        <v>0.22511770209361606</v>
      </c>
      <c r="N254" s="457">
        <f t="shared" si="1377"/>
        <v>0.23972071373157483</v>
      </c>
      <c r="O254" s="458">
        <f t="shared" si="1377"/>
        <v>5.9378518207273925E-2</v>
      </c>
      <c r="P254" s="456">
        <f t="shared" si="1377"/>
        <v>0.21340622144324323</v>
      </c>
      <c r="Q254" s="457">
        <f t="shared" si="1377"/>
        <v>0.22631133150583668</v>
      </c>
      <c r="R254" s="457">
        <f t="shared" si="1377"/>
        <v>0.22442661907840228</v>
      </c>
      <c r="S254" s="458">
        <f t="shared" si="1377"/>
        <v>0.20152536113431885</v>
      </c>
      <c r="T254" s="456">
        <f t="shared" si="1377"/>
        <v>0.26377712356447858</v>
      </c>
      <c r="U254" s="457">
        <f t="shared" si="1377"/>
        <v>0.28357149477196325</v>
      </c>
      <c r="V254" s="457">
        <f t="shared" si="1377"/>
        <v>0.2511224798827621</v>
      </c>
      <c r="W254" s="458">
        <f t="shared" si="1377"/>
        <v>0.19161301609517145</v>
      </c>
      <c r="X254" s="456">
        <f t="shared" si="1377"/>
        <v>0.2005031650975235</v>
      </c>
      <c r="Y254" s="457">
        <f t="shared" si="1377"/>
        <v>0.18002514066802347</v>
      </c>
      <c r="Z254" s="457">
        <f t="shared" si="1377"/>
        <v>0.19158949867414515</v>
      </c>
      <c r="AA254" s="458">
        <f t="shared" si="1377"/>
        <v>0.21000272730814684</v>
      </c>
      <c r="AB254" s="456">
        <f t="shared" si="1377"/>
        <v>0.20439146524933288</v>
      </c>
      <c r="AC254" s="457">
        <f t="shared" si="1377"/>
        <v>0.20536685298060145</v>
      </c>
      <c r="AD254" s="457">
        <f t="shared" si="1377"/>
        <v>0.20398415626294691</v>
      </c>
      <c r="AE254" s="458">
        <f t="shared" si="1377"/>
        <v>0.19675088740375404</v>
      </c>
      <c r="AF254" s="456">
        <f t="shared" si="1377"/>
        <v>0.18918059803289211</v>
      </c>
      <c r="AG254" s="457">
        <f t="shared" si="1377"/>
        <v>0.18619629266442894</v>
      </c>
      <c r="AH254" s="457">
        <f t="shared" si="1361"/>
        <v>0.20082837256561245</v>
      </c>
      <c r="AI254" s="458">
        <f t="shared" si="1361"/>
        <v>0.20493723415889167</v>
      </c>
      <c r="AJ254" s="456">
        <f t="shared" si="1361"/>
        <v>0.20087312379648115</v>
      </c>
      <c r="AK254" s="457">
        <f t="shared" si="1361"/>
        <v>0.18794235874099355</v>
      </c>
      <c r="AL254" s="457">
        <f t="shared" si="1362"/>
        <v>0.20681220816052875</v>
      </c>
      <c r="AM254" s="458">
        <f t="shared" si="1362"/>
        <v>0.20593600370428808</v>
      </c>
      <c r="AN254" s="456">
        <f t="shared" si="1362"/>
        <v>0.22220400548836586</v>
      </c>
      <c r="AO254" s="457">
        <f t="shared" si="1362"/>
        <v>0.22290133268829837</v>
      </c>
      <c r="AP254" s="457">
        <f t="shared" si="1363"/>
        <v>0.22844595411623742</v>
      </c>
      <c r="AQ254" s="458">
        <f t="shared" si="1363"/>
        <v>0.2679580029155772</v>
      </c>
      <c r="AR254" s="456">
        <f t="shared" si="1363"/>
        <v>0.26387784234429124</v>
      </c>
      <c r="AS254" s="457">
        <f t="shared" si="1364"/>
        <v>0.22114957144718941</v>
      </c>
      <c r="AT254" s="457">
        <f t="shared" si="1364"/>
        <v>0.16480978496927717</v>
      </c>
      <c r="AU254" s="458">
        <f t="shared" si="1365"/>
        <v>0.16324451682908936</v>
      </c>
      <c r="AV254" s="457">
        <f t="shared" si="1365"/>
        <v>0.21829434554715249</v>
      </c>
      <c r="AW254" s="457">
        <f t="shared" si="1365"/>
        <v>0.22524095813119732</v>
      </c>
      <c r="AX254" s="457">
        <f t="shared" si="1365"/>
        <v>0.20025276250559171</v>
      </c>
      <c r="AY254" s="458">
        <f t="shared" ref="AY254:AZ254" si="1378">AY243/AY$140</f>
        <v>0.17107718735023011</v>
      </c>
      <c r="AZ254" s="457">
        <f t="shared" si="1378"/>
        <v>0.17672322283835934</v>
      </c>
      <c r="BA254" s="457">
        <f t="shared" si="1372"/>
        <v>0.18164972379335126</v>
      </c>
      <c r="BB254" s="457">
        <f t="shared" ref="BB254:BD254" si="1379">BB243/BB$140</f>
        <v>0.17695002866304671</v>
      </c>
      <c r="BC254" s="457">
        <f t="shared" si="1379"/>
        <v>0.17671509307863506</v>
      </c>
      <c r="BD254" s="456">
        <f t="shared" si="1379"/>
        <v>0.18722540931790882</v>
      </c>
      <c r="BE254" s="459"/>
      <c r="BF254" s="459"/>
      <c r="BG254" s="460"/>
      <c r="BH254" s="461"/>
      <c r="BI254" s="459"/>
      <c r="BJ254" s="459"/>
      <c r="BK254" s="460"/>
      <c r="BL254" s="461"/>
      <c r="BM254" s="459"/>
      <c r="BN254" s="459"/>
      <c r="BO254" s="460"/>
      <c r="BP254" s="424"/>
      <c r="BQ254" s="539"/>
      <c r="BR254" s="413">
        <f t="shared" si="1368"/>
        <v>0.31933498341171851</v>
      </c>
      <c r="BS254" s="263">
        <f t="shared" si="1368"/>
        <v>0.17959233519737122</v>
      </c>
      <c r="BT254" s="263">
        <f t="shared" si="1368"/>
        <v>0.21642312551128928</v>
      </c>
      <c r="BU254" s="1425">
        <f t="shared" si="1368"/>
        <v>0.2448791706618863</v>
      </c>
      <c r="BV254" s="1425">
        <f t="shared" si="1368"/>
        <v>0.19587159601130255</v>
      </c>
      <c r="BW254" s="1425">
        <f t="shared" si="1368"/>
        <v>0.20271805219622357</v>
      </c>
      <c r="BX254" s="1425">
        <f t="shared" si="1369"/>
        <v>0.19543400532071251</v>
      </c>
      <c r="BY254" s="1425"/>
      <c r="BZ254" s="1425"/>
      <c r="CA254" s="1425"/>
      <c r="CB254" s="413"/>
      <c r="CC254" s="413"/>
      <c r="CD254" s="413"/>
      <c r="CE254" s="413"/>
      <c r="CF254" s="412"/>
      <c r="CG254" s="1031"/>
    </row>
    <row r="255" spans="1:89" ht="14.25" customHeight="1">
      <c r="B255" s="455" t="str">
        <f>B244</f>
        <v>Computer</v>
      </c>
      <c r="C255" s="367"/>
      <c r="D255" s="539"/>
      <c r="E255" s="557"/>
      <c r="F255" s="557"/>
      <c r="G255" s="558"/>
      <c r="H255" s="456">
        <f t="shared" ref="H255:AG255" si="1380">H244/H$140</f>
        <v>0.139262269459206</v>
      </c>
      <c r="I255" s="457">
        <f t="shared" si="1380"/>
        <v>0.12396867328885458</v>
      </c>
      <c r="J255" s="457">
        <f t="shared" si="1380"/>
        <v>0.11628027349456935</v>
      </c>
      <c r="K255" s="458">
        <f t="shared" si="1380"/>
        <v>0.13132827312029707</v>
      </c>
      <c r="L255" s="456">
        <f t="shared" si="1380"/>
        <v>6.4036789537975133E-2</v>
      </c>
      <c r="M255" s="457">
        <f t="shared" si="1380"/>
        <v>5.7881144735498755E-2</v>
      </c>
      <c r="N255" s="457">
        <f t="shared" si="1380"/>
        <v>5.7052528946554347E-2</v>
      </c>
      <c r="O255" s="458">
        <f t="shared" si="1380"/>
        <v>4.830147768714859E-2</v>
      </c>
      <c r="P255" s="456">
        <f t="shared" si="1380"/>
        <v>4.0533694733258512E-2</v>
      </c>
      <c r="Q255" s="457">
        <f t="shared" si="1380"/>
        <v>3.6226014106631343E-2</v>
      </c>
      <c r="R255" s="457">
        <f t="shared" si="1380"/>
        <v>3.7979562540023611E-2</v>
      </c>
      <c r="S255" s="458">
        <f t="shared" si="1380"/>
        <v>2.0861334108273701E-2</v>
      </c>
      <c r="T255" s="456">
        <f t="shared" si="1380"/>
        <v>2.9903329843107711E-2</v>
      </c>
      <c r="U255" s="457">
        <f t="shared" si="1380"/>
        <v>2.5004844675490998E-2</v>
      </c>
      <c r="V255" s="457">
        <f t="shared" si="1380"/>
        <v>2.1569500255085968E-2</v>
      </c>
      <c r="W255" s="458">
        <f t="shared" si="1380"/>
        <v>1.4300209937018893E-2</v>
      </c>
      <c r="X255" s="456">
        <f t="shared" si="1380"/>
        <v>0</v>
      </c>
      <c r="Y255" s="457">
        <f t="shared" si="1380"/>
        <v>0</v>
      </c>
      <c r="Z255" s="457">
        <f t="shared" si="1380"/>
        <v>0</v>
      </c>
      <c r="AA255" s="458">
        <f t="shared" si="1380"/>
        <v>0</v>
      </c>
      <c r="AB255" s="456">
        <f t="shared" si="1380"/>
        <v>0</v>
      </c>
      <c r="AC255" s="457">
        <f t="shared" si="1380"/>
        <v>0</v>
      </c>
      <c r="AD255" s="457">
        <f t="shared" si="1380"/>
        <v>0</v>
      </c>
      <c r="AE255" s="458">
        <f t="shared" si="1380"/>
        <v>0</v>
      </c>
      <c r="AF255" s="456">
        <f t="shared" si="1380"/>
        <v>0</v>
      </c>
      <c r="AG255" s="457">
        <f t="shared" si="1380"/>
        <v>0</v>
      </c>
      <c r="AH255" s="457">
        <f t="shared" si="1361"/>
        <v>0</v>
      </c>
      <c r="AI255" s="458">
        <f t="shared" si="1361"/>
        <v>0</v>
      </c>
      <c r="AJ255" s="456">
        <f t="shared" si="1361"/>
        <v>0</v>
      </c>
      <c r="AK255" s="457">
        <f t="shared" si="1361"/>
        <v>0</v>
      </c>
      <c r="AL255" s="457">
        <f t="shared" si="1362"/>
        <v>0</v>
      </c>
      <c r="AM255" s="458">
        <f t="shared" si="1362"/>
        <v>0</v>
      </c>
      <c r="AN255" s="456">
        <f t="shared" si="1362"/>
        <v>0</v>
      </c>
      <c r="AO255" s="457">
        <f t="shared" si="1362"/>
        <v>0</v>
      </c>
      <c r="AP255" s="457">
        <f t="shared" si="1363"/>
        <v>0</v>
      </c>
      <c r="AQ255" s="458">
        <f t="shared" si="1363"/>
        <v>0</v>
      </c>
      <c r="AR255" s="456">
        <f t="shared" si="1363"/>
        <v>0</v>
      </c>
      <c r="AS255" s="457">
        <f t="shared" si="1364"/>
        <v>0</v>
      </c>
      <c r="AT255" s="457">
        <f t="shared" si="1364"/>
        <v>0</v>
      </c>
      <c r="AU255" s="458">
        <f t="shared" si="1365"/>
        <v>0</v>
      </c>
      <c r="AV255" s="457">
        <f t="shared" si="1365"/>
        <v>0</v>
      </c>
      <c r="AW255" s="457">
        <f t="shared" si="1365"/>
        <v>0</v>
      </c>
      <c r="AX255" s="457">
        <f t="shared" si="1365"/>
        <v>0</v>
      </c>
      <c r="AY255" s="458">
        <f t="shared" ref="AY255:AZ255" si="1381">AY244/AY$140</f>
        <v>0</v>
      </c>
      <c r="AZ255" s="457">
        <f t="shared" si="1381"/>
        <v>0</v>
      </c>
      <c r="BA255" s="457">
        <f t="shared" si="1372"/>
        <v>0</v>
      </c>
      <c r="BB255" s="457">
        <f t="shared" ref="BB255:BD255" si="1382">BB244/BB$140</f>
        <v>0</v>
      </c>
      <c r="BC255" s="457">
        <f t="shared" si="1382"/>
        <v>0</v>
      </c>
      <c r="BD255" s="456">
        <f t="shared" si="1382"/>
        <v>0</v>
      </c>
      <c r="BE255" s="459"/>
      <c r="BF255" s="459"/>
      <c r="BG255" s="460"/>
      <c r="BH255" s="461"/>
      <c r="BI255" s="459"/>
      <c r="BJ255" s="459"/>
      <c r="BK255" s="460"/>
      <c r="BL255" s="461"/>
      <c r="BM255" s="459"/>
      <c r="BN255" s="459"/>
      <c r="BO255" s="460"/>
      <c r="BP255" s="424"/>
      <c r="BQ255" s="539"/>
      <c r="BR255" s="413">
        <f t="shared" si="1368"/>
        <v>0.12755199816980442</v>
      </c>
      <c r="BS255" s="263">
        <f t="shared" si="1368"/>
        <v>5.681413839538025E-2</v>
      </c>
      <c r="BT255" s="263">
        <f t="shared" si="1368"/>
        <v>3.376706539973387E-2</v>
      </c>
      <c r="BU255" s="1425">
        <f t="shared" si="1368"/>
        <v>2.22878662450097E-2</v>
      </c>
      <c r="BV255" s="1425">
        <f t="shared" si="1368"/>
        <v>0</v>
      </c>
      <c r="BW255" s="1425">
        <f t="shared" si="1368"/>
        <v>0</v>
      </c>
      <c r="BX255" s="1425">
        <f t="shared" si="1369"/>
        <v>0</v>
      </c>
      <c r="BY255" s="1425"/>
      <c r="BZ255" s="1425"/>
      <c r="CA255" s="1425"/>
      <c r="CB255" s="413"/>
      <c r="CC255" s="413"/>
      <c r="CD255" s="413"/>
      <c r="CE255" s="413"/>
      <c r="CF255" s="412"/>
      <c r="CG255" s="1031"/>
    </row>
    <row r="256" spans="1:89" ht="14.25" customHeight="1">
      <c r="B256" s="455" t="s">
        <v>300</v>
      </c>
      <c r="C256" s="367"/>
      <c r="D256" s="539"/>
      <c r="E256" s="557"/>
      <c r="F256" s="557"/>
      <c r="G256" s="558"/>
      <c r="H256" s="456">
        <f t="shared" ref="H256:AG256" si="1383">H245/H$140</f>
        <v>0</v>
      </c>
      <c r="I256" s="457">
        <f t="shared" si="1383"/>
        <v>0</v>
      </c>
      <c r="J256" s="457">
        <f t="shared" si="1383"/>
        <v>0</v>
      </c>
      <c r="K256" s="458">
        <f t="shared" si="1383"/>
        <v>0</v>
      </c>
      <c r="L256" s="456">
        <f t="shared" si="1383"/>
        <v>5.5886884944871582E-2</v>
      </c>
      <c r="M256" s="457">
        <f t="shared" si="1383"/>
        <v>0</v>
      </c>
      <c r="N256" s="457">
        <f t="shared" si="1383"/>
        <v>0</v>
      </c>
      <c r="O256" s="458">
        <f t="shared" si="1383"/>
        <v>0</v>
      </c>
      <c r="P256" s="456">
        <f t="shared" si="1383"/>
        <v>0</v>
      </c>
      <c r="Q256" s="457">
        <f t="shared" si="1383"/>
        <v>0</v>
      </c>
      <c r="R256" s="457">
        <f t="shared" si="1383"/>
        <v>0</v>
      </c>
      <c r="S256" s="458">
        <f t="shared" si="1383"/>
        <v>0</v>
      </c>
      <c r="T256" s="456">
        <f t="shared" si="1383"/>
        <v>0</v>
      </c>
      <c r="U256" s="457">
        <f t="shared" si="1383"/>
        <v>0</v>
      </c>
      <c r="V256" s="457">
        <f t="shared" si="1383"/>
        <v>0</v>
      </c>
      <c r="W256" s="458">
        <f t="shared" si="1383"/>
        <v>0</v>
      </c>
      <c r="X256" s="456">
        <f t="shared" si="1383"/>
        <v>0</v>
      </c>
      <c r="Y256" s="457">
        <f t="shared" si="1383"/>
        <v>0</v>
      </c>
      <c r="Z256" s="457">
        <f t="shared" si="1383"/>
        <v>0</v>
      </c>
      <c r="AA256" s="458">
        <f t="shared" si="1383"/>
        <v>0</v>
      </c>
      <c r="AB256" s="456">
        <f t="shared" si="1383"/>
        <v>0</v>
      </c>
      <c r="AC256" s="457">
        <f t="shared" si="1383"/>
        <v>0</v>
      </c>
      <c r="AD256" s="457">
        <f t="shared" si="1383"/>
        <v>0</v>
      </c>
      <c r="AE256" s="458">
        <f t="shared" si="1383"/>
        <v>0</v>
      </c>
      <c r="AF256" s="456">
        <f t="shared" si="1383"/>
        <v>0</v>
      </c>
      <c r="AG256" s="457">
        <f t="shared" si="1383"/>
        <v>0</v>
      </c>
      <c r="AH256" s="457">
        <f t="shared" si="1361"/>
        <v>0</v>
      </c>
      <c r="AI256" s="458">
        <f t="shared" si="1361"/>
        <v>0</v>
      </c>
      <c r="AJ256" s="456">
        <f t="shared" si="1361"/>
        <v>0</v>
      </c>
      <c r="AK256" s="457">
        <f t="shared" si="1361"/>
        <v>0</v>
      </c>
      <c r="AL256" s="457">
        <f t="shared" si="1362"/>
        <v>0</v>
      </c>
      <c r="AM256" s="458">
        <f t="shared" si="1362"/>
        <v>0</v>
      </c>
      <c r="AN256" s="456">
        <f t="shared" si="1362"/>
        <v>0</v>
      </c>
      <c r="AO256" s="457">
        <f t="shared" si="1362"/>
        <v>0</v>
      </c>
      <c r="AP256" s="457">
        <f t="shared" si="1363"/>
        <v>0</v>
      </c>
      <c r="AQ256" s="458">
        <f t="shared" si="1363"/>
        <v>0</v>
      </c>
      <c r="AR256" s="456">
        <f t="shared" si="1363"/>
        <v>0</v>
      </c>
      <c r="AS256" s="457">
        <f t="shared" si="1364"/>
        <v>0</v>
      </c>
      <c r="AT256" s="457">
        <f t="shared" si="1364"/>
        <v>0</v>
      </c>
      <c r="AU256" s="458">
        <f t="shared" si="1365"/>
        <v>0</v>
      </c>
      <c r="AV256" s="457">
        <f t="shared" si="1365"/>
        <v>0</v>
      </c>
      <c r="AW256" s="457">
        <f t="shared" si="1365"/>
        <v>0</v>
      </c>
      <c r="AX256" s="457">
        <f t="shared" si="1365"/>
        <v>0</v>
      </c>
      <c r="AY256" s="458">
        <f t="shared" ref="AY256:AZ256" si="1384">AY245/AY$140</f>
        <v>0</v>
      </c>
      <c r="AZ256" s="457">
        <f t="shared" si="1384"/>
        <v>0</v>
      </c>
      <c r="BA256" s="457">
        <f t="shared" si="1372"/>
        <v>0</v>
      </c>
      <c r="BB256" s="457">
        <f t="shared" ref="BB256:BD256" si="1385">BB245/BB$140</f>
        <v>0</v>
      </c>
      <c r="BC256" s="457">
        <f t="shared" si="1385"/>
        <v>0</v>
      </c>
      <c r="BD256" s="456">
        <f t="shared" si="1385"/>
        <v>0</v>
      </c>
      <c r="BE256" s="459"/>
      <c r="BF256" s="459"/>
      <c r="BG256" s="460"/>
      <c r="BH256" s="461"/>
      <c r="BI256" s="459"/>
      <c r="BJ256" s="459"/>
      <c r="BK256" s="460"/>
      <c r="BL256" s="461"/>
      <c r="BM256" s="459"/>
      <c r="BN256" s="459"/>
      <c r="BO256" s="460"/>
      <c r="BP256" s="424"/>
      <c r="BQ256" s="539"/>
      <c r="BR256" s="413">
        <f t="shared" si="1368"/>
        <v>0</v>
      </c>
      <c r="BS256" s="263">
        <f t="shared" si="1368"/>
        <v>1.420039022672343E-2</v>
      </c>
      <c r="BT256" s="263">
        <f t="shared" si="1368"/>
        <v>0</v>
      </c>
      <c r="BU256" s="1425">
        <f t="shared" si="1368"/>
        <v>0</v>
      </c>
      <c r="BV256" s="1425">
        <f t="shared" si="1368"/>
        <v>0</v>
      </c>
      <c r="BW256" s="1425">
        <f t="shared" si="1368"/>
        <v>0</v>
      </c>
      <c r="BX256" s="1425">
        <f t="shared" si="1369"/>
        <v>0</v>
      </c>
      <c r="BY256" s="1425"/>
      <c r="BZ256" s="1425"/>
      <c r="CA256" s="1425"/>
      <c r="CB256" s="413"/>
      <c r="CC256" s="413"/>
      <c r="CD256" s="413"/>
      <c r="CE256" s="413"/>
      <c r="CF256" s="412"/>
      <c r="CG256" s="1031"/>
    </row>
    <row r="257" spans="1:89" ht="14.25" customHeight="1">
      <c r="A257" s="106"/>
      <c r="B257" s="463" t="s">
        <v>207</v>
      </c>
      <c r="C257" s="433"/>
      <c r="D257" s="540"/>
      <c r="E257" s="559"/>
      <c r="F257" s="559"/>
      <c r="G257" s="560"/>
      <c r="H257" s="464">
        <f>SUM(H251:H256)</f>
        <v>1.1161929194827407</v>
      </c>
      <c r="I257" s="465">
        <f t="shared" ref="I257:AJ257" si="1386">SUM(I251:I256)</f>
        <v>1.1146326347606006</v>
      </c>
      <c r="J257" s="465">
        <f t="shared" si="1386"/>
        <v>1.1081038210764467</v>
      </c>
      <c r="K257" s="466">
        <f t="shared" si="1386"/>
        <v>1.1243480656821778</v>
      </c>
      <c r="L257" s="464">
        <f>SUM(L251:L256)</f>
        <v>1</v>
      </c>
      <c r="M257" s="465">
        <f>SUM(M251:M256)</f>
        <v>1</v>
      </c>
      <c r="N257" s="465">
        <f t="shared" si="1386"/>
        <v>0.99999999999999989</v>
      </c>
      <c r="O257" s="466">
        <f t="shared" si="1386"/>
        <v>1.0000000000000002</v>
      </c>
      <c r="P257" s="464">
        <f t="shared" si="1386"/>
        <v>0.99999999999999989</v>
      </c>
      <c r="Q257" s="465">
        <f t="shared" si="1386"/>
        <v>1</v>
      </c>
      <c r="R257" s="465">
        <f t="shared" si="1386"/>
        <v>1</v>
      </c>
      <c r="S257" s="466">
        <f t="shared" si="1386"/>
        <v>0.99999999999999989</v>
      </c>
      <c r="T257" s="464">
        <f t="shared" si="1386"/>
        <v>1</v>
      </c>
      <c r="U257" s="465">
        <f t="shared" si="1386"/>
        <v>0.99999999999999989</v>
      </c>
      <c r="V257" s="465">
        <f t="shared" si="1386"/>
        <v>1</v>
      </c>
      <c r="W257" s="466">
        <f t="shared" si="1386"/>
        <v>1</v>
      </c>
      <c r="X257" s="464">
        <f t="shared" si="1386"/>
        <v>1.0000281931663082</v>
      </c>
      <c r="Y257" s="465">
        <f t="shared" si="1386"/>
        <v>0.99994014126661079</v>
      </c>
      <c r="Z257" s="465">
        <f t="shared" si="1386"/>
        <v>1.0000138832970054</v>
      </c>
      <c r="AA257" s="466">
        <f t="shared" si="1386"/>
        <v>1.0000129871816514</v>
      </c>
      <c r="AB257" s="464">
        <f t="shared" si="1386"/>
        <v>0.99999450929576228</v>
      </c>
      <c r="AC257" s="465">
        <f t="shared" si="1386"/>
        <v>1.0000252914843573</v>
      </c>
      <c r="AD257" s="465">
        <f t="shared" si="1386"/>
        <v>0.99999736113640014</v>
      </c>
      <c r="AE257" s="466">
        <f t="shared" si="1386"/>
        <v>0.99995252285186853</v>
      </c>
      <c r="AF257" s="464">
        <f t="shared" si="1386"/>
        <v>1.0000648090140081</v>
      </c>
      <c r="AG257" s="465">
        <f>SUM(AG251:AG256)</f>
        <v>1.000008887651201</v>
      </c>
      <c r="AH257" s="465">
        <f t="shared" si="1386"/>
        <v>1</v>
      </c>
      <c r="AI257" s="466">
        <f t="shared" si="1386"/>
        <v>0.99999999999999989</v>
      </c>
      <c r="AJ257" s="464">
        <f t="shared" si="1386"/>
        <v>1</v>
      </c>
      <c r="AK257" s="465">
        <f t="shared" ref="AK257:AP257" si="1387">SUM(AK251:AK256)</f>
        <v>1.0000000000000002</v>
      </c>
      <c r="AL257" s="465">
        <f t="shared" si="1387"/>
        <v>1</v>
      </c>
      <c r="AM257" s="466">
        <f t="shared" si="1387"/>
        <v>0.99999999999999989</v>
      </c>
      <c r="AN257" s="464">
        <f t="shared" si="1387"/>
        <v>0.99999999999999989</v>
      </c>
      <c r="AO257" s="465">
        <f t="shared" si="1387"/>
        <v>1</v>
      </c>
      <c r="AP257" s="465">
        <f t="shared" si="1387"/>
        <v>1</v>
      </c>
      <c r="AQ257" s="466">
        <f t="shared" ref="AQ257:AV257" si="1388">SUM(AQ251:AQ256)</f>
        <v>1</v>
      </c>
      <c r="AR257" s="464">
        <f t="shared" si="1388"/>
        <v>1</v>
      </c>
      <c r="AS257" s="465">
        <f t="shared" si="1388"/>
        <v>0.99999999999999989</v>
      </c>
      <c r="AT257" s="465">
        <f t="shared" si="1388"/>
        <v>1</v>
      </c>
      <c r="AU257" s="466">
        <f t="shared" si="1388"/>
        <v>0.99999999999999989</v>
      </c>
      <c r="AV257" s="465">
        <f t="shared" si="1388"/>
        <v>1</v>
      </c>
      <c r="AW257" s="465">
        <f>SUM(AW251:AW256)</f>
        <v>1</v>
      </c>
      <c r="AX257" s="465">
        <f>SUM(AX251:AX256)</f>
        <v>1</v>
      </c>
      <c r="AY257" s="466">
        <f t="shared" ref="AY257:AZ257" si="1389">SUM(AY251:AY256)</f>
        <v>1</v>
      </c>
      <c r="AZ257" s="465">
        <f t="shared" si="1389"/>
        <v>1</v>
      </c>
      <c r="BA257" s="465">
        <f>SUM(BA251:BA256)</f>
        <v>1</v>
      </c>
      <c r="BB257" s="465">
        <f>SUM(BB251:BB256)</f>
        <v>1</v>
      </c>
      <c r="BC257" s="465">
        <f>SUM(BC251:BC256)</f>
        <v>1</v>
      </c>
      <c r="BD257" s="464">
        <f t="shared" ref="BD257" si="1390">SUM(BD251:BD256)</f>
        <v>1</v>
      </c>
      <c r="BE257" s="467"/>
      <c r="BF257" s="467"/>
      <c r="BG257" s="468"/>
      <c r="BH257" s="469"/>
      <c r="BI257" s="467"/>
      <c r="BJ257" s="467"/>
      <c r="BK257" s="468"/>
      <c r="BL257" s="469"/>
      <c r="BM257" s="467"/>
      <c r="BN257" s="467"/>
      <c r="BO257" s="468"/>
      <c r="BP257" s="440"/>
      <c r="BQ257" s="540"/>
      <c r="BR257" s="470">
        <f t="shared" ref="BR257:BX257" si="1391">SUM(BR251:BR256)</f>
        <v>1.1158627336241671</v>
      </c>
      <c r="BS257" s="471">
        <f t="shared" si="1391"/>
        <v>1</v>
      </c>
      <c r="BT257" s="471">
        <f t="shared" si="1391"/>
        <v>1</v>
      </c>
      <c r="BU257" s="471">
        <f t="shared" si="1391"/>
        <v>1</v>
      </c>
      <c r="BV257" s="471">
        <f t="shared" si="1391"/>
        <v>0.99999891363507487</v>
      </c>
      <c r="BW257" s="471">
        <f t="shared" si="1391"/>
        <v>0.99999331845576145</v>
      </c>
      <c r="BX257" s="471">
        <f t="shared" si="1391"/>
        <v>1.0000177702616153</v>
      </c>
      <c r="BY257" s="471"/>
      <c r="BZ257" s="471"/>
      <c r="CA257" s="471"/>
      <c r="CB257" s="470"/>
      <c r="CC257" s="470"/>
      <c r="CD257" s="470"/>
      <c r="CE257" s="470"/>
      <c r="CF257" s="1456"/>
      <c r="CG257" s="1474"/>
      <c r="CH257" s="106"/>
      <c r="CI257" s="106"/>
      <c r="CJ257" s="106"/>
      <c r="CK257" s="106"/>
    </row>
    <row r="258" spans="1:89" ht="14.25" customHeight="1">
      <c r="B258" s="366"/>
      <c r="BQ258" s="8"/>
      <c r="BR258" s="8"/>
      <c r="BS258" s="8"/>
      <c r="BT258" s="8"/>
      <c r="BU258" s="8"/>
      <c r="BV258" s="8"/>
      <c r="BW258" s="8"/>
      <c r="BX258" s="8"/>
      <c r="BY258" s="8"/>
      <c r="BZ258" s="8"/>
      <c r="CA258" s="8"/>
      <c r="CB258" s="8"/>
      <c r="CC258" s="17"/>
      <c r="CD258" s="17"/>
      <c r="CE258" s="17"/>
      <c r="CF258" s="8"/>
    </row>
    <row r="259" spans="1:89" ht="14.25" hidden="1" customHeight="1" outlineLevel="1">
      <c r="A259" s="8"/>
      <c r="B259" s="313" t="s">
        <v>206</v>
      </c>
      <c r="C259" s="314"/>
      <c r="D259" s="553"/>
      <c r="E259" s="554"/>
      <c r="F259" s="554"/>
      <c r="G259" s="554"/>
      <c r="H259" s="443">
        <f>IF(ROUND(H257,1)=1,"OK",H257)</f>
        <v>1.1161929194827407</v>
      </c>
      <c r="I259" s="444">
        <f>IF(ROUND(I257,1)=1,"OK",I257)</f>
        <v>1.1146326347606006</v>
      </c>
      <c r="J259" s="444">
        <f>IF(ROUND(J257,1)=1,"OK",J257)</f>
        <v>1.1081038210764467</v>
      </c>
      <c r="K259" s="444">
        <f>IF(ROUND(K257,1)=1,"OK",K257)</f>
        <v>1.1243480656821778</v>
      </c>
      <c r="L259" s="443" t="str">
        <f t="shared" ref="L259:AC259" si="1392">IF(ROUND(L257,1)=1,"OK",L257)</f>
        <v>OK</v>
      </c>
      <c r="M259" s="444" t="str">
        <f t="shared" si="1392"/>
        <v>OK</v>
      </c>
      <c r="N259" s="444" t="str">
        <f t="shared" si="1392"/>
        <v>OK</v>
      </c>
      <c r="O259" s="444" t="str">
        <f t="shared" si="1392"/>
        <v>OK</v>
      </c>
      <c r="P259" s="443" t="str">
        <f t="shared" si="1392"/>
        <v>OK</v>
      </c>
      <c r="Q259" s="444" t="str">
        <f t="shared" si="1392"/>
        <v>OK</v>
      </c>
      <c r="R259" s="444" t="str">
        <f t="shared" si="1392"/>
        <v>OK</v>
      </c>
      <c r="S259" s="444" t="str">
        <f t="shared" si="1392"/>
        <v>OK</v>
      </c>
      <c r="T259" s="443" t="str">
        <f t="shared" si="1392"/>
        <v>OK</v>
      </c>
      <c r="U259" s="444" t="str">
        <f t="shared" si="1392"/>
        <v>OK</v>
      </c>
      <c r="V259" s="444" t="str">
        <f t="shared" si="1392"/>
        <v>OK</v>
      </c>
      <c r="W259" s="444" t="str">
        <f t="shared" si="1392"/>
        <v>OK</v>
      </c>
      <c r="X259" s="443" t="str">
        <f t="shared" si="1392"/>
        <v>OK</v>
      </c>
      <c r="Y259" s="444" t="str">
        <f t="shared" si="1392"/>
        <v>OK</v>
      </c>
      <c r="Z259" s="444" t="str">
        <f t="shared" si="1392"/>
        <v>OK</v>
      </c>
      <c r="AA259" s="444" t="str">
        <f t="shared" si="1392"/>
        <v>OK</v>
      </c>
      <c r="AB259" s="443" t="str">
        <f t="shared" si="1392"/>
        <v>OK</v>
      </c>
      <c r="AC259" s="444" t="str">
        <f t="shared" si="1392"/>
        <v>OK</v>
      </c>
      <c r="AD259" s="444" t="str">
        <f>IF(ROUND(AD257,1)=1,"OK",AD257)</f>
        <v>OK</v>
      </c>
      <c r="AE259" s="444" t="str">
        <f>IF(ROUND(AE257,1)=1,"OK",AE257)</f>
        <v>OK</v>
      </c>
      <c r="AF259" s="443" t="str">
        <f>IF(ROUND(AF257,1)=1,"OK",AF257)</f>
        <v>OK</v>
      </c>
      <c r="AG259" s="316"/>
      <c r="AH259" s="316"/>
      <c r="AI259" s="316"/>
      <c r="AJ259" s="315"/>
      <c r="AK259" s="316"/>
      <c r="AL259" s="316"/>
      <c r="AM259" s="316"/>
      <c r="AN259" s="315"/>
      <c r="AO259" s="316"/>
      <c r="AP259" s="316"/>
      <c r="AQ259" s="316"/>
      <c r="AR259" s="315"/>
      <c r="AS259" s="316"/>
      <c r="AT259" s="316"/>
      <c r="AU259" s="316"/>
      <c r="AV259" s="316"/>
      <c r="AW259" s="316"/>
      <c r="AX259" s="316"/>
      <c r="AY259" s="316"/>
      <c r="AZ259" s="315"/>
      <c r="BA259" s="316"/>
      <c r="BB259" s="316"/>
      <c r="BC259" s="316"/>
      <c r="BD259" s="315"/>
      <c r="BE259" s="316"/>
      <c r="BF259" s="316"/>
      <c r="BG259" s="316"/>
      <c r="BH259" s="315"/>
      <c r="BI259" s="316"/>
      <c r="BJ259" s="316"/>
      <c r="BK259" s="316"/>
      <c r="BL259" s="315"/>
      <c r="BM259" s="316"/>
      <c r="BN259" s="316"/>
      <c r="BO259" s="316"/>
      <c r="BP259" s="23"/>
      <c r="BQ259" s="534"/>
      <c r="BR259" s="316">
        <f t="shared" ref="BR259:BW259" si="1393">IF(ROUND(BR257,1)=1,"OK",BR257)</f>
        <v>1.1158627336241671</v>
      </c>
      <c r="BS259" s="316" t="str">
        <f t="shared" si="1393"/>
        <v>OK</v>
      </c>
      <c r="BT259" s="316" t="str">
        <f t="shared" si="1393"/>
        <v>OK</v>
      </c>
      <c r="BU259" s="316" t="str">
        <f t="shared" si="1393"/>
        <v>OK</v>
      </c>
      <c r="BV259" s="316" t="str">
        <f t="shared" si="1393"/>
        <v>OK</v>
      </c>
      <c r="BW259" s="316" t="str">
        <f t="shared" si="1393"/>
        <v>OK</v>
      </c>
      <c r="BX259" s="316" t="str">
        <f>IF(ROUND(BX257,1)=1,"OK",BX257)</f>
        <v>OK</v>
      </c>
      <c r="BY259" s="316"/>
      <c r="BZ259" s="316"/>
      <c r="CA259" s="316"/>
      <c r="CB259" s="316"/>
      <c r="CC259" s="316"/>
      <c r="CD259" s="316"/>
      <c r="CE259" s="316"/>
      <c r="CF259" s="1171"/>
      <c r="CG259" s="17"/>
      <c r="CH259" s="8"/>
      <c r="CI259" s="8"/>
      <c r="CJ259" s="8"/>
      <c r="CK259" s="8"/>
    </row>
    <row r="260" spans="1:89" ht="14.25" customHeight="1" collapsed="1">
      <c r="B260" s="366"/>
      <c r="AF260" t="s">
        <v>316</v>
      </c>
      <c r="BQ260" s="8"/>
      <c r="BR260" s="8"/>
      <c r="BS260" s="8"/>
      <c r="BT260" s="8"/>
      <c r="BU260" s="8"/>
      <c r="BV260" s="8"/>
      <c r="BW260" s="8"/>
      <c r="BX260" s="8"/>
      <c r="BY260" s="8"/>
      <c r="BZ260" s="8"/>
      <c r="CA260" s="8"/>
      <c r="CB260" s="8"/>
      <c r="CC260" s="17"/>
      <c r="CD260" s="17"/>
      <c r="CE260" s="17"/>
      <c r="CF260" s="8"/>
    </row>
    <row r="261" spans="1:89" ht="14.25" customHeight="1">
      <c r="A261" s="1"/>
      <c r="B261" s="150" t="s">
        <v>208</v>
      </c>
      <c r="C261" s="151"/>
      <c r="D261" s="699" t="str">
        <f t="shared" ref="D261:AI261" si="1394">D9</f>
        <v>F1Q05A</v>
      </c>
      <c r="E261" s="698" t="str">
        <f t="shared" si="1394"/>
        <v>F2Q05A</v>
      </c>
      <c r="F261" s="698" t="str">
        <f t="shared" si="1394"/>
        <v>F3Q05A</v>
      </c>
      <c r="G261" s="698" t="str">
        <f t="shared" si="1394"/>
        <v>F4Q05A</v>
      </c>
      <c r="H261" s="699" t="str">
        <f t="shared" si="1394"/>
        <v>F1Q06A</v>
      </c>
      <c r="I261" s="698" t="str">
        <f t="shared" si="1394"/>
        <v>F2Q06A</v>
      </c>
      <c r="J261" s="698" t="str">
        <f t="shared" si="1394"/>
        <v>F3Q06A</v>
      </c>
      <c r="K261" s="698" t="str">
        <f t="shared" si="1394"/>
        <v>F4Q06A</v>
      </c>
      <c r="L261" s="699" t="str">
        <f t="shared" si="1394"/>
        <v>F1Q07A</v>
      </c>
      <c r="M261" s="698" t="str">
        <f t="shared" si="1394"/>
        <v>F2Q07A</v>
      </c>
      <c r="N261" s="698" t="str">
        <f t="shared" si="1394"/>
        <v>F3Q07A</v>
      </c>
      <c r="O261" s="698" t="str">
        <f t="shared" si="1394"/>
        <v>F4Q07A</v>
      </c>
      <c r="P261" s="699" t="str">
        <f t="shared" si="1394"/>
        <v>F1Q08A</v>
      </c>
      <c r="Q261" s="698" t="str">
        <f t="shared" si="1394"/>
        <v>F2Q08A</v>
      </c>
      <c r="R261" s="698" t="str">
        <f t="shared" si="1394"/>
        <v>F3Q08A</v>
      </c>
      <c r="S261" s="698" t="str">
        <f t="shared" si="1394"/>
        <v>F4Q08A</v>
      </c>
      <c r="T261" s="699" t="str">
        <f t="shared" si="1394"/>
        <v>F1Q09A</v>
      </c>
      <c r="U261" s="698" t="str">
        <f t="shared" si="1394"/>
        <v>F2Q09A</v>
      </c>
      <c r="V261" s="698" t="str">
        <f t="shared" si="1394"/>
        <v>F3Q09A</v>
      </c>
      <c r="W261" s="698" t="str">
        <f t="shared" si="1394"/>
        <v>F4Q09A</v>
      </c>
      <c r="X261" s="699" t="str">
        <f t="shared" si="1394"/>
        <v>F1Q10A</v>
      </c>
      <c r="Y261" s="698" t="str">
        <f t="shared" si="1394"/>
        <v>F2Q10A</v>
      </c>
      <c r="Z261" s="698" t="str">
        <f t="shared" si="1394"/>
        <v>F3Q10A</v>
      </c>
      <c r="AA261" s="698" t="str">
        <f t="shared" si="1394"/>
        <v>F4Q10A</v>
      </c>
      <c r="AB261" s="699" t="str">
        <f t="shared" si="1394"/>
        <v>F1Q11A</v>
      </c>
      <c r="AC261" s="698" t="str">
        <f t="shared" si="1394"/>
        <v>F2Q11A</v>
      </c>
      <c r="AD261" s="698" t="str">
        <f t="shared" si="1394"/>
        <v>F3Q11A</v>
      </c>
      <c r="AE261" s="698" t="str">
        <f t="shared" si="1394"/>
        <v>F4Q11A</v>
      </c>
      <c r="AF261" s="699" t="str">
        <f t="shared" si="1394"/>
        <v>F1Q12A</v>
      </c>
      <c r="AG261" s="698" t="str">
        <f t="shared" si="1394"/>
        <v>F2Q12A</v>
      </c>
      <c r="AH261" s="698" t="str">
        <f t="shared" si="1394"/>
        <v>F3Q12A</v>
      </c>
      <c r="AI261" s="698" t="str">
        <f t="shared" si="1394"/>
        <v>F4Q12A</v>
      </c>
      <c r="AJ261" s="699" t="str">
        <f t="shared" ref="AJ261:BO261" si="1395">AJ9</f>
        <v>F1Q13A</v>
      </c>
      <c r="AK261" s="698" t="str">
        <f t="shared" si="1395"/>
        <v>F2Q13A</v>
      </c>
      <c r="AL261" s="698" t="str">
        <f t="shared" si="1395"/>
        <v>F3Q13A</v>
      </c>
      <c r="AM261" s="698" t="str">
        <f t="shared" si="1395"/>
        <v>F4Q13A</v>
      </c>
      <c r="AN261" s="699" t="str">
        <f t="shared" si="1395"/>
        <v>F1Q14A</v>
      </c>
      <c r="AO261" s="698" t="str">
        <f t="shared" si="1395"/>
        <v>F2Q14A</v>
      </c>
      <c r="AP261" s="698" t="str">
        <f t="shared" si="1395"/>
        <v>F3Q14A</v>
      </c>
      <c r="AQ261" s="700" t="str">
        <f t="shared" si="1395"/>
        <v>F4Q14A</v>
      </c>
      <c r="AR261" s="699" t="str">
        <f t="shared" si="1395"/>
        <v>F1Q15A</v>
      </c>
      <c r="AS261" s="698" t="str">
        <f t="shared" si="1395"/>
        <v>F2Q15A</v>
      </c>
      <c r="AT261" s="698" t="str">
        <f t="shared" si="1395"/>
        <v>F3Q15A</v>
      </c>
      <c r="AU261" s="700" t="str">
        <f t="shared" si="1395"/>
        <v>F4Q15A</v>
      </c>
      <c r="AV261" s="698" t="str">
        <f t="shared" si="1395"/>
        <v>F1Q16A</v>
      </c>
      <c r="AW261" s="698" t="str">
        <f t="shared" si="1395"/>
        <v>F2Q16A</v>
      </c>
      <c r="AX261" s="698" t="str">
        <f t="shared" si="1395"/>
        <v>F3Q16A</v>
      </c>
      <c r="AY261" s="700" t="str">
        <f t="shared" si="1395"/>
        <v>F4Q16A</v>
      </c>
      <c r="AZ261" s="699" t="str">
        <f t="shared" si="1395"/>
        <v>F1Q17A</v>
      </c>
      <c r="BA261" s="698" t="str">
        <f t="shared" si="1395"/>
        <v>F2Q17A</v>
      </c>
      <c r="BB261" s="698" t="str">
        <f t="shared" si="1395"/>
        <v>F3Q17A</v>
      </c>
      <c r="BC261" s="700" t="str">
        <f t="shared" si="1395"/>
        <v>F4Q17A</v>
      </c>
      <c r="BD261" s="699" t="str">
        <f t="shared" si="1395"/>
        <v>F1Q18A</v>
      </c>
      <c r="BE261" s="698" t="str">
        <f t="shared" si="1395"/>
        <v>F2Q18E</v>
      </c>
      <c r="BF261" s="698" t="str">
        <f t="shared" si="1395"/>
        <v>F3Q18E</v>
      </c>
      <c r="BG261" s="700" t="str">
        <f t="shared" si="1395"/>
        <v>F4Q18E</v>
      </c>
      <c r="BH261" s="699" t="str">
        <f t="shared" si="1395"/>
        <v>F1Q19E</v>
      </c>
      <c r="BI261" s="698" t="str">
        <f t="shared" si="1395"/>
        <v>F2Q19E</v>
      </c>
      <c r="BJ261" s="698" t="str">
        <f t="shared" si="1395"/>
        <v>F3Q19E</v>
      </c>
      <c r="BK261" s="700" t="str">
        <f t="shared" si="1395"/>
        <v>F4Q19E</v>
      </c>
      <c r="BL261" s="699" t="str">
        <f t="shared" si="1395"/>
        <v>F1Q20E</v>
      </c>
      <c r="BM261" s="698" t="str">
        <f t="shared" si="1395"/>
        <v>F2Q20E</v>
      </c>
      <c r="BN261" s="698" t="str">
        <f t="shared" si="1395"/>
        <v>F3Q20E</v>
      </c>
      <c r="BO261" s="700" t="str">
        <f t="shared" si="1395"/>
        <v>F4Q20E</v>
      </c>
      <c r="BP261" s="23"/>
      <c r="BQ261" s="701" t="str">
        <f t="shared" ref="BQ261:CF261" si="1396">BQ9</f>
        <v>FY2005A</v>
      </c>
      <c r="BR261" s="698" t="str">
        <f t="shared" si="1396"/>
        <v>FY2006A</v>
      </c>
      <c r="BS261" s="698" t="str">
        <f t="shared" si="1396"/>
        <v>FY2007A</v>
      </c>
      <c r="BT261" s="698" t="str">
        <f t="shared" si="1396"/>
        <v>FY2008A</v>
      </c>
      <c r="BU261" s="698" t="str">
        <f t="shared" si="1396"/>
        <v>FY2009A</v>
      </c>
      <c r="BV261" s="698" t="str">
        <f t="shared" si="1396"/>
        <v>FY2010A</v>
      </c>
      <c r="BW261" s="698" t="str">
        <f t="shared" si="1396"/>
        <v>FY2011A</v>
      </c>
      <c r="BX261" s="698" t="str">
        <f t="shared" si="1396"/>
        <v>FY2012A</v>
      </c>
      <c r="BY261" s="698" t="str">
        <f t="shared" si="1396"/>
        <v>FY2013A</v>
      </c>
      <c r="BZ261" s="698" t="str">
        <f t="shared" si="1396"/>
        <v>FY2014A</v>
      </c>
      <c r="CA261" s="698" t="str">
        <f t="shared" si="1396"/>
        <v>FY2015A</v>
      </c>
      <c r="CB261" s="698" t="str">
        <f t="shared" si="1396"/>
        <v>FY2016A</v>
      </c>
      <c r="CC261" s="698" t="str">
        <f t="shared" si="1396"/>
        <v>FY2017A</v>
      </c>
      <c r="CD261" s="698" t="str">
        <f t="shared" si="1396"/>
        <v>FY2018E</v>
      </c>
      <c r="CE261" s="698" t="str">
        <f t="shared" si="1396"/>
        <v>FY2019E</v>
      </c>
      <c r="CF261" s="700" t="str">
        <f t="shared" si="1396"/>
        <v>FY2020E</v>
      </c>
      <c r="CG261" s="1031"/>
    </row>
    <row r="262" spans="1:89" ht="14.25" customHeight="1">
      <c r="B262" s="363" t="s">
        <v>223</v>
      </c>
      <c r="C262" s="418"/>
      <c r="D262" s="541"/>
      <c r="E262" s="542"/>
      <c r="F262" s="542"/>
      <c r="G262" s="543"/>
      <c r="H262" s="419"/>
      <c r="I262" s="420"/>
      <c r="J262" s="420"/>
      <c r="K262" s="505"/>
      <c r="L262" s="419">
        <v>163.22800000000001</v>
      </c>
      <c r="M262" s="420">
        <v>132.374</v>
      </c>
      <c r="N262" s="420">
        <v>132.07599999999999</v>
      </c>
      <c r="O262" s="527">
        <v>123.49899999999997</v>
      </c>
      <c r="P262" s="419">
        <v>131.661</v>
      </c>
      <c r="Q262" s="420">
        <v>131.00800000000001</v>
      </c>
      <c r="R262" s="420">
        <v>131.16800000000001</v>
      </c>
      <c r="S262" s="527">
        <v>130.36000000000001</v>
      </c>
      <c r="T262" s="419">
        <v>107.298</v>
      </c>
      <c r="U262" s="420">
        <v>97.055000000000007</v>
      </c>
      <c r="V262" s="420">
        <v>94.325999999999993</v>
      </c>
      <c r="W262" s="527">
        <v>102.92900000000003</v>
      </c>
      <c r="X262" s="419">
        <v>116.96299999999999</v>
      </c>
      <c r="Y262" s="420">
        <v>128.36000000000001</v>
      </c>
      <c r="Z262" s="420">
        <v>129.93299999999999</v>
      </c>
      <c r="AA262" s="527">
        <v>132.93100000000001</v>
      </c>
      <c r="AB262" s="419">
        <v>130.39699999999999</v>
      </c>
      <c r="AC262" s="420">
        <v>146.19900000000001</v>
      </c>
      <c r="AD262" s="420">
        <v>132.124</v>
      </c>
      <c r="AE262" s="527">
        <v>123.29099999999994</v>
      </c>
      <c r="AF262" s="419">
        <v>121.599</v>
      </c>
      <c r="AG262" s="420">
        <v>191.548</v>
      </c>
      <c r="AH262" s="420">
        <v>202.08</v>
      </c>
      <c r="AI262" s="505">
        <f>818.653-AH262-AG262-AF262</f>
        <v>303.42599999999999</v>
      </c>
      <c r="AJ262" s="419">
        <v>204.27099999999999</v>
      </c>
      <c r="AK262" s="420">
        <v>206.18100000000001</v>
      </c>
      <c r="AL262" s="420">
        <v>202.68700000000001</v>
      </c>
      <c r="AM262" s="505">
        <f>821.269-AL262-AK262-AJ262</f>
        <v>208.12999999999997</v>
      </c>
      <c r="AN262" s="419">
        <v>182.298</v>
      </c>
      <c r="AO262" s="420">
        <v>193.608</v>
      </c>
      <c r="AP262" s="420">
        <v>200.59</v>
      </c>
      <c r="AQ262" s="420">
        <f>821.554-SUM(AN262:AP262)</f>
        <v>245.05799999999999</v>
      </c>
      <c r="AR262" s="419">
        <v>234.64699999999999</v>
      </c>
      <c r="AS262" s="420">
        <v>276.19299999999998</v>
      </c>
      <c r="AT262" s="420">
        <v>359.68200000000002</v>
      </c>
      <c r="AU262" s="527">
        <f>1325.279-SUM(AR262:AT262)</f>
        <v>454.75700000000006</v>
      </c>
      <c r="AV262" s="1343">
        <v>266.66899999999998</v>
      </c>
      <c r="AW262" s="1340">
        <v>245.28299999999999</v>
      </c>
      <c r="AX262" s="1340">
        <v>334.45499999999998</v>
      </c>
      <c r="AY262" s="1344">
        <f>1299.629-SUM(AV262:AX262)</f>
        <v>453.22199999999998</v>
      </c>
      <c r="AZ262" s="1340">
        <v>430.99799999999999</v>
      </c>
      <c r="BA262" s="1340">
        <v>422.32799999999997</v>
      </c>
      <c r="BB262" s="1340">
        <v>530.33500000000004</v>
      </c>
      <c r="BC262" s="1344">
        <f>1999.041-SUM(AZ262:BB262)</f>
        <v>615.37999999999988</v>
      </c>
      <c r="BD262" s="423"/>
      <c r="BE262" s="421"/>
      <c r="BF262" s="421"/>
      <c r="BG262" s="422"/>
      <c r="BH262" s="423"/>
      <c r="BI262" s="421"/>
      <c r="BJ262" s="421"/>
      <c r="BK262" s="422"/>
      <c r="BL262" s="423"/>
      <c r="BM262" s="421"/>
      <c r="BN262" s="421"/>
      <c r="BO262" s="422"/>
      <c r="BP262" s="424"/>
      <c r="BQ262" s="529"/>
      <c r="BR262" s="425">
        <f t="shared" ref="BR262:BR267" si="1397">SUM(H262:K262)</f>
        <v>0</v>
      </c>
      <c r="BS262" s="425">
        <f t="shared" ref="BS262:BS267" si="1398">SUM(L262:O262)</f>
        <v>551.17699999999991</v>
      </c>
      <c r="BT262" s="425">
        <f t="shared" ref="BT262:BT267" si="1399">SUM(P262:S262)</f>
        <v>524.197</v>
      </c>
      <c r="BU262" s="425">
        <f t="shared" ref="BU262:BU267" si="1400">SUM(T262:W262)</f>
        <v>401.608</v>
      </c>
      <c r="BV262" s="425">
        <f t="shared" ref="BV262:BV267" si="1401">SUM(X262:AA262)</f>
        <v>508.18700000000001</v>
      </c>
      <c r="BW262" s="425">
        <f t="shared" ref="BW262:BW267" si="1402">SUM(AB262:AE262)</f>
        <v>532.01099999999997</v>
      </c>
      <c r="BX262" s="425">
        <f t="shared" ref="BX262:BX267" si="1403">SUM(AF262:AI262)</f>
        <v>818.65300000000002</v>
      </c>
      <c r="BY262" s="425"/>
      <c r="BZ262" s="425"/>
      <c r="CA262" s="425"/>
      <c r="CB262" s="425"/>
      <c r="CC262" s="425"/>
      <c r="CD262" s="425"/>
      <c r="CE262" s="425"/>
      <c r="CF262" s="1457"/>
      <c r="CG262" s="1031"/>
    </row>
    <row r="263" spans="1:89" ht="14.25" customHeight="1">
      <c r="B263" s="364" t="s">
        <v>271</v>
      </c>
      <c r="C263" s="367"/>
      <c r="D263" s="544"/>
      <c r="E263" s="545"/>
      <c r="F263" s="545"/>
      <c r="G263" s="546"/>
      <c r="H263" s="426"/>
      <c r="I263" s="427"/>
      <c r="J263" s="427"/>
      <c r="K263" s="506"/>
      <c r="L263" s="426">
        <v>0</v>
      </c>
      <c r="M263" s="427">
        <v>26.143000000000001</v>
      </c>
      <c r="N263" s="427">
        <v>20.523</v>
      </c>
      <c r="O263" s="528">
        <v>36.094999999999999</v>
      </c>
      <c r="P263" s="426">
        <v>21.103000000000002</v>
      </c>
      <c r="Q263" s="427">
        <v>24.126999999999999</v>
      </c>
      <c r="R263" s="427">
        <v>25.433</v>
      </c>
      <c r="S263" s="528">
        <v>26.785999999999994</v>
      </c>
      <c r="T263" s="426">
        <v>19.332000000000001</v>
      </c>
      <c r="U263" s="427">
        <v>20.456</v>
      </c>
      <c r="V263" s="427">
        <v>23.960999999999999</v>
      </c>
      <c r="W263" s="528">
        <v>29.204999999999998</v>
      </c>
      <c r="X263" s="426">
        <v>29.879000000000001</v>
      </c>
      <c r="Y263" s="427">
        <v>37.984000000000002</v>
      </c>
      <c r="Z263" s="427">
        <v>40.189</v>
      </c>
      <c r="AA263" s="528">
        <v>45.91</v>
      </c>
      <c r="AB263" s="426">
        <v>41.893000000000001</v>
      </c>
      <c r="AC263" s="427">
        <v>43.838999999999999</v>
      </c>
      <c r="AD263" s="427">
        <v>39.793999999999997</v>
      </c>
      <c r="AE263" s="528">
        <v>38.553000000000011</v>
      </c>
      <c r="AF263" s="426">
        <v>42.36</v>
      </c>
      <c r="AG263" s="427">
        <v>30.391999999999999</v>
      </c>
      <c r="AH263" s="427">
        <v>25.268000000000001</v>
      </c>
      <c r="AI263" s="506">
        <f>114.133-AH263-AG263-AF263</f>
        <v>16.113</v>
      </c>
      <c r="AJ263" s="426">
        <v>23.512</v>
      </c>
      <c r="AK263" s="427">
        <v>28.193999999999999</v>
      </c>
      <c r="AL263" s="427">
        <v>25.062999999999999</v>
      </c>
      <c r="AM263" s="506">
        <f>99.215-AL263-AK263-AJ263</f>
        <v>22.445999999999998</v>
      </c>
      <c r="AN263" s="426">
        <v>19.436</v>
      </c>
      <c r="AO263" s="427">
        <v>25.431000000000001</v>
      </c>
      <c r="AP263" s="427">
        <v>25.959</v>
      </c>
      <c r="AQ263" s="427">
        <f>96.957-SUM(AN263:AP263)</f>
        <v>26.130999999999986</v>
      </c>
      <c r="AR263" s="426">
        <v>23.16</v>
      </c>
      <c r="AS263" s="427">
        <v>22.2</v>
      </c>
      <c r="AT263" s="427">
        <v>20.186</v>
      </c>
      <c r="AU263" s="528">
        <f>97.189-SUM(AR263:AT263)</f>
        <v>31.643000000000001</v>
      </c>
      <c r="AV263" s="1345">
        <v>20.712</v>
      </c>
      <c r="AW263" s="1341">
        <v>21.422999999999998</v>
      </c>
      <c r="AX263" s="1341">
        <v>22.677</v>
      </c>
      <c r="AY263" s="1346">
        <f>95.957-SUM(AV263:AX263)</f>
        <v>31.144999999999996</v>
      </c>
      <c r="AZ263" s="1341">
        <v>22.957000000000001</v>
      </c>
      <c r="BA263" s="1341">
        <v>27.63</v>
      </c>
      <c r="BB263" s="1341">
        <v>25.960999999999999</v>
      </c>
      <c r="BC263" s="1346">
        <f>103.077-SUM(AZ263:BB263)</f>
        <v>26.528999999999996</v>
      </c>
      <c r="BD263" s="430"/>
      <c r="BE263" s="428"/>
      <c r="BF263" s="428"/>
      <c r="BG263" s="429"/>
      <c r="BH263" s="430"/>
      <c r="BI263" s="428"/>
      <c r="BJ263" s="428"/>
      <c r="BK263" s="429"/>
      <c r="BL263" s="430"/>
      <c r="BM263" s="428"/>
      <c r="BN263" s="428"/>
      <c r="BO263" s="429"/>
      <c r="BP263" s="424"/>
      <c r="BQ263" s="530"/>
      <c r="BR263" s="406">
        <f t="shared" si="1397"/>
        <v>0</v>
      </c>
      <c r="BS263" s="406">
        <f t="shared" si="1398"/>
        <v>82.760999999999996</v>
      </c>
      <c r="BT263" s="406">
        <f t="shared" si="1399"/>
        <v>97.449000000000012</v>
      </c>
      <c r="BU263" s="406">
        <f t="shared" si="1400"/>
        <v>92.953999999999994</v>
      </c>
      <c r="BV263" s="406">
        <f t="shared" si="1401"/>
        <v>153.96199999999999</v>
      </c>
      <c r="BW263" s="406">
        <f t="shared" si="1402"/>
        <v>164.07900000000001</v>
      </c>
      <c r="BX263" s="406">
        <f t="shared" si="1403"/>
        <v>114.133</v>
      </c>
      <c r="BY263" s="406"/>
      <c r="BZ263" s="406"/>
      <c r="CA263" s="406"/>
      <c r="CB263" s="406"/>
      <c r="CC263" s="406"/>
      <c r="CD263" s="406"/>
      <c r="CE263" s="406"/>
      <c r="CF263" s="1453"/>
      <c r="CG263" s="1031"/>
    </row>
    <row r="264" spans="1:89" ht="14.25" customHeight="1">
      <c r="B264" s="364" t="s">
        <v>210</v>
      </c>
      <c r="C264" s="367"/>
      <c r="D264" s="544"/>
      <c r="E264" s="545"/>
      <c r="F264" s="545"/>
      <c r="G264" s="546"/>
      <c r="H264" s="426"/>
      <c r="I264" s="427"/>
      <c r="J264" s="427"/>
      <c r="K264" s="506"/>
      <c r="L264" s="426">
        <v>145.19399999999999</v>
      </c>
      <c r="M264" s="427">
        <v>144.602</v>
      </c>
      <c r="N264" s="427">
        <v>148.28399999999999</v>
      </c>
      <c r="O264" s="528">
        <v>160.25399999999999</v>
      </c>
      <c r="P264" s="426">
        <v>156.70599999999999</v>
      </c>
      <c r="Q264" s="427">
        <v>174.75899999999999</v>
      </c>
      <c r="R264" s="427">
        <v>177.881</v>
      </c>
      <c r="S264" s="528">
        <v>170.43200000000004</v>
      </c>
      <c r="T264" s="426">
        <v>127.745</v>
      </c>
      <c r="U264" s="427">
        <v>120.855</v>
      </c>
      <c r="V264" s="427">
        <v>120.899</v>
      </c>
      <c r="W264" s="528">
        <v>133.10299999999995</v>
      </c>
      <c r="X264" s="426">
        <v>142.066</v>
      </c>
      <c r="Y264" s="427">
        <v>175.93</v>
      </c>
      <c r="Z264" s="427">
        <v>186.035</v>
      </c>
      <c r="AA264" s="528">
        <v>199.68600000000001</v>
      </c>
      <c r="AB264" s="426">
        <v>191.28899999999999</v>
      </c>
      <c r="AC264" s="427">
        <v>231.33099999999999</v>
      </c>
      <c r="AD264" s="427">
        <v>215.751</v>
      </c>
      <c r="AE264" s="528">
        <v>200.34800000000007</v>
      </c>
      <c r="AF264" s="426">
        <v>176.49199999999999</v>
      </c>
      <c r="AG264" s="427">
        <v>217.19499999999999</v>
      </c>
      <c r="AH264" s="427">
        <v>216.809</v>
      </c>
      <c r="AI264" s="506">
        <f>852.668-AH264-AG264-AF264</f>
        <v>242.17200000000005</v>
      </c>
      <c r="AJ264" s="426">
        <v>189.298</v>
      </c>
      <c r="AK264" s="427">
        <v>216.071</v>
      </c>
      <c r="AL264" s="427">
        <v>217.608</v>
      </c>
      <c r="AM264" s="506">
        <f>840.585-AL264-AK264-AJ264</f>
        <v>217.60800000000006</v>
      </c>
      <c r="AN264" s="426">
        <v>200.68700000000001</v>
      </c>
      <c r="AO264" s="427">
        <v>232.29900000000001</v>
      </c>
      <c r="AP264" s="427">
        <v>244.148</v>
      </c>
      <c r="AQ264" s="427">
        <f>924.477-SUM(AN264:AP264)</f>
        <v>247.34299999999996</v>
      </c>
      <c r="AR264" s="426">
        <v>238.58099999999999</v>
      </c>
      <c r="AS264" s="427">
        <v>251.40199999999999</v>
      </c>
      <c r="AT264" s="427">
        <v>221.27</v>
      </c>
      <c r="AU264" s="528">
        <f>939.23-SUM(AR264:AT264)</f>
        <v>227.97700000000009</v>
      </c>
      <c r="AV264" s="1345">
        <v>216.71600000000001</v>
      </c>
      <c r="AW264" s="1341">
        <v>245.16</v>
      </c>
      <c r="AX264" s="1341">
        <v>232.32400000000001</v>
      </c>
      <c r="AY264" s="1346">
        <f>924.849-SUM(AV264:AX264)</f>
        <v>230.649</v>
      </c>
      <c r="AZ264" s="1341">
        <v>226.33500000000001</v>
      </c>
      <c r="BA264" s="1341">
        <v>293.178</v>
      </c>
      <c r="BB264" s="1341">
        <v>346.43599999999998</v>
      </c>
      <c r="BC264" s="1346">
        <f>1211.435-SUM(AZ264:BB264)</f>
        <v>345.48599999999988</v>
      </c>
      <c r="BD264" s="430"/>
      <c r="BE264" s="428"/>
      <c r="BF264" s="428"/>
      <c r="BG264" s="429"/>
      <c r="BH264" s="430"/>
      <c r="BI264" s="428"/>
      <c r="BJ264" s="428"/>
      <c r="BK264" s="429"/>
      <c r="BL264" s="430"/>
      <c r="BM264" s="428"/>
      <c r="BN264" s="428"/>
      <c r="BO264" s="429"/>
      <c r="BP264" s="424"/>
      <c r="BQ264" s="530"/>
      <c r="BR264" s="406">
        <f t="shared" si="1397"/>
        <v>0</v>
      </c>
      <c r="BS264" s="406">
        <f t="shared" si="1398"/>
        <v>598.33399999999995</v>
      </c>
      <c r="BT264" s="406">
        <f t="shared" si="1399"/>
        <v>679.77800000000002</v>
      </c>
      <c r="BU264" s="406">
        <f t="shared" si="1400"/>
        <v>502.60199999999998</v>
      </c>
      <c r="BV264" s="406">
        <f t="shared" si="1401"/>
        <v>703.71699999999998</v>
      </c>
      <c r="BW264" s="406">
        <f t="shared" si="1402"/>
        <v>838.71900000000005</v>
      </c>
      <c r="BX264" s="406">
        <f t="shared" si="1403"/>
        <v>852.66800000000001</v>
      </c>
      <c r="BY264" s="406"/>
      <c r="BZ264" s="406"/>
      <c r="CA264" s="406"/>
      <c r="CB264" s="406"/>
      <c r="CC264" s="406"/>
      <c r="CD264" s="406"/>
      <c r="CE264" s="406"/>
      <c r="CF264" s="1453"/>
      <c r="CG264" s="1031"/>
    </row>
    <row r="265" spans="1:89" ht="14.25" customHeight="1">
      <c r="B265" s="364" t="s">
        <v>272</v>
      </c>
      <c r="C265" s="367"/>
      <c r="D265" s="544"/>
      <c r="E265" s="545"/>
      <c r="F265" s="545"/>
      <c r="G265" s="546"/>
      <c r="H265" s="426"/>
      <c r="I265" s="427"/>
      <c r="J265" s="427"/>
      <c r="K265" s="506"/>
      <c r="L265" s="426">
        <v>118.413</v>
      </c>
      <c r="M265" s="427">
        <v>127.459</v>
      </c>
      <c r="N265" s="427">
        <v>127.04</v>
      </c>
      <c r="O265" s="528">
        <v>133.60199999999998</v>
      </c>
      <c r="P265" s="426">
        <v>124.236</v>
      </c>
      <c r="Q265" s="427">
        <v>128.24700000000001</v>
      </c>
      <c r="R265" s="427">
        <v>128.45699999999999</v>
      </c>
      <c r="S265" s="528">
        <v>122.11900000000001</v>
      </c>
      <c r="T265" s="426">
        <v>72.733000000000004</v>
      </c>
      <c r="U265" s="427">
        <v>71.534999999999997</v>
      </c>
      <c r="V265" s="427">
        <v>91.48</v>
      </c>
      <c r="W265" s="528">
        <v>114.15899999999996</v>
      </c>
      <c r="X265" s="426">
        <v>110.35</v>
      </c>
      <c r="Y265" s="427">
        <v>105.871</v>
      </c>
      <c r="Z265" s="427">
        <v>109.53</v>
      </c>
      <c r="AA265" s="528">
        <v>116.075</v>
      </c>
      <c r="AB265" s="426">
        <v>104.167</v>
      </c>
      <c r="AC265" s="427">
        <v>92.78</v>
      </c>
      <c r="AD265" s="427">
        <v>97.195999999999998</v>
      </c>
      <c r="AE265" s="528">
        <v>106.31299999999999</v>
      </c>
      <c r="AF265" s="426">
        <v>81.352000000000004</v>
      </c>
      <c r="AG265" s="427">
        <v>86.686999999999998</v>
      </c>
      <c r="AH265" s="427">
        <v>87.168999999999997</v>
      </c>
      <c r="AI265" s="506">
        <f>333.558-AH265-AG265-AF265</f>
        <v>78.349999999999994</v>
      </c>
      <c r="AJ265" s="426">
        <v>64.688000000000002</v>
      </c>
      <c r="AK265" s="427">
        <v>71.873999999999995</v>
      </c>
      <c r="AL265" s="427">
        <v>77.790000000000006</v>
      </c>
      <c r="AM265" s="506">
        <f>292.804-AL265-AK265-AJ265</f>
        <v>78.451999999999956</v>
      </c>
      <c r="AN265" s="426">
        <v>71.090999999999994</v>
      </c>
      <c r="AO265" s="427">
        <v>74.590999999999994</v>
      </c>
      <c r="AP265" s="427">
        <v>79.063000000000002</v>
      </c>
      <c r="AQ265" s="427">
        <f>308.054-SUM(AN265:AP265)</f>
        <v>83.308999999999969</v>
      </c>
      <c r="AR265" s="426">
        <v>82.668000000000006</v>
      </c>
      <c r="AS265" s="427">
        <v>82.238</v>
      </c>
      <c r="AT265" s="427">
        <v>80.489000000000004</v>
      </c>
      <c r="AU265" s="528">
        <f>319.569-SUM(AR265:AT265)</f>
        <v>74.174000000000007</v>
      </c>
      <c r="AV265" s="1345">
        <v>70.221999999999994</v>
      </c>
      <c r="AW265" s="1341">
        <v>69.962999999999994</v>
      </c>
      <c r="AX265" s="1341">
        <v>73.753</v>
      </c>
      <c r="AY265" s="1346">
        <f>291.649-SUM(AV265:AX265)</f>
        <v>77.711000000000013</v>
      </c>
      <c r="AZ265" s="1341">
        <v>88.891000000000005</v>
      </c>
      <c r="BA265" s="1341">
        <v>96.289000000000001</v>
      </c>
      <c r="BB265" s="1341">
        <v>153.18799999999999</v>
      </c>
      <c r="BC265" s="1346">
        <f>506.114-SUM(AZ265:BB265)</f>
        <v>167.74599999999998</v>
      </c>
      <c r="BD265" s="430"/>
      <c r="BE265" s="428"/>
      <c r="BF265" s="428"/>
      <c r="BG265" s="429"/>
      <c r="BH265" s="430"/>
      <c r="BI265" s="428"/>
      <c r="BJ265" s="428"/>
      <c r="BK265" s="429"/>
      <c r="BL265" s="430"/>
      <c r="BM265" s="428"/>
      <c r="BN265" s="428"/>
      <c r="BO265" s="429"/>
      <c r="BP265" s="424"/>
      <c r="BQ265" s="530"/>
      <c r="BR265" s="406">
        <f t="shared" si="1397"/>
        <v>0</v>
      </c>
      <c r="BS265" s="406">
        <f t="shared" si="1398"/>
        <v>506.51400000000001</v>
      </c>
      <c r="BT265" s="406">
        <f t="shared" si="1399"/>
        <v>503.05900000000003</v>
      </c>
      <c r="BU265" s="406">
        <f t="shared" si="1400"/>
        <v>349.90699999999993</v>
      </c>
      <c r="BV265" s="406">
        <f t="shared" si="1401"/>
        <v>441.82599999999996</v>
      </c>
      <c r="BW265" s="406">
        <f t="shared" si="1402"/>
        <v>400.45600000000002</v>
      </c>
      <c r="BX265" s="406">
        <f t="shared" si="1403"/>
        <v>333.55799999999999</v>
      </c>
      <c r="BY265" s="406"/>
      <c r="BZ265" s="406"/>
      <c r="CA265" s="406"/>
      <c r="CB265" s="406"/>
      <c r="CC265" s="406"/>
      <c r="CD265" s="406"/>
      <c r="CE265" s="406"/>
      <c r="CF265" s="1453"/>
      <c r="CG265" s="1031"/>
    </row>
    <row r="266" spans="1:89" ht="14.25" customHeight="1">
      <c r="B266" s="364" t="s">
        <v>224</v>
      </c>
      <c r="C266" s="367"/>
      <c r="D266" s="544"/>
      <c r="E266" s="545"/>
      <c r="F266" s="545"/>
      <c r="G266" s="546"/>
      <c r="H266" s="426"/>
      <c r="I266" s="427"/>
      <c r="J266" s="427"/>
      <c r="K266" s="506"/>
      <c r="L266" s="426">
        <v>69.787999999999997</v>
      </c>
      <c r="M266" s="427">
        <v>76.311999999999998</v>
      </c>
      <c r="N266" s="427">
        <v>90.01</v>
      </c>
      <c r="O266" s="528">
        <v>74.101000000000013</v>
      </c>
      <c r="P266" s="426">
        <v>81.295000000000002</v>
      </c>
      <c r="Q266" s="427">
        <v>99.430999999999997</v>
      </c>
      <c r="R266" s="427">
        <v>103.63200000000001</v>
      </c>
      <c r="S266" s="528">
        <v>116.70200000000001</v>
      </c>
      <c r="T266" s="426">
        <v>89.712000000000003</v>
      </c>
      <c r="U266" s="427">
        <v>99.344999999999999</v>
      </c>
      <c r="V266" s="427">
        <v>85.316999999999993</v>
      </c>
      <c r="W266" s="528">
        <v>101.70599999999997</v>
      </c>
      <c r="X266" s="426">
        <v>106.52200000000001</v>
      </c>
      <c r="Y266" s="427">
        <v>109.001</v>
      </c>
      <c r="Z266" s="427">
        <v>132.119</v>
      </c>
      <c r="AA266" s="528">
        <v>160.84700000000004</v>
      </c>
      <c r="AB266" s="426">
        <v>148.12100000000001</v>
      </c>
      <c r="AC266" s="427">
        <v>154.571</v>
      </c>
      <c r="AD266" s="427">
        <v>157.87700000000001</v>
      </c>
      <c r="AE266" s="528">
        <v>135.864</v>
      </c>
      <c r="AF266" s="426">
        <v>121.274</v>
      </c>
      <c r="AG266" s="427">
        <v>89.405000000000001</v>
      </c>
      <c r="AH266" s="427">
        <v>89.616</v>
      </c>
      <c r="AI266" s="506">
        <f>341.196-AH266-AG266-AF266</f>
        <v>40.901000000000039</v>
      </c>
      <c r="AJ266" s="426">
        <v>84.769000000000005</v>
      </c>
      <c r="AK266" s="427">
        <v>83.97</v>
      </c>
      <c r="AL266" s="427">
        <v>93.305000000000007</v>
      </c>
      <c r="AM266" s="506">
        <f>349.575-AL266-AK266-AJ266</f>
        <v>87.530999999999977</v>
      </c>
      <c r="AN266" s="426">
        <v>100.48399999999999</v>
      </c>
      <c r="AO266" s="427">
        <v>109.583</v>
      </c>
      <c r="AP266" s="427">
        <v>113.93300000000001</v>
      </c>
      <c r="AQ266" s="427">
        <f>459.26-SUM(AN266:AP266)</f>
        <v>135.26</v>
      </c>
      <c r="AR266" s="426">
        <v>130.71899999999999</v>
      </c>
      <c r="AS266" s="427">
        <v>126.449</v>
      </c>
      <c r="AT266" s="427">
        <v>126.188</v>
      </c>
      <c r="AU266" s="528">
        <f>511.365-SUM(AR266:AT266)</f>
        <v>128.00900000000001</v>
      </c>
      <c r="AV266" s="1345">
        <v>138.72300000000001</v>
      </c>
      <c r="AW266" s="1341">
        <v>140.94</v>
      </c>
      <c r="AX266" s="1341">
        <v>146.06899999999999</v>
      </c>
      <c r="AY266" s="1346">
        <f>575.69-SUM(AV266:AX266)</f>
        <v>149.95800000000008</v>
      </c>
      <c r="AZ266" s="1341">
        <v>152.983</v>
      </c>
      <c r="BA266" s="1341">
        <v>198.209</v>
      </c>
      <c r="BB266" s="1341">
        <v>239.70099999999999</v>
      </c>
      <c r="BC266" s="1346">
        <f>842.532-SUM(AZ266:BB266)</f>
        <v>251.63900000000001</v>
      </c>
      <c r="BD266" s="430"/>
      <c r="BE266" s="428"/>
      <c r="BF266" s="428"/>
      <c r="BG266" s="429"/>
      <c r="BH266" s="430"/>
      <c r="BI266" s="428"/>
      <c r="BJ266" s="428"/>
      <c r="BK266" s="429"/>
      <c r="BL266" s="430"/>
      <c r="BM266" s="428"/>
      <c r="BN266" s="428"/>
      <c r="BO266" s="429"/>
      <c r="BP266" s="424"/>
      <c r="BQ266" s="530"/>
      <c r="BR266" s="406">
        <f t="shared" si="1397"/>
        <v>0</v>
      </c>
      <c r="BS266" s="406">
        <f t="shared" si="1398"/>
        <v>310.21100000000001</v>
      </c>
      <c r="BT266" s="406">
        <f t="shared" si="1399"/>
        <v>401.06</v>
      </c>
      <c r="BU266" s="406">
        <f t="shared" si="1400"/>
        <v>376.08</v>
      </c>
      <c r="BV266" s="406">
        <f t="shared" si="1401"/>
        <v>508.48900000000009</v>
      </c>
      <c r="BW266" s="406">
        <f t="shared" si="1402"/>
        <v>596.43299999999999</v>
      </c>
      <c r="BX266" s="406">
        <f t="shared" si="1403"/>
        <v>341.19600000000003</v>
      </c>
      <c r="BY266" s="406"/>
      <c r="BZ266" s="406"/>
      <c r="CA266" s="406"/>
      <c r="CB266" s="406"/>
      <c r="CC266" s="406"/>
      <c r="CD266" s="406"/>
      <c r="CE266" s="406"/>
      <c r="CF266" s="1453"/>
      <c r="CG266" s="1031"/>
    </row>
    <row r="267" spans="1:89" ht="14.25" customHeight="1">
      <c r="B267" s="364" t="s">
        <v>273</v>
      </c>
      <c r="C267" s="368"/>
      <c r="D267" s="544"/>
      <c r="E267" s="545"/>
      <c r="F267" s="545"/>
      <c r="G267" s="546"/>
      <c r="H267" s="426"/>
      <c r="I267" s="427"/>
      <c r="J267" s="427"/>
      <c r="K267" s="506"/>
      <c r="L267" s="426">
        <v>94.641999999999996</v>
      </c>
      <c r="M267" s="427">
        <v>90.593000000000004</v>
      </c>
      <c r="N267" s="427">
        <v>99.498000000000005</v>
      </c>
      <c r="O267" s="528">
        <v>95.990999999999985</v>
      </c>
      <c r="P267" s="426">
        <v>98.908000000000001</v>
      </c>
      <c r="Q267" s="427">
        <v>91.768000000000001</v>
      </c>
      <c r="R267" s="427">
        <v>92.415000000000006</v>
      </c>
      <c r="S267" s="528">
        <v>94.296999999999954</v>
      </c>
      <c r="T267" s="426">
        <v>59.749000000000002</v>
      </c>
      <c r="U267" s="427">
        <v>65.501999999999995</v>
      </c>
      <c r="V267" s="427">
        <v>76.007999999999996</v>
      </c>
      <c r="W267" s="528">
        <v>90.498000000000019</v>
      </c>
      <c r="X267" s="426">
        <v>97.203000000000003</v>
      </c>
      <c r="Y267" s="427">
        <v>111.09399999999999</v>
      </c>
      <c r="Z267" s="427">
        <v>122.48399999999999</v>
      </c>
      <c r="AA267" s="528">
        <v>114.54100000000003</v>
      </c>
      <c r="AB267" s="426">
        <v>112.637</v>
      </c>
      <c r="AC267" s="427">
        <v>122.06</v>
      </c>
      <c r="AD267" s="427">
        <v>115.16</v>
      </c>
      <c r="AE267" s="528">
        <v>111.765</v>
      </c>
      <c r="AF267" s="426">
        <v>104.98099999999999</v>
      </c>
      <c r="AG267" s="427">
        <v>59.866999999999997</v>
      </c>
      <c r="AH267" s="427">
        <v>62.084000000000003</v>
      </c>
      <c r="AI267" s="506">
        <f>240.934-AH267-AG267-AF267</f>
        <v>14.00200000000001</v>
      </c>
      <c r="AJ267" s="426">
        <v>55.595999999999997</v>
      </c>
      <c r="AK267" s="427">
        <v>52.96</v>
      </c>
      <c r="AL267" s="427">
        <v>57.719000000000001</v>
      </c>
      <c r="AM267" s="506">
        <f>230.241-AL267-AK267-AJ267</f>
        <v>63.966000000000015</v>
      </c>
      <c r="AN267" s="426">
        <v>54.241999999999997</v>
      </c>
      <c r="AO267" s="427">
        <v>59.024000000000001</v>
      </c>
      <c r="AP267" s="427">
        <v>64.058999999999997</v>
      </c>
      <c r="AQ267" s="427">
        <f>254.471-SUM(AN267:AP267)</f>
        <v>77.146000000000015</v>
      </c>
      <c r="AR267" s="426">
        <v>62.210999999999999</v>
      </c>
      <c r="AS267" s="427">
        <v>62.536999999999999</v>
      </c>
      <c r="AT267" s="427">
        <v>55.55</v>
      </c>
      <c r="AU267" s="528">
        <f>242.46-SUM(AR267:AT267)</f>
        <v>62.162000000000006</v>
      </c>
      <c r="AV267" s="1345">
        <v>56.387</v>
      </c>
      <c r="AW267" s="1341">
        <v>55.997</v>
      </c>
      <c r="AX267" s="1341">
        <v>60.313000000000002</v>
      </c>
      <c r="AY267" s="1346">
        <f>233.635-SUM(AV267:AX267)</f>
        <v>60.937999999999988</v>
      </c>
      <c r="AZ267" s="1341">
        <v>62.284999999999997</v>
      </c>
      <c r="BA267" s="1341">
        <v>110.348</v>
      </c>
      <c r="BB267" s="1341">
        <v>138.28100000000001</v>
      </c>
      <c r="BC267" s="1346">
        <f>445.304-SUM(AZ267:BB267)</f>
        <v>134.38999999999999</v>
      </c>
      <c r="BD267" s="430"/>
      <c r="BE267" s="428"/>
      <c r="BF267" s="428"/>
      <c r="BG267" s="429"/>
      <c r="BH267" s="430"/>
      <c r="BI267" s="428"/>
      <c r="BJ267" s="428"/>
      <c r="BK267" s="429"/>
      <c r="BL267" s="430"/>
      <c r="BM267" s="428"/>
      <c r="BN267" s="428"/>
      <c r="BO267" s="429"/>
      <c r="BP267" s="424"/>
      <c r="BQ267" s="532"/>
      <c r="BR267" s="431">
        <f t="shared" si="1397"/>
        <v>0</v>
      </c>
      <c r="BS267" s="431">
        <f t="shared" si="1398"/>
        <v>380.72399999999999</v>
      </c>
      <c r="BT267" s="431">
        <f t="shared" si="1399"/>
        <v>377.38799999999998</v>
      </c>
      <c r="BU267" s="431">
        <f t="shared" si="1400"/>
        <v>291.75700000000006</v>
      </c>
      <c r="BV267" s="431">
        <f t="shared" si="1401"/>
        <v>445.322</v>
      </c>
      <c r="BW267" s="431">
        <f t="shared" si="1402"/>
        <v>461.62199999999996</v>
      </c>
      <c r="BX267" s="431">
        <f t="shared" si="1403"/>
        <v>240.934</v>
      </c>
      <c r="BY267" s="431"/>
      <c r="BZ267" s="431"/>
      <c r="CA267" s="431"/>
      <c r="CB267" s="431"/>
      <c r="CC267" s="431"/>
      <c r="CD267" s="431"/>
      <c r="CE267" s="431"/>
      <c r="CF267" s="1458"/>
      <c r="CG267" s="1031"/>
    </row>
    <row r="268" spans="1:89" ht="14.25" customHeight="1">
      <c r="A268" s="106"/>
      <c r="B268" s="432" t="s">
        <v>207</v>
      </c>
      <c r="C268" s="433"/>
      <c r="D268" s="550"/>
      <c r="E268" s="551"/>
      <c r="F268" s="551"/>
      <c r="G268" s="552"/>
      <c r="H268" s="434"/>
      <c r="I268" s="435"/>
      <c r="J268" s="435"/>
      <c r="K268" s="436"/>
      <c r="L268" s="434">
        <f t="shared" ref="L268:AM268" si="1404">SUM(L262:L267)</f>
        <v>591.2650000000001</v>
      </c>
      <c r="M268" s="435">
        <f t="shared" si="1404"/>
        <v>597.48300000000006</v>
      </c>
      <c r="N268" s="435">
        <f t="shared" si="1404"/>
        <v>617.43100000000004</v>
      </c>
      <c r="O268" s="436">
        <f t="shared" si="1404"/>
        <v>623.54199999999992</v>
      </c>
      <c r="P268" s="434">
        <f t="shared" si="1404"/>
        <v>613.90899999999999</v>
      </c>
      <c r="Q268" s="435">
        <f t="shared" si="1404"/>
        <v>649.34</v>
      </c>
      <c r="R268" s="435">
        <f t="shared" si="1404"/>
        <v>658.98599999999988</v>
      </c>
      <c r="S268" s="436">
        <f t="shared" si="1404"/>
        <v>660.69600000000003</v>
      </c>
      <c r="T268" s="434">
        <f t="shared" si="1404"/>
        <v>476.56900000000002</v>
      </c>
      <c r="U268" s="435">
        <f t="shared" si="1404"/>
        <v>474.74799999999999</v>
      </c>
      <c r="V268" s="435">
        <f t="shared" si="1404"/>
        <v>491.99099999999999</v>
      </c>
      <c r="W268" s="436">
        <f t="shared" si="1404"/>
        <v>571.59999999999991</v>
      </c>
      <c r="X268" s="434">
        <f t="shared" si="1404"/>
        <v>602.98300000000006</v>
      </c>
      <c r="Y268" s="435">
        <f t="shared" si="1404"/>
        <v>668.24</v>
      </c>
      <c r="Z268" s="435">
        <f t="shared" si="1404"/>
        <v>720.29000000000008</v>
      </c>
      <c r="AA268" s="436">
        <f t="shared" si="1404"/>
        <v>769.99000000000012</v>
      </c>
      <c r="AB268" s="434">
        <f t="shared" si="1404"/>
        <v>728.50399999999991</v>
      </c>
      <c r="AC268" s="435">
        <f t="shared" si="1404"/>
        <v>790.78</v>
      </c>
      <c r="AD268" s="435">
        <f>SUM(AD262:AD267)</f>
        <v>757.90199999999993</v>
      </c>
      <c r="AE268" s="436">
        <f t="shared" si="1404"/>
        <v>716.13400000000001</v>
      </c>
      <c r="AF268" s="434">
        <f t="shared" si="1404"/>
        <v>648.05799999999999</v>
      </c>
      <c r="AG268" s="435">
        <f t="shared" si="1404"/>
        <v>675.09399999999994</v>
      </c>
      <c r="AH268" s="435">
        <f>SUM(AH262:AH267)</f>
        <v>683.02600000000007</v>
      </c>
      <c r="AI268" s="436">
        <f t="shared" si="1404"/>
        <v>694.96400000000017</v>
      </c>
      <c r="AJ268" s="434">
        <f t="shared" si="1404"/>
        <v>622.13400000000001</v>
      </c>
      <c r="AK268" s="435">
        <f t="shared" si="1404"/>
        <v>659.25000000000011</v>
      </c>
      <c r="AL268" s="435">
        <f t="shared" si="1404"/>
        <v>674.17200000000003</v>
      </c>
      <c r="AM268" s="436">
        <f t="shared" si="1404"/>
        <v>678.13299999999992</v>
      </c>
      <c r="AN268" s="434">
        <f t="shared" ref="AN268:AS268" si="1405">SUM(AN262:AN267)</f>
        <v>628.23800000000006</v>
      </c>
      <c r="AO268" s="435">
        <f t="shared" si="1405"/>
        <v>694.53599999999994</v>
      </c>
      <c r="AP268" s="435">
        <f t="shared" si="1405"/>
        <v>727.75199999999995</v>
      </c>
      <c r="AQ268" s="435">
        <f t="shared" si="1405"/>
        <v>814.24699999999984</v>
      </c>
      <c r="AR268" s="434">
        <f t="shared" si="1405"/>
        <v>771.9860000000001</v>
      </c>
      <c r="AS268" s="435">
        <f t="shared" si="1405"/>
        <v>821.01899999999989</v>
      </c>
      <c r="AT268" s="435">
        <f>SUM(AT262:AT267)</f>
        <v>863.36500000000001</v>
      </c>
      <c r="AU268" s="436">
        <f>SUM(AU262:AU267)</f>
        <v>978.72200000000021</v>
      </c>
      <c r="AV268" s="1347">
        <f>SUM(AV262:AV267)</f>
        <v>769.42899999999986</v>
      </c>
      <c r="AW268" s="1342">
        <f t="shared" ref="AW268" si="1406">SUM(AW262:AW267)</f>
        <v>778.76599999999996</v>
      </c>
      <c r="AX268" s="1342">
        <f>SUM(AX262:AX267)</f>
        <v>869.59100000000001</v>
      </c>
      <c r="AY268" s="1348">
        <f>SUM(AY262:AY267)</f>
        <v>1003.623</v>
      </c>
      <c r="AZ268" s="1342">
        <f>SUM(AZ262:AZ267)</f>
        <v>984.44899999999996</v>
      </c>
      <c r="BA268" s="1342">
        <f t="shared" ref="BA268" si="1407">SUM(BA262:BA267)</f>
        <v>1147.982</v>
      </c>
      <c r="BB268" s="1342">
        <f>SUM(BB262:BB267)</f>
        <v>1433.902</v>
      </c>
      <c r="BC268" s="1348">
        <f>SUM(BC262:BC267)</f>
        <v>1541.1699999999996</v>
      </c>
      <c r="BD268" s="439"/>
      <c r="BE268" s="437"/>
      <c r="BF268" s="437"/>
      <c r="BG268" s="438"/>
      <c r="BH268" s="439"/>
      <c r="BI268" s="437"/>
      <c r="BJ268" s="437"/>
      <c r="BK268" s="438"/>
      <c r="BL268" s="439"/>
      <c r="BM268" s="437"/>
      <c r="BN268" s="437"/>
      <c r="BO268" s="438"/>
      <c r="BP268" s="440"/>
      <c r="BQ268" s="531"/>
      <c r="BR268" s="441">
        <f t="shared" ref="BR268:BX268" si="1408">SUM(BR262:BR267)</f>
        <v>0</v>
      </c>
      <c r="BS268" s="442">
        <f>SUM(BS262:BS267)</f>
        <v>2429.7210000000005</v>
      </c>
      <c r="BT268" s="442">
        <f t="shared" si="1408"/>
        <v>2582.931</v>
      </c>
      <c r="BU268" s="442">
        <f t="shared" si="1408"/>
        <v>2014.9079999999999</v>
      </c>
      <c r="BV268" s="442">
        <f t="shared" si="1408"/>
        <v>2761.5030000000002</v>
      </c>
      <c r="BW268" s="442">
        <f t="shared" si="1408"/>
        <v>2993.3199999999997</v>
      </c>
      <c r="BX268" s="442">
        <f t="shared" si="1408"/>
        <v>2701.1420000000003</v>
      </c>
      <c r="BY268" s="442"/>
      <c r="BZ268" s="442"/>
      <c r="CA268" s="442"/>
      <c r="CB268" s="442"/>
      <c r="CC268" s="442"/>
      <c r="CD268" s="442"/>
      <c r="CE268" s="442"/>
      <c r="CF268" s="1454"/>
      <c r="CG268" s="1474"/>
      <c r="CH268" s="106"/>
      <c r="CI268" s="106"/>
      <c r="CJ268" s="106"/>
      <c r="CK268" s="106"/>
    </row>
    <row r="269" spans="1:89" ht="14.25" customHeight="1">
      <c r="B269" s="70"/>
      <c r="AB269" s="8"/>
      <c r="AC269" s="8"/>
      <c r="AD269" s="8"/>
      <c r="AF269" s="8"/>
      <c r="AH269" s="8"/>
      <c r="AJ269" s="8"/>
      <c r="AL269" s="8"/>
      <c r="AN269" s="8"/>
      <c r="AR269" s="17"/>
      <c r="AS269" s="8"/>
      <c r="BP269" s="366"/>
      <c r="BQ269" s="366"/>
      <c r="BR269" s="366"/>
      <c r="BS269" s="366"/>
      <c r="BT269" s="366"/>
      <c r="BU269" s="366"/>
      <c r="BV269" s="366"/>
      <c r="BW269" s="366"/>
      <c r="BX269" s="366"/>
      <c r="BY269" s="366"/>
      <c r="BZ269" s="366"/>
      <c r="CA269" s="366"/>
      <c r="CB269" s="366"/>
      <c r="CC269" s="366"/>
      <c r="CD269" s="366"/>
      <c r="CE269" s="366"/>
      <c r="CF269" s="366"/>
    </row>
    <row r="270" spans="1:89" ht="14.25" customHeight="1">
      <c r="A270" s="8"/>
      <c r="B270" s="313" t="s">
        <v>157</v>
      </c>
      <c r="C270" s="314"/>
      <c r="D270" s="553"/>
      <c r="E270" s="554"/>
      <c r="F270" s="554"/>
      <c r="G270" s="554"/>
      <c r="H270" s="443"/>
      <c r="I270" s="444"/>
      <c r="J270" s="444"/>
      <c r="K270" s="444"/>
      <c r="L270" s="443">
        <f t="shared" ref="L270:BB270" si="1409">IF(ABS(L268-L140)&lt;1,"OK",L268-L140)</f>
        <v>-34.999999999999886</v>
      </c>
      <c r="M270" s="444" t="str">
        <f t="shared" si="1409"/>
        <v>OK</v>
      </c>
      <c r="N270" s="444" t="str">
        <f t="shared" si="1409"/>
        <v>OK</v>
      </c>
      <c r="O270" s="444" t="str">
        <f t="shared" si="1409"/>
        <v>OK</v>
      </c>
      <c r="P270" s="443" t="str">
        <f t="shared" si="1409"/>
        <v>OK</v>
      </c>
      <c r="Q270" s="444" t="str">
        <f t="shared" si="1409"/>
        <v>OK</v>
      </c>
      <c r="R270" s="444" t="str">
        <f t="shared" si="1409"/>
        <v>OK</v>
      </c>
      <c r="S270" s="444" t="str">
        <f t="shared" si="1409"/>
        <v>OK</v>
      </c>
      <c r="T270" s="443" t="str">
        <f t="shared" si="1409"/>
        <v>OK</v>
      </c>
      <c r="U270" s="444" t="str">
        <f t="shared" si="1409"/>
        <v>OK</v>
      </c>
      <c r="V270" s="444" t="str">
        <f t="shared" si="1409"/>
        <v>OK</v>
      </c>
      <c r="W270" s="444" t="str">
        <f t="shared" si="1409"/>
        <v>OK</v>
      </c>
      <c r="X270" s="443" t="str">
        <f t="shared" si="1409"/>
        <v>OK</v>
      </c>
      <c r="Y270" s="444" t="str">
        <f t="shared" si="1409"/>
        <v>OK</v>
      </c>
      <c r="Z270" s="444" t="str">
        <f t="shared" si="1409"/>
        <v>OK</v>
      </c>
      <c r="AA270" s="444" t="str">
        <f t="shared" si="1409"/>
        <v>OK</v>
      </c>
      <c r="AB270" s="443" t="str">
        <f t="shared" si="1409"/>
        <v>OK</v>
      </c>
      <c r="AC270" s="444" t="str">
        <f t="shared" si="1409"/>
        <v>OK</v>
      </c>
      <c r="AD270" s="444" t="str">
        <f t="shared" si="1409"/>
        <v>OK</v>
      </c>
      <c r="AE270" s="444" t="str">
        <f t="shared" si="1409"/>
        <v>OK</v>
      </c>
      <c r="AF270" s="443" t="str">
        <f t="shared" si="1409"/>
        <v>OK</v>
      </c>
      <c r="AG270" s="444" t="str">
        <f t="shared" si="1409"/>
        <v>OK</v>
      </c>
      <c r="AH270" s="444" t="str">
        <f t="shared" si="1409"/>
        <v>OK</v>
      </c>
      <c r="AI270" s="444" t="str">
        <f t="shared" si="1409"/>
        <v>OK</v>
      </c>
      <c r="AJ270" s="443" t="str">
        <f t="shared" si="1409"/>
        <v>OK</v>
      </c>
      <c r="AK270" s="444" t="str">
        <f t="shared" si="1409"/>
        <v>OK</v>
      </c>
      <c r="AL270" s="444" t="str">
        <f t="shared" si="1409"/>
        <v>OK</v>
      </c>
      <c r="AM270" s="444" t="str">
        <f t="shared" si="1409"/>
        <v>OK</v>
      </c>
      <c r="AN270" s="443" t="str">
        <f t="shared" si="1409"/>
        <v>OK</v>
      </c>
      <c r="AO270" s="444" t="str">
        <f t="shared" si="1409"/>
        <v>OK</v>
      </c>
      <c r="AP270" s="444" t="str">
        <f t="shared" si="1409"/>
        <v>OK</v>
      </c>
      <c r="AQ270" s="444" t="str">
        <f t="shared" si="1409"/>
        <v>OK</v>
      </c>
      <c r="AR270" s="443" t="str">
        <f t="shared" si="1409"/>
        <v>OK</v>
      </c>
      <c r="AS270" s="444" t="str">
        <f t="shared" si="1409"/>
        <v>OK</v>
      </c>
      <c r="AT270" s="444" t="str">
        <f t="shared" si="1409"/>
        <v>OK</v>
      </c>
      <c r="AU270" s="444" t="str">
        <f t="shared" si="1409"/>
        <v>OK</v>
      </c>
      <c r="AV270" s="444" t="str">
        <f t="shared" si="1409"/>
        <v>OK</v>
      </c>
      <c r="AW270" s="316" t="str">
        <f t="shared" si="1409"/>
        <v>OK</v>
      </c>
      <c r="AX270" s="444" t="str">
        <f t="shared" si="1409"/>
        <v>OK</v>
      </c>
      <c r="AY270" s="1170" t="str">
        <f t="shared" si="1409"/>
        <v>OK</v>
      </c>
      <c r="AZ270" s="444" t="str">
        <f t="shared" si="1409"/>
        <v>OK</v>
      </c>
      <c r="BA270" s="444" t="str">
        <f t="shared" si="1409"/>
        <v>OK</v>
      </c>
      <c r="BB270" s="444" t="str">
        <f t="shared" si="1409"/>
        <v>OK</v>
      </c>
      <c r="BC270" s="1170" t="str">
        <f t="shared" ref="BC270" si="1410">IF(ABS(BC268-BC140)&lt;1,"OK",BC268-BC140)</f>
        <v>OK</v>
      </c>
      <c r="BD270" s="315"/>
      <c r="BE270" s="316"/>
      <c r="BF270" s="316"/>
      <c r="BG270" s="316"/>
      <c r="BH270" s="315"/>
      <c r="BI270" s="316"/>
      <c r="BJ270" s="316"/>
      <c r="BK270" s="316"/>
      <c r="BL270" s="315"/>
      <c r="BM270" s="316"/>
      <c r="BN270" s="316"/>
      <c r="BO270" s="316"/>
      <c r="BP270" s="23"/>
      <c r="BQ270" s="534"/>
      <c r="BR270" s="316">
        <f t="shared" ref="BR270:BX270" si="1411">IF(ABS(BR268-BR140)&lt;1,"OK",BR268-BR140)</f>
        <v>-2342.9189999999999</v>
      </c>
      <c r="BS270" s="316">
        <f t="shared" si="1411"/>
        <v>-34.999999999999545</v>
      </c>
      <c r="BT270" s="316" t="str">
        <f t="shared" si="1411"/>
        <v>OK</v>
      </c>
      <c r="BU270" s="316" t="str">
        <f t="shared" si="1411"/>
        <v>OK</v>
      </c>
      <c r="BV270" s="316" t="str">
        <f t="shared" si="1411"/>
        <v>OK</v>
      </c>
      <c r="BW270" s="316" t="str">
        <f t="shared" si="1411"/>
        <v>OK</v>
      </c>
      <c r="BX270" s="316" t="str">
        <f t="shared" si="1411"/>
        <v>OK</v>
      </c>
      <c r="BY270" s="316"/>
      <c r="BZ270" s="316"/>
      <c r="CA270" s="316"/>
      <c r="CB270" s="316"/>
      <c r="CC270" s="316"/>
      <c r="CD270" s="316"/>
      <c r="CE270" s="316"/>
      <c r="CF270" s="1171"/>
      <c r="CG270" s="25"/>
      <c r="CH270" s="8"/>
      <c r="CI270" s="8"/>
      <c r="CJ270" s="8"/>
      <c r="CK270" s="8"/>
    </row>
    <row r="271" spans="1:89" ht="14.25" customHeight="1">
      <c r="B271" s="70"/>
      <c r="AB271" s="8"/>
      <c r="AC271" s="8"/>
      <c r="AD271" s="8"/>
      <c r="AF271" s="8"/>
      <c r="AH271" s="8"/>
      <c r="AJ271" s="8"/>
      <c r="CC271" s="1005"/>
      <c r="CD271" s="1005"/>
      <c r="CE271" s="1005"/>
    </row>
    <row r="272" spans="1:89" ht="14.25" customHeight="1">
      <c r="A272" s="1"/>
      <c r="B272" s="150" t="s">
        <v>209</v>
      </c>
      <c r="C272" s="151"/>
      <c r="D272" s="699" t="str">
        <f t="shared" ref="D272:AI272" si="1412">D9</f>
        <v>F1Q05A</v>
      </c>
      <c r="E272" s="698" t="str">
        <f t="shared" si="1412"/>
        <v>F2Q05A</v>
      </c>
      <c r="F272" s="698" t="str">
        <f t="shared" si="1412"/>
        <v>F3Q05A</v>
      </c>
      <c r="G272" s="698" t="str">
        <f t="shared" si="1412"/>
        <v>F4Q05A</v>
      </c>
      <c r="H272" s="699" t="str">
        <f t="shared" si="1412"/>
        <v>F1Q06A</v>
      </c>
      <c r="I272" s="698" t="str">
        <f t="shared" si="1412"/>
        <v>F2Q06A</v>
      </c>
      <c r="J272" s="698" t="str">
        <f t="shared" si="1412"/>
        <v>F3Q06A</v>
      </c>
      <c r="K272" s="698" t="str">
        <f t="shared" si="1412"/>
        <v>F4Q06A</v>
      </c>
      <c r="L272" s="699" t="str">
        <f t="shared" si="1412"/>
        <v>F1Q07A</v>
      </c>
      <c r="M272" s="698" t="str">
        <f t="shared" si="1412"/>
        <v>F2Q07A</v>
      </c>
      <c r="N272" s="698" t="str">
        <f t="shared" si="1412"/>
        <v>F3Q07A</v>
      </c>
      <c r="O272" s="698" t="str">
        <f t="shared" si="1412"/>
        <v>F4Q07A</v>
      </c>
      <c r="P272" s="699" t="str">
        <f t="shared" si="1412"/>
        <v>F1Q08A</v>
      </c>
      <c r="Q272" s="698" t="str">
        <f t="shared" si="1412"/>
        <v>F2Q08A</v>
      </c>
      <c r="R272" s="698" t="str">
        <f t="shared" si="1412"/>
        <v>F3Q08A</v>
      </c>
      <c r="S272" s="698" t="str">
        <f t="shared" si="1412"/>
        <v>F4Q08A</v>
      </c>
      <c r="T272" s="699" t="str">
        <f t="shared" si="1412"/>
        <v>F1Q09A</v>
      </c>
      <c r="U272" s="698" t="str">
        <f t="shared" si="1412"/>
        <v>F2Q09A</v>
      </c>
      <c r="V272" s="698" t="str">
        <f t="shared" si="1412"/>
        <v>F3Q09A</v>
      </c>
      <c r="W272" s="698" t="str">
        <f t="shared" si="1412"/>
        <v>F4Q09A</v>
      </c>
      <c r="X272" s="699" t="str">
        <f t="shared" si="1412"/>
        <v>F1Q10A</v>
      </c>
      <c r="Y272" s="698" t="str">
        <f t="shared" si="1412"/>
        <v>F2Q10A</v>
      </c>
      <c r="Z272" s="698" t="str">
        <f t="shared" si="1412"/>
        <v>F3Q10A</v>
      </c>
      <c r="AA272" s="698" t="str">
        <f t="shared" si="1412"/>
        <v>F4Q10A</v>
      </c>
      <c r="AB272" s="699" t="str">
        <f t="shared" si="1412"/>
        <v>F1Q11A</v>
      </c>
      <c r="AC272" s="698" t="str">
        <f t="shared" si="1412"/>
        <v>F2Q11A</v>
      </c>
      <c r="AD272" s="698" t="str">
        <f t="shared" si="1412"/>
        <v>F3Q11A</v>
      </c>
      <c r="AE272" s="698" t="str">
        <f t="shared" si="1412"/>
        <v>F4Q11A</v>
      </c>
      <c r="AF272" s="699" t="str">
        <f t="shared" si="1412"/>
        <v>F1Q12A</v>
      </c>
      <c r="AG272" s="698" t="str">
        <f t="shared" si="1412"/>
        <v>F2Q12A</v>
      </c>
      <c r="AH272" s="698" t="str">
        <f t="shared" si="1412"/>
        <v>F3Q12A</v>
      </c>
      <c r="AI272" s="698" t="str">
        <f t="shared" si="1412"/>
        <v>F4Q12A</v>
      </c>
      <c r="AJ272" s="699" t="str">
        <f t="shared" ref="AJ272:BO272" si="1413">AJ9</f>
        <v>F1Q13A</v>
      </c>
      <c r="AK272" s="698" t="str">
        <f t="shared" si="1413"/>
        <v>F2Q13A</v>
      </c>
      <c r="AL272" s="698" t="str">
        <f t="shared" si="1413"/>
        <v>F3Q13A</v>
      </c>
      <c r="AM272" s="698" t="str">
        <f t="shared" si="1413"/>
        <v>F4Q13A</v>
      </c>
      <c r="AN272" s="699" t="str">
        <f t="shared" si="1413"/>
        <v>F1Q14A</v>
      </c>
      <c r="AO272" s="698" t="str">
        <f t="shared" si="1413"/>
        <v>F2Q14A</v>
      </c>
      <c r="AP272" s="698" t="str">
        <f t="shared" si="1413"/>
        <v>F3Q14A</v>
      </c>
      <c r="AQ272" s="700" t="str">
        <f t="shared" si="1413"/>
        <v>F4Q14A</v>
      </c>
      <c r="AR272" s="699" t="str">
        <f t="shared" si="1413"/>
        <v>F1Q15A</v>
      </c>
      <c r="AS272" s="698" t="str">
        <f t="shared" si="1413"/>
        <v>F2Q15A</v>
      </c>
      <c r="AT272" s="698" t="str">
        <f t="shared" si="1413"/>
        <v>F3Q15A</v>
      </c>
      <c r="AU272" s="700" t="str">
        <f t="shared" si="1413"/>
        <v>F4Q15A</v>
      </c>
      <c r="AV272" s="698" t="str">
        <f t="shared" si="1413"/>
        <v>F1Q16A</v>
      </c>
      <c r="AW272" s="698" t="str">
        <f t="shared" si="1413"/>
        <v>F2Q16A</v>
      </c>
      <c r="AX272" s="698" t="str">
        <f t="shared" si="1413"/>
        <v>F3Q16A</v>
      </c>
      <c r="AY272" s="700" t="str">
        <f t="shared" si="1413"/>
        <v>F4Q16A</v>
      </c>
      <c r="AZ272" s="699" t="str">
        <f t="shared" si="1413"/>
        <v>F1Q17A</v>
      </c>
      <c r="BA272" s="698" t="str">
        <f t="shared" si="1413"/>
        <v>F2Q17A</v>
      </c>
      <c r="BB272" s="698" t="str">
        <f t="shared" si="1413"/>
        <v>F3Q17A</v>
      </c>
      <c r="BC272" s="700" t="str">
        <f t="shared" si="1413"/>
        <v>F4Q17A</v>
      </c>
      <c r="BD272" s="699" t="str">
        <f t="shared" si="1413"/>
        <v>F1Q18A</v>
      </c>
      <c r="BE272" s="698" t="str">
        <f t="shared" si="1413"/>
        <v>F2Q18E</v>
      </c>
      <c r="BF272" s="698" t="str">
        <f t="shared" si="1413"/>
        <v>F3Q18E</v>
      </c>
      <c r="BG272" s="700" t="str">
        <f t="shared" si="1413"/>
        <v>F4Q18E</v>
      </c>
      <c r="BH272" s="699" t="str">
        <f t="shared" si="1413"/>
        <v>F1Q19E</v>
      </c>
      <c r="BI272" s="698" t="str">
        <f t="shared" si="1413"/>
        <v>F2Q19E</v>
      </c>
      <c r="BJ272" s="698" t="str">
        <f t="shared" si="1413"/>
        <v>F3Q19E</v>
      </c>
      <c r="BK272" s="700" t="str">
        <f t="shared" si="1413"/>
        <v>F4Q19E</v>
      </c>
      <c r="BL272" s="699" t="str">
        <f t="shared" si="1413"/>
        <v>F1Q20E</v>
      </c>
      <c r="BM272" s="698" t="str">
        <f t="shared" si="1413"/>
        <v>F2Q20E</v>
      </c>
      <c r="BN272" s="698" t="str">
        <f t="shared" si="1413"/>
        <v>F3Q20E</v>
      </c>
      <c r="BO272" s="700" t="str">
        <f t="shared" si="1413"/>
        <v>F4Q20E</v>
      </c>
      <c r="BP272" s="23"/>
      <c r="BQ272" s="701" t="str">
        <f t="shared" ref="BQ272:CF272" si="1414">BQ9</f>
        <v>FY2005A</v>
      </c>
      <c r="BR272" s="698" t="str">
        <f t="shared" si="1414"/>
        <v>FY2006A</v>
      </c>
      <c r="BS272" s="698" t="str">
        <f t="shared" si="1414"/>
        <v>FY2007A</v>
      </c>
      <c r="BT272" s="698" t="str">
        <f t="shared" si="1414"/>
        <v>FY2008A</v>
      </c>
      <c r="BU272" s="698" t="str">
        <f t="shared" si="1414"/>
        <v>FY2009A</v>
      </c>
      <c r="BV272" s="698" t="str">
        <f t="shared" si="1414"/>
        <v>FY2010A</v>
      </c>
      <c r="BW272" s="698" t="str">
        <f t="shared" si="1414"/>
        <v>FY2011A</v>
      </c>
      <c r="BX272" s="698" t="str">
        <f t="shared" si="1414"/>
        <v>FY2012A</v>
      </c>
      <c r="BY272" s="698" t="str">
        <f t="shared" si="1414"/>
        <v>FY2013A</v>
      </c>
      <c r="BZ272" s="698" t="str">
        <f t="shared" si="1414"/>
        <v>FY2014A</v>
      </c>
      <c r="CA272" s="698" t="str">
        <f t="shared" si="1414"/>
        <v>FY2015A</v>
      </c>
      <c r="CB272" s="698" t="str">
        <f t="shared" si="1414"/>
        <v>FY2016A</v>
      </c>
      <c r="CC272" s="698" t="str">
        <f t="shared" si="1414"/>
        <v>FY2017A</v>
      </c>
      <c r="CD272" s="698" t="str">
        <f t="shared" si="1414"/>
        <v>FY2018E</v>
      </c>
      <c r="CE272" s="698" t="str">
        <f t="shared" si="1414"/>
        <v>FY2019E</v>
      </c>
      <c r="CF272" s="700" t="str">
        <f t="shared" si="1414"/>
        <v>FY2020E</v>
      </c>
      <c r="CG272" s="1031"/>
    </row>
    <row r="273" spans="1:89" ht="14.25" customHeight="1">
      <c r="B273" s="446" t="str">
        <f t="shared" ref="B273:B278" si="1415">B262</f>
        <v>United States</v>
      </c>
      <c r="C273" s="418"/>
      <c r="D273" s="561"/>
      <c r="E273" s="555"/>
      <c r="F273" s="555"/>
      <c r="G273" s="556"/>
      <c r="H273" s="447"/>
      <c r="I273" s="448"/>
      <c r="J273" s="448"/>
      <c r="K273" s="449"/>
      <c r="L273" s="447">
        <f t="shared" ref="L273:AG273" si="1416">L262/L$140</f>
        <v>0.26063727016518567</v>
      </c>
      <c r="M273" s="448">
        <f t="shared" si="1416"/>
        <v>0.2215527471074491</v>
      </c>
      <c r="N273" s="448">
        <f t="shared" si="1416"/>
        <v>0.2139121618448053</v>
      </c>
      <c r="O273" s="449">
        <f t="shared" si="1416"/>
        <v>0.19806043538366294</v>
      </c>
      <c r="P273" s="447">
        <f t="shared" si="1416"/>
        <v>0.21446338138062807</v>
      </c>
      <c r="Q273" s="448">
        <f t="shared" si="1416"/>
        <v>0.20175562879231221</v>
      </c>
      <c r="R273" s="448">
        <f t="shared" si="1416"/>
        <v>0.19904519974627688</v>
      </c>
      <c r="S273" s="449">
        <f t="shared" si="1416"/>
        <v>0.1973070822284379</v>
      </c>
      <c r="T273" s="447">
        <f t="shared" si="1416"/>
        <v>0.22514683078420963</v>
      </c>
      <c r="U273" s="448">
        <f t="shared" si="1416"/>
        <v>0.20443477381684602</v>
      </c>
      <c r="V273" s="448">
        <f t="shared" si="1416"/>
        <v>0.1917230193235242</v>
      </c>
      <c r="W273" s="449">
        <f t="shared" si="1416"/>
        <v>0.18007172848145561</v>
      </c>
      <c r="X273" s="447">
        <f t="shared" si="1416"/>
        <v>0.19397395946486054</v>
      </c>
      <c r="Y273" s="448">
        <f t="shared" si="1416"/>
        <v>0.19208667544594757</v>
      </c>
      <c r="Z273" s="448">
        <f t="shared" si="1416"/>
        <v>0.18038984297991087</v>
      </c>
      <c r="AA273" s="449">
        <f t="shared" si="1416"/>
        <v>0.17263990441434304</v>
      </c>
      <c r="AB273" s="447">
        <f t="shared" si="1416"/>
        <v>0.17899284012167399</v>
      </c>
      <c r="AC273" s="448">
        <f t="shared" si="1416"/>
        <v>0.18487948607703789</v>
      </c>
      <c r="AD273" s="448">
        <f t="shared" si="1416"/>
        <v>0.17432860712862611</v>
      </c>
      <c r="AE273" s="449">
        <f t="shared" si="1416"/>
        <v>0.17216191383176882</v>
      </c>
      <c r="AF273" s="447">
        <f t="shared" si="1416"/>
        <v>0.18763598319903466</v>
      </c>
      <c r="AG273" s="448">
        <f t="shared" si="1416"/>
        <v>0.28373530204682607</v>
      </c>
      <c r="AH273" s="448">
        <f t="shared" ref="AH273:AK278" si="1417">AH262/AH$140</f>
        <v>0.29585989405966978</v>
      </c>
      <c r="AI273" s="449">
        <f t="shared" si="1417"/>
        <v>0.43660678826529137</v>
      </c>
      <c r="AJ273" s="447">
        <f t="shared" si="1417"/>
        <v>0.32833923238402013</v>
      </c>
      <c r="AK273" s="448">
        <f t="shared" ref="AK273:AP273" si="1418">AK262/AK$140</f>
        <v>0.31275085324232083</v>
      </c>
      <c r="AL273" s="448">
        <f t="shared" si="1418"/>
        <v>0.30064582925425559</v>
      </c>
      <c r="AM273" s="449">
        <f t="shared" si="1418"/>
        <v>0.30691619490571903</v>
      </c>
      <c r="AN273" s="447">
        <f t="shared" si="1418"/>
        <v>0.2901734692903008</v>
      </c>
      <c r="AO273" s="448">
        <f t="shared" si="1418"/>
        <v>0.27875876844396835</v>
      </c>
      <c r="AP273" s="448">
        <f t="shared" si="1418"/>
        <v>0.27562961008695275</v>
      </c>
      <c r="AQ273" s="448">
        <f t="shared" ref="AQ273:AR278" si="1419">AQ262/AQ$140</f>
        <v>0.30096272998242551</v>
      </c>
      <c r="AR273" s="447">
        <f t="shared" si="1419"/>
        <v>0.3039524032819248</v>
      </c>
      <c r="AS273" s="448">
        <f t="shared" ref="AS273:AU278" si="1420">AS262/AS$140</f>
        <v>0.33640268982812821</v>
      </c>
      <c r="AT273" s="448">
        <f t="shared" si="1420"/>
        <v>0.41660479634916869</v>
      </c>
      <c r="AU273" s="449">
        <f t="shared" si="1420"/>
        <v>0.46464368840181386</v>
      </c>
      <c r="AV273" s="447">
        <f t="shared" ref="AV273:BA278" si="1421">AV262/AV$140</f>
        <v>0.34658038623446735</v>
      </c>
      <c r="AW273" s="448">
        <f t="shared" si="1421"/>
        <v>0.31496367329852615</v>
      </c>
      <c r="AX273" s="448">
        <f t="shared" si="1421"/>
        <v>0.38461184625875838</v>
      </c>
      <c r="AY273" s="449">
        <f t="shared" si="1421"/>
        <v>0.45158590426883399</v>
      </c>
      <c r="AZ273" s="447">
        <f t="shared" si="1421"/>
        <v>0.43780632617840032</v>
      </c>
      <c r="BA273" s="448">
        <f t="shared" si="1421"/>
        <v>0.36788730136883679</v>
      </c>
      <c r="BB273" s="448">
        <f t="shared" ref="BB273:BC273" si="1422">BB262/BB$140</f>
        <v>0.36985442519781686</v>
      </c>
      <c r="BC273" s="448">
        <f t="shared" si="1422"/>
        <v>0.39929404283758435</v>
      </c>
      <c r="BD273" s="452"/>
      <c r="BE273" s="450"/>
      <c r="BF273" s="450"/>
      <c r="BG273" s="451"/>
      <c r="BH273" s="452"/>
      <c r="BI273" s="450"/>
      <c r="BJ273" s="450"/>
      <c r="BK273" s="451"/>
      <c r="BL273" s="452"/>
      <c r="BM273" s="450"/>
      <c r="BN273" s="450"/>
      <c r="BO273" s="451"/>
      <c r="BP273" s="424"/>
      <c r="BQ273" s="538"/>
      <c r="BR273" s="453">
        <f t="shared" ref="BR273:BW278" si="1423">BR262/BR$140</f>
        <v>0</v>
      </c>
      <c r="BS273" s="454">
        <f t="shared" si="1423"/>
        <v>0.22362652811413539</v>
      </c>
      <c r="BT273" s="454">
        <f t="shared" si="1423"/>
        <v>0.20294657503433114</v>
      </c>
      <c r="BU273" s="454">
        <f t="shared" si="1423"/>
        <v>0.19931828152947928</v>
      </c>
      <c r="BV273" s="454">
        <f t="shared" si="1423"/>
        <v>0.18402551074541657</v>
      </c>
      <c r="BW273" s="454">
        <f t="shared" si="1423"/>
        <v>0.17773275159354829</v>
      </c>
      <c r="BX273" s="454">
        <f t="shared" ref="BX273:BX278" si="1424">BX262/BX$140</f>
        <v>0.3030766246276575</v>
      </c>
      <c r="BY273" s="454"/>
      <c r="BZ273" s="454"/>
      <c r="CA273" s="454"/>
      <c r="CB273" s="453"/>
      <c r="CC273" s="453"/>
      <c r="CD273" s="453"/>
      <c r="CE273" s="453"/>
      <c r="CF273" s="1455"/>
      <c r="CG273" s="1031"/>
    </row>
    <row r="274" spans="1:89" ht="14.25" customHeight="1">
      <c r="B274" s="455" t="str">
        <f t="shared" si="1415"/>
        <v>Rest of North and South America</v>
      </c>
      <c r="C274" s="367"/>
      <c r="D274" s="539"/>
      <c r="E274" s="557"/>
      <c r="F274" s="557"/>
      <c r="G274" s="558"/>
      <c r="H274" s="456"/>
      <c r="I274" s="457"/>
      <c r="J274" s="457"/>
      <c r="K274" s="458"/>
      <c r="L274" s="456">
        <f t="shared" ref="L274:AG274" si="1425">L263/L$140</f>
        <v>0</v>
      </c>
      <c r="M274" s="457">
        <f t="shared" si="1425"/>
        <v>4.3755219813785502E-2</v>
      </c>
      <c r="N274" s="457">
        <f t="shared" si="1425"/>
        <v>3.32393417240145E-2</v>
      </c>
      <c r="O274" s="458">
        <f t="shared" si="1425"/>
        <v>5.7887038884309315E-2</v>
      </c>
      <c r="P274" s="456">
        <f t="shared" si="1425"/>
        <v>3.4374801477091883E-2</v>
      </c>
      <c r="Q274" s="457">
        <f t="shared" si="1425"/>
        <v>3.7156189361505526E-2</v>
      </c>
      <c r="R274" s="457">
        <f t="shared" si="1425"/>
        <v>3.8594143122919151E-2</v>
      </c>
      <c r="S274" s="458">
        <f t="shared" si="1425"/>
        <v>4.0542095002845474E-2</v>
      </c>
      <c r="T274" s="456">
        <f t="shared" si="1425"/>
        <v>4.0564954917336207E-2</v>
      </c>
      <c r="U274" s="457">
        <f t="shared" si="1425"/>
        <v>4.3088122540800591E-2</v>
      </c>
      <c r="V274" s="457">
        <f t="shared" si="1425"/>
        <v>4.8702110404458619E-2</v>
      </c>
      <c r="W274" s="458">
        <f t="shared" si="1425"/>
        <v>5.1093421973407972E-2</v>
      </c>
      <c r="X274" s="456">
        <f t="shared" si="1425"/>
        <v>4.9551977418932212E-2</v>
      </c>
      <c r="Y274" s="457">
        <f t="shared" si="1425"/>
        <v>5.6841853226385734E-2</v>
      </c>
      <c r="Z274" s="457">
        <f t="shared" si="1425"/>
        <v>5.5795582334892894E-2</v>
      </c>
      <c r="AA274" s="458">
        <f t="shared" si="1425"/>
        <v>5.9624150962999514E-2</v>
      </c>
      <c r="AB274" s="456">
        <f t="shared" si="1425"/>
        <v>5.7505518157758916E-2</v>
      </c>
      <c r="AC274" s="457">
        <f t="shared" si="1425"/>
        <v>5.5437669136801641E-2</v>
      </c>
      <c r="AD274" s="457">
        <f t="shared" si="1425"/>
        <v>5.2505469044810536E-2</v>
      </c>
      <c r="AE274" s="458">
        <f t="shared" si="1425"/>
        <v>5.3834896820986029E-2</v>
      </c>
      <c r="AF274" s="456">
        <f t="shared" si="1425"/>
        <v>6.5364519842359789E-2</v>
      </c>
      <c r="AG274" s="457">
        <f t="shared" si="1425"/>
        <v>4.5018915884306475E-2</v>
      </c>
      <c r="AH274" s="457">
        <f t="shared" si="1417"/>
        <v>3.6994199342338364E-2</v>
      </c>
      <c r="AI274" s="458">
        <f t="shared" si="1417"/>
        <v>2.3185373630864332E-2</v>
      </c>
      <c r="AJ274" s="456">
        <f t="shared" si="1417"/>
        <v>3.779250129393346E-2</v>
      </c>
      <c r="AK274" s="457">
        <f t="shared" si="1417"/>
        <v>4.2766780432309442E-2</v>
      </c>
      <c r="AL274" s="457">
        <f t="shared" ref="AL274:AN278" si="1426">AL263/AL$140</f>
        <v>3.7175972897124175E-2</v>
      </c>
      <c r="AM274" s="458">
        <f t="shared" si="1426"/>
        <v>3.309970168093869E-2</v>
      </c>
      <c r="AN274" s="456">
        <f t="shared" si="1426"/>
        <v>3.0937319932891671E-2</v>
      </c>
      <c r="AO274" s="457">
        <f t="shared" ref="AO274:AP278" si="1427">AO263/AO$140</f>
        <v>3.6615812571270605E-2</v>
      </c>
      <c r="AP274" s="457">
        <f t="shared" si="1427"/>
        <v>3.5670118391979685E-2</v>
      </c>
      <c r="AQ274" s="457">
        <f t="shared" si="1419"/>
        <v>3.209222754274807E-2</v>
      </c>
      <c r="AR274" s="456">
        <f t="shared" si="1419"/>
        <v>3.0000544051316993E-2</v>
      </c>
      <c r="AS274" s="457">
        <f t="shared" si="1420"/>
        <v>2.7039569120812065E-2</v>
      </c>
      <c r="AT274" s="457">
        <f t="shared" si="1420"/>
        <v>2.3380609591540077E-2</v>
      </c>
      <c r="AU274" s="458">
        <f t="shared" si="1420"/>
        <v>3.2330937692214949E-2</v>
      </c>
      <c r="AV274" s="456">
        <f t="shared" si="1421"/>
        <v>2.6918663060529303E-2</v>
      </c>
      <c r="AW274" s="457">
        <f t="shared" si="1421"/>
        <v>2.7508905113988028E-2</v>
      </c>
      <c r="AX274" s="457">
        <f t="shared" si="1421"/>
        <v>2.607777679391806E-2</v>
      </c>
      <c r="AY274" s="458">
        <f t="shared" si="1421"/>
        <v>3.1032569002503924E-2</v>
      </c>
      <c r="AZ274" s="456">
        <f t="shared" si="1421"/>
        <v>2.3319643780429462E-2</v>
      </c>
      <c r="BA274" s="457">
        <f t="shared" si="1421"/>
        <v>2.4068321628736337E-2</v>
      </c>
      <c r="BB274" s="457">
        <f t="shared" ref="BB274:BC274" si="1428">BB263/BB$140</f>
        <v>1.8105142471382282E-2</v>
      </c>
      <c r="BC274" s="457">
        <f t="shared" si="1428"/>
        <v>1.7213545553053846E-2</v>
      </c>
      <c r="BD274" s="461"/>
      <c r="BE274" s="459"/>
      <c r="BF274" s="459"/>
      <c r="BG274" s="460"/>
      <c r="BH274" s="461"/>
      <c r="BI274" s="459"/>
      <c r="BJ274" s="459"/>
      <c r="BK274" s="460"/>
      <c r="BL274" s="461"/>
      <c r="BM274" s="459"/>
      <c r="BN274" s="459"/>
      <c r="BO274" s="460"/>
      <c r="BP274" s="424"/>
      <c r="BQ274" s="539"/>
      <c r="BR274" s="413">
        <f t="shared" si="1423"/>
        <v>0</v>
      </c>
      <c r="BS274" s="263">
        <f t="shared" si="1423"/>
        <v>3.3578242730110223E-2</v>
      </c>
      <c r="BT274" s="263">
        <f t="shared" si="1423"/>
        <v>3.7728069390936113E-2</v>
      </c>
      <c r="BU274" s="1425">
        <f t="shared" si="1423"/>
        <v>4.6133123695970238E-2</v>
      </c>
      <c r="BV274" s="1425">
        <f t="shared" si="1423"/>
        <v>5.5752972203904905E-2</v>
      </c>
      <c r="BW274" s="1425">
        <f t="shared" si="1423"/>
        <v>5.4815054855478197E-2</v>
      </c>
      <c r="BX274" s="1425">
        <f t="shared" si="1424"/>
        <v>4.2253609769497498E-2</v>
      </c>
      <c r="BY274" s="1425"/>
      <c r="BZ274" s="1425"/>
      <c r="CA274" s="1425"/>
      <c r="CB274" s="413"/>
      <c r="CC274" s="413"/>
      <c r="CD274" s="413"/>
      <c r="CE274" s="413"/>
      <c r="CF274" s="412"/>
      <c r="CG274" s="1031"/>
    </row>
    <row r="275" spans="1:89" ht="14.25" customHeight="1">
      <c r="B275" s="455" t="str">
        <f t="shared" si="1415"/>
        <v>Europe</v>
      </c>
      <c r="C275" s="367"/>
      <c r="D275" s="539"/>
      <c r="E275" s="557"/>
      <c r="F275" s="557"/>
      <c r="G275" s="558"/>
      <c r="H275" s="456"/>
      <c r="I275" s="457"/>
      <c r="J275" s="457"/>
      <c r="K275" s="458"/>
      <c r="L275" s="456">
        <f t="shared" ref="L275:AG275" si="1429">L264/L$140</f>
        <v>0.23184115350530524</v>
      </c>
      <c r="M275" s="457">
        <f t="shared" si="1429"/>
        <v>0.24201860136606401</v>
      </c>
      <c r="N275" s="457">
        <f t="shared" si="1429"/>
        <v>0.24016286840148937</v>
      </c>
      <c r="O275" s="458">
        <f t="shared" si="1429"/>
        <v>0.2570059434649149</v>
      </c>
      <c r="P275" s="456">
        <f t="shared" si="1429"/>
        <v>0.25525932996584183</v>
      </c>
      <c r="Q275" s="457">
        <f t="shared" si="1429"/>
        <v>0.26913327378569007</v>
      </c>
      <c r="R275" s="457">
        <f t="shared" si="1429"/>
        <v>0.26993137942232459</v>
      </c>
      <c r="S275" s="458">
        <f t="shared" si="1429"/>
        <v>0.25795827430467272</v>
      </c>
      <c r="T275" s="456">
        <f t="shared" si="1429"/>
        <v>0.26805142592153497</v>
      </c>
      <c r="U275" s="457">
        <f t="shared" si="1429"/>
        <v>0.25456663324542705</v>
      </c>
      <c r="V275" s="457">
        <f t="shared" si="1429"/>
        <v>0.24573416993400288</v>
      </c>
      <c r="W275" s="458">
        <f t="shared" si="1429"/>
        <v>0.23286039188243518</v>
      </c>
      <c r="X275" s="456">
        <f t="shared" si="1429"/>
        <v>0.2356053155727442</v>
      </c>
      <c r="Y275" s="457">
        <f t="shared" si="1429"/>
        <v>0.26327367412905545</v>
      </c>
      <c r="Z275" s="457">
        <f t="shared" si="1429"/>
        <v>0.25827791583945359</v>
      </c>
      <c r="AA275" s="458">
        <f t="shared" si="1429"/>
        <v>0.25933583553033157</v>
      </c>
      <c r="AB275" s="456">
        <f t="shared" si="1429"/>
        <v>0.26257783073256974</v>
      </c>
      <c r="AC275" s="457">
        <f t="shared" si="1429"/>
        <v>0.29253521839196744</v>
      </c>
      <c r="AD275" s="457">
        <f t="shared" si="1429"/>
        <v>0.28466873025800166</v>
      </c>
      <c r="AE275" s="458">
        <f t="shared" si="1429"/>
        <v>0.2797632845249633</v>
      </c>
      <c r="AF275" s="456">
        <f t="shared" si="1429"/>
        <v>0.27233982143573565</v>
      </c>
      <c r="AG275" s="457">
        <f t="shared" si="1429"/>
        <v>0.32172556710621036</v>
      </c>
      <c r="AH275" s="457">
        <f t="shared" si="1417"/>
        <v>0.31742422689619432</v>
      </c>
      <c r="AI275" s="458">
        <f t="shared" si="1417"/>
        <v>0.34846697095101337</v>
      </c>
      <c r="AJ275" s="456">
        <f t="shared" si="1417"/>
        <v>0.3042720700042113</v>
      </c>
      <c r="AK275" s="457">
        <f t="shared" si="1417"/>
        <v>0.32775274933636706</v>
      </c>
      <c r="AL275" s="457">
        <f t="shared" si="1426"/>
        <v>0.3227781634360371</v>
      </c>
      <c r="AM275" s="458">
        <f t="shared" si="1426"/>
        <v>0.32089280421392269</v>
      </c>
      <c r="AN275" s="456">
        <f t="shared" si="1426"/>
        <v>0.31944422336757727</v>
      </c>
      <c r="AO275" s="457">
        <f t="shared" si="1427"/>
        <v>0.33446646394139401</v>
      </c>
      <c r="AP275" s="457">
        <f t="shared" si="1427"/>
        <v>0.33548241708713961</v>
      </c>
      <c r="AQ275" s="457">
        <f t="shared" si="1419"/>
        <v>0.30376900375438898</v>
      </c>
      <c r="AR275" s="456">
        <f t="shared" si="1419"/>
        <v>0.30904835061775732</v>
      </c>
      <c r="AS275" s="457">
        <f t="shared" si="1420"/>
        <v>0.30620728631127903</v>
      </c>
      <c r="AT275" s="457">
        <f t="shared" si="1420"/>
        <v>0.25628789677598701</v>
      </c>
      <c r="AU275" s="458">
        <f t="shared" si="1420"/>
        <v>0.23293335594785863</v>
      </c>
      <c r="AV275" s="456">
        <f t="shared" si="1421"/>
        <v>0.28165821667756219</v>
      </c>
      <c r="AW275" s="457">
        <f t="shared" si="1421"/>
        <v>0.31480573111820498</v>
      </c>
      <c r="AX275" s="457">
        <f t="shared" si="1421"/>
        <v>0.26716467856728049</v>
      </c>
      <c r="AY275" s="458">
        <f t="shared" si="1421"/>
        <v>0.22981637527238813</v>
      </c>
      <c r="AZ275" s="456">
        <f t="shared" si="1421"/>
        <v>0.22991033562937238</v>
      </c>
      <c r="BA275" s="457">
        <f t="shared" si="1421"/>
        <v>0.25538553740389658</v>
      </c>
      <c r="BB275" s="457">
        <f t="shared" ref="BB275:BC275" si="1430">BB264/BB$140</f>
        <v>0.24160368002834223</v>
      </c>
      <c r="BC275" s="457">
        <f t="shared" si="1430"/>
        <v>0.22417124652050058</v>
      </c>
      <c r="BD275" s="461"/>
      <c r="BE275" s="459"/>
      <c r="BF275" s="459"/>
      <c r="BG275" s="460"/>
      <c r="BH275" s="461"/>
      <c r="BI275" s="459"/>
      <c r="BJ275" s="459"/>
      <c r="BK275" s="460"/>
      <c r="BL275" s="461"/>
      <c r="BM275" s="459"/>
      <c r="BN275" s="459"/>
      <c r="BO275" s="460"/>
      <c r="BP275" s="424"/>
      <c r="BQ275" s="539"/>
      <c r="BR275" s="413">
        <f t="shared" si="1423"/>
        <v>0</v>
      </c>
      <c r="BS275" s="263">
        <f t="shared" si="1423"/>
        <v>0.24275932245475246</v>
      </c>
      <c r="BT275" s="263">
        <f t="shared" si="1423"/>
        <v>0.26318085926414603</v>
      </c>
      <c r="BU275" s="1425">
        <f t="shared" si="1423"/>
        <v>0.24944166185255109</v>
      </c>
      <c r="BV275" s="1425">
        <f t="shared" si="1423"/>
        <v>0.25483115535271916</v>
      </c>
      <c r="BW275" s="1425">
        <f t="shared" si="1423"/>
        <v>0.2801969051087087</v>
      </c>
      <c r="BX275" s="1425">
        <f t="shared" si="1424"/>
        <v>0.31566944647856354</v>
      </c>
      <c r="BY275" s="1425"/>
      <c r="BZ275" s="1425"/>
      <c r="CA275" s="1425"/>
      <c r="CB275" s="413"/>
      <c r="CC275" s="413"/>
      <c r="CD275" s="413"/>
      <c r="CE275" s="413"/>
      <c r="CF275" s="412"/>
      <c r="CG275" s="1031"/>
    </row>
    <row r="276" spans="1:89" ht="14.25" customHeight="1">
      <c r="B276" s="455" t="str">
        <f t="shared" si="1415"/>
        <v>Japan</v>
      </c>
      <c r="C276" s="367"/>
      <c r="D276" s="539"/>
      <c r="E276" s="557"/>
      <c r="F276" s="557"/>
      <c r="G276" s="558"/>
      <c r="H276" s="456"/>
      <c r="I276" s="457"/>
      <c r="J276" s="457"/>
      <c r="K276" s="458"/>
      <c r="L276" s="456">
        <f t="shared" ref="L276:AG276" si="1431">L265/L$140</f>
        <v>0.18907810591363081</v>
      </c>
      <c r="M276" s="457">
        <f t="shared" si="1431"/>
        <v>0.21332657163467414</v>
      </c>
      <c r="N276" s="457">
        <f t="shared" si="1431"/>
        <v>0.20575578485693138</v>
      </c>
      <c r="O276" s="458">
        <f t="shared" si="1431"/>
        <v>0.21426303280292261</v>
      </c>
      <c r="P276" s="456">
        <f t="shared" si="1431"/>
        <v>0.2023687549783437</v>
      </c>
      <c r="Q276" s="457">
        <f t="shared" si="1431"/>
        <v>0.1975036190593526</v>
      </c>
      <c r="R276" s="457">
        <f t="shared" si="1431"/>
        <v>0.19493130354817856</v>
      </c>
      <c r="S276" s="458">
        <f t="shared" si="1431"/>
        <v>0.18483387215905653</v>
      </c>
      <c r="T276" s="456">
        <f t="shared" si="1431"/>
        <v>0.15261798396454659</v>
      </c>
      <c r="U276" s="457">
        <f t="shared" si="1431"/>
        <v>0.15067993967325824</v>
      </c>
      <c r="V276" s="457">
        <f t="shared" si="1431"/>
        <v>0.18593836066106903</v>
      </c>
      <c r="W276" s="458">
        <f t="shared" si="1431"/>
        <v>0.19971833449965004</v>
      </c>
      <c r="X276" s="456">
        <f t="shared" si="1431"/>
        <v>0.18300681777098193</v>
      </c>
      <c r="Y276" s="457">
        <f t="shared" si="1431"/>
        <v>0.15843259906620374</v>
      </c>
      <c r="Z276" s="457">
        <f t="shared" si="1431"/>
        <v>0.15206375209984868</v>
      </c>
      <c r="AA276" s="458">
        <f t="shared" si="1431"/>
        <v>0.15074871102222107</v>
      </c>
      <c r="AB276" s="456">
        <f t="shared" si="1431"/>
        <v>0.14298754708278882</v>
      </c>
      <c r="AC276" s="457">
        <f t="shared" si="1431"/>
        <v>0.11732719593312932</v>
      </c>
      <c r="AD276" s="457">
        <f t="shared" si="1431"/>
        <v>0.12824349322207884</v>
      </c>
      <c r="AE276" s="458">
        <f t="shared" si="1431"/>
        <v>0.14845406027363592</v>
      </c>
      <c r="AF276" s="456">
        <f t="shared" si="1431"/>
        <v>0.12553197398998239</v>
      </c>
      <c r="AG276" s="457">
        <f t="shared" si="1431"/>
        <v>0.12840730327924701</v>
      </c>
      <c r="AH276" s="457">
        <f t="shared" si="1417"/>
        <v>0.1276217889216516</v>
      </c>
      <c r="AI276" s="458">
        <f t="shared" si="1417"/>
        <v>0.11273965270143488</v>
      </c>
      <c r="AJ276" s="456">
        <f t="shared" si="1417"/>
        <v>0.10397759968109764</v>
      </c>
      <c r="AK276" s="457">
        <f t="shared" si="1417"/>
        <v>0.10902389078498292</v>
      </c>
      <c r="AL276" s="457">
        <f t="shared" si="1426"/>
        <v>0.11538598458553603</v>
      </c>
      <c r="AM276" s="458">
        <f t="shared" si="1426"/>
        <v>0.11568822045233007</v>
      </c>
      <c r="AN276" s="456">
        <f t="shared" si="1426"/>
        <v>0.11315934407024088</v>
      </c>
      <c r="AO276" s="457">
        <f t="shared" si="1427"/>
        <v>0.10739688079523596</v>
      </c>
      <c r="AP276" s="457">
        <f t="shared" si="1427"/>
        <v>0.10864003121942641</v>
      </c>
      <c r="AQ276" s="457">
        <f t="shared" si="1419"/>
        <v>0.10231416265580343</v>
      </c>
      <c r="AR276" s="456">
        <f t="shared" si="1419"/>
        <v>0.10708484350752476</v>
      </c>
      <c r="AS276" s="457">
        <f t="shared" si="1420"/>
        <v>0.1001657696106911</v>
      </c>
      <c r="AT276" s="457">
        <f t="shared" si="1420"/>
        <v>9.3227082404313363E-2</v>
      </c>
      <c r="AU276" s="458">
        <f t="shared" si="1420"/>
        <v>7.5786586998146568E-2</v>
      </c>
      <c r="AV276" s="456">
        <f t="shared" si="1421"/>
        <v>9.1265080988629232E-2</v>
      </c>
      <c r="AW276" s="457">
        <f t="shared" si="1421"/>
        <v>8.9838282616344314E-2</v>
      </c>
      <c r="AX276" s="457">
        <f t="shared" si="1421"/>
        <v>8.4813435281643895E-2</v>
      </c>
      <c r="AY276" s="458">
        <f t="shared" si="1421"/>
        <v>7.7430469409330002E-2</v>
      </c>
      <c r="AZ276" s="456">
        <f t="shared" si="1421"/>
        <v>9.0295180349616908E-2</v>
      </c>
      <c r="BA276" s="457">
        <f t="shared" si="1421"/>
        <v>8.387675068075981E-2</v>
      </c>
      <c r="BB276" s="457">
        <f t="shared" ref="BB276:BC276" si="1432">BB265/BB$140</f>
        <v>0.10683296348007046</v>
      </c>
      <c r="BC276" s="457">
        <f t="shared" si="1432"/>
        <v>0.10884328140308984</v>
      </c>
      <c r="BD276" s="461"/>
      <c r="BE276" s="459"/>
      <c r="BF276" s="459"/>
      <c r="BG276" s="460"/>
      <c r="BH276" s="461"/>
      <c r="BI276" s="459"/>
      <c r="BJ276" s="459"/>
      <c r="BK276" s="460"/>
      <c r="BL276" s="461"/>
      <c r="BM276" s="459"/>
      <c r="BN276" s="459"/>
      <c r="BO276" s="460"/>
      <c r="BP276" s="424"/>
      <c r="BQ276" s="539"/>
      <c r="BR276" s="413">
        <f t="shared" si="1423"/>
        <v>0</v>
      </c>
      <c r="BS276" s="263">
        <f t="shared" si="1423"/>
        <v>0.20550561300853118</v>
      </c>
      <c r="BT276" s="263">
        <f t="shared" si="1423"/>
        <v>0.19476284887207596</v>
      </c>
      <c r="BU276" s="1425">
        <f t="shared" si="1423"/>
        <v>0.17365904547502911</v>
      </c>
      <c r="BV276" s="1425">
        <f t="shared" si="1423"/>
        <v>0.15999475647862776</v>
      </c>
      <c r="BW276" s="1425">
        <f t="shared" si="1423"/>
        <v>0.13378322397872597</v>
      </c>
      <c r="BX276" s="1425">
        <f t="shared" si="1424"/>
        <v>0.12348776924722951</v>
      </c>
      <c r="BY276" s="1425"/>
      <c r="BZ276" s="1425"/>
      <c r="CA276" s="1425"/>
      <c r="CB276" s="413"/>
      <c r="CC276" s="413"/>
      <c r="CD276" s="413"/>
      <c r="CE276" s="413"/>
      <c r="CF276" s="412"/>
      <c r="CG276" s="1031"/>
    </row>
    <row r="277" spans="1:89" ht="14.25" customHeight="1">
      <c r="B277" s="455" t="str">
        <f t="shared" si="1415"/>
        <v>China</v>
      </c>
      <c r="C277" s="367"/>
      <c r="D277" s="539"/>
      <c r="E277" s="557"/>
      <c r="F277" s="557"/>
      <c r="G277" s="558"/>
      <c r="H277" s="456"/>
      <c r="I277" s="457"/>
      <c r="J277" s="457"/>
      <c r="K277" s="458"/>
      <c r="L277" s="456">
        <f t="shared" ref="L277:AG277" si="1433">L266/L$140</f>
        <v>0.11143525504379137</v>
      </c>
      <c r="M277" s="457">
        <f t="shared" si="1433"/>
        <v>0.12772246239641966</v>
      </c>
      <c r="N277" s="457">
        <f t="shared" si="1433"/>
        <v>0.14578147193775498</v>
      </c>
      <c r="O277" s="458">
        <f t="shared" si="1433"/>
        <v>0.1188388272161298</v>
      </c>
      <c r="P277" s="456">
        <f t="shared" si="1433"/>
        <v>0.13242190617827723</v>
      </c>
      <c r="Q277" s="457">
        <f t="shared" si="1433"/>
        <v>0.15312625127052082</v>
      </c>
      <c r="R277" s="457">
        <f t="shared" si="1433"/>
        <v>0.15725979004106311</v>
      </c>
      <c r="S277" s="458">
        <f t="shared" si="1433"/>
        <v>0.17663494254543693</v>
      </c>
      <c r="T277" s="456">
        <f t="shared" si="1433"/>
        <v>0.18824556360149317</v>
      </c>
      <c r="U277" s="457">
        <f t="shared" si="1433"/>
        <v>0.20925838550136072</v>
      </c>
      <c r="V277" s="457">
        <f t="shared" si="1433"/>
        <v>0.17341170875076983</v>
      </c>
      <c r="W277" s="458">
        <f t="shared" si="1433"/>
        <v>0.17793212036389078</v>
      </c>
      <c r="X277" s="456">
        <f t="shared" si="1433"/>
        <v>0.17665838008700083</v>
      </c>
      <c r="Y277" s="457">
        <f t="shared" si="1433"/>
        <v>0.16311654495390879</v>
      </c>
      <c r="Z277" s="457">
        <f t="shared" si="1433"/>
        <v>0.18342473170528539</v>
      </c>
      <c r="AA277" s="458">
        <f t="shared" si="1433"/>
        <v>0.20889492071325605</v>
      </c>
      <c r="AB277" s="456">
        <f t="shared" si="1433"/>
        <v>0.20332215059903583</v>
      </c>
      <c r="AC277" s="457">
        <f t="shared" si="1433"/>
        <v>0.19546650142896888</v>
      </c>
      <c r="AD277" s="457">
        <f t="shared" si="1433"/>
        <v>0.20830793427118546</v>
      </c>
      <c r="AE277" s="458">
        <f t="shared" si="1433"/>
        <v>0.18971868393345379</v>
      </c>
      <c r="AF277" s="456">
        <f t="shared" si="1433"/>
        <v>0.18713448487635367</v>
      </c>
      <c r="AG277" s="457">
        <f t="shared" si="1433"/>
        <v>0.13243340927337527</v>
      </c>
      <c r="AH277" s="457">
        <f t="shared" si="1417"/>
        <v>0.13120437582171104</v>
      </c>
      <c r="AI277" s="458">
        <f t="shared" si="1417"/>
        <v>5.8853408234095628E-2</v>
      </c>
      <c r="AJ277" s="456">
        <f t="shared" si="1417"/>
        <v>0.1362552118996872</v>
      </c>
      <c r="AK277" s="457">
        <f t="shared" si="1417"/>
        <v>0.12737201365187714</v>
      </c>
      <c r="AL277" s="457">
        <f t="shared" si="1426"/>
        <v>0.13839939955975628</v>
      </c>
      <c r="AM277" s="458">
        <f t="shared" si="1426"/>
        <v>0.12907644960501843</v>
      </c>
      <c r="AN277" s="456">
        <f t="shared" si="1426"/>
        <v>0.1599457530426367</v>
      </c>
      <c r="AO277" s="457">
        <f t="shared" si="1427"/>
        <v>0.15777871845375907</v>
      </c>
      <c r="AP277" s="457">
        <f t="shared" si="1427"/>
        <v>0.15655470544910904</v>
      </c>
      <c r="AQ277" s="457">
        <f t="shared" si="1419"/>
        <v>0.1661166697574569</v>
      </c>
      <c r="AR277" s="456">
        <f t="shared" si="1419"/>
        <v>0.16932820025233616</v>
      </c>
      <c r="AS277" s="457">
        <f t="shared" si="1420"/>
        <v>0.15401470611520562</v>
      </c>
      <c r="AT277" s="457">
        <f t="shared" si="1420"/>
        <v>0.1461583455433102</v>
      </c>
      <c r="AU277" s="458">
        <f t="shared" si="1420"/>
        <v>0.13079199200590158</v>
      </c>
      <c r="AV277" s="456">
        <f t="shared" si="1421"/>
        <v>0.18029343838092926</v>
      </c>
      <c r="AW277" s="457">
        <f t="shared" si="1421"/>
        <v>0.18097862515826321</v>
      </c>
      <c r="AX277" s="457">
        <f t="shared" si="1421"/>
        <v>0.16797436955994252</v>
      </c>
      <c r="AY277" s="458">
        <f t="shared" si="1421"/>
        <v>0.14941666342839899</v>
      </c>
      <c r="AZ277" s="456">
        <f t="shared" si="1421"/>
        <v>0.15539961948257353</v>
      </c>
      <c r="BA277" s="457">
        <f t="shared" si="1421"/>
        <v>0.17265863053601888</v>
      </c>
      <c r="BB277" s="457">
        <f t="shared" ref="BB277:BC277" si="1434">BB266/BB$140</f>
        <v>0.16716693330506546</v>
      </c>
      <c r="BC277" s="457">
        <f t="shared" si="1434"/>
        <v>0.16327789925835567</v>
      </c>
      <c r="BD277" s="461"/>
      <c r="BE277" s="459"/>
      <c r="BF277" s="459"/>
      <c r="BG277" s="460"/>
      <c r="BH277" s="461"/>
      <c r="BI277" s="459"/>
      <c r="BJ277" s="459"/>
      <c r="BK277" s="460"/>
      <c r="BL277" s="461"/>
      <c r="BM277" s="459"/>
      <c r="BN277" s="459"/>
      <c r="BO277" s="460"/>
      <c r="BP277" s="424"/>
      <c r="BQ277" s="539"/>
      <c r="BR277" s="413">
        <f t="shared" si="1423"/>
        <v>0</v>
      </c>
      <c r="BS277" s="263">
        <f t="shared" si="1423"/>
        <v>0.12586049293206006</v>
      </c>
      <c r="BT277" s="263">
        <f t="shared" si="1423"/>
        <v>0.15527321480906769</v>
      </c>
      <c r="BU277" s="1425">
        <f t="shared" si="1423"/>
        <v>0.18664872043785621</v>
      </c>
      <c r="BV277" s="1425">
        <f t="shared" si="1423"/>
        <v>0.18413487148121879</v>
      </c>
      <c r="BW277" s="1425">
        <f t="shared" si="1423"/>
        <v>0.19925467374019482</v>
      </c>
      <c r="BX277" s="1425">
        <f t="shared" si="1424"/>
        <v>0.12631546212675973</v>
      </c>
      <c r="BY277" s="1425"/>
      <c r="BZ277" s="1425"/>
      <c r="CA277" s="1425"/>
      <c r="CB277" s="413"/>
      <c r="CC277" s="413"/>
      <c r="CD277" s="413"/>
      <c r="CE277" s="413"/>
      <c r="CF277" s="412"/>
      <c r="CG277" s="1031"/>
    </row>
    <row r="278" spans="1:89" ht="14.25" customHeight="1">
      <c r="B278" s="455" t="str">
        <f t="shared" si="1415"/>
        <v>Rest of Asia</v>
      </c>
      <c r="C278" s="367"/>
      <c r="D278" s="539"/>
      <c r="E278" s="557"/>
      <c r="F278" s="557"/>
      <c r="G278" s="558"/>
      <c r="H278" s="456"/>
      <c r="I278" s="457"/>
      <c r="J278" s="457"/>
      <c r="K278" s="458"/>
      <c r="L278" s="456">
        <f t="shared" ref="L278:AG278" si="1435">L267/L$140</f>
        <v>0.15112133042721532</v>
      </c>
      <c r="M278" s="457">
        <f t="shared" si="1435"/>
        <v>0.15162439768160771</v>
      </c>
      <c r="N278" s="457">
        <f t="shared" si="1435"/>
        <v>0.16114837123500439</v>
      </c>
      <c r="O278" s="458">
        <f t="shared" si="1435"/>
        <v>0.15394472224806025</v>
      </c>
      <c r="P278" s="456">
        <f t="shared" si="1435"/>
        <v>0.16111182601981727</v>
      </c>
      <c r="Q278" s="457">
        <f t="shared" si="1435"/>
        <v>0.14132503773061877</v>
      </c>
      <c r="R278" s="457">
        <f t="shared" si="1435"/>
        <v>0.14023818411923775</v>
      </c>
      <c r="S278" s="458">
        <f t="shared" si="1435"/>
        <v>0.14272373375955047</v>
      </c>
      <c r="T278" s="456">
        <f t="shared" si="1435"/>
        <v>0.12537324081087944</v>
      </c>
      <c r="U278" s="457">
        <f t="shared" si="1435"/>
        <v>0.13797214522230741</v>
      </c>
      <c r="V278" s="457">
        <f t="shared" si="1435"/>
        <v>0.15449063092617549</v>
      </c>
      <c r="W278" s="458">
        <f t="shared" si="1435"/>
        <v>0.15832400279916028</v>
      </c>
      <c r="X278" s="456">
        <f t="shared" si="1435"/>
        <v>0.16120354968548037</v>
      </c>
      <c r="Y278" s="457">
        <f t="shared" si="1435"/>
        <v>0.16624865317849874</v>
      </c>
      <c r="Z278" s="457">
        <f t="shared" si="1435"/>
        <v>0.17004817504060865</v>
      </c>
      <c r="AA278" s="458">
        <f t="shared" si="1435"/>
        <v>0.14875647735684883</v>
      </c>
      <c r="AB278" s="456">
        <f t="shared" si="1435"/>
        <v>0.15461411330617264</v>
      </c>
      <c r="AC278" s="457">
        <f t="shared" si="1435"/>
        <v>0.15435392903209491</v>
      </c>
      <c r="AD278" s="457">
        <f t="shared" si="1435"/>
        <v>0.15194576607529733</v>
      </c>
      <c r="AE278" s="458">
        <f t="shared" si="1435"/>
        <v>0.15606716061519213</v>
      </c>
      <c r="AF278" s="456">
        <f t="shared" si="1435"/>
        <v>0.16199321665653382</v>
      </c>
      <c r="AG278" s="457">
        <f t="shared" si="1435"/>
        <v>8.8679502410034736E-2</v>
      </c>
      <c r="AH278" s="457">
        <f t="shared" si="1417"/>
        <v>9.0895514958434981E-2</v>
      </c>
      <c r="AI278" s="458">
        <f t="shared" si="1417"/>
        <v>2.0147806217300477E-2</v>
      </c>
      <c r="AJ278" s="456">
        <f t="shared" si="1417"/>
        <v>8.9363384737050217E-2</v>
      </c>
      <c r="AK278" s="457">
        <f t="shared" si="1417"/>
        <v>8.0333712552142583E-2</v>
      </c>
      <c r="AL278" s="457">
        <f t="shared" si="1426"/>
        <v>8.5614650267290843E-2</v>
      </c>
      <c r="AM278" s="458">
        <f t="shared" si="1426"/>
        <v>9.4326629142070961E-2</v>
      </c>
      <c r="AN278" s="456">
        <f t="shared" si="1426"/>
        <v>8.6339890296352639E-2</v>
      </c>
      <c r="AO278" s="457">
        <f t="shared" si="1427"/>
        <v>8.4983355794372079E-2</v>
      </c>
      <c r="AP278" s="457">
        <f t="shared" si="1427"/>
        <v>8.8023117765392608E-2</v>
      </c>
      <c r="AQ278" s="457">
        <f t="shared" si="1419"/>
        <v>9.4745206307177088E-2</v>
      </c>
      <c r="AR278" s="456">
        <f t="shared" si="1419"/>
        <v>8.0585658289139953E-2</v>
      </c>
      <c r="AS278" s="457">
        <f t="shared" si="1420"/>
        <v>7.6169979013883962E-2</v>
      </c>
      <c r="AT278" s="457">
        <f t="shared" si="1420"/>
        <v>6.434126933568074E-2</v>
      </c>
      <c r="AU278" s="458">
        <f t="shared" si="1420"/>
        <v>6.3513438954064597E-2</v>
      </c>
      <c r="AV278" s="456">
        <f t="shared" si="1421"/>
        <v>7.3284214657882665E-2</v>
      </c>
      <c r="AW278" s="457">
        <f t="shared" si="1421"/>
        <v>7.1904782694673375E-2</v>
      </c>
      <c r="AX278" s="457">
        <f t="shared" si="1421"/>
        <v>6.9357893538456589E-2</v>
      </c>
      <c r="AY278" s="458">
        <f t="shared" si="1421"/>
        <v>6.0718018618544999E-2</v>
      </c>
      <c r="AZ278" s="456">
        <f t="shared" si="1421"/>
        <v>6.3268894579607479E-2</v>
      </c>
      <c r="BA278" s="457">
        <f t="shared" si="1421"/>
        <v>9.6123458381751625E-2</v>
      </c>
      <c r="BB278" s="457">
        <f t="shared" ref="BB278:BC278" si="1436">BB267/BB$140</f>
        <v>9.6436855517322659E-2</v>
      </c>
      <c r="BC278" s="457">
        <f t="shared" si="1436"/>
        <v>8.7199984427415528E-2</v>
      </c>
      <c r="BD278" s="461"/>
      <c r="BE278" s="459"/>
      <c r="BF278" s="459"/>
      <c r="BG278" s="460"/>
      <c r="BH278" s="461"/>
      <c r="BI278" s="459"/>
      <c r="BJ278" s="459"/>
      <c r="BK278" s="460"/>
      <c r="BL278" s="461"/>
      <c r="BM278" s="459"/>
      <c r="BN278" s="459"/>
      <c r="BO278" s="460"/>
      <c r="BP278" s="424"/>
      <c r="BQ278" s="539"/>
      <c r="BR278" s="413">
        <f t="shared" si="1423"/>
        <v>0</v>
      </c>
      <c r="BS278" s="263">
        <f t="shared" si="1423"/>
        <v>0.15446941053368718</v>
      </c>
      <c r="BT278" s="263">
        <f t="shared" si="1423"/>
        <v>0.14610843262944306</v>
      </c>
      <c r="BU278" s="1425">
        <f t="shared" si="1423"/>
        <v>0.1447991670091141</v>
      </c>
      <c r="BV278" s="1425">
        <f t="shared" si="1423"/>
        <v>0.16126073373811292</v>
      </c>
      <c r="BW278" s="1425">
        <f t="shared" si="1423"/>
        <v>0.15421739072334395</v>
      </c>
      <c r="BX278" s="1425">
        <f t="shared" si="1424"/>
        <v>8.9197087750292295E-2</v>
      </c>
      <c r="BY278" s="1425"/>
      <c r="BZ278" s="1425"/>
      <c r="CA278" s="1425"/>
      <c r="CB278" s="413"/>
      <c r="CC278" s="413"/>
      <c r="CD278" s="413"/>
      <c r="CE278" s="413"/>
      <c r="CF278" s="412"/>
      <c r="CG278" s="1031"/>
    </row>
    <row r="279" spans="1:89" ht="14.25" customHeight="1">
      <c r="A279" s="106"/>
      <c r="B279" s="463" t="s">
        <v>207</v>
      </c>
      <c r="C279" s="433"/>
      <c r="D279" s="540"/>
      <c r="E279" s="559"/>
      <c r="F279" s="559"/>
      <c r="G279" s="560"/>
      <c r="H279" s="464"/>
      <c r="I279" s="465"/>
      <c r="J279" s="465"/>
      <c r="K279" s="466"/>
      <c r="L279" s="464">
        <f t="shared" ref="L279:AF279" si="1437">SUM(L273:L278)</f>
        <v>0.9441131150551284</v>
      </c>
      <c r="M279" s="465">
        <f t="shared" si="1437"/>
        <v>1</v>
      </c>
      <c r="N279" s="465">
        <f t="shared" si="1437"/>
        <v>0.99999999999999978</v>
      </c>
      <c r="O279" s="466">
        <f t="shared" si="1437"/>
        <v>0.99999999999999978</v>
      </c>
      <c r="P279" s="464">
        <f t="shared" si="1437"/>
        <v>1</v>
      </c>
      <c r="Q279" s="465">
        <f t="shared" si="1437"/>
        <v>1</v>
      </c>
      <c r="R279" s="465">
        <f t="shared" si="1437"/>
        <v>1</v>
      </c>
      <c r="S279" s="466">
        <f t="shared" si="1437"/>
        <v>1</v>
      </c>
      <c r="T279" s="464">
        <f t="shared" si="1437"/>
        <v>1</v>
      </c>
      <c r="U279" s="465">
        <f t="shared" si="1437"/>
        <v>0.99999999999999989</v>
      </c>
      <c r="V279" s="465">
        <f t="shared" si="1437"/>
        <v>1</v>
      </c>
      <c r="W279" s="466">
        <f t="shared" si="1437"/>
        <v>0.99999999999999989</v>
      </c>
      <c r="X279" s="464">
        <f t="shared" si="1437"/>
        <v>1.0000000000000002</v>
      </c>
      <c r="Y279" s="465">
        <f t="shared" si="1437"/>
        <v>1</v>
      </c>
      <c r="Z279" s="465">
        <f t="shared" si="1437"/>
        <v>1</v>
      </c>
      <c r="AA279" s="466">
        <f t="shared" si="1437"/>
        <v>1</v>
      </c>
      <c r="AB279" s="464">
        <f t="shared" si="1437"/>
        <v>1</v>
      </c>
      <c r="AC279" s="465">
        <f t="shared" si="1437"/>
        <v>1.0000000000000002</v>
      </c>
      <c r="AD279" s="465">
        <f>SUM(AD273:AD278)</f>
        <v>0.99999999999999989</v>
      </c>
      <c r="AE279" s="466">
        <f t="shared" si="1437"/>
        <v>1</v>
      </c>
      <c r="AF279" s="464">
        <f t="shared" si="1437"/>
        <v>1</v>
      </c>
      <c r="AG279" s="465">
        <f t="shared" ref="AG279:AM279" si="1438">SUM(AG273:AG278)</f>
        <v>0.99999999999999989</v>
      </c>
      <c r="AH279" s="465">
        <f t="shared" si="1438"/>
        <v>1.0000000000000002</v>
      </c>
      <c r="AI279" s="466">
        <f t="shared" si="1438"/>
        <v>1</v>
      </c>
      <c r="AJ279" s="464">
        <f t="shared" si="1438"/>
        <v>0.99999999999999989</v>
      </c>
      <c r="AK279" s="465">
        <f t="shared" si="1438"/>
        <v>1</v>
      </c>
      <c r="AL279" s="465">
        <f t="shared" si="1438"/>
        <v>1</v>
      </c>
      <c r="AM279" s="466">
        <f t="shared" si="1438"/>
        <v>0.99999999999999978</v>
      </c>
      <c r="AN279" s="464">
        <f t="shared" ref="AN279:AS279" si="1439">SUM(AN273:AN278)</f>
        <v>1</v>
      </c>
      <c r="AO279" s="465">
        <f t="shared" si="1439"/>
        <v>1</v>
      </c>
      <c r="AP279" s="465">
        <f t="shared" si="1439"/>
        <v>1</v>
      </c>
      <c r="AQ279" s="465">
        <f t="shared" si="1439"/>
        <v>0.99999999999999989</v>
      </c>
      <c r="AR279" s="464">
        <f t="shared" si="1439"/>
        <v>1</v>
      </c>
      <c r="AS279" s="465">
        <f t="shared" si="1439"/>
        <v>1</v>
      </c>
      <c r="AT279" s="465">
        <f>SUM(AT273:AT278)</f>
        <v>1</v>
      </c>
      <c r="AU279" s="466">
        <f>SUM(AU273:AU278)</f>
        <v>1.0000000000000002</v>
      </c>
      <c r="AV279" s="464">
        <f>SUM(AV273:AV278)</f>
        <v>1</v>
      </c>
      <c r="AW279" s="465">
        <f t="shared" ref="AW279:BA279" si="1440">SUM(AW273:AW278)</f>
        <v>1</v>
      </c>
      <c r="AX279" s="465">
        <f t="shared" si="1440"/>
        <v>0.99999999999999989</v>
      </c>
      <c r="AY279" s="466">
        <f t="shared" si="1440"/>
        <v>0.99999999999999989</v>
      </c>
      <c r="AZ279" s="464">
        <f t="shared" si="1440"/>
        <v>1</v>
      </c>
      <c r="BA279" s="465">
        <f t="shared" si="1440"/>
        <v>1</v>
      </c>
      <c r="BB279" s="465">
        <f t="shared" ref="BB279:BC279" si="1441">SUM(BB273:BB278)</f>
        <v>0.99999999999999989</v>
      </c>
      <c r="BC279" s="465">
        <f t="shared" si="1441"/>
        <v>0.99999999999999978</v>
      </c>
      <c r="BD279" s="469"/>
      <c r="BE279" s="467"/>
      <c r="BF279" s="467"/>
      <c r="BG279" s="468"/>
      <c r="BH279" s="469"/>
      <c r="BI279" s="467"/>
      <c r="BJ279" s="467"/>
      <c r="BK279" s="468"/>
      <c r="BL279" s="469"/>
      <c r="BM279" s="467"/>
      <c r="BN279" s="467"/>
      <c r="BO279" s="468"/>
      <c r="BP279" s="440"/>
      <c r="BQ279" s="540"/>
      <c r="BR279" s="470">
        <f t="shared" ref="BR279:BX279" si="1442">SUM(BR273:BR278)</f>
        <v>0</v>
      </c>
      <c r="BS279" s="471">
        <f t="shared" si="1442"/>
        <v>0.98579960977327641</v>
      </c>
      <c r="BT279" s="471">
        <f t="shared" si="1442"/>
        <v>1</v>
      </c>
      <c r="BU279" s="471">
        <f t="shared" si="1442"/>
        <v>1</v>
      </c>
      <c r="BV279" s="471">
        <f t="shared" si="1442"/>
        <v>1</v>
      </c>
      <c r="BW279" s="471">
        <f t="shared" si="1442"/>
        <v>0.99999999999999989</v>
      </c>
      <c r="BX279" s="471">
        <f t="shared" si="1442"/>
        <v>1</v>
      </c>
      <c r="BY279" s="471"/>
      <c r="BZ279" s="471"/>
      <c r="CA279" s="471"/>
      <c r="CB279" s="470"/>
      <c r="CC279" s="470"/>
      <c r="CD279" s="470"/>
      <c r="CE279" s="470"/>
      <c r="CF279" s="1456"/>
      <c r="CG279" s="1474"/>
      <c r="CH279" s="106"/>
      <c r="CI279" s="106"/>
      <c r="CJ279" s="106"/>
      <c r="CK279" s="106"/>
    </row>
    <row r="280" spans="1:89" ht="14.25" customHeight="1">
      <c r="B280" s="366"/>
      <c r="AR280" s="1005"/>
      <c r="BQ280" s="8"/>
      <c r="BR280" s="8"/>
      <c r="BS280" s="8"/>
      <c r="BT280" s="8"/>
      <c r="BU280" s="8"/>
      <c r="BV280" s="8"/>
      <c r="BW280" s="8"/>
      <c r="BX280" s="8"/>
      <c r="BY280" s="8"/>
      <c r="BZ280" s="8"/>
      <c r="CA280" s="8"/>
      <c r="CB280" s="8"/>
      <c r="CC280" s="17"/>
      <c r="CD280" s="17"/>
      <c r="CE280" s="17"/>
      <c r="CF280" s="8"/>
    </row>
    <row r="281" spans="1:89" ht="14.25" hidden="1" customHeight="1" outlineLevel="2">
      <c r="A281" s="8"/>
      <c r="B281" s="313" t="s">
        <v>206</v>
      </c>
      <c r="C281" s="314"/>
      <c r="D281" s="553"/>
      <c r="E281" s="554"/>
      <c r="F281" s="554"/>
      <c r="G281" s="554"/>
      <c r="H281" s="443"/>
      <c r="I281" s="444"/>
      <c r="J281" s="444"/>
      <c r="K281" s="444"/>
      <c r="L281" s="443">
        <f t="shared" ref="L281:AC281" si="1443">IF(ROUND(L279,1)=1,"OK",L279)</f>
        <v>0.9441131150551284</v>
      </c>
      <c r="M281" s="444" t="str">
        <f t="shared" si="1443"/>
        <v>OK</v>
      </c>
      <c r="N281" s="444" t="str">
        <f t="shared" si="1443"/>
        <v>OK</v>
      </c>
      <c r="O281" s="444" t="str">
        <f t="shared" si="1443"/>
        <v>OK</v>
      </c>
      <c r="P281" s="443" t="str">
        <f t="shared" si="1443"/>
        <v>OK</v>
      </c>
      <c r="Q281" s="444" t="str">
        <f t="shared" si="1443"/>
        <v>OK</v>
      </c>
      <c r="R281" s="444" t="str">
        <f t="shared" si="1443"/>
        <v>OK</v>
      </c>
      <c r="S281" s="444" t="str">
        <f t="shared" si="1443"/>
        <v>OK</v>
      </c>
      <c r="T281" s="443" t="str">
        <f t="shared" si="1443"/>
        <v>OK</v>
      </c>
      <c r="U281" s="444" t="str">
        <f t="shared" si="1443"/>
        <v>OK</v>
      </c>
      <c r="V281" s="444" t="str">
        <f t="shared" si="1443"/>
        <v>OK</v>
      </c>
      <c r="W281" s="444" t="str">
        <f t="shared" si="1443"/>
        <v>OK</v>
      </c>
      <c r="X281" s="443" t="str">
        <f t="shared" si="1443"/>
        <v>OK</v>
      </c>
      <c r="Y281" s="444" t="str">
        <f t="shared" si="1443"/>
        <v>OK</v>
      </c>
      <c r="Z281" s="444" t="str">
        <f t="shared" si="1443"/>
        <v>OK</v>
      </c>
      <c r="AA281" s="444" t="str">
        <f t="shared" si="1443"/>
        <v>OK</v>
      </c>
      <c r="AB281" s="443" t="str">
        <f t="shared" si="1443"/>
        <v>OK</v>
      </c>
      <c r="AC281" s="444" t="str">
        <f t="shared" si="1443"/>
        <v>OK</v>
      </c>
      <c r="AD281" s="444" t="str">
        <f t="shared" ref="AD281:AL281" si="1444">IF(ROUND(AD279,1)=1,"OK",AD279)</f>
        <v>OK</v>
      </c>
      <c r="AE281" s="444" t="str">
        <f t="shared" si="1444"/>
        <v>OK</v>
      </c>
      <c r="AF281" s="443" t="str">
        <f t="shared" si="1444"/>
        <v>OK</v>
      </c>
      <c r="AG281" s="444" t="str">
        <f t="shared" si="1444"/>
        <v>OK</v>
      </c>
      <c r="AH281" s="444" t="str">
        <f t="shared" si="1444"/>
        <v>OK</v>
      </c>
      <c r="AI281" s="316" t="str">
        <f t="shared" si="1444"/>
        <v>OK</v>
      </c>
      <c r="AJ281" s="443" t="str">
        <f t="shared" si="1444"/>
        <v>OK</v>
      </c>
      <c r="AK281" s="444" t="str">
        <f t="shared" si="1444"/>
        <v>OK</v>
      </c>
      <c r="AL281" s="444" t="str">
        <f t="shared" si="1444"/>
        <v>OK</v>
      </c>
      <c r="AM281" s="444" t="str">
        <f t="shared" ref="AM281:AU281" si="1445">IF(ROUND(AM279,1)=1,"OK",AM279)</f>
        <v>OK</v>
      </c>
      <c r="AN281" s="443" t="str">
        <f t="shared" si="1445"/>
        <v>OK</v>
      </c>
      <c r="AO281" s="316" t="str">
        <f t="shared" si="1445"/>
        <v>OK</v>
      </c>
      <c r="AP281" s="316" t="str">
        <f t="shared" si="1445"/>
        <v>OK</v>
      </c>
      <c r="AQ281" s="316" t="str">
        <f t="shared" si="1445"/>
        <v>OK</v>
      </c>
      <c r="AR281" s="443" t="str">
        <f t="shared" si="1445"/>
        <v>OK</v>
      </c>
      <c r="AS281" s="444" t="str">
        <f>IF(ROUND(AS279,1)=1,"OK",AS279)</f>
        <v>OK</v>
      </c>
      <c r="AT281" s="444" t="str">
        <f t="shared" si="1445"/>
        <v>OK</v>
      </c>
      <c r="AU281" s="444" t="str">
        <f t="shared" si="1445"/>
        <v>OK</v>
      </c>
      <c r="AV281" s="444" t="str">
        <f>IF(ROUND(AV279,1)=1,"OK",AV279)</f>
        <v>OK</v>
      </c>
      <c r="AW281" s="316"/>
      <c r="AX281" s="444"/>
      <c r="AY281" s="316"/>
      <c r="AZ281" s="315"/>
      <c r="BA281" s="316"/>
      <c r="BB281" s="316"/>
      <c r="BC281" s="316"/>
      <c r="BD281" s="315"/>
      <c r="BE281" s="316"/>
      <c r="BF281" s="316"/>
      <c r="BG281" s="316"/>
      <c r="BH281" s="315"/>
      <c r="BI281" s="316"/>
      <c r="BJ281" s="316"/>
      <c r="BK281" s="316"/>
      <c r="BL281" s="315"/>
      <c r="BM281" s="316"/>
      <c r="BN281" s="316"/>
      <c r="BO281" s="316"/>
      <c r="BP281" s="23"/>
      <c r="BQ281" s="534"/>
      <c r="BR281" s="316">
        <f t="shared" ref="BR281:BW281" si="1446">IF(ROUND(BR279,1)=1,"OK",BR279)</f>
        <v>0</v>
      </c>
      <c r="BS281" s="316" t="str">
        <f t="shared" si="1446"/>
        <v>OK</v>
      </c>
      <c r="BT281" s="316" t="str">
        <f t="shared" si="1446"/>
        <v>OK</v>
      </c>
      <c r="BU281" s="316" t="str">
        <f t="shared" si="1446"/>
        <v>OK</v>
      </c>
      <c r="BV281" s="316" t="str">
        <f t="shared" si="1446"/>
        <v>OK</v>
      </c>
      <c r="BW281" s="316" t="str">
        <f t="shared" si="1446"/>
        <v>OK</v>
      </c>
      <c r="BX281" s="316" t="str">
        <f>IF(ROUND(BX279,1)=1,"OK",BX279)</f>
        <v>OK</v>
      </c>
      <c r="BY281" s="316"/>
      <c r="BZ281" s="316"/>
      <c r="CA281" s="316"/>
      <c r="CB281" s="316"/>
      <c r="CC281" s="316"/>
      <c r="CD281" s="316"/>
      <c r="CE281" s="316"/>
      <c r="CF281" s="1171"/>
      <c r="CG281" s="17"/>
      <c r="CH281" s="8"/>
      <c r="CI281" s="8"/>
      <c r="CJ281" s="8"/>
      <c r="CK281" s="8"/>
    </row>
    <row r="282" spans="1:89" ht="14.25" hidden="1" customHeight="1" outlineLevel="1">
      <c r="A282" s="8"/>
      <c r="B282" s="472"/>
      <c r="C282" s="301"/>
      <c r="D282" s="385"/>
      <c r="E282" s="385"/>
      <c r="F282" s="385"/>
      <c r="G282" s="385"/>
      <c r="H282" s="385"/>
      <c r="I282" s="385"/>
      <c r="J282" s="385"/>
      <c r="K282" s="385"/>
      <c r="L282" s="385"/>
      <c r="M282" s="385"/>
      <c r="N282" s="385"/>
      <c r="O282" s="385"/>
      <c r="P282" s="385"/>
      <c r="Q282" s="385"/>
      <c r="R282" s="385"/>
      <c r="S282" s="385"/>
      <c r="T282" s="385"/>
      <c r="U282" s="385"/>
      <c r="V282" s="385"/>
      <c r="W282" s="385"/>
      <c r="X282" s="385"/>
      <c r="Y282" s="385"/>
      <c r="Z282" s="385"/>
      <c r="AA282" s="385"/>
      <c r="AB282" s="385"/>
      <c r="AC282" s="385"/>
      <c r="AD282" s="385"/>
      <c r="AE282" s="385"/>
      <c r="AF282" s="385"/>
      <c r="AG282" s="385"/>
      <c r="AH282" s="385"/>
      <c r="AI282" s="385"/>
      <c r="AJ282" s="385"/>
      <c r="AK282" s="385"/>
      <c r="AL282" s="385"/>
      <c r="AM282" s="385"/>
      <c r="AN282" s="385"/>
      <c r="AO282" s="385"/>
      <c r="AP282" s="385"/>
      <c r="AQ282" s="385"/>
      <c r="AR282" s="385"/>
      <c r="AS282" s="385"/>
      <c r="AT282" s="385"/>
      <c r="AU282" s="385"/>
      <c r="AV282" s="385"/>
      <c r="AW282" s="385"/>
      <c r="AX282" s="385"/>
      <c r="AY282" s="385"/>
      <c r="AZ282" s="385"/>
      <c r="BA282" s="385"/>
      <c r="BB282" s="385"/>
      <c r="BC282" s="385"/>
      <c r="BD282" s="385"/>
      <c r="BE282" s="385"/>
      <c r="BF282" s="385"/>
      <c r="BG282" s="385"/>
      <c r="BH282" s="385"/>
      <c r="BI282" s="385"/>
      <c r="BJ282" s="385"/>
      <c r="BK282" s="385"/>
      <c r="BL282" s="385"/>
      <c r="BM282" s="385"/>
      <c r="BN282" s="385"/>
      <c r="BO282" s="385"/>
      <c r="BP282" s="17"/>
      <c r="BQ282" s="385"/>
      <c r="BR282" s="385"/>
      <c r="BS282" s="385"/>
      <c r="BT282" s="385"/>
      <c r="BU282" s="385"/>
      <c r="BV282" s="385"/>
      <c r="BW282" s="385"/>
      <c r="BX282" s="385"/>
      <c r="BY282" s="385"/>
      <c r="BZ282" s="385"/>
      <c r="CA282" s="385"/>
      <c r="CB282" s="385"/>
      <c r="CC282" s="385"/>
      <c r="CD282" s="385"/>
      <c r="CE282" s="385"/>
      <c r="CF282" s="385"/>
      <c r="CG282" s="17"/>
      <c r="CH282" s="8"/>
      <c r="CI282" s="8"/>
      <c r="CJ282" s="8"/>
      <c r="CK282" s="8"/>
    </row>
    <row r="283" spans="1:89" ht="14.25" hidden="1" customHeight="1" outlineLevel="1">
      <c r="A283" s="1"/>
      <c r="B283" s="150" t="s">
        <v>298</v>
      </c>
      <c r="C283" s="151"/>
      <c r="D283" s="699" t="str">
        <f t="shared" ref="D283:AI283" si="1447">D9</f>
        <v>F1Q05A</v>
      </c>
      <c r="E283" s="698" t="str">
        <f t="shared" si="1447"/>
        <v>F2Q05A</v>
      </c>
      <c r="F283" s="698" t="str">
        <f t="shared" si="1447"/>
        <v>F3Q05A</v>
      </c>
      <c r="G283" s="698" t="str">
        <f t="shared" si="1447"/>
        <v>F4Q05A</v>
      </c>
      <c r="H283" s="699" t="str">
        <f t="shared" si="1447"/>
        <v>F1Q06A</v>
      </c>
      <c r="I283" s="698" t="str">
        <f t="shared" si="1447"/>
        <v>F2Q06A</v>
      </c>
      <c r="J283" s="698" t="str">
        <f t="shared" si="1447"/>
        <v>F3Q06A</v>
      </c>
      <c r="K283" s="698" t="str">
        <f t="shared" si="1447"/>
        <v>F4Q06A</v>
      </c>
      <c r="L283" s="699" t="str">
        <f t="shared" si="1447"/>
        <v>F1Q07A</v>
      </c>
      <c r="M283" s="698" t="str">
        <f t="shared" si="1447"/>
        <v>F2Q07A</v>
      </c>
      <c r="N283" s="698" t="str">
        <f t="shared" si="1447"/>
        <v>F3Q07A</v>
      </c>
      <c r="O283" s="698" t="str">
        <f t="shared" si="1447"/>
        <v>F4Q07A</v>
      </c>
      <c r="P283" s="699" t="str">
        <f t="shared" si="1447"/>
        <v>F1Q08A</v>
      </c>
      <c r="Q283" s="698" t="str">
        <f t="shared" si="1447"/>
        <v>F2Q08A</v>
      </c>
      <c r="R283" s="698" t="str">
        <f t="shared" si="1447"/>
        <v>F3Q08A</v>
      </c>
      <c r="S283" s="698" t="str">
        <f t="shared" si="1447"/>
        <v>F4Q08A</v>
      </c>
      <c r="T283" s="699" t="str">
        <f t="shared" si="1447"/>
        <v>F1Q09A</v>
      </c>
      <c r="U283" s="698" t="str">
        <f t="shared" si="1447"/>
        <v>F2Q09A</v>
      </c>
      <c r="V283" s="698" t="str">
        <f t="shared" si="1447"/>
        <v>F3Q09A</v>
      </c>
      <c r="W283" s="698" t="str">
        <f t="shared" si="1447"/>
        <v>F4Q09A</v>
      </c>
      <c r="X283" s="699" t="str">
        <f t="shared" si="1447"/>
        <v>F1Q10A</v>
      </c>
      <c r="Y283" s="698" t="str">
        <f t="shared" si="1447"/>
        <v>F2Q10A</v>
      </c>
      <c r="Z283" s="698" t="str">
        <f t="shared" si="1447"/>
        <v>F3Q10A</v>
      </c>
      <c r="AA283" s="698" t="str">
        <f t="shared" si="1447"/>
        <v>F4Q10A</v>
      </c>
      <c r="AB283" s="699" t="str">
        <f t="shared" si="1447"/>
        <v>F1Q11A</v>
      </c>
      <c r="AC283" s="698" t="str">
        <f t="shared" si="1447"/>
        <v>F2Q11A</v>
      </c>
      <c r="AD283" s="698" t="str">
        <f t="shared" si="1447"/>
        <v>F3Q11A</v>
      </c>
      <c r="AE283" s="698" t="str">
        <f t="shared" si="1447"/>
        <v>F4Q11A</v>
      </c>
      <c r="AF283" s="699" t="str">
        <f t="shared" si="1447"/>
        <v>F1Q12A</v>
      </c>
      <c r="AG283" s="698" t="str">
        <f t="shared" si="1447"/>
        <v>F2Q12A</v>
      </c>
      <c r="AH283" s="698" t="str">
        <f t="shared" si="1447"/>
        <v>F3Q12A</v>
      </c>
      <c r="AI283" s="698" t="str">
        <f t="shared" si="1447"/>
        <v>F4Q12A</v>
      </c>
      <c r="AJ283" s="699" t="str">
        <f t="shared" ref="AJ283:BO283" si="1448">AJ9</f>
        <v>F1Q13A</v>
      </c>
      <c r="AK283" s="698" t="str">
        <f t="shared" si="1448"/>
        <v>F2Q13A</v>
      </c>
      <c r="AL283" s="698" t="str">
        <f t="shared" si="1448"/>
        <v>F3Q13A</v>
      </c>
      <c r="AM283" s="698" t="str">
        <f t="shared" si="1448"/>
        <v>F4Q13A</v>
      </c>
      <c r="AN283" s="699" t="str">
        <f t="shared" si="1448"/>
        <v>F1Q14A</v>
      </c>
      <c r="AO283" s="698" t="str">
        <f t="shared" si="1448"/>
        <v>F2Q14A</v>
      </c>
      <c r="AP283" s="698" t="str">
        <f t="shared" si="1448"/>
        <v>F3Q14A</v>
      </c>
      <c r="AQ283" s="700" t="str">
        <f t="shared" si="1448"/>
        <v>F4Q14A</v>
      </c>
      <c r="AR283" s="699" t="str">
        <f t="shared" si="1448"/>
        <v>F1Q15A</v>
      </c>
      <c r="AS283" s="698" t="str">
        <f t="shared" si="1448"/>
        <v>F2Q15A</v>
      </c>
      <c r="AT283" s="698" t="str">
        <f t="shared" si="1448"/>
        <v>F3Q15A</v>
      </c>
      <c r="AU283" s="700" t="str">
        <f t="shared" si="1448"/>
        <v>F4Q15A</v>
      </c>
      <c r="AV283" s="698" t="str">
        <f t="shared" si="1448"/>
        <v>F1Q16A</v>
      </c>
      <c r="AW283" s="698" t="str">
        <f t="shared" si="1448"/>
        <v>F2Q16A</v>
      </c>
      <c r="AX283" s="698" t="str">
        <f t="shared" si="1448"/>
        <v>F3Q16A</v>
      </c>
      <c r="AY283" s="700" t="str">
        <f t="shared" si="1448"/>
        <v>F4Q16A</v>
      </c>
      <c r="AZ283" s="699" t="str">
        <f t="shared" si="1448"/>
        <v>F1Q17A</v>
      </c>
      <c r="BA283" s="698" t="str">
        <f t="shared" si="1448"/>
        <v>F2Q17A</v>
      </c>
      <c r="BB283" s="698" t="str">
        <f t="shared" si="1448"/>
        <v>F3Q17A</v>
      </c>
      <c r="BC283" s="700" t="str">
        <f t="shared" si="1448"/>
        <v>F4Q17A</v>
      </c>
      <c r="BD283" s="699" t="str">
        <f t="shared" si="1448"/>
        <v>F1Q18A</v>
      </c>
      <c r="BE283" s="698" t="str">
        <f t="shared" si="1448"/>
        <v>F2Q18E</v>
      </c>
      <c r="BF283" s="698" t="str">
        <f t="shared" si="1448"/>
        <v>F3Q18E</v>
      </c>
      <c r="BG283" s="700" t="str">
        <f t="shared" si="1448"/>
        <v>F4Q18E</v>
      </c>
      <c r="BH283" s="699" t="str">
        <f t="shared" si="1448"/>
        <v>F1Q19E</v>
      </c>
      <c r="BI283" s="698" t="str">
        <f t="shared" si="1448"/>
        <v>F2Q19E</v>
      </c>
      <c r="BJ283" s="698" t="str">
        <f t="shared" si="1448"/>
        <v>F3Q19E</v>
      </c>
      <c r="BK283" s="700" t="str">
        <f t="shared" si="1448"/>
        <v>F4Q19E</v>
      </c>
      <c r="BL283" s="699" t="str">
        <f t="shared" si="1448"/>
        <v>F1Q20E</v>
      </c>
      <c r="BM283" s="698" t="str">
        <f t="shared" si="1448"/>
        <v>F2Q20E</v>
      </c>
      <c r="BN283" s="698" t="str">
        <f t="shared" si="1448"/>
        <v>F3Q20E</v>
      </c>
      <c r="BO283" s="700" t="str">
        <f t="shared" si="1448"/>
        <v>F4Q20E</v>
      </c>
      <c r="BP283" s="23"/>
      <c r="BQ283" s="701" t="str">
        <f t="shared" ref="BQ283:CF283" si="1449">BQ9</f>
        <v>FY2005A</v>
      </c>
      <c r="BR283" s="698" t="str">
        <f t="shared" si="1449"/>
        <v>FY2006A</v>
      </c>
      <c r="BS283" s="698" t="str">
        <f t="shared" si="1449"/>
        <v>FY2007A</v>
      </c>
      <c r="BT283" s="698" t="str">
        <f t="shared" si="1449"/>
        <v>FY2008A</v>
      </c>
      <c r="BU283" s="698" t="str">
        <f t="shared" si="1449"/>
        <v>FY2009A</v>
      </c>
      <c r="BV283" s="698" t="str">
        <f t="shared" si="1449"/>
        <v>FY2010A</v>
      </c>
      <c r="BW283" s="698" t="str">
        <f t="shared" si="1449"/>
        <v>FY2011A</v>
      </c>
      <c r="BX283" s="698" t="str">
        <f t="shared" si="1449"/>
        <v>FY2012A</v>
      </c>
      <c r="BY283" s="698" t="str">
        <f t="shared" si="1449"/>
        <v>FY2013A</v>
      </c>
      <c r="BZ283" s="698" t="str">
        <f t="shared" si="1449"/>
        <v>FY2014A</v>
      </c>
      <c r="CA283" s="698" t="str">
        <f t="shared" si="1449"/>
        <v>FY2015A</v>
      </c>
      <c r="CB283" s="698" t="str">
        <f t="shared" si="1449"/>
        <v>FY2016A</v>
      </c>
      <c r="CC283" s="698" t="str">
        <f t="shared" si="1449"/>
        <v>FY2017A</v>
      </c>
      <c r="CD283" s="698" t="str">
        <f t="shared" si="1449"/>
        <v>FY2018E</v>
      </c>
      <c r="CE283" s="698" t="str">
        <f t="shared" si="1449"/>
        <v>FY2019E</v>
      </c>
      <c r="CF283" s="700" t="str">
        <f t="shared" si="1449"/>
        <v>FY2020E</v>
      </c>
    </row>
    <row r="284" spans="1:89" ht="14.25" hidden="1" customHeight="1" outlineLevel="1">
      <c r="B284" s="363" t="s">
        <v>299</v>
      </c>
      <c r="C284" s="418"/>
      <c r="D284" s="622">
        <v>0.7</v>
      </c>
      <c r="E284" s="623">
        <v>0.65</v>
      </c>
      <c r="F284" s="623">
        <v>0.6</v>
      </c>
      <c r="G284" s="624">
        <v>0.6</v>
      </c>
      <c r="H284" s="622">
        <v>0.6</v>
      </c>
      <c r="I284" s="623">
        <v>0.72499999999999998</v>
      </c>
      <c r="J284" s="623">
        <v>0.77500000000000002</v>
      </c>
      <c r="K284" s="624">
        <v>0.77500000000000002</v>
      </c>
      <c r="L284" s="622">
        <v>0.75</v>
      </c>
      <c r="M284" s="623">
        <v>0.7</v>
      </c>
      <c r="N284" s="623">
        <v>0.7</v>
      </c>
      <c r="O284" s="624">
        <v>0.7</v>
      </c>
      <c r="P284" s="622">
        <v>0.69</v>
      </c>
      <c r="Q284" s="622">
        <v>0.69</v>
      </c>
      <c r="R284" s="625"/>
      <c r="S284" s="624">
        <f>AVERAGE(65%,70%)</f>
        <v>0.67500000000000004</v>
      </c>
      <c r="T284" s="623">
        <v>0.55000000000000004</v>
      </c>
      <c r="U284" s="623">
        <v>0.4</v>
      </c>
      <c r="V284" s="623">
        <v>0.45</v>
      </c>
      <c r="W284" s="624">
        <v>0.5</v>
      </c>
      <c r="X284" s="623">
        <v>0.625</v>
      </c>
      <c r="Y284" s="623">
        <v>0.72499999999999998</v>
      </c>
      <c r="Z284" s="623">
        <v>0.8</v>
      </c>
      <c r="AA284" s="624">
        <v>0.8</v>
      </c>
      <c r="AB284" s="626">
        <v>0.75</v>
      </c>
      <c r="AC284" s="623">
        <v>0.8</v>
      </c>
      <c r="AD284" s="623">
        <v>0.78</v>
      </c>
      <c r="AE284" s="624">
        <v>0.73</v>
      </c>
      <c r="AF284" s="626">
        <v>0.67</v>
      </c>
      <c r="AG284" s="622">
        <v>0.7</v>
      </c>
      <c r="AH284" s="622">
        <v>0.7</v>
      </c>
      <c r="AI284" s="624">
        <v>0.67</v>
      </c>
      <c r="AJ284" s="626">
        <v>0.55000000000000004</v>
      </c>
      <c r="AK284" s="421"/>
      <c r="AL284" s="421"/>
      <c r="AM284" s="422"/>
      <c r="AN284" s="423"/>
      <c r="AO284" s="421"/>
      <c r="AP284" s="421"/>
      <c r="AQ284" s="422"/>
      <c r="AR284" s="423"/>
      <c r="AS284" s="421"/>
      <c r="AT284" s="421"/>
      <c r="AU284" s="422"/>
      <c r="AV284" s="421"/>
      <c r="AW284" s="421"/>
      <c r="AX284" s="421"/>
      <c r="AY284" s="422"/>
      <c r="AZ284" s="423"/>
      <c r="BA284" s="421"/>
      <c r="BB284" s="421"/>
      <c r="BC284" s="422"/>
      <c r="BD284" s="423"/>
      <c r="BE284" s="421"/>
      <c r="BF284" s="421"/>
      <c r="BG284" s="422"/>
      <c r="BH284" s="423"/>
      <c r="BI284" s="421"/>
      <c r="BJ284" s="421"/>
      <c r="BK284" s="422"/>
      <c r="BL284" s="423"/>
      <c r="BM284" s="421"/>
      <c r="BN284" s="421"/>
      <c r="BO284" s="422"/>
      <c r="BP284" s="424"/>
      <c r="BQ284" s="453">
        <f>AVERAGE(D284:G284)</f>
        <v>0.63750000000000007</v>
      </c>
      <c r="BR284" s="453">
        <f>AVERAGE(H284:K284)</f>
        <v>0.71875</v>
      </c>
      <c r="BS284" s="453">
        <f>AVERAGE(L284:O284)</f>
        <v>0.71249999999999991</v>
      </c>
      <c r="BT284" s="621">
        <f>AVERAGE(P284:S284)</f>
        <v>0.68499999999999994</v>
      </c>
      <c r="BU284" s="621">
        <f>AVERAGE(T284:W284)</f>
        <v>0.47500000000000003</v>
      </c>
      <c r="BV284" s="621">
        <f>AVERAGE(X284:AA284)</f>
        <v>0.73750000000000004</v>
      </c>
      <c r="BW284" s="621">
        <f>AVERAGE(AB284:AE284)</f>
        <v>0.76500000000000001</v>
      </c>
      <c r="BX284" s="621"/>
      <c r="BY284" s="621"/>
      <c r="BZ284" s="621"/>
      <c r="CA284" s="621"/>
      <c r="CB284" s="425"/>
      <c r="CC284" s="425"/>
      <c r="CD284" s="425"/>
      <c r="CE284" s="425"/>
      <c r="CF284" s="1457"/>
    </row>
    <row r="285" spans="1:89" ht="14.25" hidden="1" customHeight="1" outlineLevel="1">
      <c r="B285" s="364" t="s">
        <v>309</v>
      </c>
      <c r="C285" s="367"/>
      <c r="D285" s="616"/>
      <c r="E285" s="615"/>
      <c r="F285" s="615"/>
      <c r="G285" s="528">
        <v>356</v>
      </c>
      <c r="H285" s="616"/>
      <c r="I285" s="615"/>
      <c r="J285" s="615"/>
      <c r="K285" s="528">
        <v>390</v>
      </c>
      <c r="L285" s="616"/>
      <c r="M285" s="615"/>
      <c r="N285" s="615"/>
      <c r="O285" s="528">
        <v>408</v>
      </c>
      <c r="P285" s="616"/>
      <c r="Q285" s="615"/>
      <c r="R285" s="615"/>
      <c r="S285" s="528">
        <v>333</v>
      </c>
      <c r="T285" s="616"/>
      <c r="U285" s="615"/>
      <c r="V285" s="615"/>
      <c r="W285" s="528">
        <v>411</v>
      </c>
      <c r="X285" s="616"/>
      <c r="Y285" s="615"/>
      <c r="Z285" s="615"/>
      <c r="AA285" s="528">
        <v>563</v>
      </c>
      <c r="AB285" s="616"/>
      <c r="AC285" s="615"/>
      <c r="AD285" s="615"/>
      <c r="AE285" s="528">
        <v>379</v>
      </c>
      <c r="AF285" s="616"/>
      <c r="AG285" s="615"/>
      <c r="AH285" s="615"/>
      <c r="AI285" s="826"/>
      <c r="AJ285" s="616"/>
      <c r="AK285" s="428"/>
      <c r="AL285" s="428"/>
      <c r="AM285" s="429"/>
      <c r="AN285" s="430"/>
      <c r="AO285" s="428"/>
      <c r="AP285" s="428"/>
      <c r="AQ285" s="429"/>
      <c r="AR285" s="430"/>
      <c r="AS285" s="428"/>
      <c r="AT285" s="428"/>
      <c r="AU285" s="429"/>
      <c r="AV285" s="428"/>
      <c r="AW285" s="428"/>
      <c r="AX285" s="428"/>
      <c r="AY285" s="429"/>
      <c r="AZ285" s="430"/>
      <c r="BA285" s="428"/>
      <c r="BB285" s="428"/>
      <c r="BC285" s="429"/>
      <c r="BD285" s="430"/>
      <c r="BE285" s="428"/>
      <c r="BF285" s="428"/>
      <c r="BG285" s="429"/>
      <c r="BH285" s="430"/>
      <c r="BI285" s="428"/>
      <c r="BJ285" s="428"/>
      <c r="BK285" s="429"/>
      <c r="BL285" s="430"/>
      <c r="BM285" s="428"/>
      <c r="BN285" s="428"/>
      <c r="BO285" s="429"/>
      <c r="BP285" s="424"/>
      <c r="BQ285" s="619">
        <v>356</v>
      </c>
      <c r="BR285" s="620">
        <v>390</v>
      </c>
      <c r="BS285" s="620">
        <v>408</v>
      </c>
      <c r="BT285" s="620">
        <v>333</v>
      </c>
      <c r="BU285" s="620">
        <v>411</v>
      </c>
      <c r="BV285" s="620">
        <v>563</v>
      </c>
      <c r="BW285" s="620">
        <v>379</v>
      </c>
      <c r="BX285" s="620"/>
      <c r="BY285" s="620"/>
      <c r="BZ285" s="620"/>
      <c r="CA285" s="620"/>
      <c r="CB285" s="406"/>
      <c r="CC285" s="406"/>
      <c r="CD285" s="406"/>
      <c r="CE285" s="406"/>
      <c r="CF285" s="1453"/>
    </row>
    <row r="286" spans="1:89" ht="14.25" hidden="1" customHeight="1" outlineLevel="1">
      <c r="B286" s="563" t="s">
        <v>310</v>
      </c>
      <c r="C286" s="368"/>
      <c r="D286" s="564"/>
      <c r="E286" s="565"/>
      <c r="F286" s="565"/>
      <c r="G286" s="566"/>
      <c r="H286" s="564"/>
      <c r="I286" s="565"/>
      <c r="J286" s="565"/>
      <c r="K286" s="566"/>
      <c r="L286" s="564"/>
      <c r="M286" s="565"/>
      <c r="N286" s="565"/>
      <c r="O286" s="627"/>
      <c r="P286" s="564"/>
      <c r="Q286" s="565"/>
      <c r="R286" s="565"/>
      <c r="S286" s="627"/>
      <c r="T286" s="564"/>
      <c r="U286" s="565"/>
      <c r="V286" s="565"/>
      <c r="W286" s="627"/>
      <c r="X286" s="564"/>
      <c r="Y286" s="565"/>
      <c r="Z286" s="565"/>
      <c r="AA286" s="627"/>
      <c r="AB286" s="564"/>
      <c r="AC286" s="565"/>
      <c r="AD286" s="565"/>
      <c r="AE286" s="627"/>
      <c r="AF286" s="564"/>
      <c r="AG286" s="565"/>
      <c r="AH286" s="565"/>
      <c r="AI286" s="919"/>
      <c r="AJ286" s="564"/>
      <c r="AK286" s="570"/>
      <c r="AL286" s="570"/>
      <c r="AM286" s="571"/>
      <c r="AN286" s="572"/>
      <c r="AO286" s="570"/>
      <c r="AP286" s="570"/>
      <c r="AQ286" s="571"/>
      <c r="AR286" s="572"/>
      <c r="AS286" s="570"/>
      <c r="AT286" s="570"/>
      <c r="AU286" s="571"/>
      <c r="AV286" s="570"/>
      <c r="AW286" s="570"/>
      <c r="AX286" s="570"/>
      <c r="AY286" s="571"/>
      <c r="AZ286" s="572"/>
      <c r="BA286" s="570"/>
      <c r="BB286" s="570"/>
      <c r="BC286" s="571"/>
      <c r="BD286" s="572"/>
      <c r="BE286" s="570"/>
      <c r="BF286" s="570"/>
      <c r="BG286" s="571"/>
      <c r="BH286" s="572"/>
      <c r="BI286" s="570"/>
      <c r="BJ286" s="570"/>
      <c r="BK286" s="571"/>
      <c r="BL286" s="572"/>
      <c r="BM286" s="570"/>
      <c r="BN286" s="570"/>
      <c r="BO286" s="571"/>
      <c r="BP286" s="424"/>
      <c r="BQ286" s="532"/>
      <c r="BR286" s="573"/>
      <c r="BS286" s="573"/>
      <c r="BT286" s="573"/>
      <c r="BU286" s="573"/>
      <c r="BV286" s="573"/>
      <c r="BW286" s="573"/>
      <c r="BX286" s="573"/>
      <c r="BY286" s="573"/>
      <c r="BZ286" s="573"/>
      <c r="CA286" s="573"/>
      <c r="CB286" s="431"/>
      <c r="CC286" s="431"/>
      <c r="CD286" s="431"/>
      <c r="CE286" s="431"/>
      <c r="CF286" s="1458"/>
    </row>
    <row r="287" spans="1:89" ht="14.25" hidden="1" customHeight="1" outlineLevel="1">
      <c r="CC287" s="1005"/>
      <c r="CD287" s="1005"/>
      <c r="CE287" s="1005"/>
      <c r="CG287" s="366"/>
    </row>
    <row r="288" spans="1:89" ht="14.25" hidden="1" customHeight="1" outlineLevel="1">
      <c r="CC288" s="1005"/>
      <c r="CD288" s="1005"/>
      <c r="CE288" s="1005"/>
      <c r="CG288" s="366"/>
    </row>
    <row r="289" spans="1:89" ht="14.25" hidden="1" customHeight="1" outlineLevel="1">
      <c r="B289" s="835" t="s">
        <v>446</v>
      </c>
      <c r="CC289" s="1005"/>
      <c r="CD289" s="1005"/>
      <c r="CE289" s="1005"/>
      <c r="CG289" s="366"/>
    </row>
    <row r="290" spans="1:89" ht="14.25" hidden="1" customHeight="1" outlineLevel="1">
      <c r="A290" s="1"/>
      <c r="B290" s="150" t="s">
        <v>302</v>
      </c>
      <c r="C290" s="151"/>
      <c r="D290" s="699" t="str">
        <f t="shared" ref="D290:AI290" si="1450">D$9</f>
        <v>F1Q05A</v>
      </c>
      <c r="E290" s="698" t="str">
        <f t="shared" si="1450"/>
        <v>F2Q05A</v>
      </c>
      <c r="F290" s="698" t="str">
        <f t="shared" si="1450"/>
        <v>F3Q05A</v>
      </c>
      <c r="G290" s="698" t="str">
        <f t="shared" si="1450"/>
        <v>F4Q05A</v>
      </c>
      <c r="H290" s="699" t="str">
        <f t="shared" si="1450"/>
        <v>F1Q06A</v>
      </c>
      <c r="I290" s="698" t="str">
        <f t="shared" si="1450"/>
        <v>F2Q06A</v>
      </c>
      <c r="J290" s="698" t="str">
        <f t="shared" si="1450"/>
        <v>F3Q06A</v>
      </c>
      <c r="K290" s="698" t="str">
        <f t="shared" si="1450"/>
        <v>F4Q06A</v>
      </c>
      <c r="L290" s="699" t="str">
        <f t="shared" si="1450"/>
        <v>F1Q07A</v>
      </c>
      <c r="M290" s="698" t="str">
        <f t="shared" si="1450"/>
        <v>F2Q07A</v>
      </c>
      <c r="N290" s="698" t="str">
        <f t="shared" si="1450"/>
        <v>F3Q07A</v>
      </c>
      <c r="O290" s="698" t="str">
        <f t="shared" si="1450"/>
        <v>F4Q07A</v>
      </c>
      <c r="P290" s="699" t="str">
        <f t="shared" si="1450"/>
        <v>F1Q08A</v>
      </c>
      <c r="Q290" s="698" t="str">
        <f t="shared" si="1450"/>
        <v>F2Q08A</v>
      </c>
      <c r="R290" s="698" t="str">
        <f t="shared" si="1450"/>
        <v>F3Q08A</v>
      </c>
      <c r="S290" s="698" t="str">
        <f t="shared" si="1450"/>
        <v>F4Q08A</v>
      </c>
      <c r="T290" s="699" t="str">
        <f t="shared" si="1450"/>
        <v>F1Q09A</v>
      </c>
      <c r="U290" s="698" t="str">
        <f t="shared" si="1450"/>
        <v>F2Q09A</v>
      </c>
      <c r="V290" s="698" t="str">
        <f t="shared" si="1450"/>
        <v>F3Q09A</v>
      </c>
      <c r="W290" s="698" t="str">
        <f t="shared" si="1450"/>
        <v>F4Q09A</v>
      </c>
      <c r="X290" s="699" t="str">
        <f t="shared" si="1450"/>
        <v>F1Q10A</v>
      </c>
      <c r="Y290" s="698" t="str">
        <f t="shared" si="1450"/>
        <v>F2Q10A</v>
      </c>
      <c r="Z290" s="698" t="str">
        <f t="shared" si="1450"/>
        <v>F3Q10A</v>
      </c>
      <c r="AA290" s="698" t="str">
        <f t="shared" si="1450"/>
        <v>F4Q10A</v>
      </c>
      <c r="AB290" s="699" t="str">
        <f t="shared" si="1450"/>
        <v>F1Q11A</v>
      </c>
      <c r="AC290" s="698" t="str">
        <f t="shared" si="1450"/>
        <v>F2Q11A</v>
      </c>
      <c r="AD290" s="698" t="str">
        <f t="shared" si="1450"/>
        <v>F3Q11A</v>
      </c>
      <c r="AE290" s="698" t="str">
        <f t="shared" si="1450"/>
        <v>F4Q11A</v>
      </c>
      <c r="AF290" s="699" t="str">
        <f t="shared" si="1450"/>
        <v>F1Q12A</v>
      </c>
      <c r="AG290" s="698" t="str">
        <f t="shared" si="1450"/>
        <v>F2Q12A</v>
      </c>
      <c r="AH290" s="698" t="str">
        <f t="shared" si="1450"/>
        <v>F3Q12A</v>
      </c>
      <c r="AI290" s="698" t="str">
        <f t="shared" si="1450"/>
        <v>F4Q12A</v>
      </c>
      <c r="AJ290" s="699" t="str">
        <f t="shared" ref="AJ290:BO290" si="1451">AJ$9</f>
        <v>F1Q13A</v>
      </c>
      <c r="AK290" s="698" t="str">
        <f t="shared" si="1451"/>
        <v>F2Q13A</v>
      </c>
      <c r="AL290" s="698" t="str">
        <f t="shared" si="1451"/>
        <v>F3Q13A</v>
      </c>
      <c r="AM290" s="698" t="str">
        <f t="shared" si="1451"/>
        <v>F4Q13A</v>
      </c>
      <c r="AN290" s="699" t="str">
        <f t="shared" si="1451"/>
        <v>F1Q14A</v>
      </c>
      <c r="AO290" s="698" t="str">
        <f t="shared" si="1451"/>
        <v>F2Q14A</v>
      </c>
      <c r="AP290" s="698" t="str">
        <f t="shared" si="1451"/>
        <v>F3Q14A</v>
      </c>
      <c r="AQ290" s="700" t="str">
        <f t="shared" si="1451"/>
        <v>F4Q14A</v>
      </c>
      <c r="AR290" s="699" t="str">
        <f t="shared" si="1451"/>
        <v>F1Q15A</v>
      </c>
      <c r="AS290" s="698" t="str">
        <f t="shared" si="1451"/>
        <v>F2Q15A</v>
      </c>
      <c r="AT290" s="698" t="str">
        <f t="shared" si="1451"/>
        <v>F3Q15A</v>
      </c>
      <c r="AU290" s="700" t="str">
        <f t="shared" si="1451"/>
        <v>F4Q15A</v>
      </c>
      <c r="AV290" s="698" t="str">
        <f t="shared" si="1451"/>
        <v>F1Q16A</v>
      </c>
      <c r="AW290" s="698" t="str">
        <f t="shared" si="1451"/>
        <v>F2Q16A</v>
      </c>
      <c r="AX290" s="698" t="str">
        <f t="shared" si="1451"/>
        <v>F3Q16A</v>
      </c>
      <c r="AY290" s="700" t="str">
        <f t="shared" si="1451"/>
        <v>F4Q16A</v>
      </c>
      <c r="AZ290" s="699" t="str">
        <f t="shared" si="1451"/>
        <v>F1Q17A</v>
      </c>
      <c r="BA290" s="698" t="str">
        <f t="shared" si="1451"/>
        <v>F2Q17A</v>
      </c>
      <c r="BB290" s="698" t="str">
        <f t="shared" si="1451"/>
        <v>F3Q17A</v>
      </c>
      <c r="BC290" s="700" t="str">
        <f t="shared" si="1451"/>
        <v>F4Q17A</v>
      </c>
      <c r="BD290" s="699" t="str">
        <f t="shared" si="1451"/>
        <v>F1Q18A</v>
      </c>
      <c r="BE290" s="698" t="str">
        <f t="shared" si="1451"/>
        <v>F2Q18E</v>
      </c>
      <c r="BF290" s="698" t="str">
        <f t="shared" si="1451"/>
        <v>F3Q18E</v>
      </c>
      <c r="BG290" s="700" t="str">
        <f t="shared" si="1451"/>
        <v>F4Q18E</v>
      </c>
      <c r="BH290" s="699" t="str">
        <f t="shared" si="1451"/>
        <v>F1Q19E</v>
      </c>
      <c r="BI290" s="698" t="str">
        <f t="shared" si="1451"/>
        <v>F2Q19E</v>
      </c>
      <c r="BJ290" s="698" t="str">
        <f t="shared" si="1451"/>
        <v>F3Q19E</v>
      </c>
      <c r="BK290" s="700" t="str">
        <f t="shared" si="1451"/>
        <v>F4Q19E</v>
      </c>
      <c r="BL290" s="699" t="str">
        <f t="shared" si="1451"/>
        <v>F1Q20E</v>
      </c>
      <c r="BM290" s="698" t="str">
        <f t="shared" si="1451"/>
        <v>F2Q20E</v>
      </c>
      <c r="BN290" s="698" t="str">
        <f t="shared" si="1451"/>
        <v>F3Q20E</v>
      </c>
      <c r="BO290" s="700" t="str">
        <f t="shared" si="1451"/>
        <v>F4Q20E</v>
      </c>
      <c r="BP290" s="25"/>
      <c r="BQ290" s="699" t="str">
        <f t="shared" ref="BQ290:CF290" si="1452">BQ$9</f>
        <v>FY2005A</v>
      </c>
      <c r="BR290" s="698" t="str">
        <f t="shared" si="1452"/>
        <v>FY2006A</v>
      </c>
      <c r="BS290" s="698" t="str">
        <f t="shared" si="1452"/>
        <v>FY2007A</v>
      </c>
      <c r="BT290" s="698" t="str">
        <f t="shared" si="1452"/>
        <v>FY2008A</v>
      </c>
      <c r="BU290" s="698" t="str">
        <f t="shared" si="1452"/>
        <v>FY2009A</v>
      </c>
      <c r="BV290" s="698" t="str">
        <f t="shared" si="1452"/>
        <v>FY2010A</v>
      </c>
      <c r="BW290" s="698" t="str">
        <f t="shared" si="1452"/>
        <v>FY2011A</v>
      </c>
      <c r="BX290" s="698" t="str">
        <f t="shared" si="1452"/>
        <v>FY2012A</v>
      </c>
      <c r="BY290" s="698" t="str">
        <f t="shared" si="1452"/>
        <v>FY2013A</v>
      </c>
      <c r="BZ290" s="698" t="str">
        <f t="shared" si="1452"/>
        <v>FY2014A</v>
      </c>
      <c r="CA290" s="698" t="str">
        <f t="shared" si="1452"/>
        <v>FY2015A</v>
      </c>
      <c r="CB290" s="698" t="str">
        <f t="shared" si="1452"/>
        <v>FY2016A</v>
      </c>
      <c r="CC290" s="698" t="str">
        <f t="shared" si="1452"/>
        <v>FY2017A</v>
      </c>
      <c r="CD290" s="698" t="str">
        <f t="shared" si="1452"/>
        <v>FY2018E</v>
      </c>
      <c r="CE290" s="698" t="str">
        <f t="shared" si="1452"/>
        <v>FY2019E</v>
      </c>
      <c r="CF290" s="700" t="str">
        <f t="shared" si="1452"/>
        <v>FY2020E</v>
      </c>
    </row>
    <row r="291" spans="1:89" ht="14.25" hidden="1" customHeight="1" outlineLevel="1">
      <c r="B291" s="363" t="s">
        <v>274</v>
      </c>
      <c r="C291" s="418"/>
      <c r="D291" s="576">
        <v>419.77300000000002</v>
      </c>
      <c r="E291" s="577">
        <v>451.33100000000002</v>
      </c>
      <c r="F291" s="577">
        <v>443.11399999999998</v>
      </c>
      <c r="G291" s="578">
        <v>458.93799999999999</v>
      </c>
      <c r="H291" s="419">
        <v>452.07100000000003</v>
      </c>
      <c r="I291" s="420">
        <v>496.596</v>
      </c>
      <c r="J291" s="420">
        <v>520.72400000000005</v>
      </c>
      <c r="K291" s="527">
        <v>511.82600000000002</v>
      </c>
      <c r="L291" s="419">
        <v>501.30900000000003</v>
      </c>
      <c r="M291" s="420">
        <v>553.20500000000004</v>
      </c>
      <c r="N291" s="420">
        <v>612.95100000000002</v>
      </c>
      <c r="O291" s="527">
        <v>622.60400000000004</v>
      </c>
      <c r="P291" s="419">
        <v>628.32600000000002</v>
      </c>
      <c r="Q291" s="420">
        <v>680.65300000000002</v>
      </c>
      <c r="R291" s="420">
        <v>709.10199999999998</v>
      </c>
      <c r="S291" s="527">
        <v>757.66099999999994</v>
      </c>
      <c r="T291" s="419">
        <v>491.12299999999999</v>
      </c>
      <c r="U291" s="420">
        <v>506.76400000000001</v>
      </c>
      <c r="V291" s="420">
        <v>578.79200000000003</v>
      </c>
      <c r="W291" s="527">
        <v>637.96100000000001</v>
      </c>
      <c r="X291" s="419">
        <v>692.048</v>
      </c>
      <c r="Y291" s="420">
        <v>688.96199999999999</v>
      </c>
      <c r="Z291" s="420">
        <v>780.87</v>
      </c>
      <c r="AA291" s="527">
        <v>831.83699999999999</v>
      </c>
      <c r="AB291" s="419">
        <v>729.01</v>
      </c>
      <c r="AC291" s="420">
        <v>738.67</v>
      </c>
      <c r="AD291" s="420">
        <v>724.85599999999999</v>
      </c>
      <c r="AE291" s="527">
        <v>620.95600000000002</v>
      </c>
      <c r="AF291" s="419">
        <v>536.80100000000004</v>
      </c>
      <c r="AG291" s="830"/>
      <c r="AH291" s="421"/>
      <c r="AI291" s="422"/>
      <c r="AJ291" s="419">
        <v>277.94</v>
      </c>
      <c r="AK291" s="421"/>
      <c r="AL291" s="421"/>
      <c r="AM291" s="420">
        <v>306.18700000000001</v>
      </c>
      <c r="AN291" s="419">
        <v>290.55099999999999</v>
      </c>
      <c r="AO291" s="421"/>
      <c r="AP291" s="420">
        <v>327.53800000000001</v>
      </c>
      <c r="AQ291" s="422"/>
      <c r="AR291" s="419"/>
      <c r="AS291" s="421"/>
      <c r="AT291" s="421"/>
      <c r="AU291" s="422"/>
      <c r="AV291" s="421"/>
      <c r="AW291" s="421"/>
      <c r="AX291" s="421"/>
      <c r="AY291" s="422"/>
      <c r="AZ291" s="423"/>
      <c r="BA291" s="421"/>
      <c r="BB291" s="421"/>
      <c r="BC291" s="422"/>
      <c r="BD291" s="423"/>
      <c r="BE291" s="421"/>
      <c r="BF291" s="421"/>
      <c r="BG291" s="422"/>
      <c r="BH291" s="423"/>
      <c r="BI291" s="421"/>
      <c r="BJ291" s="421"/>
      <c r="BK291" s="422"/>
      <c r="BL291" s="423"/>
      <c r="BM291" s="421"/>
      <c r="BN291" s="421"/>
      <c r="BO291" s="422"/>
      <c r="BP291" s="424"/>
      <c r="BQ291" s="157">
        <f>SUM(D291:G291)</f>
        <v>1773.1559999999999</v>
      </c>
      <c r="BR291" s="406">
        <f>SUM(H291:K291)</f>
        <v>1981.2170000000001</v>
      </c>
      <c r="BS291" s="406">
        <f>SUM(L291:O291)</f>
        <v>2290.0690000000004</v>
      </c>
      <c r="BT291" s="406">
        <f>SUM(P291:S291)</f>
        <v>2775.7420000000002</v>
      </c>
      <c r="BU291" s="406">
        <f>SUM(T291:W291)</f>
        <v>2214.6400000000003</v>
      </c>
      <c r="BV291" s="406">
        <f>SUM(X291:AA291)</f>
        <v>2993.7170000000001</v>
      </c>
      <c r="BW291" s="406">
        <f>SUM(AB291:AE291)</f>
        <v>2813.4920000000002</v>
      </c>
      <c r="BX291" s="406"/>
      <c r="BY291" s="406"/>
      <c r="BZ291" s="406"/>
      <c r="CA291" s="406"/>
      <c r="CB291" s="406"/>
      <c r="CC291" s="406"/>
      <c r="CD291" s="406"/>
      <c r="CE291" s="406"/>
      <c r="CF291" s="1453"/>
    </row>
    <row r="292" spans="1:89" ht="14.25" hidden="1" customHeight="1" outlineLevel="1">
      <c r="B292" s="364" t="s">
        <v>275</v>
      </c>
      <c r="C292" s="367"/>
      <c r="D292" s="426">
        <v>911.20899999999995</v>
      </c>
      <c r="E292" s="427">
        <v>964.07299999999987</v>
      </c>
      <c r="F292" s="427">
        <v>991.08600000000001</v>
      </c>
      <c r="G292" s="528">
        <v>1060.9059999999999</v>
      </c>
      <c r="H292" s="426">
        <v>1059.354</v>
      </c>
      <c r="I292" s="427">
        <v>1151.741</v>
      </c>
      <c r="J292" s="427">
        <v>1198.144</v>
      </c>
      <c r="K292" s="528">
        <v>1148.8240000000001</v>
      </c>
      <c r="L292" s="426">
        <v>1141.5630000000001</v>
      </c>
      <c r="M292" s="427">
        <v>1219.586</v>
      </c>
      <c r="N292" s="427">
        <v>1221.4090000000001</v>
      </c>
      <c r="O292" s="528">
        <v>1286.2840000000001</v>
      </c>
      <c r="P292" s="426">
        <v>1269.1949999999999</v>
      </c>
      <c r="Q292" s="427">
        <v>1263.203</v>
      </c>
      <c r="R292" s="427">
        <v>1351.2370000000001</v>
      </c>
      <c r="S292" s="528">
        <v>1376.9970000000001</v>
      </c>
      <c r="T292" s="426">
        <v>920.27199999999993</v>
      </c>
      <c r="U292" s="427">
        <v>861.13499999999999</v>
      </c>
      <c r="V292" s="427">
        <v>961.86799999999994</v>
      </c>
      <c r="W292" s="528">
        <v>1118.8229999999999</v>
      </c>
      <c r="X292" s="426">
        <v>1230.597</v>
      </c>
      <c r="Y292" s="427">
        <v>1304.1210000000001</v>
      </c>
      <c r="Z292" s="427">
        <v>1401.652</v>
      </c>
      <c r="AA292" s="528">
        <v>1449.2049999999999</v>
      </c>
      <c r="AB292" s="426">
        <v>1390.548</v>
      </c>
      <c r="AC292" s="427">
        <v>1421.3130000000001</v>
      </c>
      <c r="AD292" s="427">
        <v>1389.6970000000001</v>
      </c>
      <c r="AE292" s="528">
        <v>1242.1190000000001</v>
      </c>
      <c r="AF292" s="426">
        <v>1091.079</v>
      </c>
      <c r="AG292" s="831"/>
      <c r="AH292" s="428"/>
      <c r="AI292" s="429"/>
      <c r="AJ292" s="426">
        <v>157.97800000000001</v>
      </c>
      <c r="AK292" s="428"/>
      <c r="AL292" s="428"/>
      <c r="AM292" s="427">
        <v>176.53800000000001</v>
      </c>
      <c r="AN292" s="426">
        <v>164.714</v>
      </c>
      <c r="AO292" s="428"/>
      <c r="AP292" s="427">
        <v>194.017</v>
      </c>
      <c r="AQ292" s="429"/>
      <c r="AR292" s="426"/>
      <c r="AS292" s="428"/>
      <c r="AT292" s="428"/>
      <c r="AU292" s="429"/>
      <c r="AV292" s="428"/>
      <c r="AW292" s="428"/>
      <c r="AX292" s="428"/>
      <c r="AY292" s="429"/>
      <c r="AZ292" s="430"/>
      <c r="BA292" s="428"/>
      <c r="BB292" s="428"/>
      <c r="BC292" s="429"/>
      <c r="BD292" s="430"/>
      <c r="BE292" s="428"/>
      <c r="BF292" s="428"/>
      <c r="BG292" s="429"/>
      <c r="BH292" s="430"/>
      <c r="BI292" s="428"/>
      <c r="BJ292" s="428"/>
      <c r="BK292" s="429"/>
      <c r="BL292" s="430"/>
      <c r="BM292" s="428"/>
      <c r="BN292" s="428"/>
      <c r="BO292" s="429"/>
      <c r="BP292" s="424"/>
      <c r="BQ292" s="157">
        <f>SUM(D292:G292)</f>
        <v>3927.2739999999994</v>
      </c>
      <c r="BR292" s="406">
        <f>SUM(H292:K292)</f>
        <v>4558.0630000000001</v>
      </c>
      <c r="BS292" s="406">
        <f>SUM(L292:O292)</f>
        <v>4868.8420000000006</v>
      </c>
      <c r="BT292" s="406">
        <f>SUM(P292:S292)</f>
        <v>5260.6320000000005</v>
      </c>
      <c r="BU292" s="406">
        <f>SUM(T292:W292)</f>
        <v>3862.0979999999995</v>
      </c>
      <c r="BV292" s="406">
        <f>SUM(X292:AA292)</f>
        <v>5385.5749999999998</v>
      </c>
      <c r="BW292" s="406">
        <f>SUM(AB292:AE292)</f>
        <v>5443.6769999999997</v>
      </c>
      <c r="BX292" s="406"/>
      <c r="BY292" s="406"/>
      <c r="BZ292" s="406"/>
      <c r="CA292" s="406"/>
      <c r="CB292" s="406"/>
      <c r="CC292" s="406"/>
      <c r="CD292" s="406"/>
      <c r="CE292" s="406"/>
      <c r="CF292" s="1453"/>
    </row>
    <row r="293" spans="1:89" ht="14.25" hidden="1" customHeight="1" outlineLevel="1">
      <c r="B293" s="364" t="s">
        <v>276</v>
      </c>
      <c r="C293" s="367"/>
      <c r="D293" s="426">
        <v>1134.761</v>
      </c>
      <c r="E293" s="427">
        <v>1014.147</v>
      </c>
      <c r="F293" s="427">
        <v>1140.212</v>
      </c>
      <c r="G293" s="528">
        <v>1276.421</v>
      </c>
      <c r="H293" s="426">
        <v>1148.6389999999999</v>
      </c>
      <c r="I293" s="427">
        <v>1265.857</v>
      </c>
      <c r="J293" s="427">
        <v>1358.068</v>
      </c>
      <c r="K293" s="528">
        <v>1445.6010000000001</v>
      </c>
      <c r="L293" s="426">
        <v>1288.8620000000001</v>
      </c>
      <c r="M293" s="427">
        <v>1305.5709999999999</v>
      </c>
      <c r="N293" s="427">
        <v>1247.9780000000001</v>
      </c>
      <c r="O293" s="528">
        <v>1329.771</v>
      </c>
      <c r="P293" s="426">
        <v>1236.9929999999999</v>
      </c>
      <c r="Q293" s="427">
        <v>1190.1489999999999</v>
      </c>
      <c r="R293" s="427">
        <v>1404.905</v>
      </c>
      <c r="S293" s="528">
        <v>1444.3789999999999</v>
      </c>
      <c r="T293" s="426">
        <v>899.79899999999998</v>
      </c>
      <c r="U293" s="427">
        <v>842.51199999999994</v>
      </c>
      <c r="V293" s="427">
        <v>1167.0540000000001</v>
      </c>
      <c r="W293" s="528">
        <v>1472.8969999999999</v>
      </c>
      <c r="X293" s="426">
        <v>1551.8140000000001</v>
      </c>
      <c r="Y293" s="427">
        <v>1576.8820000000001</v>
      </c>
      <c r="Z293" s="427">
        <v>1715.6369999999999</v>
      </c>
      <c r="AA293" s="528">
        <v>1848.2329999999999</v>
      </c>
      <c r="AB293" s="426">
        <v>1845.6210000000001</v>
      </c>
      <c r="AC293" s="427">
        <v>2072.5219999999999</v>
      </c>
      <c r="AD293" s="427">
        <v>2006.9369999999999</v>
      </c>
      <c r="AE293" s="528">
        <v>1991.451</v>
      </c>
      <c r="AF293" s="426">
        <v>1901.2159999999999</v>
      </c>
      <c r="AG293" s="831"/>
      <c r="AH293" s="428"/>
      <c r="AI293" s="429"/>
      <c r="AJ293" s="426">
        <v>95.158000000000001</v>
      </c>
      <c r="AK293" s="428"/>
      <c r="AL293" s="428"/>
      <c r="AM293" s="427">
        <v>92.405000000000001</v>
      </c>
      <c r="AN293" s="426">
        <v>79.418999999999997</v>
      </c>
      <c r="AO293" s="428"/>
      <c r="AP293" s="427">
        <v>95.963999999999999</v>
      </c>
      <c r="AQ293" s="429"/>
      <c r="AR293" s="426"/>
      <c r="AS293" s="428"/>
      <c r="AT293" s="428"/>
      <c r="AU293" s="429"/>
      <c r="AV293" s="428"/>
      <c r="AW293" s="428"/>
      <c r="AX293" s="428"/>
      <c r="AY293" s="429"/>
      <c r="AZ293" s="430"/>
      <c r="BA293" s="428"/>
      <c r="BB293" s="428"/>
      <c r="BC293" s="429"/>
      <c r="BD293" s="430"/>
      <c r="BE293" s="428"/>
      <c r="BF293" s="428"/>
      <c r="BG293" s="429"/>
      <c r="BH293" s="430"/>
      <c r="BI293" s="428"/>
      <c r="BJ293" s="428"/>
      <c r="BK293" s="429"/>
      <c r="BL293" s="430"/>
      <c r="BM293" s="428"/>
      <c r="BN293" s="428"/>
      <c r="BO293" s="429"/>
      <c r="BP293" s="424"/>
      <c r="BQ293" s="157">
        <f>SUM(D293:G293)</f>
        <v>4565.5410000000002</v>
      </c>
      <c r="BR293" s="406">
        <f>SUM(H293:K293)</f>
        <v>5218.1650000000009</v>
      </c>
      <c r="BS293" s="406">
        <f>SUM(L293:O293)</f>
        <v>5172.1819999999998</v>
      </c>
      <c r="BT293" s="406">
        <f>SUM(P293:S293)</f>
        <v>5276.4259999999995</v>
      </c>
      <c r="BU293" s="406">
        <f>SUM(T293:W293)</f>
        <v>4382.2619999999997</v>
      </c>
      <c r="BV293" s="406">
        <f>SUM(X293:AA293)</f>
        <v>6692.5659999999998</v>
      </c>
      <c r="BW293" s="406">
        <f>SUM(AB293:AE293)</f>
        <v>7916.5309999999999</v>
      </c>
      <c r="BX293" s="406"/>
      <c r="BY293" s="406"/>
      <c r="BZ293" s="406"/>
      <c r="CA293" s="406"/>
      <c r="CB293" s="406"/>
      <c r="CC293" s="406"/>
      <c r="CD293" s="406"/>
      <c r="CE293" s="406"/>
      <c r="CF293" s="1453"/>
    </row>
    <row r="294" spans="1:89" ht="14.25" hidden="1" customHeight="1" outlineLevel="1">
      <c r="B294" s="364" t="s">
        <v>277</v>
      </c>
      <c r="C294" s="367"/>
      <c r="D294" s="426">
        <v>1283.374</v>
      </c>
      <c r="E294" s="427">
        <v>1385.778</v>
      </c>
      <c r="F294" s="427">
        <v>1419.6610000000001</v>
      </c>
      <c r="G294" s="528">
        <v>1569.684</v>
      </c>
      <c r="H294" s="426">
        <v>1628.5239999999999</v>
      </c>
      <c r="I294" s="427">
        <v>1676.4</v>
      </c>
      <c r="J294" s="427">
        <v>1745.575</v>
      </c>
      <c r="K294" s="528">
        <v>1795.6980000000001</v>
      </c>
      <c r="L294" s="426">
        <v>1669.6210000000001</v>
      </c>
      <c r="M294" s="427">
        <v>1677.3040000000001</v>
      </c>
      <c r="N294" s="427">
        <v>1730.1949999999999</v>
      </c>
      <c r="O294" s="528">
        <v>1915.6569999999999</v>
      </c>
      <c r="P294" s="426">
        <v>1897.577</v>
      </c>
      <c r="Q294" s="427">
        <v>1843.5150000000001</v>
      </c>
      <c r="R294" s="427">
        <v>2075.5549999999998</v>
      </c>
      <c r="S294" s="528">
        <v>2077.1260000000002</v>
      </c>
      <c r="T294" s="426">
        <v>1397.098</v>
      </c>
      <c r="U294" s="427">
        <v>1361.539</v>
      </c>
      <c r="V294" s="427">
        <v>1649.1489999999999</v>
      </c>
      <c r="W294" s="528">
        <v>1873.4010000000001</v>
      </c>
      <c r="X294" s="426">
        <v>2004.0830000000001</v>
      </c>
      <c r="Y294" s="427">
        <v>2169.7719999999999</v>
      </c>
      <c r="Z294" s="427">
        <v>2395.4490000000001</v>
      </c>
      <c r="AA294" s="528">
        <v>2487.0459999999998</v>
      </c>
      <c r="AB294" s="426">
        <v>2345.0250000000001</v>
      </c>
      <c r="AC294" s="427">
        <v>2289.2759999999998</v>
      </c>
      <c r="AD294" s="427">
        <v>2429.14</v>
      </c>
      <c r="AE294" s="528">
        <v>2322.471</v>
      </c>
      <c r="AF294" s="426">
        <v>2015.9</v>
      </c>
      <c r="AG294" s="831"/>
      <c r="AH294" s="428"/>
      <c r="AI294" s="429"/>
      <c r="AJ294" s="426">
        <v>39.381999999999998</v>
      </c>
      <c r="AK294" s="428"/>
      <c r="AL294" s="428"/>
      <c r="AM294" s="427">
        <v>44.225999999999999</v>
      </c>
      <c r="AN294" s="426">
        <v>38.71</v>
      </c>
      <c r="AO294" s="428"/>
      <c r="AP294" s="427">
        <v>45.912999999999997</v>
      </c>
      <c r="AQ294" s="429"/>
      <c r="AR294" s="426"/>
      <c r="AS294" s="428"/>
      <c r="AT294" s="428"/>
      <c r="AU294" s="429"/>
      <c r="AV294" s="428"/>
      <c r="AW294" s="428"/>
      <c r="AX294" s="428"/>
      <c r="AY294" s="429"/>
      <c r="AZ294" s="430"/>
      <c r="BA294" s="428"/>
      <c r="BB294" s="428"/>
      <c r="BC294" s="429"/>
      <c r="BD294" s="430"/>
      <c r="BE294" s="428"/>
      <c r="BF294" s="428"/>
      <c r="BG294" s="429"/>
      <c r="BH294" s="430"/>
      <c r="BI294" s="428"/>
      <c r="BJ294" s="428"/>
      <c r="BK294" s="429"/>
      <c r="BL294" s="430"/>
      <c r="BM294" s="428"/>
      <c r="BN294" s="428"/>
      <c r="BO294" s="429"/>
      <c r="BP294" s="424"/>
      <c r="BQ294" s="157">
        <f>SUM(D294:G294)</f>
        <v>5658.4970000000003</v>
      </c>
      <c r="BR294" s="406">
        <f>SUM(H294:K294)</f>
        <v>6846.1970000000001</v>
      </c>
      <c r="BS294" s="406">
        <f>SUM(L294:O294)</f>
        <v>6992.777</v>
      </c>
      <c r="BT294" s="406">
        <f>SUM(P294:S294)</f>
        <v>7893.7730000000001</v>
      </c>
      <c r="BU294" s="406">
        <f>SUM(T294:W294)</f>
        <v>6281.1869999999999</v>
      </c>
      <c r="BV294" s="406">
        <f>SUM(X294:AA294)</f>
        <v>9056.35</v>
      </c>
      <c r="BW294" s="406">
        <f>SUM(AB294:AE294)</f>
        <v>9385.9119999999984</v>
      </c>
      <c r="BX294" s="406"/>
      <c r="BY294" s="406"/>
      <c r="BZ294" s="406"/>
      <c r="CA294" s="406"/>
      <c r="CB294" s="406"/>
      <c r="CC294" s="406"/>
      <c r="CD294" s="406"/>
      <c r="CE294" s="406"/>
      <c r="CF294" s="1453"/>
    </row>
    <row r="295" spans="1:89" ht="14.25" hidden="1" customHeight="1" outlineLevel="1">
      <c r="B295" s="563" t="s">
        <v>278</v>
      </c>
      <c r="C295" s="368"/>
      <c r="D295" s="567">
        <v>1951.4179999999999</v>
      </c>
      <c r="E295" s="568">
        <v>1825.59</v>
      </c>
      <c r="F295" s="568">
        <v>1840.3389999999999</v>
      </c>
      <c r="G295" s="569">
        <v>2034.692</v>
      </c>
      <c r="H295" s="567">
        <v>1950.972</v>
      </c>
      <c r="I295" s="568">
        <v>2121.7849999999999</v>
      </c>
      <c r="J295" s="568">
        <v>2021.836</v>
      </c>
      <c r="K295" s="569">
        <v>2197.7869999999998</v>
      </c>
      <c r="L295" s="567">
        <v>1959.086</v>
      </c>
      <c r="M295" s="568">
        <v>1813.527</v>
      </c>
      <c r="N295" s="568">
        <v>1845.047</v>
      </c>
      <c r="O295" s="569">
        <v>2149.1819999999998</v>
      </c>
      <c r="P295" s="567">
        <v>1935.6959999999999</v>
      </c>
      <c r="Q295" s="568">
        <v>1611.664</v>
      </c>
      <c r="R295" s="568">
        <v>1740.4749999999999</v>
      </c>
      <c r="S295" s="569">
        <v>1840.8</v>
      </c>
      <c r="T295" s="567">
        <v>1021.89</v>
      </c>
      <c r="U295" s="568">
        <v>1112.9780000000001</v>
      </c>
      <c r="V295" s="568">
        <v>1259.953</v>
      </c>
      <c r="W295" s="569">
        <v>1506.96</v>
      </c>
      <c r="X295" s="567">
        <v>1391.7270000000001</v>
      </c>
      <c r="Y295" s="568">
        <v>1364.818</v>
      </c>
      <c r="Z295" s="568">
        <v>1484.798</v>
      </c>
      <c r="AA295" s="569">
        <v>1606.1</v>
      </c>
      <c r="AB295" s="567">
        <v>1527.5509999999999</v>
      </c>
      <c r="AC295" s="568">
        <v>1300.5820000000001</v>
      </c>
      <c r="AD295" s="568">
        <v>1238.9269999999999</v>
      </c>
      <c r="AE295" s="569">
        <v>1316.67</v>
      </c>
      <c r="AF295" s="567">
        <v>1230.5029999999999</v>
      </c>
      <c r="AG295" s="832"/>
      <c r="AH295" s="570"/>
      <c r="AI295" s="571"/>
      <c r="AJ295" s="567">
        <v>51.676000000000002</v>
      </c>
      <c r="AK295" s="570"/>
      <c r="AL295" s="570"/>
      <c r="AM295" s="568">
        <v>58.777000000000001</v>
      </c>
      <c r="AN295" s="567">
        <v>54.844000000000001</v>
      </c>
      <c r="AO295" s="570"/>
      <c r="AP295" s="568">
        <v>64.319999999999993</v>
      </c>
      <c r="AQ295" s="571"/>
      <c r="AR295" s="567"/>
      <c r="AS295" s="570"/>
      <c r="AT295" s="570"/>
      <c r="AU295" s="571"/>
      <c r="AV295" s="570"/>
      <c r="AW295" s="570"/>
      <c r="AX295" s="570"/>
      <c r="AY295" s="571"/>
      <c r="AZ295" s="572"/>
      <c r="BA295" s="570"/>
      <c r="BB295" s="570"/>
      <c r="BC295" s="571"/>
      <c r="BD295" s="572"/>
      <c r="BE295" s="570"/>
      <c r="BF295" s="570"/>
      <c r="BG295" s="571"/>
      <c r="BH295" s="572"/>
      <c r="BI295" s="570"/>
      <c r="BJ295" s="570"/>
      <c r="BK295" s="571"/>
      <c r="BL295" s="572"/>
      <c r="BM295" s="570"/>
      <c r="BN295" s="570"/>
      <c r="BO295" s="571"/>
      <c r="BP295" s="424"/>
      <c r="BQ295" s="159">
        <f>SUM(D295:G295)</f>
        <v>7652.0389999999998</v>
      </c>
      <c r="BR295" s="431">
        <f>SUM(H295:K295)</f>
        <v>8292.3799999999992</v>
      </c>
      <c r="BS295" s="431">
        <f>SUM(L295:O295)</f>
        <v>7766.8419999999996</v>
      </c>
      <c r="BT295" s="431">
        <f>SUM(P295:S295)</f>
        <v>7128.6349999999993</v>
      </c>
      <c r="BU295" s="431">
        <f>SUM(T295:W295)</f>
        <v>4901.7809999999999</v>
      </c>
      <c r="BV295" s="431">
        <f>SUM(X295:AA295)</f>
        <v>5847.4429999999993</v>
      </c>
      <c r="BW295" s="431">
        <f>SUM(AB295:AE295)</f>
        <v>5383.73</v>
      </c>
      <c r="BX295" s="431"/>
      <c r="BY295" s="431"/>
      <c r="BZ295" s="431"/>
      <c r="CA295" s="431"/>
      <c r="CB295" s="431"/>
      <c r="CC295" s="431"/>
      <c r="CD295" s="431"/>
      <c r="CE295" s="431"/>
      <c r="CF295" s="1458"/>
    </row>
    <row r="296" spans="1:89" ht="14.25" hidden="1" customHeight="1" outlineLevel="1">
      <c r="A296" s="106"/>
      <c r="B296" s="432" t="s">
        <v>207</v>
      </c>
      <c r="C296" s="433"/>
      <c r="D296" s="434">
        <f>SUM(D291:D295)</f>
        <v>5700.5349999999999</v>
      </c>
      <c r="E296" s="435">
        <f t="shared" ref="E296:AF296" si="1453">SUM(E291:E295)</f>
        <v>5640.9189999999999</v>
      </c>
      <c r="F296" s="435">
        <f>SUM(F291:F295)</f>
        <v>5834.4120000000003</v>
      </c>
      <c r="G296" s="436">
        <f t="shared" si="1453"/>
        <v>6400.6410000000005</v>
      </c>
      <c r="H296" s="434">
        <f t="shared" si="1453"/>
        <v>6239.5599999999995</v>
      </c>
      <c r="I296" s="435">
        <f t="shared" si="1453"/>
        <v>6712.3789999999999</v>
      </c>
      <c r="J296" s="435">
        <f t="shared" si="1453"/>
        <v>6844.3469999999998</v>
      </c>
      <c r="K296" s="436">
        <f t="shared" si="1453"/>
        <v>7099.7360000000008</v>
      </c>
      <c r="L296" s="434">
        <f t="shared" si="1453"/>
        <v>6560.4410000000007</v>
      </c>
      <c r="M296" s="435">
        <f t="shared" si="1453"/>
        <v>6569.1930000000002</v>
      </c>
      <c r="N296" s="435">
        <f t="shared" si="1453"/>
        <v>6657.58</v>
      </c>
      <c r="O296" s="436">
        <f t="shared" si="1453"/>
        <v>7303.4979999999996</v>
      </c>
      <c r="P296" s="434">
        <f t="shared" si="1453"/>
        <v>6967.7870000000003</v>
      </c>
      <c r="Q296" s="435">
        <f t="shared" si="1453"/>
        <v>6589.1840000000002</v>
      </c>
      <c r="R296" s="435">
        <f t="shared" si="1453"/>
        <v>7281.2739999999994</v>
      </c>
      <c r="S296" s="436">
        <f t="shared" si="1453"/>
        <v>7496.9630000000006</v>
      </c>
      <c r="T296" s="434">
        <f t="shared" si="1453"/>
        <v>4730.1819999999998</v>
      </c>
      <c r="U296" s="435">
        <f t="shared" si="1453"/>
        <v>4684.9279999999999</v>
      </c>
      <c r="V296" s="435">
        <f t="shared" si="1453"/>
        <v>5616.8159999999989</v>
      </c>
      <c r="W296" s="436">
        <f t="shared" si="1453"/>
        <v>6610.0419999999995</v>
      </c>
      <c r="X296" s="434">
        <f t="shared" si="1453"/>
        <v>6870.2689999999993</v>
      </c>
      <c r="Y296" s="435">
        <f t="shared" si="1453"/>
        <v>7104.5550000000003</v>
      </c>
      <c r="Z296" s="435">
        <f t="shared" si="1453"/>
        <v>7778.4059999999999</v>
      </c>
      <c r="AA296" s="436">
        <f t="shared" si="1453"/>
        <v>8222.4210000000003</v>
      </c>
      <c r="AB296" s="434">
        <f t="shared" si="1453"/>
        <v>7837.7549999999992</v>
      </c>
      <c r="AC296" s="435">
        <f t="shared" si="1453"/>
        <v>7822.3630000000003</v>
      </c>
      <c r="AD296" s="435">
        <f t="shared" si="1453"/>
        <v>7789.5569999999989</v>
      </c>
      <c r="AE296" s="436">
        <f t="shared" si="1453"/>
        <v>7493.6670000000004</v>
      </c>
      <c r="AF296" s="434">
        <f t="shared" si="1453"/>
        <v>6775.4989999999998</v>
      </c>
      <c r="AG296" s="833"/>
      <c r="AH296" s="437"/>
      <c r="AI296" s="438"/>
      <c r="AJ296" s="434">
        <f>SUM(AJ291:AJ295)</f>
        <v>622.13400000000001</v>
      </c>
      <c r="AK296" s="437"/>
      <c r="AL296" s="437"/>
      <c r="AM296" s="435">
        <f>SUM(AM291:AM295)</f>
        <v>678.13300000000004</v>
      </c>
      <c r="AN296" s="434">
        <f>SUM(AN291:AN295)</f>
        <v>628.23800000000006</v>
      </c>
      <c r="AO296" s="437"/>
      <c r="AP296" s="435">
        <f>SUM(AP291:AP295)</f>
        <v>727.75199999999995</v>
      </c>
      <c r="AQ296" s="438"/>
      <c r="AR296" s="434"/>
      <c r="AS296" s="437"/>
      <c r="AT296" s="437"/>
      <c r="AU296" s="438"/>
      <c r="AV296" s="437"/>
      <c r="AW296" s="437"/>
      <c r="AX296" s="437"/>
      <c r="AY296" s="438"/>
      <c r="AZ296" s="439"/>
      <c r="BA296" s="437"/>
      <c r="BB296" s="437"/>
      <c r="BC296" s="438"/>
      <c r="BD296" s="439"/>
      <c r="BE296" s="437"/>
      <c r="BF296" s="437"/>
      <c r="BG296" s="438"/>
      <c r="BH296" s="439"/>
      <c r="BI296" s="437"/>
      <c r="BJ296" s="437"/>
      <c r="BK296" s="438"/>
      <c r="BL296" s="439"/>
      <c r="BM296" s="437"/>
      <c r="BN296" s="437"/>
      <c r="BO296" s="438"/>
      <c r="BP296" s="440"/>
      <c r="BQ296" s="582">
        <f>SUM(BQ291:BQ295)</f>
        <v>23576.507000000001</v>
      </c>
      <c r="BR296" s="583">
        <f t="shared" ref="BR296:BW296" si="1454">SUM(BR291:BR295)</f>
        <v>26896.021999999997</v>
      </c>
      <c r="BS296" s="583">
        <f t="shared" si="1454"/>
        <v>27090.712000000003</v>
      </c>
      <c r="BT296" s="583">
        <f t="shared" si="1454"/>
        <v>28335.207999999999</v>
      </c>
      <c r="BU296" s="583">
        <f t="shared" si="1454"/>
        <v>21641.967999999997</v>
      </c>
      <c r="BV296" s="583">
        <f t="shared" si="1454"/>
        <v>29975.650999999998</v>
      </c>
      <c r="BW296" s="583">
        <f t="shared" si="1454"/>
        <v>30943.342000000001</v>
      </c>
      <c r="BX296" s="583"/>
      <c r="BY296" s="583"/>
      <c r="BZ296" s="583"/>
      <c r="CA296" s="583"/>
      <c r="CB296" s="442"/>
      <c r="CC296" s="442"/>
      <c r="CD296" s="442"/>
      <c r="CE296" s="442"/>
      <c r="CF296" s="1454"/>
      <c r="CG296" s="106"/>
      <c r="CH296" s="106"/>
      <c r="CI296" s="106"/>
      <c r="CJ296" s="106"/>
      <c r="CK296" s="106"/>
    </row>
    <row r="297" spans="1:89" ht="14.25" hidden="1" customHeight="1" outlineLevel="1">
      <c r="CC297" s="1005"/>
      <c r="CD297" s="1005"/>
      <c r="CE297" s="1005"/>
      <c r="CG297" s="366"/>
    </row>
    <row r="298" spans="1:89" ht="14.25" hidden="1" customHeight="1" outlineLevel="1">
      <c r="A298" s="1"/>
      <c r="B298" s="150" t="s">
        <v>303</v>
      </c>
      <c r="C298" s="151"/>
      <c r="D298" s="699" t="str">
        <f t="shared" ref="D298:AI298" si="1455">D$9</f>
        <v>F1Q05A</v>
      </c>
      <c r="E298" s="698" t="str">
        <f t="shared" si="1455"/>
        <v>F2Q05A</v>
      </c>
      <c r="F298" s="698" t="str">
        <f t="shared" si="1455"/>
        <v>F3Q05A</v>
      </c>
      <c r="G298" s="698" t="str">
        <f t="shared" si="1455"/>
        <v>F4Q05A</v>
      </c>
      <c r="H298" s="699" t="str">
        <f t="shared" si="1455"/>
        <v>F1Q06A</v>
      </c>
      <c r="I298" s="698" t="str">
        <f t="shared" si="1455"/>
        <v>F2Q06A</v>
      </c>
      <c r="J298" s="698" t="str">
        <f t="shared" si="1455"/>
        <v>F3Q06A</v>
      </c>
      <c r="K298" s="698" t="str">
        <f t="shared" si="1455"/>
        <v>F4Q06A</v>
      </c>
      <c r="L298" s="699" t="str">
        <f t="shared" si="1455"/>
        <v>F1Q07A</v>
      </c>
      <c r="M298" s="698" t="str">
        <f t="shared" si="1455"/>
        <v>F2Q07A</v>
      </c>
      <c r="N298" s="698" t="str">
        <f t="shared" si="1455"/>
        <v>F3Q07A</v>
      </c>
      <c r="O298" s="698" t="str">
        <f t="shared" si="1455"/>
        <v>F4Q07A</v>
      </c>
      <c r="P298" s="699" t="str">
        <f t="shared" si="1455"/>
        <v>F1Q08A</v>
      </c>
      <c r="Q298" s="698" t="str">
        <f t="shared" si="1455"/>
        <v>F2Q08A</v>
      </c>
      <c r="R298" s="698" t="str">
        <f t="shared" si="1455"/>
        <v>F3Q08A</v>
      </c>
      <c r="S298" s="698" t="str">
        <f t="shared" si="1455"/>
        <v>F4Q08A</v>
      </c>
      <c r="T298" s="699" t="str">
        <f t="shared" si="1455"/>
        <v>F1Q09A</v>
      </c>
      <c r="U298" s="698" t="str">
        <f t="shared" si="1455"/>
        <v>F2Q09A</v>
      </c>
      <c r="V298" s="698" t="str">
        <f t="shared" si="1455"/>
        <v>F3Q09A</v>
      </c>
      <c r="W298" s="698" t="str">
        <f t="shared" si="1455"/>
        <v>F4Q09A</v>
      </c>
      <c r="X298" s="699" t="str">
        <f t="shared" si="1455"/>
        <v>F1Q10A</v>
      </c>
      <c r="Y298" s="698" t="str">
        <f t="shared" si="1455"/>
        <v>F2Q10A</v>
      </c>
      <c r="Z298" s="698" t="str">
        <f t="shared" si="1455"/>
        <v>F3Q10A</v>
      </c>
      <c r="AA298" s="698" t="str">
        <f t="shared" si="1455"/>
        <v>F4Q10A</v>
      </c>
      <c r="AB298" s="699" t="str">
        <f t="shared" si="1455"/>
        <v>F1Q11A</v>
      </c>
      <c r="AC298" s="698" t="str">
        <f t="shared" si="1455"/>
        <v>F2Q11A</v>
      </c>
      <c r="AD298" s="698" t="str">
        <f t="shared" si="1455"/>
        <v>F3Q11A</v>
      </c>
      <c r="AE298" s="698" t="str">
        <f t="shared" si="1455"/>
        <v>F4Q11A</v>
      </c>
      <c r="AF298" s="699" t="str">
        <f t="shared" si="1455"/>
        <v>F1Q12A</v>
      </c>
      <c r="AG298" s="698" t="str">
        <f t="shared" si="1455"/>
        <v>F2Q12A</v>
      </c>
      <c r="AH298" s="698" t="str">
        <f t="shared" si="1455"/>
        <v>F3Q12A</v>
      </c>
      <c r="AI298" s="698" t="str">
        <f t="shared" si="1455"/>
        <v>F4Q12A</v>
      </c>
      <c r="AJ298" s="699" t="str">
        <f t="shared" ref="AJ298:BO298" si="1456">AJ$9</f>
        <v>F1Q13A</v>
      </c>
      <c r="AK298" s="698" t="str">
        <f t="shared" si="1456"/>
        <v>F2Q13A</v>
      </c>
      <c r="AL298" s="698" t="str">
        <f t="shared" si="1456"/>
        <v>F3Q13A</v>
      </c>
      <c r="AM298" s="698" t="str">
        <f t="shared" si="1456"/>
        <v>F4Q13A</v>
      </c>
      <c r="AN298" s="699" t="str">
        <f t="shared" si="1456"/>
        <v>F1Q14A</v>
      </c>
      <c r="AO298" s="698" t="str">
        <f t="shared" si="1456"/>
        <v>F2Q14A</v>
      </c>
      <c r="AP298" s="698" t="str">
        <f t="shared" si="1456"/>
        <v>F3Q14A</v>
      </c>
      <c r="AQ298" s="700" t="str">
        <f t="shared" si="1456"/>
        <v>F4Q14A</v>
      </c>
      <c r="AR298" s="699" t="str">
        <f t="shared" si="1456"/>
        <v>F1Q15A</v>
      </c>
      <c r="AS298" s="698" t="str">
        <f t="shared" si="1456"/>
        <v>F2Q15A</v>
      </c>
      <c r="AT298" s="698" t="str">
        <f t="shared" si="1456"/>
        <v>F3Q15A</v>
      </c>
      <c r="AU298" s="700" t="str">
        <f t="shared" si="1456"/>
        <v>F4Q15A</v>
      </c>
      <c r="AV298" s="698" t="str">
        <f t="shared" si="1456"/>
        <v>F1Q16A</v>
      </c>
      <c r="AW298" s="698" t="str">
        <f t="shared" si="1456"/>
        <v>F2Q16A</v>
      </c>
      <c r="AX298" s="698" t="str">
        <f t="shared" si="1456"/>
        <v>F3Q16A</v>
      </c>
      <c r="AY298" s="700" t="str">
        <f t="shared" si="1456"/>
        <v>F4Q16A</v>
      </c>
      <c r="AZ298" s="699" t="str">
        <f t="shared" si="1456"/>
        <v>F1Q17A</v>
      </c>
      <c r="BA298" s="698" t="str">
        <f t="shared" si="1456"/>
        <v>F2Q17A</v>
      </c>
      <c r="BB298" s="698" t="str">
        <f t="shared" si="1456"/>
        <v>F3Q17A</v>
      </c>
      <c r="BC298" s="700" t="str">
        <f t="shared" si="1456"/>
        <v>F4Q17A</v>
      </c>
      <c r="BD298" s="699" t="str">
        <f t="shared" si="1456"/>
        <v>F1Q18A</v>
      </c>
      <c r="BE298" s="698" t="str">
        <f t="shared" si="1456"/>
        <v>F2Q18E</v>
      </c>
      <c r="BF298" s="698" t="str">
        <f t="shared" si="1456"/>
        <v>F3Q18E</v>
      </c>
      <c r="BG298" s="700" t="str">
        <f t="shared" si="1456"/>
        <v>F4Q18E</v>
      </c>
      <c r="BH298" s="699" t="str">
        <f t="shared" si="1456"/>
        <v>F1Q19E</v>
      </c>
      <c r="BI298" s="698" t="str">
        <f t="shared" si="1456"/>
        <v>F2Q19E</v>
      </c>
      <c r="BJ298" s="698" t="str">
        <f t="shared" si="1456"/>
        <v>F3Q19E</v>
      </c>
      <c r="BK298" s="700" t="str">
        <f t="shared" si="1456"/>
        <v>F4Q19E</v>
      </c>
      <c r="BL298" s="699" t="str">
        <f t="shared" si="1456"/>
        <v>F1Q20E</v>
      </c>
      <c r="BM298" s="698" t="str">
        <f t="shared" si="1456"/>
        <v>F2Q20E</v>
      </c>
      <c r="BN298" s="698" t="str">
        <f t="shared" si="1456"/>
        <v>F3Q20E</v>
      </c>
      <c r="BO298" s="700" t="str">
        <f t="shared" si="1456"/>
        <v>F4Q20E</v>
      </c>
      <c r="BP298" s="25"/>
      <c r="BQ298" s="699" t="str">
        <f t="shared" ref="BQ298:CF298" si="1457">BQ$9</f>
        <v>FY2005A</v>
      </c>
      <c r="BR298" s="698" t="str">
        <f t="shared" si="1457"/>
        <v>FY2006A</v>
      </c>
      <c r="BS298" s="698" t="str">
        <f t="shared" si="1457"/>
        <v>FY2007A</v>
      </c>
      <c r="BT298" s="698" t="str">
        <f t="shared" si="1457"/>
        <v>FY2008A</v>
      </c>
      <c r="BU298" s="698" t="str">
        <f t="shared" si="1457"/>
        <v>FY2009A</v>
      </c>
      <c r="BV298" s="698" t="str">
        <f t="shared" si="1457"/>
        <v>FY2010A</v>
      </c>
      <c r="BW298" s="698" t="str">
        <f t="shared" si="1457"/>
        <v>FY2011A</v>
      </c>
      <c r="BX298" s="698" t="str">
        <f t="shared" si="1457"/>
        <v>FY2012A</v>
      </c>
      <c r="BY298" s="698" t="str">
        <f t="shared" si="1457"/>
        <v>FY2013A</v>
      </c>
      <c r="BZ298" s="698" t="str">
        <f t="shared" si="1457"/>
        <v>FY2014A</v>
      </c>
      <c r="CA298" s="698" t="str">
        <f t="shared" si="1457"/>
        <v>FY2015A</v>
      </c>
      <c r="CB298" s="698" t="str">
        <f t="shared" si="1457"/>
        <v>FY2016A</v>
      </c>
      <c r="CC298" s="698" t="str">
        <f t="shared" si="1457"/>
        <v>FY2017A</v>
      </c>
      <c r="CD298" s="698" t="str">
        <f t="shared" si="1457"/>
        <v>FY2018E</v>
      </c>
      <c r="CE298" s="698" t="str">
        <f t="shared" si="1457"/>
        <v>FY2019E</v>
      </c>
      <c r="CF298" s="700" t="str">
        <f t="shared" si="1457"/>
        <v>FY2020E</v>
      </c>
    </row>
    <row r="299" spans="1:89" ht="14.25" hidden="1" customHeight="1" outlineLevel="1">
      <c r="B299" s="363" t="s">
        <v>274</v>
      </c>
      <c r="C299" s="418"/>
      <c r="D299" s="576">
        <v>240.33500000000001</v>
      </c>
      <c r="E299" s="577">
        <v>261.75200000000001</v>
      </c>
      <c r="F299" s="577">
        <v>264.76499999999999</v>
      </c>
      <c r="G299" s="578">
        <v>311.59300000000002</v>
      </c>
      <c r="H299" s="419">
        <v>290.63600000000002</v>
      </c>
      <c r="I299" s="420">
        <v>302.44099999999997</v>
      </c>
      <c r="J299" s="420">
        <v>326.26799999999997</v>
      </c>
      <c r="K299" s="527">
        <v>344.089</v>
      </c>
      <c r="L299" s="419">
        <v>356.262</v>
      </c>
      <c r="M299" s="420">
        <v>477.23700000000002</v>
      </c>
      <c r="N299" s="420">
        <v>544.73599999999999</v>
      </c>
      <c r="O299" s="527">
        <v>618.19500000000005</v>
      </c>
      <c r="P299" s="419">
        <v>608.05399999999997</v>
      </c>
      <c r="Q299" s="420">
        <v>606.154</v>
      </c>
      <c r="R299" s="420">
        <v>664.43299999999999</v>
      </c>
      <c r="S299" s="527">
        <v>733.67</v>
      </c>
      <c r="T299" s="419">
        <v>444.11900000000003</v>
      </c>
      <c r="U299" s="420">
        <v>469.09800000000001</v>
      </c>
      <c r="V299" s="420">
        <v>602.65700000000004</v>
      </c>
      <c r="W299" s="527">
        <v>638.18600000000004</v>
      </c>
      <c r="X299" s="419">
        <v>630.95000000000005</v>
      </c>
      <c r="Y299" s="420">
        <v>630.62</v>
      </c>
      <c r="Z299" s="420">
        <v>727.43299999999999</v>
      </c>
      <c r="AA299" s="527">
        <v>768.38199999999995</v>
      </c>
      <c r="AB299" s="419">
        <v>687.25900000000001</v>
      </c>
      <c r="AC299" s="420">
        <v>668.024</v>
      </c>
      <c r="AD299" s="420">
        <v>698.08900000000006</v>
      </c>
      <c r="AE299" s="527">
        <v>646.88800000000003</v>
      </c>
      <c r="AF299" s="419">
        <v>503.36399999999998</v>
      </c>
      <c r="AG299" s="830"/>
      <c r="AH299" s="421"/>
      <c r="AI299" s="422"/>
      <c r="AJ299" s="423"/>
      <c r="AK299" s="421"/>
      <c r="AL299" s="421"/>
      <c r="AM299" s="422"/>
      <c r="AN299" s="423"/>
      <c r="AO299" s="421"/>
      <c r="AP299" s="421"/>
      <c r="AQ299" s="422"/>
      <c r="AR299" s="423"/>
      <c r="AS299" s="421"/>
      <c r="AT299" s="421"/>
      <c r="AU299" s="422"/>
      <c r="AV299" s="421"/>
      <c r="AW299" s="421"/>
      <c r="AX299" s="421"/>
      <c r="AY299" s="422"/>
      <c r="AZ299" s="423"/>
      <c r="BA299" s="421"/>
      <c r="BB299" s="421"/>
      <c r="BC299" s="422"/>
      <c r="BD299" s="423"/>
      <c r="BE299" s="421"/>
      <c r="BF299" s="421"/>
      <c r="BG299" s="422"/>
      <c r="BH299" s="423"/>
      <c r="BI299" s="421"/>
      <c r="BJ299" s="421"/>
      <c r="BK299" s="422"/>
      <c r="BL299" s="423"/>
      <c r="BM299" s="421"/>
      <c r="BN299" s="421"/>
      <c r="BO299" s="422"/>
      <c r="BP299" s="424"/>
      <c r="BQ299" s="157">
        <f>SUM(D299:G299)</f>
        <v>1078.4449999999999</v>
      </c>
      <c r="BR299" s="406">
        <f>SUM(H299:K299)</f>
        <v>1263.434</v>
      </c>
      <c r="BS299" s="406">
        <f>SUM(L299:O299)</f>
        <v>1996.4300000000003</v>
      </c>
      <c r="BT299" s="406">
        <f>SUM(P299:S299)</f>
        <v>2612.3110000000001</v>
      </c>
      <c r="BU299" s="406">
        <f>SUM(T299:W299)</f>
        <v>2154.0600000000004</v>
      </c>
      <c r="BV299" s="406">
        <f>SUM(X299:AA299)</f>
        <v>2757.3850000000002</v>
      </c>
      <c r="BW299" s="406">
        <f>SUM(AB299:AE299)</f>
        <v>2700.2599999999998</v>
      </c>
      <c r="BX299" s="406"/>
      <c r="BY299" s="406"/>
      <c r="BZ299" s="406"/>
      <c r="CA299" s="406"/>
      <c r="CB299" s="406"/>
      <c r="CC299" s="406"/>
      <c r="CD299" s="406"/>
      <c r="CE299" s="406"/>
      <c r="CF299" s="1453"/>
    </row>
    <row r="300" spans="1:89" ht="14.25" hidden="1" customHeight="1" outlineLevel="1">
      <c r="B300" s="364" t="s">
        <v>275</v>
      </c>
      <c r="C300" s="367"/>
      <c r="D300" s="426">
        <v>2983.6349999999998</v>
      </c>
      <c r="E300" s="427">
        <v>3150.0529999999999</v>
      </c>
      <c r="F300" s="427">
        <v>3418.4369999999999</v>
      </c>
      <c r="G300" s="528">
        <v>3723.712</v>
      </c>
      <c r="H300" s="426">
        <v>3697.7889999999998</v>
      </c>
      <c r="I300" s="427">
        <v>3994.0709999999999</v>
      </c>
      <c r="J300" s="427">
        <v>4049.5190000000002</v>
      </c>
      <c r="K300" s="528">
        <v>4114.6629999999996</v>
      </c>
      <c r="L300" s="426">
        <v>4010.4759999999997</v>
      </c>
      <c r="M300" s="427">
        <v>4584.7179999999998</v>
      </c>
      <c r="N300" s="427">
        <v>4575.8969999999999</v>
      </c>
      <c r="O300" s="528">
        <v>5119.1909999999998</v>
      </c>
      <c r="P300" s="426">
        <v>4862.1360000000004</v>
      </c>
      <c r="Q300" s="427">
        <v>4760.4409999999998</v>
      </c>
      <c r="R300" s="427">
        <v>5134.4340000000002</v>
      </c>
      <c r="S300" s="528">
        <v>5315.8530000000001</v>
      </c>
      <c r="T300" s="426">
        <v>3287.6440000000002</v>
      </c>
      <c r="U300" s="427">
        <v>3312.6329999999998</v>
      </c>
      <c r="V300" s="427">
        <v>4133.7489999999998</v>
      </c>
      <c r="W300" s="528">
        <v>4787.6149999999998</v>
      </c>
      <c r="X300" s="426">
        <v>4968.6549999999997</v>
      </c>
      <c r="Y300" s="427">
        <v>5197.7849999999999</v>
      </c>
      <c r="Z300" s="427">
        <v>5737.6390000000001</v>
      </c>
      <c r="AA300" s="528">
        <v>5659.0990000000002</v>
      </c>
      <c r="AB300" s="426">
        <v>5396.2789999999995</v>
      </c>
      <c r="AC300" s="427">
        <v>5693.5419999999995</v>
      </c>
      <c r="AD300" s="427">
        <v>5861.634</v>
      </c>
      <c r="AE300" s="528">
        <v>5392.29</v>
      </c>
      <c r="AF300" s="426">
        <v>4652.76</v>
      </c>
      <c r="AG300" s="831"/>
      <c r="AH300" s="428"/>
      <c r="AI300" s="429"/>
      <c r="AJ300" s="430"/>
      <c r="AK300" s="428"/>
      <c r="AL300" s="428"/>
      <c r="AM300" s="429"/>
      <c r="AN300" s="430"/>
      <c r="AO300" s="428"/>
      <c r="AP300" s="428"/>
      <c r="AQ300" s="429"/>
      <c r="AR300" s="430"/>
      <c r="AS300" s="428"/>
      <c r="AT300" s="428"/>
      <c r="AU300" s="429"/>
      <c r="AV300" s="428"/>
      <c r="AW300" s="428"/>
      <c r="AX300" s="428"/>
      <c r="AY300" s="429"/>
      <c r="AZ300" s="430"/>
      <c r="BA300" s="428"/>
      <c r="BB300" s="428"/>
      <c r="BC300" s="429"/>
      <c r="BD300" s="430"/>
      <c r="BE300" s="428"/>
      <c r="BF300" s="428"/>
      <c r="BG300" s="429"/>
      <c r="BH300" s="430"/>
      <c r="BI300" s="428"/>
      <c r="BJ300" s="428"/>
      <c r="BK300" s="429"/>
      <c r="BL300" s="430"/>
      <c r="BM300" s="428"/>
      <c r="BN300" s="428"/>
      <c r="BO300" s="429"/>
      <c r="BP300" s="424"/>
      <c r="BQ300" s="157">
        <f>SUM(D300:G300)</f>
        <v>13275.837</v>
      </c>
      <c r="BR300" s="406">
        <f>SUM(H300:K300)</f>
        <v>15856.042000000001</v>
      </c>
      <c r="BS300" s="406">
        <f>SUM(L300:O300)</f>
        <v>18290.281999999999</v>
      </c>
      <c r="BT300" s="406">
        <f>SUM(P300:S300)</f>
        <v>20072.864000000001</v>
      </c>
      <c r="BU300" s="406">
        <f>SUM(T300:W300)</f>
        <v>15521.641</v>
      </c>
      <c r="BV300" s="406">
        <f>SUM(X300:AA300)</f>
        <v>21563.178</v>
      </c>
      <c r="BW300" s="406">
        <f>SUM(AB300:AE300)</f>
        <v>22343.745000000003</v>
      </c>
      <c r="BX300" s="406"/>
      <c r="BY300" s="406"/>
      <c r="BZ300" s="406"/>
      <c r="CA300" s="406"/>
      <c r="CB300" s="406"/>
      <c r="CC300" s="406"/>
      <c r="CD300" s="406"/>
      <c r="CE300" s="406"/>
      <c r="CF300" s="1453"/>
    </row>
    <row r="301" spans="1:89" ht="14.25" hidden="1" customHeight="1" outlineLevel="1">
      <c r="B301" s="364" t="s">
        <v>276</v>
      </c>
      <c r="C301" s="367"/>
      <c r="D301" s="426">
        <v>851.43600000000004</v>
      </c>
      <c r="E301" s="427">
        <v>909.16499999999996</v>
      </c>
      <c r="F301" s="427">
        <v>917.23599999999999</v>
      </c>
      <c r="G301" s="528">
        <v>949.03499999999997</v>
      </c>
      <c r="H301" s="426">
        <v>965.572</v>
      </c>
      <c r="I301" s="427">
        <v>1073.7670000000001</v>
      </c>
      <c r="J301" s="427">
        <v>1129.287</v>
      </c>
      <c r="K301" s="528">
        <v>1139.182</v>
      </c>
      <c r="L301" s="426">
        <v>1065.3050000000001</v>
      </c>
      <c r="M301" s="427">
        <v>1136.998</v>
      </c>
      <c r="N301" s="427">
        <v>1011.797</v>
      </c>
      <c r="O301" s="528">
        <v>1048.568</v>
      </c>
      <c r="P301" s="426">
        <v>1010.425</v>
      </c>
      <c r="Q301" s="427">
        <v>1050.683</v>
      </c>
      <c r="R301" s="427">
        <v>1226.5029999999999</v>
      </c>
      <c r="S301" s="528">
        <v>1244.431</v>
      </c>
      <c r="T301" s="426">
        <v>962.59</v>
      </c>
      <c r="U301" s="427">
        <v>952.29600000000005</v>
      </c>
      <c r="V301" s="427">
        <v>1123.6990000000001</v>
      </c>
      <c r="W301" s="528">
        <v>1375.807</v>
      </c>
      <c r="X301" s="426">
        <v>1421.6559999999999</v>
      </c>
      <c r="Y301" s="427">
        <v>1493.9880000000001</v>
      </c>
      <c r="Z301" s="427">
        <v>1647.73</v>
      </c>
      <c r="AA301" s="528">
        <v>1733.0260000000001</v>
      </c>
      <c r="AB301" s="426">
        <v>1773.62</v>
      </c>
      <c r="AC301" s="427">
        <v>2061.0390000000002</v>
      </c>
      <c r="AD301" s="427">
        <v>2169.9180000000001</v>
      </c>
      <c r="AE301" s="528">
        <v>2269.0149999999999</v>
      </c>
      <c r="AF301" s="426">
        <v>2361.08</v>
      </c>
      <c r="AG301" s="831"/>
      <c r="AH301" s="428"/>
      <c r="AI301" s="429"/>
      <c r="AJ301" s="430"/>
      <c r="AK301" s="428"/>
      <c r="AL301" s="428"/>
      <c r="AM301" s="429"/>
      <c r="AN301" s="430"/>
      <c r="AO301" s="428"/>
      <c r="AP301" s="428"/>
      <c r="AQ301" s="429"/>
      <c r="AR301" s="430"/>
      <c r="AS301" s="428"/>
      <c r="AT301" s="428"/>
      <c r="AU301" s="429"/>
      <c r="AV301" s="428"/>
      <c r="AW301" s="428"/>
      <c r="AX301" s="428"/>
      <c r="AY301" s="429"/>
      <c r="AZ301" s="430"/>
      <c r="BA301" s="428"/>
      <c r="BB301" s="428"/>
      <c r="BC301" s="429"/>
      <c r="BD301" s="430"/>
      <c r="BE301" s="428"/>
      <c r="BF301" s="428"/>
      <c r="BG301" s="429"/>
      <c r="BH301" s="430"/>
      <c r="BI301" s="428"/>
      <c r="BJ301" s="428"/>
      <c r="BK301" s="429"/>
      <c r="BL301" s="430"/>
      <c r="BM301" s="428"/>
      <c r="BN301" s="428"/>
      <c r="BO301" s="429"/>
      <c r="BP301" s="424"/>
      <c r="BQ301" s="157">
        <f>SUM(D301:G301)</f>
        <v>3626.8719999999998</v>
      </c>
      <c r="BR301" s="406">
        <f>SUM(H301:K301)</f>
        <v>4307.808</v>
      </c>
      <c r="BS301" s="406">
        <f>SUM(L301:O301)</f>
        <v>4262.6679999999997</v>
      </c>
      <c r="BT301" s="406">
        <f>SUM(P301:S301)</f>
        <v>4532.0419999999995</v>
      </c>
      <c r="BU301" s="406">
        <f>SUM(T301:W301)</f>
        <v>4414.3919999999998</v>
      </c>
      <c r="BV301" s="406">
        <f>SUM(X301:AA301)</f>
        <v>6296.4</v>
      </c>
      <c r="BW301" s="406">
        <f>SUM(AB301:AE301)</f>
        <v>8273.5920000000006</v>
      </c>
      <c r="BX301" s="406"/>
      <c r="BY301" s="406"/>
      <c r="BZ301" s="406"/>
      <c r="CA301" s="406"/>
      <c r="CB301" s="406"/>
      <c r="CC301" s="406"/>
      <c r="CD301" s="406"/>
      <c r="CE301" s="406"/>
      <c r="CF301" s="1453"/>
    </row>
    <row r="302" spans="1:89" ht="14.25" hidden="1" customHeight="1" outlineLevel="1">
      <c r="B302" s="364" t="s">
        <v>277</v>
      </c>
      <c r="C302" s="367"/>
      <c r="D302" s="426">
        <v>4321.9840000000004</v>
      </c>
      <c r="E302" s="427">
        <v>4812.018</v>
      </c>
      <c r="F302" s="427">
        <v>5423.1620000000003</v>
      </c>
      <c r="G302" s="528">
        <v>6020.2449999999999</v>
      </c>
      <c r="H302" s="426">
        <v>6143.8370000000004</v>
      </c>
      <c r="I302" s="427">
        <v>6264.777</v>
      </c>
      <c r="J302" s="427">
        <v>6494.8310000000001</v>
      </c>
      <c r="K302" s="528">
        <v>6690.3549999999996</v>
      </c>
      <c r="L302" s="426">
        <v>6441.7470000000003</v>
      </c>
      <c r="M302" s="427">
        <v>6357.5929999999998</v>
      </c>
      <c r="N302" s="427">
        <v>6656.9549999999999</v>
      </c>
      <c r="O302" s="528">
        <v>7506.9160000000002</v>
      </c>
      <c r="P302" s="426">
        <v>6915.866</v>
      </c>
      <c r="Q302" s="427">
        <v>6653.9059999999999</v>
      </c>
      <c r="R302" s="427">
        <v>7725.8959999999997</v>
      </c>
      <c r="S302" s="528">
        <v>8000.174</v>
      </c>
      <c r="T302" s="426">
        <v>5020.29</v>
      </c>
      <c r="U302" s="427">
        <v>5243.9059999999999</v>
      </c>
      <c r="V302" s="427">
        <v>6584.0479999999998</v>
      </c>
      <c r="W302" s="528">
        <v>7279.1679999999997</v>
      </c>
      <c r="X302" s="426">
        <v>7233.9279999999999</v>
      </c>
      <c r="Y302" s="427">
        <v>7687.3209999999999</v>
      </c>
      <c r="Z302" s="427">
        <v>8550.9670000000006</v>
      </c>
      <c r="AA302" s="528">
        <v>8723.1470000000008</v>
      </c>
      <c r="AB302" s="426">
        <v>8253.6450000000004</v>
      </c>
      <c r="AC302" s="427">
        <v>8219.2139999999999</v>
      </c>
      <c r="AD302" s="427">
        <v>8729.259</v>
      </c>
      <c r="AE302" s="528">
        <v>8592.3590000000004</v>
      </c>
      <c r="AF302" s="426">
        <v>7381.4889999999996</v>
      </c>
      <c r="AG302" s="831"/>
      <c r="AH302" s="428"/>
      <c r="AI302" s="429"/>
      <c r="AJ302" s="430"/>
      <c r="AK302" s="428"/>
      <c r="AL302" s="428"/>
      <c r="AM302" s="429"/>
      <c r="AN302" s="430"/>
      <c r="AO302" s="428"/>
      <c r="AP302" s="428"/>
      <c r="AQ302" s="429"/>
      <c r="AR302" s="430"/>
      <c r="AS302" s="428"/>
      <c r="AT302" s="428"/>
      <c r="AU302" s="429"/>
      <c r="AV302" s="428"/>
      <c r="AW302" s="428"/>
      <c r="AX302" s="428"/>
      <c r="AY302" s="429"/>
      <c r="AZ302" s="430"/>
      <c r="BA302" s="428"/>
      <c r="BB302" s="428"/>
      <c r="BC302" s="429"/>
      <c r="BD302" s="430"/>
      <c r="BE302" s="428"/>
      <c r="BF302" s="428"/>
      <c r="BG302" s="429"/>
      <c r="BH302" s="430"/>
      <c r="BI302" s="428"/>
      <c r="BJ302" s="428"/>
      <c r="BK302" s="429"/>
      <c r="BL302" s="430"/>
      <c r="BM302" s="428"/>
      <c r="BN302" s="428"/>
      <c r="BO302" s="429"/>
      <c r="BP302" s="424"/>
      <c r="BQ302" s="157">
        <f>SUM(D302:G302)</f>
        <v>20577.409</v>
      </c>
      <c r="BR302" s="406">
        <f>SUM(H302:K302)</f>
        <v>25593.8</v>
      </c>
      <c r="BS302" s="406">
        <f>SUM(L302:O302)</f>
        <v>26963.210999999999</v>
      </c>
      <c r="BT302" s="406">
        <f>SUM(P302:S302)</f>
        <v>29295.842000000001</v>
      </c>
      <c r="BU302" s="406">
        <f>SUM(T302:W302)</f>
        <v>24127.411999999997</v>
      </c>
      <c r="BV302" s="406">
        <f>SUM(X302:AA302)</f>
        <v>32195.363000000001</v>
      </c>
      <c r="BW302" s="406">
        <f>SUM(AB302:AE302)</f>
        <v>33794.476999999999</v>
      </c>
      <c r="BX302" s="406"/>
      <c r="BY302" s="406"/>
      <c r="BZ302" s="406"/>
      <c r="CA302" s="406"/>
      <c r="CB302" s="406"/>
      <c r="CC302" s="406"/>
      <c r="CD302" s="406"/>
      <c r="CE302" s="406"/>
      <c r="CF302" s="1453"/>
    </row>
    <row r="303" spans="1:89" ht="14.25" hidden="1" customHeight="1" outlineLevel="1">
      <c r="B303" s="563" t="s">
        <v>278</v>
      </c>
      <c r="C303" s="368"/>
      <c r="D303" s="567">
        <v>301.79300000000001</v>
      </c>
      <c r="E303" s="568">
        <v>302.58100000000002</v>
      </c>
      <c r="F303" s="568">
        <v>305.70800000000003</v>
      </c>
      <c r="G303" s="569">
        <v>362.815</v>
      </c>
      <c r="H303" s="567">
        <v>350.62099999999998</v>
      </c>
      <c r="I303" s="568">
        <v>364.71899999999999</v>
      </c>
      <c r="J303" s="568">
        <v>363.58600000000001</v>
      </c>
      <c r="K303" s="569">
        <v>422.57600000000002</v>
      </c>
      <c r="L303" s="567">
        <v>390.14800000000002</v>
      </c>
      <c r="M303" s="568">
        <v>373.45299999999997</v>
      </c>
      <c r="N303" s="568">
        <v>391.91199999999998</v>
      </c>
      <c r="O303" s="569">
        <v>474.15300000000002</v>
      </c>
      <c r="P303" s="567">
        <v>387.798</v>
      </c>
      <c r="Q303" s="568">
        <v>321.65499999999997</v>
      </c>
      <c r="R303" s="568">
        <v>360.02199999999999</v>
      </c>
      <c r="S303" s="569">
        <v>423.517</v>
      </c>
      <c r="T303" s="567">
        <v>220.06200000000001</v>
      </c>
      <c r="U303" s="568">
        <v>260.36099999999999</v>
      </c>
      <c r="V303" s="568">
        <v>302.19799999999998</v>
      </c>
      <c r="W303" s="569">
        <v>367.685</v>
      </c>
      <c r="X303" s="567">
        <v>348.69900000000001</v>
      </c>
      <c r="Y303" s="568">
        <v>340.45299999999997</v>
      </c>
      <c r="Z303" s="568">
        <v>350.40499999999997</v>
      </c>
      <c r="AA303" s="569">
        <v>372.30399999999997</v>
      </c>
      <c r="AB303" s="567">
        <v>336.99200000000002</v>
      </c>
      <c r="AC303" s="568">
        <v>230.214</v>
      </c>
      <c r="AD303" s="568">
        <v>205.00700000000001</v>
      </c>
      <c r="AE303" s="569">
        <v>222.119</v>
      </c>
      <c r="AF303" s="567">
        <v>194.245</v>
      </c>
      <c r="AG303" s="832"/>
      <c r="AH303" s="570"/>
      <c r="AI303" s="571"/>
      <c r="AJ303" s="572"/>
      <c r="AK303" s="570"/>
      <c r="AL303" s="570"/>
      <c r="AM303" s="571"/>
      <c r="AN303" s="572"/>
      <c r="AO303" s="570"/>
      <c r="AP303" s="570"/>
      <c r="AQ303" s="571"/>
      <c r="AR303" s="572"/>
      <c r="AS303" s="570"/>
      <c r="AT303" s="570"/>
      <c r="AU303" s="571"/>
      <c r="AV303" s="570"/>
      <c r="AW303" s="570"/>
      <c r="AX303" s="570"/>
      <c r="AY303" s="571"/>
      <c r="AZ303" s="572"/>
      <c r="BA303" s="570"/>
      <c r="BB303" s="570"/>
      <c r="BC303" s="571"/>
      <c r="BD303" s="572"/>
      <c r="BE303" s="570"/>
      <c r="BF303" s="570"/>
      <c r="BG303" s="571"/>
      <c r="BH303" s="572"/>
      <c r="BI303" s="570"/>
      <c r="BJ303" s="570"/>
      <c r="BK303" s="571"/>
      <c r="BL303" s="572"/>
      <c r="BM303" s="570"/>
      <c r="BN303" s="570"/>
      <c r="BO303" s="571"/>
      <c r="BP303" s="424"/>
      <c r="BQ303" s="159">
        <f>SUM(D303:G303)</f>
        <v>1272.8970000000002</v>
      </c>
      <c r="BR303" s="431">
        <f>SUM(H303:K303)</f>
        <v>1501.502</v>
      </c>
      <c r="BS303" s="431">
        <f>SUM(L303:O303)</f>
        <v>1629.6659999999999</v>
      </c>
      <c r="BT303" s="431">
        <f>SUM(P303:S303)</f>
        <v>1492.992</v>
      </c>
      <c r="BU303" s="431">
        <f>SUM(T303:W303)</f>
        <v>1150.306</v>
      </c>
      <c r="BV303" s="431">
        <f>SUM(X303:AA303)</f>
        <v>1411.8609999999999</v>
      </c>
      <c r="BW303" s="431">
        <f>SUM(AB303:AE303)</f>
        <v>994.33199999999999</v>
      </c>
      <c r="BX303" s="431"/>
      <c r="BY303" s="431"/>
      <c r="BZ303" s="431"/>
      <c r="CA303" s="431"/>
      <c r="CB303" s="431"/>
      <c r="CC303" s="431"/>
      <c r="CD303" s="431"/>
      <c r="CE303" s="431"/>
      <c r="CF303" s="1458"/>
    </row>
    <row r="304" spans="1:89" ht="14.25" hidden="1" customHeight="1" outlineLevel="1">
      <c r="A304" s="106"/>
      <c r="B304" s="432" t="s">
        <v>207</v>
      </c>
      <c r="C304" s="433"/>
      <c r="D304" s="434">
        <f t="shared" ref="D304:AF304" si="1458">SUM(D299:D303)</f>
        <v>8699.1829999999991</v>
      </c>
      <c r="E304" s="435">
        <f t="shared" si="1458"/>
        <v>9435.5689999999995</v>
      </c>
      <c r="F304" s="435">
        <f t="shared" si="1458"/>
        <v>10329.308000000001</v>
      </c>
      <c r="G304" s="436">
        <f t="shared" si="1458"/>
        <v>11367.4</v>
      </c>
      <c r="H304" s="434">
        <f t="shared" si="1458"/>
        <v>11448.454999999998</v>
      </c>
      <c r="I304" s="435">
        <f t="shared" si="1458"/>
        <v>11999.775</v>
      </c>
      <c r="J304" s="435">
        <f t="shared" si="1458"/>
        <v>12363.491</v>
      </c>
      <c r="K304" s="436">
        <f t="shared" si="1458"/>
        <v>12710.864999999998</v>
      </c>
      <c r="L304" s="434">
        <f t="shared" si="1458"/>
        <v>12263.938</v>
      </c>
      <c r="M304" s="435">
        <f t="shared" si="1458"/>
        <v>12929.998999999998</v>
      </c>
      <c r="N304" s="435">
        <f t="shared" si="1458"/>
        <v>13181.297</v>
      </c>
      <c r="O304" s="436">
        <f t="shared" si="1458"/>
        <v>14767.022999999999</v>
      </c>
      <c r="P304" s="434">
        <f t="shared" si="1458"/>
        <v>13784.279</v>
      </c>
      <c r="Q304" s="435">
        <f t="shared" si="1458"/>
        <v>13392.839</v>
      </c>
      <c r="R304" s="435">
        <f t="shared" si="1458"/>
        <v>15111.288</v>
      </c>
      <c r="S304" s="436">
        <f t="shared" si="1458"/>
        <v>15717.645</v>
      </c>
      <c r="T304" s="434">
        <f t="shared" si="1458"/>
        <v>9934.7049999999999</v>
      </c>
      <c r="U304" s="435">
        <f t="shared" si="1458"/>
        <v>10238.294000000002</v>
      </c>
      <c r="V304" s="435">
        <f t="shared" si="1458"/>
        <v>12746.350999999999</v>
      </c>
      <c r="W304" s="436">
        <f t="shared" si="1458"/>
        <v>14448.460999999998</v>
      </c>
      <c r="X304" s="434">
        <f t="shared" si="1458"/>
        <v>14603.887999999999</v>
      </c>
      <c r="Y304" s="435">
        <f t="shared" si="1458"/>
        <v>15350.166999999999</v>
      </c>
      <c r="Z304" s="435">
        <f t="shared" si="1458"/>
        <v>17014.173999999999</v>
      </c>
      <c r="AA304" s="436">
        <f t="shared" si="1458"/>
        <v>17255.958000000002</v>
      </c>
      <c r="AB304" s="434">
        <f t="shared" si="1458"/>
        <v>16447.794999999998</v>
      </c>
      <c r="AC304" s="435">
        <f t="shared" si="1458"/>
        <v>16872.032999999999</v>
      </c>
      <c r="AD304" s="435">
        <f t="shared" si="1458"/>
        <v>17663.907000000003</v>
      </c>
      <c r="AE304" s="436">
        <f t="shared" si="1458"/>
        <v>17122.670999999998</v>
      </c>
      <c r="AF304" s="434">
        <f t="shared" si="1458"/>
        <v>15092.938</v>
      </c>
      <c r="AG304" s="833"/>
      <c r="AH304" s="437"/>
      <c r="AI304" s="438"/>
      <c r="AJ304" s="439"/>
      <c r="AK304" s="437"/>
      <c r="AL304" s="437"/>
      <c r="AM304" s="438"/>
      <c r="AN304" s="439"/>
      <c r="AO304" s="437"/>
      <c r="AP304" s="437"/>
      <c r="AQ304" s="438"/>
      <c r="AR304" s="439"/>
      <c r="AS304" s="437"/>
      <c r="AT304" s="437"/>
      <c r="AU304" s="438"/>
      <c r="AV304" s="437"/>
      <c r="AW304" s="437"/>
      <c r="AX304" s="437"/>
      <c r="AY304" s="438"/>
      <c r="AZ304" s="439"/>
      <c r="BA304" s="437"/>
      <c r="BB304" s="437"/>
      <c r="BC304" s="438"/>
      <c r="BD304" s="439"/>
      <c r="BE304" s="437"/>
      <c r="BF304" s="437"/>
      <c r="BG304" s="438"/>
      <c r="BH304" s="439"/>
      <c r="BI304" s="437"/>
      <c r="BJ304" s="437"/>
      <c r="BK304" s="438"/>
      <c r="BL304" s="439"/>
      <c r="BM304" s="437"/>
      <c r="BN304" s="437"/>
      <c r="BO304" s="438"/>
      <c r="BP304" s="440"/>
      <c r="BQ304" s="582">
        <f t="shared" ref="BQ304:BW304" si="1459">SUM(BQ299:BQ303)</f>
        <v>39831.459999999992</v>
      </c>
      <c r="BR304" s="583">
        <f t="shared" si="1459"/>
        <v>48522.586000000003</v>
      </c>
      <c r="BS304" s="583">
        <f t="shared" si="1459"/>
        <v>53142.256999999998</v>
      </c>
      <c r="BT304" s="583">
        <f t="shared" si="1459"/>
        <v>58006.051000000007</v>
      </c>
      <c r="BU304" s="583">
        <f t="shared" si="1459"/>
        <v>47367.810999999994</v>
      </c>
      <c r="BV304" s="583">
        <f t="shared" si="1459"/>
        <v>64224.186999999998</v>
      </c>
      <c r="BW304" s="583">
        <f t="shared" si="1459"/>
        <v>68106.405999999988</v>
      </c>
      <c r="BX304" s="583"/>
      <c r="BY304" s="583"/>
      <c r="BZ304" s="583"/>
      <c r="CA304" s="583"/>
      <c r="CB304" s="442"/>
      <c r="CC304" s="442"/>
      <c r="CD304" s="442"/>
      <c r="CE304" s="442"/>
      <c r="CF304" s="1454"/>
      <c r="CG304" s="106"/>
      <c r="CH304" s="106"/>
      <c r="CI304" s="106"/>
      <c r="CJ304" s="106"/>
      <c r="CK304" s="106"/>
    </row>
    <row r="305" spans="1:89" ht="14.25" hidden="1" customHeight="1" outlineLevel="1">
      <c r="CC305" s="1005"/>
      <c r="CD305" s="1005"/>
      <c r="CE305" s="1005"/>
      <c r="CG305" s="366"/>
    </row>
    <row r="306" spans="1:89" ht="14.25" hidden="1" customHeight="1" outlineLevel="1">
      <c r="A306" s="1"/>
      <c r="B306" s="150" t="s">
        <v>304</v>
      </c>
      <c r="C306" s="151"/>
      <c r="D306" s="699" t="str">
        <f t="shared" ref="D306:AI306" si="1460">D$9</f>
        <v>F1Q05A</v>
      </c>
      <c r="E306" s="698" t="str">
        <f t="shared" si="1460"/>
        <v>F2Q05A</v>
      </c>
      <c r="F306" s="698" t="str">
        <f t="shared" si="1460"/>
        <v>F3Q05A</v>
      </c>
      <c r="G306" s="698" t="str">
        <f t="shared" si="1460"/>
        <v>F4Q05A</v>
      </c>
      <c r="H306" s="699" t="str">
        <f t="shared" si="1460"/>
        <v>F1Q06A</v>
      </c>
      <c r="I306" s="698" t="str">
        <f t="shared" si="1460"/>
        <v>F2Q06A</v>
      </c>
      <c r="J306" s="698" t="str">
        <f t="shared" si="1460"/>
        <v>F3Q06A</v>
      </c>
      <c r="K306" s="698" t="str">
        <f t="shared" si="1460"/>
        <v>F4Q06A</v>
      </c>
      <c r="L306" s="699" t="str">
        <f t="shared" si="1460"/>
        <v>F1Q07A</v>
      </c>
      <c r="M306" s="698" t="str">
        <f t="shared" si="1460"/>
        <v>F2Q07A</v>
      </c>
      <c r="N306" s="698" t="str">
        <f t="shared" si="1460"/>
        <v>F3Q07A</v>
      </c>
      <c r="O306" s="698" t="str">
        <f t="shared" si="1460"/>
        <v>F4Q07A</v>
      </c>
      <c r="P306" s="699" t="str">
        <f t="shared" si="1460"/>
        <v>F1Q08A</v>
      </c>
      <c r="Q306" s="698" t="str">
        <f t="shared" si="1460"/>
        <v>F2Q08A</v>
      </c>
      <c r="R306" s="698" t="str">
        <f t="shared" si="1460"/>
        <v>F3Q08A</v>
      </c>
      <c r="S306" s="698" t="str">
        <f t="shared" si="1460"/>
        <v>F4Q08A</v>
      </c>
      <c r="T306" s="699" t="str">
        <f t="shared" si="1460"/>
        <v>F1Q09A</v>
      </c>
      <c r="U306" s="698" t="str">
        <f t="shared" si="1460"/>
        <v>F2Q09A</v>
      </c>
      <c r="V306" s="698" t="str">
        <f t="shared" si="1460"/>
        <v>F3Q09A</v>
      </c>
      <c r="W306" s="698" t="str">
        <f t="shared" si="1460"/>
        <v>F4Q09A</v>
      </c>
      <c r="X306" s="699" t="str">
        <f t="shared" si="1460"/>
        <v>F1Q10A</v>
      </c>
      <c r="Y306" s="698" t="str">
        <f t="shared" si="1460"/>
        <v>F2Q10A</v>
      </c>
      <c r="Z306" s="698" t="str">
        <f t="shared" si="1460"/>
        <v>F3Q10A</v>
      </c>
      <c r="AA306" s="698" t="str">
        <f t="shared" si="1460"/>
        <v>F4Q10A</v>
      </c>
      <c r="AB306" s="699" t="str">
        <f t="shared" si="1460"/>
        <v>F1Q11A</v>
      </c>
      <c r="AC306" s="698" t="str">
        <f t="shared" si="1460"/>
        <v>F2Q11A</v>
      </c>
      <c r="AD306" s="698" t="str">
        <f t="shared" si="1460"/>
        <v>F3Q11A</v>
      </c>
      <c r="AE306" s="698" t="str">
        <f t="shared" si="1460"/>
        <v>F4Q11A</v>
      </c>
      <c r="AF306" s="699" t="str">
        <f t="shared" si="1460"/>
        <v>F1Q12A</v>
      </c>
      <c r="AG306" s="698" t="str">
        <f t="shared" si="1460"/>
        <v>F2Q12A</v>
      </c>
      <c r="AH306" s="698" t="str">
        <f t="shared" si="1460"/>
        <v>F3Q12A</v>
      </c>
      <c r="AI306" s="698" t="str">
        <f t="shared" si="1460"/>
        <v>F4Q12A</v>
      </c>
      <c r="AJ306" s="699" t="str">
        <f t="shared" ref="AJ306:BO306" si="1461">AJ$9</f>
        <v>F1Q13A</v>
      </c>
      <c r="AK306" s="698" t="str">
        <f t="shared" si="1461"/>
        <v>F2Q13A</v>
      </c>
      <c r="AL306" s="698" t="str">
        <f t="shared" si="1461"/>
        <v>F3Q13A</v>
      </c>
      <c r="AM306" s="698" t="str">
        <f t="shared" si="1461"/>
        <v>F4Q13A</v>
      </c>
      <c r="AN306" s="699" t="str">
        <f t="shared" si="1461"/>
        <v>F1Q14A</v>
      </c>
      <c r="AO306" s="698" t="str">
        <f t="shared" si="1461"/>
        <v>F2Q14A</v>
      </c>
      <c r="AP306" s="698" t="str">
        <f t="shared" si="1461"/>
        <v>F3Q14A</v>
      </c>
      <c r="AQ306" s="700" t="str">
        <f t="shared" si="1461"/>
        <v>F4Q14A</v>
      </c>
      <c r="AR306" s="699" t="str">
        <f t="shared" si="1461"/>
        <v>F1Q15A</v>
      </c>
      <c r="AS306" s="698" t="str">
        <f t="shared" si="1461"/>
        <v>F2Q15A</v>
      </c>
      <c r="AT306" s="698" t="str">
        <f t="shared" si="1461"/>
        <v>F3Q15A</v>
      </c>
      <c r="AU306" s="700" t="str">
        <f t="shared" si="1461"/>
        <v>F4Q15A</v>
      </c>
      <c r="AV306" s="698" t="str">
        <f t="shared" si="1461"/>
        <v>F1Q16A</v>
      </c>
      <c r="AW306" s="698" t="str">
        <f t="shared" si="1461"/>
        <v>F2Q16A</v>
      </c>
      <c r="AX306" s="698" t="str">
        <f t="shared" si="1461"/>
        <v>F3Q16A</v>
      </c>
      <c r="AY306" s="700" t="str">
        <f t="shared" si="1461"/>
        <v>F4Q16A</v>
      </c>
      <c r="AZ306" s="699" t="str">
        <f t="shared" si="1461"/>
        <v>F1Q17A</v>
      </c>
      <c r="BA306" s="698" t="str">
        <f t="shared" si="1461"/>
        <v>F2Q17A</v>
      </c>
      <c r="BB306" s="698" t="str">
        <f t="shared" si="1461"/>
        <v>F3Q17A</v>
      </c>
      <c r="BC306" s="700" t="str">
        <f t="shared" si="1461"/>
        <v>F4Q17A</v>
      </c>
      <c r="BD306" s="699" t="str">
        <f t="shared" si="1461"/>
        <v>F1Q18A</v>
      </c>
      <c r="BE306" s="698" t="str">
        <f t="shared" si="1461"/>
        <v>F2Q18E</v>
      </c>
      <c r="BF306" s="698" t="str">
        <f t="shared" si="1461"/>
        <v>F3Q18E</v>
      </c>
      <c r="BG306" s="700" t="str">
        <f t="shared" si="1461"/>
        <v>F4Q18E</v>
      </c>
      <c r="BH306" s="699" t="str">
        <f t="shared" si="1461"/>
        <v>F1Q19E</v>
      </c>
      <c r="BI306" s="698" t="str">
        <f t="shared" si="1461"/>
        <v>F2Q19E</v>
      </c>
      <c r="BJ306" s="698" t="str">
        <f t="shared" si="1461"/>
        <v>F3Q19E</v>
      </c>
      <c r="BK306" s="700" t="str">
        <f t="shared" si="1461"/>
        <v>F4Q19E</v>
      </c>
      <c r="BL306" s="699" t="str">
        <f t="shared" si="1461"/>
        <v>F1Q20E</v>
      </c>
      <c r="BM306" s="698" t="str">
        <f t="shared" si="1461"/>
        <v>F2Q20E</v>
      </c>
      <c r="BN306" s="698" t="str">
        <f t="shared" si="1461"/>
        <v>F3Q20E</v>
      </c>
      <c r="BO306" s="700" t="str">
        <f t="shared" si="1461"/>
        <v>F4Q20E</v>
      </c>
      <c r="BP306" s="25"/>
      <c r="BQ306" s="699" t="str">
        <f t="shared" ref="BQ306:CF306" si="1462">BQ$9</f>
        <v>FY2005A</v>
      </c>
      <c r="BR306" s="698" t="str">
        <f t="shared" si="1462"/>
        <v>FY2006A</v>
      </c>
      <c r="BS306" s="698" t="str">
        <f t="shared" si="1462"/>
        <v>FY2007A</v>
      </c>
      <c r="BT306" s="698" t="str">
        <f t="shared" si="1462"/>
        <v>FY2008A</v>
      </c>
      <c r="BU306" s="698" t="str">
        <f t="shared" si="1462"/>
        <v>FY2009A</v>
      </c>
      <c r="BV306" s="698" t="str">
        <f t="shared" si="1462"/>
        <v>FY2010A</v>
      </c>
      <c r="BW306" s="698" t="str">
        <f t="shared" si="1462"/>
        <v>FY2011A</v>
      </c>
      <c r="BX306" s="698" t="str">
        <f t="shared" si="1462"/>
        <v>FY2012A</v>
      </c>
      <c r="BY306" s="698" t="str">
        <f t="shared" si="1462"/>
        <v>FY2013A</v>
      </c>
      <c r="BZ306" s="698" t="str">
        <f t="shared" si="1462"/>
        <v>FY2014A</v>
      </c>
      <c r="CA306" s="698" t="str">
        <f t="shared" si="1462"/>
        <v>FY2015A</v>
      </c>
      <c r="CB306" s="698" t="str">
        <f t="shared" si="1462"/>
        <v>FY2016A</v>
      </c>
      <c r="CC306" s="698" t="str">
        <f t="shared" si="1462"/>
        <v>FY2017A</v>
      </c>
      <c r="CD306" s="698" t="str">
        <f t="shared" si="1462"/>
        <v>FY2018E</v>
      </c>
      <c r="CE306" s="698" t="str">
        <f t="shared" si="1462"/>
        <v>FY2019E</v>
      </c>
      <c r="CF306" s="700" t="str">
        <f t="shared" si="1462"/>
        <v>FY2020E</v>
      </c>
    </row>
    <row r="307" spans="1:89" ht="14.25" hidden="1" customHeight="1" outlineLevel="1">
      <c r="B307" s="363" t="s">
        <v>274</v>
      </c>
      <c r="C307" s="418"/>
      <c r="D307" s="584">
        <f>D291/D299</f>
        <v>1.7466161815798782</v>
      </c>
      <c r="E307" s="585">
        <f t="shared" ref="E307:AF307" si="1463">E291/E299</f>
        <v>1.7242695375775543</v>
      </c>
      <c r="F307" s="585">
        <f t="shared" si="1463"/>
        <v>1.673612448775329</v>
      </c>
      <c r="G307" s="586">
        <f t="shared" si="1463"/>
        <v>1.472876476685933</v>
      </c>
      <c r="H307" s="587">
        <f t="shared" si="1463"/>
        <v>1.5554542451726558</v>
      </c>
      <c r="I307" s="588">
        <f t="shared" si="1463"/>
        <v>1.6419599194553649</v>
      </c>
      <c r="J307" s="588">
        <f t="shared" si="1463"/>
        <v>1.5960008336704798</v>
      </c>
      <c r="K307" s="589">
        <f t="shared" si="1463"/>
        <v>1.4874814364888154</v>
      </c>
      <c r="L307" s="587">
        <f t="shared" si="1463"/>
        <v>1.4071357596375702</v>
      </c>
      <c r="M307" s="588">
        <f t="shared" si="1463"/>
        <v>1.1591829636008943</v>
      </c>
      <c r="N307" s="588">
        <f t="shared" si="1463"/>
        <v>1.1252257974505082</v>
      </c>
      <c r="O307" s="589">
        <f t="shared" si="1463"/>
        <v>1.0071320538017938</v>
      </c>
      <c r="P307" s="587">
        <f t="shared" si="1463"/>
        <v>1.0333391442207436</v>
      </c>
      <c r="Q307" s="588">
        <f t="shared" si="1463"/>
        <v>1.1229044104303527</v>
      </c>
      <c r="R307" s="588">
        <f t="shared" si="1463"/>
        <v>1.0672287499266291</v>
      </c>
      <c r="S307" s="589">
        <f t="shared" si="1463"/>
        <v>1.0326999877329044</v>
      </c>
      <c r="T307" s="587">
        <f t="shared" si="1463"/>
        <v>1.1058364987762288</v>
      </c>
      <c r="U307" s="588">
        <f t="shared" si="1463"/>
        <v>1.0802945226796958</v>
      </c>
      <c r="V307" s="588">
        <f t="shared" si="1463"/>
        <v>0.96040036040401089</v>
      </c>
      <c r="W307" s="589">
        <f t="shared" si="1463"/>
        <v>0.99964743820766988</v>
      </c>
      <c r="X307" s="587">
        <f t="shared" si="1463"/>
        <v>1.0968349314525714</v>
      </c>
      <c r="Y307" s="588">
        <f t="shared" si="1463"/>
        <v>1.0925153024008118</v>
      </c>
      <c r="Z307" s="588">
        <f t="shared" si="1463"/>
        <v>1.0734596863216268</v>
      </c>
      <c r="AA307" s="589">
        <f t="shared" si="1463"/>
        <v>1.0825826216647449</v>
      </c>
      <c r="AB307" s="587">
        <f t="shared" si="1463"/>
        <v>1.0607500229171243</v>
      </c>
      <c r="AC307" s="588">
        <f t="shared" si="1463"/>
        <v>1.1057536854963295</v>
      </c>
      <c r="AD307" s="588">
        <f t="shared" si="1463"/>
        <v>1.0383432484969681</v>
      </c>
      <c r="AE307" s="589">
        <f t="shared" si="1463"/>
        <v>0.95991268967734755</v>
      </c>
      <c r="AF307" s="587">
        <f t="shared" si="1463"/>
        <v>1.0664270786150778</v>
      </c>
      <c r="AG307" s="585"/>
      <c r="AH307" s="590"/>
      <c r="AI307" s="591"/>
      <c r="AJ307" s="423"/>
      <c r="AK307" s="421"/>
      <c r="AL307" s="421"/>
      <c r="AM307" s="422"/>
      <c r="AN307" s="423"/>
      <c r="AO307" s="421"/>
      <c r="AP307" s="421"/>
      <c r="AQ307" s="422"/>
      <c r="AR307" s="423"/>
      <c r="AS307" s="421"/>
      <c r="AT307" s="421"/>
      <c r="AU307" s="422"/>
      <c r="AV307" s="421"/>
      <c r="AW307" s="421"/>
      <c r="AX307" s="421"/>
      <c r="AY307" s="422"/>
      <c r="AZ307" s="423"/>
      <c r="BA307" s="421"/>
      <c r="BB307" s="421"/>
      <c r="BC307" s="422"/>
      <c r="BD307" s="423"/>
      <c r="BE307" s="421"/>
      <c r="BF307" s="421"/>
      <c r="BG307" s="422"/>
      <c r="BH307" s="423"/>
      <c r="BI307" s="421"/>
      <c r="BJ307" s="421"/>
      <c r="BK307" s="422"/>
      <c r="BL307" s="423"/>
      <c r="BM307" s="421"/>
      <c r="BN307" s="421"/>
      <c r="BO307" s="422"/>
      <c r="BP307" s="424"/>
      <c r="BQ307" s="575">
        <f t="shared" ref="BQ307:BQ312" si="1464">BQ291/BQ299</f>
        <v>1.6441784235635568</v>
      </c>
      <c r="BR307" s="579">
        <f t="shared" ref="BR307:BW307" si="1465">BR291/BR299</f>
        <v>1.5681206932851262</v>
      </c>
      <c r="BS307" s="579">
        <f t="shared" si="1465"/>
        <v>1.1470820414439775</v>
      </c>
      <c r="BT307" s="579">
        <f t="shared" si="1465"/>
        <v>1.0625618465795228</v>
      </c>
      <c r="BU307" s="579">
        <f t="shared" si="1465"/>
        <v>1.0281236362961106</v>
      </c>
      <c r="BV307" s="579">
        <f t="shared" si="1465"/>
        <v>1.0857087421596912</v>
      </c>
      <c r="BW307" s="579">
        <f t="shared" si="1465"/>
        <v>1.0419337397139536</v>
      </c>
      <c r="BX307" s="579"/>
      <c r="BY307" s="579"/>
      <c r="BZ307" s="579"/>
      <c r="CA307" s="579"/>
      <c r="CB307" s="406"/>
      <c r="CC307" s="406"/>
      <c r="CD307" s="406"/>
      <c r="CE307" s="406"/>
      <c r="CF307" s="1453"/>
    </row>
    <row r="308" spans="1:89" ht="14.25" hidden="1" customHeight="1" outlineLevel="1">
      <c r="B308" s="364" t="s">
        <v>275</v>
      </c>
      <c r="C308" s="367"/>
      <c r="D308" s="592">
        <f>D292/D300</f>
        <v>0.30540230289562897</v>
      </c>
      <c r="E308" s="593">
        <f t="shared" ref="E308:S308" si="1466">E292/E300</f>
        <v>0.30604977122607141</v>
      </c>
      <c r="F308" s="593">
        <f t="shared" si="1466"/>
        <v>0.28992372830038993</v>
      </c>
      <c r="G308" s="594">
        <f t="shared" si="1466"/>
        <v>0.28490549215406563</v>
      </c>
      <c r="H308" s="595">
        <f t="shared" si="1466"/>
        <v>0.28648308489208013</v>
      </c>
      <c r="I308" s="596">
        <f t="shared" si="1466"/>
        <v>0.28836267557587236</v>
      </c>
      <c r="J308" s="596">
        <f t="shared" si="1466"/>
        <v>0.2958731641955501</v>
      </c>
      <c r="K308" s="597">
        <f t="shared" si="1466"/>
        <v>0.27920245230289825</v>
      </c>
      <c r="L308" s="595">
        <f t="shared" si="1466"/>
        <v>0.28464526405344409</v>
      </c>
      <c r="M308" s="596">
        <f t="shared" si="1466"/>
        <v>0.26601112652948339</v>
      </c>
      <c r="N308" s="596">
        <f t="shared" si="1466"/>
        <v>0.26692231053277643</v>
      </c>
      <c r="O308" s="597">
        <f t="shared" si="1466"/>
        <v>0.25126704590627702</v>
      </c>
      <c r="P308" s="596">
        <f t="shared" si="1466"/>
        <v>0.26103650741155737</v>
      </c>
      <c r="Q308" s="596">
        <f t="shared" si="1466"/>
        <v>0.26535419722668552</v>
      </c>
      <c r="R308" s="596">
        <f t="shared" si="1466"/>
        <v>0.2631715589293776</v>
      </c>
      <c r="S308" s="597">
        <f t="shared" si="1466"/>
        <v>0.25903594399619406</v>
      </c>
      <c r="T308" s="596">
        <f t="shared" ref="T308:AF308" si="1467">T292/T300</f>
        <v>0.27991838532395841</v>
      </c>
      <c r="U308" s="596">
        <f t="shared" si="1467"/>
        <v>0.25995484558657722</v>
      </c>
      <c r="V308" s="596">
        <f t="shared" si="1467"/>
        <v>0.23268659998466282</v>
      </c>
      <c r="W308" s="597">
        <f t="shared" si="1467"/>
        <v>0.23369109671517027</v>
      </c>
      <c r="X308" s="596">
        <f t="shared" si="1467"/>
        <v>0.24767205611981513</v>
      </c>
      <c r="Y308" s="596">
        <f t="shared" si="1467"/>
        <v>0.25089937348312791</v>
      </c>
      <c r="Z308" s="596">
        <f t="shared" si="1467"/>
        <v>0.24429072655146133</v>
      </c>
      <c r="AA308" s="597">
        <f t="shared" si="1467"/>
        <v>0.25608405154248048</v>
      </c>
      <c r="AB308" s="595">
        <f t="shared" si="1467"/>
        <v>0.2576864539435415</v>
      </c>
      <c r="AC308" s="596">
        <f t="shared" si="1467"/>
        <v>0.24963599109306653</v>
      </c>
      <c r="AD308" s="596">
        <f t="shared" si="1467"/>
        <v>0.23708355042297083</v>
      </c>
      <c r="AE308" s="597">
        <f t="shared" si="1467"/>
        <v>0.23035092697165771</v>
      </c>
      <c r="AF308" s="595">
        <f t="shared" si="1467"/>
        <v>0.23450145719959764</v>
      </c>
      <c r="AG308" s="593"/>
      <c r="AH308" s="598"/>
      <c r="AI308" s="599"/>
      <c r="AJ308" s="430"/>
      <c r="AK308" s="428"/>
      <c r="AL308" s="428"/>
      <c r="AM308" s="429"/>
      <c r="AN308" s="430"/>
      <c r="AO308" s="428"/>
      <c r="AP308" s="428"/>
      <c r="AQ308" s="429"/>
      <c r="AR308" s="430"/>
      <c r="AS308" s="428"/>
      <c r="AT308" s="428"/>
      <c r="AU308" s="429"/>
      <c r="AV308" s="428"/>
      <c r="AW308" s="428"/>
      <c r="AX308" s="428"/>
      <c r="AY308" s="429"/>
      <c r="AZ308" s="430"/>
      <c r="BA308" s="428"/>
      <c r="BB308" s="428"/>
      <c r="BC308" s="429"/>
      <c r="BD308" s="430"/>
      <c r="BE308" s="428"/>
      <c r="BF308" s="428"/>
      <c r="BG308" s="429"/>
      <c r="BH308" s="430"/>
      <c r="BI308" s="428"/>
      <c r="BJ308" s="428"/>
      <c r="BK308" s="429"/>
      <c r="BL308" s="430"/>
      <c r="BM308" s="428"/>
      <c r="BN308" s="428"/>
      <c r="BO308" s="429"/>
      <c r="BP308" s="424"/>
      <c r="BQ308" s="575">
        <f t="shared" si="1464"/>
        <v>0.29582119756366393</v>
      </c>
      <c r="BR308" s="579">
        <f t="shared" ref="BR308:BW308" si="1468">BR292/BR300</f>
        <v>0.28746537124460186</v>
      </c>
      <c r="BS308" s="579">
        <f t="shared" si="1468"/>
        <v>0.26619830137118722</v>
      </c>
      <c r="BT308" s="579">
        <f t="shared" si="1468"/>
        <v>0.26207680179569792</v>
      </c>
      <c r="BU308" s="579">
        <f t="shared" si="1468"/>
        <v>0.24882021172890156</v>
      </c>
      <c r="BV308" s="579">
        <f t="shared" si="1468"/>
        <v>0.24975794384297156</v>
      </c>
      <c r="BW308" s="579">
        <f t="shared" si="1468"/>
        <v>0.24363315102280297</v>
      </c>
      <c r="BX308" s="579"/>
      <c r="BY308" s="579"/>
      <c r="BZ308" s="579"/>
      <c r="CA308" s="579"/>
      <c r="CB308" s="406"/>
      <c r="CC308" s="406"/>
      <c r="CD308" s="406"/>
      <c r="CE308" s="406"/>
      <c r="CF308" s="1453"/>
    </row>
    <row r="309" spans="1:89" ht="14.25" hidden="1" customHeight="1" outlineLevel="1">
      <c r="B309" s="364" t="s">
        <v>276</v>
      </c>
      <c r="C309" s="367"/>
      <c r="D309" s="592">
        <f>D293/D301</f>
        <v>1.3327613584579463</v>
      </c>
      <c r="E309" s="593">
        <f t="shared" ref="E309:S309" si="1469">E293/E301</f>
        <v>1.1154707891306859</v>
      </c>
      <c r="F309" s="593">
        <f t="shared" si="1469"/>
        <v>1.2430955610115608</v>
      </c>
      <c r="G309" s="594">
        <f t="shared" si="1469"/>
        <v>1.34496725621289</v>
      </c>
      <c r="H309" s="595">
        <f t="shared" si="1469"/>
        <v>1.1895943544344698</v>
      </c>
      <c r="I309" s="596">
        <f t="shared" si="1469"/>
        <v>1.1788935588447027</v>
      </c>
      <c r="J309" s="596">
        <f t="shared" si="1469"/>
        <v>1.2025888901581263</v>
      </c>
      <c r="K309" s="597">
        <f t="shared" si="1469"/>
        <v>1.2689816025885241</v>
      </c>
      <c r="L309" s="595">
        <f t="shared" si="1469"/>
        <v>1.2098525774308766</v>
      </c>
      <c r="M309" s="596">
        <f t="shared" si="1469"/>
        <v>1.148261474514467</v>
      </c>
      <c r="N309" s="596">
        <f t="shared" si="1469"/>
        <v>1.2334272586299426</v>
      </c>
      <c r="O309" s="597">
        <f t="shared" si="1469"/>
        <v>1.2681781248331057</v>
      </c>
      <c r="P309" s="596">
        <f t="shared" si="1469"/>
        <v>1.2242303980998095</v>
      </c>
      <c r="Q309" s="596">
        <f t="shared" si="1469"/>
        <v>1.1327384187238205</v>
      </c>
      <c r="R309" s="596">
        <f t="shared" si="1469"/>
        <v>1.1454558203282015</v>
      </c>
      <c r="S309" s="597">
        <f t="shared" si="1469"/>
        <v>1.1606742358555837</v>
      </c>
      <c r="T309" s="596">
        <f t="shared" ref="T309:AF309" si="1470">T293/T301</f>
        <v>0.93476869695301212</v>
      </c>
      <c r="U309" s="596">
        <f t="shared" si="1470"/>
        <v>0.88471651671329077</v>
      </c>
      <c r="V309" s="596">
        <f t="shared" si="1470"/>
        <v>1.0385823961754883</v>
      </c>
      <c r="W309" s="597">
        <f t="shared" si="1470"/>
        <v>1.0705694912149741</v>
      </c>
      <c r="X309" s="596">
        <f t="shared" si="1470"/>
        <v>1.0915537936040787</v>
      </c>
      <c r="Y309" s="596">
        <f t="shared" si="1470"/>
        <v>1.055485050750073</v>
      </c>
      <c r="Z309" s="596">
        <f t="shared" si="1470"/>
        <v>1.0412124559242109</v>
      </c>
      <c r="AA309" s="597">
        <f t="shared" si="1470"/>
        <v>1.0664773638710556</v>
      </c>
      <c r="AB309" s="595">
        <f t="shared" si="1470"/>
        <v>1.0405955052378753</v>
      </c>
      <c r="AC309" s="596">
        <f t="shared" si="1470"/>
        <v>1.0055714617724361</v>
      </c>
      <c r="AD309" s="596">
        <f t="shared" si="1470"/>
        <v>0.92489071015586755</v>
      </c>
      <c r="AE309" s="597">
        <f t="shared" si="1470"/>
        <v>0.87767202949297385</v>
      </c>
      <c r="AF309" s="595">
        <f t="shared" si="1470"/>
        <v>0.80523150422687917</v>
      </c>
      <c r="AG309" s="593"/>
      <c r="AH309" s="598"/>
      <c r="AI309" s="599"/>
      <c r="AJ309" s="430"/>
      <c r="AK309" s="428"/>
      <c r="AL309" s="428"/>
      <c r="AM309" s="429"/>
      <c r="AN309" s="430"/>
      <c r="AO309" s="428"/>
      <c r="AP309" s="428"/>
      <c r="AQ309" s="429"/>
      <c r="AR309" s="430"/>
      <c r="AS309" s="428"/>
      <c r="AT309" s="428"/>
      <c r="AU309" s="429"/>
      <c r="AV309" s="428"/>
      <c r="AW309" s="428"/>
      <c r="AX309" s="428"/>
      <c r="AY309" s="429"/>
      <c r="AZ309" s="430"/>
      <c r="BA309" s="428"/>
      <c r="BB309" s="428"/>
      <c r="BC309" s="429"/>
      <c r="BD309" s="430"/>
      <c r="BE309" s="428"/>
      <c r="BF309" s="428"/>
      <c r="BG309" s="429"/>
      <c r="BH309" s="430"/>
      <c r="BI309" s="428"/>
      <c r="BJ309" s="428"/>
      <c r="BK309" s="429"/>
      <c r="BL309" s="430"/>
      <c r="BM309" s="428"/>
      <c r="BN309" s="428"/>
      <c r="BO309" s="429"/>
      <c r="BP309" s="424"/>
      <c r="BQ309" s="575">
        <f t="shared" si="1464"/>
        <v>1.2588095196080811</v>
      </c>
      <c r="BR309" s="579">
        <f t="shared" ref="BR309:BW309" si="1471">BR293/BR301</f>
        <v>1.2113271993552175</v>
      </c>
      <c r="BS309" s="579">
        <f t="shared" si="1471"/>
        <v>1.2133673089248331</v>
      </c>
      <c r="BT309" s="579">
        <f t="shared" si="1471"/>
        <v>1.1642491397917318</v>
      </c>
      <c r="BU309" s="579">
        <f t="shared" si="1471"/>
        <v>0.99272153447179134</v>
      </c>
      <c r="BV309" s="579">
        <f t="shared" si="1471"/>
        <v>1.0629194460326536</v>
      </c>
      <c r="BW309" s="579">
        <f t="shared" si="1471"/>
        <v>0.95684329128146506</v>
      </c>
      <c r="BX309" s="579"/>
      <c r="BY309" s="579"/>
      <c r="BZ309" s="579"/>
      <c r="CA309" s="579"/>
      <c r="CB309" s="406"/>
      <c r="CC309" s="406"/>
      <c r="CD309" s="406"/>
      <c r="CE309" s="406"/>
      <c r="CF309" s="1453"/>
    </row>
    <row r="310" spans="1:89" ht="14.25" hidden="1" customHeight="1" outlineLevel="1">
      <c r="B310" s="364" t="s">
        <v>277</v>
      </c>
      <c r="C310" s="367"/>
      <c r="D310" s="592">
        <f t="shared" ref="D310:S310" si="1472">D294/D302</f>
        <v>0.2969409419377767</v>
      </c>
      <c r="E310" s="593">
        <f t="shared" si="1472"/>
        <v>0.28798271328162112</v>
      </c>
      <c r="F310" s="593">
        <f t="shared" si="1472"/>
        <v>0.261777354244627</v>
      </c>
      <c r="G310" s="594">
        <f t="shared" si="1472"/>
        <v>0.26073423922116129</v>
      </c>
      <c r="H310" s="595">
        <f t="shared" si="1472"/>
        <v>0.26506627698618956</v>
      </c>
      <c r="I310" s="596">
        <f t="shared" si="1472"/>
        <v>0.26759132847027117</v>
      </c>
      <c r="J310" s="596">
        <f t="shared" si="1472"/>
        <v>0.26876372918710278</v>
      </c>
      <c r="K310" s="597">
        <f t="shared" si="1472"/>
        <v>0.26840100413206774</v>
      </c>
      <c r="L310" s="595">
        <f t="shared" si="1472"/>
        <v>0.25918760857885292</v>
      </c>
      <c r="M310" s="596">
        <f t="shared" si="1472"/>
        <v>0.26382689171829654</v>
      </c>
      <c r="N310" s="596">
        <f t="shared" si="1472"/>
        <v>0.25990787079077443</v>
      </c>
      <c r="O310" s="597">
        <f t="shared" si="1472"/>
        <v>0.25518561816863272</v>
      </c>
      <c r="P310" s="596">
        <f t="shared" si="1472"/>
        <v>0.27438024392028415</v>
      </c>
      <c r="Q310" s="596">
        <f t="shared" si="1472"/>
        <v>0.27705756588686409</v>
      </c>
      <c r="R310" s="596">
        <f t="shared" si="1472"/>
        <v>0.26864909908184109</v>
      </c>
      <c r="S310" s="597">
        <f t="shared" si="1472"/>
        <v>0.25963510293651115</v>
      </c>
      <c r="T310" s="596">
        <f t="shared" ref="T310:AF310" si="1473">T294/T302</f>
        <v>0.27829029797083432</v>
      </c>
      <c r="U310" s="596">
        <f t="shared" si="1473"/>
        <v>0.25964214461510182</v>
      </c>
      <c r="V310" s="596">
        <f t="shared" si="1473"/>
        <v>0.2504764546066493</v>
      </c>
      <c r="W310" s="597">
        <f t="shared" si="1473"/>
        <v>0.25736471530812316</v>
      </c>
      <c r="X310" s="596">
        <f t="shared" si="1473"/>
        <v>0.27703938994139837</v>
      </c>
      <c r="Y310" s="596">
        <f t="shared" si="1473"/>
        <v>0.28225333637036881</v>
      </c>
      <c r="Z310" s="596">
        <f t="shared" si="1473"/>
        <v>0.28013779026395491</v>
      </c>
      <c r="AA310" s="597">
        <f t="shared" si="1473"/>
        <v>0.28510880305009184</v>
      </c>
      <c r="AB310" s="595">
        <f t="shared" si="1473"/>
        <v>0.28411992519668583</v>
      </c>
      <c r="AC310" s="596">
        <f t="shared" si="1473"/>
        <v>0.2785273628354244</v>
      </c>
      <c r="AD310" s="596">
        <f t="shared" si="1473"/>
        <v>0.27827562454041055</v>
      </c>
      <c r="AE310" s="597">
        <f t="shared" si="1473"/>
        <v>0.27029492133650374</v>
      </c>
      <c r="AF310" s="595">
        <f t="shared" si="1473"/>
        <v>0.27310208008167458</v>
      </c>
      <c r="AG310" s="593"/>
      <c r="AH310" s="598"/>
      <c r="AI310" s="599"/>
      <c r="AJ310" s="430"/>
      <c r="AK310" s="428"/>
      <c r="AL310" s="428"/>
      <c r="AM310" s="429"/>
      <c r="AN310" s="430"/>
      <c r="AO310" s="428"/>
      <c r="AP310" s="428"/>
      <c r="AQ310" s="429"/>
      <c r="AR310" s="430"/>
      <c r="AS310" s="428"/>
      <c r="AT310" s="428"/>
      <c r="AU310" s="429"/>
      <c r="AV310" s="428"/>
      <c r="AW310" s="428"/>
      <c r="AX310" s="428"/>
      <c r="AY310" s="429"/>
      <c r="AZ310" s="430"/>
      <c r="BA310" s="428"/>
      <c r="BB310" s="428"/>
      <c r="BC310" s="429"/>
      <c r="BD310" s="430"/>
      <c r="BE310" s="428"/>
      <c r="BF310" s="428"/>
      <c r="BG310" s="429"/>
      <c r="BH310" s="430"/>
      <c r="BI310" s="428"/>
      <c r="BJ310" s="428"/>
      <c r="BK310" s="429"/>
      <c r="BL310" s="430"/>
      <c r="BM310" s="428"/>
      <c r="BN310" s="428"/>
      <c r="BO310" s="429"/>
      <c r="BP310" s="424"/>
      <c r="BQ310" s="575">
        <f t="shared" si="1464"/>
        <v>0.27498588379129757</v>
      </c>
      <c r="BR310" s="579">
        <f t="shared" ref="BR310:BW310" si="1474">BR294/BR302</f>
        <v>0.26749435410138395</v>
      </c>
      <c r="BS310" s="579">
        <f t="shared" si="1474"/>
        <v>0.25934511286508127</v>
      </c>
      <c r="BT310" s="579">
        <f t="shared" si="1474"/>
        <v>0.26945028581189101</v>
      </c>
      <c r="BU310" s="579">
        <f t="shared" si="1474"/>
        <v>0.26033405489158973</v>
      </c>
      <c r="BV310" s="579">
        <f t="shared" si="1474"/>
        <v>0.28129361361758837</v>
      </c>
      <c r="BW310" s="579">
        <f t="shared" si="1474"/>
        <v>0.27773508671254177</v>
      </c>
      <c r="BX310" s="579"/>
      <c r="BY310" s="579"/>
      <c r="BZ310" s="579"/>
      <c r="CA310" s="579"/>
      <c r="CB310" s="406"/>
      <c r="CC310" s="406"/>
      <c r="CD310" s="406"/>
      <c r="CE310" s="406"/>
      <c r="CF310" s="1453"/>
    </row>
    <row r="311" spans="1:89" ht="14.25" hidden="1" customHeight="1" outlineLevel="1">
      <c r="B311" s="563" t="s">
        <v>278</v>
      </c>
      <c r="C311" s="368"/>
      <c r="D311" s="600">
        <f t="shared" ref="D311:AF311" si="1475">D295/D303</f>
        <v>6.4660810555579484</v>
      </c>
      <c r="E311" s="601">
        <f t="shared" si="1475"/>
        <v>6.0333927113731525</v>
      </c>
      <c r="F311" s="601">
        <f t="shared" si="1475"/>
        <v>6.0199242414330003</v>
      </c>
      <c r="G311" s="602">
        <f t="shared" si="1475"/>
        <v>5.6080702286289155</v>
      </c>
      <c r="H311" s="603">
        <f t="shared" si="1475"/>
        <v>5.5643329977382985</v>
      </c>
      <c r="I311" s="604">
        <f t="shared" si="1475"/>
        <v>5.8175883351292361</v>
      </c>
      <c r="J311" s="604">
        <f t="shared" si="1475"/>
        <v>5.5608191734555232</v>
      </c>
      <c r="K311" s="605">
        <f t="shared" si="1475"/>
        <v>5.2009271704971409</v>
      </c>
      <c r="L311" s="603">
        <f t="shared" si="1475"/>
        <v>5.0213918820550143</v>
      </c>
      <c r="M311" s="604">
        <f t="shared" si="1475"/>
        <v>4.8561050520413547</v>
      </c>
      <c r="N311" s="604">
        <f t="shared" si="1475"/>
        <v>4.7078094061932276</v>
      </c>
      <c r="O311" s="605">
        <f t="shared" si="1475"/>
        <v>4.5326761614921756</v>
      </c>
      <c r="P311" s="603">
        <f t="shared" si="1475"/>
        <v>4.9915058870855447</v>
      </c>
      <c r="Q311" s="604">
        <f t="shared" si="1475"/>
        <v>5.0105361334348917</v>
      </c>
      <c r="R311" s="604">
        <f t="shared" si="1475"/>
        <v>4.834357344828927</v>
      </c>
      <c r="S311" s="605">
        <f t="shared" si="1475"/>
        <v>4.3464607087791043</v>
      </c>
      <c r="T311" s="603">
        <f t="shared" si="1475"/>
        <v>4.6436458816151811</v>
      </c>
      <c r="U311" s="604">
        <f t="shared" si="1475"/>
        <v>4.2747492904083177</v>
      </c>
      <c r="V311" s="604">
        <f t="shared" si="1475"/>
        <v>4.1692962891878835</v>
      </c>
      <c r="W311" s="605">
        <f t="shared" si="1475"/>
        <v>4.0985082339502563</v>
      </c>
      <c r="X311" s="603">
        <f t="shared" si="1475"/>
        <v>3.9911987129300628</v>
      </c>
      <c r="Y311" s="604">
        <f t="shared" si="1475"/>
        <v>4.0088294125767732</v>
      </c>
      <c r="Z311" s="604">
        <f t="shared" si="1475"/>
        <v>4.2373767497609913</v>
      </c>
      <c r="AA311" s="605">
        <f t="shared" si="1475"/>
        <v>4.3139477416304954</v>
      </c>
      <c r="AB311" s="603">
        <f t="shared" si="1475"/>
        <v>4.5328998907985945</v>
      </c>
      <c r="AC311" s="604">
        <f t="shared" si="1475"/>
        <v>5.649447904992746</v>
      </c>
      <c r="AD311" s="604">
        <f t="shared" si="1475"/>
        <v>6.0433399835127579</v>
      </c>
      <c r="AE311" s="605">
        <f t="shared" si="1475"/>
        <v>5.9277684484443025</v>
      </c>
      <c r="AF311" s="603">
        <f t="shared" si="1475"/>
        <v>6.3347988365208883</v>
      </c>
      <c r="AG311" s="601"/>
      <c r="AH311" s="606"/>
      <c r="AI311" s="607"/>
      <c r="AJ311" s="572"/>
      <c r="AK311" s="570"/>
      <c r="AL311" s="570"/>
      <c r="AM311" s="571"/>
      <c r="AN311" s="572"/>
      <c r="AO311" s="570"/>
      <c r="AP311" s="570"/>
      <c r="AQ311" s="571"/>
      <c r="AR311" s="572"/>
      <c r="AS311" s="570"/>
      <c r="AT311" s="570"/>
      <c r="AU311" s="571"/>
      <c r="AV311" s="570"/>
      <c r="AW311" s="570"/>
      <c r="AX311" s="570"/>
      <c r="AY311" s="571"/>
      <c r="AZ311" s="572"/>
      <c r="BA311" s="570"/>
      <c r="BB311" s="570"/>
      <c r="BC311" s="571"/>
      <c r="BD311" s="572"/>
      <c r="BE311" s="570"/>
      <c r="BF311" s="570"/>
      <c r="BG311" s="571"/>
      <c r="BH311" s="572"/>
      <c r="BI311" s="570"/>
      <c r="BJ311" s="570"/>
      <c r="BK311" s="571"/>
      <c r="BL311" s="572"/>
      <c r="BM311" s="570"/>
      <c r="BN311" s="570"/>
      <c r="BO311" s="571"/>
      <c r="BP311" s="424"/>
      <c r="BQ311" s="580">
        <f t="shared" si="1464"/>
        <v>6.011514678721058</v>
      </c>
      <c r="BR311" s="581">
        <f t="shared" ref="BR311:BW311" si="1476">BR295/BR303</f>
        <v>5.5227232464558815</v>
      </c>
      <c r="BS311" s="581">
        <f t="shared" si="1476"/>
        <v>4.7659103153652342</v>
      </c>
      <c r="BT311" s="581">
        <f t="shared" si="1476"/>
        <v>4.7747308759859397</v>
      </c>
      <c r="BU311" s="581">
        <f t="shared" si="1476"/>
        <v>4.2612843886757084</v>
      </c>
      <c r="BV311" s="581">
        <f t="shared" si="1476"/>
        <v>4.1416562961934638</v>
      </c>
      <c r="BW311" s="581">
        <f t="shared" si="1476"/>
        <v>5.4144189264752614</v>
      </c>
      <c r="BX311" s="581"/>
      <c r="BY311" s="581"/>
      <c r="BZ311" s="581"/>
      <c r="CA311" s="581"/>
      <c r="CB311" s="431"/>
      <c r="CC311" s="431"/>
      <c r="CD311" s="431"/>
      <c r="CE311" s="431"/>
      <c r="CF311" s="1458"/>
    </row>
    <row r="312" spans="1:89" ht="14.25" hidden="1" customHeight="1" outlineLevel="1">
      <c r="A312" s="106"/>
      <c r="B312" s="432" t="s">
        <v>305</v>
      </c>
      <c r="C312" s="433"/>
      <c r="D312" s="608">
        <f>D296/D304</f>
        <v>0.65529544556080732</v>
      </c>
      <c r="E312" s="609">
        <f t="shared" ref="E312:AF312" si="1477">E296/E304</f>
        <v>0.59783559422860455</v>
      </c>
      <c r="F312" s="609">
        <f t="shared" si="1477"/>
        <v>0.56484054885380508</v>
      </c>
      <c r="G312" s="610">
        <f t="shared" si="1477"/>
        <v>0.56306991924274685</v>
      </c>
      <c r="H312" s="608">
        <f t="shared" si="1477"/>
        <v>0.54501327908438302</v>
      </c>
      <c r="I312" s="609">
        <f t="shared" si="1477"/>
        <v>0.55937540495550964</v>
      </c>
      <c r="J312" s="609">
        <f t="shared" si="1477"/>
        <v>0.55359339849885436</v>
      </c>
      <c r="K312" s="610">
        <f t="shared" si="1477"/>
        <v>0.55855647904371586</v>
      </c>
      <c r="L312" s="608">
        <f t="shared" si="1477"/>
        <v>0.53493755431575085</v>
      </c>
      <c r="M312" s="609">
        <f t="shared" si="1477"/>
        <v>0.50805827595191622</v>
      </c>
      <c r="N312" s="609">
        <f t="shared" si="1477"/>
        <v>0.50507776283320216</v>
      </c>
      <c r="O312" s="610">
        <f t="shared" si="1477"/>
        <v>0.49458160930608697</v>
      </c>
      <c r="P312" s="608">
        <f t="shared" si="1477"/>
        <v>0.50548795479255748</v>
      </c>
      <c r="Q312" s="609">
        <f t="shared" si="1477"/>
        <v>0.491993071819948</v>
      </c>
      <c r="R312" s="609">
        <f t="shared" si="1477"/>
        <v>0.48184337430403018</v>
      </c>
      <c r="S312" s="610">
        <f t="shared" si="1477"/>
        <v>0.4769774988555856</v>
      </c>
      <c r="T312" s="608">
        <f t="shared" si="1477"/>
        <v>0.47612707171476154</v>
      </c>
      <c r="U312" s="609">
        <f t="shared" si="1477"/>
        <v>0.45758873499823299</v>
      </c>
      <c r="V312" s="609">
        <f t="shared" si="1477"/>
        <v>0.44066070360058335</v>
      </c>
      <c r="W312" s="610">
        <f t="shared" si="1477"/>
        <v>0.45749107811551698</v>
      </c>
      <c r="X312" s="608">
        <f t="shared" si="1477"/>
        <v>0.47044109075610546</v>
      </c>
      <c r="Y312" s="609">
        <f t="shared" si="1477"/>
        <v>0.46283242390783114</v>
      </c>
      <c r="Z312" s="609">
        <f t="shared" si="1477"/>
        <v>0.45717212013936148</v>
      </c>
      <c r="AA312" s="610">
        <f t="shared" si="1477"/>
        <v>0.47649750886041792</v>
      </c>
      <c r="AB312" s="608">
        <f t="shared" si="1477"/>
        <v>0.47652314489571401</v>
      </c>
      <c r="AC312" s="609">
        <f t="shared" si="1477"/>
        <v>0.46362895330989456</v>
      </c>
      <c r="AD312" s="609">
        <f t="shared" si="1477"/>
        <v>0.4409872062845438</v>
      </c>
      <c r="AE312" s="610">
        <f t="shared" si="1477"/>
        <v>0.43764591400488867</v>
      </c>
      <c r="AF312" s="608">
        <f t="shared" si="1477"/>
        <v>0.44891849419907509</v>
      </c>
      <c r="AG312" s="834"/>
      <c r="AH312" s="437"/>
      <c r="AI312" s="438"/>
      <c r="AJ312" s="439"/>
      <c r="AK312" s="437"/>
      <c r="AL312" s="437"/>
      <c r="AM312" s="438"/>
      <c r="AN312" s="439"/>
      <c r="AO312" s="437"/>
      <c r="AP312" s="437"/>
      <c r="AQ312" s="438"/>
      <c r="AR312" s="439"/>
      <c r="AS312" s="437"/>
      <c r="AT312" s="437"/>
      <c r="AU312" s="438"/>
      <c r="AV312" s="437"/>
      <c r="AW312" s="437"/>
      <c r="AX312" s="437"/>
      <c r="AY312" s="438"/>
      <c r="AZ312" s="439"/>
      <c r="BA312" s="437"/>
      <c r="BB312" s="437"/>
      <c r="BC312" s="438"/>
      <c r="BD312" s="439"/>
      <c r="BE312" s="437"/>
      <c r="BF312" s="437"/>
      <c r="BG312" s="438"/>
      <c r="BH312" s="439"/>
      <c r="BI312" s="437"/>
      <c r="BJ312" s="437"/>
      <c r="BK312" s="438"/>
      <c r="BL312" s="439"/>
      <c r="BM312" s="437"/>
      <c r="BN312" s="437"/>
      <c r="BO312" s="438"/>
      <c r="BP312" s="440"/>
      <c r="BQ312" s="611">
        <f t="shared" si="1464"/>
        <v>0.59190667376992978</v>
      </c>
      <c r="BR312" s="612">
        <f t="shared" ref="BR312:BW312" si="1478">BR296/BR304</f>
        <v>0.55429902272727172</v>
      </c>
      <c r="BS312" s="612">
        <f t="shared" si="1478"/>
        <v>0.50977721928521036</v>
      </c>
      <c r="BT312" s="612">
        <f t="shared" si="1478"/>
        <v>0.48848710628482528</v>
      </c>
      <c r="BU312" s="612">
        <f t="shared" si="1478"/>
        <v>0.45689187537080822</v>
      </c>
      <c r="BV312" s="612">
        <f t="shared" si="1478"/>
        <v>0.46673461199283067</v>
      </c>
      <c r="BW312" s="612">
        <f t="shared" si="1478"/>
        <v>0.45433820131398517</v>
      </c>
      <c r="BX312" s="612"/>
      <c r="BY312" s="612"/>
      <c r="BZ312" s="612"/>
      <c r="CA312" s="612"/>
      <c r="CB312" s="442"/>
      <c r="CC312" s="442"/>
      <c r="CD312" s="442"/>
      <c r="CE312" s="442"/>
      <c r="CF312" s="1454"/>
      <c r="CG312" s="106"/>
      <c r="CH312" s="106"/>
      <c r="CI312" s="106"/>
      <c r="CJ312" s="106"/>
      <c r="CK312" s="106"/>
    </row>
    <row r="313" spans="1:89" ht="14.25" customHeight="1" collapsed="1">
      <c r="CG313" s="366"/>
    </row>
    <row r="314" spans="1:89" ht="14.25" customHeight="1">
      <c r="A314" s="1"/>
      <c r="B314" s="1349" t="s">
        <v>599</v>
      </c>
      <c r="C314" s="1350"/>
      <c r="D314" s="1351"/>
      <c r="E314" s="1352"/>
      <c r="F314" s="1352"/>
      <c r="G314" s="1353">
        <v>38625</v>
      </c>
      <c r="H314" s="1351">
        <v>38717</v>
      </c>
      <c r="I314" s="1352">
        <v>38807</v>
      </c>
      <c r="J314" s="1352">
        <v>38898</v>
      </c>
      <c r="K314" s="1353">
        <v>38990</v>
      </c>
      <c r="L314" s="1351">
        <v>39082</v>
      </c>
      <c r="M314" s="1352">
        <v>39172</v>
      </c>
      <c r="N314" s="1352">
        <v>39263</v>
      </c>
      <c r="O314" s="1353">
        <v>39355</v>
      </c>
      <c r="P314" s="1351">
        <v>39447</v>
      </c>
      <c r="Q314" s="1352">
        <v>39538</v>
      </c>
      <c r="R314" s="1352">
        <v>39629</v>
      </c>
      <c r="S314" s="1353">
        <v>39721</v>
      </c>
      <c r="T314" s="1351">
        <v>39813</v>
      </c>
      <c r="U314" s="1352">
        <v>39903</v>
      </c>
      <c r="V314" s="1352">
        <v>39994</v>
      </c>
      <c r="W314" s="1353">
        <v>40086</v>
      </c>
      <c r="X314" s="1351">
        <v>40178</v>
      </c>
      <c r="Y314" s="1352">
        <v>40268</v>
      </c>
      <c r="Z314" s="1352">
        <v>40359</v>
      </c>
      <c r="AA314" s="1353">
        <v>40451</v>
      </c>
      <c r="AB314" s="1351">
        <v>40543</v>
      </c>
      <c r="AC314" s="1352">
        <v>40633</v>
      </c>
      <c r="AD314" s="1352">
        <v>40724</v>
      </c>
      <c r="AE314" s="1352">
        <v>40816</v>
      </c>
      <c r="AF314" s="1351">
        <v>40908</v>
      </c>
      <c r="AG314" s="1352">
        <v>40999</v>
      </c>
      <c r="AH314" s="1352">
        <v>41090</v>
      </c>
      <c r="AI314" s="1353">
        <v>41182</v>
      </c>
      <c r="AJ314" s="1352">
        <v>41274</v>
      </c>
      <c r="AK314" s="1352">
        <v>41364</v>
      </c>
      <c r="AL314" s="1352">
        <v>41455</v>
      </c>
      <c r="AM314" s="1354">
        <v>41547</v>
      </c>
      <c r="AN314" s="1352">
        <v>41639</v>
      </c>
      <c r="AO314" s="1352">
        <v>41729</v>
      </c>
      <c r="AP314" s="1352">
        <v>41820</v>
      </c>
      <c r="AQ314" s="1354">
        <v>41912</v>
      </c>
      <c r="AR314" s="1352">
        <v>42004</v>
      </c>
      <c r="AS314" s="1352">
        <v>42094</v>
      </c>
      <c r="AT314" s="1352">
        <v>42185</v>
      </c>
      <c r="AU314" s="1353">
        <v>42277</v>
      </c>
      <c r="AV314" s="1351">
        <v>42369</v>
      </c>
      <c r="AW314" s="1352">
        <v>42460</v>
      </c>
      <c r="AX314" s="1352">
        <v>42551</v>
      </c>
      <c r="AY314" s="1353">
        <v>42643</v>
      </c>
      <c r="AZ314" s="1352">
        <v>42735</v>
      </c>
      <c r="BA314" s="1352" t="s">
        <v>529</v>
      </c>
      <c r="BB314" s="1352"/>
      <c r="BC314" s="1353"/>
      <c r="BD314" s="1352"/>
      <c r="BE314" s="1352"/>
      <c r="BF314" s="1352"/>
      <c r="BG314" s="1353"/>
      <c r="BH314" s="1351"/>
      <c r="BI314" s="1352"/>
      <c r="BJ314" s="1352"/>
      <c r="BK314" s="1353"/>
      <c r="BL314" s="1351"/>
      <c r="BM314" s="1352"/>
      <c r="BN314" s="1352"/>
      <c r="BO314" s="1353"/>
      <c r="BP314" s="23"/>
      <c r="BQ314" s="701"/>
      <c r="BR314" s="698"/>
      <c r="BS314" s="698"/>
      <c r="BT314" s="698"/>
      <c r="BU314" s="698"/>
      <c r="BV314" s="698"/>
      <c r="BW314" s="698"/>
      <c r="BX314" s="698"/>
      <c r="BY314" s="698"/>
      <c r="BZ314" s="698"/>
      <c r="CA314" s="698"/>
      <c r="CB314" s="698"/>
      <c r="CC314" s="698"/>
      <c r="CD314" s="698"/>
      <c r="CE314" s="698"/>
      <c r="CF314" s="700"/>
      <c r="CG314" s="1031"/>
    </row>
    <row r="315" spans="1:89" ht="14.25" customHeight="1">
      <c r="B315" s="446" t="s">
        <v>293</v>
      </c>
      <c r="C315" s="418"/>
      <c r="D315" s="561"/>
      <c r="E315" s="555"/>
      <c r="F315" s="555"/>
      <c r="G315" s="449">
        <v>0.31</v>
      </c>
      <c r="H315" s="447">
        <v>0.32</v>
      </c>
      <c r="I315" s="448">
        <v>0.36</v>
      </c>
      <c r="J315" s="448">
        <v>0.33</v>
      </c>
      <c r="K315" s="449">
        <v>0.31</v>
      </c>
      <c r="L315" s="447">
        <v>0.33</v>
      </c>
      <c r="M315" s="448">
        <v>0.34</v>
      </c>
      <c r="N315" s="448">
        <v>0.32</v>
      </c>
      <c r="O315" s="449">
        <v>0.30499999999999999</v>
      </c>
      <c r="P315" s="447">
        <v>0.33</v>
      </c>
      <c r="Q315" s="448">
        <v>0.32</v>
      </c>
      <c r="R315" s="448">
        <v>0.36</v>
      </c>
      <c r="S315" s="449">
        <v>0.35</v>
      </c>
      <c r="T315" s="447">
        <v>0.41</v>
      </c>
      <c r="U315" s="448">
        <v>0.34</v>
      </c>
      <c r="V315" s="448">
        <v>0.32</v>
      </c>
      <c r="W315" s="449">
        <v>0.33</v>
      </c>
      <c r="X315" s="447">
        <v>0.36</v>
      </c>
      <c r="Y315" s="448">
        <v>0.35</v>
      </c>
      <c r="Z315" s="448">
        <v>0.37</v>
      </c>
      <c r="AA315" s="449">
        <v>0.38</v>
      </c>
      <c r="AB315" s="447">
        <v>0.41</v>
      </c>
      <c r="AC315" s="448">
        <v>0.43</v>
      </c>
      <c r="AD315" s="448">
        <v>0.43</v>
      </c>
      <c r="AE315" s="449">
        <v>0.41</v>
      </c>
      <c r="AF315" s="447">
        <v>0.39</v>
      </c>
      <c r="AG315" s="448">
        <v>0.4</v>
      </c>
      <c r="AH315" s="448">
        <v>0.41</v>
      </c>
      <c r="AI315" s="449">
        <v>0.4</v>
      </c>
      <c r="AJ315" s="447">
        <v>0.42</v>
      </c>
      <c r="AK315" s="448">
        <v>0.43</v>
      </c>
      <c r="AL315" s="448">
        <v>0.43</v>
      </c>
      <c r="AM315" s="449">
        <v>0.43</v>
      </c>
      <c r="AN315" s="447">
        <v>0.4255866705998434</v>
      </c>
      <c r="AO315" s="448">
        <v>0.4255866705998434</v>
      </c>
      <c r="AP315" s="448">
        <v>0.44</v>
      </c>
      <c r="AQ315" s="448">
        <v>0.42599999999999999</v>
      </c>
      <c r="AR315" s="447">
        <v>0.44600000000000001</v>
      </c>
      <c r="AS315" s="448">
        <v>0.44600000000000001</v>
      </c>
      <c r="AT315" s="448">
        <v>0.44</v>
      </c>
      <c r="AU315" s="449">
        <v>0.43</v>
      </c>
      <c r="AV315" s="447">
        <v>0.43</v>
      </c>
      <c r="AW315" s="448">
        <v>0.44</v>
      </c>
      <c r="AX315" s="448">
        <v>0.44</v>
      </c>
      <c r="AY315" s="449">
        <v>0.43</v>
      </c>
      <c r="AZ315" s="447">
        <v>0.46</v>
      </c>
      <c r="BA315" s="1355">
        <v>0.44254437718366457</v>
      </c>
      <c r="BB315" s="450"/>
      <c r="BC315" s="451"/>
      <c r="BD315" s="452"/>
      <c r="BE315" s="450"/>
      <c r="BF315" s="450"/>
      <c r="BG315" s="451"/>
      <c r="BH315" s="452"/>
      <c r="BI315" s="450"/>
      <c r="BJ315" s="450"/>
      <c r="BK315" s="451"/>
      <c r="BL315" s="452"/>
      <c r="BM315" s="450"/>
      <c r="BN315" s="450"/>
      <c r="BO315" s="451"/>
      <c r="BP315" s="424"/>
      <c r="BQ315" s="538"/>
      <c r="BR315" s="453"/>
      <c r="BS315" s="454"/>
      <c r="BT315" s="454"/>
      <c r="BU315" s="454"/>
      <c r="BV315" s="454"/>
      <c r="BW315" s="454"/>
      <c r="BX315" s="454"/>
      <c r="BY315" s="454"/>
      <c r="BZ315" s="454"/>
      <c r="CA315" s="454"/>
      <c r="CB315" s="453"/>
      <c r="CC315" s="453"/>
      <c r="CD315" s="453"/>
      <c r="CE315" s="453"/>
      <c r="CF315" s="1455"/>
      <c r="CG315" s="1031"/>
    </row>
    <row r="316" spans="1:89" ht="14.25" customHeight="1">
      <c r="B316" s="455" t="s">
        <v>296</v>
      </c>
      <c r="C316" s="367"/>
      <c r="D316" s="539"/>
      <c r="E316" s="557"/>
      <c r="F316" s="557"/>
      <c r="G316" s="458">
        <v>0.32</v>
      </c>
      <c r="H316" s="456">
        <v>0.33</v>
      </c>
      <c r="I316" s="457">
        <v>0.34</v>
      </c>
      <c r="J316" s="457">
        <v>0.36</v>
      </c>
      <c r="K316" s="458">
        <v>0.34</v>
      </c>
      <c r="L316" s="456">
        <v>0.33</v>
      </c>
      <c r="M316" s="457">
        <v>0.31</v>
      </c>
      <c r="N316" s="457">
        <v>0.33</v>
      </c>
      <c r="O316" s="458">
        <v>0.315</v>
      </c>
      <c r="P316" s="456">
        <v>0.32</v>
      </c>
      <c r="Q316" s="457">
        <v>0.35</v>
      </c>
      <c r="R316" s="457">
        <v>0.3</v>
      </c>
      <c r="S316" s="458">
        <v>0.28999999999999998</v>
      </c>
      <c r="T316" s="456">
        <v>0.25</v>
      </c>
      <c r="U316" s="457">
        <v>0.34</v>
      </c>
      <c r="V316" s="457">
        <v>0.28999999999999998</v>
      </c>
      <c r="W316" s="458">
        <v>0.24</v>
      </c>
      <c r="X316" s="456">
        <v>0.26</v>
      </c>
      <c r="Y316" s="457">
        <v>0.24</v>
      </c>
      <c r="Z316" s="457">
        <v>0.23</v>
      </c>
      <c r="AA316" s="458">
        <v>0.24</v>
      </c>
      <c r="AB316" s="456">
        <v>0.23</v>
      </c>
      <c r="AC316" s="457">
        <v>0.23</v>
      </c>
      <c r="AD316" s="457">
        <v>0.23</v>
      </c>
      <c r="AE316" s="458">
        <v>0.22</v>
      </c>
      <c r="AF316" s="456">
        <v>0.22</v>
      </c>
      <c r="AG316" s="457">
        <v>0.22</v>
      </c>
      <c r="AH316" s="457">
        <v>0.21</v>
      </c>
      <c r="AI316" s="458">
        <v>0.22</v>
      </c>
      <c r="AJ316" s="456">
        <v>0.21</v>
      </c>
      <c r="AK316" s="457">
        <v>0.2</v>
      </c>
      <c r="AL316" s="457">
        <v>0.2</v>
      </c>
      <c r="AM316" s="458">
        <v>0.2</v>
      </c>
      <c r="AN316" s="456">
        <v>0.20038857073106228</v>
      </c>
      <c r="AO316" s="457">
        <v>0.20038857073106228</v>
      </c>
      <c r="AP316" s="457">
        <v>0.19</v>
      </c>
      <c r="AQ316" s="457">
        <v>0.2</v>
      </c>
      <c r="AR316" s="456">
        <v>0.19</v>
      </c>
      <c r="AS316" s="457">
        <v>0.182</v>
      </c>
      <c r="AT316" s="457">
        <v>0.18</v>
      </c>
      <c r="AU316" s="458">
        <v>0.18</v>
      </c>
      <c r="AV316" s="456">
        <v>0.18</v>
      </c>
      <c r="AW316" s="457">
        <v>0.18</v>
      </c>
      <c r="AX316" s="457">
        <v>0.17</v>
      </c>
      <c r="AY316" s="458">
        <v>0.18</v>
      </c>
      <c r="AZ316" s="456">
        <v>0.18</v>
      </c>
      <c r="BA316" s="1356">
        <v>0.17748238417947423</v>
      </c>
      <c r="BB316" s="459"/>
      <c r="BC316" s="460"/>
      <c r="BD316" s="461"/>
      <c r="BE316" s="459"/>
      <c r="BF316" s="459"/>
      <c r="BG316" s="460"/>
      <c r="BH316" s="461"/>
      <c r="BI316" s="459"/>
      <c r="BJ316" s="459"/>
      <c r="BK316" s="460"/>
      <c r="BL316" s="461"/>
      <c r="BM316" s="459"/>
      <c r="BN316" s="459"/>
      <c r="BO316" s="460"/>
      <c r="BP316" s="424"/>
      <c r="BQ316" s="539"/>
      <c r="BR316" s="413"/>
      <c r="BS316" s="1324"/>
      <c r="BT316" s="1324"/>
      <c r="BU316" s="1425"/>
      <c r="BV316" s="1425"/>
      <c r="BW316" s="1425"/>
      <c r="BX316" s="1425"/>
      <c r="BY316" s="1425"/>
      <c r="BZ316" s="1425"/>
      <c r="CA316" s="1425"/>
      <c r="CB316" s="413"/>
      <c r="CC316" s="413"/>
      <c r="CD316" s="413"/>
      <c r="CE316" s="413"/>
      <c r="CF316" s="412"/>
      <c r="CG316" s="1031"/>
    </row>
    <row r="317" spans="1:89" ht="14.25" customHeight="1">
      <c r="B317" s="455" t="s">
        <v>294</v>
      </c>
      <c r="C317" s="367"/>
      <c r="D317" s="539"/>
      <c r="E317" s="557"/>
      <c r="F317" s="557"/>
      <c r="G317" s="458">
        <v>0.06</v>
      </c>
      <c r="H317" s="456">
        <v>7.0000000000000007E-2</v>
      </c>
      <c r="I317" s="457">
        <v>7.0000000000000007E-2</v>
      </c>
      <c r="J317" s="457">
        <v>7.0000000000000007E-2</v>
      </c>
      <c r="K317" s="458">
        <v>0.08</v>
      </c>
      <c r="L317" s="456">
        <v>0.08</v>
      </c>
      <c r="M317" s="457">
        <v>0.09</v>
      </c>
      <c r="N317" s="457">
        <v>0.09</v>
      </c>
      <c r="O317" s="458">
        <v>0.1</v>
      </c>
      <c r="P317" s="456">
        <v>0.1</v>
      </c>
      <c r="Q317" s="457">
        <v>0.1</v>
      </c>
      <c r="R317" s="457">
        <v>0.09</v>
      </c>
      <c r="S317" s="458">
        <v>0.08</v>
      </c>
      <c r="T317" s="456">
        <v>0.08</v>
      </c>
      <c r="U317" s="457">
        <v>7.0000000000000007E-2</v>
      </c>
      <c r="V317" s="457">
        <v>0.09</v>
      </c>
      <c r="W317" s="458">
        <v>0.13</v>
      </c>
      <c r="X317" s="456">
        <v>0.11</v>
      </c>
      <c r="Y317" s="457">
        <v>0.11</v>
      </c>
      <c r="Z317" s="457">
        <v>0.11</v>
      </c>
      <c r="AA317" s="458">
        <v>0.12</v>
      </c>
      <c r="AB317" s="456">
        <v>0.12</v>
      </c>
      <c r="AC317" s="457">
        <v>0.13</v>
      </c>
      <c r="AD317" s="457">
        <v>0.12</v>
      </c>
      <c r="AE317" s="458">
        <v>0.16</v>
      </c>
      <c r="AF317" s="456">
        <v>0.17</v>
      </c>
      <c r="AG317" s="457">
        <v>0.17</v>
      </c>
      <c r="AH317" s="457">
        <v>0.16</v>
      </c>
      <c r="AI317" s="458">
        <v>0.17</v>
      </c>
      <c r="AJ317" s="456">
        <v>0.16</v>
      </c>
      <c r="AK317" s="457">
        <v>0.18</v>
      </c>
      <c r="AL317" s="457">
        <v>0.18</v>
      </c>
      <c r="AM317" s="458">
        <v>0.19</v>
      </c>
      <c r="AN317" s="456">
        <v>0.19520084631112111</v>
      </c>
      <c r="AO317" s="457">
        <v>0.2</v>
      </c>
      <c r="AP317" s="457">
        <v>0.19400000000000001</v>
      </c>
      <c r="AQ317" s="457">
        <v>0.19400000000000001</v>
      </c>
      <c r="AR317" s="456">
        <v>0.19</v>
      </c>
      <c r="AS317" s="457">
        <v>0.19400000000000001</v>
      </c>
      <c r="AT317" s="457">
        <v>0.21</v>
      </c>
      <c r="AU317" s="458">
        <v>0.22</v>
      </c>
      <c r="AV317" s="456">
        <v>0.23</v>
      </c>
      <c r="AW317" s="457">
        <v>0.24</v>
      </c>
      <c r="AX317" s="457">
        <v>0.23</v>
      </c>
      <c r="AY317" s="458">
        <v>0.24</v>
      </c>
      <c r="AZ317" s="456">
        <v>0.22</v>
      </c>
      <c r="BA317" s="1356">
        <v>0.23241952225611831</v>
      </c>
      <c r="BB317" s="459"/>
      <c r="BC317" s="460"/>
      <c r="BD317" s="461"/>
      <c r="BE317" s="459"/>
      <c r="BF317" s="459"/>
      <c r="BG317" s="460"/>
      <c r="BH317" s="461"/>
      <c r="BI317" s="459"/>
      <c r="BJ317" s="459"/>
      <c r="BK317" s="460"/>
      <c r="BL317" s="461"/>
      <c r="BM317" s="459"/>
      <c r="BN317" s="459"/>
      <c r="BO317" s="460"/>
      <c r="BP317" s="424"/>
      <c r="BQ317" s="539"/>
      <c r="BR317" s="413"/>
      <c r="BS317" s="1324"/>
      <c r="BT317" s="1324"/>
      <c r="BU317" s="1425"/>
      <c r="BV317" s="1425"/>
      <c r="BW317" s="1425"/>
      <c r="BX317" s="1425"/>
      <c r="BY317" s="1425"/>
      <c r="BZ317" s="1425"/>
      <c r="CA317" s="1425"/>
      <c r="CB317" s="413"/>
      <c r="CC317" s="413"/>
      <c r="CD317" s="413"/>
      <c r="CE317" s="413"/>
      <c r="CF317" s="412"/>
      <c r="CG317" s="1031"/>
    </row>
    <row r="318" spans="1:89" ht="14.25" customHeight="1">
      <c r="B318" s="455" t="s">
        <v>297</v>
      </c>
      <c r="C318" s="367"/>
      <c r="D318" s="539"/>
      <c r="E318" s="557"/>
      <c r="F318" s="557"/>
      <c r="G318" s="458">
        <v>0.14000000000000001</v>
      </c>
      <c r="H318" s="456">
        <v>0.14000000000000001</v>
      </c>
      <c r="I318" s="457">
        <v>0.15</v>
      </c>
      <c r="J318" s="457">
        <v>0.14000000000000001</v>
      </c>
      <c r="K318" s="458">
        <v>0.14000000000000001</v>
      </c>
      <c r="L318" s="456">
        <v>0.13</v>
      </c>
      <c r="M318" s="457">
        <v>0.13</v>
      </c>
      <c r="N318" s="457">
        <v>0.12</v>
      </c>
      <c r="O318" s="458">
        <v>0.13</v>
      </c>
      <c r="P318" s="456">
        <v>0.12</v>
      </c>
      <c r="Q318" s="457">
        <v>0.12</v>
      </c>
      <c r="R318" s="457">
        <v>0.1</v>
      </c>
      <c r="S318" s="458">
        <v>0.12</v>
      </c>
      <c r="T318" s="456">
        <v>0.11</v>
      </c>
      <c r="U318" s="457">
        <v>0.11</v>
      </c>
      <c r="V318" s="457">
        <v>0.12</v>
      </c>
      <c r="W318" s="458">
        <v>0.12</v>
      </c>
      <c r="X318" s="456">
        <v>0.14000000000000001</v>
      </c>
      <c r="Y318" s="457">
        <v>0.17</v>
      </c>
      <c r="Z318" s="457">
        <v>0.16</v>
      </c>
      <c r="AA318" s="458">
        <v>0.15</v>
      </c>
      <c r="AB318" s="456">
        <v>0.13</v>
      </c>
      <c r="AC318" s="457">
        <v>0.1</v>
      </c>
      <c r="AD318" s="457">
        <v>0.11</v>
      </c>
      <c r="AE318" s="458">
        <v>0.11</v>
      </c>
      <c r="AF318" s="456">
        <v>0.12</v>
      </c>
      <c r="AG318" s="457">
        <v>0.12</v>
      </c>
      <c r="AH318" s="457">
        <v>0.13</v>
      </c>
      <c r="AI318" s="458">
        <v>0.12</v>
      </c>
      <c r="AJ318" s="456">
        <v>0.11</v>
      </c>
      <c r="AK318" s="457">
        <v>0.1</v>
      </c>
      <c r="AL318" s="457">
        <v>0.1</v>
      </c>
      <c r="AM318" s="458">
        <v>0.09</v>
      </c>
      <c r="AN318" s="456">
        <v>8.971711643898321E-2</v>
      </c>
      <c r="AO318" s="457">
        <v>8.7999999999999995E-2</v>
      </c>
      <c r="AP318" s="457">
        <v>0.09</v>
      </c>
      <c r="AQ318" s="457">
        <v>0.09</v>
      </c>
      <c r="AR318" s="456">
        <v>8.7999999999999995E-2</v>
      </c>
      <c r="AS318" s="457">
        <v>0.09</v>
      </c>
      <c r="AT318" s="457">
        <v>0.08</v>
      </c>
      <c r="AU318" s="458">
        <v>0.09</v>
      </c>
      <c r="AV318" s="456">
        <v>7.0000000000000007E-2</v>
      </c>
      <c r="AW318" s="457">
        <v>0.06</v>
      </c>
      <c r="AX318" s="457">
        <v>0.08</v>
      </c>
      <c r="AY318" s="458">
        <v>7.0000000000000007E-2</v>
      </c>
      <c r="AZ318" s="456">
        <v>0.06</v>
      </c>
      <c r="BA318" s="1356">
        <v>6.7553716380742868E-2</v>
      </c>
      <c r="BB318" s="459"/>
      <c r="BC318" s="460"/>
      <c r="BD318" s="461"/>
      <c r="BE318" s="459"/>
      <c r="BF318" s="459"/>
      <c r="BG318" s="460"/>
      <c r="BH318" s="461"/>
      <c r="BI318" s="459"/>
      <c r="BJ318" s="459"/>
      <c r="BK318" s="460"/>
      <c r="BL318" s="461"/>
      <c r="BM318" s="459"/>
      <c r="BN318" s="459"/>
      <c r="BO318" s="460"/>
      <c r="BP318" s="424"/>
      <c r="BQ318" s="539"/>
      <c r="BR318" s="413"/>
      <c r="BS318" s="1324"/>
      <c r="BT318" s="1324"/>
      <c r="BU318" s="1425"/>
      <c r="BV318" s="1425"/>
      <c r="BW318" s="1425"/>
      <c r="BX318" s="1425"/>
      <c r="BY318" s="1425"/>
      <c r="BZ318" s="1425"/>
      <c r="CA318" s="1425"/>
      <c r="CB318" s="413"/>
      <c r="CC318" s="413"/>
      <c r="CD318" s="413"/>
      <c r="CE318" s="413"/>
      <c r="CF318" s="412"/>
      <c r="CG318" s="1031"/>
    </row>
    <row r="319" spans="1:89" ht="14.25" customHeight="1">
      <c r="B319" s="455" t="s">
        <v>295</v>
      </c>
      <c r="C319" s="367"/>
      <c r="D319" s="539"/>
      <c r="E319" s="557"/>
      <c r="F319" s="557"/>
      <c r="G319" s="458">
        <v>0.14000000000000001</v>
      </c>
      <c r="H319" s="456">
        <v>0.11</v>
      </c>
      <c r="I319" s="457">
        <v>0.05</v>
      </c>
      <c r="J319" s="457">
        <v>0.06</v>
      </c>
      <c r="K319" s="458">
        <v>0.09</v>
      </c>
      <c r="L319" s="456">
        <v>0.09</v>
      </c>
      <c r="M319" s="457">
        <v>0.09</v>
      </c>
      <c r="N319" s="457">
        <v>0.1</v>
      </c>
      <c r="O319" s="458">
        <v>0.1</v>
      </c>
      <c r="P319" s="456">
        <v>0.08</v>
      </c>
      <c r="Q319" s="457">
        <v>0.06</v>
      </c>
      <c r="R319" s="457">
        <v>0.09</v>
      </c>
      <c r="S319" s="458">
        <v>0.1</v>
      </c>
      <c r="T319" s="456">
        <v>7.0000000000000007E-2</v>
      </c>
      <c r="U319" s="457">
        <v>0.06</v>
      </c>
      <c r="V319" s="457">
        <v>0.1</v>
      </c>
      <c r="W319" s="458">
        <v>0.1</v>
      </c>
      <c r="X319" s="456">
        <v>0.06</v>
      </c>
      <c r="Y319" s="457">
        <v>0.06</v>
      </c>
      <c r="Z319" s="457">
        <v>7.0000000000000007E-2</v>
      </c>
      <c r="AA319" s="458">
        <v>0.05</v>
      </c>
      <c r="AB319" s="456">
        <v>0.04</v>
      </c>
      <c r="AC319" s="457">
        <v>0.04</v>
      </c>
      <c r="AD319" s="457">
        <v>0.04</v>
      </c>
      <c r="AE319" s="458">
        <v>0.03</v>
      </c>
      <c r="AF319" s="456">
        <v>0.04</v>
      </c>
      <c r="AG319" s="457">
        <v>0.03</v>
      </c>
      <c r="AH319" s="457">
        <v>0.03</v>
      </c>
      <c r="AI319" s="458">
        <v>0.03</v>
      </c>
      <c r="AJ319" s="456">
        <v>0.03</v>
      </c>
      <c r="AK319" s="457">
        <v>0.03</v>
      </c>
      <c r="AL319" s="457">
        <v>0.03</v>
      </c>
      <c r="AM319" s="458">
        <v>0.03</v>
      </c>
      <c r="AN319" s="456">
        <v>2.9905705479661069E-2</v>
      </c>
      <c r="AO319" s="457">
        <v>2.5999999999999999E-2</v>
      </c>
      <c r="AP319" s="457">
        <v>2.5999999999999999E-2</v>
      </c>
      <c r="AQ319" s="457">
        <v>0.03</v>
      </c>
      <c r="AR319" s="456">
        <v>2.8000000000000001E-2</v>
      </c>
      <c r="AS319" s="457">
        <v>0.03</v>
      </c>
      <c r="AT319" s="457">
        <v>0.03</v>
      </c>
      <c r="AU319" s="458">
        <v>0.03</v>
      </c>
      <c r="AV319" s="456">
        <v>0.03</v>
      </c>
      <c r="AW319" s="457">
        <v>0.02</v>
      </c>
      <c r="AX319" s="457">
        <v>0.03</v>
      </c>
      <c r="AY319" s="458">
        <v>0.02</v>
      </c>
      <c r="AZ319" s="456">
        <v>0.02</v>
      </c>
      <c r="BA319" s="1356">
        <v>2.2517615820525753E-2</v>
      </c>
      <c r="BB319" s="459"/>
      <c r="BC319" s="460"/>
      <c r="BD319" s="461"/>
      <c r="BE319" s="459"/>
      <c r="BF319" s="459"/>
      <c r="BG319" s="460"/>
      <c r="BH319" s="461"/>
      <c r="BI319" s="459"/>
      <c r="BJ319" s="459"/>
      <c r="BK319" s="460"/>
      <c r="BL319" s="461"/>
      <c r="BM319" s="459"/>
      <c r="BN319" s="459"/>
      <c r="BO319" s="460"/>
      <c r="BP319" s="424"/>
      <c r="BQ319" s="539"/>
      <c r="BR319" s="413"/>
      <c r="BS319" s="1324"/>
      <c r="BT319" s="1324"/>
      <c r="BU319" s="1425"/>
      <c r="BV319" s="1425"/>
      <c r="BW319" s="1425"/>
      <c r="BX319" s="1425"/>
      <c r="BY319" s="1425"/>
      <c r="BZ319" s="1425"/>
      <c r="CA319" s="1425"/>
      <c r="CB319" s="413"/>
      <c r="CC319" s="413"/>
      <c r="CD319" s="413"/>
      <c r="CE319" s="413"/>
      <c r="CF319" s="412"/>
      <c r="CG319" s="1031"/>
    </row>
    <row r="320" spans="1:89" ht="14.25" customHeight="1">
      <c r="B320" s="455" t="s">
        <v>600</v>
      </c>
      <c r="C320" s="367"/>
      <c r="D320" s="539"/>
      <c r="E320" s="557"/>
      <c r="F320" s="557"/>
      <c r="G320" s="458">
        <v>0.03</v>
      </c>
      <c r="H320" s="456">
        <v>0.03</v>
      </c>
      <c r="I320" s="457">
        <v>0.03</v>
      </c>
      <c r="J320" s="457">
        <v>0.04</v>
      </c>
      <c r="K320" s="458">
        <v>0.04</v>
      </c>
      <c r="L320" s="456">
        <v>0.04</v>
      </c>
      <c r="M320" s="457">
        <v>0.04</v>
      </c>
      <c r="N320" s="457">
        <v>0.04</v>
      </c>
      <c r="O320" s="458">
        <v>0.05</v>
      </c>
      <c r="P320" s="456">
        <v>0.05</v>
      </c>
      <c r="Q320" s="457">
        <v>0.05</v>
      </c>
      <c r="R320" s="457">
        <v>0.06</v>
      </c>
      <c r="S320" s="458">
        <v>0.06</v>
      </c>
      <c r="T320" s="456">
        <v>0.08</v>
      </c>
      <c r="U320" s="457">
        <v>0.08</v>
      </c>
      <c r="V320" s="457">
        <v>0.08</v>
      </c>
      <c r="W320" s="458">
        <v>0.08</v>
      </c>
      <c r="X320" s="456">
        <v>7.0000000000000007E-2</v>
      </c>
      <c r="Y320" s="457">
        <v>7.0000000000000007E-2</v>
      </c>
      <c r="Z320" s="457">
        <v>0.06</v>
      </c>
      <c r="AA320" s="458">
        <v>0.06</v>
      </c>
      <c r="AB320" s="456">
        <v>7.0000000000000007E-2</v>
      </c>
      <c r="AC320" s="457">
        <v>7.0000000000000007E-2</v>
      </c>
      <c r="AD320" s="457">
        <v>7.0000000000000007E-2</v>
      </c>
      <c r="AE320" s="458">
        <v>7.0000000000000007E-2</v>
      </c>
      <c r="AF320" s="456">
        <v>0.06</v>
      </c>
      <c r="AG320" s="457">
        <v>0.06</v>
      </c>
      <c r="AH320" s="457">
        <v>0.06</v>
      </c>
      <c r="AI320" s="458">
        <v>0.06</v>
      </c>
      <c r="AJ320" s="456">
        <v>7.0000000000000007E-2</v>
      </c>
      <c r="AK320" s="457">
        <v>0.06</v>
      </c>
      <c r="AL320" s="457">
        <v>0.06</v>
      </c>
      <c r="AM320" s="458">
        <v>0.06</v>
      </c>
      <c r="AN320" s="456">
        <v>5.9201090439329057E-2</v>
      </c>
      <c r="AO320" s="457">
        <v>0.06</v>
      </c>
      <c r="AP320" s="457">
        <v>0.06</v>
      </c>
      <c r="AQ320" s="457">
        <v>0.06</v>
      </c>
      <c r="AR320" s="456">
        <v>5.8000000000000003E-2</v>
      </c>
      <c r="AS320" s="457">
        <v>5.8000000000000003E-2</v>
      </c>
      <c r="AT320" s="457">
        <v>0.06</v>
      </c>
      <c r="AU320" s="458">
        <v>0.05</v>
      </c>
      <c r="AV320" s="456">
        <v>0.06</v>
      </c>
      <c r="AW320" s="457">
        <v>0.06</v>
      </c>
      <c r="AX320" s="457">
        <v>0.05</v>
      </c>
      <c r="AY320" s="458">
        <v>0.06</v>
      </c>
      <c r="AZ320" s="456">
        <v>0.06</v>
      </c>
      <c r="BA320" s="1356">
        <v>5.7482384179474245E-2</v>
      </c>
      <c r="BB320" s="459"/>
      <c r="BC320" s="460"/>
      <c r="BD320" s="461"/>
      <c r="BE320" s="459"/>
      <c r="BF320" s="459"/>
      <c r="BG320" s="460"/>
      <c r="BH320" s="461"/>
      <c r="BI320" s="459"/>
      <c r="BJ320" s="459"/>
      <c r="BK320" s="460"/>
      <c r="BL320" s="461"/>
      <c r="BM320" s="459"/>
      <c r="BN320" s="459"/>
      <c r="BO320" s="460"/>
      <c r="BP320" s="424"/>
      <c r="BQ320" s="539"/>
      <c r="BR320" s="413"/>
      <c r="BS320" s="1324"/>
      <c r="BT320" s="1324"/>
      <c r="BU320" s="1425"/>
      <c r="BV320" s="1425"/>
      <c r="BW320" s="1425"/>
      <c r="BX320" s="1425"/>
      <c r="BY320" s="1425"/>
      <c r="BZ320" s="1425"/>
      <c r="CA320" s="1425"/>
      <c r="CB320" s="413"/>
      <c r="CC320" s="413"/>
      <c r="CD320" s="413"/>
      <c r="CE320" s="413"/>
      <c r="CF320" s="412"/>
      <c r="CG320" s="1031"/>
    </row>
    <row r="321" spans="1:89" ht="14.25" customHeight="1">
      <c r="A321" s="106"/>
      <c r="B321" s="463" t="s">
        <v>207</v>
      </c>
      <c r="C321" s="433"/>
      <c r="D321" s="540"/>
      <c r="E321" s="559"/>
      <c r="F321" s="559"/>
      <c r="G321" s="466">
        <f t="shared" ref="G321:K321" si="1479">SUM(G315:G320)</f>
        <v>1</v>
      </c>
      <c r="H321" s="464">
        <f t="shared" si="1479"/>
        <v>1</v>
      </c>
      <c r="I321" s="465">
        <f t="shared" si="1479"/>
        <v>1</v>
      </c>
      <c r="J321" s="465">
        <f t="shared" si="1479"/>
        <v>1</v>
      </c>
      <c r="K321" s="466">
        <f t="shared" si="1479"/>
        <v>1</v>
      </c>
      <c r="L321" s="464">
        <f t="shared" ref="L321:AF321" si="1480">SUM(L315:L320)</f>
        <v>1</v>
      </c>
      <c r="M321" s="465">
        <f t="shared" si="1480"/>
        <v>1</v>
      </c>
      <c r="N321" s="465">
        <f t="shared" si="1480"/>
        <v>1</v>
      </c>
      <c r="O321" s="466">
        <f t="shared" si="1480"/>
        <v>1</v>
      </c>
      <c r="P321" s="464">
        <f t="shared" si="1480"/>
        <v>1</v>
      </c>
      <c r="Q321" s="465">
        <f t="shared" si="1480"/>
        <v>1</v>
      </c>
      <c r="R321" s="465">
        <f t="shared" si="1480"/>
        <v>0.99999999999999978</v>
      </c>
      <c r="S321" s="466">
        <f t="shared" si="1480"/>
        <v>0.99999999999999978</v>
      </c>
      <c r="T321" s="464">
        <f t="shared" si="1480"/>
        <v>0.99999999999999989</v>
      </c>
      <c r="U321" s="465">
        <f t="shared" si="1480"/>
        <v>0.99999999999999989</v>
      </c>
      <c r="V321" s="465">
        <f t="shared" si="1480"/>
        <v>0.99999999999999989</v>
      </c>
      <c r="W321" s="466">
        <f t="shared" si="1480"/>
        <v>1</v>
      </c>
      <c r="X321" s="464">
        <f t="shared" si="1480"/>
        <v>1</v>
      </c>
      <c r="Y321" s="465">
        <f t="shared" si="1480"/>
        <v>1</v>
      </c>
      <c r="Z321" s="465">
        <f t="shared" si="1480"/>
        <v>1</v>
      </c>
      <c r="AA321" s="466">
        <f t="shared" si="1480"/>
        <v>1</v>
      </c>
      <c r="AB321" s="464">
        <f t="shared" si="1480"/>
        <v>1</v>
      </c>
      <c r="AC321" s="465">
        <f t="shared" si="1480"/>
        <v>1</v>
      </c>
      <c r="AD321" s="465">
        <f>SUM(AD315:AD320)</f>
        <v>1</v>
      </c>
      <c r="AE321" s="466">
        <f t="shared" si="1480"/>
        <v>1</v>
      </c>
      <c r="AF321" s="464">
        <f t="shared" si="1480"/>
        <v>1</v>
      </c>
      <c r="AG321" s="465">
        <f t="shared" ref="AG321:AS321" si="1481">SUM(AG315:AG320)</f>
        <v>1</v>
      </c>
      <c r="AH321" s="465">
        <f t="shared" si="1481"/>
        <v>1</v>
      </c>
      <c r="AI321" s="466">
        <f t="shared" si="1481"/>
        <v>1</v>
      </c>
      <c r="AJ321" s="464">
        <f t="shared" si="1481"/>
        <v>1</v>
      </c>
      <c r="AK321" s="465">
        <f t="shared" si="1481"/>
        <v>1</v>
      </c>
      <c r="AL321" s="465">
        <f t="shared" si="1481"/>
        <v>1</v>
      </c>
      <c r="AM321" s="466">
        <f t="shared" si="1481"/>
        <v>1</v>
      </c>
      <c r="AN321" s="464">
        <f t="shared" si="1481"/>
        <v>1</v>
      </c>
      <c r="AO321" s="465">
        <f t="shared" si="1481"/>
        <v>0.99997524133090554</v>
      </c>
      <c r="AP321" s="465">
        <f t="shared" si="1481"/>
        <v>1</v>
      </c>
      <c r="AQ321" s="465">
        <f t="shared" si="1481"/>
        <v>1</v>
      </c>
      <c r="AR321" s="464">
        <f t="shared" si="1481"/>
        <v>1</v>
      </c>
      <c r="AS321" s="465">
        <f t="shared" si="1481"/>
        <v>1</v>
      </c>
      <c r="AT321" s="465">
        <f>SUM(AT315:AT320)</f>
        <v>1</v>
      </c>
      <c r="AU321" s="466">
        <f>SUM(AU315:AU320)</f>
        <v>1</v>
      </c>
      <c r="AV321" s="464">
        <f t="shared" ref="AV321:BA321" si="1482">SUM(AV315:AV320)</f>
        <v>1</v>
      </c>
      <c r="AW321" s="465">
        <f t="shared" si="1482"/>
        <v>1</v>
      </c>
      <c r="AX321" s="465">
        <f>SUM(AX315:AX320)</f>
        <v>1</v>
      </c>
      <c r="AY321" s="466">
        <f>SUM(AY315:AY320)</f>
        <v>1</v>
      </c>
      <c r="AZ321" s="464">
        <f>SUM(AZ315:AZ320)</f>
        <v>1</v>
      </c>
      <c r="BA321" s="465">
        <f t="shared" si="1482"/>
        <v>1</v>
      </c>
      <c r="BB321" s="467"/>
      <c r="BC321" s="468"/>
      <c r="BD321" s="469"/>
      <c r="BE321" s="467"/>
      <c r="BF321" s="467"/>
      <c r="BG321" s="468"/>
      <c r="BH321" s="469"/>
      <c r="BI321" s="467"/>
      <c r="BJ321" s="467"/>
      <c r="BK321" s="468"/>
      <c r="BL321" s="469"/>
      <c r="BM321" s="467"/>
      <c r="BN321" s="467"/>
      <c r="BO321" s="468"/>
      <c r="BP321" s="440"/>
      <c r="BQ321" s="540"/>
      <c r="BR321" s="470">
        <f t="shared" ref="BR321:BX321" si="1483">SUM(BR315:BR320)</f>
        <v>0</v>
      </c>
      <c r="BS321" s="471">
        <f t="shared" si="1483"/>
        <v>0</v>
      </c>
      <c r="BT321" s="471">
        <f t="shared" si="1483"/>
        <v>0</v>
      </c>
      <c r="BU321" s="471">
        <f t="shared" si="1483"/>
        <v>0</v>
      </c>
      <c r="BV321" s="471">
        <f t="shared" si="1483"/>
        <v>0</v>
      </c>
      <c r="BW321" s="471">
        <f t="shared" si="1483"/>
        <v>0</v>
      </c>
      <c r="BX321" s="471">
        <f t="shared" si="1483"/>
        <v>0</v>
      </c>
      <c r="BY321" s="471"/>
      <c r="BZ321" s="471"/>
      <c r="CA321" s="471"/>
      <c r="CB321" s="470"/>
      <c r="CC321" s="470"/>
      <c r="CD321" s="470"/>
      <c r="CE321" s="470"/>
      <c r="CF321" s="1456"/>
      <c r="CG321" s="1474"/>
      <c r="CH321" s="106"/>
      <c r="CI321" s="106"/>
      <c r="CJ321" s="106"/>
      <c r="CK321" s="106"/>
    </row>
    <row r="322" spans="1:89" ht="14.25" customHeight="1">
      <c r="CG322" s="366"/>
    </row>
    <row r="323" spans="1:89" ht="14.25" customHeight="1">
      <c r="CG323" s="366"/>
    </row>
    <row r="324" spans="1:89" ht="14.25" customHeight="1">
      <c r="CG324" s="366"/>
    </row>
    <row r="325" spans="1:89" ht="14.25" customHeight="1">
      <c r="CG325" s="366"/>
    </row>
    <row r="326" spans="1:89" ht="14.25" customHeight="1">
      <c r="CG326" s="366"/>
    </row>
    <row r="327" spans="1:89" ht="14.25" customHeight="1">
      <c r="CG327" s="366"/>
    </row>
    <row r="328" spans="1:89" ht="14.25" customHeight="1">
      <c r="CG328" s="366"/>
    </row>
    <row r="329" spans="1:89" ht="14.25" customHeight="1">
      <c r="CG329" s="366"/>
    </row>
    <row r="330" spans="1:89" ht="14.25" customHeight="1">
      <c r="CG330" s="366"/>
    </row>
    <row r="331" spans="1:89" ht="14.25" customHeight="1">
      <c r="A331" s="1"/>
      <c r="B331" s="317"/>
      <c r="C331" s="317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1"/>
      <c r="AD331" s="1"/>
      <c r="AE331" s="1"/>
      <c r="AF331" s="1"/>
      <c r="AG331" s="1"/>
      <c r="AH331" s="1"/>
      <c r="AI331" s="1"/>
      <c r="AJ331" s="1"/>
      <c r="AK331" s="1"/>
      <c r="AL331" s="1"/>
      <c r="AM331" s="1"/>
      <c r="AN331" s="1"/>
      <c r="AO331" s="1"/>
      <c r="AP331" s="1"/>
      <c r="AQ331" s="1"/>
      <c r="AR331" s="1"/>
      <c r="AS331" s="1"/>
      <c r="AT331" s="1"/>
      <c r="AU331" s="1"/>
      <c r="AV331" s="1"/>
      <c r="AW331" s="1"/>
      <c r="AX331" s="1"/>
      <c r="AY331" s="1"/>
      <c r="AZ331" s="1"/>
      <c r="BA331" s="1"/>
      <c r="BB331" s="1"/>
      <c r="BC331" s="1"/>
      <c r="BD331" s="1"/>
      <c r="BE331" s="1"/>
      <c r="BF331" s="1"/>
      <c r="BG331" s="1"/>
      <c r="BH331" s="1"/>
      <c r="BI331" s="1"/>
      <c r="BJ331" s="1"/>
      <c r="BK331" s="1"/>
      <c r="BL331" s="1"/>
      <c r="BM331" s="1"/>
      <c r="BN331" s="1"/>
      <c r="BO331" s="1"/>
      <c r="BP331" s="1"/>
      <c r="BQ331" s="1"/>
      <c r="BR331" s="1"/>
      <c r="BS331" s="1"/>
      <c r="BT331" s="1"/>
      <c r="BU331" s="1"/>
      <c r="BV331" s="1"/>
      <c r="BW331" s="1"/>
      <c r="BX331" s="1"/>
      <c r="BY331" s="1"/>
      <c r="BZ331" s="1"/>
      <c r="CA331" s="1"/>
      <c r="CB331" s="1"/>
      <c r="CC331" s="1"/>
      <c r="CD331" s="1"/>
      <c r="CE331" s="1"/>
      <c r="CI331" s="8"/>
      <c r="CJ331" s="8"/>
    </row>
    <row r="332" spans="1:89" ht="14.25" customHeight="1">
      <c r="A332" s="1"/>
      <c r="B332" s="317"/>
      <c r="C332" s="317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1"/>
      <c r="AD332" s="1"/>
      <c r="AE332" s="1"/>
      <c r="AF332" s="1"/>
      <c r="AG332" s="1"/>
      <c r="AH332" s="1"/>
      <c r="AI332" s="1"/>
      <c r="AJ332" s="1"/>
      <c r="AK332" s="1"/>
      <c r="AL332" s="1"/>
      <c r="AM332" s="1"/>
      <c r="AN332" s="1"/>
      <c r="AO332" s="1"/>
      <c r="AP332" s="1"/>
      <c r="AQ332" s="1"/>
      <c r="AR332" s="1"/>
      <c r="AS332" s="1"/>
      <c r="AT332" s="1"/>
      <c r="AU332" s="1"/>
      <c r="AV332" s="1"/>
      <c r="AW332" s="1"/>
      <c r="AX332" s="1"/>
      <c r="AY332" s="1"/>
      <c r="AZ332" s="1"/>
      <c r="BA332" s="1"/>
      <c r="BB332" s="1"/>
      <c r="BC332" s="1"/>
      <c r="BD332" s="1"/>
      <c r="BE332" s="1"/>
      <c r="BF332" s="1"/>
      <c r="BG332" s="1"/>
      <c r="BH332" s="1"/>
      <c r="BI332" s="1"/>
      <c r="BJ332" s="1"/>
      <c r="BK332" s="1"/>
      <c r="BL332" s="1"/>
      <c r="BM332" s="1"/>
      <c r="BN332" s="1"/>
      <c r="BO332" s="1"/>
      <c r="BP332" s="1"/>
      <c r="BQ332" s="1"/>
      <c r="BR332" s="1"/>
      <c r="BS332" s="1"/>
      <c r="BT332" s="1"/>
      <c r="BU332" s="1"/>
      <c r="BV332" s="1"/>
      <c r="BW332" s="1"/>
      <c r="BX332" s="1"/>
      <c r="BY332" s="1"/>
      <c r="BZ332" s="1"/>
      <c r="CA332" s="1"/>
      <c r="CB332" s="1"/>
      <c r="CC332" s="1"/>
      <c r="CD332" s="1"/>
      <c r="CE332" s="1"/>
      <c r="CF332" s="1"/>
    </row>
    <row r="333" spans="1:89" ht="14.2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"/>
      <c r="AL333" s="1"/>
      <c r="AM333" s="1"/>
      <c r="AN333" s="1"/>
      <c r="AO333" s="1"/>
      <c r="AP333" s="1"/>
      <c r="AQ333" s="1"/>
      <c r="AR333" s="1"/>
      <c r="AS333" s="1"/>
      <c r="AT333" s="1"/>
      <c r="AU333" s="1"/>
      <c r="AV333" s="1"/>
      <c r="AW333" s="1"/>
      <c r="AX333" s="1"/>
      <c r="AY333" s="1"/>
      <c r="AZ333" s="1"/>
      <c r="BA333" s="1"/>
      <c r="BB333" s="1"/>
      <c r="BC333" s="1"/>
      <c r="BD333" s="1"/>
      <c r="BE333" s="1"/>
      <c r="BF333" s="1"/>
      <c r="BG333" s="1"/>
      <c r="BH333" s="1"/>
      <c r="BI333" s="1"/>
      <c r="BJ333" s="1"/>
      <c r="BK333" s="1"/>
      <c r="BL333" s="1"/>
      <c r="BM333" s="1"/>
      <c r="BN333" s="1"/>
      <c r="BO333" s="1"/>
      <c r="BP333" s="1"/>
      <c r="BQ333" s="1"/>
      <c r="BR333" s="1"/>
      <c r="BS333" s="1"/>
      <c r="BT333" s="1"/>
      <c r="BU333" s="1"/>
      <c r="BV333" s="1"/>
      <c r="BW333" s="1"/>
      <c r="BX333" s="1"/>
      <c r="BY333" s="1"/>
      <c r="BZ333" s="1"/>
      <c r="CA333" s="1"/>
      <c r="CB333" s="1"/>
      <c r="CC333" s="1"/>
      <c r="CD333" s="1"/>
      <c r="CE333" s="1"/>
      <c r="CF333" s="1"/>
    </row>
    <row r="342" spans="1:84" ht="14.25" customHeight="1">
      <c r="A342" s="3"/>
      <c r="B342" s="297"/>
      <c r="C342" s="297"/>
      <c r="D342" s="297" t="s">
        <v>182</v>
      </c>
      <c r="E342" s="297" t="s">
        <v>183</v>
      </c>
      <c r="F342" s="297" t="s">
        <v>184</v>
      </c>
      <c r="G342" s="297" t="s">
        <v>185</v>
      </c>
      <c r="H342" s="297" t="s">
        <v>187</v>
      </c>
      <c r="I342" s="297" t="s">
        <v>188</v>
      </c>
      <c r="J342" s="297" t="s">
        <v>189</v>
      </c>
      <c r="K342" s="297" t="s">
        <v>190</v>
      </c>
      <c r="L342" s="297" t="s">
        <v>192</v>
      </c>
      <c r="M342" s="297" t="s">
        <v>193</v>
      </c>
      <c r="N342" s="297" t="s">
        <v>194</v>
      </c>
      <c r="O342" s="297" t="s">
        <v>195</v>
      </c>
      <c r="P342" s="297" t="s">
        <v>18</v>
      </c>
      <c r="Q342" s="297" t="s">
        <v>19</v>
      </c>
      <c r="R342" s="297" t="s">
        <v>20</v>
      </c>
      <c r="S342" s="297" t="s">
        <v>21</v>
      </c>
      <c r="T342" s="297" t="s">
        <v>22</v>
      </c>
      <c r="U342" s="297" t="s">
        <v>23</v>
      </c>
      <c r="V342" s="297" t="s">
        <v>24</v>
      </c>
      <c r="W342" s="297" t="s">
        <v>25</v>
      </c>
      <c r="X342" s="297" t="s">
        <v>26</v>
      </c>
      <c r="Y342" s="297" t="s">
        <v>27</v>
      </c>
      <c r="Z342" s="297" t="s">
        <v>28</v>
      </c>
      <c r="AA342" s="297" t="s">
        <v>29</v>
      </c>
      <c r="AB342" s="297" t="s">
        <v>30</v>
      </c>
      <c r="AC342" s="297" t="s">
        <v>31</v>
      </c>
      <c r="AD342" s="297" t="s">
        <v>32</v>
      </c>
      <c r="AE342" s="297" t="s">
        <v>33</v>
      </c>
      <c r="AF342" s="297" t="s">
        <v>34</v>
      </c>
      <c r="AG342" s="297" t="s">
        <v>35</v>
      </c>
      <c r="AH342" s="297" t="s">
        <v>36</v>
      </c>
      <c r="AI342" s="297" t="s">
        <v>37</v>
      </c>
      <c r="AJ342" s="297" t="s">
        <v>38</v>
      </c>
      <c r="AK342" s="297" t="s">
        <v>39</v>
      </c>
      <c r="AL342" s="297" t="s">
        <v>40</v>
      </c>
      <c r="AM342" s="297" t="s">
        <v>41</v>
      </c>
      <c r="AN342" s="297" t="s">
        <v>42</v>
      </c>
      <c r="AO342" s="297" t="s">
        <v>43</v>
      </c>
      <c r="AP342" s="297" t="s">
        <v>44</v>
      </c>
      <c r="AQ342" s="1084" t="s">
        <v>45</v>
      </c>
      <c r="AR342" s="297" t="s">
        <v>63</v>
      </c>
      <c r="AS342" s="297" t="s">
        <v>64</v>
      </c>
      <c r="AT342" s="297" t="s">
        <v>65</v>
      </c>
      <c r="AU342" s="1084" t="s">
        <v>66</v>
      </c>
      <c r="AV342" s="297" t="s">
        <v>67</v>
      </c>
      <c r="AW342" s="297" t="s">
        <v>68</v>
      </c>
      <c r="AX342" s="297" t="s">
        <v>69</v>
      </c>
      <c r="AY342" s="297" t="s">
        <v>70</v>
      </c>
      <c r="AZ342" s="297" t="s">
        <v>71</v>
      </c>
      <c r="BA342" s="297" t="s">
        <v>72</v>
      </c>
      <c r="BB342" s="297" t="s">
        <v>73</v>
      </c>
      <c r="BC342" s="297" t="s">
        <v>74</v>
      </c>
      <c r="BD342" s="297" t="s">
        <v>75</v>
      </c>
      <c r="BE342" s="297" t="s">
        <v>76</v>
      </c>
      <c r="BF342" s="297" t="s">
        <v>77</v>
      </c>
      <c r="BG342" s="297" t="s">
        <v>78</v>
      </c>
      <c r="BH342" s="297" t="s">
        <v>79</v>
      </c>
      <c r="BI342" s="297" t="s">
        <v>80</v>
      </c>
      <c r="BJ342" s="297" t="s">
        <v>81</v>
      </c>
      <c r="BK342" s="297" t="s">
        <v>82</v>
      </c>
      <c r="BL342" s="297" t="s">
        <v>174</v>
      </c>
      <c r="BM342" s="297" t="s">
        <v>175</v>
      </c>
      <c r="BN342" s="297" t="s">
        <v>176</v>
      </c>
      <c r="BO342" s="297" t="s">
        <v>177</v>
      </c>
      <c r="BP342" s="3"/>
      <c r="BQ342" s="3" t="s">
        <v>186</v>
      </c>
      <c r="BR342" s="3" t="s">
        <v>191</v>
      </c>
      <c r="BS342" s="3" t="s">
        <v>46</v>
      </c>
      <c r="BT342" s="3" t="s">
        <v>47</v>
      </c>
      <c r="BU342" s="3" t="s">
        <v>48</v>
      </c>
      <c r="BV342" s="3" t="s">
        <v>49</v>
      </c>
      <c r="BW342" s="3" t="s">
        <v>50</v>
      </c>
      <c r="BX342" s="3" t="s">
        <v>51</v>
      </c>
      <c r="BY342" s="3" t="s">
        <v>52</v>
      </c>
      <c r="BZ342" s="3" t="s">
        <v>53</v>
      </c>
      <c r="CA342" s="3" t="s">
        <v>53</v>
      </c>
      <c r="CB342" s="3" t="s">
        <v>53</v>
      </c>
      <c r="CC342" s="3" t="s">
        <v>53</v>
      </c>
      <c r="CD342" s="3" t="s">
        <v>54</v>
      </c>
      <c r="CE342" s="3" t="s">
        <v>55</v>
      </c>
      <c r="CF342" s="3" t="s">
        <v>173</v>
      </c>
    </row>
    <row r="343" spans="1:84" ht="14.25" customHeight="1">
      <c r="A343" s="5"/>
      <c r="B343" s="196" t="s">
        <v>56</v>
      </c>
      <c r="C343" s="196"/>
      <c r="D343" s="298" t="e">
        <f>IS!D$165</f>
        <v>#NAME?</v>
      </c>
      <c r="E343" s="298" t="e">
        <f>IS!E$165</f>
        <v>#NAME?</v>
      </c>
      <c r="F343" s="298" t="e">
        <f>IS!F$165</f>
        <v>#NAME?</v>
      </c>
      <c r="G343" s="298" t="e">
        <f>IS!G$165</f>
        <v>#NAME?</v>
      </c>
      <c r="H343" s="298" t="e">
        <f>IS!H$165</f>
        <v>#NAME?</v>
      </c>
      <c r="I343" s="298" t="e">
        <f>IS!I$165</f>
        <v>#NAME?</v>
      </c>
      <c r="J343" s="298" t="e">
        <f>IS!J$165</f>
        <v>#NAME?</v>
      </c>
      <c r="K343" s="298" t="e">
        <f>IS!K$165</f>
        <v>#NAME?</v>
      </c>
      <c r="L343" s="298" t="e">
        <f>IS!L$165</f>
        <v>#NAME?</v>
      </c>
      <c r="M343" s="298" t="e">
        <f>IS!M$165</f>
        <v>#NAME?</v>
      </c>
      <c r="N343" s="298" t="e">
        <f>IS!N$165</f>
        <v>#NAME?</v>
      </c>
      <c r="O343" s="298" t="e">
        <f>IS!O$165</f>
        <v>#NAME?</v>
      </c>
      <c r="P343" s="298" t="e">
        <f>IS!P$165</f>
        <v>#NAME?</v>
      </c>
      <c r="Q343" s="298" t="e">
        <f>IS!Q$165</f>
        <v>#NAME?</v>
      </c>
      <c r="R343" s="298" t="e">
        <f>IS!R$165</f>
        <v>#NAME?</v>
      </c>
      <c r="S343" s="298" t="e">
        <f>IS!S$165</f>
        <v>#NAME?</v>
      </c>
      <c r="T343" s="298" t="e">
        <f>IS!T$165</f>
        <v>#NAME?</v>
      </c>
      <c r="U343" s="298" t="e">
        <f>IS!U$165</f>
        <v>#NAME?</v>
      </c>
      <c r="V343" s="298" t="e">
        <f>IS!V$165</f>
        <v>#NAME?</v>
      </c>
      <c r="W343" s="298" t="e">
        <f>IS!W$165</f>
        <v>#NAME?</v>
      </c>
      <c r="X343" s="298" t="e">
        <f>IS!X$165</f>
        <v>#NAME?</v>
      </c>
      <c r="Y343" s="298" t="e">
        <f>IS!Y$165</f>
        <v>#NAME?</v>
      </c>
      <c r="Z343" s="298" t="e">
        <f>IS!Z$165</f>
        <v>#NAME?</v>
      </c>
      <c r="AA343" s="298" t="e">
        <f>IS!AA$165</f>
        <v>#NAME?</v>
      </c>
      <c r="AB343" s="298" t="e">
        <f>IS!AB$165</f>
        <v>#NAME?</v>
      </c>
      <c r="AC343" s="298" t="e">
        <f>IS!AC$165</f>
        <v>#NAME?</v>
      </c>
      <c r="AD343" s="298" t="e">
        <f>IS!AD$165</f>
        <v>#NAME?</v>
      </c>
      <c r="AE343" s="298" t="e">
        <f>IS!AE$165</f>
        <v>#NAME?</v>
      </c>
      <c r="AF343" s="298" t="e">
        <f>IS!AF$165</f>
        <v>#NAME?</v>
      </c>
      <c r="AG343" s="298" t="str">
        <f>IS!AG$165</f>
        <v>A</v>
      </c>
      <c r="AH343" s="298" t="e">
        <f>IS!AH$165</f>
        <v>#NAME?</v>
      </c>
      <c r="AI343" s="298" t="e">
        <f>IS!AI$165</f>
        <v>#NAME?</v>
      </c>
      <c r="AJ343" s="298" t="e">
        <f>IS!AJ$165</f>
        <v>#NAME?</v>
      </c>
      <c r="AK343" s="298" t="e">
        <f>IS!AK$165</f>
        <v>#NAME?</v>
      </c>
      <c r="AL343" s="298" t="e">
        <f>IS!AL$165</f>
        <v>#NAME?</v>
      </c>
      <c r="AM343" s="298" t="e">
        <f>IS!AM$165</f>
        <v>#NAME?</v>
      </c>
      <c r="AN343" s="298" t="e">
        <f>IS!AN$165</f>
        <v>#NAME?</v>
      </c>
      <c r="AO343" s="298" t="e">
        <f>IS!AO$165</f>
        <v>#NAME?</v>
      </c>
      <c r="AP343" s="298" t="e">
        <f>IS!AP$165</f>
        <v>#NAME?</v>
      </c>
      <c r="AQ343" s="298" t="e">
        <f>IS!AQ$165</f>
        <v>#NAME?</v>
      </c>
      <c r="AR343" s="298" t="e">
        <f>IS!AR$165</f>
        <v>#NAME?</v>
      </c>
      <c r="AS343" s="298" t="e">
        <f>IS!AS$165</f>
        <v>#NAME?</v>
      </c>
      <c r="AT343" s="298" t="e">
        <f>IS!AT$165</f>
        <v>#NAME?</v>
      </c>
      <c r="AU343" s="298" t="e">
        <f>IS!AU$165</f>
        <v>#NAME?</v>
      </c>
      <c r="AV343" s="298" t="e">
        <f>IS!AV$165</f>
        <v>#NAME?</v>
      </c>
      <c r="AW343" s="298" t="e">
        <f>IS!AW$165</f>
        <v>#NAME?</v>
      </c>
      <c r="AX343" s="298" t="e">
        <f>IS!AX$165</f>
        <v>#NAME?</v>
      </c>
      <c r="AY343" s="298" t="e">
        <f>IS!AY$165</f>
        <v>#NAME?</v>
      </c>
      <c r="AZ343" s="298" t="e">
        <f>IS!AZ$165</f>
        <v>#NAME?</v>
      </c>
      <c r="BA343" s="298" t="e">
        <f>IS!BA$165</f>
        <v>#NAME?</v>
      </c>
      <c r="BB343" s="298" t="e">
        <f>IS!BB$165</f>
        <v>#NAME?</v>
      </c>
      <c r="BC343" s="298" t="e">
        <f>IS!BC$165</f>
        <v>#NAME?</v>
      </c>
      <c r="BD343" s="298" t="e">
        <f>IS!BD$165</f>
        <v>#NAME?</v>
      </c>
      <c r="BE343" s="298" t="e">
        <f>IS!BE$165</f>
        <v>#NAME?</v>
      </c>
      <c r="BF343" s="298" t="e">
        <f>IS!BF$165</f>
        <v>#NAME?</v>
      </c>
      <c r="BG343" s="298" t="e">
        <f>IS!BG$165</f>
        <v>#NAME?</v>
      </c>
      <c r="BH343" s="298" t="e">
        <f>IS!BH$165</f>
        <v>#NAME?</v>
      </c>
      <c r="BI343" s="298" t="e">
        <f>IS!BI$165</f>
        <v>#NAME?</v>
      </c>
      <c r="BJ343" s="298" t="e">
        <f>IS!BJ$165</f>
        <v>#NAME?</v>
      </c>
      <c r="BK343" s="298" t="e">
        <f>IS!BK$165</f>
        <v>#NAME?</v>
      </c>
      <c r="BL343" s="298" t="e">
        <f>IS!BL$165</f>
        <v>#NAME?</v>
      </c>
      <c r="BM343" s="298" t="e">
        <f>IS!BM$165</f>
        <v>#NAME?</v>
      </c>
      <c r="BN343" s="298" t="e">
        <f>IS!BN$165</f>
        <v>#NAME?</v>
      </c>
      <c r="BO343" s="298" t="e">
        <f>IS!BO$165</f>
        <v>#NAME?</v>
      </c>
      <c r="BP343" s="318"/>
      <c r="BQ343" s="298" t="e">
        <f>IS!BQ$165</f>
        <v>#NAME?</v>
      </c>
      <c r="BR343" s="298" t="e">
        <f>IS!BR$165</f>
        <v>#NAME?</v>
      </c>
      <c r="BS343" s="298" t="e">
        <f>IS!BS$165</f>
        <v>#NAME?</v>
      </c>
      <c r="BT343" s="298" t="e">
        <f>IS!BT$165</f>
        <v>#NAME?</v>
      </c>
      <c r="BU343" s="298" t="e">
        <f>IS!BU$165</f>
        <v>#NAME?</v>
      </c>
      <c r="BV343" s="298" t="e">
        <f>IS!BV$165</f>
        <v>#NAME?</v>
      </c>
      <c r="BW343" s="298" t="e">
        <f>IS!BW$165</f>
        <v>#NAME?</v>
      </c>
      <c r="BX343" s="298" t="e">
        <f>IS!BX$165</f>
        <v>#NAME?</v>
      </c>
      <c r="BY343" s="298" t="e">
        <f>IS!BY$165</f>
        <v>#NAME?</v>
      </c>
      <c r="BZ343" s="298" t="e">
        <f>IS!BZ$165</f>
        <v>#NAME?</v>
      </c>
      <c r="CA343" s="298" t="e">
        <f>IS!CA$165</f>
        <v>#NAME?</v>
      </c>
      <c r="CB343" s="298" t="e">
        <f>IS!CB$165</f>
        <v>#NAME?</v>
      </c>
      <c r="CC343" s="298" t="e">
        <f>IS!CC$165</f>
        <v>#NAME?</v>
      </c>
      <c r="CD343" s="298" t="e">
        <f>IS!CD$165</f>
        <v>#NAME?</v>
      </c>
      <c r="CE343" s="298" t="e">
        <f>IS!CE$165</f>
        <v>#NAME?</v>
      </c>
      <c r="CF343" s="298" t="e">
        <f>IS!CF$165</f>
        <v>#NAME?</v>
      </c>
    </row>
  </sheetData>
  <phoneticPr fontId="35" type="noConversion"/>
  <conditionalFormatting sqref="D7:AG9 BH314:BK314">
    <cfRule type="expression" dxfId="57" priority="76" stopIfTrue="1">
      <formula>D$343="A"</formula>
    </cfRule>
    <cfRule type="expression" dxfId="56" priority="77" stopIfTrue="1">
      <formula>D$343="E"</formula>
    </cfRule>
  </conditionalFormatting>
  <conditionalFormatting sqref="H259:AQ259 D210:AM210 AK230:AQ230 H270:AM270 AG237:AQ237 H223:AM223 AO223:AQ223 H281:AM281 AO281:AQ281 H248:AO248 AW281 AW270 AS223:AT223 AS210:AT210 AS237:AT237 AS230:AT230 AS259:AT259 AW259 AW230:AY230 AW237:AY237 AW210:AY210 AW223:AY223 AY259 AY281">
    <cfRule type="cellIs" dxfId="55" priority="78" stopIfTrue="1" operator="between">
      <formula>-0.005</formula>
      <formula>0.005</formula>
    </cfRule>
  </conditionalFormatting>
  <conditionalFormatting sqref="B6">
    <cfRule type="cellIs" dxfId="54" priority="79" stopIfTrue="1" operator="equal">
      <formula>"Bear Case"</formula>
    </cfRule>
    <cfRule type="cellIs" dxfId="53" priority="80" stopIfTrue="1" operator="equal">
      <formula>"Bull Case"</formula>
    </cfRule>
    <cfRule type="cellIs" dxfId="52" priority="81" stopIfTrue="1" operator="equal">
      <formula>"Base Case"</formula>
    </cfRule>
  </conditionalFormatting>
  <conditionalFormatting sqref="AN210">
    <cfRule type="cellIs" dxfId="51" priority="75" stopIfTrue="1" operator="between">
      <formula>-0.005</formula>
      <formula>0.005</formula>
    </cfRule>
  </conditionalFormatting>
  <conditionalFormatting sqref="AN223">
    <cfRule type="cellIs" dxfId="50" priority="74" stopIfTrue="1" operator="between">
      <formula>-0.005</formula>
      <formula>0.005</formula>
    </cfRule>
  </conditionalFormatting>
  <conditionalFormatting sqref="AN270">
    <cfRule type="cellIs" dxfId="49" priority="73" stopIfTrue="1" operator="between">
      <formula>-0.005</formula>
      <formula>0.005</formula>
    </cfRule>
  </conditionalFormatting>
  <conditionalFormatting sqref="AN281">
    <cfRule type="cellIs" dxfId="48" priority="72" stopIfTrue="1" operator="between">
      <formula>-0.005</formula>
      <formula>0.005</formula>
    </cfRule>
  </conditionalFormatting>
  <conditionalFormatting sqref="AO210">
    <cfRule type="cellIs" dxfId="47" priority="71" stopIfTrue="1" operator="between">
      <formula>-0.005</formula>
      <formula>0.005</formula>
    </cfRule>
  </conditionalFormatting>
  <conditionalFormatting sqref="AO270">
    <cfRule type="cellIs" dxfId="46" priority="69" stopIfTrue="1" operator="between">
      <formula>-0.005</formula>
      <formula>0.005</formula>
    </cfRule>
  </conditionalFormatting>
  <conditionalFormatting sqref="AP248">
    <cfRule type="cellIs" dxfId="45" priority="67" stopIfTrue="1" operator="between">
      <formula>-0.005</formula>
      <formula>0.005</formula>
    </cfRule>
  </conditionalFormatting>
  <conditionalFormatting sqref="AP210">
    <cfRule type="cellIs" dxfId="44" priority="65" stopIfTrue="1" operator="between">
      <formula>-0.005</formula>
      <formula>0.005</formula>
    </cfRule>
  </conditionalFormatting>
  <conditionalFormatting sqref="AP270">
    <cfRule type="cellIs" dxfId="43" priority="63" stopIfTrue="1" operator="between">
      <formula>-0.005</formula>
      <formula>0.005</formula>
    </cfRule>
  </conditionalFormatting>
  <conditionalFormatting sqref="AZ259:BC259 AZ230:BC230 AZ237:BC237 AZ210:BC210 AZ223:BC223 AZ281:BC281">
    <cfRule type="cellIs" dxfId="42" priority="58" stopIfTrue="1" operator="between">
      <formula>-0.005</formula>
      <formula>0.005</formula>
    </cfRule>
  </conditionalFormatting>
  <conditionalFormatting sqref="AQ248">
    <cfRule type="cellIs" dxfId="41" priority="57" stopIfTrue="1" operator="between">
      <formula>-0.005</formula>
      <formula>0.005</formula>
    </cfRule>
  </conditionalFormatting>
  <conditionalFormatting sqref="AR259 AR230 AR237">
    <cfRule type="cellIs" dxfId="40" priority="56" stopIfTrue="1" operator="between">
      <formula>-0.005</formula>
      <formula>0.005</formula>
    </cfRule>
  </conditionalFormatting>
  <conditionalFormatting sqref="AR210">
    <cfRule type="cellIs" dxfId="39" priority="55" stopIfTrue="1" operator="between">
      <formula>-0.005</formula>
      <formula>0.005</formula>
    </cfRule>
  </conditionalFormatting>
  <conditionalFormatting sqref="AR223">
    <cfRule type="cellIs" dxfId="38" priority="54" stopIfTrue="1" operator="between">
      <formula>-0.005</formula>
      <formula>0.005</formula>
    </cfRule>
  </conditionalFormatting>
  <conditionalFormatting sqref="AR248">
    <cfRule type="cellIs" dxfId="37" priority="51" stopIfTrue="1" operator="between">
      <formula>-0.005</formula>
      <formula>0.005</formula>
    </cfRule>
  </conditionalFormatting>
  <conditionalFormatting sqref="AR270">
    <cfRule type="cellIs" dxfId="36" priority="50" stopIfTrue="1" operator="between">
      <formula>-0.005</formula>
      <formula>0.005</formula>
    </cfRule>
  </conditionalFormatting>
  <conditionalFormatting sqref="AR281">
    <cfRule type="cellIs" dxfId="35" priority="49" stopIfTrue="1" operator="between">
      <formula>-0.005</formula>
      <formula>0.005</formula>
    </cfRule>
  </conditionalFormatting>
  <conditionalFormatting sqref="AQ270">
    <cfRule type="cellIs" dxfId="34" priority="48" stopIfTrue="1" operator="between">
      <formula>-0.005</formula>
      <formula>0.005</formula>
    </cfRule>
  </conditionalFormatting>
  <conditionalFormatting sqref="AQ210">
    <cfRule type="cellIs" dxfId="33" priority="47" stopIfTrue="1" operator="between">
      <formula>-0.005</formula>
      <formula>0.005</formula>
    </cfRule>
  </conditionalFormatting>
  <conditionalFormatting sqref="AS248">
    <cfRule type="cellIs" dxfId="32" priority="46" stopIfTrue="1" operator="between">
      <formula>-0.005</formula>
      <formula>0.005</formula>
    </cfRule>
  </conditionalFormatting>
  <conditionalFormatting sqref="AS270">
    <cfRule type="cellIs" dxfId="31" priority="45" stopIfTrue="1" operator="between">
      <formula>-0.005</formula>
      <formula>0.005</formula>
    </cfRule>
  </conditionalFormatting>
  <conditionalFormatting sqref="AS281">
    <cfRule type="cellIs" dxfId="30" priority="44" stopIfTrue="1" operator="between">
      <formula>-0.005</formula>
      <formula>0.005</formula>
    </cfRule>
  </conditionalFormatting>
  <conditionalFormatting sqref="AT248:AU248">
    <cfRule type="cellIs" dxfId="29" priority="42" stopIfTrue="1" operator="between">
      <formula>-0.005</formula>
      <formula>0.005</formula>
    </cfRule>
  </conditionalFormatting>
  <conditionalFormatting sqref="AT270">
    <cfRule type="cellIs" dxfId="28" priority="39" stopIfTrue="1" operator="between">
      <formula>-0.005</formula>
      <formula>0.005</formula>
    </cfRule>
  </conditionalFormatting>
  <conditionalFormatting sqref="AT281:AU281">
    <cfRule type="cellIs" dxfId="27" priority="35" stopIfTrue="1" operator="between">
      <formula>-0.005</formula>
      <formula>0.005</formula>
    </cfRule>
  </conditionalFormatting>
  <conditionalFormatting sqref="AU259 AU230 AU237 AU223">
    <cfRule type="cellIs" dxfId="26" priority="34" stopIfTrue="1" operator="between">
      <formula>-0.005</formula>
      <formula>0.005</formula>
    </cfRule>
  </conditionalFormatting>
  <conditionalFormatting sqref="AU210">
    <cfRule type="cellIs" dxfId="25" priority="31" stopIfTrue="1" operator="between">
      <formula>-0.005</formula>
      <formula>0.005</formula>
    </cfRule>
  </conditionalFormatting>
  <conditionalFormatting sqref="AU270">
    <cfRule type="cellIs" dxfId="24" priority="30" stopIfTrue="1" operator="between">
      <formula>-0.005</formula>
      <formula>0.005</formula>
    </cfRule>
  </conditionalFormatting>
  <conditionalFormatting sqref="BD259:BG259 BD230:BG230 BD237:BG237 BD210:BG210 BD223:BG223 BD270:BG270 BD281:BG281 BE248:BG248">
    <cfRule type="cellIs" dxfId="23" priority="28" stopIfTrue="1" operator="between">
      <formula>-0.005</formula>
      <formula>0.005</formula>
    </cfRule>
  </conditionalFormatting>
  <conditionalFormatting sqref="AV223 AV210 AV237 AV230 AV259">
    <cfRule type="cellIs" dxfId="22" priority="27" stopIfTrue="1" operator="between">
      <formula>-0.005</formula>
      <formula>0.005</formula>
    </cfRule>
  </conditionalFormatting>
  <conditionalFormatting sqref="AV248">
    <cfRule type="cellIs" dxfId="21" priority="26" stopIfTrue="1" operator="between">
      <formula>-0.005</formula>
      <formula>0.005</formula>
    </cfRule>
  </conditionalFormatting>
  <conditionalFormatting sqref="AV270">
    <cfRule type="cellIs" dxfId="20" priority="25" stopIfTrue="1" operator="between">
      <formula>-0.005</formula>
      <formula>0.005</formula>
    </cfRule>
  </conditionalFormatting>
  <conditionalFormatting sqref="AV281">
    <cfRule type="cellIs" dxfId="19" priority="24" stopIfTrue="1" operator="between">
      <formula>-0.005</formula>
      <formula>0.005</formula>
    </cfRule>
  </conditionalFormatting>
  <conditionalFormatting sqref="AX259">
    <cfRule type="cellIs" dxfId="18" priority="23" stopIfTrue="1" operator="between">
      <formula>-0.005</formula>
      <formula>0.005</formula>
    </cfRule>
  </conditionalFormatting>
  <conditionalFormatting sqref="AX248">
    <cfRule type="cellIs" dxfId="17" priority="22" stopIfTrue="1" operator="between">
      <formula>-0.005</formula>
      <formula>0.005</formula>
    </cfRule>
  </conditionalFormatting>
  <conditionalFormatting sqref="AX270:BA270">
    <cfRule type="cellIs" dxfId="16" priority="21" stopIfTrue="1" operator="between">
      <formula>-0.005</formula>
      <formula>0.005</formula>
    </cfRule>
  </conditionalFormatting>
  <conditionalFormatting sqref="AX281">
    <cfRule type="cellIs" dxfId="15" priority="20" stopIfTrue="1" operator="between">
      <formula>-0.005</formula>
      <formula>0.005</formula>
    </cfRule>
  </conditionalFormatting>
  <conditionalFormatting sqref="AW248">
    <cfRule type="cellIs" dxfId="14" priority="19" stopIfTrue="1" operator="between">
      <formula>-0.005</formula>
      <formula>0.005</formula>
    </cfRule>
  </conditionalFormatting>
  <conditionalFormatting sqref="AY248">
    <cfRule type="cellIs" dxfId="13" priority="18" stopIfTrue="1" operator="between">
      <formula>-0.005</formula>
      <formula>0.005</formula>
    </cfRule>
  </conditionalFormatting>
  <conditionalFormatting sqref="AZ248">
    <cfRule type="cellIs" dxfId="12" priority="17" stopIfTrue="1" operator="between">
      <formula>-0.005</formula>
      <formula>0.005</formula>
    </cfRule>
  </conditionalFormatting>
  <conditionalFormatting sqref="BH259:BK259 BH230:BK230 BH237:BK237 BH210:BK210 BH223:BK223 BH270:BK270 BH281:BK281 BH248:BK248">
    <cfRule type="cellIs" dxfId="11" priority="16" stopIfTrue="1" operator="between">
      <formula>-0.005</formula>
      <formula>0.005</formula>
    </cfRule>
  </conditionalFormatting>
  <conditionalFormatting sqref="BA248">
    <cfRule type="cellIs" dxfId="10" priority="15" stopIfTrue="1" operator="between">
      <formula>-0.005</formula>
      <formula>0.005</formula>
    </cfRule>
  </conditionalFormatting>
  <conditionalFormatting sqref="D314:AC314">
    <cfRule type="expression" dxfId="9" priority="13" stopIfTrue="1">
      <formula>D$343="A"</formula>
    </cfRule>
    <cfRule type="expression" dxfId="8" priority="14" stopIfTrue="1">
      <formula>D$343="E"</formula>
    </cfRule>
  </conditionalFormatting>
  <conditionalFormatting sqref="BB248">
    <cfRule type="cellIs" dxfId="7" priority="12" stopIfTrue="1" operator="between">
      <formula>-0.005</formula>
      <formula>0.005</formula>
    </cfRule>
  </conditionalFormatting>
  <conditionalFormatting sqref="BL259:BO259 BL230:BO230 BL237:BO237 BL210:BO210 BL223:BO223 BL270:BO270 BL281:BO281 BL248:BO248">
    <cfRule type="cellIs" dxfId="6" priority="9" stopIfTrue="1" operator="between">
      <formula>-0.005</formula>
      <formula>0.005</formula>
    </cfRule>
  </conditionalFormatting>
  <conditionalFormatting sqref="BL314:BO314">
    <cfRule type="expression" dxfId="5" priority="7" stopIfTrue="1">
      <formula>BL$343="A"</formula>
    </cfRule>
    <cfRule type="expression" dxfId="4" priority="8" stopIfTrue="1">
      <formula>BL$343="E"</formula>
    </cfRule>
  </conditionalFormatting>
  <conditionalFormatting sqref="BC248">
    <cfRule type="cellIs" dxfId="3" priority="5" stopIfTrue="1" operator="between">
      <formula>-0.005</formula>
      <formula>0.005</formula>
    </cfRule>
  </conditionalFormatting>
  <conditionalFormatting sqref="BB270">
    <cfRule type="cellIs" dxfId="2" priority="3" stopIfTrue="1" operator="between">
      <formula>-0.005</formula>
      <formula>0.005</formula>
    </cfRule>
  </conditionalFormatting>
  <conditionalFormatting sqref="BD248">
    <cfRule type="cellIs" dxfId="1" priority="2" stopIfTrue="1" operator="between">
      <formula>-0.005</formula>
      <formula>0.005</formula>
    </cfRule>
  </conditionalFormatting>
  <conditionalFormatting sqref="BC270">
    <cfRule type="cellIs" dxfId="0" priority="1" stopIfTrue="1" operator="between">
      <formula>-0.005</formula>
      <formula>0.005</formula>
    </cfRule>
  </conditionalFormatting>
  <pageMargins left="0" right="0" top="0" bottom="0" header="0" footer="0"/>
  <pageSetup paperSize="5" scale="18" orientation="landscape" verticalDpi="300" r:id="rId1"/>
  <headerFooter alignWithMargins="0"/>
  <ignoredErrors>
    <ignoredError sqref="BP343 BP57:BZ58 BT37:BZ37 BP32 Y191:AD191 X197:AD197 C12:C13 T343:AB343 C32:C34 T198:AB198 T341:AB341 BP36:BS37 BP341 BP197:BZ197 B197:C198 BV341:BZ341 BQ54:BZ55 BV36:BZ36 C184:C187 C104:C110 BP198 BV198:BZ198 C79 C54:C55 AN121 B341:C341 C101:C102 B343:C343 BP79:BZ79 BQ32:BZ33 BP55 BP184:BP185 AF15 BP13 AF32 AF79 BQ191:BZ192 BZ184:BZ186 C191 BP121 C121:C123 BP15:BZ17 C15:C17 C36:C37 C57:C58 BP34:BV34 BX34 BQ121:BZ123 AF121:AG121 AI79:AK79 AI15:AK15 AI32:AK32 AI121:AK121 AF191:AJ191 BP191 AN79 AO198:AQ198 AF197:AQ197 AO341:AQ341 AN32 AO343:AQ343 BQ12:BR13 BS12:BZ12 AL191 AN191:AQ191 BZ34 C39 BP39:BZ39 AI71:AK71 C71 BP71 BQ125:BZ125 C125 BQ184:BY187" formulaRange="1"/>
    <ignoredError sqref="AC343:AN343 AC341:AN341 AC198:AD198 AF198:AG198 AI198:AN198" formula="1" formulaRange="1"/>
    <ignoredError sqref="AT58:AU58" formula="1"/>
  </ignoredErrors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43"/>
  <sheetViews>
    <sheetView workbookViewId="0">
      <selection activeCell="B42" sqref="B42"/>
    </sheetView>
  </sheetViews>
  <sheetFormatPr defaultRowHeight="12.75"/>
  <cols>
    <col min="1" max="1" width="29.5703125" style="1452" bestFit="1" customWidth="1"/>
    <col min="2" max="2" width="19.85546875" style="1509" customWidth="1"/>
    <col min="3" max="3" width="12" style="1452" bestFit="1" customWidth="1"/>
    <col min="4" max="256" width="9.140625" style="1452"/>
    <col min="257" max="257" width="29.5703125" style="1452" bestFit="1" customWidth="1"/>
    <col min="258" max="258" width="19.85546875" style="1452" customWidth="1"/>
    <col min="259" max="259" width="12" style="1452" bestFit="1" customWidth="1"/>
    <col min="260" max="512" width="9.140625" style="1452"/>
    <col min="513" max="513" width="29.5703125" style="1452" bestFit="1" customWidth="1"/>
    <col min="514" max="514" width="19.85546875" style="1452" customWidth="1"/>
    <col min="515" max="515" width="12" style="1452" bestFit="1" customWidth="1"/>
    <col min="516" max="768" width="9.140625" style="1452"/>
    <col min="769" max="769" width="29.5703125" style="1452" bestFit="1" customWidth="1"/>
    <col min="770" max="770" width="19.85546875" style="1452" customWidth="1"/>
    <col min="771" max="771" width="12" style="1452" bestFit="1" customWidth="1"/>
    <col min="772" max="1024" width="9.140625" style="1452"/>
    <col min="1025" max="1025" width="29.5703125" style="1452" bestFit="1" customWidth="1"/>
    <col min="1026" max="1026" width="19.85546875" style="1452" customWidth="1"/>
    <col min="1027" max="1027" width="12" style="1452" bestFit="1" customWidth="1"/>
    <col min="1028" max="1280" width="9.140625" style="1452"/>
    <col min="1281" max="1281" width="29.5703125" style="1452" bestFit="1" customWidth="1"/>
    <col min="1282" max="1282" width="19.85546875" style="1452" customWidth="1"/>
    <col min="1283" max="1283" width="12" style="1452" bestFit="1" customWidth="1"/>
    <col min="1284" max="1536" width="9.140625" style="1452"/>
    <col min="1537" max="1537" width="29.5703125" style="1452" bestFit="1" customWidth="1"/>
    <col min="1538" max="1538" width="19.85546875" style="1452" customWidth="1"/>
    <col min="1539" max="1539" width="12" style="1452" bestFit="1" customWidth="1"/>
    <col min="1540" max="1792" width="9.140625" style="1452"/>
    <col min="1793" max="1793" width="29.5703125" style="1452" bestFit="1" customWidth="1"/>
    <col min="1794" max="1794" width="19.85546875" style="1452" customWidth="1"/>
    <col min="1795" max="1795" width="12" style="1452" bestFit="1" customWidth="1"/>
    <col min="1796" max="2048" width="9.140625" style="1452"/>
    <col min="2049" max="2049" width="29.5703125" style="1452" bestFit="1" customWidth="1"/>
    <col min="2050" max="2050" width="19.85546875" style="1452" customWidth="1"/>
    <col min="2051" max="2051" width="12" style="1452" bestFit="1" customWidth="1"/>
    <col min="2052" max="2304" width="9.140625" style="1452"/>
    <col min="2305" max="2305" width="29.5703125" style="1452" bestFit="1" customWidth="1"/>
    <col min="2306" max="2306" width="19.85546875" style="1452" customWidth="1"/>
    <col min="2307" max="2307" width="12" style="1452" bestFit="1" customWidth="1"/>
    <col min="2308" max="2560" width="9.140625" style="1452"/>
    <col min="2561" max="2561" width="29.5703125" style="1452" bestFit="1" customWidth="1"/>
    <col min="2562" max="2562" width="19.85546875" style="1452" customWidth="1"/>
    <col min="2563" max="2563" width="12" style="1452" bestFit="1" customWidth="1"/>
    <col min="2564" max="2816" width="9.140625" style="1452"/>
    <col min="2817" max="2817" width="29.5703125" style="1452" bestFit="1" customWidth="1"/>
    <col min="2818" max="2818" width="19.85546875" style="1452" customWidth="1"/>
    <col min="2819" max="2819" width="12" style="1452" bestFit="1" customWidth="1"/>
    <col min="2820" max="3072" width="9.140625" style="1452"/>
    <col min="3073" max="3073" width="29.5703125" style="1452" bestFit="1" customWidth="1"/>
    <col min="3074" max="3074" width="19.85546875" style="1452" customWidth="1"/>
    <col min="3075" max="3075" width="12" style="1452" bestFit="1" customWidth="1"/>
    <col min="3076" max="3328" width="9.140625" style="1452"/>
    <col min="3329" max="3329" width="29.5703125" style="1452" bestFit="1" customWidth="1"/>
    <col min="3330" max="3330" width="19.85546875" style="1452" customWidth="1"/>
    <col min="3331" max="3331" width="12" style="1452" bestFit="1" customWidth="1"/>
    <col min="3332" max="3584" width="9.140625" style="1452"/>
    <col min="3585" max="3585" width="29.5703125" style="1452" bestFit="1" customWidth="1"/>
    <col min="3586" max="3586" width="19.85546875" style="1452" customWidth="1"/>
    <col min="3587" max="3587" width="12" style="1452" bestFit="1" customWidth="1"/>
    <col min="3588" max="3840" width="9.140625" style="1452"/>
    <col min="3841" max="3841" width="29.5703125" style="1452" bestFit="1" customWidth="1"/>
    <col min="3842" max="3842" width="19.85546875" style="1452" customWidth="1"/>
    <col min="3843" max="3843" width="12" style="1452" bestFit="1" customWidth="1"/>
    <col min="3844" max="4096" width="9.140625" style="1452"/>
    <col min="4097" max="4097" width="29.5703125" style="1452" bestFit="1" customWidth="1"/>
    <col min="4098" max="4098" width="19.85546875" style="1452" customWidth="1"/>
    <col min="4099" max="4099" width="12" style="1452" bestFit="1" customWidth="1"/>
    <col min="4100" max="4352" width="9.140625" style="1452"/>
    <col min="4353" max="4353" width="29.5703125" style="1452" bestFit="1" customWidth="1"/>
    <col min="4354" max="4354" width="19.85546875" style="1452" customWidth="1"/>
    <col min="4355" max="4355" width="12" style="1452" bestFit="1" customWidth="1"/>
    <col min="4356" max="4608" width="9.140625" style="1452"/>
    <col min="4609" max="4609" width="29.5703125" style="1452" bestFit="1" customWidth="1"/>
    <col min="4610" max="4610" width="19.85546875" style="1452" customWidth="1"/>
    <col min="4611" max="4611" width="12" style="1452" bestFit="1" customWidth="1"/>
    <col min="4612" max="4864" width="9.140625" style="1452"/>
    <col min="4865" max="4865" width="29.5703125" style="1452" bestFit="1" customWidth="1"/>
    <col min="4866" max="4866" width="19.85546875" style="1452" customWidth="1"/>
    <col min="4867" max="4867" width="12" style="1452" bestFit="1" customWidth="1"/>
    <col min="4868" max="5120" width="9.140625" style="1452"/>
    <col min="5121" max="5121" width="29.5703125" style="1452" bestFit="1" customWidth="1"/>
    <col min="5122" max="5122" width="19.85546875" style="1452" customWidth="1"/>
    <col min="5123" max="5123" width="12" style="1452" bestFit="1" customWidth="1"/>
    <col min="5124" max="5376" width="9.140625" style="1452"/>
    <col min="5377" max="5377" width="29.5703125" style="1452" bestFit="1" customWidth="1"/>
    <col min="5378" max="5378" width="19.85546875" style="1452" customWidth="1"/>
    <col min="5379" max="5379" width="12" style="1452" bestFit="1" customWidth="1"/>
    <col min="5380" max="5632" width="9.140625" style="1452"/>
    <col min="5633" max="5633" width="29.5703125" style="1452" bestFit="1" customWidth="1"/>
    <col min="5634" max="5634" width="19.85546875" style="1452" customWidth="1"/>
    <col min="5635" max="5635" width="12" style="1452" bestFit="1" customWidth="1"/>
    <col min="5636" max="5888" width="9.140625" style="1452"/>
    <col min="5889" max="5889" width="29.5703125" style="1452" bestFit="1" customWidth="1"/>
    <col min="5890" max="5890" width="19.85546875" style="1452" customWidth="1"/>
    <col min="5891" max="5891" width="12" style="1452" bestFit="1" customWidth="1"/>
    <col min="5892" max="6144" width="9.140625" style="1452"/>
    <col min="6145" max="6145" width="29.5703125" style="1452" bestFit="1" customWidth="1"/>
    <col min="6146" max="6146" width="19.85546875" style="1452" customWidth="1"/>
    <col min="6147" max="6147" width="12" style="1452" bestFit="1" customWidth="1"/>
    <col min="6148" max="6400" width="9.140625" style="1452"/>
    <col min="6401" max="6401" width="29.5703125" style="1452" bestFit="1" customWidth="1"/>
    <col min="6402" max="6402" width="19.85546875" style="1452" customWidth="1"/>
    <col min="6403" max="6403" width="12" style="1452" bestFit="1" customWidth="1"/>
    <col min="6404" max="6656" width="9.140625" style="1452"/>
    <col min="6657" max="6657" width="29.5703125" style="1452" bestFit="1" customWidth="1"/>
    <col min="6658" max="6658" width="19.85546875" style="1452" customWidth="1"/>
    <col min="6659" max="6659" width="12" style="1452" bestFit="1" customWidth="1"/>
    <col min="6660" max="6912" width="9.140625" style="1452"/>
    <col min="6913" max="6913" width="29.5703125" style="1452" bestFit="1" customWidth="1"/>
    <col min="6914" max="6914" width="19.85546875" style="1452" customWidth="1"/>
    <col min="6915" max="6915" width="12" style="1452" bestFit="1" customWidth="1"/>
    <col min="6916" max="7168" width="9.140625" style="1452"/>
    <col min="7169" max="7169" width="29.5703125" style="1452" bestFit="1" customWidth="1"/>
    <col min="7170" max="7170" width="19.85546875" style="1452" customWidth="1"/>
    <col min="7171" max="7171" width="12" style="1452" bestFit="1" customWidth="1"/>
    <col min="7172" max="7424" width="9.140625" style="1452"/>
    <col min="7425" max="7425" width="29.5703125" style="1452" bestFit="1" customWidth="1"/>
    <col min="7426" max="7426" width="19.85546875" style="1452" customWidth="1"/>
    <col min="7427" max="7427" width="12" style="1452" bestFit="1" customWidth="1"/>
    <col min="7428" max="7680" width="9.140625" style="1452"/>
    <col min="7681" max="7681" width="29.5703125" style="1452" bestFit="1" customWidth="1"/>
    <col min="7682" max="7682" width="19.85546875" style="1452" customWidth="1"/>
    <col min="7683" max="7683" width="12" style="1452" bestFit="1" customWidth="1"/>
    <col min="7684" max="7936" width="9.140625" style="1452"/>
    <col min="7937" max="7937" width="29.5703125" style="1452" bestFit="1" customWidth="1"/>
    <col min="7938" max="7938" width="19.85546875" style="1452" customWidth="1"/>
    <col min="7939" max="7939" width="12" style="1452" bestFit="1" customWidth="1"/>
    <col min="7940" max="8192" width="9.140625" style="1452"/>
    <col min="8193" max="8193" width="29.5703125" style="1452" bestFit="1" customWidth="1"/>
    <col min="8194" max="8194" width="19.85546875" style="1452" customWidth="1"/>
    <col min="8195" max="8195" width="12" style="1452" bestFit="1" customWidth="1"/>
    <col min="8196" max="8448" width="9.140625" style="1452"/>
    <col min="8449" max="8449" width="29.5703125" style="1452" bestFit="1" customWidth="1"/>
    <col min="8450" max="8450" width="19.85546875" style="1452" customWidth="1"/>
    <col min="8451" max="8451" width="12" style="1452" bestFit="1" customWidth="1"/>
    <col min="8452" max="8704" width="9.140625" style="1452"/>
    <col min="8705" max="8705" width="29.5703125" style="1452" bestFit="1" customWidth="1"/>
    <col min="8706" max="8706" width="19.85546875" style="1452" customWidth="1"/>
    <col min="8707" max="8707" width="12" style="1452" bestFit="1" customWidth="1"/>
    <col min="8708" max="8960" width="9.140625" style="1452"/>
    <col min="8961" max="8961" width="29.5703125" style="1452" bestFit="1" customWidth="1"/>
    <col min="8962" max="8962" width="19.85546875" style="1452" customWidth="1"/>
    <col min="8963" max="8963" width="12" style="1452" bestFit="1" customWidth="1"/>
    <col min="8964" max="9216" width="9.140625" style="1452"/>
    <col min="9217" max="9217" width="29.5703125" style="1452" bestFit="1" customWidth="1"/>
    <col min="9218" max="9218" width="19.85546875" style="1452" customWidth="1"/>
    <col min="9219" max="9219" width="12" style="1452" bestFit="1" customWidth="1"/>
    <col min="9220" max="9472" width="9.140625" style="1452"/>
    <col min="9473" max="9473" width="29.5703125" style="1452" bestFit="1" customWidth="1"/>
    <col min="9474" max="9474" width="19.85546875" style="1452" customWidth="1"/>
    <col min="9475" max="9475" width="12" style="1452" bestFit="1" customWidth="1"/>
    <col min="9476" max="9728" width="9.140625" style="1452"/>
    <col min="9729" max="9729" width="29.5703125" style="1452" bestFit="1" customWidth="1"/>
    <col min="9730" max="9730" width="19.85546875" style="1452" customWidth="1"/>
    <col min="9731" max="9731" width="12" style="1452" bestFit="1" customWidth="1"/>
    <col min="9732" max="9984" width="9.140625" style="1452"/>
    <col min="9985" max="9985" width="29.5703125" style="1452" bestFit="1" customWidth="1"/>
    <col min="9986" max="9986" width="19.85546875" style="1452" customWidth="1"/>
    <col min="9987" max="9987" width="12" style="1452" bestFit="1" customWidth="1"/>
    <col min="9988" max="10240" width="9.140625" style="1452"/>
    <col min="10241" max="10241" width="29.5703125" style="1452" bestFit="1" customWidth="1"/>
    <col min="10242" max="10242" width="19.85546875" style="1452" customWidth="1"/>
    <col min="10243" max="10243" width="12" style="1452" bestFit="1" customWidth="1"/>
    <col min="10244" max="10496" width="9.140625" style="1452"/>
    <col min="10497" max="10497" width="29.5703125" style="1452" bestFit="1" customWidth="1"/>
    <col min="10498" max="10498" width="19.85546875" style="1452" customWidth="1"/>
    <col min="10499" max="10499" width="12" style="1452" bestFit="1" customWidth="1"/>
    <col min="10500" max="10752" width="9.140625" style="1452"/>
    <col min="10753" max="10753" width="29.5703125" style="1452" bestFit="1" customWidth="1"/>
    <col min="10754" max="10754" width="19.85546875" style="1452" customWidth="1"/>
    <col min="10755" max="10755" width="12" style="1452" bestFit="1" customWidth="1"/>
    <col min="10756" max="11008" width="9.140625" style="1452"/>
    <col min="11009" max="11009" width="29.5703125" style="1452" bestFit="1" customWidth="1"/>
    <col min="11010" max="11010" width="19.85546875" style="1452" customWidth="1"/>
    <col min="11011" max="11011" width="12" style="1452" bestFit="1" customWidth="1"/>
    <col min="11012" max="11264" width="9.140625" style="1452"/>
    <col min="11265" max="11265" width="29.5703125" style="1452" bestFit="1" customWidth="1"/>
    <col min="11266" max="11266" width="19.85546875" style="1452" customWidth="1"/>
    <col min="11267" max="11267" width="12" style="1452" bestFit="1" customWidth="1"/>
    <col min="11268" max="11520" width="9.140625" style="1452"/>
    <col min="11521" max="11521" width="29.5703125" style="1452" bestFit="1" customWidth="1"/>
    <col min="11522" max="11522" width="19.85546875" style="1452" customWidth="1"/>
    <col min="11523" max="11523" width="12" style="1452" bestFit="1" customWidth="1"/>
    <col min="11524" max="11776" width="9.140625" style="1452"/>
    <col min="11777" max="11777" width="29.5703125" style="1452" bestFit="1" customWidth="1"/>
    <col min="11778" max="11778" width="19.85546875" style="1452" customWidth="1"/>
    <col min="11779" max="11779" width="12" style="1452" bestFit="1" customWidth="1"/>
    <col min="11780" max="12032" width="9.140625" style="1452"/>
    <col min="12033" max="12033" width="29.5703125" style="1452" bestFit="1" customWidth="1"/>
    <col min="12034" max="12034" width="19.85546875" style="1452" customWidth="1"/>
    <col min="12035" max="12035" width="12" style="1452" bestFit="1" customWidth="1"/>
    <col min="12036" max="12288" width="9.140625" style="1452"/>
    <col min="12289" max="12289" width="29.5703125" style="1452" bestFit="1" customWidth="1"/>
    <col min="12290" max="12290" width="19.85546875" style="1452" customWidth="1"/>
    <col min="12291" max="12291" width="12" style="1452" bestFit="1" customWidth="1"/>
    <col min="12292" max="12544" width="9.140625" style="1452"/>
    <col min="12545" max="12545" width="29.5703125" style="1452" bestFit="1" customWidth="1"/>
    <col min="12546" max="12546" width="19.85546875" style="1452" customWidth="1"/>
    <col min="12547" max="12547" width="12" style="1452" bestFit="1" customWidth="1"/>
    <col min="12548" max="12800" width="9.140625" style="1452"/>
    <col min="12801" max="12801" width="29.5703125" style="1452" bestFit="1" customWidth="1"/>
    <col min="12802" max="12802" width="19.85546875" style="1452" customWidth="1"/>
    <col min="12803" max="12803" width="12" style="1452" bestFit="1" customWidth="1"/>
    <col min="12804" max="13056" width="9.140625" style="1452"/>
    <col min="13057" max="13057" width="29.5703125" style="1452" bestFit="1" customWidth="1"/>
    <col min="13058" max="13058" width="19.85546875" style="1452" customWidth="1"/>
    <col min="13059" max="13059" width="12" style="1452" bestFit="1" customWidth="1"/>
    <col min="13060" max="13312" width="9.140625" style="1452"/>
    <col min="13313" max="13313" width="29.5703125" style="1452" bestFit="1" customWidth="1"/>
    <col min="13314" max="13314" width="19.85546875" style="1452" customWidth="1"/>
    <col min="13315" max="13315" width="12" style="1452" bestFit="1" customWidth="1"/>
    <col min="13316" max="13568" width="9.140625" style="1452"/>
    <col min="13569" max="13569" width="29.5703125" style="1452" bestFit="1" customWidth="1"/>
    <col min="13570" max="13570" width="19.85546875" style="1452" customWidth="1"/>
    <col min="13571" max="13571" width="12" style="1452" bestFit="1" customWidth="1"/>
    <col min="13572" max="13824" width="9.140625" style="1452"/>
    <col min="13825" max="13825" width="29.5703125" style="1452" bestFit="1" customWidth="1"/>
    <col min="13826" max="13826" width="19.85546875" style="1452" customWidth="1"/>
    <col min="13827" max="13827" width="12" style="1452" bestFit="1" customWidth="1"/>
    <col min="13828" max="14080" width="9.140625" style="1452"/>
    <col min="14081" max="14081" width="29.5703125" style="1452" bestFit="1" customWidth="1"/>
    <col min="14082" max="14082" width="19.85546875" style="1452" customWidth="1"/>
    <col min="14083" max="14083" width="12" style="1452" bestFit="1" customWidth="1"/>
    <col min="14084" max="14336" width="9.140625" style="1452"/>
    <col min="14337" max="14337" width="29.5703125" style="1452" bestFit="1" customWidth="1"/>
    <col min="14338" max="14338" width="19.85546875" style="1452" customWidth="1"/>
    <col min="14339" max="14339" width="12" style="1452" bestFit="1" customWidth="1"/>
    <col min="14340" max="14592" width="9.140625" style="1452"/>
    <col min="14593" max="14593" width="29.5703125" style="1452" bestFit="1" customWidth="1"/>
    <col min="14594" max="14594" width="19.85546875" style="1452" customWidth="1"/>
    <col min="14595" max="14595" width="12" style="1452" bestFit="1" customWidth="1"/>
    <col min="14596" max="14848" width="9.140625" style="1452"/>
    <col min="14849" max="14849" width="29.5703125" style="1452" bestFit="1" customWidth="1"/>
    <col min="14850" max="14850" width="19.85546875" style="1452" customWidth="1"/>
    <col min="14851" max="14851" width="12" style="1452" bestFit="1" customWidth="1"/>
    <col min="14852" max="15104" width="9.140625" style="1452"/>
    <col min="15105" max="15105" width="29.5703125" style="1452" bestFit="1" customWidth="1"/>
    <col min="15106" max="15106" width="19.85546875" style="1452" customWidth="1"/>
    <col min="15107" max="15107" width="12" style="1452" bestFit="1" customWidth="1"/>
    <col min="15108" max="15360" width="9.140625" style="1452"/>
    <col min="15361" max="15361" width="29.5703125" style="1452" bestFit="1" customWidth="1"/>
    <col min="15362" max="15362" width="19.85546875" style="1452" customWidth="1"/>
    <col min="15363" max="15363" width="12" style="1452" bestFit="1" customWidth="1"/>
    <col min="15364" max="15616" width="9.140625" style="1452"/>
    <col min="15617" max="15617" width="29.5703125" style="1452" bestFit="1" customWidth="1"/>
    <col min="15618" max="15618" width="19.85546875" style="1452" customWidth="1"/>
    <col min="15619" max="15619" width="12" style="1452" bestFit="1" customWidth="1"/>
    <col min="15620" max="15872" width="9.140625" style="1452"/>
    <col min="15873" max="15873" width="29.5703125" style="1452" bestFit="1" customWidth="1"/>
    <col min="15874" max="15874" width="19.85546875" style="1452" customWidth="1"/>
    <col min="15875" max="15875" width="12" style="1452" bestFit="1" customWidth="1"/>
    <col min="15876" max="16128" width="9.140625" style="1452"/>
    <col min="16129" max="16129" width="29.5703125" style="1452" bestFit="1" customWidth="1"/>
    <col min="16130" max="16130" width="19.85546875" style="1452" customWidth="1"/>
    <col min="16131" max="16131" width="12" style="1452" bestFit="1" customWidth="1"/>
    <col min="16132" max="16384" width="9.140625" style="1452"/>
  </cols>
  <sheetData>
    <row r="1" spans="1:2">
      <c r="A1" s="1452" t="s">
        <v>929</v>
      </c>
      <c r="B1" s="1508">
        <v>6.1</v>
      </c>
    </row>
    <row r="2" spans="1:2">
      <c r="A2" s="1452" t="s">
        <v>930</v>
      </c>
      <c r="B2" s="1512">
        <v>43159.625173611108</v>
      </c>
    </row>
    <row r="3" spans="1:2">
      <c r="A3" s="1452" t="s">
        <v>931</v>
      </c>
      <c r="B3" s="1509" t="s">
        <v>627</v>
      </c>
    </row>
    <row r="4" spans="1:2">
      <c r="A4" s="1452" t="s">
        <v>932</v>
      </c>
      <c r="B4" s="1509" t="s">
        <v>434</v>
      </c>
    </row>
    <row r="5" spans="1:2">
      <c r="A5" s="1452" t="s">
        <v>933</v>
      </c>
      <c r="B5" s="1509" t="s">
        <v>934</v>
      </c>
    </row>
    <row r="6" spans="1:2">
      <c r="A6" s="1452" t="s">
        <v>935</v>
      </c>
    </row>
    <row r="7" spans="1:2">
      <c r="A7" s="1452" t="s">
        <v>936</v>
      </c>
      <c r="B7" s="1509" t="s">
        <v>226</v>
      </c>
    </row>
    <row r="8" spans="1:2">
      <c r="A8" s="1452" t="s">
        <v>937</v>
      </c>
      <c r="B8" s="1509" t="s">
        <v>938</v>
      </c>
    </row>
    <row r="9" spans="1:2">
      <c r="A9" s="1452" t="s">
        <v>939</v>
      </c>
      <c r="B9" s="1509" t="s">
        <v>976</v>
      </c>
    </row>
    <row r="10" spans="1:2">
      <c r="A10" s="1452" t="s">
        <v>940</v>
      </c>
    </row>
    <row r="11" spans="1:2">
      <c r="A11" s="1452" t="s">
        <v>941</v>
      </c>
    </row>
    <row r="12" spans="1:2">
      <c r="A12" s="1452" t="s">
        <v>942</v>
      </c>
    </row>
    <row r="13" spans="1:2">
      <c r="A13" s="1452" t="s">
        <v>943</v>
      </c>
    </row>
    <row r="14" spans="1:2">
      <c r="A14" s="1452" t="s">
        <v>944</v>
      </c>
    </row>
    <row r="15" spans="1:2">
      <c r="A15" s="1452" t="s">
        <v>945</v>
      </c>
    </row>
    <row r="16" spans="1:2">
      <c r="A16" s="1452" t="s">
        <v>946</v>
      </c>
    </row>
    <row r="17" spans="1:4">
      <c r="A17" s="1452" t="s">
        <v>947</v>
      </c>
      <c r="B17" s="1509" t="s">
        <v>977</v>
      </c>
    </row>
    <row r="18" spans="1:4">
      <c r="A18" s="1452" t="s">
        <v>948</v>
      </c>
      <c r="B18" s="1509" t="s">
        <v>980</v>
      </c>
    </row>
    <row r="19" spans="1:4">
      <c r="A19" s="1452" t="s">
        <v>949</v>
      </c>
      <c r="B19" s="1509" t="s">
        <v>321</v>
      </c>
    </row>
    <row r="20" spans="1:4">
      <c r="A20" s="1452" t="s">
        <v>950</v>
      </c>
      <c r="B20" s="1510">
        <v>32654105</v>
      </c>
    </row>
    <row r="21" spans="1:4">
      <c r="A21" s="1452" t="s">
        <v>951</v>
      </c>
      <c r="B21" s="1509" t="s">
        <v>321</v>
      </c>
    </row>
    <row r="22" spans="1:4">
      <c r="A22" s="1452" t="s">
        <v>952</v>
      </c>
      <c r="B22" s="1510">
        <v>2032067</v>
      </c>
    </row>
    <row r="23" spans="1:4">
      <c r="A23" s="1452" t="s">
        <v>170</v>
      </c>
      <c r="B23" s="1508">
        <v>90.15</v>
      </c>
    </row>
    <row r="24" spans="1:4">
      <c r="A24" s="1452" t="s">
        <v>169</v>
      </c>
      <c r="B24" s="1509" t="s">
        <v>61</v>
      </c>
      <c r="D24" s="1452" t="s">
        <v>316</v>
      </c>
    </row>
    <row r="25" spans="1:4">
      <c r="A25" s="1452" t="s">
        <v>953</v>
      </c>
      <c r="B25" s="1509" t="s">
        <v>981</v>
      </c>
    </row>
    <row r="26" spans="1:4">
      <c r="A26" s="1452" t="s">
        <v>954</v>
      </c>
      <c r="B26" s="1509">
        <v>0</v>
      </c>
    </row>
    <row r="27" spans="1:4">
      <c r="A27" s="1452" t="s">
        <v>955</v>
      </c>
      <c r="B27" s="1509" t="s">
        <v>956</v>
      </c>
    </row>
    <row r="28" spans="1:4">
      <c r="A28" s="1452" t="s">
        <v>957</v>
      </c>
      <c r="B28" s="1509" t="s">
        <v>958</v>
      </c>
    </row>
    <row r="29" spans="1:4">
      <c r="A29" s="1452" t="s">
        <v>959</v>
      </c>
    </row>
    <row r="30" spans="1:4">
      <c r="A30" s="1452" t="s">
        <v>960</v>
      </c>
    </row>
    <row r="31" spans="1:4">
      <c r="A31" s="1452" t="s">
        <v>961</v>
      </c>
    </row>
    <row r="32" spans="1:4">
      <c r="A32" s="1452" t="s">
        <v>962</v>
      </c>
      <c r="B32" s="1508"/>
    </row>
    <row r="33" spans="1:2">
      <c r="A33" s="1452" t="s">
        <v>963</v>
      </c>
      <c r="B33" s="1508"/>
    </row>
    <row r="34" spans="1:2">
      <c r="A34" s="1452" t="s">
        <v>964</v>
      </c>
      <c r="B34" s="1508"/>
    </row>
    <row r="35" spans="1:2">
      <c r="A35" s="1452" t="s">
        <v>965</v>
      </c>
      <c r="B35" s="1509">
        <v>1000000</v>
      </c>
    </row>
    <row r="36" spans="1:2">
      <c r="A36" s="1452" t="s">
        <v>966</v>
      </c>
      <c r="B36" s="1509" t="s">
        <v>978</v>
      </c>
    </row>
    <row r="37" spans="1:2">
      <c r="A37" s="1452" t="s">
        <v>967</v>
      </c>
      <c r="B37" s="1509" t="s">
        <v>968</v>
      </c>
    </row>
    <row r="38" spans="1:2">
      <c r="A38" s="1452" t="s">
        <v>969</v>
      </c>
      <c r="B38" s="1509" t="s">
        <v>970</v>
      </c>
    </row>
    <row r="39" spans="1:2">
      <c r="A39" s="1452" t="s">
        <v>971</v>
      </c>
      <c r="B39" s="1509" t="s">
        <v>979</v>
      </c>
    </row>
    <row r="40" spans="1:2">
      <c r="A40" s="1452" t="s">
        <v>972</v>
      </c>
      <c r="B40" s="1509">
        <v>1500000092</v>
      </c>
    </row>
    <row r="41" spans="1:2">
      <c r="A41" s="1452" t="s">
        <v>973</v>
      </c>
      <c r="B41" s="1509">
        <v>1</v>
      </c>
    </row>
    <row r="42" spans="1:2">
      <c r="A42" s="1511" t="s">
        <v>974</v>
      </c>
      <c r="B42" s="1509" t="s">
        <v>982</v>
      </c>
    </row>
    <row r="43" spans="1:2">
      <c r="A43" s="1452" t="s">
        <v>975</v>
      </c>
    </row>
  </sheetData>
  <pageMargins left="0.75" right="0.75" top="1" bottom="1" header="0.5" footer="0.5"/>
  <pageSetup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13"/>
  <sheetViews>
    <sheetView workbookViewId="0">
      <selection activeCell="E11" sqref="E11"/>
    </sheetView>
  </sheetViews>
  <sheetFormatPr defaultRowHeight="12.75"/>
  <cols>
    <col min="1" max="1" width="28.5703125" style="1452" bestFit="1" customWidth="1"/>
    <col min="2" max="256" width="9.140625" style="1452"/>
    <col min="257" max="257" width="28.5703125" style="1452" bestFit="1" customWidth="1"/>
    <col min="258" max="512" width="9.140625" style="1452"/>
    <col min="513" max="513" width="28.5703125" style="1452" bestFit="1" customWidth="1"/>
    <col min="514" max="768" width="9.140625" style="1452"/>
    <col min="769" max="769" width="28.5703125" style="1452" bestFit="1" customWidth="1"/>
    <col min="770" max="1024" width="9.140625" style="1452"/>
    <col min="1025" max="1025" width="28.5703125" style="1452" bestFit="1" customWidth="1"/>
    <col min="1026" max="1280" width="9.140625" style="1452"/>
    <col min="1281" max="1281" width="28.5703125" style="1452" bestFit="1" customWidth="1"/>
    <col min="1282" max="1536" width="9.140625" style="1452"/>
    <col min="1537" max="1537" width="28.5703125" style="1452" bestFit="1" customWidth="1"/>
    <col min="1538" max="1792" width="9.140625" style="1452"/>
    <col min="1793" max="1793" width="28.5703125" style="1452" bestFit="1" customWidth="1"/>
    <col min="1794" max="2048" width="9.140625" style="1452"/>
    <col min="2049" max="2049" width="28.5703125" style="1452" bestFit="1" customWidth="1"/>
    <col min="2050" max="2304" width="9.140625" style="1452"/>
    <col min="2305" max="2305" width="28.5703125" style="1452" bestFit="1" customWidth="1"/>
    <col min="2306" max="2560" width="9.140625" style="1452"/>
    <col min="2561" max="2561" width="28.5703125" style="1452" bestFit="1" customWidth="1"/>
    <col min="2562" max="2816" width="9.140625" style="1452"/>
    <col min="2817" max="2817" width="28.5703125" style="1452" bestFit="1" customWidth="1"/>
    <col min="2818" max="3072" width="9.140625" style="1452"/>
    <col min="3073" max="3073" width="28.5703125" style="1452" bestFit="1" customWidth="1"/>
    <col min="3074" max="3328" width="9.140625" style="1452"/>
    <col min="3329" max="3329" width="28.5703125" style="1452" bestFit="1" customWidth="1"/>
    <col min="3330" max="3584" width="9.140625" style="1452"/>
    <col min="3585" max="3585" width="28.5703125" style="1452" bestFit="1" customWidth="1"/>
    <col min="3586" max="3840" width="9.140625" style="1452"/>
    <col min="3841" max="3841" width="28.5703125" style="1452" bestFit="1" customWidth="1"/>
    <col min="3842" max="4096" width="9.140625" style="1452"/>
    <col min="4097" max="4097" width="28.5703125" style="1452" bestFit="1" customWidth="1"/>
    <col min="4098" max="4352" width="9.140625" style="1452"/>
    <col min="4353" max="4353" width="28.5703125" style="1452" bestFit="1" customWidth="1"/>
    <col min="4354" max="4608" width="9.140625" style="1452"/>
    <col min="4609" max="4609" width="28.5703125" style="1452" bestFit="1" customWidth="1"/>
    <col min="4610" max="4864" width="9.140625" style="1452"/>
    <col min="4865" max="4865" width="28.5703125" style="1452" bestFit="1" customWidth="1"/>
    <col min="4866" max="5120" width="9.140625" style="1452"/>
    <col min="5121" max="5121" width="28.5703125" style="1452" bestFit="1" customWidth="1"/>
    <col min="5122" max="5376" width="9.140625" style="1452"/>
    <col min="5377" max="5377" width="28.5703125" style="1452" bestFit="1" customWidth="1"/>
    <col min="5378" max="5632" width="9.140625" style="1452"/>
    <col min="5633" max="5633" width="28.5703125" style="1452" bestFit="1" customWidth="1"/>
    <col min="5634" max="5888" width="9.140625" style="1452"/>
    <col min="5889" max="5889" width="28.5703125" style="1452" bestFit="1" customWidth="1"/>
    <col min="5890" max="6144" width="9.140625" style="1452"/>
    <col min="6145" max="6145" width="28.5703125" style="1452" bestFit="1" customWidth="1"/>
    <col min="6146" max="6400" width="9.140625" style="1452"/>
    <col min="6401" max="6401" width="28.5703125" style="1452" bestFit="1" customWidth="1"/>
    <col min="6402" max="6656" width="9.140625" style="1452"/>
    <col min="6657" max="6657" width="28.5703125" style="1452" bestFit="1" customWidth="1"/>
    <col min="6658" max="6912" width="9.140625" style="1452"/>
    <col min="6913" max="6913" width="28.5703125" style="1452" bestFit="1" customWidth="1"/>
    <col min="6914" max="7168" width="9.140625" style="1452"/>
    <col min="7169" max="7169" width="28.5703125" style="1452" bestFit="1" customWidth="1"/>
    <col min="7170" max="7424" width="9.140625" style="1452"/>
    <col min="7425" max="7425" width="28.5703125" style="1452" bestFit="1" customWidth="1"/>
    <col min="7426" max="7680" width="9.140625" style="1452"/>
    <col min="7681" max="7681" width="28.5703125" style="1452" bestFit="1" customWidth="1"/>
    <col min="7682" max="7936" width="9.140625" style="1452"/>
    <col min="7937" max="7937" width="28.5703125" style="1452" bestFit="1" customWidth="1"/>
    <col min="7938" max="8192" width="9.140625" style="1452"/>
    <col min="8193" max="8193" width="28.5703125" style="1452" bestFit="1" customWidth="1"/>
    <col min="8194" max="8448" width="9.140625" style="1452"/>
    <col min="8449" max="8449" width="28.5703125" style="1452" bestFit="1" customWidth="1"/>
    <col min="8450" max="8704" width="9.140625" style="1452"/>
    <col min="8705" max="8705" width="28.5703125" style="1452" bestFit="1" customWidth="1"/>
    <col min="8706" max="8960" width="9.140625" style="1452"/>
    <col min="8961" max="8961" width="28.5703125" style="1452" bestFit="1" customWidth="1"/>
    <col min="8962" max="9216" width="9.140625" style="1452"/>
    <col min="9217" max="9217" width="28.5703125" style="1452" bestFit="1" customWidth="1"/>
    <col min="9218" max="9472" width="9.140625" style="1452"/>
    <col min="9473" max="9473" width="28.5703125" style="1452" bestFit="1" customWidth="1"/>
    <col min="9474" max="9728" width="9.140625" style="1452"/>
    <col min="9729" max="9729" width="28.5703125" style="1452" bestFit="1" customWidth="1"/>
    <col min="9730" max="9984" width="9.140625" style="1452"/>
    <col min="9985" max="9985" width="28.5703125" style="1452" bestFit="1" customWidth="1"/>
    <col min="9986" max="10240" width="9.140625" style="1452"/>
    <col min="10241" max="10241" width="28.5703125" style="1452" bestFit="1" customWidth="1"/>
    <col min="10242" max="10496" width="9.140625" style="1452"/>
    <col min="10497" max="10497" width="28.5703125" style="1452" bestFit="1" customWidth="1"/>
    <col min="10498" max="10752" width="9.140625" style="1452"/>
    <col min="10753" max="10753" width="28.5703125" style="1452" bestFit="1" customWidth="1"/>
    <col min="10754" max="11008" width="9.140625" style="1452"/>
    <col min="11009" max="11009" width="28.5703125" style="1452" bestFit="1" customWidth="1"/>
    <col min="11010" max="11264" width="9.140625" style="1452"/>
    <col min="11265" max="11265" width="28.5703125" style="1452" bestFit="1" customWidth="1"/>
    <col min="11266" max="11520" width="9.140625" style="1452"/>
    <col min="11521" max="11521" width="28.5703125" style="1452" bestFit="1" customWidth="1"/>
    <col min="11522" max="11776" width="9.140625" style="1452"/>
    <col min="11777" max="11777" width="28.5703125" style="1452" bestFit="1" customWidth="1"/>
    <col min="11778" max="12032" width="9.140625" style="1452"/>
    <col min="12033" max="12033" width="28.5703125" style="1452" bestFit="1" customWidth="1"/>
    <col min="12034" max="12288" width="9.140625" style="1452"/>
    <col min="12289" max="12289" width="28.5703125" style="1452" bestFit="1" customWidth="1"/>
    <col min="12290" max="12544" width="9.140625" style="1452"/>
    <col min="12545" max="12545" width="28.5703125" style="1452" bestFit="1" customWidth="1"/>
    <col min="12546" max="12800" width="9.140625" style="1452"/>
    <col min="12801" max="12801" width="28.5703125" style="1452" bestFit="1" customWidth="1"/>
    <col min="12802" max="13056" width="9.140625" style="1452"/>
    <col min="13057" max="13057" width="28.5703125" style="1452" bestFit="1" customWidth="1"/>
    <col min="13058" max="13312" width="9.140625" style="1452"/>
    <col min="13313" max="13313" width="28.5703125" style="1452" bestFit="1" customWidth="1"/>
    <col min="13314" max="13568" width="9.140625" style="1452"/>
    <col min="13569" max="13569" width="28.5703125" style="1452" bestFit="1" customWidth="1"/>
    <col min="13570" max="13824" width="9.140625" style="1452"/>
    <col min="13825" max="13825" width="28.5703125" style="1452" bestFit="1" customWidth="1"/>
    <col min="13826" max="14080" width="9.140625" style="1452"/>
    <col min="14081" max="14081" width="28.5703125" style="1452" bestFit="1" customWidth="1"/>
    <col min="14082" max="14336" width="9.140625" style="1452"/>
    <col min="14337" max="14337" width="28.5703125" style="1452" bestFit="1" customWidth="1"/>
    <col min="14338" max="14592" width="9.140625" style="1452"/>
    <col min="14593" max="14593" width="28.5703125" style="1452" bestFit="1" customWidth="1"/>
    <col min="14594" max="14848" width="9.140625" style="1452"/>
    <col min="14849" max="14849" width="28.5703125" style="1452" bestFit="1" customWidth="1"/>
    <col min="14850" max="15104" width="9.140625" style="1452"/>
    <col min="15105" max="15105" width="28.5703125" style="1452" bestFit="1" customWidth="1"/>
    <col min="15106" max="15360" width="9.140625" style="1452"/>
    <col min="15361" max="15361" width="28.5703125" style="1452" bestFit="1" customWidth="1"/>
    <col min="15362" max="15616" width="9.140625" style="1452"/>
    <col min="15617" max="15617" width="28.5703125" style="1452" bestFit="1" customWidth="1"/>
    <col min="15618" max="15872" width="9.140625" style="1452"/>
    <col min="15873" max="15873" width="28.5703125" style="1452" bestFit="1" customWidth="1"/>
    <col min="15874" max="16128" width="9.140625" style="1452"/>
    <col min="16129" max="16129" width="28.5703125" style="1452" bestFit="1" customWidth="1"/>
    <col min="16130" max="16384" width="9.140625" style="1452"/>
  </cols>
  <sheetData>
    <row r="1" spans="1:1">
      <c r="A1" s="1513" t="s">
        <v>983</v>
      </c>
    </row>
    <row r="2" spans="1:1">
      <c r="A2" s="1513" t="s">
        <v>988</v>
      </c>
    </row>
    <row r="3" spans="1:1">
      <c r="A3" s="1513" t="s">
        <v>989</v>
      </c>
    </row>
    <row r="4" spans="1:1">
      <c r="A4" s="1513" t="s">
        <v>990</v>
      </c>
    </row>
    <row r="5" spans="1:1">
      <c r="A5" s="1513" t="s">
        <v>991</v>
      </c>
    </row>
    <row r="6" spans="1:1">
      <c r="A6" s="1513" t="s">
        <v>984</v>
      </c>
    </row>
    <row r="7" spans="1:1">
      <c r="A7" s="1513" t="s">
        <v>992</v>
      </c>
    </row>
    <row r="8" spans="1:1">
      <c r="A8" s="1513" t="s">
        <v>993</v>
      </c>
    </row>
    <row r="9" spans="1:1">
      <c r="A9" s="1513" t="s">
        <v>994</v>
      </c>
    </row>
    <row r="10" spans="1:1">
      <c r="A10" s="1513" t="s">
        <v>985</v>
      </c>
    </row>
    <row r="11" spans="1:1">
      <c r="A11" s="1513" t="s">
        <v>995</v>
      </c>
    </row>
    <row r="12" spans="1:1">
      <c r="A12" s="1513" t="s">
        <v>986</v>
      </c>
    </row>
    <row r="13" spans="1:1">
      <c r="A13" s="1513" t="s">
        <v>987</v>
      </c>
    </row>
  </sheetData>
  <pageMargins left="0.75" right="0.75" top="1" bottom="1" header="0.5" footer="0.5"/>
  <headerFooter alignWithMargins="0"/>
</worksheet>
</file>

<file path=customXml/_rels/item1.xml.rels><?xml version="1.0" encoding="UTF-8" standalone="yes"?>
<Relationships xmlns="http://schemas.openxmlformats.org/package/2006/relationships">
<Relationship Id="rId1" Target="itemProps1.xml" Type="http://schemas.openxmlformats.org/officeDocument/2006/relationships/customXmlProps"/>
</Relationships>

</file>

<file path=customXml/_rels/item2.xml.rels><?xml version="1.0" encoding="UTF-8" standalone="yes"?>
<Relationships xmlns="http://schemas.openxmlformats.org/package/2006/relationships">
<Relationship Id="rId1" Target="itemProps2.xml" Type="http://schemas.openxmlformats.org/officeDocument/2006/relationships/customXmlProps"/>
</Relationships>

</file>

<file path=customXml/item1.xml><?xml version="1.0" encoding="utf-8"?>
<lk:Links xmlns:lk="thomsonreuters.linking.metadata">
  <Link>
    <GUID>37675b82-e181-430d-9b79-45097532e709</GUID>
    <SOURCE_ALTADDRESS>$B$6:$AY$47</SOURCE_ALTADDRESS>
    <SOURCETYPE>Table</SOURCETYPE>
    <SOURCE_OBJECTNAME>Linking_Range_45</SOURCE_OBJECTNAME>
    <OBJECTTYPE>Native</OBJECTTYPE>
    <SOURCE_SHEETCODE>Sheet3</SOURCE_SHEETCODE>
    <SOURCE_SHEETNAME>BS</SOURCE_SHEETNAME>
    <SOURCEAPPLICATION>EXCEL_SOURCE</SOURCEAPPLICATION>
    <UPDATEDAT>2/12/2015 1:39:35 PM</UPDATEDAT>
    <SOURCE_ISOUTOFDATE>False</SOURCE_ISOUTOFDATE>
    <SOURCE_WORKBOOKNAME>ADI WIP.xls</SOURCE_WORKBOOKNAME>
    <SOURCE_WORKBOOKPATH>\\MSAD\ROOT\NA\NY\LIB\ER\SEMI CAP\Joe Files\Companies\ADI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TARGET_BINARYFULLNAME>/MSResearch/Content/ExternalAssets/2015-02/Images/ldIGQAqcUEe8oZyvzeVUjw--.png</TARGET_BINARYFULLNAME>
    <TARGET_STORYFULLNAME>/MSResearch/Content/ExternalAssets/2015-02/Sections/20150212_013933_Linking_Range_45.xml</TARGET_STORYFULLNAME>
    <TARGET_UUID>7caa6a1c-b2e6-11e4-9343-7c9184ca9b36</TARGET_UUID>
  </Link>
  <Link>
    <GUID>ec08c335-8137-4a1b-9cdc-e341b1812f13</GUID>
    <SOURCE_ALTADDRESS>$D$7:$R$15</SOURCE_ALTADDRESS>
    <SOURCETYPE>Table</SOURCETYPE>
    <SOURCE_OBJECTNAME>Linking_Range_26</SOURCE_OBJECTNAME>
    <OBJECTTYPE>Native</OBJECTTYPE>
    <SOURCE_SHEETCODE>Sheet34</SOURCE_SHEETCODE>
    <SOURCE_SHEETNAME>MS vs. Cons.</SOURCE_SHEETNAME>
    <SOURCEAPPLICATION>EXCEL_SOURCE</SOURCEAPPLICATION>
    <UPDATEDAT>2/12/2015 4:48:09 PM</UPDATEDAT>
    <SOURCE_ISOUTOFDATE>False</SOURCE_ISOUTOFDATE>
    <SOURCE_WORKBOOKNAME>ADI WIP.xls</SOURCE_WORKBOOKNAME>
    <SOURCE_WORKBOOKPATH>\\MSAD\ROOT\NA\NY\LIB\ER\SEMI CAP\Joe Files\Companies\ADI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TARGET_BINARYFULLNAME>/MSResearch/Content/ExternalAssets/2015-02/Images/4AFRZF_CMUKmb98BkqDyKw--.png</TARGET_BINARYFULLNAME>
    <TARGET_STORYFULLNAME>/MSResearch/Content/ExternalAssets/2015-02/Sections/20150212_014147_Linking_Range_26.xml</TARGET_STORYFULLNAME>
    <TARGET_UUID>ccc40062-b2e6-11e4-9343-7c9184ca9b36</TARGET_UUID>
    <LINKSTATUS>Unknown</LINKSTATUS>
    <TRANSPARENTBACKGROUND>False</TRANSPARENTBACKGROUND>
    <TRANSPARENTPLOTAREA>False</TRANSPARENTPLOTAREA>
  </Link>
  <Link>
    <GUID>f748a337-2e66-4787-a6c2-cd52670294b1</GUID>
    <SOURCE_ALTADDRESS>$B$5:$M$35</SOURCE_ALTADDRESS>
    <SOURCETYPE>Table</SOURCETYPE>
    <SOURCE_OBJECTNAME>Linking_Range_39</SOURCE_OBJECTNAME>
    <OBJECTTYPE>Native</OBJECTTYPE>
    <SOURCE_SHEETCODE>Sheet15</SOURCE_SHEETCODE>
    <SOURCE_SHEETNAME>QoQ Comp</SOURCE_SHEETNAME>
    <SOURCEAPPLICATION>EXCEL_SOURCE</SOURCEAPPLICATION>
    <UPDATEDAT>2/17/2015 9:14:34 PM</UPDATEDAT>
    <SOURCE_ISOUTOFDATE>False</SOURCE_ISOUTOFDATE>
    <SOURCE_WORKBOOKNAME>ADI WIP.xls</SOURCE_WORKBOOKNAME>
    <SOURCE_WORKBOOKPATH>\\MSAD\ROOT\NA\NY\LIB\ER\SEMI CAP\Joe Files\Companies\ADI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TARGET_BINARYFULLNAME>/MSResearch/Content/ExternalAssets/2014-11/Images/tCmBS4y-SkuKaeQ6MtFJbw--.png</TARGET_BINARYFULLNAME>
    <TARGET_STORYFULLNAME>/MSResearch/Content/ExternalAssets/2014-11/Sections/20141125_081218_Linking_Range_39.xml</TARGET_STORYFULLNAME>
    <TARGET_UUID>4409d636-7509-11e4-b425-7f75cf12bb5f</TARGET_UUID>
    <TRANSPARENTBACKGROUND>False</TRANSPARENTBACKGROUND>
    <TRANSPARENTPLOTAREA>False</TRANSPARENTPLOTAREA>
    <LINKSTATUS>Unknown</LINKSTATUS>
  </Link>
  <Link>
    <GUID>63063802-55f8-4231-9781-878461a19ab7</GUID>
    <SOURCETYPE>Chart</SOURCETYPE>
    <SOURCE_OBJECTNAME>MWA_Risk_Reward</SOURCE_OBJECTNAME>
    <SOURCE_SHEETCODE>MWRSSData</SOURCE_SHEETCODE>
    <SOURCE_SHEETNAME>MWA RR</SOURCE_SHEETNAME>
    <OBJECTTYPE>Native</OBJECTTYPE>
    <SOURCEAPPLICATION>EXCEL_SOURCE</SOURCEAPPLICATION>
    <UPDATEDAT>2/17/2015 9:15:39 PM</UPDATEDAT>
    <SOURCE_ISOUTOFDATE>False</SOURCE_ISOUTOFDATE>
    <SOURCE_WORKBOOKNAME>ADI WIP.xls</SOURCE_WORKBOOKNAME>
    <SOURCE_WORKBOOKPATH>\\MSAD\ROOT\NA\NY\LIB\ER\SEMI CAP\Joe Files\Companies\ADI</SOURCE_WORKBOOKPATH>
    <TRANSPARENTBACKGROUND>False</TRANSPARENTBACKGROUND>
    <TRANSPARENTPLOTAREA>False</TRANSPARENTPLOTAREA>
    <TARGETTYPE>Picture</TARGETTYPE>
    <TARGETAPPLICATION>METHODE_TARGET</TARGETAPPLICATION>
    <TABLEBACKGROUND>Existing</TABLEBACKGROUND>
    <TARGET_BINARYFULLNAME>/MSResearch/Content/ExternalAssets/2014-11/Images/mEqoxSvz7UeHqIFaIojRtA--.png</TARGET_BINARYFULLNAME>
    <TARGET_STORYFULLNAME>/MSResearch/Content/ExternalAssets/2014-11/Sections/20141125_081054_MWA_Risk_Reward.xml</TARGET_STORYFULLNAME>
    <TARGET_UUID>1222f012-7509-11e4-b425-7f75cf12bb5f</TARGET_UUID>
    <HIDEGRIDLINES>False</HIDEGRIDLINES>
    <LINKSTATUS>Unknown</LINKSTATUS>
  </Link>
  <Link>
    <GUID>1b480a38-0b9a-4fa0-8d28-46ddb6d05fbc</GUID>
    <SOURCE_ALTADDRESS>$C$9:$L$19</SOURCE_ALTADDRESS>
    <SOURCETYPE>Table</SOURCETYPE>
    <SOURCE_OBJECTNAME>Linking_Range_40</SOURCE_OBJECTNAME>
    <OBJECTTYPE>Native</OBJECTTYPE>
    <SOURCE_SHEETCODE>Sheet13</SOURCE_SHEETCODE>
    <SOURCE_SHEETNAME>Snapshot</SOURCE_SHEETNAME>
    <SOURCEAPPLICATION>EXCEL_SOURCE</SOURCEAPPLICATION>
    <UPDATEDAT>2/17/2015 9:17:28 PM</UPDATEDAT>
    <SOURCE_ISOUTOFDATE>False</SOURCE_ISOUTOFDATE>
    <SOURCE_WORKBOOKNAME>ADI WIP.xls</SOURCE_WORKBOOKNAME>
    <SOURCE_WORKBOOKPATH>\\MSAD\ROOT\NA\NY\LIB\ER\SEMI CAP\Joe Files\Companies\ADI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TARGET_BINARYFULLNAME>/MSResearch/Content/ExternalAssets/2014-11/Images/ilCw2z-CEkadhw7mU7OXdw--.png</TARGET_BINARYFULLNAME>
    <TARGET_STORYFULLNAME>/MSResearch/Content/ExternalAssets/2014-11/Sections/20141125_081607_Linking_Range_4.xml</TARGET_STORYFULLNAME>
    <TARGET_UUID>cc8b8e32-7509-11e4-b425-7f75cf12bb5f</TARGET_UUID>
    <TRANSPARENTBACKGROUND>False</TRANSPARENTBACKGROUND>
    <TRANSPARENTPLOTAREA>False</TRANSPARENTPLOTAREA>
    <LINKSTATUS>Unknown</LINKSTATUS>
  </Link>
  <Link>
    <GUID>686f68d5-bde0-446c-a09d-7d6aba0e2f92</GUID>
    <SOURCE_ALTADDRESS>$B$7:$AY$47</SOURCE_ALTADDRESS>
    <SOURCETYPE>Table</SOURCETYPE>
    <SOURCE_OBJECTNAME>Linking_Range_42</SOURCE_OBJECTNAME>
    <OBJECTTYPE>Native</OBJECTTYPE>
    <SOURCE_SHEETCODE>Sheet3</SOURCE_SHEETCODE>
    <SOURCE_SHEETNAME>BS</SOURCE_SHEETNAME>
    <SOURCEAPPLICATION>EXCEL_SOURCE</SOURCEAPPLICATION>
    <UPDATEDAT>2/17/2015 9:19:14 PM</UPDATEDAT>
    <SOURCE_ISOUTOFDATE>False</SOURCE_ISOUTOFDATE>
    <SOURCE_WORKBOOKNAME>ADI WIP.xls</SOURCE_WORKBOOKNAME>
    <SOURCE_WORKBOOKPATH>\\MSAD\ROOT\NA\NY\LIB\ER\SEMI CAP\Joe Files\Companies\ADI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TARGET_BINARYFULLNAME>/MSResearch/Content/ExternalAssets/2014-11/Images/JWK4158QEqYSKXO_JVvGQ--.png</TARGET_BINARYFULLNAME>
    <TARGET_STORYFULLNAME>/MSResearch/Content/ExternalAssets/2014-11/Sections/20141125_081803_Linking_Range_42.xml</TARGET_STORYFULLNAME>
    <TARGET_UUID>11ed398a-750a-11e4-b425-7f75cf12bb5f</TARGET_UUID>
    <TRANSPARENTBACKGROUND>False</TRANSPARENTBACKGROUND>
    <TRANSPARENTPLOTAREA>False</TRANSPARENTPLOTAREA>
  </Link>
  <Link>
    <GUID>6f2d9d59-00c6-404c-9ad3-791f334bb872</GUID>
    <SOURCE_ALTADDRESS>$B$7:$BQ$59</SOURCE_ALTADDRESS>
    <SOURCETYPE>Table</SOURCETYPE>
    <SOURCE_OBJECTNAME>Linking_Range_43</SOURCE_OBJECTNAME>
    <OBJECTTYPE>Native</OBJECTTYPE>
    <SOURCE_SHEETCODE>Sheet4</SOURCE_SHEETCODE>
    <SOURCE_SHEETNAME>CFS</SOURCE_SHEETNAME>
    <SOURCEAPPLICATION>EXCEL_SOURCE</SOURCEAPPLICATION>
    <UPDATEDAT>2/17/2015 9:19:59 PM</UPDATEDAT>
    <SOURCE_ISOUTOFDATE>False</SOURCE_ISOUTOFDATE>
    <SOURCE_WORKBOOKNAME>ADI WIP.xls</SOURCE_WORKBOOKNAME>
    <SOURCE_WORKBOOKPATH>\\MSAD\ROOT\NA\NY\LIB\ER\SEMI CAP\Joe Files\Companies\ADI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TARGET_BINARYFULLNAME>/MSResearch/Content/ExternalAssets/2014-11/Images/MbH9s5NyVOh_dhL_wpHQ--.png</TARGET_BINARYFULLNAME>
    <TARGET_STORYFULLNAME>/MSResearch/Content/ExternalAssets/2014-11/Sections/20141125_081954_Linking_Range_43.xml</TARGET_STORYFULLNAME>
    <TARGET_UUID>53ac33f8-750a-11e4-b425-7f75cf12bb5f</TARGET_UUID>
    <TRANSPARENTBACKGROUND>False</TRANSPARENTBACKGROUND>
    <TRANSPARENTPLOTAREA>False</TRANSPARENTPLOTAREA>
  </Link>
  <Link>
    <GUID>883d676c-d9e3-4821-9f8c-1d486e083f24</GUID>
    <SOURCE_ALTADDRESS>$B$6:$BQ$97</SOURCE_ALTADDRESS>
    <SOURCETYPE>Table</SOURCETYPE>
    <SOURCE_OBJECTNAME>Linking_Range_44</SOURCE_OBJECTNAME>
    <OBJECTTYPE>Native</OBJECTTYPE>
    <SOURCE_SHEETCODE>Sheet2</SOURCE_SHEETCODE>
    <SOURCE_SHEETNAME>IS</SOURCE_SHEETNAME>
    <SOURCEAPPLICATION>EXCEL_SOURCE</SOURCEAPPLICATION>
    <UPDATEDAT>2/17/2015 11:05:32 PM</UPDATEDAT>
    <SOURCE_ISOUTOFDATE>False</SOURCE_ISOUTOFDATE>
    <SOURCE_WORKBOOKNAME>ADI WIP.xls</SOURCE_WORKBOOKNAME>
    <SOURCE_WORKBOOKPATH>\\MSAD\ROOT\NA\NY\LIB\ER\SEMI CAP\Joe Files\Companies\ADI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TARGET_BINARYFULLNAME>/MSResearch/Content/ExternalAssets/2015-02/Images/FxOuKbBhEGNhJ__EJV2jw--.png</TARGET_BINARYFULLNAME>
    <TARGET_STORYFULLNAME>/MSResearch/Content/ExternalAssets/2015-02/Sections/20150212_013856_Linking_Range_44.xml</TARGET_STORYFULLNAME>
    <TARGET_UUID>6695b768-b2e6-11e4-9343-7c9184ca9b36</TARGET_UUID>
    <LINKSTATUS>Unknown</LINKSTATUS>
  </Link>
  <Link>
    <GUID>3810d60d-9672-4fea-87ad-9f9dbb53896a</GUID>
    <SOURCE_ALTADDRESS>$B$7:$BQ$97</SOURCE_ALTADDRESS>
    <SOURCETYPE>Table</SOURCETYPE>
    <SOURCE_OBJECTNAME>Linking_Range_41</SOURCE_OBJECTNAME>
    <OBJECTTYPE>Native</OBJECTTYPE>
    <SOURCE_SHEETCODE>Sheet2</SOURCE_SHEETCODE>
    <SOURCE_SHEETNAME>IS</SOURCE_SHEETNAME>
    <SOURCEAPPLICATION>EXCEL_SOURCE</SOURCEAPPLICATION>
    <UPDATEDAT>2/17/2015 11:05:37 PM</UPDATEDAT>
    <SOURCE_ISOUTOFDATE>False</SOURCE_ISOUTOFDATE>
    <SOURCE_WORKBOOKNAME>ADI WIP.xls</SOURCE_WORKBOOKNAME>
    <SOURCE_WORKBOOKPATH>\\MSAD\ROOT\NA\NY\LIB\ER\SEMI CAP\Joe Files\Companies\ADI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TARGET_BINARYFULLNAME>/MSResearch/Content/ExternalAssets/2014-11/Images/EdPTgrYKEyw9zrPumAWA--.png</TARGET_BINARYFULLNAME>
    <TARGET_STORYFULLNAME>/MSResearch/Content/ExternalAssets/2014-11/Sections/20141125_081709_Linking_Range_41.xml</TARGET_STORYFULLNAME>
    <TARGET_UUID>f1496e56-7509-11e4-b425-7f75cf12bb5f</TARGET_UUID>
    <LINKSTATUS>Unknown</LINKSTATUS>
    <TRANSPARENTBACKGROUND>False</TRANSPARENTBACKGROUND>
    <TRANSPARENTPLOTAREA>False</TRANSPARENTPLOTAREA>
  </Link>
</lk:Links>
</file>

<file path=customXml/item2.xml><?xml version="1.0" encoding="utf-8"?>
<lkmtd:Metadata xmlns:lkmtd="thomsonreuters.linking.metadatachange">
  <MetadataChanged>0</MetadataChanged>
</lkmtd:Metadata>
</file>

<file path=customXml/itemProps1.xml><?xml version="1.0" encoding="utf-8"?>
<ds:datastoreItem xmlns:ds="http://schemas.openxmlformats.org/officeDocument/2006/customXml" ds:itemID="{9A5627F9-6F10-44A3-BA62-0C37CA9CF0DC}">
  <ds:schemaRefs>
    <ds:schemaRef ds:uri="thomsonreuters.linking.metadata"/>
  </ds:schemaRefs>
</ds:datastoreItem>
</file>

<file path=customXml/itemProps2.xml><?xml version="1.0" encoding="utf-8"?>
<ds:datastoreItem xmlns:ds="http://schemas.openxmlformats.org/officeDocument/2006/customXml" ds:itemID="{6600C2E0-1FC9-442D-AEBA-4B6CF3976CF9}">
  <ds:schemaRefs>
    <ds:schemaRef ds:uri="thomsonreuters.linking.metadatachang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115</vt:i4>
      </vt:variant>
    </vt:vector>
  </HeadingPairs>
  <TitlesOfParts>
    <vt:vector size="122" baseType="lpstr">
      <vt:lpstr>ImportantDisclosures</vt:lpstr>
      <vt:lpstr>IS</vt:lpstr>
      <vt:lpstr>BS</vt:lpstr>
      <vt:lpstr>CFS</vt:lpstr>
      <vt:lpstr>BU-Segment</vt:lpstr>
      <vt:lpstr>IndexInformation</vt:lpstr>
      <vt:lpstr>ModPubIndex</vt:lpstr>
      <vt:lpstr>AdditionalInstructions</vt:lpstr>
      <vt:lpstr>ImportantDisclosures!Address</vt:lpstr>
      <vt:lpstr>ModPubIndex!ANA</vt:lpstr>
      <vt:lpstr>ImportantDisclosures!Authors</vt:lpstr>
      <vt:lpstr>IndexInformation!Authors</vt:lpstr>
      <vt:lpstr>ModPubIndex!BRO</vt:lpstr>
      <vt:lpstr>BS</vt:lpstr>
      <vt:lpstr>CopyrightStamp</vt:lpstr>
      <vt:lpstr>ModPubIndex!COU</vt:lpstr>
      <vt:lpstr>IndexInformation!CQEnd</vt:lpstr>
      <vt:lpstr>IndexInformation!Currency</vt:lpstr>
      <vt:lpstr>IndexInformation!CurrentStockPrice</vt:lpstr>
      <vt:lpstr>IndexInformation!CurrQtrEPS</vt:lpstr>
      <vt:lpstr>IndexInformation!CurrYearEPS</vt:lpstr>
      <vt:lpstr>IndexInformation!CurrYearTotalRevenue</vt:lpstr>
      <vt:lpstr>IndexInformation!CurrYearTotalRevenueActual</vt:lpstr>
      <vt:lpstr>IndexInformation!CUSIP</vt:lpstr>
      <vt:lpstr>IndexInformation!CYEnd</vt:lpstr>
      <vt:lpstr>ImportantDisclosures!Date</vt:lpstr>
      <vt:lpstr>IndexInformation!Deleted</vt:lpstr>
      <vt:lpstr>IndexInformation!Description</vt:lpstr>
      <vt:lpstr>IndexInformation!Discipline</vt:lpstr>
      <vt:lpstr>ModPubIndex!DISCIPLINE</vt:lpstr>
      <vt:lpstr>DisclosuresText</vt:lpstr>
      <vt:lpstr>IndexInformation!Distribution</vt:lpstr>
      <vt:lpstr>ModPubIndex!DOCDAT</vt:lpstr>
      <vt:lpstr>ModPubIndex!DOCTIME</vt:lpstr>
      <vt:lpstr>IndexInformation!DocType</vt:lpstr>
      <vt:lpstr>ModPubIndex!EMAIL_ALERT</vt:lpstr>
      <vt:lpstr>IndexInformation!EmailAlert</vt:lpstr>
      <vt:lpstr>IndexInformation!FiveYearGrowthRate</vt:lpstr>
      <vt:lpstr>IndexInformation!FollowingYearEPS</vt:lpstr>
      <vt:lpstr>IndexInformation!FollowingYearTotalRevenue</vt:lpstr>
      <vt:lpstr>IndexInformation!FollowingYearTotalRevenueActual</vt:lpstr>
      <vt:lpstr>ModPubIndex!HL</vt:lpstr>
      <vt:lpstr>ModPubIndex!IND</vt:lpstr>
      <vt:lpstr>ImportantDisclosures!Industry</vt:lpstr>
      <vt:lpstr>IndustryId</vt:lpstr>
      <vt:lpstr>ImportantDisclosures!IndustryRating</vt:lpstr>
      <vt:lpstr>IndexInformation!KeepVersions</vt:lpstr>
      <vt:lpstr>LanguageCode</vt:lpstr>
      <vt:lpstr>ImportantDisclosures!LastCell</vt:lpstr>
      <vt:lpstr>Linking_12</vt:lpstr>
      <vt:lpstr>Linking_14</vt:lpstr>
      <vt:lpstr>Linking_16</vt:lpstr>
      <vt:lpstr>Linking_17</vt:lpstr>
      <vt:lpstr>Linking_18</vt:lpstr>
      <vt:lpstr>Linking_20</vt:lpstr>
      <vt:lpstr>Linking_24</vt:lpstr>
      <vt:lpstr>Linking_26</vt:lpstr>
      <vt:lpstr>Linking_27</vt:lpstr>
      <vt:lpstr>Linking_32</vt:lpstr>
      <vt:lpstr>Linking_33</vt:lpstr>
      <vt:lpstr>Linking_34</vt:lpstr>
      <vt:lpstr>Linking_35</vt:lpstr>
      <vt:lpstr>Linking_36</vt:lpstr>
      <vt:lpstr>Linking_39</vt:lpstr>
      <vt:lpstr>Linking_40</vt:lpstr>
      <vt:lpstr>Linking_41</vt:lpstr>
      <vt:lpstr>Linking_42</vt:lpstr>
      <vt:lpstr>Linking_Range_1</vt:lpstr>
      <vt:lpstr>Linking_Range_11</vt:lpstr>
      <vt:lpstr>Linking_Range_12</vt:lpstr>
      <vt:lpstr>Linking_Range_13</vt:lpstr>
      <vt:lpstr>Linking_Range_14</vt:lpstr>
      <vt:lpstr>Linking_Range_16</vt:lpstr>
      <vt:lpstr>Linking_Range_17</vt:lpstr>
      <vt:lpstr>Linking_Range_2</vt:lpstr>
      <vt:lpstr>Linking_Range_29</vt:lpstr>
      <vt:lpstr>Linking_Range_3</vt:lpstr>
      <vt:lpstr>Linking_Range_30</vt:lpstr>
      <vt:lpstr>Linking_Range_31</vt:lpstr>
      <vt:lpstr>Linking_Range_32</vt:lpstr>
      <vt:lpstr>Linking_Range_4</vt:lpstr>
      <vt:lpstr>Linking_Range_41</vt:lpstr>
      <vt:lpstr>Linking_Range_42</vt:lpstr>
      <vt:lpstr>Linking_Range_43</vt:lpstr>
      <vt:lpstr>Linking_Range_44</vt:lpstr>
      <vt:lpstr>Linking_Range_45</vt:lpstr>
      <vt:lpstr>Linking_Range_5</vt:lpstr>
      <vt:lpstr>Linking_Range_6</vt:lpstr>
      <vt:lpstr>Linking_Range_7</vt:lpstr>
      <vt:lpstr>Linking_Text_1</vt:lpstr>
      <vt:lpstr>IndexInformation!MacroVersion</vt:lpstr>
      <vt:lpstr>ImportantDisclosures!ModelPrice</vt:lpstr>
      <vt:lpstr>IndexInformation!Multiplier</vt:lpstr>
      <vt:lpstr>IndexInformation!NextYearEPS</vt:lpstr>
      <vt:lpstr>IndexInformation!NextYearTotalRevenue</vt:lpstr>
      <vt:lpstr>IndexInformation!NextYearTotalRevenueActual</vt:lpstr>
      <vt:lpstr>ObjectType</vt:lpstr>
      <vt:lpstr>ModPubIndex!PANA</vt:lpstr>
      <vt:lpstr>IndexInformation!PathName</vt:lpstr>
      <vt:lpstr>BS!Print_Area</vt:lpstr>
      <vt:lpstr>'BU-Segment'!Print_Area</vt:lpstr>
      <vt:lpstr>CFS!Print_Area</vt:lpstr>
      <vt:lpstr>IS!Print_Area</vt:lpstr>
      <vt:lpstr>ModPubIndex!PRODUCT</vt:lpstr>
      <vt:lpstr>ModPubIndex!PSYM</vt:lpstr>
      <vt:lpstr>IndexInformation!PublishDate</vt:lpstr>
      <vt:lpstr>IndexInformation!Rating</vt:lpstr>
      <vt:lpstr>ImportantDisclosures!RatingsDefined</vt:lpstr>
      <vt:lpstr>IndexInformation!ResearchTopic</vt:lpstr>
      <vt:lpstr>IndexInformation!RIC</vt:lpstr>
      <vt:lpstr>IndexInformation!SEDOL</vt:lpstr>
      <vt:lpstr>ImportantDisclosures!SourceDefined</vt:lpstr>
      <vt:lpstr>ImportantDisclosures!StockRating</vt:lpstr>
      <vt:lpstr>IndexInformation!SubjectCode</vt:lpstr>
      <vt:lpstr>SubmitterUserId</vt:lpstr>
      <vt:lpstr>ModPubIndex!SUPPRESSED</vt:lpstr>
      <vt:lpstr>ImportantDisclosures!TargetPrice</vt:lpstr>
      <vt:lpstr>TemplateRegion</vt:lpstr>
      <vt:lpstr>ImportantDisclosures!Ticker</vt:lpstr>
      <vt:lpstr>TickerRegion</vt:lpstr>
      <vt:lpstr>IndexInformation!Tickers</vt:lpstr>
      <vt:lpstr>IndexInformation!UpdateReason</vt:lpstr>
    </vt:vector>
  </TitlesOfParts>
  <Company>Morgan Stanley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2011-04-06T14:26:47Z</dcterms:created>
  <dc:creator>josuev</dc:creator>
  <cp:lastModifiedBy>Linden, Sarah (Research)</cp:lastModifiedBy>
  <cp:lastPrinted>2018-02-28T21:44:54Z</cp:lastPrinted>
  <dcterms:modified xsi:type="dcterms:W3CDTF">2018-02-28T23:00:17Z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name="LinkingAutoNameNumberLinking_Text_" pid="2">
    <vt:lpwstr>1</vt:lpwstr>
  </property>
  <property fmtid="{D5CDD505-2E9C-101B-9397-08002B2CF9AE}" name="LinkingAutoNameNumberLinking_Range_" pid="3">
    <vt:lpwstr>45</vt:lpwstr>
  </property>
  <property fmtid="{D5CDD505-2E9C-101B-9397-08002B2CF9AE}" name="ERModPubTicket" pid="4">
    <vt:lpwstr>NA</vt:lpwstr>
  </property>
  <property fmtid="{D5CDD505-2E9C-101B-9397-08002B2CF9AE}" name="ERCompanyUploadState" pid="5">
    <vt:lpwstr>P</vt:lpwstr>
  </property>
  <property fmtid="{D5CDD505-2E9C-101B-9397-08002B2CF9AE}" name="ModelId" pid="6">
    <vt:lpwstr>753545</vt:lpwstr>
  </property>
  <property fmtid="{D5CDD505-2E9C-101B-9397-08002B2CF9AE}" name="ERModPubCompanyName" pid="7">
    <vt:lpwstr>Analog Devices Inc.</vt:lpwstr>
  </property>
  <property fmtid="{D5CDD505-2E9C-101B-9397-08002B2CF9AE}" name="MSDH34TAG" pid="8">
    <vt:lpwstr>.TEZUF76X5TAHATHESADREYAK-00-INB160+*94600-06=26a7b95a/-1cdb/-11e8/-a36b/-97f10757d665,MD=20180228190956/-0500,ZZ=000Z-89e3.</vt:lpwstr>
  </property>
</Properties>
</file>